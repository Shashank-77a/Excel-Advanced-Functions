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OneDrive\Desktop\Practice Data\"/>
    </mc:Choice>
  </mc:AlternateContent>
  <xr:revisionPtr revIDLastSave="0" documentId="13_ncr:1_{F7E2A614-5569-4D48-80FD-D652BC343200}" xr6:coauthVersionLast="47" xr6:coauthVersionMax="47" xr10:uidLastSave="{00000000-0000-0000-0000-000000000000}"/>
  <bookViews>
    <workbookView xWindow="-108" yWindow="-108" windowWidth="23256" windowHeight="12456" activeTab="2" xr2:uid="{35E1D793-2C2B-4937-B99F-86ABF70C13EE}"/>
  </bookViews>
  <sheets>
    <sheet name="Main Data" sheetId="1" r:id="rId1"/>
    <sheet name="Double lookup" sheetId="6" r:id="rId2"/>
    <sheet name="Dynamic Lookup Function" sheetId="7" r:id="rId3"/>
    <sheet name="Vlookup" sheetId="2" r:id="rId4"/>
    <sheet name="Hlookup" sheetId="3" r:id="rId5"/>
    <sheet name="Xlookup" sheetId="4" r:id="rId6"/>
    <sheet name="Index&amp;Match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8" i="7" l="1" a="1"/>
  <c r="Q8" i="7" s="1"/>
  <c r="C4" i="6" a="1"/>
  <c r="C4" i="6" s="1"/>
  <c r="B4" i="6"/>
  <c r="B18" i="3" a="1"/>
  <c r="B18" i="3" s="1"/>
  <c r="B6" i="2" a="1"/>
  <c r="B6" i="2" s="1"/>
  <c r="B3" i="5"/>
  <c r="B4" i="5" s="1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D3" i="5"/>
  <c r="E3" i="5"/>
  <c r="F3" i="5"/>
  <c r="G3" i="5"/>
  <c r="H3" i="5"/>
  <c r="I3" i="5"/>
  <c r="J3" i="5"/>
  <c r="J4" i="5" s="1"/>
  <c r="J5" i="5" s="1"/>
  <c r="J6" i="5" s="1"/>
  <c r="J7" i="5" s="1"/>
  <c r="J8" i="5" s="1"/>
  <c r="J9" i="5" s="1"/>
  <c r="J10" i="5" s="1"/>
  <c r="J11" i="5" s="1"/>
  <c r="J12" i="5" s="1"/>
  <c r="J13" i="5" s="1"/>
  <c r="J14" i="5" s="1"/>
  <c r="J15" i="5" s="1"/>
  <c r="J16" i="5" s="1"/>
  <c r="J17" i="5" s="1"/>
  <c r="J18" i="5" s="1"/>
  <c r="J19" i="5" s="1"/>
  <c r="J20" i="5" s="1"/>
  <c r="J21" i="5" s="1"/>
  <c r="J22" i="5" s="1"/>
  <c r="J23" i="5" s="1"/>
  <c r="J24" i="5" s="1"/>
  <c r="J25" i="5" s="1"/>
  <c r="J26" i="5" s="1"/>
  <c r="J27" i="5" s="1"/>
  <c r="J28" i="5" s="1"/>
  <c r="J29" i="5" s="1"/>
  <c r="J30" i="5" s="1"/>
  <c r="J31" i="5" s="1"/>
  <c r="J32" i="5" s="1"/>
  <c r="J33" i="5" s="1"/>
  <c r="J34" i="5" s="1"/>
  <c r="J35" i="5" s="1"/>
  <c r="J36" i="5" s="1"/>
  <c r="J37" i="5" s="1"/>
  <c r="J38" i="5" s="1"/>
  <c r="J39" i="5" s="1"/>
  <c r="J40" i="5" s="1"/>
  <c r="J41" i="5" s="1"/>
  <c r="J42" i="5" s="1"/>
  <c r="J43" i="5" s="1"/>
  <c r="J44" i="5" s="1"/>
  <c r="J45" i="5" s="1"/>
  <c r="J46" i="5" s="1"/>
  <c r="J47" i="5" s="1"/>
  <c r="J48" i="5" s="1"/>
  <c r="J49" i="5" s="1"/>
  <c r="J50" i="5" s="1"/>
  <c r="J51" i="5" s="1"/>
  <c r="J52" i="5" s="1"/>
  <c r="J53" i="5" s="1"/>
  <c r="J54" i="5" s="1"/>
  <c r="J55" i="5" s="1"/>
  <c r="J56" i="5" s="1"/>
  <c r="J57" i="5" s="1"/>
  <c r="J58" i="5" s="1"/>
  <c r="J59" i="5" s="1"/>
  <c r="J60" i="5" s="1"/>
  <c r="J61" i="5" s="1"/>
  <c r="J62" i="5" s="1"/>
  <c r="J63" i="5" s="1"/>
  <c r="J64" i="5" s="1"/>
  <c r="J65" i="5" s="1"/>
  <c r="J66" i="5" s="1"/>
  <c r="J67" i="5" s="1"/>
  <c r="J68" i="5" s="1"/>
  <c r="J69" i="5" s="1"/>
  <c r="J70" i="5" s="1"/>
  <c r="J71" i="5" s="1"/>
  <c r="J72" i="5" s="1"/>
  <c r="J73" i="5" s="1"/>
  <c r="J74" i="5" s="1"/>
  <c r="J75" i="5" s="1"/>
  <c r="J76" i="5" s="1"/>
  <c r="J77" i="5" s="1"/>
  <c r="J78" i="5" s="1"/>
  <c r="J79" i="5" s="1"/>
  <c r="J80" i="5" s="1"/>
  <c r="J81" i="5" s="1"/>
  <c r="J82" i="5" s="1"/>
  <c r="J83" i="5" s="1"/>
  <c r="J84" i="5" s="1"/>
  <c r="J85" i="5" s="1"/>
  <c r="J86" i="5" s="1"/>
  <c r="J87" i="5" s="1"/>
  <c r="J88" i="5" s="1"/>
  <c r="J89" i="5" s="1"/>
  <c r="J90" i="5" s="1"/>
  <c r="J91" i="5" s="1"/>
  <c r="J92" i="5" s="1"/>
  <c r="J93" i="5" s="1"/>
  <c r="J94" i="5" s="1"/>
  <c r="J95" i="5" s="1"/>
  <c r="J96" i="5" s="1"/>
  <c r="J97" i="5" s="1"/>
  <c r="J98" i="5" s="1"/>
  <c r="J99" i="5" s="1"/>
  <c r="J100" i="5" s="1"/>
  <c r="J101" i="5" s="1"/>
  <c r="J102" i="5" s="1"/>
  <c r="J103" i="5" s="1"/>
  <c r="J104" i="5" s="1"/>
  <c r="J105" i="5" s="1"/>
  <c r="J106" i="5" s="1"/>
  <c r="J107" i="5" s="1"/>
  <c r="J108" i="5" s="1"/>
  <c r="J109" i="5" s="1"/>
  <c r="J110" i="5" s="1"/>
  <c r="J111" i="5" s="1"/>
  <c r="J112" i="5" s="1"/>
  <c r="J113" i="5" s="1"/>
  <c r="J114" i="5" s="1"/>
  <c r="J115" i="5" s="1"/>
  <c r="J116" i="5" s="1"/>
  <c r="J117" i="5" s="1"/>
  <c r="J118" i="5" s="1"/>
  <c r="J119" i="5" s="1"/>
  <c r="J120" i="5" s="1"/>
  <c r="J121" i="5" s="1"/>
  <c r="J122" i="5" s="1"/>
  <c r="J123" i="5" s="1"/>
  <c r="J124" i="5" s="1"/>
  <c r="J125" i="5" s="1"/>
  <c r="J126" i="5" s="1"/>
  <c r="J127" i="5" s="1"/>
  <c r="J128" i="5" s="1"/>
  <c r="J129" i="5" s="1"/>
  <c r="J130" i="5" s="1"/>
  <c r="J131" i="5" s="1"/>
  <c r="J132" i="5" s="1"/>
  <c r="J133" i="5" s="1"/>
  <c r="J134" i="5" s="1"/>
  <c r="J135" i="5" s="1"/>
  <c r="J136" i="5" s="1"/>
  <c r="J137" i="5" s="1"/>
  <c r="J138" i="5" s="1"/>
  <c r="J139" i="5" s="1"/>
  <c r="J140" i="5" s="1"/>
  <c r="J141" i="5" s="1"/>
  <c r="J142" i="5" s="1"/>
  <c r="J143" i="5" s="1"/>
  <c r="J144" i="5" s="1"/>
  <c r="J145" i="5" s="1"/>
  <c r="J146" i="5" s="1"/>
  <c r="J147" i="5" s="1"/>
  <c r="J148" i="5" s="1"/>
  <c r="J149" i="5" s="1"/>
  <c r="J150" i="5" s="1"/>
  <c r="J151" i="5" s="1"/>
  <c r="J152" i="5" s="1"/>
  <c r="J153" i="5" s="1"/>
  <c r="J154" i="5" s="1"/>
  <c r="J155" i="5" s="1"/>
  <c r="J156" i="5" s="1"/>
  <c r="J157" i="5" s="1"/>
  <c r="J158" i="5" s="1"/>
  <c r="J159" i="5" s="1"/>
  <c r="J160" i="5" s="1"/>
  <c r="J161" i="5" s="1"/>
  <c r="J162" i="5" s="1"/>
  <c r="J163" i="5" s="1"/>
  <c r="J164" i="5" s="1"/>
  <c r="J165" i="5" s="1"/>
  <c r="J166" i="5" s="1"/>
  <c r="J167" i="5" s="1"/>
  <c r="J168" i="5" s="1"/>
  <c r="J169" i="5" s="1"/>
  <c r="J170" i="5" s="1"/>
  <c r="J171" i="5" s="1"/>
  <c r="J172" i="5" s="1"/>
  <c r="J173" i="5" s="1"/>
  <c r="J174" i="5" s="1"/>
  <c r="J175" i="5" s="1"/>
  <c r="J176" i="5" s="1"/>
  <c r="J177" i="5" s="1"/>
  <c r="J178" i="5" s="1"/>
  <c r="J179" i="5" s="1"/>
  <c r="J180" i="5" s="1"/>
  <c r="J181" i="5" s="1"/>
  <c r="J182" i="5" s="1"/>
  <c r="J183" i="5" s="1"/>
  <c r="J184" i="5" s="1"/>
  <c r="J185" i="5" s="1"/>
  <c r="J186" i="5" s="1"/>
  <c r="J187" i="5" s="1"/>
  <c r="J188" i="5" s="1"/>
  <c r="J189" i="5" s="1"/>
  <c r="J190" i="5" s="1"/>
  <c r="J191" i="5" s="1"/>
  <c r="J192" i="5" s="1"/>
  <c r="J193" i="5" s="1"/>
  <c r="J194" i="5" s="1"/>
  <c r="J195" i="5" s="1"/>
  <c r="J196" i="5" s="1"/>
  <c r="J197" i="5" s="1"/>
  <c r="J198" i="5" s="1"/>
  <c r="J199" i="5" s="1"/>
  <c r="J200" i="5" s="1"/>
  <c r="J201" i="5" s="1"/>
  <c r="J202" i="5" s="1"/>
  <c r="J203" i="5" s="1"/>
  <c r="J204" i="5" s="1"/>
  <c r="J205" i="5" s="1"/>
  <c r="J206" i="5" s="1"/>
  <c r="J207" i="5" s="1"/>
  <c r="J208" i="5" s="1"/>
  <c r="J209" i="5" s="1"/>
  <c r="J210" i="5" s="1"/>
  <c r="J211" i="5" s="1"/>
  <c r="J212" i="5" s="1"/>
  <c r="J213" i="5" s="1"/>
  <c r="J214" i="5" s="1"/>
  <c r="J215" i="5" s="1"/>
  <c r="J216" i="5" s="1"/>
  <c r="J217" i="5" s="1"/>
  <c r="J218" i="5" s="1"/>
  <c r="J219" i="5" s="1"/>
  <c r="J220" i="5" s="1"/>
  <c r="J221" i="5" s="1"/>
  <c r="J222" i="5" s="1"/>
  <c r="J223" i="5" s="1"/>
  <c r="J224" i="5" s="1"/>
  <c r="J225" i="5" s="1"/>
  <c r="J226" i="5" s="1"/>
  <c r="J227" i="5" s="1"/>
  <c r="J228" i="5" s="1"/>
  <c r="J229" i="5" s="1"/>
  <c r="J230" i="5" s="1"/>
  <c r="J231" i="5" s="1"/>
  <c r="J232" i="5" s="1"/>
  <c r="J233" i="5" s="1"/>
  <c r="J234" i="5" s="1"/>
  <c r="J235" i="5" s="1"/>
  <c r="J236" i="5" s="1"/>
  <c r="J237" i="5" s="1"/>
  <c r="J238" i="5" s="1"/>
  <c r="J239" i="5" s="1"/>
  <c r="J240" i="5" s="1"/>
  <c r="J241" i="5" s="1"/>
  <c r="J242" i="5" s="1"/>
  <c r="J243" i="5" s="1"/>
  <c r="J244" i="5" s="1"/>
  <c r="J245" i="5" s="1"/>
  <c r="J246" i="5" s="1"/>
  <c r="J247" i="5" s="1"/>
  <c r="J248" i="5" s="1"/>
  <c r="J249" i="5" s="1"/>
  <c r="J250" i="5" s="1"/>
  <c r="J251" i="5" s="1"/>
  <c r="J252" i="5" s="1"/>
  <c r="J253" i="5" s="1"/>
  <c r="J254" i="5" s="1"/>
  <c r="J255" i="5" s="1"/>
  <c r="J256" i="5" s="1"/>
  <c r="J257" i="5" s="1"/>
  <c r="J258" i="5" s="1"/>
  <c r="J259" i="5" s="1"/>
  <c r="J260" i="5" s="1"/>
  <c r="J261" i="5" s="1"/>
  <c r="J262" i="5" s="1"/>
  <c r="J263" i="5" s="1"/>
  <c r="J264" i="5" s="1"/>
  <c r="J265" i="5" s="1"/>
  <c r="J266" i="5" s="1"/>
  <c r="J267" i="5" s="1"/>
  <c r="J268" i="5" s="1"/>
  <c r="J269" i="5" s="1"/>
  <c r="J270" i="5" s="1"/>
  <c r="J271" i="5" s="1"/>
  <c r="J272" i="5" s="1"/>
  <c r="J273" i="5" s="1"/>
  <c r="J274" i="5" s="1"/>
  <c r="J275" i="5" s="1"/>
  <c r="J276" i="5" s="1"/>
  <c r="J277" i="5" s="1"/>
  <c r="J278" i="5" s="1"/>
  <c r="J279" i="5" s="1"/>
  <c r="J280" i="5" s="1"/>
  <c r="J281" i="5" s="1"/>
  <c r="J282" i="5" s="1"/>
  <c r="J283" i="5" s="1"/>
  <c r="J284" i="5" s="1"/>
  <c r="J285" i="5" s="1"/>
  <c r="J286" i="5" s="1"/>
  <c r="J287" i="5" s="1"/>
  <c r="J288" i="5" s="1"/>
  <c r="J289" i="5" s="1"/>
  <c r="J290" i="5" s="1"/>
  <c r="J291" i="5" s="1"/>
  <c r="J292" i="5" s="1"/>
  <c r="J293" i="5" s="1"/>
  <c r="J294" i="5" s="1"/>
  <c r="J295" i="5" s="1"/>
  <c r="J296" i="5" s="1"/>
  <c r="J297" i="5" s="1"/>
  <c r="J298" i="5" s="1"/>
  <c r="J299" i="5" s="1"/>
  <c r="J300" i="5" s="1"/>
  <c r="J301" i="5" s="1"/>
  <c r="J302" i="5" s="1"/>
  <c r="J303" i="5" s="1"/>
  <c r="J304" i="5" s="1"/>
  <c r="J305" i="5" s="1"/>
  <c r="J306" i="5" s="1"/>
  <c r="J307" i="5" s="1"/>
  <c r="J308" i="5" s="1"/>
  <c r="J309" i="5" s="1"/>
  <c r="J310" i="5" s="1"/>
  <c r="J311" i="5" s="1"/>
  <c r="J312" i="5" s="1"/>
  <c r="J313" i="5" s="1"/>
  <c r="J314" i="5" s="1"/>
  <c r="J315" i="5" s="1"/>
  <c r="J316" i="5" s="1"/>
  <c r="J317" i="5" s="1"/>
  <c r="J318" i="5" s="1"/>
  <c r="J319" i="5" s="1"/>
  <c r="J320" i="5" s="1"/>
  <c r="J321" i="5" s="1"/>
  <c r="J322" i="5" s="1"/>
  <c r="J323" i="5" s="1"/>
  <c r="J324" i="5" s="1"/>
  <c r="J325" i="5" s="1"/>
  <c r="J326" i="5" s="1"/>
  <c r="J327" i="5" s="1"/>
  <c r="J328" i="5" s="1"/>
  <c r="J329" i="5" s="1"/>
  <c r="J330" i="5" s="1"/>
  <c r="J331" i="5" s="1"/>
  <c r="J332" i="5" s="1"/>
  <c r="J333" i="5" s="1"/>
  <c r="J334" i="5" s="1"/>
  <c r="J335" i="5" s="1"/>
  <c r="J336" i="5" s="1"/>
  <c r="J337" i="5" s="1"/>
  <c r="J338" i="5" s="1"/>
  <c r="J339" i="5" s="1"/>
  <c r="J340" i="5" s="1"/>
  <c r="J341" i="5" s="1"/>
  <c r="J342" i="5" s="1"/>
  <c r="J343" i="5" s="1"/>
  <c r="J344" i="5" s="1"/>
  <c r="J345" i="5" s="1"/>
  <c r="J346" i="5" s="1"/>
  <c r="J347" i="5" s="1"/>
  <c r="J348" i="5" s="1"/>
  <c r="J349" i="5" s="1"/>
  <c r="J350" i="5" s="1"/>
  <c r="J351" i="5" s="1"/>
  <c r="J352" i="5" s="1"/>
  <c r="J353" i="5" s="1"/>
  <c r="J354" i="5" s="1"/>
  <c r="J355" i="5" s="1"/>
  <c r="J356" i="5" s="1"/>
  <c r="J357" i="5" s="1"/>
  <c r="J358" i="5" s="1"/>
  <c r="J359" i="5" s="1"/>
  <c r="J360" i="5" s="1"/>
  <c r="J361" i="5" s="1"/>
  <c r="J362" i="5" s="1"/>
  <c r="J363" i="5" s="1"/>
  <c r="J364" i="5" s="1"/>
  <c r="J365" i="5" s="1"/>
  <c r="J366" i="5" s="1"/>
  <c r="J367" i="5" s="1"/>
  <c r="J368" i="5" s="1"/>
  <c r="J369" i="5" s="1"/>
  <c r="J370" i="5" s="1"/>
  <c r="J371" i="5" s="1"/>
  <c r="J372" i="5" s="1"/>
  <c r="J373" i="5" s="1"/>
  <c r="J374" i="5" s="1"/>
  <c r="J375" i="5" s="1"/>
  <c r="J376" i="5" s="1"/>
  <c r="J377" i="5" s="1"/>
  <c r="J378" i="5" s="1"/>
  <c r="J379" i="5" s="1"/>
  <c r="J380" i="5" s="1"/>
  <c r="J381" i="5" s="1"/>
  <c r="J382" i="5" s="1"/>
  <c r="J383" i="5" s="1"/>
  <c r="J384" i="5" s="1"/>
  <c r="J385" i="5" s="1"/>
  <c r="J386" i="5" s="1"/>
  <c r="J387" i="5" s="1"/>
  <c r="J388" i="5" s="1"/>
  <c r="J389" i="5" s="1"/>
  <c r="J390" i="5" s="1"/>
  <c r="J391" i="5" s="1"/>
  <c r="J392" i="5" s="1"/>
  <c r="J393" i="5" s="1"/>
  <c r="J394" i="5" s="1"/>
  <c r="J395" i="5" s="1"/>
  <c r="J396" i="5" s="1"/>
  <c r="J397" i="5" s="1"/>
  <c r="J398" i="5" s="1"/>
  <c r="J399" i="5" s="1"/>
  <c r="J400" i="5" s="1"/>
  <c r="J401" i="5" s="1"/>
  <c r="J402" i="5" s="1"/>
  <c r="J403" i="5" s="1"/>
  <c r="J404" i="5" s="1"/>
  <c r="J405" i="5" s="1"/>
  <c r="J406" i="5" s="1"/>
  <c r="J407" i="5" s="1"/>
  <c r="J408" i="5" s="1"/>
  <c r="J409" i="5" s="1"/>
  <c r="J410" i="5" s="1"/>
  <c r="J411" i="5" s="1"/>
  <c r="J412" i="5" s="1"/>
  <c r="J413" i="5" s="1"/>
  <c r="J414" i="5" s="1"/>
  <c r="J415" i="5" s="1"/>
  <c r="J416" i="5" s="1"/>
  <c r="J417" i="5" s="1"/>
  <c r="J418" i="5" s="1"/>
  <c r="J419" i="5" s="1"/>
  <c r="J420" i="5" s="1"/>
  <c r="J421" i="5" s="1"/>
  <c r="J422" i="5" s="1"/>
  <c r="J423" i="5" s="1"/>
  <c r="J424" i="5" s="1"/>
  <c r="J425" i="5" s="1"/>
  <c r="J426" i="5" s="1"/>
  <c r="J427" i="5" s="1"/>
  <c r="J428" i="5" s="1"/>
  <c r="J429" i="5" s="1"/>
  <c r="J430" i="5" s="1"/>
  <c r="J431" i="5" s="1"/>
  <c r="J432" i="5" s="1"/>
  <c r="J433" i="5" s="1"/>
  <c r="J434" i="5" s="1"/>
  <c r="J435" i="5" s="1"/>
  <c r="J436" i="5" s="1"/>
  <c r="J437" i="5" s="1"/>
  <c r="J438" i="5" s="1"/>
  <c r="J439" i="5" s="1"/>
  <c r="J440" i="5" s="1"/>
  <c r="J441" i="5" s="1"/>
  <c r="J442" i="5" s="1"/>
  <c r="J443" i="5" s="1"/>
  <c r="J444" i="5" s="1"/>
  <c r="J445" i="5" s="1"/>
  <c r="J446" i="5" s="1"/>
  <c r="J447" i="5" s="1"/>
  <c r="J448" i="5" s="1"/>
  <c r="J449" i="5" s="1"/>
  <c r="J450" i="5" s="1"/>
  <c r="J451" i="5" s="1"/>
  <c r="J452" i="5" s="1"/>
  <c r="J453" i="5" s="1"/>
  <c r="J454" i="5" s="1"/>
  <c r="J455" i="5" s="1"/>
  <c r="J456" i="5" s="1"/>
  <c r="J457" i="5" s="1"/>
  <c r="J458" i="5" s="1"/>
  <c r="J459" i="5" s="1"/>
  <c r="J460" i="5" s="1"/>
  <c r="J461" i="5" s="1"/>
  <c r="J462" i="5" s="1"/>
  <c r="J463" i="5" s="1"/>
  <c r="J464" i="5" s="1"/>
  <c r="J465" i="5" s="1"/>
  <c r="J466" i="5" s="1"/>
  <c r="J467" i="5" s="1"/>
  <c r="J468" i="5" s="1"/>
  <c r="J469" i="5" s="1"/>
  <c r="J470" i="5" s="1"/>
  <c r="J471" i="5" s="1"/>
  <c r="J472" i="5" s="1"/>
  <c r="J473" i="5" s="1"/>
  <c r="J474" i="5" s="1"/>
  <c r="J475" i="5" s="1"/>
  <c r="J476" i="5" s="1"/>
  <c r="J477" i="5" s="1"/>
  <c r="J478" i="5" s="1"/>
  <c r="J479" i="5" s="1"/>
  <c r="J480" i="5" s="1"/>
  <c r="J481" i="5" s="1"/>
  <c r="J482" i="5" s="1"/>
  <c r="J483" i="5" s="1"/>
  <c r="J484" i="5" s="1"/>
  <c r="J485" i="5" s="1"/>
  <c r="J486" i="5" s="1"/>
  <c r="J487" i="5" s="1"/>
  <c r="J488" i="5" s="1"/>
  <c r="J489" i="5" s="1"/>
  <c r="J490" i="5" s="1"/>
  <c r="J491" i="5" s="1"/>
  <c r="J492" i="5" s="1"/>
  <c r="J493" i="5" s="1"/>
  <c r="J494" i="5" s="1"/>
  <c r="J495" i="5" s="1"/>
  <c r="J496" i="5" s="1"/>
  <c r="J497" i="5" s="1"/>
  <c r="J498" i="5" s="1"/>
  <c r="J499" i="5" s="1"/>
  <c r="J500" i="5" s="1"/>
  <c r="J501" i="5" s="1"/>
  <c r="J502" i="5" s="1"/>
  <c r="J503" i="5" s="1"/>
  <c r="J504" i="5" s="1"/>
  <c r="J505" i="5" s="1"/>
  <c r="J506" i="5" s="1"/>
  <c r="J507" i="5" s="1"/>
  <c r="J508" i="5" s="1"/>
  <c r="J509" i="5" s="1"/>
  <c r="J510" i="5" s="1"/>
  <c r="J511" i="5" s="1"/>
  <c r="J512" i="5" s="1"/>
  <c r="J513" i="5" s="1"/>
  <c r="J514" i="5" s="1"/>
  <c r="J515" i="5" s="1"/>
  <c r="J516" i="5" s="1"/>
  <c r="J517" i="5" s="1"/>
  <c r="J518" i="5" s="1"/>
  <c r="J519" i="5" s="1"/>
  <c r="J520" i="5" s="1"/>
  <c r="J521" i="5" s="1"/>
  <c r="J522" i="5" s="1"/>
  <c r="J523" i="5" s="1"/>
  <c r="J524" i="5" s="1"/>
  <c r="J525" i="5" s="1"/>
  <c r="J526" i="5" s="1"/>
  <c r="J527" i="5" s="1"/>
  <c r="J528" i="5" s="1"/>
  <c r="J529" i="5" s="1"/>
  <c r="J530" i="5" s="1"/>
  <c r="J531" i="5" s="1"/>
  <c r="J532" i="5" s="1"/>
  <c r="J533" i="5" s="1"/>
  <c r="J534" i="5" s="1"/>
  <c r="J535" i="5" s="1"/>
  <c r="J536" i="5" s="1"/>
  <c r="J537" i="5" s="1"/>
  <c r="J538" i="5" s="1"/>
  <c r="J539" i="5" s="1"/>
  <c r="J540" i="5" s="1"/>
  <c r="J541" i="5" s="1"/>
  <c r="J542" i="5" s="1"/>
  <c r="J543" i="5" s="1"/>
  <c r="J544" i="5" s="1"/>
  <c r="J545" i="5" s="1"/>
  <c r="J546" i="5" s="1"/>
  <c r="J547" i="5" s="1"/>
  <c r="J548" i="5" s="1"/>
  <c r="J549" i="5" s="1"/>
  <c r="J550" i="5" s="1"/>
  <c r="J551" i="5" s="1"/>
  <c r="J552" i="5" s="1"/>
  <c r="J553" i="5" s="1"/>
  <c r="J554" i="5" s="1"/>
  <c r="J555" i="5" s="1"/>
  <c r="J556" i="5" s="1"/>
  <c r="J557" i="5" s="1"/>
  <c r="J558" i="5" s="1"/>
  <c r="J559" i="5" s="1"/>
  <c r="J560" i="5" s="1"/>
  <c r="J561" i="5" s="1"/>
  <c r="J562" i="5" s="1"/>
  <c r="J563" i="5" s="1"/>
  <c r="J564" i="5" s="1"/>
  <c r="J565" i="5" s="1"/>
  <c r="J566" i="5" s="1"/>
  <c r="J567" i="5" s="1"/>
  <c r="J568" i="5" s="1"/>
  <c r="J569" i="5" s="1"/>
  <c r="J570" i="5" s="1"/>
  <c r="J571" i="5" s="1"/>
  <c r="J572" i="5" s="1"/>
  <c r="J573" i="5" s="1"/>
  <c r="J574" i="5" s="1"/>
  <c r="J575" i="5" s="1"/>
  <c r="J576" i="5" s="1"/>
  <c r="J577" i="5" s="1"/>
  <c r="J578" i="5" s="1"/>
  <c r="J579" i="5" s="1"/>
  <c r="J580" i="5" s="1"/>
  <c r="J581" i="5" s="1"/>
  <c r="J582" i="5" s="1"/>
  <c r="J583" i="5" s="1"/>
  <c r="J584" i="5" s="1"/>
  <c r="J585" i="5" s="1"/>
  <c r="J586" i="5" s="1"/>
  <c r="J587" i="5" s="1"/>
  <c r="J588" i="5" s="1"/>
  <c r="J589" i="5" s="1"/>
  <c r="J590" i="5" s="1"/>
  <c r="J591" i="5" s="1"/>
  <c r="J592" i="5" s="1"/>
  <c r="J593" i="5" s="1"/>
  <c r="J594" i="5" s="1"/>
  <c r="J595" i="5" s="1"/>
  <c r="J596" i="5" s="1"/>
  <c r="J597" i="5" s="1"/>
  <c r="J598" i="5" s="1"/>
  <c r="J599" i="5" s="1"/>
  <c r="J600" i="5" s="1"/>
  <c r="J601" i="5" s="1"/>
  <c r="J602" i="5" s="1"/>
  <c r="J603" i="5" s="1"/>
  <c r="J604" i="5" s="1"/>
  <c r="J605" i="5" s="1"/>
  <c r="J606" i="5" s="1"/>
  <c r="J607" i="5" s="1"/>
  <c r="J608" i="5" s="1"/>
  <c r="J609" i="5" s="1"/>
  <c r="J610" i="5" s="1"/>
  <c r="J611" i="5" s="1"/>
  <c r="J612" i="5" s="1"/>
  <c r="J613" i="5" s="1"/>
  <c r="J614" i="5" s="1"/>
  <c r="J615" i="5" s="1"/>
  <c r="J616" i="5" s="1"/>
  <c r="J617" i="5" s="1"/>
  <c r="J618" i="5" s="1"/>
  <c r="J619" i="5" s="1"/>
  <c r="J620" i="5" s="1"/>
  <c r="J621" i="5" s="1"/>
  <c r="J622" i="5" s="1"/>
  <c r="J623" i="5" s="1"/>
  <c r="J624" i="5" s="1"/>
  <c r="J625" i="5" s="1"/>
  <c r="J626" i="5" s="1"/>
  <c r="J627" i="5" s="1"/>
  <c r="J628" i="5" s="1"/>
  <c r="J629" i="5" s="1"/>
  <c r="J630" i="5" s="1"/>
  <c r="J631" i="5" s="1"/>
  <c r="J632" i="5" s="1"/>
  <c r="J633" i="5" s="1"/>
  <c r="J634" i="5" s="1"/>
  <c r="J635" i="5" s="1"/>
  <c r="J636" i="5" s="1"/>
  <c r="J637" i="5" s="1"/>
  <c r="J638" i="5" s="1"/>
  <c r="J639" i="5" s="1"/>
  <c r="J640" i="5" s="1"/>
  <c r="J641" i="5" s="1"/>
  <c r="J642" i="5" s="1"/>
  <c r="J643" i="5" s="1"/>
  <c r="J644" i="5" s="1"/>
  <c r="J645" i="5" s="1"/>
  <c r="J646" i="5" s="1"/>
  <c r="J647" i="5" s="1"/>
  <c r="J648" i="5" s="1"/>
  <c r="J649" i="5" s="1"/>
  <c r="J650" i="5" s="1"/>
  <c r="J651" i="5" s="1"/>
  <c r="J652" i="5" s="1"/>
  <c r="J653" i="5" s="1"/>
  <c r="J654" i="5" s="1"/>
  <c r="J655" i="5" s="1"/>
  <c r="J656" i="5" s="1"/>
  <c r="J657" i="5" s="1"/>
  <c r="J658" i="5" s="1"/>
  <c r="J659" i="5" s="1"/>
  <c r="J660" i="5" s="1"/>
  <c r="J661" i="5" s="1"/>
  <c r="J662" i="5" s="1"/>
  <c r="J663" i="5" s="1"/>
  <c r="J664" i="5" s="1"/>
  <c r="J665" i="5" s="1"/>
  <c r="J666" i="5" s="1"/>
  <c r="J667" i="5" s="1"/>
  <c r="J668" i="5" s="1"/>
  <c r="J669" i="5" s="1"/>
  <c r="J670" i="5" s="1"/>
  <c r="J671" i="5" s="1"/>
  <c r="J672" i="5" s="1"/>
  <c r="J673" i="5" s="1"/>
  <c r="J674" i="5" s="1"/>
  <c r="J675" i="5" s="1"/>
  <c r="J676" i="5" s="1"/>
  <c r="J677" i="5" s="1"/>
  <c r="J678" i="5" s="1"/>
  <c r="J679" i="5" s="1"/>
  <c r="J680" i="5" s="1"/>
  <c r="J681" i="5" s="1"/>
  <c r="J682" i="5" s="1"/>
  <c r="J683" i="5" s="1"/>
  <c r="J684" i="5" s="1"/>
  <c r="J685" i="5" s="1"/>
  <c r="J686" i="5" s="1"/>
  <c r="J687" i="5" s="1"/>
  <c r="J688" i="5" s="1"/>
  <c r="J689" i="5" s="1"/>
  <c r="J690" i="5" s="1"/>
  <c r="J691" i="5" s="1"/>
  <c r="J692" i="5" s="1"/>
  <c r="J693" i="5" s="1"/>
  <c r="J694" i="5" s="1"/>
  <c r="J695" i="5" s="1"/>
  <c r="J696" i="5" s="1"/>
  <c r="J697" i="5" s="1"/>
  <c r="J698" i="5" s="1"/>
  <c r="J699" i="5" s="1"/>
  <c r="J700" i="5" s="1"/>
  <c r="J701" i="5" s="1"/>
  <c r="J702" i="5" s="1"/>
  <c r="J703" i="5" s="1"/>
  <c r="J704" i="5" s="1"/>
  <c r="J705" i="5" s="1"/>
  <c r="J706" i="5" s="1"/>
  <c r="J707" i="5" s="1"/>
  <c r="J708" i="5" s="1"/>
  <c r="J709" i="5" s="1"/>
  <c r="J710" i="5" s="1"/>
  <c r="J711" i="5" s="1"/>
  <c r="J712" i="5" s="1"/>
  <c r="J713" i="5" s="1"/>
  <c r="J714" i="5" s="1"/>
  <c r="J715" i="5" s="1"/>
  <c r="J716" i="5" s="1"/>
  <c r="J717" i="5" s="1"/>
  <c r="J718" i="5" s="1"/>
  <c r="J719" i="5" s="1"/>
  <c r="J720" i="5" s="1"/>
  <c r="J721" i="5" s="1"/>
  <c r="J722" i="5" s="1"/>
  <c r="J723" i="5" s="1"/>
  <c r="J724" i="5" s="1"/>
  <c r="J725" i="5" s="1"/>
  <c r="J726" i="5" s="1"/>
  <c r="J727" i="5" s="1"/>
  <c r="J728" i="5" s="1"/>
  <c r="J729" i="5" s="1"/>
  <c r="J730" i="5" s="1"/>
  <c r="J731" i="5" s="1"/>
  <c r="J732" i="5" s="1"/>
  <c r="J733" i="5" s="1"/>
  <c r="J734" i="5" s="1"/>
  <c r="J735" i="5" s="1"/>
  <c r="J736" i="5" s="1"/>
  <c r="J737" i="5" s="1"/>
  <c r="J738" i="5" s="1"/>
  <c r="J739" i="5" s="1"/>
  <c r="J740" i="5" s="1"/>
  <c r="J741" i="5" s="1"/>
  <c r="J742" i="5" s="1"/>
  <c r="J743" i="5" s="1"/>
  <c r="J744" i="5" s="1"/>
  <c r="J745" i="5" s="1"/>
  <c r="J746" i="5" s="1"/>
  <c r="J747" i="5" s="1"/>
  <c r="J748" i="5" s="1"/>
  <c r="J749" i="5" s="1"/>
  <c r="J750" i="5" s="1"/>
  <c r="J751" i="5" s="1"/>
  <c r="J752" i="5" s="1"/>
  <c r="J753" i="5" s="1"/>
  <c r="J754" i="5" s="1"/>
  <c r="J755" i="5" s="1"/>
  <c r="J756" i="5" s="1"/>
  <c r="J757" i="5" s="1"/>
  <c r="J758" i="5" s="1"/>
  <c r="J759" i="5" s="1"/>
  <c r="J760" i="5" s="1"/>
  <c r="J761" i="5" s="1"/>
  <c r="J762" i="5" s="1"/>
  <c r="J763" i="5" s="1"/>
  <c r="J764" i="5" s="1"/>
  <c r="J765" i="5" s="1"/>
  <c r="J766" i="5" s="1"/>
  <c r="J767" i="5" s="1"/>
  <c r="J768" i="5" s="1"/>
  <c r="J769" i="5" s="1"/>
  <c r="J770" i="5" s="1"/>
  <c r="J771" i="5" s="1"/>
  <c r="J772" i="5" s="1"/>
  <c r="J773" i="5" s="1"/>
  <c r="J774" i="5" s="1"/>
  <c r="J775" i="5" s="1"/>
  <c r="J776" i="5" s="1"/>
  <c r="J777" i="5" s="1"/>
  <c r="J778" i="5" s="1"/>
  <c r="J779" i="5" s="1"/>
  <c r="J780" i="5" s="1"/>
  <c r="J781" i="5" s="1"/>
  <c r="J782" i="5" s="1"/>
  <c r="J783" i="5" s="1"/>
  <c r="J784" i="5" s="1"/>
  <c r="J785" i="5" s="1"/>
  <c r="J786" i="5" s="1"/>
  <c r="J787" i="5" s="1"/>
  <c r="J788" i="5" s="1"/>
  <c r="J789" i="5" s="1"/>
  <c r="J790" i="5" s="1"/>
  <c r="J791" i="5" s="1"/>
  <c r="J792" i="5" s="1"/>
  <c r="J793" i="5" s="1"/>
  <c r="J794" i="5" s="1"/>
  <c r="J795" i="5" s="1"/>
  <c r="J796" i="5" s="1"/>
  <c r="J797" i="5" s="1"/>
  <c r="J798" i="5" s="1"/>
  <c r="J799" i="5" s="1"/>
  <c r="J800" i="5" s="1"/>
  <c r="J801" i="5" s="1"/>
  <c r="J802" i="5" s="1"/>
  <c r="J803" i="5" s="1"/>
  <c r="J804" i="5" s="1"/>
  <c r="J805" i="5" s="1"/>
  <c r="J806" i="5" s="1"/>
  <c r="J807" i="5" s="1"/>
  <c r="J808" i="5" s="1"/>
  <c r="J809" i="5" s="1"/>
  <c r="J810" i="5" s="1"/>
  <c r="J811" i="5" s="1"/>
  <c r="J812" i="5" s="1"/>
  <c r="J813" i="5" s="1"/>
  <c r="J814" i="5" s="1"/>
  <c r="J815" i="5" s="1"/>
  <c r="J816" i="5" s="1"/>
  <c r="J817" i="5" s="1"/>
  <c r="J818" i="5" s="1"/>
  <c r="J819" i="5" s="1"/>
  <c r="J820" i="5" s="1"/>
  <c r="J821" i="5" s="1"/>
  <c r="J822" i="5" s="1"/>
  <c r="J823" i="5" s="1"/>
  <c r="J824" i="5" s="1"/>
  <c r="J825" i="5" s="1"/>
  <c r="J826" i="5" s="1"/>
  <c r="J827" i="5" s="1"/>
  <c r="J828" i="5" s="1"/>
  <c r="J829" i="5" s="1"/>
  <c r="J830" i="5" s="1"/>
  <c r="J831" i="5" s="1"/>
  <c r="J832" i="5" s="1"/>
  <c r="J833" i="5" s="1"/>
  <c r="J834" i="5" s="1"/>
  <c r="J835" i="5" s="1"/>
  <c r="J836" i="5" s="1"/>
  <c r="J837" i="5" s="1"/>
  <c r="J838" i="5" s="1"/>
  <c r="J839" i="5" s="1"/>
  <c r="J840" i="5" s="1"/>
  <c r="J841" i="5" s="1"/>
  <c r="J842" i="5" s="1"/>
  <c r="J843" i="5" s="1"/>
  <c r="J844" i="5" s="1"/>
  <c r="J845" i="5" s="1"/>
  <c r="J846" i="5" s="1"/>
  <c r="J847" i="5" s="1"/>
  <c r="J848" i="5" s="1"/>
  <c r="J849" i="5" s="1"/>
  <c r="J850" i="5" s="1"/>
  <c r="J851" i="5" s="1"/>
  <c r="J852" i="5" s="1"/>
  <c r="J853" i="5" s="1"/>
  <c r="J854" i="5" s="1"/>
  <c r="J855" i="5" s="1"/>
  <c r="J856" i="5" s="1"/>
  <c r="J857" i="5" s="1"/>
  <c r="J858" i="5" s="1"/>
  <c r="J859" i="5" s="1"/>
  <c r="J860" i="5" s="1"/>
  <c r="J861" i="5" s="1"/>
  <c r="J862" i="5" s="1"/>
  <c r="J863" i="5" s="1"/>
  <c r="J864" i="5" s="1"/>
  <c r="J865" i="5" s="1"/>
  <c r="J866" i="5" s="1"/>
  <c r="J867" i="5" s="1"/>
  <c r="J868" i="5" s="1"/>
  <c r="J869" i="5" s="1"/>
  <c r="J870" i="5" s="1"/>
  <c r="J871" i="5" s="1"/>
  <c r="J872" i="5" s="1"/>
  <c r="J873" i="5" s="1"/>
  <c r="J874" i="5" s="1"/>
  <c r="J875" i="5" s="1"/>
  <c r="J876" i="5" s="1"/>
  <c r="J877" i="5" s="1"/>
  <c r="J878" i="5" s="1"/>
  <c r="J879" i="5" s="1"/>
  <c r="J880" i="5" s="1"/>
  <c r="J881" i="5" s="1"/>
  <c r="J882" i="5" s="1"/>
  <c r="J883" i="5" s="1"/>
  <c r="J884" i="5" s="1"/>
  <c r="J885" i="5" s="1"/>
  <c r="J886" i="5" s="1"/>
  <c r="J887" i="5" s="1"/>
  <c r="J888" i="5" s="1"/>
  <c r="J889" i="5" s="1"/>
  <c r="J890" i="5" s="1"/>
  <c r="J891" i="5" s="1"/>
  <c r="J892" i="5" s="1"/>
  <c r="J893" i="5" s="1"/>
  <c r="J894" i="5" s="1"/>
  <c r="J895" i="5" s="1"/>
  <c r="J896" i="5" s="1"/>
  <c r="J897" i="5" s="1"/>
  <c r="J898" i="5" s="1"/>
  <c r="J899" i="5" s="1"/>
  <c r="J900" i="5" s="1"/>
  <c r="J901" i="5" s="1"/>
  <c r="J902" i="5" s="1"/>
  <c r="J903" i="5" s="1"/>
  <c r="J904" i="5" s="1"/>
  <c r="J905" i="5" s="1"/>
  <c r="J906" i="5" s="1"/>
  <c r="J907" i="5" s="1"/>
  <c r="J908" i="5" s="1"/>
  <c r="J909" i="5" s="1"/>
  <c r="J910" i="5" s="1"/>
  <c r="J911" i="5" s="1"/>
  <c r="J912" i="5" s="1"/>
  <c r="J913" i="5" s="1"/>
  <c r="J914" i="5" s="1"/>
  <c r="J915" i="5" s="1"/>
  <c r="J916" i="5" s="1"/>
  <c r="J917" i="5" s="1"/>
  <c r="J918" i="5" s="1"/>
  <c r="J919" i="5" s="1"/>
  <c r="J920" i="5" s="1"/>
  <c r="J921" i="5" s="1"/>
  <c r="J922" i="5" s="1"/>
  <c r="J923" i="5" s="1"/>
  <c r="J924" i="5" s="1"/>
  <c r="J925" i="5" s="1"/>
  <c r="J926" i="5" s="1"/>
  <c r="J927" i="5" s="1"/>
  <c r="J928" i="5" s="1"/>
  <c r="J929" i="5" s="1"/>
  <c r="J930" i="5" s="1"/>
  <c r="J931" i="5" s="1"/>
  <c r="J932" i="5" s="1"/>
  <c r="J933" i="5" s="1"/>
  <c r="J934" i="5" s="1"/>
  <c r="J935" i="5" s="1"/>
  <c r="J936" i="5" s="1"/>
  <c r="J937" i="5" s="1"/>
  <c r="J938" i="5" s="1"/>
  <c r="J939" i="5" s="1"/>
  <c r="J940" i="5" s="1"/>
  <c r="J941" i="5" s="1"/>
  <c r="J942" i="5" s="1"/>
  <c r="J943" i="5" s="1"/>
  <c r="J944" i="5" s="1"/>
  <c r="J945" i="5" s="1"/>
  <c r="J946" i="5" s="1"/>
  <c r="J947" i="5" s="1"/>
  <c r="J948" i="5" s="1"/>
  <c r="J949" i="5" s="1"/>
  <c r="J950" i="5" s="1"/>
  <c r="J951" i="5" s="1"/>
  <c r="J952" i="5" s="1"/>
  <c r="J953" i="5" s="1"/>
  <c r="J954" i="5" s="1"/>
  <c r="J955" i="5" s="1"/>
  <c r="J956" i="5" s="1"/>
  <c r="J957" i="5" s="1"/>
  <c r="J958" i="5" s="1"/>
  <c r="J959" i="5" s="1"/>
  <c r="J960" i="5" s="1"/>
  <c r="J961" i="5" s="1"/>
  <c r="J962" i="5" s="1"/>
  <c r="J963" i="5" s="1"/>
  <c r="J964" i="5" s="1"/>
  <c r="J965" i="5" s="1"/>
  <c r="J966" i="5" s="1"/>
  <c r="J967" i="5" s="1"/>
  <c r="J968" i="5" s="1"/>
  <c r="J969" i="5" s="1"/>
  <c r="J970" i="5" s="1"/>
  <c r="J971" i="5" s="1"/>
  <c r="J972" i="5" s="1"/>
  <c r="J973" i="5" s="1"/>
  <c r="J974" i="5" s="1"/>
  <c r="J975" i="5" s="1"/>
  <c r="J976" i="5" s="1"/>
  <c r="J977" i="5" s="1"/>
  <c r="J978" i="5" s="1"/>
  <c r="J979" i="5" s="1"/>
  <c r="J980" i="5" s="1"/>
  <c r="J981" i="5" s="1"/>
  <c r="J982" i="5" s="1"/>
  <c r="J983" i="5" s="1"/>
  <c r="J984" i="5" s="1"/>
  <c r="J985" i="5" s="1"/>
  <c r="J986" i="5" s="1"/>
  <c r="J987" i="5" s="1"/>
  <c r="J988" i="5" s="1"/>
  <c r="J989" i="5" s="1"/>
  <c r="J990" i="5" s="1"/>
  <c r="J991" i="5" s="1"/>
  <c r="J992" i="5" s="1"/>
  <c r="J993" i="5" s="1"/>
  <c r="J994" i="5" s="1"/>
  <c r="J995" i="5" s="1"/>
  <c r="J996" i="5" s="1"/>
  <c r="J997" i="5" s="1"/>
  <c r="J998" i="5" s="1"/>
  <c r="J999" i="5" s="1"/>
  <c r="J1000" i="5" s="1"/>
  <c r="J1001" i="5" s="1"/>
  <c r="K3" i="5"/>
  <c r="M3" i="5"/>
  <c r="M4" i="5" s="1"/>
  <c r="M5" i="5" s="1"/>
  <c r="M6" i="5" s="1"/>
  <c r="M7" i="5" s="1"/>
  <c r="M8" i="5" s="1"/>
  <c r="M9" i="5" s="1"/>
  <c r="M10" i="5" s="1"/>
  <c r="M11" i="5" s="1"/>
  <c r="M12" i="5" s="1"/>
  <c r="M13" i="5" s="1"/>
  <c r="M14" i="5" s="1"/>
  <c r="M15" i="5" s="1"/>
  <c r="M16" i="5" s="1"/>
  <c r="M17" i="5" s="1"/>
  <c r="M18" i="5" s="1"/>
  <c r="M19" i="5" s="1"/>
  <c r="M20" i="5" s="1"/>
  <c r="M21" i="5" s="1"/>
  <c r="M22" i="5" s="1"/>
  <c r="M23" i="5" s="1"/>
  <c r="M24" i="5" s="1"/>
  <c r="M25" i="5" s="1"/>
  <c r="M26" i="5" s="1"/>
  <c r="M27" i="5" s="1"/>
  <c r="M28" i="5" s="1"/>
  <c r="M29" i="5" s="1"/>
  <c r="M30" i="5" s="1"/>
  <c r="M31" i="5" s="1"/>
  <c r="M32" i="5" s="1"/>
  <c r="M33" i="5" s="1"/>
  <c r="M34" i="5" s="1"/>
  <c r="M35" i="5" s="1"/>
  <c r="M36" i="5" s="1"/>
  <c r="M37" i="5" s="1"/>
  <c r="M38" i="5" s="1"/>
  <c r="M39" i="5" s="1"/>
  <c r="M40" i="5" s="1"/>
  <c r="M41" i="5" s="1"/>
  <c r="M42" i="5" s="1"/>
  <c r="M43" i="5" s="1"/>
  <c r="M44" i="5" s="1"/>
  <c r="M45" i="5" s="1"/>
  <c r="M46" i="5" s="1"/>
  <c r="M47" i="5" s="1"/>
  <c r="M48" i="5" s="1"/>
  <c r="M49" i="5" s="1"/>
  <c r="M50" i="5" s="1"/>
  <c r="M51" i="5" s="1"/>
  <c r="M52" i="5" s="1"/>
  <c r="M53" i="5" s="1"/>
  <c r="M54" i="5" s="1"/>
  <c r="M55" i="5" s="1"/>
  <c r="M56" i="5" s="1"/>
  <c r="M57" i="5" s="1"/>
  <c r="M58" i="5" s="1"/>
  <c r="M59" i="5" s="1"/>
  <c r="M60" i="5" s="1"/>
  <c r="M61" i="5" s="1"/>
  <c r="M62" i="5" s="1"/>
  <c r="M63" i="5" s="1"/>
  <c r="M64" i="5" s="1"/>
  <c r="M65" i="5" s="1"/>
  <c r="M66" i="5" s="1"/>
  <c r="M67" i="5" s="1"/>
  <c r="M68" i="5" s="1"/>
  <c r="M69" i="5" s="1"/>
  <c r="M70" i="5" s="1"/>
  <c r="M71" i="5" s="1"/>
  <c r="M72" i="5" s="1"/>
  <c r="M73" i="5" s="1"/>
  <c r="M74" i="5" s="1"/>
  <c r="M75" i="5" s="1"/>
  <c r="M76" i="5" s="1"/>
  <c r="M77" i="5" s="1"/>
  <c r="M78" i="5" s="1"/>
  <c r="M79" i="5" s="1"/>
  <c r="M80" i="5" s="1"/>
  <c r="M81" i="5" s="1"/>
  <c r="M82" i="5" s="1"/>
  <c r="M83" i="5" s="1"/>
  <c r="M84" i="5" s="1"/>
  <c r="M85" i="5" s="1"/>
  <c r="M86" i="5" s="1"/>
  <c r="M87" i="5" s="1"/>
  <c r="M88" i="5" s="1"/>
  <c r="M89" i="5" s="1"/>
  <c r="M90" i="5" s="1"/>
  <c r="M91" i="5" s="1"/>
  <c r="M92" i="5" s="1"/>
  <c r="M93" i="5" s="1"/>
  <c r="M94" i="5" s="1"/>
  <c r="M95" i="5" s="1"/>
  <c r="M96" i="5" s="1"/>
  <c r="M97" i="5" s="1"/>
  <c r="M98" i="5" s="1"/>
  <c r="M99" i="5" s="1"/>
  <c r="M100" i="5" s="1"/>
  <c r="M101" i="5" s="1"/>
  <c r="M102" i="5" s="1"/>
  <c r="M103" i="5" s="1"/>
  <c r="M104" i="5" s="1"/>
  <c r="M105" i="5" s="1"/>
  <c r="M106" i="5" s="1"/>
  <c r="M107" i="5" s="1"/>
  <c r="M108" i="5" s="1"/>
  <c r="M109" i="5" s="1"/>
  <c r="M110" i="5" s="1"/>
  <c r="M111" i="5" s="1"/>
  <c r="M112" i="5" s="1"/>
  <c r="M113" i="5" s="1"/>
  <c r="M114" i="5" s="1"/>
  <c r="M115" i="5" s="1"/>
  <c r="M116" i="5" s="1"/>
  <c r="M117" i="5" s="1"/>
  <c r="M118" i="5" s="1"/>
  <c r="M119" i="5" s="1"/>
  <c r="M120" i="5" s="1"/>
  <c r="M121" i="5" s="1"/>
  <c r="M122" i="5" s="1"/>
  <c r="M123" i="5" s="1"/>
  <c r="M124" i="5" s="1"/>
  <c r="M125" i="5" s="1"/>
  <c r="M126" i="5" s="1"/>
  <c r="M127" i="5" s="1"/>
  <c r="M128" i="5" s="1"/>
  <c r="M129" i="5" s="1"/>
  <c r="M130" i="5" s="1"/>
  <c r="M131" i="5" s="1"/>
  <c r="M132" i="5" s="1"/>
  <c r="M133" i="5" s="1"/>
  <c r="M134" i="5" s="1"/>
  <c r="M135" i="5" s="1"/>
  <c r="M136" i="5" s="1"/>
  <c r="M137" i="5" s="1"/>
  <c r="M138" i="5" s="1"/>
  <c r="M139" i="5" s="1"/>
  <c r="M140" i="5" s="1"/>
  <c r="M141" i="5" s="1"/>
  <c r="M142" i="5" s="1"/>
  <c r="M143" i="5" s="1"/>
  <c r="M144" i="5" s="1"/>
  <c r="M145" i="5" s="1"/>
  <c r="M146" i="5" s="1"/>
  <c r="M147" i="5" s="1"/>
  <c r="M148" i="5" s="1"/>
  <c r="M149" i="5" s="1"/>
  <c r="M150" i="5" s="1"/>
  <c r="M151" i="5" s="1"/>
  <c r="M152" i="5" s="1"/>
  <c r="M153" i="5" s="1"/>
  <c r="M154" i="5" s="1"/>
  <c r="M155" i="5" s="1"/>
  <c r="M156" i="5" s="1"/>
  <c r="M157" i="5" s="1"/>
  <c r="M158" i="5" s="1"/>
  <c r="M159" i="5" s="1"/>
  <c r="M160" i="5" s="1"/>
  <c r="M161" i="5" s="1"/>
  <c r="M162" i="5" s="1"/>
  <c r="M163" i="5" s="1"/>
  <c r="M164" i="5" s="1"/>
  <c r="M165" i="5" s="1"/>
  <c r="M166" i="5" s="1"/>
  <c r="M167" i="5" s="1"/>
  <c r="M168" i="5" s="1"/>
  <c r="M169" i="5" s="1"/>
  <c r="M170" i="5" s="1"/>
  <c r="M171" i="5" s="1"/>
  <c r="M172" i="5" s="1"/>
  <c r="M173" i="5" s="1"/>
  <c r="M174" i="5" s="1"/>
  <c r="M175" i="5" s="1"/>
  <c r="M176" i="5" s="1"/>
  <c r="M177" i="5" s="1"/>
  <c r="M178" i="5" s="1"/>
  <c r="M179" i="5" s="1"/>
  <c r="M180" i="5" s="1"/>
  <c r="M181" i="5" s="1"/>
  <c r="M182" i="5" s="1"/>
  <c r="M183" i="5" s="1"/>
  <c r="M184" i="5" s="1"/>
  <c r="M185" i="5" s="1"/>
  <c r="M186" i="5" s="1"/>
  <c r="M187" i="5" s="1"/>
  <c r="M188" i="5" s="1"/>
  <c r="M189" i="5" s="1"/>
  <c r="M190" i="5" s="1"/>
  <c r="M191" i="5" s="1"/>
  <c r="M192" i="5" s="1"/>
  <c r="M193" i="5" s="1"/>
  <c r="M194" i="5" s="1"/>
  <c r="M195" i="5" s="1"/>
  <c r="M196" i="5" s="1"/>
  <c r="M197" i="5" s="1"/>
  <c r="M198" i="5" s="1"/>
  <c r="M199" i="5" s="1"/>
  <c r="M200" i="5" s="1"/>
  <c r="M201" i="5" s="1"/>
  <c r="M202" i="5" s="1"/>
  <c r="M203" i="5" s="1"/>
  <c r="M204" i="5" s="1"/>
  <c r="M205" i="5" s="1"/>
  <c r="M206" i="5" s="1"/>
  <c r="M207" i="5" s="1"/>
  <c r="M208" i="5" s="1"/>
  <c r="M209" i="5" s="1"/>
  <c r="M210" i="5" s="1"/>
  <c r="M211" i="5" s="1"/>
  <c r="M212" i="5" s="1"/>
  <c r="M213" i="5" s="1"/>
  <c r="M214" i="5" s="1"/>
  <c r="M215" i="5" s="1"/>
  <c r="M216" i="5" s="1"/>
  <c r="M217" i="5" s="1"/>
  <c r="M218" i="5" s="1"/>
  <c r="M219" i="5" s="1"/>
  <c r="M220" i="5" s="1"/>
  <c r="M221" i="5" s="1"/>
  <c r="M222" i="5" s="1"/>
  <c r="M223" i="5" s="1"/>
  <c r="M224" i="5" s="1"/>
  <c r="M225" i="5" s="1"/>
  <c r="M226" i="5" s="1"/>
  <c r="M227" i="5" s="1"/>
  <c r="M228" i="5" s="1"/>
  <c r="M229" i="5" s="1"/>
  <c r="M230" i="5" s="1"/>
  <c r="M231" i="5" s="1"/>
  <c r="M232" i="5" s="1"/>
  <c r="M233" i="5" s="1"/>
  <c r="M234" i="5" s="1"/>
  <c r="M235" i="5" s="1"/>
  <c r="M236" i="5" s="1"/>
  <c r="M237" i="5" s="1"/>
  <c r="M238" i="5" s="1"/>
  <c r="M239" i="5" s="1"/>
  <c r="M240" i="5" s="1"/>
  <c r="M241" i="5" s="1"/>
  <c r="M242" i="5" s="1"/>
  <c r="M243" i="5" s="1"/>
  <c r="M244" i="5" s="1"/>
  <c r="M245" i="5" s="1"/>
  <c r="M246" i="5" s="1"/>
  <c r="M247" i="5" s="1"/>
  <c r="M248" i="5" s="1"/>
  <c r="M249" i="5" s="1"/>
  <c r="M250" i="5" s="1"/>
  <c r="M251" i="5" s="1"/>
  <c r="M252" i="5" s="1"/>
  <c r="M253" i="5" s="1"/>
  <c r="M254" i="5" s="1"/>
  <c r="M255" i="5" s="1"/>
  <c r="M256" i="5" s="1"/>
  <c r="M257" i="5" s="1"/>
  <c r="M258" i="5" s="1"/>
  <c r="M259" i="5" s="1"/>
  <c r="M260" i="5" s="1"/>
  <c r="M261" i="5" s="1"/>
  <c r="M262" i="5" s="1"/>
  <c r="M263" i="5" s="1"/>
  <c r="M264" i="5" s="1"/>
  <c r="M265" i="5" s="1"/>
  <c r="M266" i="5" s="1"/>
  <c r="M267" i="5" s="1"/>
  <c r="M268" i="5" s="1"/>
  <c r="M269" i="5" s="1"/>
  <c r="M270" i="5" s="1"/>
  <c r="M271" i="5" s="1"/>
  <c r="M272" i="5" s="1"/>
  <c r="M273" i="5" s="1"/>
  <c r="M274" i="5" s="1"/>
  <c r="M275" i="5" s="1"/>
  <c r="M276" i="5" s="1"/>
  <c r="M277" i="5" s="1"/>
  <c r="M278" i="5" s="1"/>
  <c r="M279" i="5" s="1"/>
  <c r="M280" i="5" s="1"/>
  <c r="M281" i="5" s="1"/>
  <c r="M282" i="5" s="1"/>
  <c r="M283" i="5" s="1"/>
  <c r="M284" i="5" s="1"/>
  <c r="M285" i="5" s="1"/>
  <c r="M286" i="5" s="1"/>
  <c r="M287" i="5" s="1"/>
  <c r="M288" i="5" s="1"/>
  <c r="M289" i="5" s="1"/>
  <c r="M290" i="5" s="1"/>
  <c r="M291" i="5" s="1"/>
  <c r="M292" i="5" s="1"/>
  <c r="M293" i="5" s="1"/>
  <c r="M294" i="5" s="1"/>
  <c r="M295" i="5" s="1"/>
  <c r="M296" i="5" s="1"/>
  <c r="M297" i="5" s="1"/>
  <c r="M298" i="5" s="1"/>
  <c r="M299" i="5" s="1"/>
  <c r="M300" i="5" s="1"/>
  <c r="M301" i="5" s="1"/>
  <c r="M302" i="5" s="1"/>
  <c r="M303" i="5" s="1"/>
  <c r="M304" i="5" s="1"/>
  <c r="M305" i="5" s="1"/>
  <c r="M306" i="5" s="1"/>
  <c r="M307" i="5" s="1"/>
  <c r="M308" i="5" s="1"/>
  <c r="M309" i="5" s="1"/>
  <c r="M310" i="5" s="1"/>
  <c r="M311" i="5" s="1"/>
  <c r="M312" i="5" s="1"/>
  <c r="M313" i="5" s="1"/>
  <c r="M314" i="5" s="1"/>
  <c r="M315" i="5" s="1"/>
  <c r="M316" i="5" s="1"/>
  <c r="M317" i="5" s="1"/>
  <c r="M318" i="5" s="1"/>
  <c r="M319" i="5" s="1"/>
  <c r="M320" i="5" s="1"/>
  <c r="M321" i="5" s="1"/>
  <c r="M322" i="5" s="1"/>
  <c r="M323" i="5" s="1"/>
  <c r="M324" i="5" s="1"/>
  <c r="M325" i="5" s="1"/>
  <c r="M326" i="5" s="1"/>
  <c r="M327" i="5" s="1"/>
  <c r="M328" i="5" s="1"/>
  <c r="M329" i="5" s="1"/>
  <c r="M330" i="5" s="1"/>
  <c r="M331" i="5" s="1"/>
  <c r="M332" i="5" s="1"/>
  <c r="M333" i="5" s="1"/>
  <c r="M334" i="5" s="1"/>
  <c r="M335" i="5" s="1"/>
  <c r="M336" i="5" s="1"/>
  <c r="M337" i="5" s="1"/>
  <c r="M338" i="5" s="1"/>
  <c r="M339" i="5" s="1"/>
  <c r="M340" i="5" s="1"/>
  <c r="M341" i="5" s="1"/>
  <c r="M342" i="5" s="1"/>
  <c r="M343" i="5" s="1"/>
  <c r="M344" i="5" s="1"/>
  <c r="M345" i="5" s="1"/>
  <c r="M346" i="5" s="1"/>
  <c r="M347" i="5" s="1"/>
  <c r="M348" i="5" s="1"/>
  <c r="M349" i="5" s="1"/>
  <c r="M350" i="5" s="1"/>
  <c r="M351" i="5" s="1"/>
  <c r="M352" i="5" s="1"/>
  <c r="M353" i="5" s="1"/>
  <c r="M354" i="5" s="1"/>
  <c r="M355" i="5" s="1"/>
  <c r="M356" i="5" s="1"/>
  <c r="M357" i="5" s="1"/>
  <c r="M358" i="5" s="1"/>
  <c r="M359" i="5" s="1"/>
  <c r="M360" i="5" s="1"/>
  <c r="M361" i="5" s="1"/>
  <c r="M362" i="5" s="1"/>
  <c r="M363" i="5" s="1"/>
  <c r="M364" i="5" s="1"/>
  <c r="M365" i="5" s="1"/>
  <c r="M366" i="5" s="1"/>
  <c r="M367" i="5" s="1"/>
  <c r="M368" i="5" s="1"/>
  <c r="M369" i="5" s="1"/>
  <c r="M370" i="5" s="1"/>
  <c r="M371" i="5" s="1"/>
  <c r="M372" i="5" s="1"/>
  <c r="M373" i="5" s="1"/>
  <c r="M374" i="5" s="1"/>
  <c r="M375" i="5" s="1"/>
  <c r="M376" i="5" s="1"/>
  <c r="M377" i="5" s="1"/>
  <c r="M378" i="5" s="1"/>
  <c r="M379" i="5" s="1"/>
  <c r="M380" i="5" s="1"/>
  <c r="M381" i="5" s="1"/>
  <c r="M382" i="5" s="1"/>
  <c r="M383" i="5" s="1"/>
  <c r="M384" i="5" s="1"/>
  <c r="M385" i="5" s="1"/>
  <c r="M386" i="5" s="1"/>
  <c r="M387" i="5" s="1"/>
  <c r="M388" i="5" s="1"/>
  <c r="M389" i="5" s="1"/>
  <c r="M390" i="5" s="1"/>
  <c r="M391" i="5" s="1"/>
  <c r="M392" i="5" s="1"/>
  <c r="M393" i="5" s="1"/>
  <c r="M394" i="5" s="1"/>
  <c r="M395" i="5" s="1"/>
  <c r="M396" i="5" s="1"/>
  <c r="M397" i="5" s="1"/>
  <c r="M398" i="5" s="1"/>
  <c r="M399" i="5" s="1"/>
  <c r="M400" i="5" s="1"/>
  <c r="M401" i="5" s="1"/>
  <c r="M402" i="5" s="1"/>
  <c r="M403" i="5" s="1"/>
  <c r="M404" i="5" s="1"/>
  <c r="M405" i="5" s="1"/>
  <c r="M406" i="5" s="1"/>
  <c r="M407" i="5" s="1"/>
  <c r="M408" i="5" s="1"/>
  <c r="M409" i="5" s="1"/>
  <c r="M410" i="5" s="1"/>
  <c r="M411" i="5" s="1"/>
  <c r="M412" i="5" s="1"/>
  <c r="M413" i="5" s="1"/>
  <c r="M414" i="5" s="1"/>
  <c r="M415" i="5" s="1"/>
  <c r="M416" i="5" s="1"/>
  <c r="M417" i="5" s="1"/>
  <c r="M418" i="5" s="1"/>
  <c r="M419" i="5" s="1"/>
  <c r="M420" i="5" s="1"/>
  <c r="M421" i="5" s="1"/>
  <c r="M422" i="5" s="1"/>
  <c r="M423" i="5" s="1"/>
  <c r="M424" i="5" s="1"/>
  <c r="M425" i="5" s="1"/>
  <c r="M426" i="5" s="1"/>
  <c r="M427" i="5" s="1"/>
  <c r="M428" i="5" s="1"/>
  <c r="M429" i="5" s="1"/>
  <c r="M430" i="5" s="1"/>
  <c r="M431" i="5" s="1"/>
  <c r="M432" i="5" s="1"/>
  <c r="M433" i="5" s="1"/>
  <c r="M434" i="5" s="1"/>
  <c r="M435" i="5" s="1"/>
  <c r="M436" i="5" s="1"/>
  <c r="M437" i="5" s="1"/>
  <c r="M438" i="5" s="1"/>
  <c r="M439" i="5" s="1"/>
  <c r="M440" i="5" s="1"/>
  <c r="M441" i="5" s="1"/>
  <c r="M442" i="5" s="1"/>
  <c r="M443" i="5" s="1"/>
  <c r="M444" i="5" s="1"/>
  <c r="M445" i="5" s="1"/>
  <c r="M446" i="5" s="1"/>
  <c r="M447" i="5" s="1"/>
  <c r="M448" i="5" s="1"/>
  <c r="M449" i="5" s="1"/>
  <c r="M450" i="5" s="1"/>
  <c r="M451" i="5" s="1"/>
  <c r="M452" i="5" s="1"/>
  <c r="M453" i="5" s="1"/>
  <c r="M454" i="5" s="1"/>
  <c r="M455" i="5" s="1"/>
  <c r="M456" i="5" s="1"/>
  <c r="M457" i="5" s="1"/>
  <c r="M458" i="5" s="1"/>
  <c r="M459" i="5" s="1"/>
  <c r="M460" i="5" s="1"/>
  <c r="M461" i="5" s="1"/>
  <c r="M462" i="5" s="1"/>
  <c r="M463" i="5" s="1"/>
  <c r="M464" i="5" s="1"/>
  <c r="M465" i="5" s="1"/>
  <c r="M466" i="5" s="1"/>
  <c r="M467" i="5" s="1"/>
  <c r="M468" i="5" s="1"/>
  <c r="M469" i="5" s="1"/>
  <c r="M470" i="5" s="1"/>
  <c r="M471" i="5" s="1"/>
  <c r="M472" i="5" s="1"/>
  <c r="M473" i="5" s="1"/>
  <c r="M474" i="5" s="1"/>
  <c r="M475" i="5" s="1"/>
  <c r="M476" i="5" s="1"/>
  <c r="M477" i="5" s="1"/>
  <c r="M478" i="5" s="1"/>
  <c r="M479" i="5" s="1"/>
  <c r="M480" i="5" s="1"/>
  <c r="M481" i="5" s="1"/>
  <c r="M482" i="5" s="1"/>
  <c r="M483" i="5" s="1"/>
  <c r="M484" i="5" s="1"/>
  <c r="M485" i="5" s="1"/>
  <c r="M486" i="5" s="1"/>
  <c r="M487" i="5" s="1"/>
  <c r="M488" i="5" s="1"/>
  <c r="M489" i="5" s="1"/>
  <c r="M490" i="5" s="1"/>
  <c r="M491" i="5" s="1"/>
  <c r="M492" i="5" s="1"/>
  <c r="M493" i="5" s="1"/>
  <c r="M494" i="5" s="1"/>
  <c r="M495" i="5" s="1"/>
  <c r="M496" i="5" s="1"/>
  <c r="M497" i="5" s="1"/>
  <c r="M498" i="5" s="1"/>
  <c r="M499" i="5" s="1"/>
  <c r="M500" i="5" s="1"/>
  <c r="M501" i="5" s="1"/>
  <c r="M502" i="5" s="1"/>
  <c r="M503" i="5" s="1"/>
  <c r="M504" i="5" s="1"/>
  <c r="M505" i="5" s="1"/>
  <c r="M506" i="5" s="1"/>
  <c r="M507" i="5" s="1"/>
  <c r="M508" i="5" s="1"/>
  <c r="M509" i="5" s="1"/>
  <c r="M510" i="5" s="1"/>
  <c r="M511" i="5" s="1"/>
  <c r="M512" i="5" s="1"/>
  <c r="M513" i="5" s="1"/>
  <c r="M514" i="5" s="1"/>
  <c r="M515" i="5" s="1"/>
  <c r="M516" i="5" s="1"/>
  <c r="M517" i="5" s="1"/>
  <c r="M518" i="5" s="1"/>
  <c r="M519" i="5" s="1"/>
  <c r="M520" i="5" s="1"/>
  <c r="M521" i="5" s="1"/>
  <c r="M522" i="5" s="1"/>
  <c r="M523" i="5" s="1"/>
  <c r="M524" i="5" s="1"/>
  <c r="M525" i="5" s="1"/>
  <c r="M526" i="5" s="1"/>
  <c r="M527" i="5" s="1"/>
  <c r="M528" i="5" s="1"/>
  <c r="M529" i="5" s="1"/>
  <c r="M530" i="5" s="1"/>
  <c r="M531" i="5" s="1"/>
  <c r="M532" i="5" s="1"/>
  <c r="M533" i="5" s="1"/>
  <c r="M534" i="5" s="1"/>
  <c r="M535" i="5" s="1"/>
  <c r="M536" i="5" s="1"/>
  <c r="M537" i="5" s="1"/>
  <c r="M538" i="5" s="1"/>
  <c r="M539" i="5" s="1"/>
  <c r="M540" i="5" s="1"/>
  <c r="M541" i="5" s="1"/>
  <c r="M542" i="5" s="1"/>
  <c r="M543" i="5" s="1"/>
  <c r="M544" i="5" s="1"/>
  <c r="M545" i="5" s="1"/>
  <c r="M546" i="5" s="1"/>
  <c r="M547" i="5" s="1"/>
  <c r="M548" i="5" s="1"/>
  <c r="M549" i="5" s="1"/>
  <c r="M550" i="5" s="1"/>
  <c r="M551" i="5" s="1"/>
  <c r="M552" i="5" s="1"/>
  <c r="M553" i="5" s="1"/>
  <c r="M554" i="5" s="1"/>
  <c r="M555" i="5" s="1"/>
  <c r="M556" i="5" s="1"/>
  <c r="M557" i="5" s="1"/>
  <c r="M558" i="5" s="1"/>
  <c r="M559" i="5" s="1"/>
  <c r="M560" i="5" s="1"/>
  <c r="M561" i="5" s="1"/>
  <c r="M562" i="5" s="1"/>
  <c r="M563" i="5" s="1"/>
  <c r="M564" i="5" s="1"/>
  <c r="M565" i="5" s="1"/>
  <c r="M566" i="5" s="1"/>
  <c r="M567" i="5" s="1"/>
  <c r="M568" i="5" s="1"/>
  <c r="M569" i="5" s="1"/>
  <c r="M570" i="5" s="1"/>
  <c r="M571" i="5" s="1"/>
  <c r="M572" i="5" s="1"/>
  <c r="M573" i="5" s="1"/>
  <c r="M574" i="5" s="1"/>
  <c r="M575" i="5" s="1"/>
  <c r="M576" i="5" s="1"/>
  <c r="M577" i="5" s="1"/>
  <c r="M578" i="5" s="1"/>
  <c r="M579" i="5" s="1"/>
  <c r="M580" i="5" s="1"/>
  <c r="M581" i="5" s="1"/>
  <c r="M582" i="5" s="1"/>
  <c r="M583" i="5" s="1"/>
  <c r="M584" i="5" s="1"/>
  <c r="M585" i="5" s="1"/>
  <c r="M586" i="5" s="1"/>
  <c r="M587" i="5" s="1"/>
  <c r="M588" i="5" s="1"/>
  <c r="M589" i="5" s="1"/>
  <c r="M590" i="5" s="1"/>
  <c r="M591" i="5" s="1"/>
  <c r="M592" i="5" s="1"/>
  <c r="M593" i="5" s="1"/>
  <c r="M594" i="5" s="1"/>
  <c r="M595" i="5" s="1"/>
  <c r="M596" i="5" s="1"/>
  <c r="M597" i="5" s="1"/>
  <c r="M598" i="5" s="1"/>
  <c r="M599" i="5" s="1"/>
  <c r="M600" i="5" s="1"/>
  <c r="M601" i="5" s="1"/>
  <c r="M602" i="5" s="1"/>
  <c r="M603" i="5" s="1"/>
  <c r="M604" i="5" s="1"/>
  <c r="M605" i="5" s="1"/>
  <c r="M606" i="5" s="1"/>
  <c r="M607" i="5" s="1"/>
  <c r="M608" i="5" s="1"/>
  <c r="M609" i="5" s="1"/>
  <c r="M610" i="5" s="1"/>
  <c r="M611" i="5" s="1"/>
  <c r="M612" i="5" s="1"/>
  <c r="M613" i="5" s="1"/>
  <c r="M614" i="5" s="1"/>
  <c r="M615" i="5" s="1"/>
  <c r="M616" i="5" s="1"/>
  <c r="M617" i="5" s="1"/>
  <c r="M618" i="5" s="1"/>
  <c r="M619" i="5" s="1"/>
  <c r="M620" i="5" s="1"/>
  <c r="M621" i="5" s="1"/>
  <c r="M622" i="5" s="1"/>
  <c r="M623" i="5" s="1"/>
  <c r="M624" i="5" s="1"/>
  <c r="M625" i="5" s="1"/>
  <c r="M626" i="5" s="1"/>
  <c r="M627" i="5" s="1"/>
  <c r="M628" i="5" s="1"/>
  <c r="M629" i="5" s="1"/>
  <c r="M630" i="5" s="1"/>
  <c r="M631" i="5" s="1"/>
  <c r="M632" i="5" s="1"/>
  <c r="M633" i="5" s="1"/>
  <c r="M634" i="5" s="1"/>
  <c r="M635" i="5" s="1"/>
  <c r="M636" i="5" s="1"/>
  <c r="M637" i="5" s="1"/>
  <c r="M638" i="5" s="1"/>
  <c r="M639" i="5" s="1"/>
  <c r="M640" i="5" s="1"/>
  <c r="M641" i="5" s="1"/>
  <c r="M642" i="5" s="1"/>
  <c r="M643" i="5" s="1"/>
  <c r="M644" i="5" s="1"/>
  <c r="M645" i="5" s="1"/>
  <c r="M646" i="5" s="1"/>
  <c r="M647" i="5" s="1"/>
  <c r="M648" i="5" s="1"/>
  <c r="M649" i="5" s="1"/>
  <c r="M650" i="5" s="1"/>
  <c r="M651" i="5" s="1"/>
  <c r="M652" i="5" s="1"/>
  <c r="M653" i="5" s="1"/>
  <c r="M654" i="5" s="1"/>
  <c r="M655" i="5" s="1"/>
  <c r="M656" i="5" s="1"/>
  <c r="M657" i="5" s="1"/>
  <c r="M658" i="5" s="1"/>
  <c r="M659" i="5" s="1"/>
  <c r="M660" i="5" s="1"/>
  <c r="M661" i="5" s="1"/>
  <c r="M662" i="5" s="1"/>
  <c r="M663" i="5" s="1"/>
  <c r="M664" i="5" s="1"/>
  <c r="M665" i="5" s="1"/>
  <c r="M666" i="5" s="1"/>
  <c r="M667" i="5" s="1"/>
  <c r="M668" i="5" s="1"/>
  <c r="M669" i="5" s="1"/>
  <c r="M670" i="5" s="1"/>
  <c r="M671" i="5" s="1"/>
  <c r="M672" i="5" s="1"/>
  <c r="M673" i="5" s="1"/>
  <c r="M674" i="5" s="1"/>
  <c r="M675" i="5" s="1"/>
  <c r="M676" i="5" s="1"/>
  <c r="M677" i="5" s="1"/>
  <c r="M678" i="5" s="1"/>
  <c r="M679" i="5" s="1"/>
  <c r="M680" i="5" s="1"/>
  <c r="M681" i="5" s="1"/>
  <c r="M682" i="5" s="1"/>
  <c r="M683" i="5" s="1"/>
  <c r="M684" i="5" s="1"/>
  <c r="M685" i="5" s="1"/>
  <c r="M686" i="5" s="1"/>
  <c r="M687" i="5" s="1"/>
  <c r="M688" i="5" s="1"/>
  <c r="M689" i="5" s="1"/>
  <c r="M690" i="5" s="1"/>
  <c r="M691" i="5" s="1"/>
  <c r="M692" i="5" s="1"/>
  <c r="M693" i="5" s="1"/>
  <c r="M694" i="5" s="1"/>
  <c r="M695" i="5" s="1"/>
  <c r="M696" i="5" s="1"/>
  <c r="M697" i="5" s="1"/>
  <c r="M698" i="5" s="1"/>
  <c r="M699" i="5" s="1"/>
  <c r="M700" i="5" s="1"/>
  <c r="M701" i="5" s="1"/>
  <c r="M702" i="5" s="1"/>
  <c r="M703" i="5" s="1"/>
  <c r="M704" i="5" s="1"/>
  <c r="M705" i="5" s="1"/>
  <c r="M706" i="5" s="1"/>
  <c r="M707" i="5" s="1"/>
  <c r="M708" i="5" s="1"/>
  <c r="M709" i="5" s="1"/>
  <c r="M710" i="5" s="1"/>
  <c r="M711" i="5" s="1"/>
  <c r="M712" i="5" s="1"/>
  <c r="M713" i="5" s="1"/>
  <c r="M714" i="5" s="1"/>
  <c r="M715" i="5" s="1"/>
  <c r="M716" i="5" s="1"/>
  <c r="M717" i="5" s="1"/>
  <c r="M718" i="5" s="1"/>
  <c r="M719" i="5" s="1"/>
  <c r="M720" i="5" s="1"/>
  <c r="M721" i="5" s="1"/>
  <c r="M722" i="5" s="1"/>
  <c r="M723" i="5" s="1"/>
  <c r="M724" i="5" s="1"/>
  <c r="M725" i="5" s="1"/>
  <c r="M726" i="5" s="1"/>
  <c r="M727" i="5" s="1"/>
  <c r="M728" i="5" s="1"/>
  <c r="M729" i="5" s="1"/>
  <c r="M730" i="5" s="1"/>
  <c r="M731" i="5" s="1"/>
  <c r="M732" i="5" s="1"/>
  <c r="M733" i="5" s="1"/>
  <c r="M734" i="5" s="1"/>
  <c r="M735" i="5" s="1"/>
  <c r="M736" i="5" s="1"/>
  <c r="M737" i="5" s="1"/>
  <c r="M738" i="5" s="1"/>
  <c r="M739" i="5" s="1"/>
  <c r="M740" i="5" s="1"/>
  <c r="M741" i="5" s="1"/>
  <c r="M742" i="5" s="1"/>
  <c r="M743" i="5" s="1"/>
  <c r="M744" i="5" s="1"/>
  <c r="M745" i="5" s="1"/>
  <c r="M746" i="5" s="1"/>
  <c r="M747" i="5" s="1"/>
  <c r="M748" i="5" s="1"/>
  <c r="M749" i="5" s="1"/>
  <c r="M750" i="5" s="1"/>
  <c r="M751" i="5" s="1"/>
  <c r="M752" i="5" s="1"/>
  <c r="M753" i="5" s="1"/>
  <c r="M754" i="5" s="1"/>
  <c r="M755" i="5" s="1"/>
  <c r="M756" i="5" s="1"/>
  <c r="M757" i="5" s="1"/>
  <c r="M758" i="5" s="1"/>
  <c r="M759" i="5" s="1"/>
  <c r="M760" i="5" s="1"/>
  <c r="M761" i="5" s="1"/>
  <c r="M762" i="5" s="1"/>
  <c r="M763" i="5" s="1"/>
  <c r="M764" i="5" s="1"/>
  <c r="M765" i="5" s="1"/>
  <c r="M766" i="5" s="1"/>
  <c r="M767" i="5" s="1"/>
  <c r="M768" i="5" s="1"/>
  <c r="M769" i="5" s="1"/>
  <c r="M770" i="5" s="1"/>
  <c r="M771" i="5" s="1"/>
  <c r="M772" i="5" s="1"/>
  <c r="M773" i="5" s="1"/>
  <c r="M774" i="5" s="1"/>
  <c r="M775" i="5" s="1"/>
  <c r="M776" i="5" s="1"/>
  <c r="M777" i="5" s="1"/>
  <c r="M778" i="5" s="1"/>
  <c r="M779" i="5" s="1"/>
  <c r="M780" i="5" s="1"/>
  <c r="M781" i="5" s="1"/>
  <c r="M782" i="5" s="1"/>
  <c r="M783" i="5" s="1"/>
  <c r="M784" i="5" s="1"/>
  <c r="M785" i="5" s="1"/>
  <c r="M786" i="5" s="1"/>
  <c r="M787" i="5" s="1"/>
  <c r="M788" i="5" s="1"/>
  <c r="M789" i="5" s="1"/>
  <c r="M790" i="5" s="1"/>
  <c r="M791" i="5" s="1"/>
  <c r="M792" i="5" s="1"/>
  <c r="M793" i="5" s="1"/>
  <c r="M794" i="5" s="1"/>
  <c r="M795" i="5" s="1"/>
  <c r="M796" i="5" s="1"/>
  <c r="M797" i="5" s="1"/>
  <c r="M798" i="5" s="1"/>
  <c r="M799" i="5" s="1"/>
  <c r="M800" i="5" s="1"/>
  <c r="M801" i="5" s="1"/>
  <c r="M802" i="5" s="1"/>
  <c r="M803" i="5" s="1"/>
  <c r="M804" i="5" s="1"/>
  <c r="M805" i="5" s="1"/>
  <c r="M806" i="5" s="1"/>
  <c r="M807" i="5" s="1"/>
  <c r="M808" i="5" s="1"/>
  <c r="M809" i="5" s="1"/>
  <c r="M810" i="5" s="1"/>
  <c r="M811" i="5" s="1"/>
  <c r="M812" i="5" s="1"/>
  <c r="M813" i="5" s="1"/>
  <c r="M814" i="5" s="1"/>
  <c r="M815" i="5" s="1"/>
  <c r="M816" i="5" s="1"/>
  <c r="M817" i="5" s="1"/>
  <c r="M818" i="5" s="1"/>
  <c r="M819" i="5" s="1"/>
  <c r="M820" i="5" s="1"/>
  <c r="M821" i="5" s="1"/>
  <c r="M822" i="5" s="1"/>
  <c r="M823" i="5" s="1"/>
  <c r="M824" i="5" s="1"/>
  <c r="M825" i="5" s="1"/>
  <c r="M826" i="5" s="1"/>
  <c r="M827" i="5" s="1"/>
  <c r="M828" i="5" s="1"/>
  <c r="M829" i="5" s="1"/>
  <c r="M830" i="5" s="1"/>
  <c r="M831" i="5" s="1"/>
  <c r="M832" i="5" s="1"/>
  <c r="M833" i="5" s="1"/>
  <c r="M834" i="5" s="1"/>
  <c r="M835" i="5" s="1"/>
  <c r="M836" i="5" s="1"/>
  <c r="M837" i="5" s="1"/>
  <c r="M838" i="5" s="1"/>
  <c r="M839" i="5" s="1"/>
  <c r="M840" i="5" s="1"/>
  <c r="M841" i="5" s="1"/>
  <c r="M842" i="5" s="1"/>
  <c r="M843" i="5" s="1"/>
  <c r="M844" i="5" s="1"/>
  <c r="M845" i="5" s="1"/>
  <c r="M846" i="5" s="1"/>
  <c r="M847" i="5" s="1"/>
  <c r="M848" i="5" s="1"/>
  <c r="M849" i="5" s="1"/>
  <c r="M850" i="5" s="1"/>
  <c r="M851" i="5" s="1"/>
  <c r="M852" i="5" s="1"/>
  <c r="M853" i="5" s="1"/>
  <c r="M854" i="5" s="1"/>
  <c r="M855" i="5" s="1"/>
  <c r="M856" i="5" s="1"/>
  <c r="M857" i="5" s="1"/>
  <c r="M858" i="5" s="1"/>
  <c r="M859" i="5" s="1"/>
  <c r="M860" i="5" s="1"/>
  <c r="M861" i="5" s="1"/>
  <c r="M862" i="5" s="1"/>
  <c r="M863" i="5" s="1"/>
  <c r="M864" i="5" s="1"/>
  <c r="M865" i="5" s="1"/>
  <c r="M866" i="5" s="1"/>
  <c r="M867" i="5" s="1"/>
  <c r="M868" i="5" s="1"/>
  <c r="M869" i="5" s="1"/>
  <c r="M870" i="5" s="1"/>
  <c r="M871" i="5" s="1"/>
  <c r="M872" i="5" s="1"/>
  <c r="M873" i="5" s="1"/>
  <c r="M874" i="5" s="1"/>
  <c r="M875" i="5" s="1"/>
  <c r="M876" i="5" s="1"/>
  <c r="M877" i="5" s="1"/>
  <c r="M878" i="5" s="1"/>
  <c r="M879" i="5" s="1"/>
  <c r="M880" i="5" s="1"/>
  <c r="M881" i="5" s="1"/>
  <c r="M882" i="5" s="1"/>
  <c r="M883" i="5" s="1"/>
  <c r="M884" i="5" s="1"/>
  <c r="M885" i="5" s="1"/>
  <c r="M886" i="5" s="1"/>
  <c r="M887" i="5" s="1"/>
  <c r="M888" i="5" s="1"/>
  <c r="M889" i="5" s="1"/>
  <c r="M890" i="5" s="1"/>
  <c r="M891" i="5" s="1"/>
  <c r="M892" i="5" s="1"/>
  <c r="M893" i="5" s="1"/>
  <c r="M894" i="5" s="1"/>
  <c r="M895" i="5" s="1"/>
  <c r="M896" i="5" s="1"/>
  <c r="M897" i="5" s="1"/>
  <c r="M898" i="5" s="1"/>
  <c r="M899" i="5" s="1"/>
  <c r="M900" i="5" s="1"/>
  <c r="M901" i="5" s="1"/>
  <c r="M902" i="5" s="1"/>
  <c r="M903" i="5" s="1"/>
  <c r="M904" i="5" s="1"/>
  <c r="M905" i="5" s="1"/>
  <c r="M906" i="5" s="1"/>
  <c r="M907" i="5" s="1"/>
  <c r="M908" i="5" s="1"/>
  <c r="M909" i="5" s="1"/>
  <c r="M910" i="5" s="1"/>
  <c r="M911" i="5" s="1"/>
  <c r="M912" i="5" s="1"/>
  <c r="M913" i="5" s="1"/>
  <c r="M914" i="5" s="1"/>
  <c r="M915" i="5" s="1"/>
  <c r="M916" i="5" s="1"/>
  <c r="M917" i="5" s="1"/>
  <c r="M918" i="5" s="1"/>
  <c r="M919" i="5" s="1"/>
  <c r="M920" i="5" s="1"/>
  <c r="M921" i="5" s="1"/>
  <c r="M922" i="5" s="1"/>
  <c r="M923" i="5" s="1"/>
  <c r="M924" i="5" s="1"/>
  <c r="M925" i="5" s="1"/>
  <c r="M926" i="5" s="1"/>
  <c r="M927" i="5" s="1"/>
  <c r="M928" i="5" s="1"/>
  <c r="M929" i="5" s="1"/>
  <c r="M930" i="5" s="1"/>
  <c r="M931" i="5" s="1"/>
  <c r="M932" i="5" s="1"/>
  <c r="M933" i="5" s="1"/>
  <c r="M934" i="5" s="1"/>
  <c r="M935" i="5" s="1"/>
  <c r="M936" i="5" s="1"/>
  <c r="M937" i="5" s="1"/>
  <c r="M938" i="5" s="1"/>
  <c r="M939" i="5" s="1"/>
  <c r="M940" i="5" s="1"/>
  <c r="M941" i="5" s="1"/>
  <c r="M942" i="5" s="1"/>
  <c r="M943" i="5" s="1"/>
  <c r="M944" i="5" s="1"/>
  <c r="M945" i="5" s="1"/>
  <c r="M946" i="5" s="1"/>
  <c r="M947" i="5" s="1"/>
  <c r="M948" i="5" s="1"/>
  <c r="M949" i="5" s="1"/>
  <c r="M950" i="5" s="1"/>
  <c r="M951" i="5" s="1"/>
  <c r="M952" i="5" s="1"/>
  <c r="M953" i="5" s="1"/>
  <c r="M954" i="5" s="1"/>
  <c r="M955" i="5" s="1"/>
  <c r="M956" i="5" s="1"/>
  <c r="M957" i="5" s="1"/>
  <c r="M958" i="5" s="1"/>
  <c r="M959" i="5" s="1"/>
  <c r="M960" i="5" s="1"/>
  <c r="M961" i="5" s="1"/>
  <c r="M962" i="5" s="1"/>
  <c r="M963" i="5" s="1"/>
  <c r="M964" i="5" s="1"/>
  <c r="M965" i="5" s="1"/>
  <c r="M966" i="5" s="1"/>
  <c r="M967" i="5" s="1"/>
  <c r="M968" i="5" s="1"/>
  <c r="M969" i="5" s="1"/>
  <c r="M970" i="5" s="1"/>
  <c r="M971" i="5" s="1"/>
  <c r="M972" i="5" s="1"/>
  <c r="M973" i="5" s="1"/>
  <c r="M974" i="5" s="1"/>
  <c r="M975" i="5" s="1"/>
  <c r="M976" i="5" s="1"/>
  <c r="M977" i="5" s="1"/>
  <c r="M978" i="5" s="1"/>
  <c r="M979" i="5" s="1"/>
  <c r="M980" i="5" s="1"/>
  <c r="M981" i="5" s="1"/>
  <c r="M982" i="5" s="1"/>
  <c r="M983" i="5" s="1"/>
  <c r="M984" i="5" s="1"/>
  <c r="M985" i="5" s="1"/>
  <c r="M986" i="5" s="1"/>
  <c r="M987" i="5" s="1"/>
  <c r="M988" i="5" s="1"/>
  <c r="M989" i="5" s="1"/>
  <c r="M990" i="5" s="1"/>
  <c r="M991" i="5" s="1"/>
  <c r="M992" i="5" s="1"/>
  <c r="M993" i="5" s="1"/>
  <c r="M994" i="5" s="1"/>
  <c r="M995" i="5" s="1"/>
  <c r="M996" i="5" s="1"/>
  <c r="M997" i="5" s="1"/>
  <c r="M998" i="5" s="1"/>
  <c r="M999" i="5" s="1"/>
  <c r="M1000" i="5" s="1"/>
  <c r="M1001" i="5" s="1"/>
  <c r="N3" i="5"/>
  <c r="N4" i="5" s="1"/>
  <c r="O3" i="5"/>
  <c r="O4" i="5" s="1"/>
  <c r="O5" i="5" s="1"/>
  <c r="O6" i="5" s="1"/>
  <c r="O7" i="5" s="1"/>
  <c r="O8" i="5" s="1"/>
  <c r="O9" i="5" s="1"/>
  <c r="D4" i="5"/>
  <c r="D5" i="5" s="1"/>
  <c r="E4" i="5"/>
  <c r="E5" i="5" s="1"/>
  <c r="E6" i="5" s="1"/>
  <c r="F4" i="5"/>
  <c r="F5" i="5" s="1"/>
  <c r="F6" i="5" s="1"/>
  <c r="F7" i="5" s="1"/>
  <c r="F8" i="5" s="1"/>
  <c r="F9" i="5" s="1"/>
  <c r="F10" i="5" s="1"/>
  <c r="F11" i="5" s="1"/>
  <c r="F12" i="5" s="1"/>
  <c r="F13" i="5" s="1"/>
  <c r="F14" i="5" s="1"/>
  <c r="G4" i="5"/>
  <c r="G5" i="5" s="1"/>
  <c r="G6" i="5" s="1"/>
  <c r="G7" i="5" s="1"/>
  <c r="G8" i="5" s="1"/>
  <c r="G9" i="5" s="1"/>
  <c r="H4" i="5"/>
  <c r="H5" i="5" s="1"/>
  <c r="H6" i="5" s="1"/>
  <c r="H7" i="5" s="1"/>
  <c r="H8" i="5" s="1"/>
  <c r="H9" i="5" s="1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I4" i="5"/>
  <c r="I5" i="5" s="1"/>
  <c r="I6" i="5" s="1"/>
  <c r="I7" i="5" s="1"/>
  <c r="I8" i="5" s="1"/>
  <c r="I9" i="5" s="1"/>
  <c r="I10" i="5" s="1"/>
  <c r="I11" i="5" s="1"/>
  <c r="I12" i="5" s="1"/>
  <c r="I13" i="5" s="1"/>
  <c r="I14" i="5" s="1"/>
  <c r="I15" i="5" s="1"/>
  <c r="I16" i="5" s="1"/>
  <c r="I17" i="5" s="1"/>
  <c r="I18" i="5" s="1"/>
  <c r="I19" i="5" s="1"/>
  <c r="I20" i="5" s="1"/>
  <c r="I21" i="5" s="1"/>
  <c r="I22" i="5" s="1"/>
  <c r="I23" i="5" s="1"/>
  <c r="I24" i="5" s="1"/>
  <c r="I25" i="5" s="1"/>
  <c r="I26" i="5" s="1"/>
  <c r="I27" i="5" s="1"/>
  <c r="I28" i="5" s="1"/>
  <c r="I29" i="5" s="1"/>
  <c r="I30" i="5" s="1"/>
  <c r="I31" i="5" s="1"/>
  <c r="I32" i="5" s="1"/>
  <c r="I33" i="5" s="1"/>
  <c r="I34" i="5" s="1"/>
  <c r="I35" i="5" s="1"/>
  <c r="I36" i="5" s="1"/>
  <c r="I37" i="5" s="1"/>
  <c r="I38" i="5" s="1"/>
  <c r="I39" i="5" s="1"/>
  <c r="I40" i="5" s="1"/>
  <c r="I41" i="5" s="1"/>
  <c r="I42" i="5" s="1"/>
  <c r="I43" i="5" s="1"/>
  <c r="I44" i="5" s="1"/>
  <c r="I45" i="5" s="1"/>
  <c r="I46" i="5" s="1"/>
  <c r="I47" i="5" s="1"/>
  <c r="I48" i="5" s="1"/>
  <c r="I49" i="5" s="1"/>
  <c r="I50" i="5" s="1"/>
  <c r="I51" i="5" s="1"/>
  <c r="I52" i="5" s="1"/>
  <c r="I53" i="5" s="1"/>
  <c r="I54" i="5" s="1"/>
  <c r="I55" i="5" s="1"/>
  <c r="I56" i="5" s="1"/>
  <c r="I57" i="5" s="1"/>
  <c r="I58" i="5" s="1"/>
  <c r="I59" i="5" s="1"/>
  <c r="I60" i="5" s="1"/>
  <c r="I61" i="5" s="1"/>
  <c r="I62" i="5" s="1"/>
  <c r="I63" i="5" s="1"/>
  <c r="I64" i="5" s="1"/>
  <c r="I65" i="5" s="1"/>
  <c r="I66" i="5" s="1"/>
  <c r="I67" i="5" s="1"/>
  <c r="I68" i="5" s="1"/>
  <c r="I69" i="5" s="1"/>
  <c r="I70" i="5" s="1"/>
  <c r="I71" i="5" s="1"/>
  <c r="I72" i="5" s="1"/>
  <c r="I73" i="5" s="1"/>
  <c r="I74" i="5" s="1"/>
  <c r="I75" i="5" s="1"/>
  <c r="I76" i="5" s="1"/>
  <c r="I77" i="5" s="1"/>
  <c r="I78" i="5" s="1"/>
  <c r="I79" i="5" s="1"/>
  <c r="I80" i="5" s="1"/>
  <c r="I81" i="5" s="1"/>
  <c r="I82" i="5" s="1"/>
  <c r="I83" i="5" s="1"/>
  <c r="I84" i="5" s="1"/>
  <c r="I85" i="5" s="1"/>
  <c r="I86" i="5" s="1"/>
  <c r="I87" i="5" s="1"/>
  <c r="I88" i="5" s="1"/>
  <c r="I89" i="5" s="1"/>
  <c r="I90" i="5" s="1"/>
  <c r="I91" i="5" s="1"/>
  <c r="I92" i="5" s="1"/>
  <c r="I93" i="5" s="1"/>
  <c r="I94" i="5" s="1"/>
  <c r="I95" i="5" s="1"/>
  <c r="I96" i="5" s="1"/>
  <c r="I97" i="5" s="1"/>
  <c r="I98" i="5" s="1"/>
  <c r="I99" i="5" s="1"/>
  <c r="I100" i="5" s="1"/>
  <c r="I101" i="5" s="1"/>
  <c r="I102" i="5" s="1"/>
  <c r="I103" i="5" s="1"/>
  <c r="I104" i="5" s="1"/>
  <c r="I105" i="5" s="1"/>
  <c r="I106" i="5" s="1"/>
  <c r="I107" i="5" s="1"/>
  <c r="I108" i="5" s="1"/>
  <c r="I109" i="5" s="1"/>
  <c r="I110" i="5" s="1"/>
  <c r="I111" i="5" s="1"/>
  <c r="I112" i="5" s="1"/>
  <c r="I113" i="5" s="1"/>
  <c r="I114" i="5" s="1"/>
  <c r="I115" i="5" s="1"/>
  <c r="I116" i="5" s="1"/>
  <c r="I117" i="5" s="1"/>
  <c r="I118" i="5" s="1"/>
  <c r="I119" i="5" s="1"/>
  <c r="I120" i="5" s="1"/>
  <c r="I121" i="5" s="1"/>
  <c r="I122" i="5" s="1"/>
  <c r="I123" i="5" s="1"/>
  <c r="I124" i="5" s="1"/>
  <c r="I125" i="5" s="1"/>
  <c r="I126" i="5" s="1"/>
  <c r="I127" i="5" s="1"/>
  <c r="I128" i="5" s="1"/>
  <c r="I129" i="5" s="1"/>
  <c r="I130" i="5" s="1"/>
  <c r="I131" i="5" s="1"/>
  <c r="I132" i="5" s="1"/>
  <c r="I133" i="5" s="1"/>
  <c r="I134" i="5" s="1"/>
  <c r="I135" i="5" s="1"/>
  <c r="I136" i="5" s="1"/>
  <c r="I137" i="5" s="1"/>
  <c r="I138" i="5" s="1"/>
  <c r="I139" i="5" s="1"/>
  <c r="I140" i="5" s="1"/>
  <c r="I141" i="5" s="1"/>
  <c r="I142" i="5" s="1"/>
  <c r="I143" i="5" s="1"/>
  <c r="I144" i="5" s="1"/>
  <c r="I145" i="5" s="1"/>
  <c r="I146" i="5" s="1"/>
  <c r="I147" i="5" s="1"/>
  <c r="I148" i="5" s="1"/>
  <c r="I149" i="5" s="1"/>
  <c r="I150" i="5" s="1"/>
  <c r="I151" i="5" s="1"/>
  <c r="I152" i="5" s="1"/>
  <c r="I153" i="5" s="1"/>
  <c r="I154" i="5" s="1"/>
  <c r="I155" i="5" s="1"/>
  <c r="I156" i="5" s="1"/>
  <c r="I157" i="5" s="1"/>
  <c r="I158" i="5" s="1"/>
  <c r="I159" i="5" s="1"/>
  <c r="I160" i="5" s="1"/>
  <c r="I161" i="5" s="1"/>
  <c r="I162" i="5" s="1"/>
  <c r="I163" i="5" s="1"/>
  <c r="I164" i="5" s="1"/>
  <c r="I165" i="5" s="1"/>
  <c r="I166" i="5" s="1"/>
  <c r="I167" i="5" s="1"/>
  <c r="I168" i="5" s="1"/>
  <c r="I169" i="5" s="1"/>
  <c r="I170" i="5" s="1"/>
  <c r="I171" i="5" s="1"/>
  <c r="I172" i="5" s="1"/>
  <c r="I173" i="5" s="1"/>
  <c r="I174" i="5" s="1"/>
  <c r="I175" i="5" s="1"/>
  <c r="I176" i="5" s="1"/>
  <c r="I177" i="5" s="1"/>
  <c r="I178" i="5" s="1"/>
  <c r="I179" i="5" s="1"/>
  <c r="I180" i="5" s="1"/>
  <c r="I181" i="5" s="1"/>
  <c r="I182" i="5" s="1"/>
  <c r="I183" i="5" s="1"/>
  <c r="I184" i="5" s="1"/>
  <c r="I185" i="5" s="1"/>
  <c r="I186" i="5" s="1"/>
  <c r="I187" i="5" s="1"/>
  <c r="I188" i="5" s="1"/>
  <c r="I189" i="5" s="1"/>
  <c r="I190" i="5" s="1"/>
  <c r="I191" i="5" s="1"/>
  <c r="I192" i="5" s="1"/>
  <c r="I193" i="5" s="1"/>
  <c r="I194" i="5" s="1"/>
  <c r="I195" i="5" s="1"/>
  <c r="I196" i="5" s="1"/>
  <c r="I197" i="5" s="1"/>
  <c r="I198" i="5" s="1"/>
  <c r="I199" i="5" s="1"/>
  <c r="I200" i="5" s="1"/>
  <c r="I201" i="5" s="1"/>
  <c r="I202" i="5" s="1"/>
  <c r="I203" i="5" s="1"/>
  <c r="I204" i="5" s="1"/>
  <c r="I205" i="5" s="1"/>
  <c r="I206" i="5" s="1"/>
  <c r="I207" i="5" s="1"/>
  <c r="I208" i="5" s="1"/>
  <c r="I209" i="5" s="1"/>
  <c r="I210" i="5" s="1"/>
  <c r="I211" i="5" s="1"/>
  <c r="I212" i="5" s="1"/>
  <c r="I213" i="5" s="1"/>
  <c r="I214" i="5" s="1"/>
  <c r="I215" i="5" s="1"/>
  <c r="I216" i="5" s="1"/>
  <c r="I217" i="5" s="1"/>
  <c r="I218" i="5" s="1"/>
  <c r="I219" i="5" s="1"/>
  <c r="I220" i="5" s="1"/>
  <c r="I221" i="5" s="1"/>
  <c r="I222" i="5" s="1"/>
  <c r="I223" i="5" s="1"/>
  <c r="I224" i="5" s="1"/>
  <c r="I225" i="5" s="1"/>
  <c r="I226" i="5" s="1"/>
  <c r="I227" i="5" s="1"/>
  <c r="I228" i="5" s="1"/>
  <c r="I229" i="5" s="1"/>
  <c r="I230" i="5" s="1"/>
  <c r="I231" i="5" s="1"/>
  <c r="I232" i="5" s="1"/>
  <c r="I233" i="5" s="1"/>
  <c r="I234" i="5" s="1"/>
  <c r="I235" i="5" s="1"/>
  <c r="I236" i="5" s="1"/>
  <c r="I237" i="5" s="1"/>
  <c r="I238" i="5" s="1"/>
  <c r="I239" i="5" s="1"/>
  <c r="I240" i="5" s="1"/>
  <c r="I241" i="5" s="1"/>
  <c r="I242" i="5" s="1"/>
  <c r="I243" i="5" s="1"/>
  <c r="I244" i="5" s="1"/>
  <c r="I245" i="5" s="1"/>
  <c r="I246" i="5" s="1"/>
  <c r="I247" i="5" s="1"/>
  <c r="I248" i="5" s="1"/>
  <c r="I249" i="5" s="1"/>
  <c r="I250" i="5" s="1"/>
  <c r="I251" i="5" s="1"/>
  <c r="I252" i="5" s="1"/>
  <c r="I253" i="5" s="1"/>
  <c r="I254" i="5" s="1"/>
  <c r="I255" i="5" s="1"/>
  <c r="I256" i="5" s="1"/>
  <c r="I257" i="5" s="1"/>
  <c r="I258" i="5" s="1"/>
  <c r="I259" i="5" s="1"/>
  <c r="I260" i="5" s="1"/>
  <c r="I261" i="5" s="1"/>
  <c r="I262" i="5" s="1"/>
  <c r="I263" i="5" s="1"/>
  <c r="I264" i="5" s="1"/>
  <c r="I265" i="5" s="1"/>
  <c r="I266" i="5" s="1"/>
  <c r="I267" i="5" s="1"/>
  <c r="I268" i="5" s="1"/>
  <c r="I269" i="5" s="1"/>
  <c r="I270" i="5" s="1"/>
  <c r="I271" i="5" s="1"/>
  <c r="I272" i="5" s="1"/>
  <c r="I273" i="5" s="1"/>
  <c r="I274" i="5" s="1"/>
  <c r="I275" i="5" s="1"/>
  <c r="I276" i="5" s="1"/>
  <c r="I277" i="5" s="1"/>
  <c r="I278" i="5" s="1"/>
  <c r="I279" i="5" s="1"/>
  <c r="I280" i="5" s="1"/>
  <c r="I281" i="5" s="1"/>
  <c r="I282" i="5" s="1"/>
  <c r="I283" i="5" s="1"/>
  <c r="I284" i="5" s="1"/>
  <c r="I285" i="5" s="1"/>
  <c r="I286" i="5" s="1"/>
  <c r="I287" i="5" s="1"/>
  <c r="I288" i="5" s="1"/>
  <c r="I289" i="5" s="1"/>
  <c r="I290" i="5" s="1"/>
  <c r="I291" i="5" s="1"/>
  <c r="I292" i="5" s="1"/>
  <c r="I293" i="5" s="1"/>
  <c r="I294" i="5" s="1"/>
  <c r="I295" i="5" s="1"/>
  <c r="I296" i="5" s="1"/>
  <c r="I297" i="5" s="1"/>
  <c r="I298" i="5" s="1"/>
  <c r="I299" i="5" s="1"/>
  <c r="I300" i="5" s="1"/>
  <c r="I301" i="5" s="1"/>
  <c r="I302" i="5" s="1"/>
  <c r="I303" i="5" s="1"/>
  <c r="I304" i="5" s="1"/>
  <c r="I305" i="5" s="1"/>
  <c r="I306" i="5" s="1"/>
  <c r="I307" i="5" s="1"/>
  <c r="I308" i="5" s="1"/>
  <c r="I309" i="5" s="1"/>
  <c r="I310" i="5" s="1"/>
  <c r="I311" i="5" s="1"/>
  <c r="I312" i="5" s="1"/>
  <c r="I313" i="5" s="1"/>
  <c r="I314" i="5" s="1"/>
  <c r="I315" i="5" s="1"/>
  <c r="I316" i="5" s="1"/>
  <c r="I317" i="5" s="1"/>
  <c r="I318" i="5" s="1"/>
  <c r="I319" i="5" s="1"/>
  <c r="I320" i="5" s="1"/>
  <c r="I321" i="5" s="1"/>
  <c r="I322" i="5" s="1"/>
  <c r="I323" i="5" s="1"/>
  <c r="I324" i="5" s="1"/>
  <c r="I325" i="5" s="1"/>
  <c r="I326" i="5" s="1"/>
  <c r="I327" i="5" s="1"/>
  <c r="I328" i="5" s="1"/>
  <c r="I329" i="5" s="1"/>
  <c r="I330" i="5" s="1"/>
  <c r="I331" i="5" s="1"/>
  <c r="I332" i="5" s="1"/>
  <c r="I333" i="5" s="1"/>
  <c r="I334" i="5" s="1"/>
  <c r="I335" i="5" s="1"/>
  <c r="I336" i="5" s="1"/>
  <c r="I337" i="5" s="1"/>
  <c r="I338" i="5" s="1"/>
  <c r="I339" i="5" s="1"/>
  <c r="I340" i="5" s="1"/>
  <c r="I341" i="5" s="1"/>
  <c r="I342" i="5" s="1"/>
  <c r="I343" i="5" s="1"/>
  <c r="I344" i="5" s="1"/>
  <c r="I345" i="5" s="1"/>
  <c r="I346" i="5" s="1"/>
  <c r="I347" i="5" s="1"/>
  <c r="I348" i="5" s="1"/>
  <c r="I349" i="5" s="1"/>
  <c r="I350" i="5" s="1"/>
  <c r="I351" i="5" s="1"/>
  <c r="I352" i="5" s="1"/>
  <c r="I353" i="5" s="1"/>
  <c r="I354" i="5" s="1"/>
  <c r="I355" i="5" s="1"/>
  <c r="I356" i="5" s="1"/>
  <c r="I357" i="5" s="1"/>
  <c r="I358" i="5" s="1"/>
  <c r="I359" i="5" s="1"/>
  <c r="I360" i="5" s="1"/>
  <c r="I361" i="5" s="1"/>
  <c r="I362" i="5" s="1"/>
  <c r="I363" i="5" s="1"/>
  <c r="I364" i="5" s="1"/>
  <c r="I365" i="5" s="1"/>
  <c r="I366" i="5" s="1"/>
  <c r="I367" i="5" s="1"/>
  <c r="I368" i="5" s="1"/>
  <c r="I369" i="5" s="1"/>
  <c r="I370" i="5" s="1"/>
  <c r="I371" i="5" s="1"/>
  <c r="I372" i="5" s="1"/>
  <c r="I373" i="5" s="1"/>
  <c r="I374" i="5" s="1"/>
  <c r="I375" i="5" s="1"/>
  <c r="I376" i="5" s="1"/>
  <c r="I377" i="5" s="1"/>
  <c r="I378" i="5" s="1"/>
  <c r="I379" i="5" s="1"/>
  <c r="I380" i="5" s="1"/>
  <c r="I381" i="5" s="1"/>
  <c r="I382" i="5" s="1"/>
  <c r="I383" i="5" s="1"/>
  <c r="I384" i="5" s="1"/>
  <c r="I385" i="5" s="1"/>
  <c r="I386" i="5" s="1"/>
  <c r="I387" i="5" s="1"/>
  <c r="I388" i="5" s="1"/>
  <c r="I389" i="5" s="1"/>
  <c r="I390" i="5" s="1"/>
  <c r="I391" i="5" s="1"/>
  <c r="I392" i="5" s="1"/>
  <c r="I393" i="5" s="1"/>
  <c r="I394" i="5" s="1"/>
  <c r="I395" i="5" s="1"/>
  <c r="I396" i="5" s="1"/>
  <c r="I397" i="5" s="1"/>
  <c r="I398" i="5" s="1"/>
  <c r="I399" i="5" s="1"/>
  <c r="I400" i="5" s="1"/>
  <c r="I401" i="5" s="1"/>
  <c r="I402" i="5" s="1"/>
  <c r="I403" i="5" s="1"/>
  <c r="I404" i="5" s="1"/>
  <c r="I405" i="5" s="1"/>
  <c r="I406" i="5" s="1"/>
  <c r="I407" i="5" s="1"/>
  <c r="I408" i="5" s="1"/>
  <c r="I409" i="5" s="1"/>
  <c r="I410" i="5" s="1"/>
  <c r="I411" i="5" s="1"/>
  <c r="I412" i="5" s="1"/>
  <c r="I413" i="5" s="1"/>
  <c r="I414" i="5" s="1"/>
  <c r="I415" i="5" s="1"/>
  <c r="I416" i="5" s="1"/>
  <c r="I417" i="5" s="1"/>
  <c r="I418" i="5" s="1"/>
  <c r="I419" i="5" s="1"/>
  <c r="I420" i="5" s="1"/>
  <c r="I421" i="5" s="1"/>
  <c r="I422" i="5" s="1"/>
  <c r="I423" i="5" s="1"/>
  <c r="I424" i="5" s="1"/>
  <c r="I425" i="5" s="1"/>
  <c r="I426" i="5" s="1"/>
  <c r="I427" i="5" s="1"/>
  <c r="I428" i="5" s="1"/>
  <c r="I429" i="5" s="1"/>
  <c r="I430" i="5" s="1"/>
  <c r="I431" i="5" s="1"/>
  <c r="I432" i="5" s="1"/>
  <c r="I433" i="5" s="1"/>
  <c r="I434" i="5" s="1"/>
  <c r="I435" i="5" s="1"/>
  <c r="I436" i="5" s="1"/>
  <c r="I437" i="5" s="1"/>
  <c r="I438" i="5" s="1"/>
  <c r="I439" i="5" s="1"/>
  <c r="I440" i="5" s="1"/>
  <c r="I441" i="5" s="1"/>
  <c r="I442" i="5" s="1"/>
  <c r="I443" i="5" s="1"/>
  <c r="I444" i="5" s="1"/>
  <c r="I445" i="5" s="1"/>
  <c r="I446" i="5" s="1"/>
  <c r="I447" i="5" s="1"/>
  <c r="I448" i="5" s="1"/>
  <c r="I449" i="5" s="1"/>
  <c r="I450" i="5" s="1"/>
  <c r="I451" i="5" s="1"/>
  <c r="I452" i="5" s="1"/>
  <c r="I453" i="5" s="1"/>
  <c r="I454" i="5" s="1"/>
  <c r="I455" i="5" s="1"/>
  <c r="I456" i="5" s="1"/>
  <c r="I457" i="5" s="1"/>
  <c r="I458" i="5" s="1"/>
  <c r="I459" i="5" s="1"/>
  <c r="I460" i="5" s="1"/>
  <c r="I461" i="5" s="1"/>
  <c r="I462" i="5" s="1"/>
  <c r="I463" i="5" s="1"/>
  <c r="I464" i="5" s="1"/>
  <c r="I465" i="5" s="1"/>
  <c r="I466" i="5" s="1"/>
  <c r="I467" i="5" s="1"/>
  <c r="I468" i="5" s="1"/>
  <c r="I469" i="5" s="1"/>
  <c r="I470" i="5" s="1"/>
  <c r="I471" i="5" s="1"/>
  <c r="I472" i="5" s="1"/>
  <c r="I473" i="5" s="1"/>
  <c r="I474" i="5" s="1"/>
  <c r="I475" i="5" s="1"/>
  <c r="I476" i="5" s="1"/>
  <c r="I477" i="5" s="1"/>
  <c r="I478" i="5" s="1"/>
  <c r="I479" i="5" s="1"/>
  <c r="I480" i="5" s="1"/>
  <c r="I481" i="5" s="1"/>
  <c r="I482" i="5" s="1"/>
  <c r="I483" i="5" s="1"/>
  <c r="I484" i="5" s="1"/>
  <c r="I485" i="5" s="1"/>
  <c r="I486" i="5" s="1"/>
  <c r="I487" i="5" s="1"/>
  <c r="I488" i="5" s="1"/>
  <c r="I489" i="5" s="1"/>
  <c r="I490" i="5" s="1"/>
  <c r="I491" i="5" s="1"/>
  <c r="I492" i="5" s="1"/>
  <c r="I493" i="5" s="1"/>
  <c r="I494" i="5" s="1"/>
  <c r="I495" i="5" s="1"/>
  <c r="I496" i="5" s="1"/>
  <c r="I497" i="5" s="1"/>
  <c r="I498" i="5" s="1"/>
  <c r="I499" i="5" s="1"/>
  <c r="I500" i="5" s="1"/>
  <c r="I501" i="5" s="1"/>
  <c r="I502" i="5" s="1"/>
  <c r="I503" i="5" s="1"/>
  <c r="I504" i="5" s="1"/>
  <c r="I505" i="5" s="1"/>
  <c r="I506" i="5" s="1"/>
  <c r="I507" i="5" s="1"/>
  <c r="I508" i="5" s="1"/>
  <c r="I509" i="5" s="1"/>
  <c r="I510" i="5" s="1"/>
  <c r="I511" i="5" s="1"/>
  <c r="I512" i="5" s="1"/>
  <c r="I513" i="5" s="1"/>
  <c r="I514" i="5" s="1"/>
  <c r="I515" i="5" s="1"/>
  <c r="I516" i="5" s="1"/>
  <c r="I517" i="5" s="1"/>
  <c r="I518" i="5" s="1"/>
  <c r="I519" i="5" s="1"/>
  <c r="I520" i="5" s="1"/>
  <c r="I521" i="5" s="1"/>
  <c r="I522" i="5" s="1"/>
  <c r="I523" i="5" s="1"/>
  <c r="I524" i="5" s="1"/>
  <c r="I525" i="5" s="1"/>
  <c r="I526" i="5" s="1"/>
  <c r="I527" i="5" s="1"/>
  <c r="I528" i="5" s="1"/>
  <c r="I529" i="5" s="1"/>
  <c r="I530" i="5" s="1"/>
  <c r="I531" i="5" s="1"/>
  <c r="I532" i="5" s="1"/>
  <c r="I533" i="5" s="1"/>
  <c r="I534" i="5" s="1"/>
  <c r="I535" i="5" s="1"/>
  <c r="I536" i="5" s="1"/>
  <c r="I537" i="5" s="1"/>
  <c r="I538" i="5" s="1"/>
  <c r="I539" i="5" s="1"/>
  <c r="I540" i="5" s="1"/>
  <c r="I541" i="5" s="1"/>
  <c r="I542" i="5" s="1"/>
  <c r="I543" i="5" s="1"/>
  <c r="I544" i="5" s="1"/>
  <c r="I545" i="5" s="1"/>
  <c r="I546" i="5" s="1"/>
  <c r="I547" i="5" s="1"/>
  <c r="I548" i="5" s="1"/>
  <c r="I549" i="5" s="1"/>
  <c r="I550" i="5" s="1"/>
  <c r="I551" i="5" s="1"/>
  <c r="I552" i="5" s="1"/>
  <c r="I553" i="5" s="1"/>
  <c r="I554" i="5" s="1"/>
  <c r="I555" i="5" s="1"/>
  <c r="I556" i="5" s="1"/>
  <c r="I557" i="5" s="1"/>
  <c r="I558" i="5" s="1"/>
  <c r="I559" i="5" s="1"/>
  <c r="I560" i="5" s="1"/>
  <c r="I561" i="5" s="1"/>
  <c r="I562" i="5" s="1"/>
  <c r="I563" i="5" s="1"/>
  <c r="I564" i="5" s="1"/>
  <c r="I565" i="5" s="1"/>
  <c r="I566" i="5" s="1"/>
  <c r="I567" i="5" s="1"/>
  <c r="I568" i="5" s="1"/>
  <c r="I569" i="5" s="1"/>
  <c r="I570" i="5" s="1"/>
  <c r="I571" i="5" s="1"/>
  <c r="I572" i="5" s="1"/>
  <c r="I573" i="5" s="1"/>
  <c r="I574" i="5" s="1"/>
  <c r="I575" i="5" s="1"/>
  <c r="I576" i="5" s="1"/>
  <c r="I577" i="5" s="1"/>
  <c r="I578" i="5" s="1"/>
  <c r="I579" i="5" s="1"/>
  <c r="I580" i="5" s="1"/>
  <c r="I581" i="5" s="1"/>
  <c r="I582" i="5" s="1"/>
  <c r="I583" i="5" s="1"/>
  <c r="I584" i="5" s="1"/>
  <c r="I585" i="5" s="1"/>
  <c r="I586" i="5" s="1"/>
  <c r="I587" i="5" s="1"/>
  <c r="I588" i="5" s="1"/>
  <c r="I589" i="5" s="1"/>
  <c r="I590" i="5" s="1"/>
  <c r="I591" i="5" s="1"/>
  <c r="I592" i="5" s="1"/>
  <c r="I593" i="5" s="1"/>
  <c r="I594" i="5" s="1"/>
  <c r="I595" i="5" s="1"/>
  <c r="I596" i="5" s="1"/>
  <c r="I597" i="5" s="1"/>
  <c r="I598" i="5" s="1"/>
  <c r="I599" i="5" s="1"/>
  <c r="I600" i="5" s="1"/>
  <c r="I601" i="5" s="1"/>
  <c r="I602" i="5" s="1"/>
  <c r="I603" i="5" s="1"/>
  <c r="I604" i="5" s="1"/>
  <c r="I605" i="5" s="1"/>
  <c r="I606" i="5" s="1"/>
  <c r="I607" i="5" s="1"/>
  <c r="I608" i="5" s="1"/>
  <c r="I609" i="5" s="1"/>
  <c r="I610" i="5" s="1"/>
  <c r="I611" i="5" s="1"/>
  <c r="I612" i="5" s="1"/>
  <c r="I613" i="5" s="1"/>
  <c r="I614" i="5" s="1"/>
  <c r="I615" i="5" s="1"/>
  <c r="I616" i="5" s="1"/>
  <c r="I617" i="5" s="1"/>
  <c r="I618" i="5" s="1"/>
  <c r="I619" i="5" s="1"/>
  <c r="I620" i="5" s="1"/>
  <c r="I621" i="5" s="1"/>
  <c r="I622" i="5" s="1"/>
  <c r="I623" i="5" s="1"/>
  <c r="I624" i="5" s="1"/>
  <c r="I625" i="5" s="1"/>
  <c r="I626" i="5" s="1"/>
  <c r="I627" i="5" s="1"/>
  <c r="I628" i="5" s="1"/>
  <c r="I629" i="5" s="1"/>
  <c r="I630" i="5" s="1"/>
  <c r="I631" i="5" s="1"/>
  <c r="I632" i="5" s="1"/>
  <c r="I633" i="5" s="1"/>
  <c r="I634" i="5" s="1"/>
  <c r="I635" i="5" s="1"/>
  <c r="I636" i="5" s="1"/>
  <c r="I637" i="5" s="1"/>
  <c r="I638" i="5" s="1"/>
  <c r="I639" i="5" s="1"/>
  <c r="I640" i="5" s="1"/>
  <c r="I641" i="5" s="1"/>
  <c r="I642" i="5" s="1"/>
  <c r="I643" i="5" s="1"/>
  <c r="I644" i="5" s="1"/>
  <c r="I645" i="5" s="1"/>
  <c r="I646" i="5" s="1"/>
  <c r="I647" i="5" s="1"/>
  <c r="I648" i="5" s="1"/>
  <c r="I649" i="5" s="1"/>
  <c r="I650" i="5" s="1"/>
  <c r="I651" i="5" s="1"/>
  <c r="I652" i="5" s="1"/>
  <c r="I653" i="5" s="1"/>
  <c r="I654" i="5" s="1"/>
  <c r="I655" i="5" s="1"/>
  <c r="I656" i="5" s="1"/>
  <c r="I657" i="5" s="1"/>
  <c r="I658" i="5" s="1"/>
  <c r="I659" i="5" s="1"/>
  <c r="I660" i="5" s="1"/>
  <c r="I661" i="5" s="1"/>
  <c r="I662" i="5" s="1"/>
  <c r="I663" i="5" s="1"/>
  <c r="I664" i="5" s="1"/>
  <c r="I665" i="5" s="1"/>
  <c r="I666" i="5" s="1"/>
  <c r="I667" i="5" s="1"/>
  <c r="I668" i="5" s="1"/>
  <c r="I669" i="5" s="1"/>
  <c r="I670" i="5" s="1"/>
  <c r="I671" i="5" s="1"/>
  <c r="I672" i="5" s="1"/>
  <c r="I673" i="5" s="1"/>
  <c r="I674" i="5" s="1"/>
  <c r="I675" i="5" s="1"/>
  <c r="I676" i="5" s="1"/>
  <c r="I677" i="5" s="1"/>
  <c r="I678" i="5" s="1"/>
  <c r="I679" i="5" s="1"/>
  <c r="I680" i="5" s="1"/>
  <c r="I681" i="5" s="1"/>
  <c r="I682" i="5" s="1"/>
  <c r="I683" i="5" s="1"/>
  <c r="I684" i="5" s="1"/>
  <c r="I685" i="5" s="1"/>
  <c r="I686" i="5" s="1"/>
  <c r="I687" i="5" s="1"/>
  <c r="I688" i="5" s="1"/>
  <c r="I689" i="5" s="1"/>
  <c r="I690" i="5" s="1"/>
  <c r="I691" i="5" s="1"/>
  <c r="I692" i="5" s="1"/>
  <c r="I693" i="5" s="1"/>
  <c r="I694" i="5" s="1"/>
  <c r="I695" i="5" s="1"/>
  <c r="I696" i="5" s="1"/>
  <c r="I697" i="5" s="1"/>
  <c r="I698" i="5" s="1"/>
  <c r="I699" i="5" s="1"/>
  <c r="I700" i="5" s="1"/>
  <c r="I701" i="5" s="1"/>
  <c r="I702" i="5" s="1"/>
  <c r="I703" i="5" s="1"/>
  <c r="I704" i="5" s="1"/>
  <c r="I705" i="5" s="1"/>
  <c r="I706" i="5" s="1"/>
  <c r="I707" i="5" s="1"/>
  <c r="I708" i="5" s="1"/>
  <c r="I709" i="5" s="1"/>
  <c r="I710" i="5" s="1"/>
  <c r="I711" i="5" s="1"/>
  <c r="I712" i="5" s="1"/>
  <c r="I713" i="5" s="1"/>
  <c r="I714" i="5" s="1"/>
  <c r="I715" i="5" s="1"/>
  <c r="I716" i="5" s="1"/>
  <c r="I717" i="5" s="1"/>
  <c r="I718" i="5" s="1"/>
  <c r="I719" i="5" s="1"/>
  <c r="I720" i="5" s="1"/>
  <c r="I721" i="5" s="1"/>
  <c r="I722" i="5" s="1"/>
  <c r="I723" i="5" s="1"/>
  <c r="I724" i="5" s="1"/>
  <c r="I725" i="5" s="1"/>
  <c r="I726" i="5" s="1"/>
  <c r="I727" i="5" s="1"/>
  <c r="I728" i="5" s="1"/>
  <c r="I729" i="5" s="1"/>
  <c r="I730" i="5" s="1"/>
  <c r="I731" i="5" s="1"/>
  <c r="I732" i="5" s="1"/>
  <c r="I733" i="5" s="1"/>
  <c r="I734" i="5" s="1"/>
  <c r="I735" i="5" s="1"/>
  <c r="I736" i="5" s="1"/>
  <c r="I737" i="5" s="1"/>
  <c r="I738" i="5" s="1"/>
  <c r="I739" i="5" s="1"/>
  <c r="I740" i="5" s="1"/>
  <c r="I741" i="5" s="1"/>
  <c r="I742" i="5" s="1"/>
  <c r="I743" i="5" s="1"/>
  <c r="I744" i="5" s="1"/>
  <c r="I745" i="5" s="1"/>
  <c r="I746" i="5" s="1"/>
  <c r="I747" i="5" s="1"/>
  <c r="I748" i="5" s="1"/>
  <c r="I749" i="5" s="1"/>
  <c r="I750" i="5" s="1"/>
  <c r="I751" i="5" s="1"/>
  <c r="I752" i="5" s="1"/>
  <c r="I753" i="5" s="1"/>
  <c r="I754" i="5" s="1"/>
  <c r="I755" i="5" s="1"/>
  <c r="I756" i="5" s="1"/>
  <c r="I757" i="5" s="1"/>
  <c r="I758" i="5" s="1"/>
  <c r="I759" i="5" s="1"/>
  <c r="I760" i="5" s="1"/>
  <c r="I761" i="5" s="1"/>
  <c r="I762" i="5" s="1"/>
  <c r="I763" i="5" s="1"/>
  <c r="I764" i="5" s="1"/>
  <c r="I765" i="5" s="1"/>
  <c r="I766" i="5" s="1"/>
  <c r="I767" i="5" s="1"/>
  <c r="I768" i="5" s="1"/>
  <c r="I769" i="5" s="1"/>
  <c r="I770" i="5" s="1"/>
  <c r="I771" i="5" s="1"/>
  <c r="I772" i="5" s="1"/>
  <c r="I773" i="5" s="1"/>
  <c r="I774" i="5" s="1"/>
  <c r="I775" i="5" s="1"/>
  <c r="I776" i="5" s="1"/>
  <c r="I777" i="5" s="1"/>
  <c r="I778" i="5" s="1"/>
  <c r="I779" i="5" s="1"/>
  <c r="I780" i="5" s="1"/>
  <c r="I781" i="5" s="1"/>
  <c r="I782" i="5" s="1"/>
  <c r="I783" i="5" s="1"/>
  <c r="I784" i="5" s="1"/>
  <c r="I785" i="5" s="1"/>
  <c r="I786" i="5" s="1"/>
  <c r="I787" i="5" s="1"/>
  <c r="I788" i="5" s="1"/>
  <c r="I789" i="5" s="1"/>
  <c r="I790" i="5" s="1"/>
  <c r="I791" i="5" s="1"/>
  <c r="I792" i="5" s="1"/>
  <c r="I793" i="5" s="1"/>
  <c r="I794" i="5" s="1"/>
  <c r="I795" i="5" s="1"/>
  <c r="I796" i="5" s="1"/>
  <c r="I797" i="5" s="1"/>
  <c r="I798" i="5" s="1"/>
  <c r="I799" i="5" s="1"/>
  <c r="I800" i="5" s="1"/>
  <c r="I801" i="5" s="1"/>
  <c r="I802" i="5" s="1"/>
  <c r="I803" i="5" s="1"/>
  <c r="I804" i="5" s="1"/>
  <c r="I805" i="5" s="1"/>
  <c r="I806" i="5" s="1"/>
  <c r="I807" i="5" s="1"/>
  <c r="I808" i="5" s="1"/>
  <c r="I809" i="5" s="1"/>
  <c r="I810" i="5" s="1"/>
  <c r="I811" i="5" s="1"/>
  <c r="I812" i="5" s="1"/>
  <c r="I813" i="5" s="1"/>
  <c r="I814" i="5" s="1"/>
  <c r="I815" i="5" s="1"/>
  <c r="I816" i="5" s="1"/>
  <c r="I817" i="5" s="1"/>
  <c r="I818" i="5" s="1"/>
  <c r="I819" i="5" s="1"/>
  <c r="I820" i="5" s="1"/>
  <c r="I821" i="5" s="1"/>
  <c r="I822" i="5" s="1"/>
  <c r="I823" i="5" s="1"/>
  <c r="I824" i="5" s="1"/>
  <c r="I825" i="5" s="1"/>
  <c r="I826" i="5" s="1"/>
  <c r="I827" i="5" s="1"/>
  <c r="I828" i="5" s="1"/>
  <c r="I829" i="5" s="1"/>
  <c r="I830" i="5" s="1"/>
  <c r="I831" i="5" s="1"/>
  <c r="I832" i="5" s="1"/>
  <c r="I833" i="5" s="1"/>
  <c r="I834" i="5" s="1"/>
  <c r="I835" i="5" s="1"/>
  <c r="I836" i="5" s="1"/>
  <c r="I837" i="5" s="1"/>
  <c r="I838" i="5" s="1"/>
  <c r="I839" i="5" s="1"/>
  <c r="I840" i="5" s="1"/>
  <c r="I841" i="5" s="1"/>
  <c r="I842" i="5" s="1"/>
  <c r="I843" i="5" s="1"/>
  <c r="I844" i="5" s="1"/>
  <c r="I845" i="5" s="1"/>
  <c r="I846" i="5" s="1"/>
  <c r="I847" i="5" s="1"/>
  <c r="I848" i="5" s="1"/>
  <c r="I849" i="5" s="1"/>
  <c r="I850" i="5" s="1"/>
  <c r="I851" i="5" s="1"/>
  <c r="I852" i="5" s="1"/>
  <c r="I853" i="5" s="1"/>
  <c r="I854" i="5" s="1"/>
  <c r="I855" i="5" s="1"/>
  <c r="I856" i="5" s="1"/>
  <c r="I857" i="5" s="1"/>
  <c r="I858" i="5" s="1"/>
  <c r="I859" i="5" s="1"/>
  <c r="I860" i="5" s="1"/>
  <c r="I861" i="5" s="1"/>
  <c r="I862" i="5" s="1"/>
  <c r="I863" i="5" s="1"/>
  <c r="I864" i="5" s="1"/>
  <c r="I865" i="5" s="1"/>
  <c r="I866" i="5" s="1"/>
  <c r="I867" i="5" s="1"/>
  <c r="I868" i="5" s="1"/>
  <c r="I869" i="5" s="1"/>
  <c r="I870" i="5" s="1"/>
  <c r="I871" i="5" s="1"/>
  <c r="I872" i="5" s="1"/>
  <c r="I873" i="5" s="1"/>
  <c r="I874" i="5" s="1"/>
  <c r="I875" i="5" s="1"/>
  <c r="I876" i="5" s="1"/>
  <c r="I877" i="5" s="1"/>
  <c r="I878" i="5" s="1"/>
  <c r="I879" i="5" s="1"/>
  <c r="I880" i="5" s="1"/>
  <c r="I881" i="5" s="1"/>
  <c r="I882" i="5" s="1"/>
  <c r="I883" i="5" s="1"/>
  <c r="I884" i="5" s="1"/>
  <c r="I885" i="5" s="1"/>
  <c r="I886" i="5" s="1"/>
  <c r="I887" i="5" s="1"/>
  <c r="I888" i="5" s="1"/>
  <c r="I889" i="5" s="1"/>
  <c r="I890" i="5" s="1"/>
  <c r="I891" i="5" s="1"/>
  <c r="I892" i="5" s="1"/>
  <c r="I893" i="5" s="1"/>
  <c r="I894" i="5" s="1"/>
  <c r="I895" i="5" s="1"/>
  <c r="I896" i="5" s="1"/>
  <c r="I897" i="5" s="1"/>
  <c r="I898" i="5" s="1"/>
  <c r="I899" i="5" s="1"/>
  <c r="I900" i="5" s="1"/>
  <c r="I901" i="5" s="1"/>
  <c r="I902" i="5" s="1"/>
  <c r="I903" i="5" s="1"/>
  <c r="I904" i="5" s="1"/>
  <c r="I905" i="5" s="1"/>
  <c r="I906" i="5" s="1"/>
  <c r="I907" i="5" s="1"/>
  <c r="I908" i="5" s="1"/>
  <c r="I909" i="5" s="1"/>
  <c r="I910" i="5" s="1"/>
  <c r="I911" i="5" s="1"/>
  <c r="I912" i="5" s="1"/>
  <c r="I913" i="5" s="1"/>
  <c r="I914" i="5" s="1"/>
  <c r="I915" i="5" s="1"/>
  <c r="I916" i="5" s="1"/>
  <c r="I917" i="5" s="1"/>
  <c r="I918" i="5" s="1"/>
  <c r="I919" i="5" s="1"/>
  <c r="I920" i="5" s="1"/>
  <c r="I921" i="5" s="1"/>
  <c r="I922" i="5" s="1"/>
  <c r="I923" i="5" s="1"/>
  <c r="I924" i="5" s="1"/>
  <c r="I925" i="5" s="1"/>
  <c r="I926" i="5" s="1"/>
  <c r="I927" i="5" s="1"/>
  <c r="I928" i="5" s="1"/>
  <c r="I929" i="5" s="1"/>
  <c r="I930" i="5" s="1"/>
  <c r="I931" i="5" s="1"/>
  <c r="I932" i="5" s="1"/>
  <c r="I933" i="5" s="1"/>
  <c r="I934" i="5" s="1"/>
  <c r="I935" i="5" s="1"/>
  <c r="I936" i="5" s="1"/>
  <c r="I937" i="5" s="1"/>
  <c r="I938" i="5" s="1"/>
  <c r="I939" i="5" s="1"/>
  <c r="I940" i="5" s="1"/>
  <c r="I941" i="5" s="1"/>
  <c r="I942" i="5" s="1"/>
  <c r="I943" i="5" s="1"/>
  <c r="I944" i="5" s="1"/>
  <c r="I945" i="5" s="1"/>
  <c r="I946" i="5" s="1"/>
  <c r="I947" i="5" s="1"/>
  <c r="I948" i="5" s="1"/>
  <c r="I949" i="5" s="1"/>
  <c r="I950" i="5" s="1"/>
  <c r="I951" i="5" s="1"/>
  <c r="I952" i="5" s="1"/>
  <c r="I953" i="5" s="1"/>
  <c r="I954" i="5" s="1"/>
  <c r="I955" i="5" s="1"/>
  <c r="I956" i="5" s="1"/>
  <c r="I957" i="5" s="1"/>
  <c r="I958" i="5" s="1"/>
  <c r="I959" i="5" s="1"/>
  <c r="I960" i="5" s="1"/>
  <c r="I961" i="5" s="1"/>
  <c r="I962" i="5" s="1"/>
  <c r="I963" i="5" s="1"/>
  <c r="I964" i="5" s="1"/>
  <c r="I965" i="5" s="1"/>
  <c r="I966" i="5" s="1"/>
  <c r="I967" i="5" s="1"/>
  <c r="I968" i="5" s="1"/>
  <c r="I969" i="5" s="1"/>
  <c r="I970" i="5" s="1"/>
  <c r="I971" i="5" s="1"/>
  <c r="I972" i="5" s="1"/>
  <c r="I973" i="5" s="1"/>
  <c r="I974" i="5" s="1"/>
  <c r="I975" i="5" s="1"/>
  <c r="I976" i="5" s="1"/>
  <c r="I977" i="5" s="1"/>
  <c r="I978" i="5" s="1"/>
  <c r="I979" i="5" s="1"/>
  <c r="I980" i="5" s="1"/>
  <c r="I981" i="5" s="1"/>
  <c r="I982" i="5" s="1"/>
  <c r="I983" i="5" s="1"/>
  <c r="I984" i="5" s="1"/>
  <c r="I985" i="5" s="1"/>
  <c r="I986" i="5" s="1"/>
  <c r="I987" i="5" s="1"/>
  <c r="I988" i="5" s="1"/>
  <c r="I989" i="5" s="1"/>
  <c r="I990" i="5" s="1"/>
  <c r="I991" i="5" s="1"/>
  <c r="I992" i="5" s="1"/>
  <c r="I993" i="5" s="1"/>
  <c r="I994" i="5" s="1"/>
  <c r="I995" i="5" s="1"/>
  <c r="I996" i="5" s="1"/>
  <c r="I997" i="5" s="1"/>
  <c r="I998" i="5" s="1"/>
  <c r="I999" i="5" s="1"/>
  <c r="I1000" i="5" s="1"/>
  <c r="I1001" i="5" s="1"/>
  <c r="K4" i="5"/>
  <c r="K5" i="5" s="1"/>
  <c r="K6" i="5" s="1"/>
  <c r="K7" i="5" s="1"/>
  <c r="K8" i="5" s="1"/>
  <c r="K9" i="5" s="1"/>
  <c r="K10" i="5" s="1"/>
  <c r="K11" i="5" s="1"/>
  <c r="K12" i="5" s="1"/>
  <c r="K13" i="5" s="1"/>
  <c r="K14" i="5" s="1"/>
  <c r="K15" i="5" s="1"/>
  <c r="K16" i="5" s="1"/>
  <c r="K17" i="5" s="1"/>
  <c r="K18" i="5" s="1"/>
  <c r="K19" i="5" s="1"/>
  <c r="K20" i="5" s="1"/>
  <c r="K21" i="5" s="1"/>
  <c r="K22" i="5" s="1"/>
  <c r="K23" i="5" s="1"/>
  <c r="K24" i="5" s="1"/>
  <c r="K25" i="5" s="1"/>
  <c r="K26" i="5" s="1"/>
  <c r="K27" i="5" s="1"/>
  <c r="K28" i="5" s="1"/>
  <c r="K29" i="5" s="1"/>
  <c r="K30" i="5" s="1"/>
  <c r="K31" i="5" s="1"/>
  <c r="K32" i="5" s="1"/>
  <c r="K33" i="5" s="1"/>
  <c r="K34" i="5" s="1"/>
  <c r="K35" i="5" s="1"/>
  <c r="K36" i="5" s="1"/>
  <c r="K37" i="5" s="1"/>
  <c r="K38" i="5" s="1"/>
  <c r="K39" i="5" s="1"/>
  <c r="K40" i="5" s="1"/>
  <c r="K41" i="5" s="1"/>
  <c r="K42" i="5" s="1"/>
  <c r="K43" i="5" s="1"/>
  <c r="K44" i="5" s="1"/>
  <c r="K45" i="5" s="1"/>
  <c r="K46" i="5" s="1"/>
  <c r="K47" i="5" s="1"/>
  <c r="K48" i="5" s="1"/>
  <c r="K49" i="5" s="1"/>
  <c r="K50" i="5" s="1"/>
  <c r="K51" i="5" s="1"/>
  <c r="K52" i="5" s="1"/>
  <c r="K53" i="5" s="1"/>
  <c r="K54" i="5" s="1"/>
  <c r="K55" i="5" s="1"/>
  <c r="K56" i="5" s="1"/>
  <c r="K57" i="5" s="1"/>
  <c r="K58" i="5" s="1"/>
  <c r="K59" i="5" s="1"/>
  <c r="K60" i="5" s="1"/>
  <c r="K61" i="5" s="1"/>
  <c r="K62" i="5" s="1"/>
  <c r="K63" i="5" s="1"/>
  <c r="K64" i="5" s="1"/>
  <c r="K65" i="5" s="1"/>
  <c r="K66" i="5" s="1"/>
  <c r="K67" i="5" s="1"/>
  <c r="K68" i="5" s="1"/>
  <c r="K69" i="5" s="1"/>
  <c r="K70" i="5" s="1"/>
  <c r="K71" i="5" s="1"/>
  <c r="K72" i="5" s="1"/>
  <c r="K73" i="5" s="1"/>
  <c r="K74" i="5" s="1"/>
  <c r="K75" i="5" s="1"/>
  <c r="K76" i="5" s="1"/>
  <c r="K77" i="5" s="1"/>
  <c r="K78" i="5" s="1"/>
  <c r="K79" i="5" s="1"/>
  <c r="K80" i="5" s="1"/>
  <c r="K81" i="5" s="1"/>
  <c r="K82" i="5" s="1"/>
  <c r="K83" i="5" s="1"/>
  <c r="K84" i="5" s="1"/>
  <c r="K85" i="5" s="1"/>
  <c r="K86" i="5" s="1"/>
  <c r="K87" i="5" s="1"/>
  <c r="K88" i="5" s="1"/>
  <c r="K89" i="5" s="1"/>
  <c r="K90" i="5" s="1"/>
  <c r="K91" i="5" s="1"/>
  <c r="K92" i="5" s="1"/>
  <c r="K93" i="5" s="1"/>
  <c r="K94" i="5" s="1"/>
  <c r="K95" i="5" s="1"/>
  <c r="K96" i="5" s="1"/>
  <c r="K97" i="5" s="1"/>
  <c r="K98" i="5" s="1"/>
  <c r="K99" i="5" s="1"/>
  <c r="K100" i="5" s="1"/>
  <c r="K101" i="5" s="1"/>
  <c r="K102" i="5" s="1"/>
  <c r="K103" i="5" s="1"/>
  <c r="K104" i="5" s="1"/>
  <c r="K105" i="5" s="1"/>
  <c r="K106" i="5" s="1"/>
  <c r="K107" i="5" s="1"/>
  <c r="K108" i="5" s="1"/>
  <c r="K109" i="5" s="1"/>
  <c r="K110" i="5" s="1"/>
  <c r="K111" i="5" s="1"/>
  <c r="K112" i="5" s="1"/>
  <c r="K113" i="5" s="1"/>
  <c r="K114" i="5" s="1"/>
  <c r="K115" i="5" s="1"/>
  <c r="K116" i="5" s="1"/>
  <c r="K117" i="5" s="1"/>
  <c r="K118" i="5" s="1"/>
  <c r="K119" i="5" s="1"/>
  <c r="K120" i="5" s="1"/>
  <c r="K121" i="5" s="1"/>
  <c r="K122" i="5" s="1"/>
  <c r="K123" i="5" s="1"/>
  <c r="K124" i="5" s="1"/>
  <c r="K125" i="5" s="1"/>
  <c r="K126" i="5" s="1"/>
  <c r="K127" i="5" s="1"/>
  <c r="K128" i="5" s="1"/>
  <c r="K129" i="5" s="1"/>
  <c r="K130" i="5" s="1"/>
  <c r="K131" i="5" s="1"/>
  <c r="K132" i="5" s="1"/>
  <c r="K133" i="5" s="1"/>
  <c r="K134" i="5" s="1"/>
  <c r="K135" i="5" s="1"/>
  <c r="K136" i="5" s="1"/>
  <c r="K137" i="5" s="1"/>
  <c r="K138" i="5" s="1"/>
  <c r="K139" i="5" s="1"/>
  <c r="K140" i="5" s="1"/>
  <c r="K141" i="5" s="1"/>
  <c r="K142" i="5" s="1"/>
  <c r="K143" i="5" s="1"/>
  <c r="K144" i="5" s="1"/>
  <c r="K145" i="5" s="1"/>
  <c r="K146" i="5" s="1"/>
  <c r="K147" i="5" s="1"/>
  <c r="K148" i="5" s="1"/>
  <c r="K149" i="5" s="1"/>
  <c r="K150" i="5" s="1"/>
  <c r="K151" i="5" s="1"/>
  <c r="K152" i="5" s="1"/>
  <c r="K153" i="5" s="1"/>
  <c r="K154" i="5" s="1"/>
  <c r="K155" i="5" s="1"/>
  <c r="K156" i="5" s="1"/>
  <c r="K157" i="5" s="1"/>
  <c r="K158" i="5" s="1"/>
  <c r="K159" i="5" s="1"/>
  <c r="K160" i="5" s="1"/>
  <c r="K161" i="5" s="1"/>
  <c r="K162" i="5" s="1"/>
  <c r="K163" i="5" s="1"/>
  <c r="K164" i="5" s="1"/>
  <c r="K165" i="5" s="1"/>
  <c r="K166" i="5" s="1"/>
  <c r="K167" i="5" s="1"/>
  <c r="K168" i="5" s="1"/>
  <c r="K169" i="5" s="1"/>
  <c r="K170" i="5" s="1"/>
  <c r="K171" i="5" s="1"/>
  <c r="K172" i="5" s="1"/>
  <c r="K173" i="5" s="1"/>
  <c r="K174" i="5" s="1"/>
  <c r="K175" i="5" s="1"/>
  <c r="K176" i="5" s="1"/>
  <c r="K177" i="5" s="1"/>
  <c r="K178" i="5" s="1"/>
  <c r="K179" i="5" s="1"/>
  <c r="K180" i="5" s="1"/>
  <c r="K181" i="5" s="1"/>
  <c r="K182" i="5" s="1"/>
  <c r="K183" i="5" s="1"/>
  <c r="K184" i="5" s="1"/>
  <c r="K185" i="5" s="1"/>
  <c r="K186" i="5" s="1"/>
  <c r="K187" i="5" s="1"/>
  <c r="K188" i="5" s="1"/>
  <c r="K189" i="5" s="1"/>
  <c r="K190" i="5" s="1"/>
  <c r="K191" i="5" s="1"/>
  <c r="K192" i="5" s="1"/>
  <c r="K193" i="5" s="1"/>
  <c r="K194" i="5" s="1"/>
  <c r="K195" i="5" s="1"/>
  <c r="K196" i="5" s="1"/>
  <c r="K197" i="5" s="1"/>
  <c r="K198" i="5" s="1"/>
  <c r="K199" i="5" s="1"/>
  <c r="K200" i="5" s="1"/>
  <c r="K201" i="5" s="1"/>
  <c r="K202" i="5" s="1"/>
  <c r="K203" i="5" s="1"/>
  <c r="K204" i="5" s="1"/>
  <c r="K205" i="5" s="1"/>
  <c r="K206" i="5" s="1"/>
  <c r="K207" i="5" s="1"/>
  <c r="K208" i="5" s="1"/>
  <c r="K209" i="5" s="1"/>
  <c r="K210" i="5" s="1"/>
  <c r="K211" i="5" s="1"/>
  <c r="K212" i="5" s="1"/>
  <c r="K213" i="5" s="1"/>
  <c r="K214" i="5" s="1"/>
  <c r="K215" i="5" s="1"/>
  <c r="K216" i="5" s="1"/>
  <c r="K217" i="5" s="1"/>
  <c r="K218" i="5" s="1"/>
  <c r="K219" i="5" s="1"/>
  <c r="K220" i="5" s="1"/>
  <c r="K221" i="5" s="1"/>
  <c r="K222" i="5" s="1"/>
  <c r="K223" i="5" s="1"/>
  <c r="K224" i="5" s="1"/>
  <c r="K225" i="5" s="1"/>
  <c r="K226" i="5" s="1"/>
  <c r="K227" i="5" s="1"/>
  <c r="K228" i="5" s="1"/>
  <c r="K229" i="5" s="1"/>
  <c r="K230" i="5" s="1"/>
  <c r="K231" i="5" s="1"/>
  <c r="K232" i="5" s="1"/>
  <c r="K233" i="5" s="1"/>
  <c r="K234" i="5" s="1"/>
  <c r="K235" i="5" s="1"/>
  <c r="K236" i="5" s="1"/>
  <c r="K237" i="5" s="1"/>
  <c r="K238" i="5" s="1"/>
  <c r="K239" i="5" s="1"/>
  <c r="K240" i="5" s="1"/>
  <c r="K241" i="5" s="1"/>
  <c r="K242" i="5" s="1"/>
  <c r="K243" i="5" s="1"/>
  <c r="K244" i="5" s="1"/>
  <c r="K245" i="5" s="1"/>
  <c r="K246" i="5" s="1"/>
  <c r="K247" i="5" s="1"/>
  <c r="K248" i="5" s="1"/>
  <c r="K249" i="5" s="1"/>
  <c r="K250" i="5" s="1"/>
  <c r="K251" i="5" s="1"/>
  <c r="K252" i="5" s="1"/>
  <c r="K253" i="5" s="1"/>
  <c r="K254" i="5" s="1"/>
  <c r="K255" i="5" s="1"/>
  <c r="K256" i="5" s="1"/>
  <c r="K257" i="5" s="1"/>
  <c r="K258" i="5" s="1"/>
  <c r="K259" i="5" s="1"/>
  <c r="K260" i="5" s="1"/>
  <c r="K261" i="5" s="1"/>
  <c r="K262" i="5" s="1"/>
  <c r="K263" i="5" s="1"/>
  <c r="K264" i="5" s="1"/>
  <c r="K265" i="5" s="1"/>
  <c r="K266" i="5" s="1"/>
  <c r="K267" i="5" s="1"/>
  <c r="K268" i="5" s="1"/>
  <c r="K269" i="5" s="1"/>
  <c r="K270" i="5" s="1"/>
  <c r="K271" i="5" s="1"/>
  <c r="K272" i="5" s="1"/>
  <c r="K273" i="5" s="1"/>
  <c r="K274" i="5" s="1"/>
  <c r="K275" i="5" s="1"/>
  <c r="K276" i="5" s="1"/>
  <c r="K277" i="5" s="1"/>
  <c r="K278" i="5" s="1"/>
  <c r="K279" i="5" s="1"/>
  <c r="K280" i="5" s="1"/>
  <c r="K281" i="5" s="1"/>
  <c r="K282" i="5" s="1"/>
  <c r="K283" i="5" s="1"/>
  <c r="K284" i="5" s="1"/>
  <c r="K285" i="5" s="1"/>
  <c r="K286" i="5" s="1"/>
  <c r="K287" i="5" s="1"/>
  <c r="K288" i="5" s="1"/>
  <c r="K289" i="5" s="1"/>
  <c r="K290" i="5" s="1"/>
  <c r="K291" i="5" s="1"/>
  <c r="K292" i="5" s="1"/>
  <c r="K293" i="5" s="1"/>
  <c r="K294" i="5" s="1"/>
  <c r="K295" i="5" s="1"/>
  <c r="K296" i="5" s="1"/>
  <c r="K297" i="5" s="1"/>
  <c r="K298" i="5" s="1"/>
  <c r="K299" i="5" s="1"/>
  <c r="K300" i="5" s="1"/>
  <c r="K301" i="5" s="1"/>
  <c r="K302" i="5" s="1"/>
  <c r="K303" i="5" s="1"/>
  <c r="K304" i="5" s="1"/>
  <c r="K305" i="5" s="1"/>
  <c r="K306" i="5" s="1"/>
  <c r="K307" i="5" s="1"/>
  <c r="K308" i="5" s="1"/>
  <c r="K309" i="5" s="1"/>
  <c r="K310" i="5" s="1"/>
  <c r="K311" i="5" s="1"/>
  <c r="K312" i="5" s="1"/>
  <c r="K313" i="5" s="1"/>
  <c r="K314" i="5" s="1"/>
  <c r="K315" i="5" s="1"/>
  <c r="K316" i="5" s="1"/>
  <c r="K317" i="5" s="1"/>
  <c r="K318" i="5" s="1"/>
  <c r="K319" i="5" s="1"/>
  <c r="K320" i="5" s="1"/>
  <c r="K321" i="5" s="1"/>
  <c r="K322" i="5" s="1"/>
  <c r="K323" i="5" s="1"/>
  <c r="K324" i="5" s="1"/>
  <c r="K325" i="5" s="1"/>
  <c r="K326" i="5" s="1"/>
  <c r="K327" i="5" s="1"/>
  <c r="K328" i="5" s="1"/>
  <c r="K329" i="5" s="1"/>
  <c r="K330" i="5" s="1"/>
  <c r="K331" i="5" s="1"/>
  <c r="K332" i="5" s="1"/>
  <c r="K333" i="5" s="1"/>
  <c r="K334" i="5" s="1"/>
  <c r="K335" i="5" s="1"/>
  <c r="K336" i="5" s="1"/>
  <c r="K337" i="5" s="1"/>
  <c r="K338" i="5" s="1"/>
  <c r="K339" i="5" s="1"/>
  <c r="K340" i="5" s="1"/>
  <c r="K341" i="5" s="1"/>
  <c r="K342" i="5" s="1"/>
  <c r="K343" i="5" s="1"/>
  <c r="K344" i="5" s="1"/>
  <c r="K345" i="5" s="1"/>
  <c r="K346" i="5" s="1"/>
  <c r="K347" i="5" s="1"/>
  <c r="K348" i="5" s="1"/>
  <c r="K349" i="5" s="1"/>
  <c r="K350" i="5" s="1"/>
  <c r="K351" i="5" s="1"/>
  <c r="K352" i="5" s="1"/>
  <c r="K353" i="5" s="1"/>
  <c r="K354" i="5" s="1"/>
  <c r="K355" i="5" s="1"/>
  <c r="K356" i="5" s="1"/>
  <c r="K357" i="5" s="1"/>
  <c r="K358" i="5" s="1"/>
  <c r="K359" i="5" s="1"/>
  <c r="K360" i="5" s="1"/>
  <c r="K361" i="5" s="1"/>
  <c r="K362" i="5" s="1"/>
  <c r="K363" i="5" s="1"/>
  <c r="K364" i="5" s="1"/>
  <c r="K365" i="5" s="1"/>
  <c r="K366" i="5" s="1"/>
  <c r="K367" i="5" s="1"/>
  <c r="K368" i="5" s="1"/>
  <c r="K369" i="5" s="1"/>
  <c r="K370" i="5" s="1"/>
  <c r="K371" i="5" s="1"/>
  <c r="K372" i="5" s="1"/>
  <c r="K373" i="5" s="1"/>
  <c r="K374" i="5" s="1"/>
  <c r="K375" i="5" s="1"/>
  <c r="K376" i="5" s="1"/>
  <c r="K377" i="5" s="1"/>
  <c r="K378" i="5" s="1"/>
  <c r="K379" i="5" s="1"/>
  <c r="K380" i="5" s="1"/>
  <c r="K381" i="5" s="1"/>
  <c r="K382" i="5" s="1"/>
  <c r="K383" i="5" s="1"/>
  <c r="K384" i="5" s="1"/>
  <c r="K385" i="5" s="1"/>
  <c r="K386" i="5" s="1"/>
  <c r="K387" i="5" s="1"/>
  <c r="K388" i="5" s="1"/>
  <c r="K389" i="5" s="1"/>
  <c r="K390" i="5" s="1"/>
  <c r="K391" i="5" s="1"/>
  <c r="K392" i="5" s="1"/>
  <c r="K393" i="5" s="1"/>
  <c r="K394" i="5" s="1"/>
  <c r="K395" i="5" s="1"/>
  <c r="K396" i="5" s="1"/>
  <c r="K397" i="5" s="1"/>
  <c r="K398" i="5" s="1"/>
  <c r="K399" i="5" s="1"/>
  <c r="K400" i="5" s="1"/>
  <c r="K401" i="5" s="1"/>
  <c r="K402" i="5" s="1"/>
  <c r="K403" i="5" s="1"/>
  <c r="K404" i="5" s="1"/>
  <c r="K405" i="5" s="1"/>
  <c r="K406" i="5" s="1"/>
  <c r="K407" i="5" s="1"/>
  <c r="K408" i="5" s="1"/>
  <c r="K409" i="5" s="1"/>
  <c r="K410" i="5" s="1"/>
  <c r="K411" i="5" s="1"/>
  <c r="K412" i="5" s="1"/>
  <c r="K413" i="5" s="1"/>
  <c r="K414" i="5" s="1"/>
  <c r="K415" i="5" s="1"/>
  <c r="K416" i="5" s="1"/>
  <c r="K417" i="5" s="1"/>
  <c r="K418" i="5" s="1"/>
  <c r="K419" i="5" s="1"/>
  <c r="K420" i="5" s="1"/>
  <c r="K421" i="5" s="1"/>
  <c r="K422" i="5" s="1"/>
  <c r="K423" i="5" s="1"/>
  <c r="K424" i="5" s="1"/>
  <c r="K425" i="5" s="1"/>
  <c r="K426" i="5" s="1"/>
  <c r="K427" i="5" s="1"/>
  <c r="K428" i="5" s="1"/>
  <c r="K429" i="5" s="1"/>
  <c r="K430" i="5" s="1"/>
  <c r="K431" i="5" s="1"/>
  <c r="K432" i="5" s="1"/>
  <c r="K433" i="5" s="1"/>
  <c r="K434" i="5" s="1"/>
  <c r="K435" i="5" s="1"/>
  <c r="K436" i="5" s="1"/>
  <c r="K437" i="5" s="1"/>
  <c r="K438" i="5" s="1"/>
  <c r="K439" i="5" s="1"/>
  <c r="K440" i="5" s="1"/>
  <c r="K441" i="5" s="1"/>
  <c r="K442" i="5" s="1"/>
  <c r="K443" i="5" s="1"/>
  <c r="K444" i="5" s="1"/>
  <c r="K445" i="5" s="1"/>
  <c r="K446" i="5" s="1"/>
  <c r="K447" i="5" s="1"/>
  <c r="K448" i="5" s="1"/>
  <c r="K449" i="5" s="1"/>
  <c r="K450" i="5" s="1"/>
  <c r="K451" i="5" s="1"/>
  <c r="K452" i="5" s="1"/>
  <c r="K453" i="5" s="1"/>
  <c r="K454" i="5" s="1"/>
  <c r="K455" i="5" s="1"/>
  <c r="K456" i="5" s="1"/>
  <c r="K457" i="5" s="1"/>
  <c r="K458" i="5" s="1"/>
  <c r="K459" i="5" s="1"/>
  <c r="K460" i="5" s="1"/>
  <c r="K461" i="5" s="1"/>
  <c r="K462" i="5" s="1"/>
  <c r="K463" i="5" s="1"/>
  <c r="K464" i="5" s="1"/>
  <c r="K465" i="5" s="1"/>
  <c r="K466" i="5" s="1"/>
  <c r="K467" i="5" s="1"/>
  <c r="K468" i="5" s="1"/>
  <c r="K469" i="5" s="1"/>
  <c r="K470" i="5" s="1"/>
  <c r="K471" i="5" s="1"/>
  <c r="K472" i="5" s="1"/>
  <c r="K473" i="5" s="1"/>
  <c r="K474" i="5" s="1"/>
  <c r="K475" i="5" s="1"/>
  <c r="K476" i="5" s="1"/>
  <c r="K477" i="5" s="1"/>
  <c r="K478" i="5" s="1"/>
  <c r="K479" i="5" s="1"/>
  <c r="K480" i="5" s="1"/>
  <c r="K481" i="5" s="1"/>
  <c r="K482" i="5" s="1"/>
  <c r="K483" i="5" s="1"/>
  <c r="K484" i="5" s="1"/>
  <c r="K485" i="5" s="1"/>
  <c r="K486" i="5" s="1"/>
  <c r="K487" i="5" s="1"/>
  <c r="K488" i="5" s="1"/>
  <c r="K489" i="5" s="1"/>
  <c r="K490" i="5" s="1"/>
  <c r="K491" i="5" s="1"/>
  <c r="K492" i="5" s="1"/>
  <c r="K493" i="5" s="1"/>
  <c r="K494" i="5" s="1"/>
  <c r="K495" i="5" s="1"/>
  <c r="K496" i="5" s="1"/>
  <c r="K497" i="5" s="1"/>
  <c r="K498" i="5" s="1"/>
  <c r="K499" i="5" s="1"/>
  <c r="K500" i="5" s="1"/>
  <c r="K501" i="5" s="1"/>
  <c r="K502" i="5" s="1"/>
  <c r="K503" i="5" s="1"/>
  <c r="K504" i="5" s="1"/>
  <c r="K505" i="5" s="1"/>
  <c r="K506" i="5" s="1"/>
  <c r="K507" i="5" s="1"/>
  <c r="K508" i="5" s="1"/>
  <c r="K509" i="5" s="1"/>
  <c r="K510" i="5" s="1"/>
  <c r="K511" i="5" s="1"/>
  <c r="K512" i="5" s="1"/>
  <c r="K513" i="5" s="1"/>
  <c r="K514" i="5" s="1"/>
  <c r="K515" i="5" s="1"/>
  <c r="K516" i="5" s="1"/>
  <c r="K517" i="5" s="1"/>
  <c r="K518" i="5" s="1"/>
  <c r="K519" i="5" s="1"/>
  <c r="K520" i="5" s="1"/>
  <c r="K521" i="5" s="1"/>
  <c r="K522" i="5" s="1"/>
  <c r="K523" i="5" s="1"/>
  <c r="K524" i="5" s="1"/>
  <c r="K525" i="5" s="1"/>
  <c r="K526" i="5" s="1"/>
  <c r="K527" i="5" s="1"/>
  <c r="K528" i="5" s="1"/>
  <c r="K529" i="5" s="1"/>
  <c r="K530" i="5" s="1"/>
  <c r="K531" i="5" s="1"/>
  <c r="K532" i="5" s="1"/>
  <c r="K533" i="5" s="1"/>
  <c r="K534" i="5" s="1"/>
  <c r="K535" i="5" s="1"/>
  <c r="K536" i="5" s="1"/>
  <c r="K537" i="5" s="1"/>
  <c r="K538" i="5" s="1"/>
  <c r="K539" i="5" s="1"/>
  <c r="K540" i="5" s="1"/>
  <c r="K541" i="5" s="1"/>
  <c r="K542" i="5" s="1"/>
  <c r="K543" i="5" s="1"/>
  <c r="K544" i="5" s="1"/>
  <c r="K545" i="5" s="1"/>
  <c r="K546" i="5" s="1"/>
  <c r="K547" i="5" s="1"/>
  <c r="K548" i="5" s="1"/>
  <c r="K549" i="5" s="1"/>
  <c r="K550" i="5" s="1"/>
  <c r="K551" i="5" s="1"/>
  <c r="K552" i="5" s="1"/>
  <c r="K553" i="5" s="1"/>
  <c r="K554" i="5" s="1"/>
  <c r="K555" i="5" s="1"/>
  <c r="K556" i="5" s="1"/>
  <c r="K557" i="5" s="1"/>
  <c r="K558" i="5" s="1"/>
  <c r="K559" i="5" s="1"/>
  <c r="K560" i="5" s="1"/>
  <c r="K561" i="5" s="1"/>
  <c r="K562" i="5" s="1"/>
  <c r="K563" i="5" s="1"/>
  <c r="K564" i="5" s="1"/>
  <c r="K565" i="5" s="1"/>
  <c r="K566" i="5" s="1"/>
  <c r="K567" i="5" s="1"/>
  <c r="K568" i="5" s="1"/>
  <c r="K569" i="5" s="1"/>
  <c r="K570" i="5" s="1"/>
  <c r="K571" i="5" s="1"/>
  <c r="K572" i="5" s="1"/>
  <c r="K573" i="5" s="1"/>
  <c r="K574" i="5" s="1"/>
  <c r="K575" i="5" s="1"/>
  <c r="K576" i="5" s="1"/>
  <c r="K577" i="5" s="1"/>
  <c r="K578" i="5" s="1"/>
  <c r="K579" i="5" s="1"/>
  <c r="K580" i="5" s="1"/>
  <c r="K581" i="5" s="1"/>
  <c r="K582" i="5" s="1"/>
  <c r="K583" i="5" s="1"/>
  <c r="K584" i="5" s="1"/>
  <c r="K585" i="5" s="1"/>
  <c r="K586" i="5" s="1"/>
  <c r="K587" i="5" s="1"/>
  <c r="K588" i="5" s="1"/>
  <c r="K589" i="5" s="1"/>
  <c r="K590" i="5" s="1"/>
  <c r="K591" i="5" s="1"/>
  <c r="K592" i="5" s="1"/>
  <c r="K593" i="5" s="1"/>
  <c r="K594" i="5" s="1"/>
  <c r="K595" i="5" s="1"/>
  <c r="K596" i="5" s="1"/>
  <c r="K597" i="5" s="1"/>
  <c r="K598" i="5" s="1"/>
  <c r="K599" i="5" s="1"/>
  <c r="K600" i="5" s="1"/>
  <c r="K601" i="5" s="1"/>
  <c r="K602" i="5" s="1"/>
  <c r="K603" i="5" s="1"/>
  <c r="K604" i="5" s="1"/>
  <c r="K605" i="5" s="1"/>
  <c r="K606" i="5" s="1"/>
  <c r="K607" i="5" s="1"/>
  <c r="K608" i="5" s="1"/>
  <c r="K609" i="5" s="1"/>
  <c r="K610" i="5" s="1"/>
  <c r="K611" i="5" s="1"/>
  <c r="K612" i="5" s="1"/>
  <c r="K613" i="5" s="1"/>
  <c r="K614" i="5" s="1"/>
  <c r="K615" i="5" s="1"/>
  <c r="K616" i="5" s="1"/>
  <c r="K617" i="5" s="1"/>
  <c r="K618" i="5" s="1"/>
  <c r="K619" i="5" s="1"/>
  <c r="K620" i="5" s="1"/>
  <c r="K621" i="5" s="1"/>
  <c r="K622" i="5" s="1"/>
  <c r="K623" i="5" s="1"/>
  <c r="K624" i="5" s="1"/>
  <c r="K625" i="5" s="1"/>
  <c r="K626" i="5" s="1"/>
  <c r="K627" i="5" s="1"/>
  <c r="K628" i="5" s="1"/>
  <c r="K629" i="5" s="1"/>
  <c r="K630" i="5" s="1"/>
  <c r="K631" i="5" s="1"/>
  <c r="K632" i="5" s="1"/>
  <c r="K633" i="5" s="1"/>
  <c r="K634" i="5" s="1"/>
  <c r="K635" i="5" s="1"/>
  <c r="K636" i="5" s="1"/>
  <c r="K637" i="5" s="1"/>
  <c r="K638" i="5" s="1"/>
  <c r="K639" i="5" s="1"/>
  <c r="K640" i="5" s="1"/>
  <c r="K641" i="5" s="1"/>
  <c r="K642" i="5" s="1"/>
  <c r="K643" i="5" s="1"/>
  <c r="K644" i="5" s="1"/>
  <c r="K645" i="5" s="1"/>
  <c r="K646" i="5" s="1"/>
  <c r="K647" i="5" s="1"/>
  <c r="K648" i="5" s="1"/>
  <c r="K649" i="5" s="1"/>
  <c r="K650" i="5" s="1"/>
  <c r="K651" i="5" s="1"/>
  <c r="K652" i="5" s="1"/>
  <c r="K653" i="5" s="1"/>
  <c r="K654" i="5" s="1"/>
  <c r="K655" i="5" s="1"/>
  <c r="K656" i="5" s="1"/>
  <c r="K657" i="5" s="1"/>
  <c r="K658" i="5" s="1"/>
  <c r="K659" i="5" s="1"/>
  <c r="K660" i="5" s="1"/>
  <c r="K661" i="5" s="1"/>
  <c r="K662" i="5" s="1"/>
  <c r="K663" i="5" s="1"/>
  <c r="K664" i="5" s="1"/>
  <c r="K665" i="5" s="1"/>
  <c r="K666" i="5" s="1"/>
  <c r="K667" i="5" s="1"/>
  <c r="K668" i="5" s="1"/>
  <c r="K669" i="5" s="1"/>
  <c r="K670" i="5" s="1"/>
  <c r="K671" i="5" s="1"/>
  <c r="K672" i="5" s="1"/>
  <c r="K673" i="5" s="1"/>
  <c r="K674" i="5" s="1"/>
  <c r="K675" i="5" s="1"/>
  <c r="K676" i="5" s="1"/>
  <c r="K677" i="5" s="1"/>
  <c r="K678" i="5" s="1"/>
  <c r="K679" i="5" s="1"/>
  <c r="K680" i="5" s="1"/>
  <c r="K681" i="5" s="1"/>
  <c r="K682" i="5" s="1"/>
  <c r="K683" i="5" s="1"/>
  <c r="K684" i="5" s="1"/>
  <c r="K685" i="5" s="1"/>
  <c r="K686" i="5" s="1"/>
  <c r="K687" i="5" s="1"/>
  <c r="K688" i="5" s="1"/>
  <c r="K689" i="5" s="1"/>
  <c r="K690" i="5" s="1"/>
  <c r="K691" i="5" s="1"/>
  <c r="K692" i="5" s="1"/>
  <c r="K693" i="5" s="1"/>
  <c r="K694" i="5" s="1"/>
  <c r="K695" i="5" s="1"/>
  <c r="K696" i="5" s="1"/>
  <c r="K697" i="5" s="1"/>
  <c r="K698" i="5" s="1"/>
  <c r="K699" i="5" s="1"/>
  <c r="K700" i="5" s="1"/>
  <c r="K701" i="5" s="1"/>
  <c r="K702" i="5" s="1"/>
  <c r="K703" i="5" s="1"/>
  <c r="K704" i="5" s="1"/>
  <c r="K705" i="5" s="1"/>
  <c r="K706" i="5" s="1"/>
  <c r="K707" i="5" s="1"/>
  <c r="K708" i="5" s="1"/>
  <c r="K709" i="5" s="1"/>
  <c r="K710" i="5" s="1"/>
  <c r="K711" i="5" s="1"/>
  <c r="K712" i="5" s="1"/>
  <c r="K713" i="5" s="1"/>
  <c r="K714" i="5" s="1"/>
  <c r="K715" i="5" s="1"/>
  <c r="K716" i="5" s="1"/>
  <c r="K717" i="5" s="1"/>
  <c r="K718" i="5" s="1"/>
  <c r="K719" i="5" s="1"/>
  <c r="K720" i="5" s="1"/>
  <c r="K721" i="5" s="1"/>
  <c r="K722" i="5" s="1"/>
  <c r="K723" i="5" s="1"/>
  <c r="K724" i="5" s="1"/>
  <c r="K725" i="5" s="1"/>
  <c r="K726" i="5" s="1"/>
  <c r="K727" i="5" s="1"/>
  <c r="K728" i="5" s="1"/>
  <c r="K729" i="5" s="1"/>
  <c r="K730" i="5" s="1"/>
  <c r="K731" i="5" s="1"/>
  <c r="K732" i="5" s="1"/>
  <c r="K733" i="5" s="1"/>
  <c r="K734" i="5" s="1"/>
  <c r="K735" i="5" s="1"/>
  <c r="K736" i="5" s="1"/>
  <c r="K737" i="5" s="1"/>
  <c r="K738" i="5" s="1"/>
  <c r="K739" i="5" s="1"/>
  <c r="K740" i="5" s="1"/>
  <c r="K741" i="5" s="1"/>
  <c r="K742" i="5" s="1"/>
  <c r="K743" i="5" s="1"/>
  <c r="K744" i="5" s="1"/>
  <c r="K745" i="5" s="1"/>
  <c r="K746" i="5" s="1"/>
  <c r="K747" i="5" s="1"/>
  <c r="K748" i="5" s="1"/>
  <c r="K749" i="5" s="1"/>
  <c r="K750" i="5" s="1"/>
  <c r="K751" i="5" s="1"/>
  <c r="K752" i="5" s="1"/>
  <c r="K753" i="5" s="1"/>
  <c r="K754" i="5" s="1"/>
  <c r="K755" i="5" s="1"/>
  <c r="K756" i="5" s="1"/>
  <c r="K757" i="5" s="1"/>
  <c r="K758" i="5" s="1"/>
  <c r="K759" i="5" s="1"/>
  <c r="K760" i="5" s="1"/>
  <c r="K761" i="5" s="1"/>
  <c r="K762" i="5" s="1"/>
  <c r="K763" i="5" s="1"/>
  <c r="K764" i="5" s="1"/>
  <c r="K765" i="5" s="1"/>
  <c r="K766" i="5" s="1"/>
  <c r="K767" i="5" s="1"/>
  <c r="K768" i="5" s="1"/>
  <c r="K769" i="5" s="1"/>
  <c r="K770" i="5" s="1"/>
  <c r="K771" i="5" s="1"/>
  <c r="K772" i="5" s="1"/>
  <c r="K773" i="5" s="1"/>
  <c r="K774" i="5" s="1"/>
  <c r="K775" i="5" s="1"/>
  <c r="K776" i="5" s="1"/>
  <c r="K777" i="5" s="1"/>
  <c r="K778" i="5" s="1"/>
  <c r="K779" i="5" s="1"/>
  <c r="K780" i="5" s="1"/>
  <c r="K781" i="5" s="1"/>
  <c r="K782" i="5" s="1"/>
  <c r="K783" i="5" s="1"/>
  <c r="K784" i="5" s="1"/>
  <c r="K785" i="5" s="1"/>
  <c r="K786" i="5" s="1"/>
  <c r="K787" i="5" s="1"/>
  <c r="K788" i="5" s="1"/>
  <c r="K789" i="5" s="1"/>
  <c r="K790" i="5" s="1"/>
  <c r="K791" i="5" s="1"/>
  <c r="K792" i="5" s="1"/>
  <c r="K793" i="5" s="1"/>
  <c r="K794" i="5" s="1"/>
  <c r="K795" i="5" s="1"/>
  <c r="K796" i="5" s="1"/>
  <c r="K797" i="5" s="1"/>
  <c r="K798" i="5" s="1"/>
  <c r="K799" i="5" s="1"/>
  <c r="K800" i="5" s="1"/>
  <c r="K801" i="5" s="1"/>
  <c r="K802" i="5" s="1"/>
  <c r="K803" i="5" s="1"/>
  <c r="K804" i="5" s="1"/>
  <c r="K805" i="5" s="1"/>
  <c r="K806" i="5" s="1"/>
  <c r="K807" i="5" s="1"/>
  <c r="K808" i="5" s="1"/>
  <c r="K809" i="5" s="1"/>
  <c r="K810" i="5" s="1"/>
  <c r="K811" i="5" s="1"/>
  <c r="K812" i="5" s="1"/>
  <c r="K813" i="5" s="1"/>
  <c r="K814" i="5" s="1"/>
  <c r="K815" i="5" s="1"/>
  <c r="K816" i="5" s="1"/>
  <c r="K817" i="5" s="1"/>
  <c r="K818" i="5" s="1"/>
  <c r="K819" i="5" s="1"/>
  <c r="K820" i="5" s="1"/>
  <c r="K821" i="5" s="1"/>
  <c r="K822" i="5" s="1"/>
  <c r="K823" i="5" s="1"/>
  <c r="K824" i="5" s="1"/>
  <c r="K825" i="5" s="1"/>
  <c r="K826" i="5" s="1"/>
  <c r="K827" i="5" s="1"/>
  <c r="K828" i="5" s="1"/>
  <c r="K829" i="5" s="1"/>
  <c r="K830" i="5" s="1"/>
  <c r="K831" i="5" s="1"/>
  <c r="K832" i="5" s="1"/>
  <c r="K833" i="5" s="1"/>
  <c r="K834" i="5" s="1"/>
  <c r="K835" i="5" s="1"/>
  <c r="K836" i="5" s="1"/>
  <c r="K837" i="5" s="1"/>
  <c r="K838" i="5" s="1"/>
  <c r="K839" i="5" s="1"/>
  <c r="K840" i="5" s="1"/>
  <c r="K841" i="5" s="1"/>
  <c r="K842" i="5" s="1"/>
  <c r="K843" i="5" s="1"/>
  <c r="K844" i="5" s="1"/>
  <c r="K845" i="5" s="1"/>
  <c r="K846" i="5" s="1"/>
  <c r="K847" i="5" s="1"/>
  <c r="K848" i="5" s="1"/>
  <c r="K849" i="5" s="1"/>
  <c r="K850" i="5" s="1"/>
  <c r="K851" i="5" s="1"/>
  <c r="K852" i="5" s="1"/>
  <c r="K853" i="5" s="1"/>
  <c r="K854" i="5" s="1"/>
  <c r="K855" i="5" s="1"/>
  <c r="K856" i="5" s="1"/>
  <c r="K857" i="5" s="1"/>
  <c r="K858" i="5" s="1"/>
  <c r="K859" i="5" s="1"/>
  <c r="K860" i="5" s="1"/>
  <c r="K861" i="5" s="1"/>
  <c r="K862" i="5" s="1"/>
  <c r="K863" i="5" s="1"/>
  <c r="K864" i="5" s="1"/>
  <c r="K865" i="5" s="1"/>
  <c r="K866" i="5" s="1"/>
  <c r="K867" i="5" s="1"/>
  <c r="K868" i="5" s="1"/>
  <c r="K869" i="5" s="1"/>
  <c r="K870" i="5" s="1"/>
  <c r="K871" i="5" s="1"/>
  <c r="K872" i="5" s="1"/>
  <c r="K873" i="5" s="1"/>
  <c r="K874" i="5" s="1"/>
  <c r="K875" i="5" s="1"/>
  <c r="K876" i="5" s="1"/>
  <c r="K877" i="5" s="1"/>
  <c r="K878" i="5" s="1"/>
  <c r="K879" i="5" s="1"/>
  <c r="K880" i="5" s="1"/>
  <c r="K881" i="5" s="1"/>
  <c r="K882" i="5" s="1"/>
  <c r="K883" i="5" s="1"/>
  <c r="K884" i="5" s="1"/>
  <c r="K885" i="5" s="1"/>
  <c r="K886" i="5" s="1"/>
  <c r="K887" i="5" s="1"/>
  <c r="K888" i="5" s="1"/>
  <c r="K889" i="5" s="1"/>
  <c r="K890" i="5" s="1"/>
  <c r="K891" i="5" s="1"/>
  <c r="K892" i="5" s="1"/>
  <c r="K893" i="5" s="1"/>
  <c r="K894" i="5" s="1"/>
  <c r="K895" i="5" s="1"/>
  <c r="K896" i="5" s="1"/>
  <c r="K897" i="5" s="1"/>
  <c r="K898" i="5" s="1"/>
  <c r="K899" i="5" s="1"/>
  <c r="K900" i="5" s="1"/>
  <c r="K901" i="5" s="1"/>
  <c r="K902" i="5" s="1"/>
  <c r="K903" i="5" s="1"/>
  <c r="K904" i="5" s="1"/>
  <c r="K905" i="5" s="1"/>
  <c r="K906" i="5" s="1"/>
  <c r="K907" i="5" s="1"/>
  <c r="K908" i="5" s="1"/>
  <c r="K909" i="5" s="1"/>
  <c r="K910" i="5" s="1"/>
  <c r="K911" i="5" s="1"/>
  <c r="K912" i="5" s="1"/>
  <c r="K913" i="5" s="1"/>
  <c r="K914" i="5" s="1"/>
  <c r="K915" i="5" s="1"/>
  <c r="K916" i="5" s="1"/>
  <c r="K917" i="5" s="1"/>
  <c r="K918" i="5" s="1"/>
  <c r="K919" i="5" s="1"/>
  <c r="K920" i="5" s="1"/>
  <c r="K921" i="5" s="1"/>
  <c r="K922" i="5" s="1"/>
  <c r="K923" i="5" s="1"/>
  <c r="K924" i="5" s="1"/>
  <c r="K925" i="5" s="1"/>
  <c r="K926" i="5" s="1"/>
  <c r="K927" i="5" s="1"/>
  <c r="K928" i="5" s="1"/>
  <c r="K929" i="5" s="1"/>
  <c r="K930" i="5" s="1"/>
  <c r="K931" i="5" s="1"/>
  <c r="K932" i="5" s="1"/>
  <c r="K933" i="5" s="1"/>
  <c r="K934" i="5" s="1"/>
  <c r="K935" i="5" s="1"/>
  <c r="K936" i="5" s="1"/>
  <c r="K937" i="5" s="1"/>
  <c r="K938" i="5" s="1"/>
  <c r="K939" i="5" s="1"/>
  <c r="K940" i="5" s="1"/>
  <c r="K941" i="5" s="1"/>
  <c r="K942" i="5" s="1"/>
  <c r="K943" i="5" s="1"/>
  <c r="K944" i="5" s="1"/>
  <c r="K945" i="5" s="1"/>
  <c r="K946" i="5" s="1"/>
  <c r="K947" i="5" s="1"/>
  <c r="K948" i="5" s="1"/>
  <c r="K949" i="5" s="1"/>
  <c r="K950" i="5" s="1"/>
  <c r="K951" i="5" s="1"/>
  <c r="K952" i="5" s="1"/>
  <c r="K953" i="5" s="1"/>
  <c r="K954" i="5" s="1"/>
  <c r="K955" i="5" s="1"/>
  <c r="K956" i="5" s="1"/>
  <c r="K957" i="5" s="1"/>
  <c r="K958" i="5" s="1"/>
  <c r="K959" i="5" s="1"/>
  <c r="K960" i="5" s="1"/>
  <c r="K961" i="5" s="1"/>
  <c r="K962" i="5" s="1"/>
  <c r="K963" i="5" s="1"/>
  <c r="K964" i="5" s="1"/>
  <c r="K965" i="5" s="1"/>
  <c r="K966" i="5" s="1"/>
  <c r="K967" i="5" s="1"/>
  <c r="K968" i="5" s="1"/>
  <c r="K969" i="5" s="1"/>
  <c r="K970" i="5" s="1"/>
  <c r="K971" i="5" s="1"/>
  <c r="K972" i="5" s="1"/>
  <c r="K973" i="5" s="1"/>
  <c r="K974" i="5" s="1"/>
  <c r="K975" i="5" s="1"/>
  <c r="K976" i="5" s="1"/>
  <c r="K977" i="5" s="1"/>
  <c r="K978" i="5" s="1"/>
  <c r="K979" i="5" s="1"/>
  <c r="K980" i="5" s="1"/>
  <c r="K981" i="5" s="1"/>
  <c r="K982" i="5" s="1"/>
  <c r="K983" i="5" s="1"/>
  <c r="K984" i="5" s="1"/>
  <c r="K985" i="5" s="1"/>
  <c r="K986" i="5" s="1"/>
  <c r="K987" i="5" s="1"/>
  <c r="K988" i="5" s="1"/>
  <c r="K989" i="5" s="1"/>
  <c r="K990" i="5" s="1"/>
  <c r="K991" i="5" s="1"/>
  <c r="K992" i="5" s="1"/>
  <c r="K993" i="5" s="1"/>
  <c r="K994" i="5" s="1"/>
  <c r="K995" i="5" s="1"/>
  <c r="K996" i="5" s="1"/>
  <c r="K997" i="5" s="1"/>
  <c r="K998" i="5" s="1"/>
  <c r="K999" i="5" s="1"/>
  <c r="K1000" i="5" s="1"/>
  <c r="K1001" i="5" s="1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B403" i="5" s="1"/>
  <c r="B404" i="5" s="1"/>
  <c r="B405" i="5" s="1"/>
  <c r="B406" i="5" s="1"/>
  <c r="B407" i="5" s="1"/>
  <c r="B408" i="5" s="1"/>
  <c r="B409" i="5" s="1"/>
  <c r="B410" i="5" s="1"/>
  <c r="B411" i="5" s="1"/>
  <c r="B412" i="5" s="1"/>
  <c r="B413" i="5" s="1"/>
  <c r="B414" i="5" s="1"/>
  <c r="B415" i="5" s="1"/>
  <c r="B416" i="5" s="1"/>
  <c r="B417" i="5" s="1"/>
  <c r="B418" i="5" s="1"/>
  <c r="B419" i="5" s="1"/>
  <c r="B420" i="5" s="1"/>
  <c r="B421" i="5" s="1"/>
  <c r="B422" i="5" s="1"/>
  <c r="B423" i="5" s="1"/>
  <c r="B424" i="5" s="1"/>
  <c r="B425" i="5" s="1"/>
  <c r="B426" i="5" s="1"/>
  <c r="B427" i="5" s="1"/>
  <c r="B428" i="5" s="1"/>
  <c r="B429" i="5" s="1"/>
  <c r="B430" i="5" s="1"/>
  <c r="B431" i="5" s="1"/>
  <c r="B432" i="5" s="1"/>
  <c r="B433" i="5" s="1"/>
  <c r="B434" i="5" s="1"/>
  <c r="B435" i="5" s="1"/>
  <c r="B436" i="5" s="1"/>
  <c r="B437" i="5" s="1"/>
  <c r="B438" i="5" s="1"/>
  <c r="B439" i="5" s="1"/>
  <c r="B440" i="5" s="1"/>
  <c r="B441" i="5" s="1"/>
  <c r="B442" i="5" s="1"/>
  <c r="B443" i="5" s="1"/>
  <c r="B444" i="5" s="1"/>
  <c r="B445" i="5" s="1"/>
  <c r="B446" i="5" s="1"/>
  <c r="B447" i="5" s="1"/>
  <c r="B448" i="5" s="1"/>
  <c r="B449" i="5" s="1"/>
  <c r="B450" i="5" s="1"/>
  <c r="B451" i="5" s="1"/>
  <c r="B452" i="5" s="1"/>
  <c r="B453" i="5" s="1"/>
  <c r="B454" i="5" s="1"/>
  <c r="B455" i="5" s="1"/>
  <c r="B456" i="5" s="1"/>
  <c r="B457" i="5" s="1"/>
  <c r="B458" i="5" s="1"/>
  <c r="B459" i="5" s="1"/>
  <c r="B460" i="5" s="1"/>
  <c r="B461" i="5" s="1"/>
  <c r="B462" i="5" s="1"/>
  <c r="B463" i="5" s="1"/>
  <c r="B464" i="5" s="1"/>
  <c r="B465" i="5" s="1"/>
  <c r="B466" i="5" s="1"/>
  <c r="B467" i="5" s="1"/>
  <c r="B468" i="5" s="1"/>
  <c r="B469" i="5" s="1"/>
  <c r="B470" i="5" s="1"/>
  <c r="B471" i="5" s="1"/>
  <c r="B472" i="5" s="1"/>
  <c r="B473" i="5" s="1"/>
  <c r="B474" i="5" s="1"/>
  <c r="B475" i="5" s="1"/>
  <c r="B476" i="5" s="1"/>
  <c r="B477" i="5" s="1"/>
  <c r="B478" i="5" s="1"/>
  <c r="B479" i="5" s="1"/>
  <c r="B480" i="5" s="1"/>
  <c r="B481" i="5" s="1"/>
  <c r="B482" i="5" s="1"/>
  <c r="B483" i="5" s="1"/>
  <c r="B484" i="5" s="1"/>
  <c r="B485" i="5" s="1"/>
  <c r="B486" i="5" s="1"/>
  <c r="B487" i="5" s="1"/>
  <c r="B488" i="5" s="1"/>
  <c r="B489" i="5" s="1"/>
  <c r="B490" i="5" s="1"/>
  <c r="B491" i="5" s="1"/>
  <c r="B492" i="5" s="1"/>
  <c r="B493" i="5" s="1"/>
  <c r="B494" i="5" s="1"/>
  <c r="B495" i="5" s="1"/>
  <c r="B496" i="5" s="1"/>
  <c r="B497" i="5" s="1"/>
  <c r="B498" i="5" s="1"/>
  <c r="B499" i="5" s="1"/>
  <c r="B500" i="5" s="1"/>
  <c r="B501" i="5" s="1"/>
  <c r="B502" i="5" s="1"/>
  <c r="B503" i="5" s="1"/>
  <c r="B504" i="5" s="1"/>
  <c r="B505" i="5" s="1"/>
  <c r="B506" i="5" s="1"/>
  <c r="B507" i="5" s="1"/>
  <c r="B508" i="5" s="1"/>
  <c r="B509" i="5" s="1"/>
  <c r="B510" i="5" s="1"/>
  <c r="B511" i="5" s="1"/>
  <c r="B512" i="5" s="1"/>
  <c r="B513" i="5" s="1"/>
  <c r="B514" i="5" s="1"/>
  <c r="B515" i="5" s="1"/>
  <c r="B516" i="5" s="1"/>
  <c r="B517" i="5" s="1"/>
  <c r="B518" i="5" s="1"/>
  <c r="B519" i="5" s="1"/>
  <c r="B520" i="5" s="1"/>
  <c r="B521" i="5" s="1"/>
  <c r="B522" i="5" s="1"/>
  <c r="B523" i="5" s="1"/>
  <c r="B524" i="5" s="1"/>
  <c r="B525" i="5" s="1"/>
  <c r="B526" i="5" s="1"/>
  <c r="B527" i="5" s="1"/>
  <c r="B528" i="5" s="1"/>
  <c r="B529" i="5" s="1"/>
  <c r="B530" i="5" s="1"/>
  <c r="B531" i="5" s="1"/>
  <c r="B532" i="5" s="1"/>
  <c r="B533" i="5" s="1"/>
  <c r="B534" i="5" s="1"/>
  <c r="B535" i="5" s="1"/>
  <c r="B536" i="5" s="1"/>
  <c r="B537" i="5" s="1"/>
  <c r="B538" i="5" s="1"/>
  <c r="B539" i="5" s="1"/>
  <c r="B540" i="5" s="1"/>
  <c r="B541" i="5" s="1"/>
  <c r="B542" i="5" s="1"/>
  <c r="B543" i="5" s="1"/>
  <c r="B544" i="5" s="1"/>
  <c r="B545" i="5" s="1"/>
  <c r="B546" i="5" s="1"/>
  <c r="B547" i="5" s="1"/>
  <c r="B548" i="5" s="1"/>
  <c r="B549" i="5" s="1"/>
  <c r="B550" i="5" s="1"/>
  <c r="B551" i="5" s="1"/>
  <c r="B552" i="5" s="1"/>
  <c r="B553" i="5" s="1"/>
  <c r="B554" i="5" s="1"/>
  <c r="B555" i="5" s="1"/>
  <c r="B556" i="5" s="1"/>
  <c r="B557" i="5" s="1"/>
  <c r="B558" i="5" s="1"/>
  <c r="B559" i="5" s="1"/>
  <c r="B560" i="5" s="1"/>
  <c r="B561" i="5" s="1"/>
  <c r="B562" i="5" s="1"/>
  <c r="B563" i="5" s="1"/>
  <c r="B564" i="5" s="1"/>
  <c r="B565" i="5" s="1"/>
  <c r="B566" i="5" s="1"/>
  <c r="B567" i="5" s="1"/>
  <c r="B568" i="5" s="1"/>
  <c r="B569" i="5" s="1"/>
  <c r="B570" i="5" s="1"/>
  <c r="B571" i="5" s="1"/>
  <c r="B572" i="5" s="1"/>
  <c r="B573" i="5" s="1"/>
  <c r="B574" i="5" s="1"/>
  <c r="B575" i="5" s="1"/>
  <c r="B576" i="5" s="1"/>
  <c r="B577" i="5" s="1"/>
  <c r="B578" i="5" s="1"/>
  <c r="B579" i="5" s="1"/>
  <c r="B580" i="5" s="1"/>
  <c r="B581" i="5" s="1"/>
  <c r="B582" i="5" s="1"/>
  <c r="B583" i="5" s="1"/>
  <c r="B584" i="5" s="1"/>
  <c r="B585" i="5" s="1"/>
  <c r="B586" i="5" s="1"/>
  <c r="B587" i="5" s="1"/>
  <c r="B588" i="5" s="1"/>
  <c r="B589" i="5" s="1"/>
  <c r="B590" i="5" s="1"/>
  <c r="B591" i="5" s="1"/>
  <c r="B592" i="5" s="1"/>
  <c r="B593" i="5" s="1"/>
  <c r="B594" i="5" s="1"/>
  <c r="B595" i="5" s="1"/>
  <c r="B596" i="5" s="1"/>
  <c r="B597" i="5" s="1"/>
  <c r="B598" i="5" s="1"/>
  <c r="B599" i="5" s="1"/>
  <c r="B600" i="5" s="1"/>
  <c r="B601" i="5" s="1"/>
  <c r="B602" i="5" s="1"/>
  <c r="B603" i="5" s="1"/>
  <c r="B604" i="5" s="1"/>
  <c r="B605" i="5" s="1"/>
  <c r="B606" i="5" s="1"/>
  <c r="B607" i="5" s="1"/>
  <c r="B608" i="5" s="1"/>
  <c r="B609" i="5" s="1"/>
  <c r="B610" i="5" s="1"/>
  <c r="B611" i="5" s="1"/>
  <c r="B612" i="5" s="1"/>
  <c r="B613" i="5" s="1"/>
  <c r="B614" i="5" s="1"/>
  <c r="B615" i="5" s="1"/>
  <c r="B616" i="5" s="1"/>
  <c r="B617" i="5" s="1"/>
  <c r="B618" i="5" s="1"/>
  <c r="B619" i="5" s="1"/>
  <c r="B620" i="5" s="1"/>
  <c r="B621" i="5" s="1"/>
  <c r="B622" i="5" s="1"/>
  <c r="B623" i="5" s="1"/>
  <c r="B624" i="5" s="1"/>
  <c r="B625" i="5" s="1"/>
  <c r="B626" i="5" s="1"/>
  <c r="B627" i="5" s="1"/>
  <c r="B628" i="5" s="1"/>
  <c r="B629" i="5" s="1"/>
  <c r="B630" i="5" s="1"/>
  <c r="B631" i="5" s="1"/>
  <c r="B632" i="5" s="1"/>
  <c r="B633" i="5" s="1"/>
  <c r="B634" i="5" s="1"/>
  <c r="B635" i="5" s="1"/>
  <c r="B636" i="5" s="1"/>
  <c r="B637" i="5" s="1"/>
  <c r="B638" i="5" s="1"/>
  <c r="B639" i="5" s="1"/>
  <c r="B640" i="5" s="1"/>
  <c r="B641" i="5" s="1"/>
  <c r="B642" i="5" s="1"/>
  <c r="B643" i="5" s="1"/>
  <c r="B644" i="5" s="1"/>
  <c r="B645" i="5" s="1"/>
  <c r="B646" i="5" s="1"/>
  <c r="B647" i="5" s="1"/>
  <c r="B648" i="5" s="1"/>
  <c r="B649" i="5" s="1"/>
  <c r="B650" i="5" s="1"/>
  <c r="B651" i="5" s="1"/>
  <c r="B652" i="5" s="1"/>
  <c r="B653" i="5" s="1"/>
  <c r="B654" i="5" s="1"/>
  <c r="B655" i="5" s="1"/>
  <c r="B656" i="5" s="1"/>
  <c r="B657" i="5" s="1"/>
  <c r="B658" i="5" s="1"/>
  <c r="B659" i="5" s="1"/>
  <c r="B660" i="5" s="1"/>
  <c r="B661" i="5" s="1"/>
  <c r="B662" i="5" s="1"/>
  <c r="B663" i="5" s="1"/>
  <c r="B664" i="5" s="1"/>
  <c r="B665" i="5" s="1"/>
  <c r="B666" i="5" s="1"/>
  <c r="B667" i="5" s="1"/>
  <c r="B668" i="5" s="1"/>
  <c r="B669" i="5" s="1"/>
  <c r="B670" i="5" s="1"/>
  <c r="B671" i="5" s="1"/>
  <c r="B672" i="5" s="1"/>
  <c r="B673" i="5" s="1"/>
  <c r="B674" i="5" s="1"/>
  <c r="B675" i="5" s="1"/>
  <c r="B676" i="5" s="1"/>
  <c r="B677" i="5" s="1"/>
  <c r="B678" i="5" s="1"/>
  <c r="B679" i="5" s="1"/>
  <c r="B680" i="5" s="1"/>
  <c r="B681" i="5" s="1"/>
  <c r="B682" i="5" s="1"/>
  <c r="B683" i="5" s="1"/>
  <c r="B684" i="5" s="1"/>
  <c r="B685" i="5" s="1"/>
  <c r="B686" i="5" s="1"/>
  <c r="B687" i="5" s="1"/>
  <c r="B688" i="5" s="1"/>
  <c r="B689" i="5" s="1"/>
  <c r="B690" i="5" s="1"/>
  <c r="B691" i="5" s="1"/>
  <c r="B692" i="5" s="1"/>
  <c r="B693" i="5" s="1"/>
  <c r="B694" i="5" s="1"/>
  <c r="B695" i="5" s="1"/>
  <c r="B696" i="5" s="1"/>
  <c r="B697" i="5" s="1"/>
  <c r="B698" i="5" s="1"/>
  <c r="B699" i="5" s="1"/>
  <c r="B700" i="5" s="1"/>
  <c r="B701" i="5" s="1"/>
  <c r="B702" i="5" s="1"/>
  <c r="B703" i="5" s="1"/>
  <c r="B704" i="5" s="1"/>
  <c r="B705" i="5" s="1"/>
  <c r="B706" i="5" s="1"/>
  <c r="B707" i="5" s="1"/>
  <c r="B708" i="5" s="1"/>
  <c r="B709" i="5" s="1"/>
  <c r="B710" i="5" s="1"/>
  <c r="B711" i="5" s="1"/>
  <c r="B712" i="5" s="1"/>
  <c r="B713" i="5" s="1"/>
  <c r="B714" i="5" s="1"/>
  <c r="B715" i="5" s="1"/>
  <c r="B716" i="5" s="1"/>
  <c r="B717" i="5" s="1"/>
  <c r="B718" i="5" s="1"/>
  <c r="B719" i="5" s="1"/>
  <c r="B720" i="5" s="1"/>
  <c r="B721" i="5" s="1"/>
  <c r="B722" i="5" s="1"/>
  <c r="B723" i="5" s="1"/>
  <c r="B724" i="5" s="1"/>
  <c r="B725" i="5" s="1"/>
  <c r="B726" i="5" s="1"/>
  <c r="B727" i="5" s="1"/>
  <c r="B728" i="5" s="1"/>
  <c r="B729" i="5" s="1"/>
  <c r="B730" i="5" s="1"/>
  <c r="B731" i="5" s="1"/>
  <c r="B732" i="5" s="1"/>
  <c r="B733" i="5" s="1"/>
  <c r="B734" i="5" s="1"/>
  <c r="B735" i="5" s="1"/>
  <c r="B736" i="5" s="1"/>
  <c r="B737" i="5" s="1"/>
  <c r="B738" i="5" s="1"/>
  <c r="B739" i="5" s="1"/>
  <c r="B740" i="5" s="1"/>
  <c r="B741" i="5" s="1"/>
  <c r="B742" i="5" s="1"/>
  <c r="B743" i="5" s="1"/>
  <c r="B744" i="5" s="1"/>
  <c r="B745" i="5" s="1"/>
  <c r="B746" i="5" s="1"/>
  <c r="B747" i="5" s="1"/>
  <c r="B748" i="5" s="1"/>
  <c r="B749" i="5" s="1"/>
  <c r="B750" i="5" s="1"/>
  <c r="B751" i="5" s="1"/>
  <c r="B752" i="5" s="1"/>
  <c r="B753" i="5" s="1"/>
  <c r="B754" i="5" s="1"/>
  <c r="B755" i="5" s="1"/>
  <c r="B756" i="5" s="1"/>
  <c r="B757" i="5" s="1"/>
  <c r="B758" i="5" s="1"/>
  <c r="B759" i="5" s="1"/>
  <c r="B760" i="5" s="1"/>
  <c r="B761" i="5" s="1"/>
  <c r="B762" i="5" s="1"/>
  <c r="B763" i="5" s="1"/>
  <c r="B764" i="5" s="1"/>
  <c r="B765" i="5" s="1"/>
  <c r="B766" i="5" s="1"/>
  <c r="B767" i="5" s="1"/>
  <c r="B768" i="5" s="1"/>
  <c r="B769" i="5" s="1"/>
  <c r="B770" i="5" s="1"/>
  <c r="B771" i="5" s="1"/>
  <c r="B772" i="5" s="1"/>
  <c r="B773" i="5" s="1"/>
  <c r="B774" i="5" s="1"/>
  <c r="B775" i="5" s="1"/>
  <c r="B776" i="5" s="1"/>
  <c r="B777" i="5" s="1"/>
  <c r="B778" i="5" s="1"/>
  <c r="B779" i="5" s="1"/>
  <c r="B780" i="5" s="1"/>
  <c r="B781" i="5" s="1"/>
  <c r="B782" i="5" s="1"/>
  <c r="B783" i="5" s="1"/>
  <c r="B784" i="5" s="1"/>
  <c r="B785" i="5" s="1"/>
  <c r="B786" i="5" s="1"/>
  <c r="B787" i="5" s="1"/>
  <c r="B788" i="5" s="1"/>
  <c r="B789" i="5" s="1"/>
  <c r="B790" i="5" s="1"/>
  <c r="B791" i="5" s="1"/>
  <c r="B792" i="5" s="1"/>
  <c r="B793" i="5" s="1"/>
  <c r="B794" i="5" s="1"/>
  <c r="B795" i="5" s="1"/>
  <c r="B796" i="5" s="1"/>
  <c r="B797" i="5" s="1"/>
  <c r="B798" i="5" s="1"/>
  <c r="B799" i="5" s="1"/>
  <c r="B800" i="5" s="1"/>
  <c r="B801" i="5" s="1"/>
  <c r="B802" i="5" s="1"/>
  <c r="B803" i="5" s="1"/>
  <c r="B804" i="5" s="1"/>
  <c r="B805" i="5" s="1"/>
  <c r="B806" i="5" s="1"/>
  <c r="B807" i="5" s="1"/>
  <c r="B808" i="5" s="1"/>
  <c r="B809" i="5" s="1"/>
  <c r="B810" i="5" s="1"/>
  <c r="B811" i="5" s="1"/>
  <c r="B812" i="5" s="1"/>
  <c r="B813" i="5" s="1"/>
  <c r="B814" i="5" s="1"/>
  <c r="B815" i="5" s="1"/>
  <c r="B816" i="5" s="1"/>
  <c r="B817" i="5" s="1"/>
  <c r="B818" i="5" s="1"/>
  <c r="B819" i="5" s="1"/>
  <c r="B820" i="5" s="1"/>
  <c r="B821" i="5" s="1"/>
  <c r="B822" i="5" s="1"/>
  <c r="B823" i="5" s="1"/>
  <c r="B824" i="5" s="1"/>
  <c r="B825" i="5" s="1"/>
  <c r="B826" i="5" s="1"/>
  <c r="B827" i="5" s="1"/>
  <c r="B828" i="5" s="1"/>
  <c r="B829" i="5" s="1"/>
  <c r="B830" i="5" s="1"/>
  <c r="B831" i="5" s="1"/>
  <c r="B832" i="5" s="1"/>
  <c r="B833" i="5" s="1"/>
  <c r="B834" i="5" s="1"/>
  <c r="B835" i="5" s="1"/>
  <c r="B836" i="5" s="1"/>
  <c r="B837" i="5" s="1"/>
  <c r="B838" i="5" s="1"/>
  <c r="B839" i="5" s="1"/>
  <c r="B840" i="5" s="1"/>
  <c r="B841" i="5" s="1"/>
  <c r="B842" i="5" s="1"/>
  <c r="B843" i="5" s="1"/>
  <c r="B844" i="5" s="1"/>
  <c r="B845" i="5" s="1"/>
  <c r="B846" i="5" s="1"/>
  <c r="B847" i="5" s="1"/>
  <c r="B848" i="5" s="1"/>
  <c r="B849" i="5" s="1"/>
  <c r="B850" i="5" s="1"/>
  <c r="B851" i="5" s="1"/>
  <c r="B852" i="5" s="1"/>
  <c r="B853" i="5" s="1"/>
  <c r="B854" i="5" s="1"/>
  <c r="B855" i="5" s="1"/>
  <c r="B856" i="5" s="1"/>
  <c r="B857" i="5" s="1"/>
  <c r="B858" i="5" s="1"/>
  <c r="B859" i="5" s="1"/>
  <c r="B860" i="5" s="1"/>
  <c r="B861" i="5" s="1"/>
  <c r="B862" i="5" s="1"/>
  <c r="B863" i="5" s="1"/>
  <c r="B864" i="5" s="1"/>
  <c r="B865" i="5" s="1"/>
  <c r="B866" i="5" s="1"/>
  <c r="B867" i="5" s="1"/>
  <c r="B868" i="5" s="1"/>
  <c r="B869" i="5" s="1"/>
  <c r="B870" i="5" s="1"/>
  <c r="B871" i="5" s="1"/>
  <c r="B872" i="5" s="1"/>
  <c r="B873" i="5" s="1"/>
  <c r="B874" i="5" s="1"/>
  <c r="B875" i="5" s="1"/>
  <c r="B876" i="5" s="1"/>
  <c r="B877" i="5" s="1"/>
  <c r="B878" i="5" s="1"/>
  <c r="B879" i="5" s="1"/>
  <c r="B880" i="5" s="1"/>
  <c r="B881" i="5" s="1"/>
  <c r="B882" i="5" s="1"/>
  <c r="B883" i="5" s="1"/>
  <c r="B884" i="5" s="1"/>
  <c r="B885" i="5" s="1"/>
  <c r="B886" i="5" s="1"/>
  <c r="B887" i="5" s="1"/>
  <c r="B888" i="5" s="1"/>
  <c r="B889" i="5" s="1"/>
  <c r="B890" i="5" s="1"/>
  <c r="B891" i="5" s="1"/>
  <c r="B892" i="5" s="1"/>
  <c r="B893" i="5" s="1"/>
  <c r="B894" i="5" s="1"/>
  <c r="B895" i="5" s="1"/>
  <c r="B896" i="5" s="1"/>
  <c r="B897" i="5" s="1"/>
  <c r="B898" i="5" s="1"/>
  <c r="B899" i="5" s="1"/>
  <c r="B900" i="5" s="1"/>
  <c r="B901" i="5" s="1"/>
  <c r="B902" i="5" s="1"/>
  <c r="B903" i="5" s="1"/>
  <c r="B904" i="5" s="1"/>
  <c r="B905" i="5" s="1"/>
  <c r="B906" i="5" s="1"/>
  <c r="B907" i="5" s="1"/>
  <c r="B908" i="5" s="1"/>
  <c r="B909" i="5" s="1"/>
  <c r="B910" i="5" s="1"/>
  <c r="B911" i="5" s="1"/>
  <c r="B912" i="5" s="1"/>
  <c r="B913" i="5" s="1"/>
  <c r="B914" i="5" s="1"/>
  <c r="B915" i="5" s="1"/>
  <c r="B916" i="5" s="1"/>
  <c r="B917" i="5" s="1"/>
  <c r="B918" i="5" s="1"/>
  <c r="B919" i="5" s="1"/>
  <c r="B920" i="5" s="1"/>
  <c r="B921" i="5" s="1"/>
  <c r="B922" i="5" s="1"/>
  <c r="B923" i="5" s="1"/>
  <c r="B924" i="5" s="1"/>
  <c r="B925" i="5" s="1"/>
  <c r="B926" i="5" s="1"/>
  <c r="B927" i="5" s="1"/>
  <c r="B928" i="5" s="1"/>
  <c r="B929" i="5" s="1"/>
  <c r="B930" i="5" s="1"/>
  <c r="B931" i="5" s="1"/>
  <c r="B932" i="5" s="1"/>
  <c r="B933" i="5" s="1"/>
  <c r="B934" i="5" s="1"/>
  <c r="B935" i="5" s="1"/>
  <c r="B936" i="5" s="1"/>
  <c r="B937" i="5" s="1"/>
  <c r="B938" i="5" s="1"/>
  <c r="B939" i="5" s="1"/>
  <c r="B940" i="5" s="1"/>
  <c r="B941" i="5" s="1"/>
  <c r="B942" i="5" s="1"/>
  <c r="B943" i="5" s="1"/>
  <c r="B944" i="5" s="1"/>
  <c r="B945" i="5" s="1"/>
  <c r="B946" i="5" s="1"/>
  <c r="B947" i="5" s="1"/>
  <c r="B948" i="5" s="1"/>
  <c r="B949" i="5" s="1"/>
  <c r="B950" i="5" s="1"/>
  <c r="B951" i="5" s="1"/>
  <c r="B952" i="5" s="1"/>
  <c r="B953" i="5" s="1"/>
  <c r="B954" i="5" s="1"/>
  <c r="B955" i="5" s="1"/>
  <c r="B956" i="5" s="1"/>
  <c r="B957" i="5" s="1"/>
  <c r="B958" i="5" s="1"/>
  <c r="B959" i="5" s="1"/>
  <c r="B960" i="5" s="1"/>
  <c r="B961" i="5" s="1"/>
  <c r="B962" i="5" s="1"/>
  <c r="B963" i="5" s="1"/>
  <c r="B964" i="5" s="1"/>
  <c r="B965" i="5" s="1"/>
  <c r="B966" i="5" s="1"/>
  <c r="B967" i="5" s="1"/>
  <c r="B968" i="5" s="1"/>
  <c r="B969" i="5" s="1"/>
  <c r="B970" i="5" s="1"/>
  <c r="B971" i="5" s="1"/>
  <c r="B972" i="5" s="1"/>
  <c r="B973" i="5" s="1"/>
  <c r="B974" i="5" s="1"/>
  <c r="B975" i="5" s="1"/>
  <c r="B976" i="5" s="1"/>
  <c r="B977" i="5" s="1"/>
  <c r="B978" i="5" s="1"/>
  <c r="B979" i="5" s="1"/>
  <c r="B980" i="5" s="1"/>
  <c r="B981" i="5" s="1"/>
  <c r="B982" i="5" s="1"/>
  <c r="B983" i="5" s="1"/>
  <c r="B984" i="5" s="1"/>
  <c r="B985" i="5" s="1"/>
  <c r="B986" i="5" s="1"/>
  <c r="B987" i="5" s="1"/>
  <c r="B988" i="5" s="1"/>
  <c r="B989" i="5" s="1"/>
  <c r="B990" i="5" s="1"/>
  <c r="B991" i="5" s="1"/>
  <c r="B992" i="5" s="1"/>
  <c r="B993" i="5" s="1"/>
  <c r="B994" i="5" s="1"/>
  <c r="B995" i="5" s="1"/>
  <c r="B996" i="5" s="1"/>
  <c r="B997" i="5" s="1"/>
  <c r="B998" i="5" s="1"/>
  <c r="B999" i="5" s="1"/>
  <c r="B1000" i="5" s="1"/>
  <c r="B1001" i="5" s="1"/>
  <c r="N5" i="5"/>
  <c r="N6" i="5" s="1"/>
  <c r="D6" i="5"/>
  <c r="D7" i="5" s="1"/>
  <c r="D8" i="5" s="1"/>
  <c r="D9" i="5" s="1"/>
  <c r="D10" i="5" s="1"/>
  <c r="E7" i="5"/>
  <c r="E8" i="5" s="1"/>
  <c r="E9" i="5" s="1"/>
  <c r="E10" i="5" s="1"/>
  <c r="E11" i="5" s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N7" i="5"/>
  <c r="N8" i="5" s="1"/>
  <c r="N9" i="5" s="1"/>
  <c r="N10" i="5" s="1"/>
  <c r="N11" i="5" s="1"/>
  <c r="N12" i="5" s="1"/>
  <c r="N13" i="5" s="1"/>
  <c r="N14" i="5" s="1"/>
  <c r="N15" i="5" s="1"/>
  <c r="N16" i="5" s="1"/>
  <c r="N17" i="5" s="1"/>
  <c r="N18" i="5" s="1"/>
  <c r="N19" i="5" s="1"/>
  <c r="N20" i="5" s="1"/>
  <c r="N21" i="5" s="1"/>
  <c r="N22" i="5" s="1"/>
  <c r="N23" i="5" s="1"/>
  <c r="N24" i="5" s="1"/>
  <c r="N25" i="5" s="1"/>
  <c r="N26" i="5" s="1"/>
  <c r="N27" i="5" s="1"/>
  <c r="N28" i="5" s="1"/>
  <c r="N29" i="5" s="1"/>
  <c r="N30" i="5" s="1"/>
  <c r="N31" i="5" s="1"/>
  <c r="N32" i="5" s="1"/>
  <c r="N33" i="5" s="1"/>
  <c r="N34" i="5" s="1"/>
  <c r="N35" i="5" s="1"/>
  <c r="G10" i="5"/>
  <c r="G11" i="5" s="1"/>
  <c r="G12" i="5" s="1"/>
  <c r="G13" i="5" s="1"/>
  <c r="G14" i="5" s="1"/>
  <c r="G15" i="5" s="1"/>
  <c r="G16" i="5" s="1"/>
  <c r="G17" i="5" s="1"/>
  <c r="G18" i="5" s="1"/>
  <c r="O10" i="5"/>
  <c r="D11" i="5"/>
  <c r="O11" i="5"/>
  <c r="O12" i="5" s="1"/>
  <c r="D12" i="5"/>
  <c r="D13" i="5" s="1"/>
  <c r="D14" i="5" s="1"/>
  <c r="D15" i="5" s="1"/>
  <c r="D16" i="5" s="1"/>
  <c r="D17" i="5" s="1"/>
  <c r="D18" i="5" s="1"/>
  <c r="O13" i="5"/>
  <c r="O14" i="5"/>
  <c r="O15" i="5" s="1"/>
  <c r="O16" i="5" s="1"/>
  <c r="O17" i="5" s="1"/>
  <c r="O18" i="5" s="1"/>
  <c r="O19" i="5" s="1"/>
  <c r="O20" i="5" s="1"/>
  <c r="O21" i="5" s="1"/>
  <c r="O22" i="5" s="1"/>
  <c r="O23" i="5" s="1"/>
  <c r="O24" i="5" s="1"/>
  <c r="O25" i="5" s="1"/>
  <c r="O26" i="5" s="1"/>
  <c r="O27" i="5" s="1"/>
  <c r="O28" i="5" s="1"/>
  <c r="F15" i="5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F28" i="5" s="1"/>
  <c r="F29" i="5" s="1"/>
  <c r="F30" i="5" s="1"/>
  <c r="F31" i="5" s="1"/>
  <c r="F32" i="5" s="1"/>
  <c r="F33" i="5" s="1"/>
  <c r="F34" i="5" s="1"/>
  <c r="F35" i="5" s="1"/>
  <c r="F36" i="5" s="1"/>
  <c r="F37" i="5" s="1"/>
  <c r="F38" i="5" s="1"/>
  <c r="F39" i="5" s="1"/>
  <c r="F40" i="5" s="1"/>
  <c r="F41" i="5" s="1"/>
  <c r="F42" i="5" s="1"/>
  <c r="F43" i="5" s="1"/>
  <c r="F44" i="5" s="1"/>
  <c r="F45" i="5" s="1"/>
  <c r="F46" i="5" s="1"/>
  <c r="F47" i="5" s="1"/>
  <c r="F48" i="5" s="1"/>
  <c r="F49" i="5" s="1"/>
  <c r="F50" i="5" s="1"/>
  <c r="F51" i="5" s="1"/>
  <c r="F52" i="5" s="1"/>
  <c r="F53" i="5" s="1"/>
  <c r="F54" i="5" s="1"/>
  <c r="F55" i="5" s="1"/>
  <c r="F56" i="5" s="1"/>
  <c r="F57" i="5" s="1"/>
  <c r="F58" i="5" s="1"/>
  <c r="F59" i="5" s="1"/>
  <c r="F60" i="5" s="1"/>
  <c r="F61" i="5" s="1"/>
  <c r="F62" i="5" s="1"/>
  <c r="F63" i="5" s="1"/>
  <c r="F64" i="5" s="1"/>
  <c r="F65" i="5" s="1"/>
  <c r="F66" i="5" s="1"/>
  <c r="F67" i="5" s="1"/>
  <c r="F68" i="5" s="1"/>
  <c r="F69" i="5" s="1"/>
  <c r="F70" i="5" s="1"/>
  <c r="F71" i="5" s="1"/>
  <c r="F72" i="5" s="1"/>
  <c r="F73" i="5" s="1"/>
  <c r="F74" i="5" s="1"/>
  <c r="F75" i="5" s="1"/>
  <c r="F76" i="5" s="1"/>
  <c r="F77" i="5" s="1"/>
  <c r="F78" i="5" s="1"/>
  <c r="F79" i="5" s="1"/>
  <c r="F80" i="5" s="1"/>
  <c r="F81" i="5" s="1"/>
  <c r="F82" i="5" s="1"/>
  <c r="F83" i="5" s="1"/>
  <c r="F84" i="5" s="1"/>
  <c r="F85" i="5" s="1"/>
  <c r="F86" i="5" s="1"/>
  <c r="F87" i="5" s="1"/>
  <c r="F88" i="5" s="1"/>
  <c r="F89" i="5" s="1"/>
  <c r="F90" i="5" s="1"/>
  <c r="F91" i="5" s="1"/>
  <c r="F92" i="5" s="1"/>
  <c r="F93" i="5" s="1"/>
  <c r="F94" i="5" s="1"/>
  <c r="F95" i="5" s="1"/>
  <c r="F96" i="5" s="1"/>
  <c r="F97" i="5" s="1"/>
  <c r="F98" i="5" s="1"/>
  <c r="F99" i="5" s="1"/>
  <c r="F100" i="5" s="1"/>
  <c r="F101" i="5" s="1"/>
  <c r="F102" i="5" s="1"/>
  <c r="F103" i="5" s="1"/>
  <c r="F104" i="5" s="1"/>
  <c r="F105" i="5" s="1"/>
  <c r="F106" i="5" s="1"/>
  <c r="F107" i="5" s="1"/>
  <c r="F108" i="5" s="1"/>
  <c r="F109" i="5" s="1"/>
  <c r="F110" i="5" s="1"/>
  <c r="F111" i="5" s="1"/>
  <c r="F112" i="5" s="1"/>
  <c r="F113" i="5" s="1"/>
  <c r="F114" i="5" s="1"/>
  <c r="F115" i="5" s="1"/>
  <c r="F116" i="5" s="1"/>
  <c r="F117" i="5" s="1"/>
  <c r="F118" i="5" s="1"/>
  <c r="F119" i="5" s="1"/>
  <c r="F120" i="5" s="1"/>
  <c r="F121" i="5" s="1"/>
  <c r="F122" i="5" s="1"/>
  <c r="F123" i="5" s="1"/>
  <c r="F124" i="5" s="1"/>
  <c r="F125" i="5" s="1"/>
  <c r="F126" i="5" s="1"/>
  <c r="F127" i="5" s="1"/>
  <c r="F128" i="5" s="1"/>
  <c r="F129" i="5" s="1"/>
  <c r="F130" i="5" s="1"/>
  <c r="F131" i="5" s="1"/>
  <c r="F132" i="5" s="1"/>
  <c r="F133" i="5" s="1"/>
  <c r="F134" i="5" s="1"/>
  <c r="F135" i="5" s="1"/>
  <c r="F136" i="5" s="1"/>
  <c r="F137" i="5" s="1"/>
  <c r="F138" i="5" s="1"/>
  <c r="F139" i="5" s="1"/>
  <c r="F140" i="5" s="1"/>
  <c r="F141" i="5" s="1"/>
  <c r="F142" i="5" s="1"/>
  <c r="F143" i="5" s="1"/>
  <c r="F144" i="5" s="1"/>
  <c r="F145" i="5" s="1"/>
  <c r="F146" i="5" s="1"/>
  <c r="F147" i="5" s="1"/>
  <c r="F148" i="5" s="1"/>
  <c r="F149" i="5" s="1"/>
  <c r="F150" i="5" s="1"/>
  <c r="F151" i="5" s="1"/>
  <c r="F152" i="5" s="1"/>
  <c r="F153" i="5" s="1"/>
  <c r="F154" i="5" s="1"/>
  <c r="F155" i="5" s="1"/>
  <c r="F156" i="5" s="1"/>
  <c r="F157" i="5" s="1"/>
  <c r="F158" i="5" s="1"/>
  <c r="F159" i="5" s="1"/>
  <c r="F160" i="5" s="1"/>
  <c r="F161" i="5" s="1"/>
  <c r="F162" i="5" s="1"/>
  <c r="F163" i="5" s="1"/>
  <c r="F164" i="5" s="1"/>
  <c r="F165" i="5" s="1"/>
  <c r="F166" i="5" s="1"/>
  <c r="F167" i="5" s="1"/>
  <c r="F168" i="5" s="1"/>
  <c r="F169" i="5" s="1"/>
  <c r="F170" i="5" s="1"/>
  <c r="F171" i="5" s="1"/>
  <c r="F172" i="5" s="1"/>
  <c r="F173" i="5" s="1"/>
  <c r="F174" i="5" s="1"/>
  <c r="F175" i="5" s="1"/>
  <c r="F176" i="5" s="1"/>
  <c r="F177" i="5" s="1"/>
  <c r="F178" i="5" s="1"/>
  <c r="F179" i="5" s="1"/>
  <c r="F180" i="5" s="1"/>
  <c r="F181" i="5" s="1"/>
  <c r="F182" i="5" s="1"/>
  <c r="F183" i="5" s="1"/>
  <c r="F184" i="5" s="1"/>
  <c r="F185" i="5" s="1"/>
  <c r="F186" i="5" s="1"/>
  <c r="F187" i="5" s="1"/>
  <c r="F188" i="5" s="1"/>
  <c r="F189" i="5" s="1"/>
  <c r="F190" i="5" s="1"/>
  <c r="F191" i="5" s="1"/>
  <c r="F192" i="5" s="1"/>
  <c r="F193" i="5" s="1"/>
  <c r="F194" i="5" s="1"/>
  <c r="F195" i="5" s="1"/>
  <c r="F196" i="5" s="1"/>
  <c r="F197" i="5" s="1"/>
  <c r="F198" i="5" s="1"/>
  <c r="F199" i="5" s="1"/>
  <c r="F200" i="5" s="1"/>
  <c r="F201" i="5" s="1"/>
  <c r="F202" i="5" s="1"/>
  <c r="F203" i="5" s="1"/>
  <c r="F204" i="5" s="1"/>
  <c r="F205" i="5" s="1"/>
  <c r="F206" i="5" s="1"/>
  <c r="F207" i="5" s="1"/>
  <c r="F208" i="5" s="1"/>
  <c r="F209" i="5" s="1"/>
  <c r="F210" i="5" s="1"/>
  <c r="F211" i="5" s="1"/>
  <c r="F212" i="5" s="1"/>
  <c r="F213" i="5" s="1"/>
  <c r="F214" i="5" s="1"/>
  <c r="F215" i="5" s="1"/>
  <c r="F216" i="5" s="1"/>
  <c r="F217" i="5" s="1"/>
  <c r="F218" i="5" s="1"/>
  <c r="F219" i="5" s="1"/>
  <c r="F220" i="5" s="1"/>
  <c r="F221" i="5" s="1"/>
  <c r="F222" i="5" s="1"/>
  <c r="F223" i="5" s="1"/>
  <c r="F224" i="5" s="1"/>
  <c r="F225" i="5" s="1"/>
  <c r="F226" i="5" s="1"/>
  <c r="F227" i="5" s="1"/>
  <c r="F228" i="5" s="1"/>
  <c r="F229" i="5" s="1"/>
  <c r="F230" i="5" s="1"/>
  <c r="F231" i="5" s="1"/>
  <c r="F232" i="5" s="1"/>
  <c r="F233" i="5" s="1"/>
  <c r="F234" i="5" s="1"/>
  <c r="F235" i="5" s="1"/>
  <c r="F236" i="5" s="1"/>
  <c r="F237" i="5" s="1"/>
  <c r="F238" i="5" s="1"/>
  <c r="F239" i="5" s="1"/>
  <c r="F240" i="5" s="1"/>
  <c r="F241" i="5" s="1"/>
  <c r="F242" i="5" s="1"/>
  <c r="F243" i="5" s="1"/>
  <c r="F244" i="5" s="1"/>
  <c r="F245" i="5" s="1"/>
  <c r="F246" i="5" s="1"/>
  <c r="F247" i="5" s="1"/>
  <c r="F248" i="5" s="1"/>
  <c r="F249" i="5" s="1"/>
  <c r="F250" i="5" s="1"/>
  <c r="F251" i="5" s="1"/>
  <c r="F252" i="5" s="1"/>
  <c r="F253" i="5" s="1"/>
  <c r="F254" i="5" s="1"/>
  <c r="F255" i="5" s="1"/>
  <c r="F256" i="5" s="1"/>
  <c r="F257" i="5" s="1"/>
  <c r="F258" i="5" s="1"/>
  <c r="F259" i="5" s="1"/>
  <c r="F260" i="5" s="1"/>
  <c r="F261" i="5" s="1"/>
  <c r="F262" i="5" s="1"/>
  <c r="F263" i="5" s="1"/>
  <c r="F264" i="5" s="1"/>
  <c r="F265" i="5" s="1"/>
  <c r="F266" i="5" s="1"/>
  <c r="F267" i="5" s="1"/>
  <c r="F268" i="5" s="1"/>
  <c r="F269" i="5" s="1"/>
  <c r="F270" i="5" s="1"/>
  <c r="F271" i="5" s="1"/>
  <c r="F272" i="5" s="1"/>
  <c r="F273" i="5" s="1"/>
  <c r="F274" i="5" s="1"/>
  <c r="F275" i="5" s="1"/>
  <c r="F276" i="5" s="1"/>
  <c r="F277" i="5" s="1"/>
  <c r="F278" i="5" s="1"/>
  <c r="F279" i="5" s="1"/>
  <c r="F280" i="5" s="1"/>
  <c r="F281" i="5" s="1"/>
  <c r="F282" i="5" s="1"/>
  <c r="F283" i="5" s="1"/>
  <c r="F284" i="5" s="1"/>
  <c r="F285" i="5" s="1"/>
  <c r="F286" i="5" s="1"/>
  <c r="F287" i="5" s="1"/>
  <c r="F288" i="5" s="1"/>
  <c r="F289" i="5" s="1"/>
  <c r="F290" i="5" s="1"/>
  <c r="F291" i="5" s="1"/>
  <c r="F292" i="5" s="1"/>
  <c r="F293" i="5" s="1"/>
  <c r="F294" i="5" s="1"/>
  <c r="F295" i="5" s="1"/>
  <c r="F296" i="5" s="1"/>
  <c r="F297" i="5" s="1"/>
  <c r="F298" i="5" s="1"/>
  <c r="F299" i="5" s="1"/>
  <c r="F300" i="5" s="1"/>
  <c r="F301" i="5" s="1"/>
  <c r="F302" i="5" s="1"/>
  <c r="F303" i="5" s="1"/>
  <c r="F304" i="5" s="1"/>
  <c r="F305" i="5" s="1"/>
  <c r="F306" i="5" s="1"/>
  <c r="F307" i="5" s="1"/>
  <c r="F308" i="5" s="1"/>
  <c r="F309" i="5" s="1"/>
  <c r="F310" i="5" s="1"/>
  <c r="F311" i="5" s="1"/>
  <c r="F312" i="5" s="1"/>
  <c r="F313" i="5" s="1"/>
  <c r="F314" i="5" s="1"/>
  <c r="F315" i="5" s="1"/>
  <c r="F316" i="5" s="1"/>
  <c r="F317" i="5" s="1"/>
  <c r="F318" i="5" s="1"/>
  <c r="F319" i="5" s="1"/>
  <c r="F320" i="5" s="1"/>
  <c r="F321" i="5" s="1"/>
  <c r="F322" i="5" s="1"/>
  <c r="F323" i="5" s="1"/>
  <c r="F324" i="5" s="1"/>
  <c r="F325" i="5" s="1"/>
  <c r="F326" i="5" s="1"/>
  <c r="F327" i="5" s="1"/>
  <c r="F328" i="5" s="1"/>
  <c r="F329" i="5" s="1"/>
  <c r="F330" i="5" s="1"/>
  <c r="F331" i="5" s="1"/>
  <c r="F332" i="5" s="1"/>
  <c r="F333" i="5" s="1"/>
  <c r="F334" i="5" s="1"/>
  <c r="F335" i="5" s="1"/>
  <c r="F336" i="5" s="1"/>
  <c r="F337" i="5" s="1"/>
  <c r="F338" i="5" s="1"/>
  <c r="F339" i="5" s="1"/>
  <c r="F340" i="5" s="1"/>
  <c r="F341" i="5" s="1"/>
  <c r="F342" i="5" s="1"/>
  <c r="F343" i="5" s="1"/>
  <c r="F344" i="5" s="1"/>
  <c r="F345" i="5" s="1"/>
  <c r="F346" i="5" s="1"/>
  <c r="F347" i="5" s="1"/>
  <c r="F348" i="5" s="1"/>
  <c r="F349" i="5" s="1"/>
  <c r="F350" i="5" s="1"/>
  <c r="F351" i="5" s="1"/>
  <c r="F352" i="5" s="1"/>
  <c r="F353" i="5" s="1"/>
  <c r="F354" i="5" s="1"/>
  <c r="F355" i="5" s="1"/>
  <c r="F356" i="5" s="1"/>
  <c r="F357" i="5" s="1"/>
  <c r="F358" i="5" s="1"/>
  <c r="F359" i="5" s="1"/>
  <c r="F360" i="5" s="1"/>
  <c r="F361" i="5" s="1"/>
  <c r="F362" i="5" s="1"/>
  <c r="F363" i="5" s="1"/>
  <c r="F364" i="5" s="1"/>
  <c r="F365" i="5" s="1"/>
  <c r="F366" i="5" s="1"/>
  <c r="F367" i="5" s="1"/>
  <c r="F368" i="5" s="1"/>
  <c r="F369" i="5" s="1"/>
  <c r="F370" i="5" s="1"/>
  <c r="F371" i="5" s="1"/>
  <c r="F372" i="5" s="1"/>
  <c r="F373" i="5" s="1"/>
  <c r="F374" i="5" s="1"/>
  <c r="F375" i="5" s="1"/>
  <c r="F376" i="5" s="1"/>
  <c r="F377" i="5" s="1"/>
  <c r="F378" i="5" s="1"/>
  <c r="F379" i="5" s="1"/>
  <c r="F380" i="5" s="1"/>
  <c r="F381" i="5" s="1"/>
  <c r="F382" i="5" s="1"/>
  <c r="F383" i="5" s="1"/>
  <c r="F384" i="5" s="1"/>
  <c r="F385" i="5" s="1"/>
  <c r="F386" i="5" s="1"/>
  <c r="F387" i="5" s="1"/>
  <c r="F388" i="5" s="1"/>
  <c r="F389" i="5" s="1"/>
  <c r="F390" i="5" s="1"/>
  <c r="F391" i="5" s="1"/>
  <c r="F392" i="5" s="1"/>
  <c r="F393" i="5" s="1"/>
  <c r="F394" i="5" s="1"/>
  <c r="F395" i="5" s="1"/>
  <c r="F396" i="5" s="1"/>
  <c r="F397" i="5" s="1"/>
  <c r="F398" i="5" s="1"/>
  <c r="F399" i="5" s="1"/>
  <c r="F400" i="5" s="1"/>
  <c r="F401" i="5" s="1"/>
  <c r="F402" i="5" s="1"/>
  <c r="F403" i="5" s="1"/>
  <c r="F404" i="5" s="1"/>
  <c r="F405" i="5" s="1"/>
  <c r="F406" i="5" s="1"/>
  <c r="F407" i="5" s="1"/>
  <c r="F408" i="5" s="1"/>
  <c r="F409" i="5" s="1"/>
  <c r="F410" i="5" s="1"/>
  <c r="F411" i="5" s="1"/>
  <c r="F412" i="5" s="1"/>
  <c r="F413" i="5" s="1"/>
  <c r="F414" i="5" s="1"/>
  <c r="F415" i="5" s="1"/>
  <c r="F416" i="5" s="1"/>
  <c r="F417" i="5" s="1"/>
  <c r="F418" i="5" s="1"/>
  <c r="F419" i="5" s="1"/>
  <c r="F420" i="5" s="1"/>
  <c r="F421" i="5" s="1"/>
  <c r="F422" i="5" s="1"/>
  <c r="F423" i="5" s="1"/>
  <c r="F424" i="5" s="1"/>
  <c r="F425" i="5" s="1"/>
  <c r="F426" i="5" s="1"/>
  <c r="F427" i="5" s="1"/>
  <c r="F428" i="5" s="1"/>
  <c r="F429" i="5" s="1"/>
  <c r="F430" i="5" s="1"/>
  <c r="F431" i="5" s="1"/>
  <c r="F432" i="5" s="1"/>
  <c r="F433" i="5" s="1"/>
  <c r="F434" i="5" s="1"/>
  <c r="F435" i="5" s="1"/>
  <c r="F436" i="5" s="1"/>
  <c r="F437" i="5" s="1"/>
  <c r="F438" i="5" s="1"/>
  <c r="F439" i="5" s="1"/>
  <c r="F440" i="5" s="1"/>
  <c r="F441" i="5" s="1"/>
  <c r="F442" i="5" s="1"/>
  <c r="F443" i="5" s="1"/>
  <c r="F444" i="5" s="1"/>
  <c r="F445" i="5" s="1"/>
  <c r="F446" i="5" s="1"/>
  <c r="F447" i="5" s="1"/>
  <c r="F448" i="5" s="1"/>
  <c r="F449" i="5" s="1"/>
  <c r="F450" i="5" s="1"/>
  <c r="F451" i="5" s="1"/>
  <c r="F452" i="5" s="1"/>
  <c r="F453" i="5" s="1"/>
  <c r="F454" i="5" s="1"/>
  <c r="F455" i="5" s="1"/>
  <c r="F456" i="5" s="1"/>
  <c r="F457" i="5" s="1"/>
  <c r="F458" i="5" s="1"/>
  <c r="F459" i="5" s="1"/>
  <c r="F460" i="5" s="1"/>
  <c r="F461" i="5" s="1"/>
  <c r="F462" i="5" s="1"/>
  <c r="F463" i="5" s="1"/>
  <c r="F464" i="5" s="1"/>
  <c r="F465" i="5" s="1"/>
  <c r="F466" i="5" s="1"/>
  <c r="F467" i="5" s="1"/>
  <c r="F468" i="5" s="1"/>
  <c r="F469" i="5" s="1"/>
  <c r="F470" i="5" s="1"/>
  <c r="F471" i="5" s="1"/>
  <c r="F472" i="5" s="1"/>
  <c r="F473" i="5" s="1"/>
  <c r="F474" i="5" s="1"/>
  <c r="F475" i="5" s="1"/>
  <c r="F476" i="5" s="1"/>
  <c r="F477" i="5" s="1"/>
  <c r="F478" i="5" s="1"/>
  <c r="F479" i="5" s="1"/>
  <c r="F480" i="5" s="1"/>
  <c r="F481" i="5" s="1"/>
  <c r="F482" i="5" s="1"/>
  <c r="F483" i="5" s="1"/>
  <c r="F484" i="5" s="1"/>
  <c r="F485" i="5" s="1"/>
  <c r="F486" i="5" s="1"/>
  <c r="F487" i="5" s="1"/>
  <c r="F488" i="5" s="1"/>
  <c r="F489" i="5" s="1"/>
  <c r="F490" i="5" s="1"/>
  <c r="F491" i="5" s="1"/>
  <c r="F492" i="5" s="1"/>
  <c r="F493" i="5" s="1"/>
  <c r="F494" i="5" s="1"/>
  <c r="F495" i="5" s="1"/>
  <c r="F496" i="5" s="1"/>
  <c r="F497" i="5" s="1"/>
  <c r="F498" i="5" s="1"/>
  <c r="F499" i="5" s="1"/>
  <c r="F500" i="5" s="1"/>
  <c r="F501" i="5" s="1"/>
  <c r="F502" i="5" s="1"/>
  <c r="F503" i="5" s="1"/>
  <c r="F504" i="5" s="1"/>
  <c r="F505" i="5" s="1"/>
  <c r="F506" i="5" s="1"/>
  <c r="F507" i="5" s="1"/>
  <c r="F508" i="5" s="1"/>
  <c r="F509" i="5" s="1"/>
  <c r="F510" i="5" s="1"/>
  <c r="F511" i="5" s="1"/>
  <c r="F512" i="5" s="1"/>
  <c r="F513" i="5" s="1"/>
  <c r="F514" i="5" s="1"/>
  <c r="F515" i="5" s="1"/>
  <c r="F516" i="5" s="1"/>
  <c r="F517" i="5" s="1"/>
  <c r="F518" i="5" s="1"/>
  <c r="F519" i="5" s="1"/>
  <c r="F520" i="5" s="1"/>
  <c r="F521" i="5" s="1"/>
  <c r="F522" i="5" s="1"/>
  <c r="F523" i="5" s="1"/>
  <c r="F524" i="5" s="1"/>
  <c r="F525" i="5" s="1"/>
  <c r="F526" i="5" s="1"/>
  <c r="F527" i="5" s="1"/>
  <c r="F528" i="5" s="1"/>
  <c r="F529" i="5" s="1"/>
  <c r="F530" i="5" s="1"/>
  <c r="F531" i="5" s="1"/>
  <c r="F532" i="5" s="1"/>
  <c r="F533" i="5" s="1"/>
  <c r="F534" i="5" s="1"/>
  <c r="F535" i="5" s="1"/>
  <c r="F536" i="5" s="1"/>
  <c r="F537" i="5" s="1"/>
  <c r="F538" i="5" s="1"/>
  <c r="F539" i="5" s="1"/>
  <c r="F540" i="5" s="1"/>
  <c r="F541" i="5" s="1"/>
  <c r="F542" i="5" s="1"/>
  <c r="F543" i="5" s="1"/>
  <c r="F544" i="5" s="1"/>
  <c r="F545" i="5" s="1"/>
  <c r="F546" i="5" s="1"/>
  <c r="F547" i="5" s="1"/>
  <c r="F548" i="5" s="1"/>
  <c r="F549" i="5" s="1"/>
  <c r="F550" i="5" s="1"/>
  <c r="F551" i="5" s="1"/>
  <c r="F552" i="5" s="1"/>
  <c r="F553" i="5" s="1"/>
  <c r="F554" i="5" s="1"/>
  <c r="F555" i="5" s="1"/>
  <c r="F556" i="5" s="1"/>
  <c r="F557" i="5" s="1"/>
  <c r="F558" i="5" s="1"/>
  <c r="F559" i="5" s="1"/>
  <c r="F560" i="5" s="1"/>
  <c r="F561" i="5" s="1"/>
  <c r="F562" i="5" s="1"/>
  <c r="F563" i="5" s="1"/>
  <c r="F564" i="5" s="1"/>
  <c r="F565" i="5" s="1"/>
  <c r="F566" i="5" s="1"/>
  <c r="F567" i="5" s="1"/>
  <c r="F568" i="5" s="1"/>
  <c r="F569" i="5" s="1"/>
  <c r="F570" i="5" s="1"/>
  <c r="F571" i="5" s="1"/>
  <c r="F572" i="5" s="1"/>
  <c r="F573" i="5" s="1"/>
  <c r="F574" i="5" s="1"/>
  <c r="F575" i="5" s="1"/>
  <c r="F576" i="5" s="1"/>
  <c r="F577" i="5" s="1"/>
  <c r="F578" i="5" s="1"/>
  <c r="F579" i="5" s="1"/>
  <c r="F580" i="5" s="1"/>
  <c r="F581" i="5" s="1"/>
  <c r="F582" i="5" s="1"/>
  <c r="F583" i="5" s="1"/>
  <c r="F584" i="5" s="1"/>
  <c r="F585" i="5" s="1"/>
  <c r="F586" i="5" s="1"/>
  <c r="F587" i="5" s="1"/>
  <c r="F588" i="5" s="1"/>
  <c r="F589" i="5" s="1"/>
  <c r="F590" i="5" s="1"/>
  <c r="F591" i="5" s="1"/>
  <c r="F592" i="5" s="1"/>
  <c r="F593" i="5" s="1"/>
  <c r="F594" i="5" s="1"/>
  <c r="F595" i="5" s="1"/>
  <c r="F596" i="5" s="1"/>
  <c r="F597" i="5" s="1"/>
  <c r="F598" i="5" s="1"/>
  <c r="F599" i="5" s="1"/>
  <c r="F600" i="5" s="1"/>
  <c r="F601" i="5" s="1"/>
  <c r="F602" i="5" s="1"/>
  <c r="F603" i="5" s="1"/>
  <c r="F604" i="5" s="1"/>
  <c r="F605" i="5" s="1"/>
  <c r="F606" i="5" s="1"/>
  <c r="F607" i="5" s="1"/>
  <c r="F608" i="5" s="1"/>
  <c r="F609" i="5" s="1"/>
  <c r="F610" i="5" s="1"/>
  <c r="F611" i="5" s="1"/>
  <c r="F612" i="5" s="1"/>
  <c r="F613" i="5" s="1"/>
  <c r="F614" i="5" s="1"/>
  <c r="F615" i="5" s="1"/>
  <c r="F616" i="5" s="1"/>
  <c r="F617" i="5" s="1"/>
  <c r="F618" i="5" s="1"/>
  <c r="F619" i="5" s="1"/>
  <c r="F620" i="5" s="1"/>
  <c r="F621" i="5" s="1"/>
  <c r="F622" i="5" s="1"/>
  <c r="F623" i="5" s="1"/>
  <c r="F624" i="5" s="1"/>
  <c r="F625" i="5" s="1"/>
  <c r="F626" i="5" s="1"/>
  <c r="F627" i="5" s="1"/>
  <c r="F628" i="5" s="1"/>
  <c r="F629" i="5" s="1"/>
  <c r="F630" i="5" s="1"/>
  <c r="F631" i="5" s="1"/>
  <c r="F632" i="5" s="1"/>
  <c r="F633" i="5" s="1"/>
  <c r="F634" i="5" s="1"/>
  <c r="F635" i="5" s="1"/>
  <c r="F636" i="5" s="1"/>
  <c r="F637" i="5" s="1"/>
  <c r="F638" i="5" s="1"/>
  <c r="F639" i="5" s="1"/>
  <c r="F640" i="5" s="1"/>
  <c r="F641" i="5" s="1"/>
  <c r="F642" i="5" s="1"/>
  <c r="F643" i="5" s="1"/>
  <c r="F644" i="5" s="1"/>
  <c r="F645" i="5" s="1"/>
  <c r="F646" i="5" s="1"/>
  <c r="F647" i="5" s="1"/>
  <c r="F648" i="5" s="1"/>
  <c r="F649" i="5" s="1"/>
  <c r="F650" i="5" s="1"/>
  <c r="F651" i="5" s="1"/>
  <c r="F652" i="5" s="1"/>
  <c r="F653" i="5" s="1"/>
  <c r="F654" i="5" s="1"/>
  <c r="F655" i="5" s="1"/>
  <c r="F656" i="5" s="1"/>
  <c r="F657" i="5" s="1"/>
  <c r="F658" i="5" s="1"/>
  <c r="F659" i="5" s="1"/>
  <c r="F660" i="5" s="1"/>
  <c r="F661" i="5" s="1"/>
  <c r="F662" i="5" s="1"/>
  <c r="F663" i="5" s="1"/>
  <c r="F664" i="5" s="1"/>
  <c r="F665" i="5" s="1"/>
  <c r="F666" i="5" s="1"/>
  <c r="F667" i="5" s="1"/>
  <c r="F668" i="5" s="1"/>
  <c r="F669" i="5" s="1"/>
  <c r="F670" i="5" s="1"/>
  <c r="F671" i="5" s="1"/>
  <c r="F672" i="5" s="1"/>
  <c r="F673" i="5" s="1"/>
  <c r="F674" i="5" s="1"/>
  <c r="F675" i="5" s="1"/>
  <c r="F676" i="5" s="1"/>
  <c r="F677" i="5" s="1"/>
  <c r="F678" i="5" s="1"/>
  <c r="F679" i="5" s="1"/>
  <c r="F680" i="5" s="1"/>
  <c r="F681" i="5" s="1"/>
  <c r="F682" i="5" s="1"/>
  <c r="F683" i="5" s="1"/>
  <c r="F684" i="5" s="1"/>
  <c r="F685" i="5" s="1"/>
  <c r="F686" i="5" s="1"/>
  <c r="F687" i="5" s="1"/>
  <c r="F688" i="5" s="1"/>
  <c r="F689" i="5" s="1"/>
  <c r="F690" i="5" s="1"/>
  <c r="F691" i="5" s="1"/>
  <c r="F692" i="5" s="1"/>
  <c r="F693" i="5" s="1"/>
  <c r="F694" i="5" s="1"/>
  <c r="F695" i="5" s="1"/>
  <c r="F696" i="5" s="1"/>
  <c r="F697" i="5" s="1"/>
  <c r="F698" i="5" s="1"/>
  <c r="F699" i="5" s="1"/>
  <c r="F700" i="5" s="1"/>
  <c r="F701" i="5" s="1"/>
  <c r="F702" i="5" s="1"/>
  <c r="F703" i="5" s="1"/>
  <c r="F704" i="5" s="1"/>
  <c r="F705" i="5" s="1"/>
  <c r="F706" i="5" s="1"/>
  <c r="F707" i="5" s="1"/>
  <c r="F708" i="5" s="1"/>
  <c r="F709" i="5" s="1"/>
  <c r="F710" i="5" s="1"/>
  <c r="F711" i="5" s="1"/>
  <c r="F712" i="5" s="1"/>
  <c r="F713" i="5" s="1"/>
  <c r="F714" i="5" s="1"/>
  <c r="F715" i="5" s="1"/>
  <c r="F716" i="5" s="1"/>
  <c r="F717" i="5" s="1"/>
  <c r="F718" i="5" s="1"/>
  <c r="F719" i="5" s="1"/>
  <c r="F720" i="5" s="1"/>
  <c r="F721" i="5" s="1"/>
  <c r="F722" i="5" s="1"/>
  <c r="F723" i="5" s="1"/>
  <c r="F724" i="5" s="1"/>
  <c r="F725" i="5" s="1"/>
  <c r="F726" i="5" s="1"/>
  <c r="F727" i="5" s="1"/>
  <c r="F728" i="5" s="1"/>
  <c r="F729" i="5" s="1"/>
  <c r="F730" i="5" s="1"/>
  <c r="F731" i="5" s="1"/>
  <c r="F732" i="5" s="1"/>
  <c r="F733" i="5" s="1"/>
  <c r="F734" i="5" s="1"/>
  <c r="F735" i="5" s="1"/>
  <c r="F736" i="5" s="1"/>
  <c r="F737" i="5" s="1"/>
  <c r="F738" i="5" s="1"/>
  <c r="F739" i="5" s="1"/>
  <c r="F740" i="5" s="1"/>
  <c r="F741" i="5" s="1"/>
  <c r="F742" i="5" s="1"/>
  <c r="F743" i="5" s="1"/>
  <c r="F744" i="5" s="1"/>
  <c r="F745" i="5" s="1"/>
  <c r="F746" i="5" s="1"/>
  <c r="F747" i="5" s="1"/>
  <c r="F748" i="5" s="1"/>
  <c r="F749" i="5" s="1"/>
  <c r="F750" i="5" s="1"/>
  <c r="F751" i="5" s="1"/>
  <c r="F752" i="5" s="1"/>
  <c r="F753" i="5" s="1"/>
  <c r="F754" i="5" s="1"/>
  <c r="F755" i="5" s="1"/>
  <c r="F756" i="5" s="1"/>
  <c r="F757" i="5" s="1"/>
  <c r="F758" i="5" s="1"/>
  <c r="F759" i="5" s="1"/>
  <c r="F760" i="5" s="1"/>
  <c r="F761" i="5" s="1"/>
  <c r="F762" i="5" s="1"/>
  <c r="F763" i="5" s="1"/>
  <c r="F764" i="5" s="1"/>
  <c r="F765" i="5" s="1"/>
  <c r="F766" i="5" s="1"/>
  <c r="F767" i="5" s="1"/>
  <c r="F768" i="5" s="1"/>
  <c r="F769" i="5" s="1"/>
  <c r="F770" i="5" s="1"/>
  <c r="F771" i="5" s="1"/>
  <c r="F772" i="5" s="1"/>
  <c r="F773" i="5" s="1"/>
  <c r="F774" i="5" s="1"/>
  <c r="F775" i="5" s="1"/>
  <c r="F776" i="5" s="1"/>
  <c r="F777" i="5" s="1"/>
  <c r="F778" i="5" s="1"/>
  <c r="F779" i="5" s="1"/>
  <c r="F780" i="5" s="1"/>
  <c r="F781" i="5" s="1"/>
  <c r="F782" i="5" s="1"/>
  <c r="F783" i="5" s="1"/>
  <c r="F784" i="5" s="1"/>
  <c r="F785" i="5" s="1"/>
  <c r="F786" i="5" s="1"/>
  <c r="F787" i="5" s="1"/>
  <c r="F788" i="5" s="1"/>
  <c r="F789" i="5" s="1"/>
  <c r="F790" i="5" s="1"/>
  <c r="F791" i="5" s="1"/>
  <c r="F792" i="5" s="1"/>
  <c r="F793" i="5" s="1"/>
  <c r="F794" i="5" s="1"/>
  <c r="F795" i="5" s="1"/>
  <c r="F796" i="5" s="1"/>
  <c r="F797" i="5" s="1"/>
  <c r="F798" i="5" s="1"/>
  <c r="F799" i="5" s="1"/>
  <c r="F800" i="5" s="1"/>
  <c r="F801" i="5" s="1"/>
  <c r="F802" i="5" s="1"/>
  <c r="F803" i="5" s="1"/>
  <c r="F804" i="5" s="1"/>
  <c r="F805" i="5" s="1"/>
  <c r="F806" i="5" s="1"/>
  <c r="F807" i="5" s="1"/>
  <c r="F808" i="5" s="1"/>
  <c r="F809" i="5" s="1"/>
  <c r="F810" i="5" s="1"/>
  <c r="F811" i="5" s="1"/>
  <c r="F812" i="5" s="1"/>
  <c r="F813" i="5" s="1"/>
  <c r="F814" i="5" s="1"/>
  <c r="F815" i="5" s="1"/>
  <c r="F816" i="5" s="1"/>
  <c r="F817" i="5" s="1"/>
  <c r="F818" i="5" s="1"/>
  <c r="F819" i="5" s="1"/>
  <c r="F820" i="5" s="1"/>
  <c r="F821" i="5" s="1"/>
  <c r="F822" i="5" s="1"/>
  <c r="F823" i="5" s="1"/>
  <c r="F824" i="5" s="1"/>
  <c r="F825" i="5" s="1"/>
  <c r="F826" i="5" s="1"/>
  <c r="F827" i="5" s="1"/>
  <c r="F828" i="5" s="1"/>
  <c r="F829" i="5" s="1"/>
  <c r="F830" i="5" s="1"/>
  <c r="F831" i="5" s="1"/>
  <c r="F832" i="5" s="1"/>
  <c r="F833" i="5" s="1"/>
  <c r="F834" i="5" s="1"/>
  <c r="F835" i="5" s="1"/>
  <c r="F836" i="5" s="1"/>
  <c r="F837" i="5" s="1"/>
  <c r="F838" i="5" s="1"/>
  <c r="F839" i="5" s="1"/>
  <c r="F840" i="5" s="1"/>
  <c r="F841" i="5" s="1"/>
  <c r="F842" i="5" s="1"/>
  <c r="F843" i="5" s="1"/>
  <c r="F844" i="5" s="1"/>
  <c r="F845" i="5" s="1"/>
  <c r="F846" i="5" s="1"/>
  <c r="F847" i="5" s="1"/>
  <c r="F848" i="5" s="1"/>
  <c r="F849" i="5" s="1"/>
  <c r="F850" i="5" s="1"/>
  <c r="F851" i="5" s="1"/>
  <c r="F852" i="5" s="1"/>
  <c r="F853" i="5" s="1"/>
  <c r="F854" i="5" s="1"/>
  <c r="F855" i="5" s="1"/>
  <c r="F856" i="5" s="1"/>
  <c r="F857" i="5" s="1"/>
  <c r="F858" i="5" s="1"/>
  <c r="F859" i="5" s="1"/>
  <c r="F860" i="5" s="1"/>
  <c r="F861" i="5" s="1"/>
  <c r="F862" i="5" s="1"/>
  <c r="F863" i="5" s="1"/>
  <c r="F864" i="5" s="1"/>
  <c r="F865" i="5" s="1"/>
  <c r="F866" i="5" s="1"/>
  <c r="F867" i="5" s="1"/>
  <c r="F868" i="5" s="1"/>
  <c r="F869" i="5" s="1"/>
  <c r="F870" i="5" s="1"/>
  <c r="F871" i="5" s="1"/>
  <c r="F872" i="5" s="1"/>
  <c r="F873" i="5" s="1"/>
  <c r="F874" i="5" s="1"/>
  <c r="F875" i="5" s="1"/>
  <c r="F876" i="5" s="1"/>
  <c r="F877" i="5" s="1"/>
  <c r="F878" i="5" s="1"/>
  <c r="F879" i="5" s="1"/>
  <c r="F880" i="5" s="1"/>
  <c r="F881" i="5" s="1"/>
  <c r="F882" i="5" s="1"/>
  <c r="F883" i="5" s="1"/>
  <c r="F884" i="5" s="1"/>
  <c r="F885" i="5" s="1"/>
  <c r="F886" i="5" s="1"/>
  <c r="F887" i="5" s="1"/>
  <c r="F888" i="5" s="1"/>
  <c r="F889" i="5" s="1"/>
  <c r="F890" i="5" s="1"/>
  <c r="F891" i="5" s="1"/>
  <c r="F892" i="5" s="1"/>
  <c r="F893" i="5" s="1"/>
  <c r="F894" i="5" s="1"/>
  <c r="F895" i="5" s="1"/>
  <c r="F896" i="5" s="1"/>
  <c r="F897" i="5" s="1"/>
  <c r="F898" i="5" s="1"/>
  <c r="F899" i="5" s="1"/>
  <c r="F900" i="5" s="1"/>
  <c r="F901" i="5" s="1"/>
  <c r="F902" i="5" s="1"/>
  <c r="F903" i="5" s="1"/>
  <c r="F904" i="5" s="1"/>
  <c r="F905" i="5" s="1"/>
  <c r="F906" i="5" s="1"/>
  <c r="F907" i="5" s="1"/>
  <c r="F908" i="5" s="1"/>
  <c r="F909" i="5" s="1"/>
  <c r="F910" i="5" s="1"/>
  <c r="F911" i="5" s="1"/>
  <c r="F912" i="5" s="1"/>
  <c r="F913" i="5" s="1"/>
  <c r="F914" i="5" s="1"/>
  <c r="F915" i="5" s="1"/>
  <c r="F916" i="5" s="1"/>
  <c r="F917" i="5" s="1"/>
  <c r="F918" i="5" s="1"/>
  <c r="F919" i="5" s="1"/>
  <c r="F920" i="5" s="1"/>
  <c r="F921" i="5" s="1"/>
  <c r="F922" i="5" s="1"/>
  <c r="F923" i="5" s="1"/>
  <c r="F924" i="5" s="1"/>
  <c r="F925" i="5" s="1"/>
  <c r="F926" i="5" s="1"/>
  <c r="F927" i="5" s="1"/>
  <c r="F928" i="5" s="1"/>
  <c r="F929" i="5" s="1"/>
  <c r="F930" i="5" s="1"/>
  <c r="F931" i="5" s="1"/>
  <c r="F932" i="5" s="1"/>
  <c r="F933" i="5" s="1"/>
  <c r="F934" i="5" s="1"/>
  <c r="F935" i="5" s="1"/>
  <c r="F936" i="5" s="1"/>
  <c r="F937" i="5" s="1"/>
  <c r="F938" i="5" s="1"/>
  <c r="F939" i="5" s="1"/>
  <c r="F940" i="5" s="1"/>
  <c r="F941" i="5" s="1"/>
  <c r="F942" i="5" s="1"/>
  <c r="F943" i="5" s="1"/>
  <c r="F944" i="5" s="1"/>
  <c r="F945" i="5" s="1"/>
  <c r="F946" i="5" s="1"/>
  <c r="F947" i="5" s="1"/>
  <c r="F948" i="5" s="1"/>
  <c r="F949" i="5" s="1"/>
  <c r="F950" i="5" s="1"/>
  <c r="F951" i="5" s="1"/>
  <c r="F952" i="5" s="1"/>
  <c r="F953" i="5" s="1"/>
  <c r="F954" i="5" s="1"/>
  <c r="F955" i="5" s="1"/>
  <c r="F956" i="5" s="1"/>
  <c r="F957" i="5" s="1"/>
  <c r="F958" i="5" s="1"/>
  <c r="F959" i="5" s="1"/>
  <c r="F960" i="5" s="1"/>
  <c r="F961" i="5" s="1"/>
  <c r="F962" i="5" s="1"/>
  <c r="F963" i="5" s="1"/>
  <c r="F964" i="5" s="1"/>
  <c r="F965" i="5" s="1"/>
  <c r="F966" i="5" s="1"/>
  <c r="F967" i="5" s="1"/>
  <c r="F968" i="5" s="1"/>
  <c r="F969" i="5" s="1"/>
  <c r="F970" i="5" s="1"/>
  <c r="F971" i="5" s="1"/>
  <c r="F972" i="5" s="1"/>
  <c r="F973" i="5" s="1"/>
  <c r="F974" i="5" s="1"/>
  <c r="F975" i="5" s="1"/>
  <c r="F976" i="5" s="1"/>
  <c r="F977" i="5" s="1"/>
  <c r="F978" i="5" s="1"/>
  <c r="F979" i="5" s="1"/>
  <c r="F980" i="5" s="1"/>
  <c r="F981" i="5" s="1"/>
  <c r="F982" i="5" s="1"/>
  <c r="F983" i="5" s="1"/>
  <c r="F984" i="5" s="1"/>
  <c r="F985" i="5" s="1"/>
  <c r="F986" i="5" s="1"/>
  <c r="F987" i="5" s="1"/>
  <c r="F988" i="5" s="1"/>
  <c r="F989" i="5" s="1"/>
  <c r="F990" i="5" s="1"/>
  <c r="F991" i="5" s="1"/>
  <c r="F992" i="5" s="1"/>
  <c r="F993" i="5" s="1"/>
  <c r="F994" i="5" s="1"/>
  <c r="F995" i="5" s="1"/>
  <c r="F996" i="5" s="1"/>
  <c r="F997" i="5" s="1"/>
  <c r="F998" i="5" s="1"/>
  <c r="F999" i="5" s="1"/>
  <c r="F1000" i="5" s="1"/>
  <c r="F1001" i="5" s="1"/>
  <c r="C19" i="5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D19" i="5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D201" i="5" s="1"/>
  <c r="D202" i="5" s="1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D403" i="5" s="1"/>
  <c r="D404" i="5" s="1"/>
  <c r="D405" i="5" s="1"/>
  <c r="D406" i="5" s="1"/>
  <c r="D407" i="5" s="1"/>
  <c r="D408" i="5" s="1"/>
  <c r="D409" i="5" s="1"/>
  <c r="D410" i="5" s="1"/>
  <c r="D411" i="5" s="1"/>
  <c r="D412" i="5" s="1"/>
  <c r="D413" i="5" s="1"/>
  <c r="D414" i="5" s="1"/>
  <c r="D415" i="5" s="1"/>
  <c r="D416" i="5" s="1"/>
  <c r="D417" i="5" s="1"/>
  <c r="D418" i="5" s="1"/>
  <c r="D419" i="5" s="1"/>
  <c r="D420" i="5" s="1"/>
  <c r="D421" i="5" s="1"/>
  <c r="D422" i="5" s="1"/>
  <c r="D423" i="5" s="1"/>
  <c r="D424" i="5" s="1"/>
  <c r="D425" i="5" s="1"/>
  <c r="D426" i="5" s="1"/>
  <c r="D427" i="5" s="1"/>
  <c r="D428" i="5" s="1"/>
  <c r="D429" i="5" s="1"/>
  <c r="D430" i="5" s="1"/>
  <c r="D431" i="5" s="1"/>
  <c r="D432" i="5" s="1"/>
  <c r="D433" i="5" s="1"/>
  <c r="D434" i="5" s="1"/>
  <c r="D435" i="5" s="1"/>
  <c r="D436" i="5" s="1"/>
  <c r="D437" i="5" s="1"/>
  <c r="D438" i="5" s="1"/>
  <c r="D439" i="5" s="1"/>
  <c r="D440" i="5" s="1"/>
  <c r="D441" i="5" s="1"/>
  <c r="D442" i="5" s="1"/>
  <c r="D443" i="5" s="1"/>
  <c r="D444" i="5" s="1"/>
  <c r="D445" i="5" s="1"/>
  <c r="D446" i="5" s="1"/>
  <c r="D447" i="5" s="1"/>
  <c r="D448" i="5" s="1"/>
  <c r="D449" i="5" s="1"/>
  <c r="D450" i="5" s="1"/>
  <c r="D451" i="5" s="1"/>
  <c r="D452" i="5" s="1"/>
  <c r="D453" i="5" s="1"/>
  <c r="D454" i="5" s="1"/>
  <c r="D455" i="5" s="1"/>
  <c r="D456" i="5" s="1"/>
  <c r="D457" i="5" s="1"/>
  <c r="D458" i="5" s="1"/>
  <c r="D459" i="5" s="1"/>
  <c r="D460" i="5" s="1"/>
  <c r="D461" i="5" s="1"/>
  <c r="D462" i="5" s="1"/>
  <c r="D463" i="5" s="1"/>
  <c r="D464" i="5" s="1"/>
  <c r="D465" i="5" s="1"/>
  <c r="D466" i="5" s="1"/>
  <c r="D467" i="5" s="1"/>
  <c r="D468" i="5" s="1"/>
  <c r="D469" i="5" s="1"/>
  <c r="D470" i="5" s="1"/>
  <c r="D471" i="5" s="1"/>
  <c r="D472" i="5" s="1"/>
  <c r="D473" i="5" s="1"/>
  <c r="D474" i="5" s="1"/>
  <c r="D475" i="5" s="1"/>
  <c r="D476" i="5" s="1"/>
  <c r="D477" i="5" s="1"/>
  <c r="D478" i="5" s="1"/>
  <c r="D479" i="5" s="1"/>
  <c r="D480" i="5" s="1"/>
  <c r="D481" i="5" s="1"/>
  <c r="D482" i="5" s="1"/>
  <c r="D483" i="5" s="1"/>
  <c r="D484" i="5" s="1"/>
  <c r="D485" i="5" s="1"/>
  <c r="D486" i="5" s="1"/>
  <c r="D487" i="5" s="1"/>
  <c r="D488" i="5" s="1"/>
  <c r="D489" i="5" s="1"/>
  <c r="D490" i="5" s="1"/>
  <c r="D491" i="5" s="1"/>
  <c r="D492" i="5" s="1"/>
  <c r="D493" i="5" s="1"/>
  <c r="D494" i="5" s="1"/>
  <c r="D495" i="5" s="1"/>
  <c r="D496" i="5" s="1"/>
  <c r="D497" i="5" s="1"/>
  <c r="D498" i="5" s="1"/>
  <c r="D499" i="5" s="1"/>
  <c r="D500" i="5" s="1"/>
  <c r="D501" i="5" s="1"/>
  <c r="D502" i="5" s="1"/>
  <c r="D503" i="5" s="1"/>
  <c r="D504" i="5" s="1"/>
  <c r="D505" i="5" s="1"/>
  <c r="D506" i="5" s="1"/>
  <c r="D507" i="5" s="1"/>
  <c r="D508" i="5" s="1"/>
  <c r="D509" i="5" s="1"/>
  <c r="D510" i="5" s="1"/>
  <c r="D511" i="5" s="1"/>
  <c r="D512" i="5" s="1"/>
  <c r="D513" i="5" s="1"/>
  <c r="D514" i="5" s="1"/>
  <c r="D515" i="5" s="1"/>
  <c r="D516" i="5" s="1"/>
  <c r="D517" i="5" s="1"/>
  <c r="D518" i="5" s="1"/>
  <c r="D519" i="5" s="1"/>
  <c r="D520" i="5" s="1"/>
  <c r="D521" i="5" s="1"/>
  <c r="D522" i="5" s="1"/>
  <c r="D523" i="5" s="1"/>
  <c r="D524" i="5" s="1"/>
  <c r="D525" i="5" s="1"/>
  <c r="D526" i="5" s="1"/>
  <c r="D527" i="5" s="1"/>
  <c r="D528" i="5" s="1"/>
  <c r="D529" i="5" s="1"/>
  <c r="D530" i="5" s="1"/>
  <c r="D531" i="5" s="1"/>
  <c r="D532" i="5" s="1"/>
  <c r="D533" i="5" s="1"/>
  <c r="D534" i="5" s="1"/>
  <c r="D535" i="5" s="1"/>
  <c r="D536" i="5" s="1"/>
  <c r="D537" i="5" s="1"/>
  <c r="D538" i="5" s="1"/>
  <c r="D539" i="5" s="1"/>
  <c r="D540" i="5" s="1"/>
  <c r="D541" i="5" s="1"/>
  <c r="D542" i="5" s="1"/>
  <c r="D543" i="5" s="1"/>
  <c r="D544" i="5" s="1"/>
  <c r="D545" i="5" s="1"/>
  <c r="D546" i="5" s="1"/>
  <c r="D547" i="5" s="1"/>
  <c r="D548" i="5" s="1"/>
  <c r="D549" i="5" s="1"/>
  <c r="D550" i="5" s="1"/>
  <c r="D551" i="5" s="1"/>
  <c r="D552" i="5" s="1"/>
  <c r="D553" i="5" s="1"/>
  <c r="D554" i="5" s="1"/>
  <c r="D555" i="5" s="1"/>
  <c r="D556" i="5" s="1"/>
  <c r="D557" i="5" s="1"/>
  <c r="D558" i="5" s="1"/>
  <c r="D559" i="5" s="1"/>
  <c r="D560" i="5" s="1"/>
  <c r="D561" i="5" s="1"/>
  <c r="D562" i="5" s="1"/>
  <c r="D563" i="5" s="1"/>
  <c r="D564" i="5" s="1"/>
  <c r="D565" i="5" s="1"/>
  <c r="D566" i="5" s="1"/>
  <c r="D567" i="5" s="1"/>
  <c r="D568" i="5" s="1"/>
  <c r="D569" i="5" s="1"/>
  <c r="D570" i="5" s="1"/>
  <c r="D571" i="5" s="1"/>
  <c r="D572" i="5" s="1"/>
  <c r="D573" i="5" s="1"/>
  <c r="D574" i="5" s="1"/>
  <c r="D575" i="5" s="1"/>
  <c r="D576" i="5" s="1"/>
  <c r="D577" i="5" s="1"/>
  <c r="D578" i="5" s="1"/>
  <c r="D579" i="5" s="1"/>
  <c r="D580" i="5" s="1"/>
  <c r="D581" i="5" s="1"/>
  <c r="D582" i="5" s="1"/>
  <c r="D583" i="5" s="1"/>
  <c r="D584" i="5" s="1"/>
  <c r="D585" i="5" s="1"/>
  <c r="D586" i="5" s="1"/>
  <c r="D587" i="5" s="1"/>
  <c r="D588" i="5" s="1"/>
  <c r="D589" i="5" s="1"/>
  <c r="D590" i="5" s="1"/>
  <c r="D591" i="5" s="1"/>
  <c r="D592" i="5" s="1"/>
  <c r="D593" i="5" s="1"/>
  <c r="D594" i="5" s="1"/>
  <c r="D595" i="5" s="1"/>
  <c r="D596" i="5" s="1"/>
  <c r="D597" i="5" s="1"/>
  <c r="D598" i="5" s="1"/>
  <c r="D599" i="5" s="1"/>
  <c r="D600" i="5" s="1"/>
  <c r="D601" i="5" s="1"/>
  <c r="D602" i="5" s="1"/>
  <c r="D603" i="5" s="1"/>
  <c r="D604" i="5" s="1"/>
  <c r="D605" i="5" s="1"/>
  <c r="D606" i="5" s="1"/>
  <c r="D607" i="5" s="1"/>
  <c r="D608" i="5" s="1"/>
  <c r="D609" i="5" s="1"/>
  <c r="D610" i="5" s="1"/>
  <c r="D611" i="5" s="1"/>
  <c r="D612" i="5" s="1"/>
  <c r="D613" i="5" s="1"/>
  <c r="D614" i="5" s="1"/>
  <c r="D615" i="5" s="1"/>
  <c r="D616" i="5" s="1"/>
  <c r="D617" i="5" s="1"/>
  <c r="D618" i="5" s="1"/>
  <c r="D619" i="5" s="1"/>
  <c r="D620" i="5" s="1"/>
  <c r="D621" i="5" s="1"/>
  <c r="D622" i="5" s="1"/>
  <c r="D623" i="5" s="1"/>
  <c r="D624" i="5" s="1"/>
  <c r="D625" i="5" s="1"/>
  <c r="D626" i="5" s="1"/>
  <c r="D627" i="5" s="1"/>
  <c r="D628" i="5" s="1"/>
  <c r="D629" i="5" s="1"/>
  <c r="D630" i="5" s="1"/>
  <c r="D631" i="5" s="1"/>
  <c r="D632" i="5" s="1"/>
  <c r="D633" i="5" s="1"/>
  <c r="D634" i="5" s="1"/>
  <c r="D635" i="5" s="1"/>
  <c r="D636" i="5" s="1"/>
  <c r="D637" i="5" s="1"/>
  <c r="D638" i="5" s="1"/>
  <c r="D639" i="5" s="1"/>
  <c r="D640" i="5" s="1"/>
  <c r="D641" i="5" s="1"/>
  <c r="D642" i="5" s="1"/>
  <c r="D643" i="5" s="1"/>
  <c r="D644" i="5" s="1"/>
  <c r="D645" i="5" s="1"/>
  <c r="D646" i="5" s="1"/>
  <c r="D647" i="5" s="1"/>
  <c r="D648" i="5" s="1"/>
  <c r="D649" i="5" s="1"/>
  <c r="D650" i="5" s="1"/>
  <c r="D651" i="5" s="1"/>
  <c r="D652" i="5" s="1"/>
  <c r="D653" i="5" s="1"/>
  <c r="D654" i="5" s="1"/>
  <c r="D655" i="5" s="1"/>
  <c r="D656" i="5" s="1"/>
  <c r="D657" i="5" s="1"/>
  <c r="D658" i="5" s="1"/>
  <c r="D659" i="5" s="1"/>
  <c r="D660" i="5" s="1"/>
  <c r="D661" i="5" s="1"/>
  <c r="D662" i="5" s="1"/>
  <c r="D663" i="5" s="1"/>
  <c r="D664" i="5" s="1"/>
  <c r="D665" i="5" s="1"/>
  <c r="D666" i="5" s="1"/>
  <c r="D667" i="5" s="1"/>
  <c r="D668" i="5" s="1"/>
  <c r="D669" i="5" s="1"/>
  <c r="D670" i="5" s="1"/>
  <c r="D671" i="5" s="1"/>
  <c r="D672" i="5" s="1"/>
  <c r="D673" i="5" s="1"/>
  <c r="D674" i="5" s="1"/>
  <c r="D675" i="5" s="1"/>
  <c r="D676" i="5" s="1"/>
  <c r="D677" i="5" s="1"/>
  <c r="D678" i="5" s="1"/>
  <c r="D679" i="5" s="1"/>
  <c r="D680" i="5" s="1"/>
  <c r="D681" i="5" s="1"/>
  <c r="D682" i="5" s="1"/>
  <c r="D683" i="5" s="1"/>
  <c r="D684" i="5" s="1"/>
  <c r="D685" i="5" s="1"/>
  <c r="D686" i="5" s="1"/>
  <c r="D687" i="5" s="1"/>
  <c r="D688" i="5" s="1"/>
  <c r="D689" i="5" s="1"/>
  <c r="D690" i="5" s="1"/>
  <c r="D691" i="5" s="1"/>
  <c r="D692" i="5" s="1"/>
  <c r="D693" i="5" s="1"/>
  <c r="D694" i="5" s="1"/>
  <c r="D695" i="5" s="1"/>
  <c r="D696" i="5" s="1"/>
  <c r="D697" i="5" s="1"/>
  <c r="D698" i="5" s="1"/>
  <c r="D699" i="5" s="1"/>
  <c r="D700" i="5" s="1"/>
  <c r="D701" i="5" s="1"/>
  <c r="D702" i="5" s="1"/>
  <c r="D703" i="5" s="1"/>
  <c r="D704" i="5" s="1"/>
  <c r="D705" i="5" s="1"/>
  <c r="D706" i="5" s="1"/>
  <c r="D707" i="5" s="1"/>
  <c r="D708" i="5" s="1"/>
  <c r="D709" i="5" s="1"/>
  <c r="D710" i="5" s="1"/>
  <c r="D711" i="5" s="1"/>
  <c r="D712" i="5" s="1"/>
  <c r="D713" i="5" s="1"/>
  <c r="D714" i="5" s="1"/>
  <c r="D715" i="5" s="1"/>
  <c r="D716" i="5" s="1"/>
  <c r="D717" i="5" s="1"/>
  <c r="D718" i="5" s="1"/>
  <c r="D719" i="5" s="1"/>
  <c r="D720" i="5" s="1"/>
  <c r="D721" i="5" s="1"/>
  <c r="D722" i="5" s="1"/>
  <c r="D723" i="5" s="1"/>
  <c r="D724" i="5" s="1"/>
  <c r="D725" i="5" s="1"/>
  <c r="D726" i="5" s="1"/>
  <c r="D727" i="5" s="1"/>
  <c r="D728" i="5" s="1"/>
  <c r="D729" i="5" s="1"/>
  <c r="D730" i="5" s="1"/>
  <c r="D731" i="5" s="1"/>
  <c r="D732" i="5" s="1"/>
  <c r="D733" i="5" s="1"/>
  <c r="D734" i="5" s="1"/>
  <c r="D735" i="5" s="1"/>
  <c r="D736" i="5" s="1"/>
  <c r="D737" i="5" s="1"/>
  <c r="D738" i="5" s="1"/>
  <c r="D739" i="5" s="1"/>
  <c r="D740" i="5" s="1"/>
  <c r="D741" i="5" s="1"/>
  <c r="D742" i="5" s="1"/>
  <c r="D743" i="5" s="1"/>
  <c r="D744" i="5" s="1"/>
  <c r="D745" i="5" s="1"/>
  <c r="D746" i="5" s="1"/>
  <c r="D747" i="5" s="1"/>
  <c r="D748" i="5" s="1"/>
  <c r="D749" i="5" s="1"/>
  <c r="D750" i="5" s="1"/>
  <c r="D751" i="5" s="1"/>
  <c r="D752" i="5" s="1"/>
  <c r="D753" i="5" s="1"/>
  <c r="D754" i="5" s="1"/>
  <c r="D755" i="5" s="1"/>
  <c r="D756" i="5" s="1"/>
  <c r="D757" i="5" s="1"/>
  <c r="D758" i="5" s="1"/>
  <c r="D759" i="5" s="1"/>
  <c r="D760" i="5" s="1"/>
  <c r="D761" i="5" s="1"/>
  <c r="D762" i="5" s="1"/>
  <c r="D763" i="5" s="1"/>
  <c r="D764" i="5" s="1"/>
  <c r="D765" i="5" s="1"/>
  <c r="D766" i="5" s="1"/>
  <c r="D767" i="5" s="1"/>
  <c r="D768" i="5" s="1"/>
  <c r="D769" i="5" s="1"/>
  <c r="D770" i="5" s="1"/>
  <c r="D771" i="5" s="1"/>
  <c r="D772" i="5" s="1"/>
  <c r="D773" i="5" s="1"/>
  <c r="D774" i="5" s="1"/>
  <c r="D775" i="5" s="1"/>
  <c r="D776" i="5" s="1"/>
  <c r="D777" i="5" s="1"/>
  <c r="D778" i="5" s="1"/>
  <c r="D779" i="5" s="1"/>
  <c r="D780" i="5" s="1"/>
  <c r="D781" i="5" s="1"/>
  <c r="D782" i="5" s="1"/>
  <c r="D783" i="5" s="1"/>
  <c r="D784" i="5" s="1"/>
  <c r="D785" i="5" s="1"/>
  <c r="D786" i="5" s="1"/>
  <c r="D787" i="5" s="1"/>
  <c r="D788" i="5" s="1"/>
  <c r="D789" i="5" s="1"/>
  <c r="D790" i="5" s="1"/>
  <c r="D791" i="5" s="1"/>
  <c r="D792" i="5" s="1"/>
  <c r="D793" i="5" s="1"/>
  <c r="D794" i="5" s="1"/>
  <c r="D795" i="5" s="1"/>
  <c r="D796" i="5" s="1"/>
  <c r="D797" i="5" s="1"/>
  <c r="D798" i="5" s="1"/>
  <c r="D799" i="5" s="1"/>
  <c r="D800" i="5" s="1"/>
  <c r="D801" i="5" s="1"/>
  <c r="D802" i="5" s="1"/>
  <c r="D803" i="5" s="1"/>
  <c r="D804" i="5" s="1"/>
  <c r="D805" i="5" s="1"/>
  <c r="D806" i="5" s="1"/>
  <c r="D807" i="5" s="1"/>
  <c r="D808" i="5" s="1"/>
  <c r="D809" i="5" s="1"/>
  <c r="D810" i="5" s="1"/>
  <c r="D811" i="5" s="1"/>
  <c r="D812" i="5" s="1"/>
  <c r="D813" i="5" s="1"/>
  <c r="D814" i="5" s="1"/>
  <c r="D815" i="5" s="1"/>
  <c r="D816" i="5" s="1"/>
  <c r="D817" i="5" s="1"/>
  <c r="D818" i="5" s="1"/>
  <c r="D819" i="5" s="1"/>
  <c r="D820" i="5" s="1"/>
  <c r="D821" i="5" s="1"/>
  <c r="D822" i="5" s="1"/>
  <c r="D823" i="5" s="1"/>
  <c r="D824" i="5" s="1"/>
  <c r="D825" i="5" s="1"/>
  <c r="D826" i="5" s="1"/>
  <c r="D827" i="5" s="1"/>
  <c r="D828" i="5" s="1"/>
  <c r="D829" i="5" s="1"/>
  <c r="D830" i="5" s="1"/>
  <c r="D831" i="5" s="1"/>
  <c r="D832" i="5" s="1"/>
  <c r="D833" i="5" s="1"/>
  <c r="D834" i="5" s="1"/>
  <c r="D835" i="5" s="1"/>
  <c r="D836" i="5" s="1"/>
  <c r="D837" i="5" s="1"/>
  <c r="D838" i="5" s="1"/>
  <c r="D839" i="5" s="1"/>
  <c r="D840" i="5" s="1"/>
  <c r="D841" i="5" s="1"/>
  <c r="D842" i="5" s="1"/>
  <c r="D843" i="5" s="1"/>
  <c r="D844" i="5" s="1"/>
  <c r="D845" i="5" s="1"/>
  <c r="D846" i="5" s="1"/>
  <c r="D847" i="5" s="1"/>
  <c r="D848" i="5" s="1"/>
  <c r="D849" i="5" s="1"/>
  <c r="D850" i="5" s="1"/>
  <c r="D851" i="5" s="1"/>
  <c r="D852" i="5" s="1"/>
  <c r="D853" i="5" s="1"/>
  <c r="D854" i="5" s="1"/>
  <c r="D855" i="5" s="1"/>
  <c r="D856" i="5" s="1"/>
  <c r="D857" i="5" s="1"/>
  <c r="D858" i="5" s="1"/>
  <c r="D859" i="5" s="1"/>
  <c r="D860" i="5" s="1"/>
  <c r="D861" i="5" s="1"/>
  <c r="D862" i="5" s="1"/>
  <c r="D863" i="5" s="1"/>
  <c r="D864" i="5" s="1"/>
  <c r="D865" i="5" s="1"/>
  <c r="D866" i="5" s="1"/>
  <c r="D867" i="5" s="1"/>
  <c r="D868" i="5" s="1"/>
  <c r="D869" i="5" s="1"/>
  <c r="D870" i="5" s="1"/>
  <c r="D871" i="5" s="1"/>
  <c r="D872" i="5" s="1"/>
  <c r="D873" i="5" s="1"/>
  <c r="D874" i="5" s="1"/>
  <c r="D875" i="5" s="1"/>
  <c r="D876" i="5" s="1"/>
  <c r="D877" i="5" s="1"/>
  <c r="D878" i="5" s="1"/>
  <c r="D879" i="5" s="1"/>
  <c r="D880" i="5" s="1"/>
  <c r="D881" i="5" s="1"/>
  <c r="D882" i="5" s="1"/>
  <c r="D883" i="5" s="1"/>
  <c r="D884" i="5" s="1"/>
  <c r="D885" i="5" s="1"/>
  <c r="D886" i="5" s="1"/>
  <c r="D887" i="5" s="1"/>
  <c r="D888" i="5" s="1"/>
  <c r="D889" i="5" s="1"/>
  <c r="D890" i="5" s="1"/>
  <c r="D891" i="5" s="1"/>
  <c r="D892" i="5" s="1"/>
  <c r="D893" i="5" s="1"/>
  <c r="D894" i="5" s="1"/>
  <c r="D895" i="5" s="1"/>
  <c r="D896" i="5" s="1"/>
  <c r="D897" i="5" s="1"/>
  <c r="D898" i="5" s="1"/>
  <c r="D899" i="5" s="1"/>
  <c r="D900" i="5" s="1"/>
  <c r="D901" i="5" s="1"/>
  <c r="D902" i="5" s="1"/>
  <c r="D903" i="5" s="1"/>
  <c r="D904" i="5" s="1"/>
  <c r="D905" i="5" s="1"/>
  <c r="D906" i="5" s="1"/>
  <c r="D907" i="5" s="1"/>
  <c r="D908" i="5" s="1"/>
  <c r="D909" i="5" s="1"/>
  <c r="D910" i="5" s="1"/>
  <c r="D911" i="5" s="1"/>
  <c r="D912" i="5" s="1"/>
  <c r="D913" i="5" s="1"/>
  <c r="D914" i="5" s="1"/>
  <c r="D915" i="5" s="1"/>
  <c r="D916" i="5" s="1"/>
  <c r="D917" i="5" s="1"/>
  <c r="D918" i="5" s="1"/>
  <c r="D919" i="5" s="1"/>
  <c r="D920" i="5" s="1"/>
  <c r="D921" i="5" s="1"/>
  <c r="D922" i="5" s="1"/>
  <c r="D923" i="5" s="1"/>
  <c r="D924" i="5" s="1"/>
  <c r="D925" i="5" s="1"/>
  <c r="D926" i="5" s="1"/>
  <c r="D927" i="5" s="1"/>
  <c r="D928" i="5" s="1"/>
  <c r="D929" i="5" s="1"/>
  <c r="D930" i="5" s="1"/>
  <c r="D931" i="5" s="1"/>
  <c r="D932" i="5" s="1"/>
  <c r="D933" i="5" s="1"/>
  <c r="D934" i="5" s="1"/>
  <c r="D935" i="5" s="1"/>
  <c r="D936" i="5" s="1"/>
  <c r="D937" i="5" s="1"/>
  <c r="D938" i="5" s="1"/>
  <c r="D939" i="5" s="1"/>
  <c r="D940" i="5" s="1"/>
  <c r="D941" i="5" s="1"/>
  <c r="D942" i="5" s="1"/>
  <c r="D943" i="5" s="1"/>
  <c r="D944" i="5" s="1"/>
  <c r="D945" i="5" s="1"/>
  <c r="D946" i="5" s="1"/>
  <c r="D947" i="5" s="1"/>
  <c r="D948" i="5" s="1"/>
  <c r="D949" i="5" s="1"/>
  <c r="D950" i="5" s="1"/>
  <c r="D951" i="5" s="1"/>
  <c r="D952" i="5" s="1"/>
  <c r="D953" i="5" s="1"/>
  <c r="D954" i="5" s="1"/>
  <c r="D955" i="5" s="1"/>
  <c r="D956" i="5" s="1"/>
  <c r="D957" i="5" s="1"/>
  <c r="D958" i="5" s="1"/>
  <c r="D959" i="5" s="1"/>
  <c r="D960" i="5" s="1"/>
  <c r="D961" i="5" s="1"/>
  <c r="D962" i="5" s="1"/>
  <c r="D963" i="5" s="1"/>
  <c r="D964" i="5" s="1"/>
  <c r="D965" i="5" s="1"/>
  <c r="D966" i="5" s="1"/>
  <c r="D967" i="5" s="1"/>
  <c r="D968" i="5" s="1"/>
  <c r="D969" i="5" s="1"/>
  <c r="D970" i="5" s="1"/>
  <c r="D971" i="5" s="1"/>
  <c r="D972" i="5" s="1"/>
  <c r="D973" i="5" s="1"/>
  <c r="D974" i="5" s="1"/>
  <c r="D975" i="5" s="1"/>
  <c r="D976" i="5" s="1"/>
  <c r="D977" i="5" s="1"/>
  <c r="D978" i="5" s="1"/>
  <c r="D979" i="5" s="1"/>
  <c r="D980" i="5" s="1"/>
  <c r="D981" i="5" s="1"/>
  <c r="D982" i="5" s="1"/>
  <c r="D983" i="5" s="1"/>
  <c r="D984" i="5" s="1"/>
  <c r="D985" i="5" s="1"/>
  <c r="D986" i="5" s="1"/>
  <c r="D987" i="5" s="1"/>
  <c r="D988" i="5" s="1"/>
  <c r="D989" i="5" s="1"/>
  <c r="D990" i="5" s="1"/>
  <c r="D991" i="5" s="1"/>
  <c r="D992" i="5" s="1"/>
  <c r="D993" i="5" s="1"/>
  <c r="D994" i="5" s="1"/>
  <c r="D995" i="5" s="1"/>
  <c r="D996" i="5" s="1"/>
  <c r="D997" i="5" s="1"/>
  <c r="D998" i="5" s="1"/>
  <c r="D999" i="5" s="1"/>
  <c r="D1000" i="5" s="1"/>
  <c r="D1001" i="5" s="1"/>
  <c r="G19" i="5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G32" i="5" s="1"/>
  <c r="G33" i="5" s="1"/>
  <c r="G34" i="5" s="1"/>
  <c r="G35" i="5" s="1"/>
  <c r="G36" i="5" s="1"/>
  <c r="G37" i="5" s="1"/>
  <c r="G38" i="5" s="1"/>
  <c r="G39" i="5" s="1"/>
  <c r="G40" i="5" s="1"/>
  <c r="G41" i="5" s="1"/>
  <c r="G42" i="5" s="1"/>
  <c r="G43" i="5" s="1"/>
  <c r="G44" i="5" s="1"/>
  <c r="G45" i="5" s="1"/>
  <c r="G46" i="5" s="1"/>
  <c r="G47" i="5" s="1"/>
  <c r="G48" i="5" s="1"/>
  <c r="G49" i="5" s="1"/>
  <c r="G50" i="5" s="1"/>
  <c r="G51" i="5" s="1"/>
  <c r="G52" i="5" s="1"/>
  <c r="G53" i="5" s="1"/>
  <c r="G54" i="5" s="1"/>
  <c r="G55" i="5" s="1"/>
  <c r="G56" i="5" s="1"/>
  <c r="G57" i="5" s="1"/>
  <c r="G58" i="5" s="1"/>
  <c r="G59" i="5" s="1"/>
  <c r="G60" i="5" s="1"/>
  <c r="G61" i="5" s="1"/>
  <c r="G62" i="5" s="1"/>
  <c r="G63" i="5" s="1"/>
  <c r="G64" i="5" s="1"/>
  <c r="G65" i="5" s="1"/>
  <c r="G66" i="5" s="1"/>
  <c r="G67" i="5" s="1"/>
  <c r="G68" i="5" s="1"/>
  <c r="G69" i="5" s="1"/>
  <c r="G70" i="5" s="1"/>
  <c r="G71" i="5" s="1"/>
  <c r="G72" i="5" s="1"/>
  <c r="G73" i="5" s="1"/>
  <c r="G74" i="5" s="1"/>
  <c r="G75" i="5" s="1"/>
  <c r="G76" i="5" s="1"/>
  <c r="G77" i="5" s="1"/>
  <c r="G78" i="5" s="1"/>
  <c r="G79" i="5" s="1"/>
  <c r="G80" i="5" s="1"/>
  <c r="G81" i="5" s="1"/>
  <c r="G82" i="5" s="1"/>
  <c r="G83" i="5" s="1"/>
  <c r="G84" i="5" s="1"/>
  <c r="G85" i="5" s="1"/>
  <c r="G86" i="5" s="1"/>
  <c r="G87" i="5" s="1"/>
  <c r="G88" i="5" s="1"/>
  <c r="G89" i="5" s="1"/>
  <c r="G90" i="5" s="1"/>
  <c r="G91" i="5" s="1"/>
  <c r="G92" i="5" s="1"/>
  <c r="G93" i="5" s="1"/>
  <c r="G94" i="5" s="1"/>
  <c r="G95" i="5" s="1"/>
  <c r="G96" i="5" s="1"/>
  <c r="G97" i="5" s="1"/>
  <c r="G98" i="5" s="1"/>
  <c r="G99" i="5" s="1"/>
  <c r="G100" i="5" s="1"/>
  <c r="G101" i="5" s="1"/>
  <c r="G102" i="5" s="1"/>
  <c r="G103" i="5" s="1"/>
  <c r="G104" i="5" s="1"/>
  <c r="G105" i="5" s="1"/>
  <c r="G106" i="5" s="1"/>
  <c r="G107" i="5" s="1"/>
  <c r="G108" i="5" s="1"/>
  <c r="G109" i="5" s="1"/>
  <c r="G110" i="5" s="1"/>
  <c r="G111" i="5" s="1"/>
  <c r="G112" i="5" s="1"/>
  <c r="G113" i="5" s="1"/>
  <c r="G114" i="5" s="1"/>
  <c r="G115" i="5" s="1"/>
  <c r="G116" i="5" s="1"/>
  <c r="G117" i="5" s="1"/>
  <c r="G118" i="5" s="1"/>
  <c r="G119" i="5" s="1"/>
  <c r="G120" i="5" s="1"/>
  <c r="G121" i="5" s="1"/>
  <c r="G122" i="5" s="1"/>
  <c r="G123" i="5" s="1"/>
  <c r="G124" i="5" s="1"/>
  <c r="G125" i="5" s="1"/>
  <c r="G126" i="5" s="1"/>
  <c r="G127" i="5" s="1"/>
  <c r="G128" i="5" s="1"/>
  <c r="G129" i="5" s="1"/>
  <c r="G130" i="5" s="1"/>
  <c r="G131" i="5" s="1"/>
  <c r="G132" i="5" s="1"/>
  <c r="G133" i="5" s="1"/>
  <c r="G134" i="5" s="1"/>
  <c r="G135" i="5" s="1"/>
  <c r="G136" i="5" s="1"/>
  <c r="G137" i="5" s="1"/>
  <c r="G138" i="5" s="1"/>
  <c r="G139" i="5" s="1"/>
  <c r="G140" i="5" s="1"/>
  <c r="G141" i="5" s="1"/>
  <c r="G142" i="5" s="1"/>
  <c r="G143" i="5" s="1"/>
  <c r="G144" i="5" s="1"/>
  <c r="G145" i="5" s="1"/>
  <c r="G146" i="5" s="1"/>
  <c r="G147" i="5" s="1"/>
  <c r="G148" i="5" s="1"/>
  <c r="G149" i="5" s="1"/>
  <c r="G150" i="5" s="1"/>
  <c r="G151" i="5" s="1"/>
  <c r="G152" i="5" s="1"/>
  <c r="G153" i="5" s="1"/>
  <c r="G154" i="5" s="1"/>
  <c r="G155" i="5" s="1"/>
  <c r="G156" i="5" s="1"/>
  <c r="G157" i="5" s="1"/>
  <c r="G158" i="5" s="1"/>
  <c r="G159" i="5" s="1"/>
  <c r="G160" i="5" s="1"/>
  <c r="G161" i="5" s="1"/>
  <c r="G162" i="5" s="1"/>
  <c r="G163" i="5" s="1"/>
  <c r="G164" i="5" s="1"/>
  <c r="G165" i="5" s="1"/>
  <c r="G166" i="5" s="1"/>
  <c r="G167" i="5" s="1"/>
  <c r="G168" i="5" s="1"/>
  <c r="G169" i="5" s="1"/>
  <c r="G170" i="5" s="1"/>
  <c r="G171" i="5" s="1"/>
  <c r="G172" i="5" s="1"/>
  <c r="G173" i="5" s="1"/>
  <c r="G174" i="5" s="1"/>
  <c r="G175" i="5" s="1"/>
  <c r="G176" i="5" s="1"/>
  <c r="G177" i="5" s="1"/>
  <c r="G178" i="5" s="1"/>
  <c r="G179" i="5" s="1"/>
  <c r="G180" i="5" s="1"/>
  <c r="G181" i="5" s="1"/>
  <c r="G182" i="5" s="1"/>
  <c r="G183" i="5" s="1"/>
  <c r="G184" i="5" s="1"/>
  <c r="G185" i="5" s="1"/>
  <c r="G186" i="5" s="1"/>
  <c r="G187" i="5" s="1"/>
  <c r="G188" i="5" s="1"/>
  <c r="G189" i="5" s="1"/>
  <c r="G190" i="5" s="1"/>
  <c r="G191" i="5" s="1"/>
  <c r="G192" i="5" s="1"/>
  <c r="G193" i="5" s="1"/>
  <c r="G194" i="5" s="1"/>
  <c r="G195" i="5" s="1"/>
  <c r="G196" i="5" s="1"/>
  <c r="G197" i="5" s="1"/>
  <c r="G198" i="5" s="1"/>
  <c r="G199" i="5" s="1"/>
  <c r="G200" i="5" s="1"/>
  <c r="G201" i="5" s="1"/>
  <c r="G202" i="5" s="1"/>
  <c r="G203" i="5" s="1"/>
  <c r="G204" i="5" s="1"/>
  <c r="G205" i="5" s="1"/>
  <c r="G206" i="5" s="1"/>
  <c r="G207" i="5" s="1"/>
  <c r="G208" i="5" s="1"/>
  <c r="G209" i="5" s="1"/>
  <c r="G210" i="5" s="1"/>
  <c r="G211" i="5" s="1"/>
  <c r="G212" i="5" s="1"/>
  <c r="G213" i="5" s="1"/>
  <c r="G214" i="5" s="1"/>
  <c r="G215" i="5" s="1"/>
  <c r="G216" i="5" s="1"/>
  <c r="G217" i="5" s="1"/>
  <c r="G218" i="5" s="1"/>
  <c r="G219" i="5" s="1"/>
  <c r="G220" i="5" s="1"/>
  <c r="G221" i="5" s="1"/>
  <c r="G222" i="5" s="1"/>
  <c r="G223" i="5" s="1"/>
  <c r="G224" i="5" s="1"/>
  <c r="G225" i="5" s="1"/>
  <c r="G226" i="5" s="1"/>
  <c r="G227" i="5" s="1"/>
  <c r="G228" i="5" s="1"/>
  <c r="G229" i="5" s="1"/>
  <c r="G230" i="5" s="1"/>
  <c r="G231" i="5" s="1"/>
  <c r="G232" i="5" s="1"/>
  <c r="G233" i="5" s="1"/>
  <c r="G234" i="5" s="1"/>
  <c r="G235" i="5" s="1"/>
  <c r="G236" i="5" s="1"/>
  <c r="G237" i="5" s="1"/>
  <c r="G238" i="5" s="1"/>
  <c r="G239" i="5" s="1"/>
  <c r="G240" i="5" s="1"/>
  <c r="G241" i="5" s="1"/>
  <c r="G242" i="5" s="1"/>
  <c r="G243" i="5" s="1"/>
  <c r="G244" i="5" s="1"/>
  <c r="G245" i="5" s="1"/>
  <c r="G246" i="5" s="1"/>
  <c r="G247" i="5" s="1"/>
  <c r="G248" i="5" s="1"/>
  <c r="G249" i="5" s="1"/>
  <c r="G250" i="5" s="1"/>
  <c r="G251" i="5" s="1"/>
  <c r="G252" i="5" s="1"/>
  <c r="G253" i="5" s="1"/>
  <c r="G254" i="5" s="1"/>
  <c r="G255" i="5" s="1"/>
  <c r="G256" i="5" s="1"/>
  <c r="G257" i="5" s="1"/>
  <c r="G258" i="5" s="1"/>
  <c r="G259" i="5" s="1"/>
  <c r="G260" i="5" s="1"/>
  <c r="G261" i="5" s="1"/>
  <c r="G262" i="5" s="1"/>
  <c r="G263" i="5" s="1"/>
  <c r="G264" i="5" s="1"/>
  <c r="G265" i="5" s="1"/>
  <c r="G266" i="5" s="1"/>
  <c r="G267" i="5" s="1"/>
  <c r="G268" i="5" s="1"/>
  <c r="G269" i="5" s="1"/>
  <c r="G270" i="5" s="1"/>
  <c r="G271" i="5" s="1"/>
  <c r="G272" i="5" s="1"/>
  <c r="G273" i="5" s="1"/>
  <c r="G274" i="5" s="1"/>
  <c r="G275" i="5" s="1"/>
  <c r="G276" i="5" s="1"/>
  <c r="G277" i="5" s="1"/>
  <c r="G278" i="5" s="1"/>
  <c r="G279" i="5" s="1"/>
  <c r="G280" i="5" s="1"/>
  <c r="G281" i="5" s="1"/>
  <c r="G282" i="5" s="1"/>
  <c r="G283" i="5" s="1"/>
  <c r="G284" i="5" s="1"/>
  <c r="G285" i="5" s="1"/>
  <c r="G286" i="5" s="1"/>
  <c r="G287" i="5" s="1"/>
  <c r="G288" i="5" s="1"/>
  <c r="G289" i="5" s="1"/>
  <c r="G290" i="5" s="1"/>
  <c r="G291" i="5" s="1"/>
  <c r="G292" i="5" s="1"/>
  <c r="G293" i="5" s="1"/>
  <c r="G294" i="5" s="1"/>
  <c r="G295" i="5" s="1"/>
  <c r="G296" i="5" s="1"/>
  <c r="G297" i="5" s="1"/>
  <c r="G298" i="5" s="1"/>
  <c r="G299" i="5" s="1"/>
  <c r="G300" i="5" s="1"/>
  <c r="G301" i="5" s="1"/>
  <c r="G302" i="5" s="1"/>
  <c r="G303" i="5" s="1"/>
  <c r="G304" i="5" s="1"/>
  <c r="G305" i="5" s="1"/>
  <c r="G306" i="5" s="1"/>
  <c r="G307" i="5" s="1"/>
  <c r="G308" i="5" s="1"/>
  <c r="G309" i="5" s="1"/>
  <c r="G310" i="5" s="1"/>
  <c r="G311" i="5" s="1"/>
  <c r="G312" i="5" s="1"/>
  <c r="G313" i="5" s="1"/>
  <c r="G314" i="5" s="1"/>
  <c r="G315" i="5" s="1"/>
  <c r="G316" i="5" s="1"/>
  <c r="G317" i="5" s="1"/>
  <c r="G318" i="5" s="1"/>
  <c r="G319" i="5" s="1"/>
  <c r="G320" i="5" s="1"/>
  <c r="G321" i="5" s="1"/>
  <c r="G322" i="5" s="1"/>
  <c r="G323" i="5" s="1"/>
  <c r="G324" i="5" s="1"/>
  <c r="G325" i="5" s="1"/>
  <c r="G326" i="5" s="1"/>
  <c r="G327" i="5" s="1"/>
  <c r="G328" i="5" s="1"/>
  <c r="G329" i="5" s="1"/>
  <c r="G330" i="5" s="1"/>
  <c r="G331" i="5" s="1"/>
  <c r="G332" i="5" s="1"/>
  <c r="G333" i="5" s="1"/>
  <c r="G334" i="5" s="1"/>
  <c r="G335" i="5" s="1"/>
  <c r="G336" i="5" s="1"/>
  <c r="G337" i="5" s="1"/>
  <c r="G338" i="5" s="1"/>
  <c r="G339" i="5" s="1"/>
  <c r="G340" i="5" s="1"/>
  <c r="G341" i="5" s="1"/>
  <c r="G342" i="5" s="1"/>
  <c r="G343" i="5" s="1"/>
  <c r="G344" i="5" s="1"/>
  <c r="G345" i="5" s="1"/>
  <c r="G346" i="5" s="1"/>
  <c r="G347" i="5" s="1"/>
  <c r="G348" i="5" s="1"/>
  <c r="G349" i="5" s="1"/>
  <c r="G350" i="5" s="1"/>
  <c r="G351" i="5" s="1"/>
  <c r="G352" i="5" s="1"/>
  <c r="G353" i="5" s="1"/>
  <c r="G354" i="5" s="1"/>
  <c r="G355" i="5" s="1"/>
  <c r="G356" i="5" s="1"/>
  <c r="G357" i="5" s="1"/>
  <c r="G358" i="5" s="1"/>
  <c r="G359" i="5" s="1"/>
  <c r="G360" i="5" s="1"/>
  <c r="G361" i="5" s="1"/>
  <c r="G362" i="5" s="1"/>
  <c r="G363" i="5" s="1"/>
  <c r="G364" i="5" s="1"/>
  <c r="G365" i="5" s="1"/>
  <c r="G366" i="5" s="1"/>
  <c r="G367" i="5" s="1"/>
  <c r="G368" i="5" s="1"/>
  <c r="G369" i="5" s="1"/>
  <c r="G370" i="5" s="1"/>
  <c r="G371" i="5" s="1"/>
  <c r="G372" i="5" s="1"/>
  <c r="G373" i="5" s="1"/>
  <c r="G374" i="5" s="1"/>
  <c r="G375" i="5" s="1"/>
  <c r="G376" i="5" s="1"/>
  <c r="G377" i="5" s="1"/>
  <c r="G378" i="5" s="1"/>
  <c r="G379" i="5" s="1"/>
  <c r="G380" i="5" s="1"/>
  <c r="G381" i="5" s="1"/>
  <c r="G382" i="5" s="1"/>
  <c r="G383" i="5" s="1"/>
  <c r="G384" i="5" s="1"/>
  <c r="G385" i="5" s="1"/>
  <c r="G386" i="5" s="1"/>
  <c r="G387" i="5" s="1"/>
  <c r="G388" i="5" s="1"/>
  <c r="G389" i="5" s="1"/>
  <c r="G390" i="5" s="1"/>
  <c r="G391" i="5" s="1"/>
  <c r="G392" i="5" s="1"/>
  <c r="G393" i="5" s="1"/>
  <c r="G394" i="5" s="1"/>
  <c r="G395" i="5" s="1"/>
  <c r="G396" i="5" s="1"/>
  <c r="G397" i="5" s="1"/>
  <c r="G398" i="5" s="1"/>
  <c r="G399" i="5" s="1"/>
  <c r="G400" i="5" s="1"/>
  <c r="G401" i="5" s="1"/>
  <c r="G402" i="5" s="1"/>
  <c r="G403" i="5" s="1"/>
  <c r="G404" i="5" s="1"/>
  <c r="G405" i="5" s="1"/>
  <c r="G406" i="5" s="1"/>
  <c r="G407" i="5" s="1"/>
  <c r="G408" i="5" s="1"/>
  <c r="G409" i="5" s="1"/>
  <c r="G410" i="5" s="1"/>
  <c r="G411" i="5" s="1"/>
  <c r="G412" i="5" s="1"/>
  <c r="G413" i="5" s="1"/>
  <c r="G414" i="5" s="1"/>
  <c r="G415" i="5" s="1"/>
  <c r="G416" i="5" s="1"/>
  <c r="G417" i="5" s="1"/>
  <c r="G418" i="5" s="1"/>
  <c r="G419" i="5" s="1"/>
  <c r="G420" i="5" s="1"/>
  <c r="G421" i="5" s="1"/>
  <c r="G422" i="5" s="1"/>
  <c r="G423" i="5" s="1"/>
  <c r="G424" i="5" s="1"/>
  <c r="G425" i="5" s="1"/>
  <c r="G426" i="5" s="1"/>
  <c r="G427" i="5" s="1"/>
  <c r="G428" i="5" s="1"/>
  <c r="G429" i="5" s="1"/>
  <c r="G430" i="5" s="1"/>
  <c r="G431" i="5" s="1"/>
  <c r="G432" i="5" s="1"/>
  <c r="G433" i="5" s="1"/>
  <c r="G434" i="5" s="1"/>
  <c r="G435" i="5" s="1"/>
  <c r="G436" i="5" s="1"/>
  <c r="G437" i="5" s="1"/>
  <c r="G438" i="5" s="1"/>
  <c r="G439" i="5" s="1"/>
  <c r="G440" i="5" s="1"/>
  <c r="G441" i="5" s="1"/>
  <c r="G442" i="5" s="1"/>
  <c r="G443" i="5" s="1"/>
  <c r="G444" i="5" s="1"/>
  <c r="G445" i="5" s="1"/>
  <c r="G446" i="5" s="1"/>
  <c r="G447" i="5" s="1"/>
  <c r="G448" i="5" s="1"/>
  <c r="G449" i="5" s="1"/>
  <c r="G450" i="5" s="1"/>
  <c r="G451" i="5" s="1"/>
  <c r="G452" i="5" s="1"/>
  <c r="G453" i="5" s="1"/>
  <c r="G454" i="5" s="1"/>
  <c r="G455" i="5" s="1"/>
  <c r="G456" i="5" s="1"/>
  <c r="G457" i="5" s="1"/>
  <c r="G458" i="5" s="1"/>
  <c r="G459" i="5" s="1"/>
  <c r="G460" i="5" s="1"/>
  <c r="G461" i="5" s="1"/>
  <c r="G462" i="5" s="1"/>
  <c r="G463" i="5" s="1"/>
  <c r="G464" i="5" s="1"/>
  <c r="G465" i="5" s="1"/>
  <c r="G466" i="5" s="1"/>
  <c r="G467" i="5" s="1"/>
  <c r="G468" i="5" s="1"/>
  <c r="G469" i="5" s="1"/>
  <c r="G470" i="5" s="1"/>
  <c r="G471" i="5" s="1"/>
  <c r="G472" i="5" s="1"/>
  <c r="G473" i="5" s="1"/>
  <c r="G474" i="5" s="1"/>
  <c r="G475" i="5" s="1"/>
  <c r="G476" i="5" s="1"/>
  <c r="G477" i="5" s="1"/>
  <c r="G478" i="5" s="1"/>
  <c r="G479" i="5" s="1"/>
  <c r="G480" i="5" s="1"/>
  <c r="G481" i="5" s="1"/>
  <c r="G482" i="5" s="1"/>
  <c r="G483" i="5" s="1"/>
  <c r="G484" i="5" s="1"/>
  <c r="G485" i="5" s="1"/>
  <c r="G486" i="5" s="1"/>
  <c r="G487" i="5" s="1"/>
  <c r="G488" i="5" s="1"/>
  <c r="G489" i="5" s="1"/>
  <c r="G490" i="5" s="1"/>
  <c r="G491" i="5" s="1"/>
  <c r="G492" i="5" s="1"/>
  <c r="G493" i="5" s="1"/>
  <c r="G494" i="5" s="1"/>
  <c r="G495" i="5" s="1"/>
  <c r="G496" i="5" s="1"/>
  <c r="G497" i="5" s="1"/>
  <c r="G498" i="5" s="1"/>
  <c r="G499" i="5" s="1"/>
  <c r="G500" i="5" s="1"/>
  <c r="G501" i="5" s="1"/>
  <c r="G502" i="5" s="1"/>
  <c r="G503" i="5" s="1"/>
  <c r="G504" i="5" s="1"/>
  <c r="G505" i="5" s="1"/>
  <c r="G506" i="5" s="1"/>
  <c r="G507" i="5" s="1"/>
  <c r="G508" i="5" s="1"/>
  <c r="G509" i="5" s="1"/>
  <c r="G510" i="5" s="1"/>
  <c r="G511" i="5" s="1"/>
  <c r="G512" i="5" s="1"/>
  <c r="G513" i="5" s="1"/>
  <c r="G514" i="5" s="1"/>
  <c r="G515" i="5" s="1"/>
  <c r="G516" i="5" s="1"/>
  <c r="G517" i="5" s="1"/>
  <c r="G518" i="5" s="1"/>
  <c r="G519" i="5" s="1"/>
  <c r="G520" i="5" s="1"/>
  <c r="G521" i="5" s="1"/>
  <c r="G522" i="5" s="1"/>
  <c r="G523" i="5" s="1"/>
  <c r="G524" i="5" s="1"/>
  <c r="G525" i="5" s="1"/>
  <c r="G526" i="5" s="1"/>
  <c r="G527" i="5" s="1"/>
  <c r="G528" i="5" s="1"/>
  <c r="G529" i="5" s="1"/>
  <c r="G530" i="5" s="1"/>
  <c r="G531" i="5" s="1"/>
  <c r="G532" i="5" s="1"/>
  <c r="G533" i="5" s="1"/>
  <c r="G534" i="5" s="1"/>
  <c r="G535" i="5" s="1"/>
  <c r="G536" i="5" s="1"/>
  <c r="G537" i="5" s="1"/>
  <c r="G538" i="5" s="1"/>
  <c r="G539" i="5" s="1"/>
  <c r="G540" i="5" s="1"/>
  <c r="G541" i="5" s="1"/>
  <c r="G542" i="5" s="1"/>
  <c r="G543" i="5" s="1"/>
  <c r="G544" i="5" s="1"/>
  <c r="G545" i="5" s="1"/>
  <c r="G546" i="5" s="1"/>
  <c r="G547" i="5" s="1"/>
  <c r="G548" i="5" s="1"/>
  <c r="G549" i="5" s="1"/>
  <c r="G550" i="5" s="1"/>
  <c r="G551" i="5" s="1"/>
  <c r="G552" i="5" s="1"/>
  <c r="G553" i="5" s="1"/>
  <c r="G554" i="5" s="1"/>
  <c r="G555" i="5" s="1"/>
  <c r="G556" i="5" s="1"/>
  <c r="G557" i="5" s="1"/>
  <c r="G558" i="5" s="1"/>
  <c r="G559" i="5" s="1"/>
  <c r="G560" i="5" s="1"/>
  <c r="G561" i="5" s="1"/>
  <c r="G562" i="5" s="1"/>
  <c r="G563" i="5" s="1"/>
  <c r="G564" i="5" s="1"/>
  <c r="G565" i="5" s="1"/>
  <c r="G566" i="5" s="1"/>
  <c r="G567" i="5" s="1"/>
  <c r="G568" i="5" s="1"/>
  <c r="G569" i="5" s="1"/>
  <c r="G570" i="5" s="1"/>
  <c r="G571" i="5" s="1"/>
  <c r="G572" i="5" s="1"/>
  <c r="G573" i="5" s="1"/>
  <c r="G574" i="5" s="1"/>
  <c r="G575" i="5" s="1"/>
  <c r="G576" i="5" s="1"/>
  <c r="G577" i="5" s="1"/>
  <c r="G578" i="5" s="1"/>
  <c r="G579" i="5" s="1"/>
  <c r="G580" i="5" s="1"/>
  <c r="G581" i="5" s="1"/>
  <c r="G582" i="5" s="1"/>
  <c r="G583" i="5" s="1"/>
  <c r="G584" i="5" s="1"/>
  <c r="G585" i="5" s="1"/>
  <c r="G586" i="5" s="1"/>
  <c r="G587" i="5" s="1"/>
  <c r="G588" i="5" s="1"/>
  <c r="G589" i="5" s="1"/>
  <c r="G590" i="5" s="1"/>
  <c r="G591" i="5" s="1"/>
  <c r="G592" i="5" s="1"/>
  <c r="G593" i="5" s="1"/>
  <c r="G594" i="5" s="1"/>
  <c r="G595" i="5" s="1"/>
  <c r="G596" i="5" s="1"/>
  <c r="G597" i="5" s="1"/>
  <c r="G598" i="5" s="1"/>
  <c r="G599" i="5" s="1"/>
  <c r="G600" i="5" s="1"/>
  <c r="G601" i="5" s="1"/>
  <c r="G602" i="5" s="1"/>
  <c r="G603" i="5" s="1"/>
  <c r="G604" i="5" s="1"/>
  <c r="G605" i="5" s="1"/>
  <c r="G606" i="5" s="1"/>
  <c r="G607" i="5" s="1"/>
  <c r="G608" i="5" s="1"/>
  <c r="G609" i="5" s="1"/>
  <c r="G610" i="5" s="1"/>
  <c r="G611" i="5" s="1"/>
  <c r="G612" i="5" s="1"/>
  <c r="G613" i="5" s="1"/>
  <c r="G614" i="5" s="1"/>
  <c r="G615" i="5" s="1"/>
  <c r="G616" i="5" s="1"/>
  <c r="G617" i="5" s="1"/>
  <c r="G618" i="5" s="1"/>
  <c r="G619" i="5" s="1"/>
  <c r="G620" i="5" s="1"/>
  <c r="G621" i="5" s="1"/>
  <c r="G622" i="5" s="1"/>
  <c r="G623" i="5" s="1"/>
  <c r="G624" i="5" s="1"/>
  <c r="G625" i="5" s="1"/>
  <c r="G626" i="5" s="1"/>
  <c r="G627" i="5" s="1"/>
  <c r="G628" i="5" s="1"/>
  <c r="G629" i="5" s="1"/>
  <c r="G630" i="5" s="1"/>
  <c r="G631" i="5" s="1"/>
  <c r="G632" i="5" s="1"/>
  <c r="G633" i="5" s="1"/>
  <c r="G634" i="5" s="1"/>
  <c r="G635" i="5" s="1"/>
  <c r="G636" i="5" s="1"/>
  <c r="G637" i="5" s="1"/>
  <c r="G638" i="5" s="1"/>
  <c r="G639" i="5" s="1"/>
  <c r="G640" i="5" s="1"/>
  <c r="G641" i="5" s="1"/>
  <c r="G642" i="5" s="1"/>
  <c r="G643" i="5" s="1"/>
  <c r="G644" i="5" s="1"/>
  <c r="G645" i="5" s="1"/>
  <c r="G646" i="5" s="1"/>
  <c r="G647" i="5" s="1"/>
  <c r="G648" i="5" s="1"/>
  <c r="G649" i="5" s="1"/>
  <c r="G650" i="5" s="1"/>
  <c r="G651" i="5" s="1"/>
  <c r="G652" i="5" s="1"/>
  <c r="G653" i="5" s="1"/>
  <c r="G654" i="5" s="1"/>
  <c r="G655" i="5" s="1"/>
  <c r="G656" i="5" s="1"/>
  <c r="G657" i="5" s="1"/>
  <c r="G658" i="5" s="1"/>
  <c r="G659" i="5" s="1"/>
  <c r="G660" i="5" s="1"/>
  <c r="G661" i="5" s="1"/>
  <c r="G662" i="5" s="1"/>
  <c r="G663" i="5" s="1"/>
  <c r="G664" i="5" s="1"/>
  <c r="G665" i="5" s="1"/>
  <c r="G666" i="5" s="1"/>
  <c r="G667" i="5" s="1"/>
  <c r="G668" i="5" s="1"/>
  <c r="G669" i="5" s="1"/>
  <c r="G670" i="5" s="1"/>
  <c r="G671" i="5" s="1"/>
  <c r="G672" i="5" s="1"/>
  <c r="G673" i="5" s="1"/>
  <c r="G674" i="5" s="1"/>
  <c r="G675" i="5" s="1"/>
  <c r="G676" i="5" s="1"/>
  <c r="G677" i="5" s="1"/>
  <c r="G678" i="5" s="1"/>
  <c r="G679" i="5" s="1"/>
  <c r="G680" i="5" s="1"/>
  <c r="G681" i="5" s="1"/>
  <c r="G682" i="5" s="1"/>
  <c r="G683" i="5" s="1"/>
  <c r="G684" i="5" s="1"/>
  <c r="G685" i="5" s="1"/>
  <c r="G686" i="5" s="1"/>
  <c r="G687" i="5" s="1"/>
  <c r="G688" i="5" s="1"/>
  <c r="G689" i="5" s="1"/>
  <c r="G690" i="5" s="1"/>
  <c r="G691" i="5" s="1"/>
  <c r="G692" i="5" s="1"/>
  <c r="G693" i="5" s="1"/>
  <c r="G694" i="5" s="1"/>
  <c r="G695" i="5" s="1"/>
  <c r="G696" i="5" s="1"/>
  <c r="G697" i="5" s="1"/>
  <c r="G698" i="5" s="1"/>
  <c r="G699" i="5" s="1"/>
  <c r="G700" i="5" s="1"/>
  <c r="G701" i="5" s="1"/>
  <c r="G702" i="5" s="1"/>
  <c r="G703" i="5" s="1"/>
  <c r="G704" i="5" s="1"/>
  <c r="G705" i="5" s="1"/>
  <c r="G706" i="5" s="1"/>
  <c r="G707" i="5" s="1"/>
  <c r="G708" i="5" s="1"/>
  <c r="G709" i="5" s="1"/>
  <c r="G710" i="5" s="1"/>
  <c r="G711" i="5" s="1"/>
  <c r="G712" i="5" s="1"/>
  <c r="G713" i="5" s="1"/>
  <c r="G714" i="5" s="1"/>
  <c r="G715" i="5" s="1"/>
  <c r="G716" i="5" s="1"/>
  <c r="G717" i="5" s="1"/>
  <c r="G718" i="5" s="1"/>
  <c r="G719" i="5" s="1"/>
  <c r="G720" i="5" s="1"/>
  <c r="G721" i="5" s="1"/>
  <c r="G722" i="5" s="1"/>
  <c r="G723" i="5" s="1"/>
  <c r="G724" i="5" s="1"/>
  <c r="G725" i="5" s="1"/>
  <c r="G726" i="5" s="1"/>
  <c r="G727" i="5" s="1"/>
  <c r="G728" i="5" s="1"/>
  <c r="G729" i="5" s="1"/>
  <c r="G730" i="5" s="1"/>
  <c r="G731" i="5" s="1"/>
  <c r="G732" i="5" s="1"/>
  <c r="G733" i="5" s="1"/>
  <c r="G734" i="5" s="1"/>
  <c r="G735" i="5" s="1"/>
  <c r="G736" i="5" s="1"/>
  <c r="G737" i="5" s="1"/>
  <c r="G738" i="5" s="1"/>
  <c r="G739" i="5" s="1"/>
  <c r="G740" i="5" s="1"/>
  <c r="G741" i="5" s="1"/>
  <c r="G742" i="5" s="1"/>
  <c r="G743" i="5" s="1"/>
  <c r="G744" i="5" s="1"/>
  <c r="G745" i="5" s="1"/>
  <c r="G746" i="5" s="1"/>
  <c r="G747" i="5" s="1"/>
  <c r="G748" i="5" s="1"/>
  <c r="G749" i="5" s="1"/>
  <c r="G750" i="5" s="1"/>
  <c r="G751" i="5" s="1"/>
  <c r="G752" i="5" s="1"/>
  <c r="G753" i="5" s="1"/>
  <c r="G754" i="5" s="1"/>
  <c r="G755" i="5" s="1"/>
  <c r="G756" i="5" s="1"/>
  <c r="G757" i="5" s="1"/>
  <c r="G758" i="5" s="1"/>
  <c r="G759" i="5" s="1"/>
  <c r="G760" i="5" s="1"/>
  <c r="G761" i="5" s="1"/>
  <c r="G762" i="5" s="1"/>
  <c r="G763" i="5" s="1"/>
  <c r="G764" i="5" s="1"/>
  <c r="G765" i="5" s="1"/>
  <c r="G766" i="5" s="1"/>
  <c r="G767" i="5" s="1"/>
  <c r="G768" i="5" s="1"/>
  <c r="G769" i="5" s="1"/>
  <c r="G770" i="5" s="1"/>
  <c r="G771" i="5" s="1"/>
  <c r="G772" i="5" s="1"/>
  <c r="G773" i="5" s="1"/>
  <c r="G774" i="5" s="1"/>
  <c r="G775" i="5" s="1"/>
  <c r="G776" i="5" s="1"/>
  <c r="G777" i="5" s="1"/>
  <c r="G778" i="5" s="1"/>
  <c r="G779" i="5" s="1"/>
  <c r="G780" i="5" s="1"/>
  <c r="G781" i="5" s="1"/>
  <c r="G782" i="5" s="1"/>
  <c r="G783" i="5" s="1"/>
  <c r="G784" i="5" s="1"/>
  <c r="G785" i="5" s="1"/>
  <c r="G786" i="5" s="1"/>
  <c r="G787" i="5" s="1"/>
  <c r="G788" i="5" s="1"/>
  <c r="G789" i="5" s="1"/>
  <c r="G790" i="5" s="1"/>
  <c r="G791" i="5" s="1"/>
  <c r="G792" i="5" s="1"/>
  <c r="G793" i="5" s="1"/>
  <c r="G794" i="5" s="1"/>
  <c r="G795" i="5" s="1"/>
  <c r="G796" i="5" s="1"/>
  <c r="G797" i="5" s="1"/>
  <c r="G798" i="5" s="1"/>
  <c r="G799" i="5" s="1"/>
  <c r="G800" i="5" s="1"/>
  <c r="G801" i="5" s="1"/>
  <c r="G802" i="5" s="1"/>
  <c r="G803" i="5" s="1"/>
  <c r="G804" i="5" s="1"/>
  <c r="G805" i="5" s="1"/>
  <c r="G806" i="5" s="1"/>
  <c r="G807" i="5" s="1"/>
  <c r="G808" i="5" s="1"/>
  <c r="G809" i="5" s="1"/>
  <c r="G810" i="5" s="1"/>
  <c r="G811" i="5" s="1"/>
  <c r="G812" i="5" s="1"/>
  <c r="G813" i="5" s="1"/>
  <c r="G814" i="5" s="1"/>
  <c r="G815" i="5" s="1"/>
  <c r="G816" i="5" s="1"/>
  <c r="G817" i="5" s="1"/>
  <c r="G818" i="5" s="1"/>
  <c r="G819" i="5" s="1"/>
  <c r="G820" i="5" s="1"/>
  <c r="G821" i="5" s="1"/>
  <c r="G822" i="5" s="1"/>
  <c r="G823" i="5" s="1"/>
  <c r="G824" i="5" s="1"/>
  <c r="G825" i="5" s="1"/>
  <c r="G826" i="5" s="1"/>
  <c r="G827" i="5" s="1"/>
  <c r="G828" i="5" s="1"/>
  <c r="G829" i="5" s="1"/>
  <c r="G830" i="5" s="1"/>
  <c r="G831" i="5" s="1"/>
  <c r="G832" i="5" s="1"/>
  <c r="G833" i="5" s="1"/>
  <c r="G834" i="5" s="1"/>
  <c r="G835" i="5" s="1"/>
  <c r="G836" i="5" s="1"/>
  <c r="G837" i="5" s="1"/>
  <c r="G838" i="5" s="1"/>
  <c r="G839" i="5" s="1"/>
  <c r="G840" i="5" s="1"/>
  <c r="G841" i="5" s="1"/>
  <c r="G842" i="5" s="1"/>
  <c r="G843" i="5" s="1"/>
  <c r="G844" i="5" s="1"/>
  <c r="G845" i="5" s="1"/>
  <c r="G846" i="5" s="1"/>
  <c r="G847" i="5" s="1"/>
  <c r="G848" i="5" s="1"/>
  <c r="G849" i="5" s="1"/>
  <c r="G850" i="5" s="1"/>
  <c r="G851" i="5" s="1"/>
  <c r="G852" i="5" s="1"/>
  <c r="G853" i="5" s="1"/>
  <c r="G854" i="5" s="1"/>
  <c r="G855" i="5" s="1"/>
  <c r="G856" i="5" s="1"/>
  <c r="G857" i="5" s="1"/>
  <c r="G858" i="5" s="1"/>
  <c r="G859" i="5" s="1"/>
  <c r="G860" i="5" s="1"/>
  <c r="G861" i="5" s="1"/>
  <c r="G862" i="5" s="1"/>
  <c r="G863" i="5" s="1"/>
  <c r="G864" i="5" s="1"/>
  <c r="G865" i="5" s="1"/>
  <c r="G866" i="5" s="1"/>
  <c r="G867" i="5" s="1"/>
  <c r="G868" i="5" s="1"/>
  <c r="G869" i="5" s="1"/>
  <c r="G870" i="5" s="1"/>
  <c r="G871" i="5" s="1"/>
  <c r="G872" i="5" s="1"/>
  <c r="G873" i="5" s="1"/>
  <c r="G874" i="5" s="1"/>
  <c r="G875" i="5" s="1"/>
  <c r="G876" i="5" s="1"/>
  <c r="G877" i="5" s="1"/>
  <c r="G878" i="5" s="1"/>
  <c r="G879" i="5" s="1"/>
  <c r="G880" i="5" s="1"/>
  <c r="G881" i="5" s="1"/>
  <c r="G882" i="5" s="1"/>
  <c r="G883" i="5" s="1"/>
  <c r="G884" i="5" s="1"/>
  <c r="G885" i="5" s="1"/>
  <c r="G886" i="5" s="1"/>
  <c r="G887" i="5" s="1"/>
  <c r="G888" i="5" s="1"/>
  <c r="G889" i="5" s="1"/>
  <c r="G890" i="5" s="1"/>
  <c r="G891" i="5" s="1"/>
  <c r="G892" i="5" s="1"/>
  <c r="G893" i="5" s="1"/>
  <c r="G894" i="5" s="1"/>
  <c r="G895" i="5" s="1"/>
  <c r="G896" i="5" s="1"/>
  <c r="G897" i="5" s="1"/>
  <c r="G898" i="5" s="1"/>
  <c r="G899" i="5" s="1"/>
  <c r="G900" i="5" s="1"/>
  <c r="G901" i="5" s="1"/>
  <c r="G902" i="5" s="1"/>
  <c r="G903" i="5" s="1"/>
  <c r="G904" i="5" s="1"/>
  <c r="G905" i="5" s="1"/>
  <c r="G906" i="5" s="1"/>
  <c r="G907" i="5" s="1"/>
  <c r="G908" i="5" s="1"/>
  <c r="G909" i="5" s="1"/>
  <c r="G910" i="5" s="1"/>
  <c r="G911" i="5" s="1"/>
  <c r="G912" i="5" s="1"/>
  <c r="G913" i="5" s="1"/>
  <c r="G914" i="5" s="1"/>
  <c r="G915" i="5" s="1"/>
  <c r="G916" i="5" s="1"/>
  <c r="G917" i="5" s="1"/>
  <c r="G918" i="5" s="1"/>
  <c r="G919" i="5" s="1"/>
  <c r="G920" i="5" s="1"/>
  <c r="G921" i="5" s="1"/>
  <c r="G922" i="5" s="1"/>
  <c r="G923" i="5" s="1"/>
  <c r="G924" i="5" s="1"/>
  <c r="G925" i="5" s="1"/>
  <c r="G926" i="5" s="1"/>
  <c r="G927" i="5" s="1"/>
  <c r="G928" i="5" s="1"/>
  <c r="G929" i="5" s="1"/>
  <c r="G930" i="5" s="1"/>
  <c r="G931" i="5" s="1"/>
  <c r="G932" i="5" s="1"/>
  <c r="G933" i="5" s="1"/>
  <c r="G934" i="5" s="1"/>
  <c r="G935" i="5" s="1"/>
  <c r="G936" i="5" s="1"/>
  <c r="G937" i="5" s="1"/>
  <c r="G938" i="5" s="1"/>
  <c r="G939" i="5" s="1"/>
  <c r="G940" i="5" s="1"/>
  <c r="G941" i="5" s="1"/>
  <c r="G942" i="5" s="1"/>
  <c r="G943" i="5" s="1"/>
  <c r="G944" i="5" s="1"/>
  <c r="G945" i="5" s="1"/>
  <c r="G946" i="5" s="1"/>
  <c r="G947" i="5" s="1"/>
  <c r="G948" i="5" s="1"/>
  <c r="G949" i="5" s="1"/>
  <c r="G950" i="5" s="1"/>
  <c r="G951" i="5" s="1"/>
  <c r="G952" i="5" s="1"/>
  <c r="G953" i="5" s="1"/>
  <c r="G954" i="5" s="1"/>
  <c r="G955" i="5" s="1"/>
  <c r="G956" i="5" s="1"/>
  <c r="G957" i="5" s="1"/>
  <c r="G958" i="5" s="1"/>
  <c r="G959" i="5" s="1"/>
  <c r="G960" i="5" s="1"/>
  <c r="G961" i="5" s="1"/>
  <c r="G962" i="5" s="1"/>
  <c r="G963" i="5" s="1"/>
  <c r="G964" i="5" s="1"/>
  <c r="G965" i="5" s="1"/>
  <c r="G966" i="5" s="1"/>
  <c r="G967" i="5" s="1"/>
  <c r="G968" i="5" s="1"/>
  <c r="G969" i="5" s="1"/>
  <c r="G970" i="5" s="1"/>
  <c r="G971" i="5" s="1"/>
  <c r="G972" i="5" s="1"/>
  <c r="G973" i="5" s="1"/>
  <c r="G974" i="5" s="1"/>
  <c r="G975" i="5" s="1"/>
  <c r="G976" i="5" s="1"/>
  <c r="G977" i="5" s="1"/>
  <c r="G978" i="5" s="1"/>
  <c r="G979" i="5" s="1"/>
  <c r="G980" i="5" s="1"/>
  <c r="G981" i="5" s="1"/>
  <c r="G982" i="5" s="1"/>
  <c r="G983" i="5" s="1"/>
  <c r="G984" i="5" s="1"/>
  <c r="G985" i="5" s="1"/>
  <c r="G986" i="5" s="1"/>
  <c r="G987" i="5" s="1"/>
  <c r="G988" i="5" s="1"/>
  <c r="G989" i="5" s="1"/>
  <c r="G990" i="5" s="1"/>
  <c r="G991" i="5" s="1"/>
  <c r="G992" i="5" s="1"/>
  <c r="G993" i="5" s="1"/>
  <c r="G994" i="5" s="1"/>
  <c r="G995" i="5" s="1"/>
  <c r="G996" i="5" s="1"/>
  <c r="G997" i="5" s="1"/>
  <c r="G998" i="5" s="1"/>
  <c r="G999" i="5" s="1"/>
  <c r="G1000" i="5" s="1"/>
  <c r="G1001" i="5" s="1"/>
  <c r="H21" i="5"/>
  <c r="H22" i="5" s="1"/>
  <c r="H23" i="5" s="1"/>
  <c r="H24" i="5" s="1"/>
  <c r="H25" i="5" s="1"/>
  <c r="H26" i="5" s="1"/>
  <c r="H27" i="5" s="1"/>
  <c r="H28" i="5" s="1"/>
  <c r="H29" i="5" s="1"/>
  <c r="H30" i="5" s="1"/>
  <c r="H31" i="5" s="1"/>
  <c r="H32" i="5" s="1"/>
  <c r="H33" i="5" s="1"/>
  <c r="H34" i="5" s="1"/>
  <c r="H35" i="5" s="1"/>
  <c r="H36" i="5" s="1"/>
  <c r="H37" i="5" s="1"/>
  <c r="H38" i="5" s="1"/>
  <c r="H39" i="5" s="1"/>
  <c r="H40" i="5" s="1"/>
  <c r="H41" i="5" s="1"/>
  <c r="H42" i="5" s="1"/>
  <c r="H43" i="5" s="1"/>
  <c r="H44" i="5" s="1"/>
  <c r="H45" i="5" s="1"/>
  <c r="H46" i="5" s="1"/>
  <c r="H47" i="5" s="1"/>
  <c r="H48" i="5" s="1"/>
  <c r="H49" i="5" s="1"/>
  <c r="H50" i="5" s="1"/>
  <c r="H51" i="5" s="1"/>
  <c r="H52" i="5" s="1"/>
  <c r="H53" i="5" s="1"/>
  <c r="H54" i="5" s="1"/>
  <c r="H55" i="5" s="1"/>
  <c r="H56" i="5" s="1"/>
  <c r="H57" i="5" s="1"/>
  <c r="H58" i="5" s="1"/>
  <c r="H59" i="5" s="1"/>
  <c r="H60" i="5" s="1"/>
  <c r="H61" i="5" s="1"/>
  <c r="H62" i="5" s="1"/>
  <c r="H63" i="5" s="1"/>
  <c r="H64" i="5" s="1"/>
  <c r="H65" i="5" s="1"/>
  <c r="H66" i="5" s="1"/>
  <c r="H67" i="5" s="1"/>
  <c r="H68" i="5" s="1"/>
  <c r="H69" i="5" s="1"/>
  <c r="H70" i="5" s="1"/>
  <c r="H71" i="5" s="1"/>
  <c r="H72" i="5" s="1"/>
  <c r="H73" i="5" s="1"/>
  <c r="H74" i="5" s="1"/>
  <c r="H75" i="5" s="1"/>
  <c r="H76" i="5" s="1"/>
  <c r="H77" i="5" s="1"/>
  <c r="H78" i="5" s="1"/>
  <c r="H79" i="5" s="1"/>
  <c r="H80" i="5" s="1"/>
  <c r="H81" i="5" s="1"/>
  <c r="H82" i="5" s="1"/>
  <c r="H83" i="5" s="1"/>
  <c r="H84" i="5" s="1"/>
  <c r="H85" i="5" s="1"/>
  <c r="H86" i="5" s="1"/>
  <c r="H87" i="5" s="1"/>
  <c r="H88" i="5" s="1"/>
  <c r="H89" i="5" s="1"/>
  <c r="H90" i="5" s="1"/>
  <c r="H91" i="5" s="1"/>
  <c r="H92" i="5" s="1"/>
  <c r="H93" i="5" s="1"/>
  <c r="H94" i="5" s="1"/>
  <c r="H95" i="5" s="1"/>
  <c r="H96" i="5" s="1"/>
  <c r="H97" i="5" s="1"/>
  <c r="H98" i="5" s="1"/>
  <c r="H99" i="5" s="1"/>
  <c r="H100" i="5" s="1"/>
  <c r="H101" i="5" s="1"/>
  <c r="H102" i="5" s="1"/>
  <c r="H103" i="5" s="1"/>
  <c r="H104" i="5" s="1"/>
  <c r="H105" i="5" s="1"/>
  <c r="H106" i="5" s="1"/>
  <c r="H107" i="5" s="1"/>
  <c r="H108" i="5" s="1"/>
  <c r="H109" i="5" s="1"/>
  <c r="H110" i="5" s="1"/>
  <c r="H111" i="5" s="1"/>
  <c r="H112" i="5" s="1"/>
  <c r="H113" i="5" s="1"/>
  <c r="H114" i="5" s="1"/>
  <c r="H115" i="5" s="1"/>
  <c r="H116" i="5" s="1"/>
  <c r="H117" i="5" s="1"/>
  <c r="H118" i="5" s="1"/>
  <c r="H119" i="5" s="1"/>
  <c r="H120" i="5" s="1"/>
  <c r="H121" i="5" s="1"/>
  <c r="H122" i="5" s="1"/>
  <c r="H123" i="5" s="1"/>
  <c r="H124" i="5" s="1"/>
  <c r="H125" i="5" s="1"/>
  <c r="H126" i="5" s="1"/>
  <c r="H127" i="5" s="1"/>
  <c r="H128" i="5" s="1"/>
  <c r="H129" i="5" s="1"/>
  <c r="H130" i="5" s="1"/>
  <c r="H131" i="5" s="1"/>
  <c r="H132" i="5" s="1"/>
  <c r="H133" i="5" s="1"/>
  <c r="H134" i="5" s="1"/>
  <c r="H135" i="5" s="1"/>
  <c r="H136" i="5" s="1"/>
  <c r="H137" i="5" s="1"/>
  <c r="H138" i="5" s="1"/>
  <c r="H139" i="5" s="1"/>
  <c r="H140" i="5" s="1"/>
  <c r="H141" i="5" s="1"/>
  <c r="H142" i="5" s="1"/>
  <c r="H143" i="5" s="1"/>
  <c r="H144" i="5" s="1"/>
  <c r="H145" i="5" s="1"/>
  <c r="H146" i="5" s="1"/>
  <c r="H147" i="5" s="1"/>
  <c r="H148" i="5" s="1"/>
  <c r="H149" i="5" s="1"/>
  <c r="H150" i="5" s="1"/>
  <c r="H151" i="5" s="1"/>
  <c r="H152" i="5" s="1"/>
  <c r="H153" i="5" s="1"/>
  <c r="H154" i="5" s="1"/>
  <c r="H155" i="5" s="1"/>
  <c r="H156" i="5" s="1"/>
  <c r="H157" i="5" s="1"/>
  <c r="H158" i="5" s="1"/>
  <c r="H159" i="5" s="1"/>
  <c r="H160" i="5" s="1"/>
  <c r="H161" i="5" s="1"/>
  <c r="H162" i="5" s="1"/>
  <c r="H163" i="5" s="1"/>
  <c r="H164" i="5" s="1"/>
  <c r="H165" i="5" s="1"/>
  <c r="H166" i="5" s="1"/>
  <c r="H167" i="5" s="1"/>
  <c r="H168" i="5" s="1"/>
  <c r="H169" i="5" s="1"/>
  <c r="H170" i="5" s="1"/>
  <c r="H171" i="5" s="1"/>
  <c r="H172" i="5" s="1"/>
  <c r="H173" i="5" s="1"/>
  <c r="H174" i="5" s="1"/>
  <c r="H175" i="5" s="1"/>
  <c r="H176" i="5" s="1"/>
  <c r="H177" i="5" s="1"/>
  <c r="H178" i="5" s="1"/>
  <c r="H179" i="5" s="1"/>
  <c r="H180" i="5" s="1"/>
  <c r="H181" i="5" s="1"/>
  <c r="H182" i="5" s="1"/>
  <c r="H183" i="5" s="1"/>
  <c r="H184" i="5" s="1"/>
  <c r="H185" i="5" s="1"/>
  <c r="H186" i="5" s="1"/>
  <c r="H187" i="5" s="1"/>
  <c r="H188" i="5" s="1"/>
  <c r="H189" i="5" s="1"/>
  <c r="H190" i="5" s="1"/>
  <c r="H191" i="5" s="1"/>
  <c r="H192" i="5" s="1"/>
  <c r="H193" i="5" s="1"/>
  <c r="H194" i="5" s="1"/>
  <c r="H195" i="5" s="1"/>
  <c r="H196" i="5" s="1"/>
  <c r="H197" i="5" s="1"/>
  <c r="H198" i="5" s="1"/>
  <c r="H199" i="5" s="1"/>
  <c r="H200" i="5" s="1"/>
  <c r="H201" i="5" s="1"/>
  <c r="H202" i="5" s="1"/>
  <c r="H203" i="5" s="1"/>
  <c r="H204" i="5" s="1"/>
  <c r="H205" i="5" s="1"/>
  <c r="H206" i="5" s="1"/>
  <c r="H207" i="5" s="1"/>
  <c r="H208" i="5" s="1"/>
  <c r="H209" i="5" s="1"/>
  <c r="H210" i="5" s="1"/>
  <c r="H211" i="5" s="1"/>
  <c r="H212" i="5" s="1"/>
  <c r="H213" i="5" s="1"/>
  <c r="H214" i="5" s="1"/>
  <c r="H215" i="5" s="1"/>
  <c r="H216" i="5" s="1"/>
  <c r="H217" i="5" s="1"/>
  <c r="H218" i="5" s="1"/>
  <c r="H219" i="5" s="1"/>
  <c r="H220" i="5" s="1"/>
  <c r="H221" i="5" s="1"/>
  <c r="H222" i="5" s="1"/>
  <c r="H223" i="5" s="1"/>
  <c r="H224" i="5" s="1"/>
  <c r="H225" i="5" s="1"/>
  <c r="H226" i="5" s="1"/>
  <c r="H227" i="5" s="1"/>
  <c r="H228" i="5" s="1"/>
  <c r="H229" i="5" s="1"/>
  <c r="H230" i="5" s="1"/>
  <c r="H231" i="5" s="1"/>
  <c r="H232" i="5" s="1"/>
  <c r="H233" i="5" s="1"/>
  <c r="H234" i="5" s="1"/>
  <c r="H235" i="5" s="1"/>
  <c r="H236" i="5" s="1"/>
  <c r="H237" i="5" s="1"/>
  <c r="H238" i="5" s="1"/>
  <c r="H239" i="5" s="1"/>
  <c r="H240" i="5" s="1"/>
  <c r="H241" i="5" s="1"/>
  <c r="H242" i="5" s="1"/>
  <c r="H243" i="5" s="1"/>
  <c r="H244" i="5" s="1"/>
  <c r="H245" i="5" s="1"/>
  <c r="H246" i="5" s="1"/>
  <c r="H247" i="5" s="1"/>
  <c r="H248" i="5" s="1"/>
  <c r="H249" i="5" s="1"/>
  <c r="H250" i="5" s="1"/>
  <c r="H251" i="5" s="1"/>
  <c r="H252" i="5" s="1"/>
  <c r="H253" i="5" s="1"/>
  <c r="H254" i="5" s="1"/>
  <c r="H255" i="5" s="1"/>
  <c r="H256" i="5" s="1"/>
  <c r="H257" i="5" s="1"/>
  <c r="H258" i="5" s="1"/>
  <c r="H259" i="5" s="1"/>
  <c r="H260" i="5" s="1"/>
  <c r="H261" i="5" s="1"/>
  <c r="H262" i="5" s="1"/>
  <c r="H263" i="5" s="1"/>
  <c r="H264" i="5" s="1"/>
  <c r="H265" i="5" s="1"/>
  <c r="H266" i="5" s="1"/>
  <c r="H267" i="5" s="1"/>
  <c r="H268" i="5" s="1"/>
  <c r="H269" i="5" s="1"/>
  <c r="H270" i="5" s="1"/>
  <c r="H271" i="5" s="1"/>
  <c r="H272" i="5" s="1"/>
  <c r="H273" i="5" s="1"/>
  <c r="H274" i="5" s="1"/>
  <c r="H275" i="5" s="1"/>
  <c r="H276" i="5" s="1"/>
  <c r="H277" i="5" s="1"/>
  <c r="H278" i="5" s="1"/>
  <c r="H279" i="5" s="1"/>
  <c r="H280" i="5" s="1"/>
  <c r="H281" i="5" s="1"/>
  <c r="H282" i="5" s="1"/>
  <c r="H283" i="5" s="1"/>
  <c r="H284" i="5" s="1"/>
  <c r="H285" i="5" s="1"/>
  <c r="H286" i="5" s="1"/>
  <c r="H287" i="5" s="1"/>
  <c r="H288" i="5" s="1"/>
  <c r="H289" i="5" s="1"/>
  <c r="H290" i="5" s="1"/>
  <c r="H291" i="5" s="1"/>
  <c r="H292" i="5" s="1"/>
  <c r="H293" i="5" s="1"/>
  <c r="H294" i="5" s="1"/>
  <c r="H295" i="5" s="1"/>
  <c r="H296" i="5" s="1"/>
  <c r="H297" i="5" s="1"/>
  <c r="H298" i="5" s="1"/>
  <c r="H299" i="5" s="1"/>
  <c r="H300" i="5" s="1"/>
  <c r="H301" i="5" s="1"/>
  <c r="H302" i="5" s="1"/>
  <c r="H303" i="5" s="1"/>
  <c r="H304" i="5" s="1"/>
  <c r="H305" i="5" s="1"/>
  <c r="H306" i="5" s="1"/>
  <c r="H307" i="5" s="1"/>
  <c r="H308" i="5" s="1"/>
  <c r="H309" i="5" s="1"/>
  <c r="H310" i="5" s="1"/>
  <c r="H311" i="5" s="1"/>
  <c r="H312" i="5" s="1"/>
  <c r="H313" i="5" s="1"/>
  <c r="H314" i="5" s="1"/>
  <c r="H315" i="5" s="1"/>
  <c r="H316" i="5" s="1"/>
  <c r="H317" i="5" s="1"/>
  <c r="H318" i="5" s="1"/>
  <c r="H319" i="5" s="1"/>
  <c r="H320" i="5" s="1"/>
  <c r="H321" i="5" s="1"/>
  <c r="H322" i="5" s="1"/>
  <c r="H323" i="5" s="1"/>
  <c r="H324" i="5" s="1"/>
  <c r="H325" i="5" s="1"/>
  <c r="H326" i="5" s="1"/>
  <c r="H327" i="5" s="1"/>
  <c r="H328" i="5" s="1"/>
  <c r="H329" i="5" s="1"/>
  <c r="H330" i="5" s="1"/>
  <c r="H331" i="5" s="1"/>
  <c r="H332" i="5" s="1"/>
  <c r="H333" i="5" s="1"/>
  <c r="H334" i="5" s="1"/>
  <c r="H335" i="5" s="1"/>
  <c r="H336" i="5" s="1"/>
  <c r="H337" i="5" s="1"/>
  <c r="H338" i="5" s="1"/>
  <c r="H339" i="5" s="1"/>
  <c r="H340" i="5" s="1"/>
  <c r="H341" i="5" s="1"/>
  <c r="H342" i="5" s="1"/>
  <c r="H343" i="5" s="1"/>
  <c r="H344" i="5" s="1"/>
  <c r="H345" i="5" s="1"/>
  <c r="H346" i="5" s="1"/>
  <c r="H347" i="5" s="1"/>
  <c r="H348" i="5" s="1"/>
  <c r="H349" i="5" s="1"/>
  <c r="H350" i="5" s="1"/>
  <c r="H351" i="5" s="1"/>
  <c r="H352" i="5" s="1"/>
  <c r="H353" i="5" s="1"/>
  <c r="H354" i="5" s="1"/>
  <c r="H355" i="5" s="1"/>
  <c r="H356" i="5" s="1"/>
  <c r="H357" i="5" s="1"/>
  <c r="H358" i="5" s="1"/>
  <c r="H359" i="5" s="1"/>
  <c r="H360" i="5" s="1"/>
  <c r="H361" i="5" s="1"/>
  <c r="H362" i="5" s="1"/>
  <c r="H363" i="5" s="1"/>
  <c r="H364" i="5" s="1"/>
  <c r="H365" i="5" s="1"/>
  <c r="H366" i="5" s="1"/>
  <c r="H367" i="5" s="1"/>
  <c r="H368" i="5" s="1"/>
  <c r="H369" i="5" s="1"/>
  <c r="H370" i="5" s="1"/>
  <c r="H371" i="5" s="1"/>
  <c r="H372" i="5" s="1"/>
  <c r="H373" i="5" s="1"/>
  <c r="H374" i="5" s="1"/>
  <c r="H375" i="5" s="1"/>
  <c r="H376" i="5" s="1"/>
  <c r="H377" i="5" s="1"/>
  <c r="H378" i="5" s="1"/>
  <c r="H379" i="5" s="1"/>
  <c r="H380" i="5" s="1"/>
  <c r="H381" i="5" s="1"/>
  <c r="H382" i="5" s="1"/>
  <c r="H383" i="5" s="1"/>
  <c r="H384" i="5" s="1"/>
  <c r="H385" i="5" s="1"/>
  <c r="H386" i="5" s="1"/>
  <c r="H387" i="5" s="1"/>
  <c r="H388" i="5" s="1"/>
  <c r="H389" i="5" s="1"/>
  <c r="H390" i="5" s="1"/>
  <c r="H391" i="5" s="1"/>
  <c r="H392" i="5" s="1"/>
  <c r="H393" i="5" s="1"/>
  <c r="H394" i="5" s="1"/>
  <c r="H395" i="5" s="1"/>
  <c r="H396" i="5" s="1"/>
  <c r="H397" i="5" s="1"/>
  <c r="H398" i="5" s="1"/>
  <c r="H399" i="5" s="1"/>
  <c r="H400" i="5" s="1"/>
  <c r="H401" i="5" s="1"/>
  <c r="H402" i="5" s="1"/>
  <c r="H403" i="5" s="1"/>
  <c r="H404" i="5" s="1"/>
  <c r="H405" i="5" s="1"/>
  <c r="H406" i="5" s="1"/>
  <c r="H407" i="5" s="1"/>
  <c r="H408" i="5" s="1"/>
  <c r="H409" i="5" s="1"/>
  <c r="H410" i="5" s="1"/>
  <c r="H411" i="5" s="1"/>
  <c r="H412" i="5" s="1"/>
  <c r="H413" i="5" s="1"/>
  <c r="H414" i="5" s="1"/>
  <c r="H415" i="5" s="1"/>
  <c r="H416" i="5" s="1"/>
  <c r="H417" i="5" s="1"/>
  <c r="H418" i="5" s="1"/>
  <c r="H419" i="5" s="1"/>
  <c r="H420" i="5" s="1"/>
  <c r="H421" i="5" s="1"/>
  <c r="H422" i="5" s="1"/>
  <c r="H423" i="5" s="1"/>
  <c r="H424" i="5" s="1"/>
  <c r="H425" i="5" s="1"/>
  <c r="H426" i="5" s="1"/>
  <c r="H427" i="5" s="1"/>
  <c r="H428" i="5" s="1"/>
  <c r="H429" i="5" s="1"/>
  <c r="H430" i="5" s="1"/>
  <c r="H431" i="5" s="1"/>
  <c r="H432" i="5" s="1"/>
  <c r="H433" i="5" s="1"/>
  <c r="H434" i="5" s="1"/>
  <c r="H435" i="5" s="1"/>
  <c r="H436" i="5" s="1"/>
  <c r="H437" i="5" s="1"/>
  <c r="H438" i="5" s="1"/>
  <c r="H439" i="5" s="1"/>
  <c r="H440" i="5" s="1"/>
  <c r="H441" i="5" s="1"/>
  <c r="H442" i="5" s="1"/>
  <c r="H443" i="5" s="1"/>
  <c r="H444" i="5" s="1"/>
  <c r="H445" i="5" s="1"/>
  <c r="H446" i="5" s="1"/>
  <c r="H447" i="5" s="1"/>
  <c r="H448" i="5" s="1"/>
  <c r="H449" i="5" s="1"/>
  <c r="H450" i="5" s="1"/>
  <c r="H451" i="5" s="1"/>
  <c r="H452" i="5" s="1"/>
  <c r="H453" i="5" s="1"/>
  <c r="H454" i="5" s="1"/>
  <c r="H455" i="5" s="1"/>
  <c r="H456" i="5" s="1"/>
  <c r="H457" i="5" s="1"/>
  <c r="H458" i="5" s="1"/>
  <c r="H459" i="5" s="1"/>
  <c r="H460" i="5" s="1"/>
  <c r="H461" i="5" s="1"/>
  <c r="H462" i="5" s="1"/>
  <c r="H463" i="5" s="1"/>
  <c r="H464" i="5" s="1"/>
  <c r="H465" i="5" s="1"/>
  <c r="H466" i="5" s="1"/>
  <c r="H467" i="5" s="1"/>
  <c r="H468" i="5" s="1"/>
  <c r="H469" i="5" s="1"/>
  <c r="H470" i="5" s="1"/>
  <c r="H471" i="5" s="1"/>
  <c r="H472" i="5" s="1"/>
  <c r="H473" i="5" s="1"/>
  <c r="H474" i="5" s="1"/>
  <c r="H475" i="5" s="1"/>
  <c r="H476" i="5" s="1"/>
  <c r="H477" i="5" s="1"/>
  <c r="H478" i="5" s="1"/>
  <c r="H479" i="5" s="1"/>
  <c r="H480" i="5" s="1"/>
  <c r="H481" i="5" s="1"/>
  <c r="H482" i="5" s="1"/>
  <c r="H483" i="5" s="1"/>
  <c r="H484" i="5" s="1"/>
  <c r="H485" i="5" s="1"/>
  <c r="H486" i="5" s="1"/>
  <c r="H487" i="5" s="1"/>
  <c r="H488" i="5" s="1"/>
  <c r="H489" i="5" s="1"/>
  <c r="H490" i="5" s="1"/>
  <c r="H491" i="5" s="1"/>
  <c r="H492" i="5" s="1"/>
  <c r="H493" i="5" s="1"/>
  <c r="H494" i="5" s="1"/>
  <c r="H495" i="5" s="1"/>
  <c r="H496" i="5" s="1"/>
  <c r="H497" i="5" s="1"/>
  <c r="H498" i="5" s="1"/>
  <c r="H499" i="5" s="1"/>
  <c r="H500" i="5" s="1"/>
  <c r="H501" i="5" s="1"/>
  <c r="H502" i="5" s="1"/>
  <c r="H503" i="5" s="1"/>
  <c r="H504" i="5" s="1"/>
  <c r="H505" i="5" s="1"/>
  <c r="H506" i="5" s="1"/>
  <c r="H507" i="5" s="1"/>
  <c r="H508" i="5" s="1"/>
  <c r="H509" i="5" s="1"/>
  <c r="H510" i="5" s="1"/>
  <c r="H511" i="5" s="1"/>
  <c r="H512" i="5" s="1"/>
  <c r="H513" i="5" s="1"/>
  <c r="H514" i="5" s="1"/>
  <c r="H515" i="5" s="1"/>
  <c r="H516" i="5" s="1"/>
  <c r="H517" i="5" s="1"/>
  <c r="H518" i="5" s="1"/>
  <c r="H519" i="5" s="1"/>
  <c r="H520" i="5" s="1"/>
  <c r="H521" i="5" s="1"/>
  <c r="H522" i="5" s="1"/>
  <c r="H523" i="5" s="1"/>
  <c r="H524" i="5" s="1"/>
  <c r="H525" i="5" s="1"/>
  <c r="H526" i="5" s="1"/>
  <c r="H527" i="5" s="1"/>
  <c r="H528" i="5" s="1"/>
  <c r="H529" i="5" s="1"/>
  <c r="H530" i="5" s="1"/>
  <c r="H531" i="5" s="1"/>
  <c r="H532" i="5" s="1"/>
  <c r="H533" i="5" s="1"/>
  <c r="H534" i="5" s="1"/>
  <c r="H535" i="5" s="1"/>
  <c r="H536" i="5" s="1"/>
  <c r="H537" i="5" s="1"/>
  <c r="H538" i="5" s="1"/>
  <c r="H539" i="5" s="1"/>
  <c r="H540" i="5" s="1"/>
  <c r="H541" i="5" s="1"/>
  <c r="H542" i="5" s="1"/>
  <c r="H543" i="5" s="1"/>
  <c r="H544" i="5" s="1"/>
  <c r="H545" i="5" s="1"/>
  <c r="H546" i="5" s="1"/>
  <c r="H547" i="5" s="1"/>
  <c r="H548" i="5" s="1"/>
  <c r="H549" i="5" s="1"/>
  <c r="H550" i="5" s="1"/>
  <c r="H551" i="5" s="1"/>
  <c r="H552" i="5" s="1"/>
  <c r="H553" i="5" s="1"/>
  <c r="H554" i="5" s="1"/>
  <c r="H555" i="5" s="1"/>
  <c r="H556" i="5" s="1"/>
  <c r="H557" i="5" s="1"/>
  <c r="H558" i="5" s="1"/>
  <c r="H559" i="5" s="1"/>
  <c r="H560" i="5" s="1"/>
  <c r="H561" i="5" s="1"/>
  <c r="H562" i="5" s="1"/>
  <c r="H563" i="5" s="1"/>
  <c r="H564" i="5" s="1"/>
  <c r="H565" i="5" s="1"/>
  <c r="H566" i="5" s="1"/>
  <c r="H567" i="5" s="1"/>
  <c r="H568" i="5" s="1"/>
  <c r="H569" i="5" s="1"/>
  <c r="H570" i="5" s="1"/>
  <c r="H571" i="5" s="1"/>
  <c r="H572" i="5" s="1"/>
  <c r="H573" i="5" s="1"/>
  <c r="H574" i="5" s="1"/>
  <c r="H575" i="5" s="1"/>
  <c r="H576" i="5" s="1"/>
  <c r="H577" i="5" s="1"/>
  <c r="H578" i="5" s="1"/>
  <c r="H579" i="5" s="1"/>
  <c r="H580" i="5" s="1"/>
  <c r="H581" i="5" s="1"/>
  <c r="H582" i="5" s="1"/>
  <c r="H583" i="5" s="1"/>
  <c r="H584" i="5" s="1"/>
  <c r="H585" i="5" s="1"/>
  <c r="H586" i="5" s="1"/>
  <c r="H587" i="5" s="1"/>
  <c r="H588" i="5" s="1"/>
  <c r="H589" i="5" s="1"/>
  <c r="H590" i="5" s="1"/>
  <c r="H591" i="5" s="1"/>
  <c r="H592" i="5" s="1"/>
  <c r="H593" i="5" s="1"/>
  <c r="H594" i="5" s="1"/>
  <c r="H595" i="5" s="1"/>
  <c r="H596" i="5" s="1"/>
  <c r="H597" i="5" s="1"/>
  <c r="H598" i="5" s="1"/>
  <c r="H599" i="5" s="1"/>
  <c r="H600" i="5" s="1"/>
  <c r="H601" i="5" s="1"/>
  <c r="H602" i="5" s="1"/>
  <c r="H603" i="5" s="1"/>
  <c r="H604" i="5" s="1"/>
  <c r="H605" i="5" s="1"/>
  <c r="H606" i="5" s="1"/>
  <c r="H607" i="5" s="1"/>
  <c r="H608" i="5" s="1"/>
  <c r="H609" i="5" s="1"/>
  <c r="H610" i="5" s="1"/>
  <c r="H611" i="5" s="1"/>
  <c r="H612" i="5" s="1"/>
  <c r="H613" i="5" s="1"/>
  <c r="H614" i="5" s="1"/>
  <c r="H615" i="5" s="1"/>
  <c r="H616" i="5" s="1"/>
  <c r="H617" i="5" s="1"/>
  <c r="H618" i="5" s="1"/>
  <c r="H619" i="5" s="1"/>
  <c r="H620" i="5" s="1"/>
  <c r="H621" i="5" s="1"/>
  <c r="H622" i="5" s="1"/>
  <c r="H623" i="5" s="1"/>
  <c r="H624" i="5" s="1"/>
  <c r="H625" i="5" s="1"/>
  <c r="H626" i="5" s="1"/>
  <c r="H627" i="5" s="1"/>
  <c r="H628" i="5" s="1"/>
  <c r="H629" i="5" s="1"/>
  <c r="H630" i="5" s="1"/>
  <c r="H631" i="5" s="1"/>
  <c r="H632" i="5" s="1"/>
  <c r="H633" i="5" s="1"/>
  <c r="H634" i="5" s="1"/>
  <c r="H635" i="5" s="1"/>
  <c r="H636" i="5" s="1"/>
  <c r="H637" i="5" s="1"/>
  <c r="H638" i="5" s="1"/>
  <c r="H639" i="5" s="1"/>
  <c r="H640" i="5" s="1"/>
  <c r="H641" i="5" s="1"/>
  <c r="H642" i="5" s="1"/>
  <c r="H643" i="5" s="1"/>
  <c r="H644" i="5" s="1"/>
  <c r="H645" i="5" s="1"/>
  <c r="H646" i="5" s="1"/>
  <c r="H647" i="5" s="1"/>
  <c r="H648" i="5" s="1"/>
  <c r="H649" i="5" s="1"/>
  <c r="H650" i="5" s="1"/>
  <c r="H651" i="5" s="1"/>
  <c r="H652" i="5" s="1"/>
  <c r="H653" i="5" s="1"/>
  <c r="H654" i="5" s="1"/>
  <c r="H655" i="5" s="1"/>
  <c r="H656" i="5" s="1"/>
  <c r="H657" i="5" s="1"/>
  <c r="H658" i="5" s="1"/>
  <c r="H659" i="5" s="1"/>
  <c r="H660" i="5" s="1"/>
  <c r="H661" i="5" s="1"/>
  <c r="H662" i="5" s="1"/>
  <c r="H663" i="5" s="1"/>
  <c r="H664" i="5" s="1"/>
  <c r="H665" i="5" s="1"/>
  <c r="H666" i="5" s="1"/>
  <c r="H667" i="5" s="1"/>
  <c r="H668" i="5" s="1"/>
  <c r="H669" i="5" s="1"/>
  <c r="H670" i="5" s="1"/>
  <c r="H671" i="5" s="1"/>
  <c r="H672" i="5" s="1"/>
  <c r="H673" i="5" s="1"/>
  <c r="H674" i="5" s="1"/>
  <c r="H675" i="5" s="1"/>
  <c r="H676" i="5" s="1"/>
  <c r="H677" i="5" s="1"/>
  <c r="H678" i="5" s="1"/>
  <c r="H679" i="5" s="1"/>
  <c r="H680" i="5" s="1"/>
  <c r="H681" i="5" s="1"/>
  <c r="H682" i="5" s="1"/>
  <c r="H683" i="5" s="1"/>
  <c r="H684" i="5" s="1"/>
  <c r="H685" i="5" s="1"/>
  <c r="H686" i="5" s="1"/>
  <c r="H687" i="5" s="1"/>
  <c r="H688" i="5" s="1"/>
  <c r="H689" i="5" s="1"/>
  <c r="H690" i="5" s="1"/>
  <c r="H691" i="5" s="1"/>
  <c r="H692" i="5" s="1"/>
  <c r="H693" i="5" s="1"/>
  <c r="H694" i="5" s="1"/>
  <c r="H695" i="5" s="1"/>
  <c r="H696" i="5" s="1"/>
  <c r="H697" i="5" s="1"/>
  <c r="H698" i="5" s="1"/>
  <c r="H699" i="5" s="1"/>
  <c r="H700" i="5" s="1"/>
  <c r="H701" i="5" s="1"/>
  <c r="H702" i="5" s="1"/>
  <c r="H703" i="5" s="1"/>
  <c r="H704" i="5" s="1"/>
  <c r="H705" i="5" s="1"/>
  <c r="H706" i="5" s="1"/>
  <c r="H707" i="5" s="1"/>
  <c r="H708" i="5" s="1"/>
  <c r="H709" i="5" s="1"/>
  <c r="H710" i="5" s="1"/>
  <c r="H711" i="5" s="1"/>
  <c r="H712" i="5" s="1"/>
  <c r="H713" i="5" s="1"/>
  <c r="H714" i="5" s="1"/>
  <c r="H715" i="5" s="1"/>
  <c r="H716" i="5" s="1"/>
  <c r="H717" i="5" s="1"/>
  <c r="H718" i="5" s="1"/>
  <c r="H719" i="5" s="1"/>
  <c r="H720" i="5" s="1"/>
  <c r="H721" i="5" s="1"/>
  <c r="H722" i="5" s="1"/>
  <c r="H723" i="5" s="1"/>
  <c r="H724" i="5" s="1"/>
  <c r="H725" i="5" s="1"/>
  <c r="H726" i="5" s="1"/>
  <c r="H727" i="5" s="1"/>
  <c r="H728" i="5" s="1"/>
  <c r="H729" i="5" s="1"/>
  <c r="H730" i="5" s="1"/>
  <c r="H731" i="5" s="1"/>
  <c r="H732" i="5" s="1"/>
  <c r="H733" i="5" s="1"/>
  <c r="H734" i="5" s="1"/>
  <c r="H735" i="5" s="1"/>
  <c r="H736" i="5" s="1"/>
  <c r="H737" i="5" s="1"/>
  <c r="H738" i="5" s="1"/>
  <c r="H739" i="5" s="1"/>
  <c r="H740" i="5" s="1"/>
  <c r="H741" i="5" s="1"/>
  <c r="H742" i="5" s="1"/>
  <c r="H743" i="5" s="1"/>
  <c r="H744" i="5" s="1"/>
  <c r="H745" i="5" s="1"/>
  <c r="H746" i="5" s="1"/>
  <c r="H747" i="5" s="1"/>
  <c r="H748" i="5" s="1"/>
  <c r="H749" i="5" s="1"/>
  <c r="H750" i="5" s="1"/>
  <c r="H751" i="5" s="1"/>
  <c r="H752" i="5" s="1"/>
  <c r="H753" i="5" s="1"/>
  <c r="H754" i="5" s="1"/>
  <c r="H755" i="5" s="1"/>
  <c r="H756" i="5" s="1"/>
  <c r="H757" i="5" s="1"/>
  <c r="H758" i="5" s="1"/>
  <c r="H759" i="5" s="1"/>
  <c r="H760" i="5" s="1"/>
  <c r="H761" i="5" s="1"/>
  <c r="H762" i="5" s="1"/>
  <c r="H763" i="5" s="1"/>
  <c r="H764" i="5" s="1"/>
  <c r="H765" i="5" s="1"/>
  <c r="H766" i="5" s="1"/>
  <c r="H767" i="5" s="1"/>
  <c r="H768" i="5" s="1"/>
  <c r="H769" i="5" s="1"/>
  <c r="H770" i="5" s="1"/>
  <c r="H771" i="5" s="1"/>
  <c r="H772" i="5" s="1"/>
  <c r="H773" i="5" s="1"/>
  <c r="H774" i="5" s="1"/>
  <c r="H775" i="5" s="1"/>
  <c r="H776" i="5" s="1"/>
  <c r="H777" i="5" s="1"/>
  <c r="H778" i="5" s="1"/>
  <c r="H779" i="5" s="1"/>
  <c r="H780" i="5" s="1"/>
  <c r="H781" i="5" s="1"/>
  <c r="H782" i="5" s="1"/>
  <c r="H783" i="5" s="1"/>
  <c r="H784" i="5" s="1"/>
  <c r="H785" i="5" s="1"/>
  <c r="H786" i="5" s="1"/>
  <c r="H787" i="5" s="1"/>
  <c r="H788" i="5" s="1"/>
  <c r="H789" i="5" s="1"/>
  <c r="H790" i="5" s="1"/>
  <c r="H791" i="5" s="1"/>
  <c r="H792" i="5" s="1"/>
  <c r="H793" i="5" s="1"/>
  <c r="H794" i="5" s="1"/>
  <c r="H795" i="5" s="1"/>
  <c r="H796" i="5" s="1"/>
  <c r="H797" i="5" s="1"/>
  <c r="H798" i="5" s="1"/>
  <c r="H799" i="5" s="1"/>
  <c r="H800" i="5" s="1"/>
  <c r="H801" i="5" s="1"/>
  <c r="H802" i="5" s="1"/>
  <c r="H803" i="5" s="1"/>
  <c r="H804" i="5" s="1"/>
  <c r="H805" i="5" s="1"/>
  <c r="H806" i="5" s="1"/>
  <c r="H807" i="5" s="1"/>
  <c r="H808" i="5" s="1"/>
  <c r="H809" i="5" s="1"/>
  <c r="H810" i="5" s="1"/>
  <c r="H811" i="5" s="1"/>
  <c r="H812" i="5" s="1"/>
  <c r="H813" i="5" s="1"/>
  <c r="H814" i="5" s="1"/>
  <c r="H815" i="5" s="1"/>
  <c r="H816" i="5" s="1"/>
  <c r="H817" i="5" s="1"/>
  <c r="H818" i="5" s="1"/>
  <c r="H819" i="5" s="1"/>
  <c r="H820" i="5" s="1"/>
  <c r="H821" i="5" s="1"/>
  <c r="H822" i="5" s="1"/>
  <c r="H823" i="5" s="1"/>
  <c r="H824" i="5" s="1"/>
  <c r="H825" i="5" s="1"/>
  <c r="H826" i="5" s="1"/>
  <c r="H827" i="5" s="1"/>
  <c r="H828" i="5" s="1"/>
  <c r="H829" i="5" s="1"/>
  <c r="H830" i="5" s="1"/>
  <c r="H831" i="5" s="1"/>
  <c r="H832" i="5" s="1"/>
  <c r="H833" i="5" s="1"/>
  <c r="H834" i="5" s="1"/>
  <c r="H835" i="5" s="1"/>
  <c r="H836" i="5" s="1"/>
  <c r="H837" i="5" s="1"/>
  <c r="H838" i="5" s="1"/>
  <c r="H839" i="5" s="1"/>
  <c r="H840" i="5" s="1"/>
  <c r="H841" i="5" s="1"/>
  <c r="H842" i="5" s="1"/>
  <c r="H843" i="5" s="1"/>
  <c r="H844" i="5" s="1"/>
  <c r="H845" i="5" s="1"/>
  <c r="H846" i="5" s="1"/>
  <c r="H847" i="5" s="1"/>
  <c r="H848" i="5" s="1"/>
  <c r="H849" i="5" s="1"/>
  <c r="H850" i="5" s="1"/>
  <c r="H851" i="5" s="1"/>
  <c r="H852" i="5" s="1"/>
  <c r="H853" i="5" s="1"/>
  <c r="H854" i="5" s="1"/>
  <c r="H855" i="5" s="1"/>
  <c r="H856" i="5" s="1"/>
  <c r="H857" i="5" s="1"/>
  <c r="H858" i="5" s="1"/>
  <c r="H859" i="5" s="1"/>
  <c r="H860" i="5" s="1"/>
  <c r="H861" i="5" s="1"/>
  <c r="H862" i="5" s="1"/>
  <c r="H863" i="5" s="1"/>
  <c r="H864" i="5" s="1"/>
  <c r="H865" i="5" s="1"/>
  <c r="H866" i="5" s="1"/>
  <c r="H867" i="5" s="1"/>
  <c r="H868" i="5" s="1"/>
  <c r="H869" i="5" s="1"/>
  <c r="H870" i="5" s="1"/>
  <c r="H871" i="5" s="1"/>
  <c r="H872" i="5" s="1"/>
  <c r="H873" i="5" s="1"/>
  <c r="H874" i="5" s="1"/>
  <c r="H875" i="5" s="1"/>
  <c r="H876" i="5" s="1"/>
  <c r="H877" i="5" s="1"/>
  <c r="H878" i="5" s="1"/>
  <c r="H879" i="5" s="1"/>
  <c r="H880" i="5" s="1"/>
  <c r="H881" i="5" s="1"/>
  <c r="H882" i="5" s="1"/>
  <c r="H883" i="5" s="1"/>
  <c r="H884" i="5" s="1"/>
  <c r="H885" i="5" s="1"/>
  <c r="H886" i="5" s="1"/>
  <c r="H887" i="5" s="1"/>
  <c r="H888" i="5" s="1"/>
  <c r="H889" i="5" s="1"/>
  <c r="H890" i="5" s="1"/>
  <c r="H891" i="5" s="1"/>
  <c r="H892" i="5" s="1"/>
  <c r="H893" i="5" s="1"/>
  <c r="H894" i="5" s="1"/>
  <c r="H895" i="5" s="1"/>
  <c r="H896" i="5" s="1"/>
  <c r="H897" i="5" s="1"/>
  <c r="H898" i="5" s="1"/>
  <c r="H899" i="5" s="1"/>
  <c r="H900" i="5" s="1"/>
  <c r="H901" i="5" s="1"/>
  <c r="H902" i="5" s="1"/>
  <c r="H903" i="5" s="1"/>
  <c r="H904" i="5" s="1"/>
  <c r="H905" i="5" s="1"/>
  <c r="H906" i="5" s="1"/>
  <c r="H907" i="5" s="1"/>
  <c r="H908" i="5" s="1"/>
  <c r="H909" i="5" s="1"/>
  <c r="H910" i="5" s="1"/>
  <c r="H911" i="5" s="1"/>
  <c r="H912" i="5" s="1"/>
  <c r="H913" i="5" s="1"/>
  <c r="H914" i="5" s="1"/>
  <c r="H915" i="5" s="1"/>
  <c r="H916" i="5" s="1"/>
  <c r="H917" i="5" s="1"/>
  <c r="H918" i="5" s="1"/>
  <c r="H919" i="5" s="1"/>
  <c r="H920" i="5" s="1"/>
  <c r="H921" i="5" s="1"/>
  <c r="H922" i="5" s="1"/>
  <c r="H923" i="5" s="1"/>
  <c r="H924" i="5" s="1"/>
  <c r="H925" i="5" s="1"/>
  <c r="H926" i="5" s="1"/>
  <c r="H927" i="5" s="1"/>
  <c r="H928" i="5" s="1"/>
  <c r="H929" i="5" s="1"/>
  <c r="H930" i="5" s="1"/>
  <c r="H931" i="5" s="1"/>
  <c r="H932" i="5" s="1"/>
  <c r="H933" i="5" s="1"/>
  <c r="H934" i="5" s="1"/>
  <c r="H935" i="5" s="1"/>
  <c r="H936" i="5" s="1"/>
  <c r="H937" i="5" s="1"/>
  <c r="H938" i="5" s="1"/>
  <c r="H939" i="5" s="1"/>
  <c r="H940" i="5" s="1"/>
  <c r="H941" i="5" s="1"/>
  <c r="H942" i="5" s="1"/>
  <c r="H943" i="5" s="1"/>
  <c r="H944" i="5" s="1"/>
  <c r="H945" i="5" s="1"/>
  <c r="H946" i="5" s="1"/>
  <c r="H947" i="5" s="1"/>
  <c r="H948" i="5" s="1"/>
  <c r="H949" i="5" s="1"/>
  <c r="H950" i="5" s="1"/>
  <c r="H951" i="5" s="1"/>
  <c r="H952" i="5" s="1"/>
  <c r="H953" i="5" s="1"/>
  <c r="H954" i="5" s="1"/>
  <c r="H955" i="5" s="1"/>
  <c r="H956" i="5" s="1"/>
  <c r="H957" i="5" s="1"/>
  <c r="H958" i="5" s="1"/>
  <c r="H959" i="5" s="1"/>
  <c r="H960" i="5" s="1"/>
  <c r="H961" i="5" s="1"/>
  <c r="H962" i="5" s="1"/>
  <c r="H963" i="5" s="1"/>
  <c r="H964" i="5" s="1"/>
  <c r="H965" i="5" s="1"/>
  <c r="H966" i="5" s="1"/>
  <c r="H967" i="5" s="1"/>
  <c r="H968" i="5" s="1"/>
  <c r="H969" i="5" s="1"/>
  <c r="H970" i="5" s="1"/>
  <c r="H971" i="5" s="1"/>
  <c r="H972" i="5" s="1"/>
  <c r="H973" i="5" s="1"/>
  <c r="H974" i="5" s="1"/>
  <c r="H975" i="5" s="1"/>
  <c r="H976" i="5" s="1"/>
  <c r="H977" i="5" s="1"/>
  <c r="H978" i="5" s="1"/>
  <c r="H979" i="5" s="1"/>
  <c r="H980" i="5" s="1"/>
  <c r="H981" i="5" s="1"/>
  <c r="H982" i="5" s="1"/>
  <c r="H983" i="5" s="1"/>
  <c r="H984" i="5" s="1"/>
  <c r="H985" i="5" s="1"/>
  <c r="H986" i="5" s="1"/>
  <c r="H987" i="5" s="1"/>
  <c r="H988" i="5" s="1"/>
  <c r="H989" i="5" s="1"/>
  <c r="H990" i="5" s="1"/>
  <c r="H991" i="5" s="1"/>
  <c r="H992" i="5" s="1"/>
  <c r="H993" i="5" s="1"/>
  <c r="H994" i="5" s="1"/>
  <c r="H995" i="5" s="1"/>
  <c r="H996" i="5" s="1"/>
  <c r="H997" i="5" s="1"/>
  <c r="H998" i="5" s="1"/>
  <c r="H999" i="5" s="1"/>
  <c r="H1000" i="5" s="1"/>
  <c r="H1001" i="5" s="1"/>
  <c r="E25" i="5"/>
  <c r="E26" i="5" s="1"/>
  <c r="E27" i="5" s="1"/>
  <c r="E28" i="5" s="1"/>
  <c r="E29" i="5" s="1"/>
  <c r="O29" i="5"/>
  <c r="O30" i="5" s="1"/>
  <c r="O31" i="5" s="1"/>
  <c r="O32" i="5" s="1"/>
  <c r="O33" i="5" s="1"/>
  <c r="O34" i="5" s="1"/>
  <c r="O35" i="5" s="1"/>
  <c r="O36" i="5" s="1"/>
  <c r="O37" i="5" s="1"/>
  <c r="O38" i="5" s="1"/>
  <c r="O39" i="5" s="1"/>
  <c r="O40" i="5" s="1"/>
  <c r="O41" i="5" s="1"/>
  <c r="O42" i="5" s="1"/>
  <c r="O43" i="5" s="1"/>
  <c r="O44" i="5" s="1"/>
  <c r="O45" i="5" s="1"/>
  <c r="O46" i="5" s="1"/>
  <c r="O47" i="5" s="1"/>
  <c r="O48" i="5" s="1"/>
  <c r="O49" i="5" s="1"/>
  <c r="E30" i="5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E115" i="5" s="1"/>
  <c r="E116" i="5" s="1"/>
  <c r="E117" i="5" s="1"/>
  <c r="E118" i="5" s="1"/>
  <c r="E119" i="5" s="1"/>
  <c r="E120" i="5" s="1"/>
  <c r="E121" i="5" s="1"/>
  <c r="E122" i="5" s="1"/>
  <c r="E123" i="5" s="1"/>
  <c r="E124" i="5" s="1"/>
  <c r="E125" i="5" s="1"/>
  <c r="E126" i="5" s="1"/>
  <c r="E127" i="5" s="1"/>
  <c r="E128" i="5" s="1"/>
  <c r="E129" i="5" s="1"/>
  <c r="E130" i="5" s="1"/>
  <c r="E131" i="5" s="1"/>
  <c r="E132" i="5" s="1"/>
  <c r="E133" i="5" s="1"/>
  <c r="E134" i="5" s="1"/>
  <c r="E135" i="5" s="1"/>
  <c r="E136" i="5" s="1"/>
  <c r="E137" i="5" s="1"/>
  <c r="E138" i="5" s="1"/>
  <c r="E139" i="5" s="1"/>
  <c r="E140" i="5" s="1"/>
  <c r="E141" i="5" s="1"/>
  <c r="E142" i="5" s="1"/>
  <c r="E143" i="5" s="1"/>
  <c r="E144" i="5" s="1"/>
  <c r="E145" i="5" s="1"/>
  <c r="E146" i="5" s="1"/>
  <c r="E147" i="5" s="1"/>
  <c r="E148" i="5" s="1"/>
  <c r="E149" i="5" s="1"/>
  <c r="E150" i="5" s="1"/>
  <c r="E151" i="5" s="1"/>
  <c r="E152" i="5" s="1"/>
  <c r="E153" i="5" s="1"/>
  <c r="E154" i="5" s="1"/>
  <c r="E155" i="5" s="1"/>
  <c r="E156" i="5" s="1"/>
  <c r="E157" i="5" s="1"/>
  <c r="E158" i="5" s="1"/>
  <c r="E159" i="5" s="1"/>
  <c r="E160" i="5" s="1"/>
  <c r="E161" i="5" s="1"/>
  <c r="E162" i="5" s="1"/>
  <c r="E163" i="5" s="1"/>
  <c r="E164" i="5" s="1"/>
  <c r="E165" i="5" s="1"/>
  <c r="E166" i="5" s="1"/>
  <c r="E167" i="5" s="1"/>
  <c r="E168" i="5" s="1"/>
  <c r="E169" i="5" s="1"/>
  <c r="E170" i="5" s="1"/>
  <c r="E171" i="5" s="1"/>
  <c r="E172" i="5" s="1"/>
  <c r="E173" i="5" s="1"/>
  <c r="E174" i="5" s="1"/>
  <c r="E175" i="5" s="1"/>
  <c r="E176" i="5" s="1"/>
  <c r="E177" i="5" s="1"/>
  <c r="E178" i="5" s="1"/>
  <c r="E179" i="5" s="1"/>
  <c r="E180" i="5" s="1"/>
  <c r="E181" i="5" s="1"/>
  <c r="E182" i="5" s="1"/>
  <c r="E183" i="5" s="1"/>
  <c r="E184" i="5" s="1"/>
  <c r="E185" i="5" s="1"/>
  <c r="E186" i="5" s="1"/>
  <c r="E187" i="5" s="1"/>
  <c r="E188" i="5" s="1"/>
  <c r="E189" i="5" s="1"/>
  <c r="E190" i="5" s="1"/>
  <c r="E191" i="5" s="1"/>
  <c r="E192" i="5" s="1"/>
  <c r="E193" i="5" s="1"/>
  <c r="E194" i="5" s="1"/>
  <c r="E195" i="5" s="1"/>
  <c r="E196" i="5" s="1"/>
  <c r="E197" i="5" s="1"/>
  <c r="E198" i="5" s="1"/>
  <c r="E199" i="5" s="1"/>
  <c r="E200" i="5" s="1"/>
  <c r="E201" i="5" s="1"/>
  <c r="E202" i="5" s="1"/>
  <c r="E203" i="5" s="1"/>
  <c r="E204" i="5" s="1"/>
  <c r="E205" i="5" s="1"/>
  <c r="E206" i="5" s="1"/>
  <c r="E207" i="5" s="1"/>
  <c r="E208" i="5" s="1"/>
  <c r="E209" i="5" s="1"/>
  <c r="E210" i="5" s="1"/>
  <c r="E211" i="5" s="1"/>
  <c r="E212" i="5" s="1"/>
  <c r="E213" i="5" s="1"/>
  <c r="E214" i="5" s="1"/>
  <c r="E215" i="5" s="1"/>
  <c r="E216" i="5" s="1"/>
  <c r="E217" i="5" s="1"/>
  <c r="E218" i="5" s="1"/>
  <c r="E219" i="5" s="1"/>
  <c r="E220" i="5" s="1"/>
  <c r="E221" i="5" s="1"/>
  <c r="E222" i="5" s="1"/>
  <c r="E223" i="5" s="1"/>
  <c r="E224" i="5" s="1"/>
  <c r="E225" i="5" s="1"/>
  <c r="E226" i="5" s="1"/>
  <c r="E227" i="5" s="1"/>
  <c r="E228" i="5" s="1"/>
  <c r="E229" i="5" s="1"/>
  <c r="E230" i="5" s="1"/>
  <c r="E231" i="5" s="1"/>
  <c r="E232" i="5" s="1"/>
  <c r="E233" i="5" s="1"/>
  <c r="E234" i="5" s="1"/>
  <c r="E235" i="5" s="1"/>
  <c r="E236" i="5" s="1"/>
  <c r="E237" i="5" s="1"/>
  <c r="E238" i="5" s="1"/>
  <c r="E239" i="5" s="1"/>
  <c r="E240" i="5" s="1"/>
  <c r="E241" i="5" s="1"/>
  <c r="E242" i="5" s="1"/>
  <c r="E243" i="5" s="1"/>
  <c r="E244" i="5" s="1"/>
  <c r="E245" i="5" s="1"/>
  <c r="E246" i="5" s="1"/>
  <c r="E247" i="5" s="1"/>
  <c r="E248" i="5" s="1"/>
  <c r="E249" i="5" s="1"/>
  <c r="E250" i="5" s="1"/>
  <c r="E251" i="5" s="1"/>
  <c r="E252" i="5" s="1"/>
  <c r="E253" i="5" s="1"/>
  <c r="E254" i="5" s="1"/>
  <c r="E255" i="5" s="1"/>
  <c r="E256" i="5" s="1"/>
  <c r="E257" i="5" s="1"/>
  <c r="E258" i="5" s="1"/>
  <c r="E259" i="5" s="1"/>
  <c r="E260" i="5" s="1"/>
  <c r="E261" i="5" s="1"/>
  <c r="E262" i="5" s="1"/>
  <c r="E263" i="5" s="1"/>
  <c r="E264" i="5" s="1"/>
  <c r="E265" i="5" s="1"/>
  <c r="E266" i="5" s="1"/>
  <c r="E267" i="5" s="1"/>
  <c r="E268" i="5" s="1"/>
  <c r="E269" i="5" s="1"/>
  <c r="E270" i="5" s="1"/>
  <c r="E271" i="5" s="1"/>
  <c r="E272" i="5" s="1"/>
  <c r="E273" i="5" s="1"/>
  <c r="E274" i="5" s="1"/>
  <c r="E275" i="5" s="1"/>
  <c r="E276" i="5" s="1"/>
  <c r="E277" i="5" s="1"/>
  <c r="E278" i="5" s="1"/>
  <c r="E279" i="5" s="1"/>
  <c r="E280" i="5" s="1"/>
  <c r="E281" i="5" s="1"/>
  <c r="E282" i="5" s="1"/>
  <c r="E283" i="5" s="1"/>
  <c r="E284" i="5" s="1"/>
  <c r="E285" i="5" s="1"/>
  <c r="E286" i="5" s="1"/>
  <c r="E287" i="5" s="1"/>
  <c r="E288" i="5" s="1"/>
  <c r="E289" i="5" s="1"/>
  <c r="E290" i="5" s="1"/>
  <c r="E291" i="5" s="1"/>
  <c r="E292" i="5" s="1"/>
  <c r="E293" i="5" s="1"/>
  <c r="E294" i="5" s="1"/>
  <c r="E295" i="5" s="1"/>
  <c r="E296" i="5" s="1"/>
  <c r="E297" i="5" s="1"/>
  <c r="E298" i="5" s="1"/>
  <c r="E299" i="5" s="1"/>
  <c r="E300" i="5" s="1"/>
  <c r="E301" i="5" s="1"/>
  <c r="E302" i="5" s="1"/>
  <c r="E303" i="5" s="1"/>
  <c r="E304" i="5" s="1"/>
  <c r="E305" i="5" s="1"/>
  <c r="E306" i="5" s="1"/>
  <c r="E307" i="5" s="1"/>
  <c r="E308" i="5" s="1"/>
  <c r="E309" i="5" s="1"/>
  <c r="E310" i="5" s="1"/>
  <c r="E311" i="5" s="1"/>
  <c r="E312" i="5" s="1"/>
  <c r="E313" i="5" s="1"/>
  <c r="E314" i="5" s="1"/>
  <c r="E315" i="5" s="1"/>
  <c r="E316" i="5" s="1"/>
  <c r="E317" i="5" s="1"/>
  <c r="E318" i="5" s="1"/>
  <c r="E319" i="5" s="1"/>
  <c r="E320" i="5" s="1"/>
  <c r="E321" i="5" s="1"/>
  <c r="E322" i="5" s="1"/>
  <c r="E323" i="5" s="1"/>
  <c r="E324" i="5" s="1"/>
  <c r="E325" i="5" s="1"/>
  <c r="E326" i="5" s="1"/>
  <c r="E327" i="5" s="1"/>
  <c r="E328" i="5" s="1"/>
  <c r="E329" i="5" s="1"/>
  <c r="E330" i="5" s="1"/>
  <c r="E331" i="5" s="1"/>
  <c r="E332" i="5" s="1"/>
  <c r="E333" i="5" s="1"/>
  <c r="E334" i="5" s="1"/>
  <c r="E335" i="5" s="1"/>
  <c r="E336" i="5" s="1"/>
  <c r="E337" i="5" s="1"/>
  <c r="E338" i="5" s="1"/>
  <c r="E339" i="5" s="1"/>
  <c r="E340" i="5" s="1"/>
  <c r="E341" i="5" s="1"/>
  <c r="E342" i="5" s="1"/>
  <c r="E343" i="5" s="1"/>
  <c r="E344" i="5" s="1"/>
  <c r="E345" i="5" s="1"/>
  <c r="E346" i="5" s="1"/>
  <c r="E347" i="5" s="1"/>
  <c r="E348" i="5" s="1"/>
  <c r="E349" i="5" s="1"/>
  <c r="E350" i="5" s="1"/>
  <c r="E351" i="5" s="1"/>
  <c r="E352" i="5" s="1"/>
  <c r="E353" i="5" s="1"/>
  <c r="E354" i="5" s="1"/>
  <c r="E355" i="5" s="1"/>
  <c r="E356" i="5" s="1"/>
  <c r="E357" i="5" s="1"/>
  <c r="E358" i="5" s="1"/>
  <c r="E359" i="5" s="1"/>
  <c r="E360" i="5" s="1"/>
  <c r="E361" i="5" s="1"/>
  <c r="E362" i="5" s="1"/>
  <c r="E363" i="5" s="1"/>
  <c r="E364" i="5" s="1"/>
  <c r="E365" i="5" s="1"/>
  <c r="E366" i="5" s="1"/>
  <c r="E367" i="5" s="1"/>
  <c r="E368" i="5" s="1"/>
  <c r="E369" i="5" s="1"/>
  <c r="E370" i="5" s="1"/>
  <c r="E371" i="5" s="1"/>
  <c r="E372" i="5" s="1"/>
  <c r="E373" i="5" s="1"/>
  <c r="E374" i="5" s="1"/>
  <c r="E375" i="5" s="1"/>
  <c r="E376" i="5" s="1"/>
  <c r="E377" i="5" s="1"/>
  <c r="E378" i="5" s="1"/>
  <c r="E379" i="5" s="1"/>
  <c r="E380" i="5" s="1"/>
  <c r="E381" i="5" s="1"/>
  <c r="E382" i="5" s="1"/>
  <c r="E383" i="5" s="1"/>
  <c r="E384" i="5" s="1"/>
  <c r="E385" i="5" s="1"/>
  <c r="E386" i="5" s="1"/>
  <c r="E387" i="5" s="1"/>
  <c r="E388" i="5" s="1"/>
  <c r="E389" i="5" s="1"/>
  <c r="E390" i="5" s="1"/>
  <c r="E391" i="5" s="1"/>
  <c r="E392" i="5" s="1"/>
  <c r="E393" i="5" s="1"/>
  <c r="E394" i="5" s="1"/>
  <c r="E395" i="5" s="1"/>
  <c r="E396" i="5" s="1"/>
  <c r="E397" i="5" s="1"/>
  <c r="E398" i="5" s="1"/>
  <c r="E399" i="5" s="1"/>
  <c r="E400" i="5" s="1"/>
  <c r="E401" i="5" s="1"/>
  <c r="E402" i="5" s="1"/>
  <c r="E403" i="5" s="1"/>
  <c r="E404" i="5" s="1"/>
  <c r="E405" i="5" s="1"/>
  <c r="E406" i="5" s="1"/>
  <c r="E407" i="5" s="1"/>
  <c r="E408" i="5" s="1"/>
  <c r="E409" i="5" s="1"/>
  <c r="E410" i="5" s="1"/>
  <c r="E411" i="5" s="1"/>
  <c r="E412" i="5" s="1"/>
  <c r="E413" i="5" s="1"/>
  <c r="E414" i="5" s="1"/>
  <c r="E415" i="5" s="1"/>
  <c r="E416" i="5" s="1"/>
  <c r="E417" i="5" s="1"/>
  <c r="E418" i="5" s="1"/>
  <c r="E419" i="5" s="1"/>
  <c r="E420" i="5" s="1"/>
  <c r="E421" i="5" s="1"/>
  <c r="E422" i="5" s="1"/>
  <c r="E423" i="5" s="1"/>
  <c r="E424" i="5" s="1"/>
  <c r="E425" i="5" s="1"/>
  <c r="E426" i="5" s="1"/>
  <c r="E427" i="5" s="1"/>
  <c r="E428" i="5" s="1"/>
  <c r="E429" i="5" s="1"/>
  <c r="E430" i="5" s="1"/>
  <c r="E431" i="5" s="1"/>
  <c r="E432" i="5" s="1"/>
  <c r="E433" i="5" s="1"/>
  <c r="E434" i="5" s="1"/>
  <c r="E435" i="5" s="1"/>
  <c r="E436" i="5" s="1"/>
  <c r="E437" i="5" s="1"/>
  <c r="E438" i="5" s="1"/>
  <c r="E439" i="5" s="1"/>
  <c r="E440" i="5" s="1"/>
  <c r="E441" i="5" s="1"/>
  <c r="E442" i="5" s="1"/>
  <c r="E443" i="5" s="1"/>
  <c r="E444" i="5" s="1"/>
  <c r="E445" i="5" s="1"/>
  <c r="E446" i="5" s="1"/>
  <c r="E447" i="5" s="1"/>
  <c r="E448" i="5" s="1"/>
  <c r="E449" i="5" s="1"/>
  <c r="E450" i="5" s="1"/>
  <c r="E451" i="5" s="1"/>
  <c r="E452" i="5" s="1"/>
  <c r="E453" i="5" s="1"/>
  <c r="E454" i="5" s="1"/>
  <c r="E455" i="5" s="1"/>
  <c r="E456" i="5" s="1"/>
  <c r="E457" i="5" s="1"/>
  <c r="E458" i="5" s="1"/>
  <c r="E459" i="5" s="1"/>
  <c r="E460" i="5" s="1"/>
  <c r="E461" i="5" s="1"/>
  <c r="E462" i="5" s="1"/>
  <c r="E463" i="5" s="1"/>
  <c r="E464" i="5" s="1"/>
  <c r="E465" i="5" s="1"/>
  <c r="E466" i="5" s="1"/>
  <c r="E467" i="5" s="1"/>
  <c r="E468" i="5" s="1"/>
  <c r="E469" i="5" s="1"/>
  <c r="E470" i="5" s="1"/>
  <c r="E471" i="5" s="1"/>
  <c r="E472" i="5" s="1"/>
  <c r="E473" i="5" s="1"/>
  <c r="E474" i="5" s="1"/>
  <c r="E475" i="5" s="1"/>
  <c r="E476" i="5" s="1"/>
  <c r="E477" i="5" s="1"/>
  <c r="E478" i="5" s="1"/>
  <c r="E479" i="5" s="1"/>
  <c r="E480" i="5" s="1"/>
  <c r="E481" i="5" s="1"/>
  <c r="E482" i="5" s="1"/>
  <c r="E483" i="5" s="1"/>
  <c r="E484" i="5" s="1"/>
  <c r="E485" i="5" s="1"/>
  <c r="E486" i="5" s="1"/>
  <c r="E487" i="5" s="1"/>
  <c r="E488" i="5" s="1"/>
  <c r="E489" i="5" s="1"/>
  <c r="E490" i="5" s="1"/>
  <c r="E491" i="5" s="1"/>
  <c r="E492" i="5" s="1"/>
  <c r="E493" i="5" s="1"/>
  <c r="E494" i="5" s="1"/>
  <c r="E495" i="5" s="1"/>
  <c r="E496" i="5" s="1"/>
  <c r="E497" i="5" s="1"/>
  <c r="E498" i="5" s="1"/>
  <c r="E499" i="5" s="1"/>
  <c r="E500" i="5" s="1"/>
  <c r="E501" i="5" s="1"/>
  <c r="E502" i="5" s="1"/>
  <c r="E503" i="5" s="1"/>
  <c r="E504" i="5" s="1"/>
  <c r="E505" i="5" s="1"/>
  <c r="E506" i="5" s="1"/>
  <c r="E507" i="5" s="1"/>
  <c r="E508" i="5" s="1"/>
  <c r="E509" i="5" s="1"/>
  <c r="E510" i="5" s="1"/>
  <c r="E511" i="5" s="1"/>
  <c r="E512" i="5" s="1"/>
  <c r="E513" i="5" s="1"/>
  <c r="E514" i="5" s="1"/>
  <c r="E515" i="5" s="1"/>
  <c r="E516" i="5" s="1"/>
  <c r="E517" i="5" s="1"/>
  <c r="E518" i="5" s="1"/>
  <c r="E519" i="5" s="1"/>
  <c r="E520" i="5" s="1"/>
  <c r="E521" i="5" s="1"/>
  <c r="E522" i="5" s="1"/>
  <c r="E523" i="5" s="1"/>
  <c r="E524" i="5" s="1"/>
  <c r="E525" i="5" s="1"/>
  <c r="E526" i="5" s="1"/>
  <c r="E527" i="5" s="1"/>
  <c r="E528" i="5" s="1"/>
  <c r="E529" i="5" s="1"/>
  <c r="E530" i="5" s="1"/>
  <c r="E531" i="5" s="1"/>
  <c r="E532" i="5" s="1"/>
  <c r="E533" i="5" s="1"/>
  <c r="E534" i="5" s="1"/>
  <c r="E535" i="5" s="1"/>
  <c r="E536" i="5" s="1"/>
  <c r="E537" i="5" s="1"/>
  <c r="E538" i="5" s="1"/>
  <c r="E539" i="5" s="1"/>
  <c r="E540" i="5" s="1"/>
  <c r="E541" i="5" s="1"/>
  <c r="E542" i="5" s="1"/>
  <c r="E543" i="5" s="1"/>
  <c r="E544" i="5" s="1"/>
  <c r="E545" i="5" s="1"/>
  <c r="E546" i="5" s="1"/>
  <c r="E547" i="5" s="1"/>
  <c r="E548" i="5" s="1"/>
  <c r="E549" i="5" s="1"/>
  <c r="E550" i="5" s="1"/>
  <c r="E551" i="5" s="1"/>
  <c r="E552" i="5" s="1"/>
  <c r="E553" i="5" s="1"/>
  <c r="E554" i="5" s="1"/>
  <c r="E555" i="5" s="1"/>
  <c r="E556" i="5" s="1"/>
  <c r="E557" i="5" s="1"/>
  <c r="E558" i="5" s="1"/>
  <c r="E559" i="5" s="1"/>
  <c r="E560" i="5" s="1"/>
  <c r="E561" i="5" s="1"/>
  <c r="E562" i="5" s="1"/>
  <c r="E563" i="5" s="1"/>
  <c r="E564" i="5" s="1"/>
  <c r="E565" i="5" s="1"/>
  <c r="E566" i="5" s="1"/>
  <c r="E567" i="5" s="1"/>
  <c r="E568" i="5" s="1"/>
  <c r="E569" i="5" s="1"/>
  <c r="E570" i="5" s="1"/>
  <c r="E571" i="5" s="1"/>
  <c r="E572" i="5" s="1"/>
  <c r="E573" i="5" s="1"/>
  <c r="E574" i="5" s="1"/>
  <c r="E575" i="5" s="1"/>
  <c r="E576" i="5" s="1"/>
  <c r="E577" i="5" s="1"/>
  <c r="E578" i="5" s="1"/>
  <c r="E579" i="5" s="1"/>
  <c r="E580" i="5" s="1"/>
  <c r="E581" i="5" s="1"/>
  <c r="E582" i="5" s="1"/>
  <c r="E583" i="5" s="1"/>
  <c r="E584" i="5" s="1"/>
  <c r="E585" i="5" s="1"/>
  <c r="E586" i="5" s="1"/>
  <c r="E587" i="5" s="1"/>
  <c r="E588" i="5" s="1"/>
  <c r="E589" i="5" s="1"/>
  <c r="E590" i="5" s="1"/>
  <c r="E591" i="5" s="1"/>
  <c r="E592" i="5" s="1"/>
  <c r="E593" i="5" s="1"/>
  <c r="E594" i="5" s="1"/>
  <c r="E595" i="5" s="1"/>
  <c r="E596" i="5" s="1"/>
  <c r="E597" i="5" s="1"/>
  <c r="E598" i="5" s="1"/>
  <c r="E599" i="5" s="1"/>
  <c r="E600" i="5" s="1"/>
  <c r="E601" i="5" s="1"/>
  <c r="E602" i="5" s="1"/>
  <c r="E603" i="5" s="1"/>
  <c r="E604" i="5" s="1"/>
  <c r="E605" i="5" s="1"/>
  <c r="E606" i="5" s="1"/>
  <c r="E607" i="5" s="1"/>
  <c r="E608" i="5" s="1"/>
  <c r="E609" i="5" s="1"/>
  <c r="E610" i="5" s="1"/>
  <c r="E611" i="5" s="1"/>
  <c r="E612" i="5" s="1"/>
  <c r="E613" i="5" s="1"/>
  <c r="E614" i="5" s="1"/>
  <c r="E615" i="5" s="1"/>
  <c r="E616" i="5" s="1"/>
  <c r="E617" i="5" s="1"/>
  <c r="E618" i="5" s="1"/>
  <c r="E619" i="5" s="1"/>
  <c r="E620" i="5" s="1"/>
  <c r="E621" i="5" s="1"/>
  <c r="E622" i="5" s="1"/>
  <c r="E623" i="5" s="1"/>
  <c r="E624" i="5" s="1"/>
  <c r="E625" i="5" s="1"/>
  <c r="E626" i="5" s="1"/>
  <c r="E627" i="5" s="1"/>
  <c r="E628" i="5" s="1"/>
  <c r="E629" i="5" s="1"/>
  <c r="E630" i="5" s="1"/>
  <c r="E631" i="5" s="1"/>
  <c r="E632" i="5" s="1"/>
  <c r="E633" i="5" s="1"/>
  <c r="E634" i="5" s="1"/>
  <c r="E635" i="5" s="1"/>
  <c r="E636" i="5" s="1"/>
  <c r="E637" i="5" s="1"/>
  <c r="E638" i="5" s="1"/>
  <c r="E639" i="5" s="1"/>
  <c r="E640" i="5" s="1"/>
  <c r="E641" i="5" s="1"/>
  <c r="E642" i="5" s="1"/>
  <c r="E643" i="5" s="1"/>
  <c r="E644" i="5" s="1"/>
  <c r="E645" i="5" s="1"/>
  <c r="E646" i="5" s="1"/>
  <c r="E647" i="5" s="1"/>
  <c r="E648" i="5" s="1"/>
  <c r="E649" i="5" s="1"/>
  <c r="E650" i="5" s="1"/>
  <c r="E651" i="5" s="1"/>
  <c r="E652" i="5" s="1"/>
  <c r="E653" i="5" s="1"/>
  <c r="E654" i="5" s="1"/>
  <c r="E655" i="5" s="1"/>
  <c r="E656" i="5" s="1"/>
  <c r="E657" i="5" s="1"/>
  <c r="E658" i="5" s="1"/>
  <c r="E659" i="5" s="1"/>
  <c r="E660" i="5" s="1"/>
  <c r="E661" i="5" s="1"/>
  <c r="E662" i="5" s="1"/>
  <c r="E663" i="5" s="1"/>
  <c r="E664" i="5" s="1"/>
  <c r="E665" i="5" s="1"/>
  <c r="E666" i="5" s="1"/>
  <c r="E667" i="5" s="1"/>
  <c r="E668" i="5" s="1"/>
  <c r="E669" i="5" s="1"/>
  <c r="E670" i="5" s="1"/>
  <c r="E671" i="5" s="1"/>
  <c r="E672" i="5" s="1"/>
  <c r="E673" i="5" s="1"/>
  <c r="E674" i="5" s="1"/>
  <c r="E675" i="5" s="1"/>
  <c r="E676" i="5" s="1"/>
  <c r="E677" i="5" s="1"/>
  <c r="E678" i="5" s="1"/>
  <c r="E679" i="5" s="1"/>
  <c r="E680" i="5" s="1"/>
  <c r="E681" i="5" s="1"/>
  <c r="E682" i="5" s="1"/>
  <c r="E683" i="5" s="1"/>
  <c r="E684" i="5" s="1"/>
  <c r="E685" i="5" s="1"/>
  <c r="E686" i="5" s="1"/>
  <c r="E687" i="5" s="1"/>
  <c r="E688" i="5" s="1"/>
  <c r="E689" i="5" s="1"/>
  <c r="E690" i="5" s="1"/>
  <c r="E691" i="5" s="1"/>
  <c r="E692" i="5" s="1"/>
  <c r="E693" i="5" s="1"/>
  <c r="E694" i="5" s="1"/>
  <c r="E695" i="5" s="1"/>
  <c r="E696" i="5" s="1"/>
  <c r="E697" i="5" s="1"/>
  <c r="E698" i="5" s="1"/>
  <c r="E699" i="5" s="1"/>
  <c r="E700" i="5" s="1"/>
  <c r="E701" i="5" s="1"/>
  <c r="E702" i="5" s="1"/>
  <c r="E703" i="5" s="1"/>
  <c r="E704" i="5" s="1"/>
  <c r="E705" i="5" s="1"/>
  <c r="E706" i="5" s="1"/>
  <c r="E707" i="5" s="1"/>
  <c r="E708" i="5" s="1"/>
  <c r="E709" i="5" s="1"/>
  <c r="E710" i="5" s="1"/>
  <c r="E711" i="5" s="1"/>
  <c r="E712" i="5" s="1"/>
  <c r="E713" i="5" s="1"/>
  <c r="E714" i="5" s="1"/>
  <c r="E715" i="5" s="1"/>
  <c r="E716" i="5" s="1"/>
  <c r="E717" i="5" s="1"/>
  <c r="E718" i="5" s="1"/>
  <c r="E719" i="5" s="1"/>
  <c r="E720" i="5" s="1"/>
  <c r="E721" i="5" s="1"/>
  <c r="E722" i="5" s="1"/>
  <c r="E723" i="5" s="1"/>
  <c r="E724" i="5" s="1"/>
  <c r="E725" i="5" s="1"/>
  <c r="E726" i="5" s="1"/>
  <c r="E727" i="5" s="1"/>
  <c r="E728" i="5" s="1"/>
  <c r="E729" i="5" s="1"/>
  <c r="E730" i="5" s="1"/>
  <c r="E731" i="5" s="1"/>
  <c r="E732" i="5" s="1"/>
  <c r="E733" i="5" s="1"/>
  <c r="E734" i="5" s="1"/>
  <c r="E735" i="5" s="1"/>
  <c r="E736" i="5" s="1"/>
  <c r="E737" i="5" s="1"/>
  <c r="E738" i="5" s="1"/>
  <c r="E739" i="5" s="1"/>
  <c r="E740" i="5" s="1"/>
  <c r="E741" i="5" s="1"/>
  <c r="E742" i="5" s="1"/>
  <c r="E743" i="5" s="1"/>
  <c r="E744" i="5" s="1"/>
  <c r="E745" i="5" s="1"/>
  <c r="E746" i="5" s="1"/>
  <c r="E747" i="5" s="1"/>
  <c r="E748" i="5" s="1"/>
  <c r="E749" i="5" s="1"/>
  <c r="E750" i="5" s="1"/>
  <c r="E751" i="5" s="1"/>
  <c r="E752" i="5" s="1"/>
  <c r="E753" i="5" s="1"/>
  <c r="E754" i="5" s="1"/>
  <c r="E755" i="5" s="1"/>
  <c r="E756" i="5" s="1"/>
  <c r="E757" i="5" s="1"/>
  <c r="E758" i="5" s="1"/>
  <c r="E759" i="5" s="1"/>
  <c r="E760" i="5" s="1"/>
  <c r="E761" i="5" s="1"/>
  <c r="E762" i="5" s="1"/>
  <c r="E763" i="5" s="1"/>
  <c r="E764" i="5" s="1"/>
  <c r="E765" i="5" s="1"/>
  <c r="E766" i="5" s="1"/>
  <c r="E767" i="5" s="1"/>
  <c r="E768" i="5" s="1"/>
  <c r="E769" i="5" s="1"/>
  <c r="E770" i="5" s="1"/>
  <c r="E771" i="5" s="1"/>
  <c r="E772" i="5" s="1"/>
  <c r="E773" i="5" s="1"/>
  <c r="E774" i="5" s="1"/>
  <c r="E775" i="5" s="1"/>
  <c r="E776" i="5" s="1"/>
  <c r="E777" i="5" s="1"/>
  <c r="E778" i="5" s="1"/>
  <c r="E779" i="5" s="1"/>
  <c r="E780" i="5" s="1"/>
  <c r="E781" i="5" s="1"/>
  <c r="E782" i="5" s="1"/>
  <c r="E783" i="5" s="1"/>
  <c r="E784" i="5" s="1"/>
  <c r="E785" i="5" s="1"/>
  <c r="E786" i="5" s="1"/>
  <c r="E787" i="5" s="1"/>
  <c r="E788" i="5" s="1"/>
  <c r="E789" i="5" s="1"/>
  <c r="E790" i="5" s="1"/>
  <c r="E791" i="5" s="1"/>
  <c r="E792" i="5" s="1"/>
  <c r="E793" i="5" s="1"/>
  <c r="E794" i="5" s="1"/>
  <c r="E795" i="5" s="1"/>
  <c r="E796" i="5" s="1"/>
  <c r="E797" i="5" s="1"/>
  <c r="E798" i="5" s="1"/>
  <c r="E799" i="5" s="1"/>
  <c r="E800" i="5" s="1"/>
  <c r="E801" i="5" s="1"/>
  <c r="E802" i="5" s="1"/>
  <c r="E803" i="5" s="1"/>
  <c r="E804" i="5" s="1"/>
  <c r="E805" i="5" s="1"/>
  <c r="E806" i="5" s="1"/>
  <c r="E807" i="5" s="1"/>
  <c r="E808" i="5" s="1"/>
  <c r="E809" i="5" s="1"/>
  <c r="E810" i="5" s="1"/>
  <c r="E811" i="5" s="1"/>
  <c r="E812" i="5" s="1"/>
  <c r="E813" i="5" s="1"/>
  <c r="E814" i="5" s="1"/>
  <c r="E815" i="5" s="1"/>
  <c r="E816" i="5" s="1"/>
  <c r="E817" i="5" s="1"/>
  <c r="E818" i="5" s="1"/>
  <c r="E819" i="5" s="1"/>
  <c r="E820" i="5" s="1"/>
  <c r="E821" i="5" s="1"/>
  <c r="E822" i="5" s="1"/>
  <c r="E823" i="5" s="1"/>
  <c r="E824" i="5" s="1"/>
  <c r="E825" i="5" s="1"/>
  <c r="E826" i="5" s="1"/>
  <c r="E827" i="5" s="1"/>
  <c r="E828" i="5" s="1"/>
  <c r="E829" i="5" s="1"/>
  <c r="E830" i="5" s="1"/>
  <c r="E831" i="5" s="1"/>
  <c r="E832" i="5" s="1"/>
  <c r="E833" i="5" s="1"/>
  <c r="E834" i="5" s="1"/>
  <c r="E835" i="5" s="1"/>
  <c r="E836" i="5" s="1"/>
  <c r="E837" i="5" s="1"/>
  <c r="E838" i="5" s="1"/>
  <c r="E839" i="5" s="1"/>
  <c r="E840" i="5" s="1"/>
  <c r="E841" i="5" s="1"/>
  <c r="E842" i="5" s="1"/>
  <c r="E843" i="5" s="1"/>
  <c r="E844" i="5" s="1"/>
  <c r="E845" i="5" s="1"/>
  <c r="E846" i="5" s="1"/>
  <c r="E847" i="5" s="1"/>
  <c r="E848" i="5" s="1"/>
  <c r="E849" i="5" s="1"/>
  <c r="E850" i="5" s="1"/>
  <c r="E851" i="5" s="1"/>
  <c r="E852" i="5" s="1"/>
  <c r="E853" i="5" s="1"/>
  <c r="E854" i="5" s="1"/>
  <c r="E855" i="5" s="1"/>
  <c r="E856" i="5" s="1"/>
  <c r="E857" i="5" s="1"/>
  <c r="E858" i="5" s="1"/>
  <c r="E859" i="5" s="1"/>
  <c r="E860" i="5" s="1"/>
  <c r="E861" i="5" s="1"/>
  <c r="E862" i="5" s="1"/>
  <c r="E863" i="5" s="1"/>
  <c r="E864" i="5" s="1"/>
  <c r="E865" i="5" s="1"/>
  <c r="E866" i="5" s="1"/>
  <c r="E867" i="5" s="1"/>
  <c r="E868" i="5" s="1"/>
  <c r="E869" i="5" s="1"/>
  <c r="E870" i="5" s="1"/>
  <c r="E871" i="5" s="1"/>
  <c r="E872" i="5" s="1"/>
  <c r="E873" i="5" s="1"/>
  <c r="E874" i="5" s="1"/>
  <c r="E875" i="5" s="1"/>
  <c r="E876" i="5" s="1"/>
  <c r="E877" i="5" s="1"/>
  <c r="E878" i="5" s="1"/>
  <c r="E879" i="5" s="1"/>
  <c r="E880" i="5" s="1"/>
  <c r="E881" i="5" s="1"/>
  <c r="E882" i="5" s="1"/>
  <c r="E883" i="5" s="1"/>
  <c r="E884" i="5" s="1"/>
  <c r="E885" i="5" s="1"/>
  <c r="E886" i="5" s="1"/>
  <c r="E887" i="5" s="1"/>
  <c r="E888" i="5" s="1"/>
  <c r="E889" i="5" s="1"/>
  <c r="E890" i="5" s="1"/>
  <c r="E891" i="5" s="1"/>
  <c r="E892" i="5" s="1"/>
  <c r="E893" i="5" s="1"/>
  <c r="E894" i="5" s="1"/>
  <c r="E895" i="5" s="1"/>
  <c r="E896" i="5" s="1"/>
  <c r="E897" i="5" s="1"/>
  <c r="E898" i="5" s="1"/>
  <c r="E899" i="5" s="1"/>
  <c r="E900" i="5" s="1"/>
  <c r="E901" i="5" s="1"/>
  <c r="E902" i="5" s="1"/>
  <c r="E903" i="5" s="1"/>
  <c r="E904" i="5" s="1"/>
  <c r="E905" i="5" s="1"/>
  <c r="E906" i="5" s="1"/>
  <c r="E907" i="5" s="1"/>
  <c r="E908" i="5" s="1"/>
  <c r="E909" i="5" s="1"/>
  <c r="E910" i="5" s="1"/>
  <c r="E911" i="5" s="1"/>
  <c r="E912" i="5" s="1"/>
  <c r="E913" i="5" s="1"/>
  <c r="E914" i="5" s="1"/>
  <c r="E915" i="5" s="1"/>
  <c r="E916" i="5" s="1"/>
  <c r="E917" i="5" s="1"/>
  <c r="E918" i="5" s="1"/>
  <c r="E919" i="5" s="1"/>
  <c r="E920" i="5" s="1"/>
  <c r="E921" i="5" s="1"/>
  <c r="E922" i="5" s="1"/>
  <c r="E923" i="5" s="1"/>
  <c r="E924" i="5" s="1"/>
  <c r="E925" i="5" s="1"/>
  <c r="E926" i="5" s="1"/>
  <c r="E927" i="5" s="1"/>
  <c r="E928" i="5" s="1"/>
  <c r="E929" i="5" s="1"/>
  <c r="E930" i="5" s="1"/>
  <c r="E931" i="5" s="1"/>
  <c r="E932" i="5" s="1"/>
  <c r="E933" i="5" s="1"/>
  <c r="E934" i="5" s="1"/>
  <c r="E935" i="5" s="1"/>
  <c r="E936" i="5" s="1"/>
  <c r="E937" i="5" s="1"/>
  <c r="E938" i="5" s="1"/>
  <c r="E939" i="5" s="1"/>
  <c r="E940" i="5" s="1"/>
  <c r="E941" i="5" s="1"/>
  <c r="E942" i="5" s="1"/>
  <c r="E943" i="5" s="1"/>
  <c r="E944" i="5" s="1"/>
  <c r="E945" i="5" s="1"/>
  <c r="E946" i="5" s="1"/>
  <c r="E947" i="5" s="1"/>
  <c r="E948" i="5" s="1"/>
  <c r="E949" i="5" s="1"/>
  <c r="E950" i="5" s="1"/>
  <c r="E951" i="5" s="1"/>
  <c r="E952" i="5" s="1"/>
  <c r="E953" i="5" s="1"/>
  <c r="E954" i="5" s="1"/>
  <c r="E955" i="5" s="1"/>
  <c r="E956" i="5" s="1"/>
  <c r="E957" i="5" s="1"/>
  <c r="E958" i="5" s="1"/>
  <c r="E959" i="5" s="1"/>
  <c r="E960" i="5" s="1"/>
  <c r="E961" i="5" s="1"/>
  <c r="E962" i="5" s="1"/>
  <c r="E963" i="5" s="1"/>
  <c r="E964" i="5" s="1"/>
  <c r="E965" i="5" s="1"/>
  <c r="E966" i="5" s="1"/>
  <c r="E967" i="5" s="1"/>
  <c r="E968" i="5" s="1"/>
  <c r="E969" i="5" s="1"/>
  <c r="E970" i="5" s="1"/>
  <c r="E971" i="5" s="1"/>
  <c r="E972" i="5" s="1"/>
  <c r="E973" i="5" s="1"/>
  <c r="E974" i="5" s="1"/>
  <c r="E975" i="5" s="1"/>
  <c r="E976" i="5" s="1"/>
  <c r="E977" i="5" s="1"/>
  <c r="E978" i="5" s="1"/>
  <c r="E979" i="5" s="1"/>
  <c r="E980" i="5" s="1"/>
  <c r="E981" i="5" s="1"/>
  <c r="E982" i="5" s="1"/>
  <c r="E983" i="5" s="1"/>
  <c r="E984" i="5" s="1"/>
  <c r="E985" i="5" s="1"/>
  <c r="E986" i="5" s="1"/>
  <c r="E987" i="5" s="1"/>
  <c r="E988" i="5" s="1"/>
  <c r="E989" i="5" s="1"/>
  <c r="E990" i="5" s="1"/>
  <c r="E991" i="5" s="1"/>
  <c r="E992" i="5" s="1"/>
  <c r="E993" i="5" s="1"/>
  <c r="E994" i="5" s="1"/>
  <c r="E995" i="5" s="1"/>
  <c r="E996" i="5" s="1"/>
  <c r="E997" i="5" s="1"/>
  <c r="E998" i="5" s="1"/>
  <c r="E999" i="5" s="1"/>
  <c r="E1000" i="5" s="1"/>
  <c r="E1001" i="5" s="1"/>
  <c r="C32" i="5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C403" i="5" s="1"/>
  <c r="C404" i="5" s="1"/>
  <c r="C405" i="5" s="1"/>
  <c r="C406" i="5" s="1"/>
  <c r="C407" i="5" s="1"/>
  <c r="C408" i="5" s="1"/>
  <c r="C409" i="5" s="1"/>
  <c r="C410" i="5" s="1"/>
  <c r="C411" i="5" s="1"/>
  <c r="C412" i="5" s="1"/>
  <c r="C413" i="5" s="1"/>
  <c r="C414" i="5" s="1"/>
  <c r="C415" i="5" s="1"/>
  <c r="C416" i="5" s="1"/>
  <c r="C417" i="5" s="1"/>
  <c r="C418" i="5" s="1"/>
  <c r="C419" i="5" s="1"/>
  <c r="C420" i="5" s="1"/>
  <c r="C421" i="5" s="1"/>
  <c r="C422" i="5" s="1"/>
  <c r="C423" i="5" s="1"/>
  <c r="C424" i="5" s="1"/>
  <c r="C425" i="5" s="1"/>
  <c r="C426" i="5" s="1"/>
  <c r="C427" i="5" s="1"/>
  <c r="C428" i="5" s="1"/>
  <c r="C429" i="5" s="1"/>
  <c r="C430" i="5" s="1"/>
  <c r="C431" i="5" s="1"/>
  <c r="C432" i="5" s="1"/>
  <c r="C433" i="5" s="1"/>
  <c r="C434" i="5" s="1"/>
  <c r="C435" i="5" s="1"/>
  <c r="C436" i="5" s="1"/>
  <c r="C437" i="5" s="1"/>
  <c r="C438" i="5" s="1"/>
  <c r="C439" i="5" s="1"/>
  <c r="C440" i="5" s="1"/>
  <c r="C441" i="5" s="1"/>
  <c r="C442" i="5" s="1"/>
  <c r="C443" i="5" s="1"/>
  <c r="C444" i="5" s="1"/>
  <c r="C445" i="5" s="1"/>
  <c r="C446" i="5" s="1"/>
  <c r="C447" i="5" s="1"/>
  <c r="C448" i="5" s="1"/>
  <c r="C449" i="5" s="1"/>
  <c r="C450" i="5" s="1"/>
  <c r="C451" i="5" s="1"/>
  <c r="C452" i="5" s="1"/>
  <c r="C453" i="5" s="1"/>
  <c r="C454" i="5" s="1"/>
  <c r="C455" i="5" s="1"/>
  <c r="C456" i="5" s="1"/>
  <c r="C457" i="5" s="1"/>
  <c r="C458" i="5" s="1"/>
  <c r="C459" i="5" s="1"/>
  <c r="C460" i="5" s="1"/>
  <c r="C461" i="5" s="1"/>
  <c r="C462" i="5" s="1"/>
  <c r="C463" i="5" s="1"/>
  <c r="C464" i="5" s="1"/>
  <c r="C465" i="5" s="1"/>
  <c r="C466" i="5" s="1"/>
  <c r="C467" i="5" s="1"/>
  <c r="C468" i="5" s="1"/>
  <c r="C469" i="5" s="1"/>
  <c r="C470" i="5" s="1"/>
  <c r="C471" i="5" s="1"/>
  <c r="C472" i="5" s="1"/>
  <c r="C473" i="5" s="1"/>
  <c r="C474" i="5" s="1"/>
  <c r="C475" i="5" s="1"/>
  <c r="C476" i="5" s="1"/>
  <c r="C477" i="5" s="1"/>
  <c r="C478" i="5" s="1"/>
  <c r="C479" i="5" s="1"/>
  <c r="C480" i="5" s="1"/>
  <c r="C481" i="5" s="1"/>
  <c r="C482" i="5" s="1"/>
  <c r="C483" i="5" s="1"/>
  <c r="C484" i="5" s="1"/>
  <c r="C485" i="5" s="1"/>
  <c r="C486" i="5" s="1"/>
  <c r="C487" i="5" s="1"/>
  <c r="C488" i="5" s="1"/>
  <c r="C489" i="5" s="1"/>
  <c r="C490" i="5" s="1"/>
  <c r="C491" i="5" s="1"/>
  <c r="C492" i="5" s="1"/>
  <c r="C493" i="5" s="1"/>
  <c r="C494" i="5" s="1"/>
  <c r="C495" i="5" s="1"/>
  <c r="C496" i="5" s="1"/>
  <c r="C497" i="5" s="1"/>
  <c r="C498" i="5" s="1"/>
  <c r="C499" i="5" s="1"/>
  <c r="C500" i="5" s="1"/>
  <c r="C501" i="5" s="1"/>
  <c r="C502" i="5" s="1"/>
  <c r="C503" i="5" s="1"/>
  <c r="C504" i="5" s="1"/>
  <c r="C505" i="5" s="1"/>
  <c r="C506" i="5" s="1"/>
  <c r="C507" i="5" s="1"/>
  <c r="C508" i="5" s="1"/>
  <c r="C509" i="5" s="1"/>
  <c r="C510" i="5" s="1"/>
  <c r="C511" i="5" s="1"/>
  <c r="C512" i="5" s="1"/>
  <c r="C513" i="5" s="1"/>
  <c r="C514" i="5" s="1"/>
  <c r="C515" i="5" s="1"/>
  <c r="C516" i="5" s="1"/>
  <c r="C517" i="5" s="1"/>
  <c r="C518" i="5" s="1"/>
  <c r="C519" i="5" s="1"/>
  <c r="C520" i="5" s="1"/>
  <c r="C521" i="5" s="1"/>
  <c r="C522" i="5" s="1"/>
  <c r="C523" i="5" s="1"/>
  <c r="C524" i="5" s="1"/>
  <c r="C525" i="5" s="1"/>
  <c r="C526" i="5" s="1"/>
  <c r="C527" i="5" s="1"/>
  <c r="C528" i="5" s="1"/>
  <c r="C529" i="5" s="1"/>
  <c r="C530" i="5" s="1"/>
  <c r="C531" i="5" s="1"/>
  <c r="C532" i="5" s="1"/>
  <c r="C533" i="5" s="1"/>
  <c r="C534" i="5" s="1"/>
  <c r="C535" i="5" s="1"/>
  <c r="C536" i="5" s="1"/>
  <c r="C537" i="5" s="1"/>
  <c r="C538" i="5" s="1"/>
  <c r="C539" i="5" s="1"/>
  <c r="C540" i="5" s="1"/>
  <c r="C541" i="5" s="1"/>
  <c r="C542" i="5" s="1"/>
  <c r="C543" i="5" s="1"/>
  <c r="C544" i="5" s="1"/>
  <c r="C545" i="5" s="1"/>
  <c r="C546" i="5" s="1"/>
  <c r="C547" i="5" s="1"/>
  <c r="C548" i="5" s="1"/>
  <c r="C549" i="5" s="1"/>
  <c r="C550" i="5" s="1"/>
  <c r="C551" i="5" s="1"/>
  <c r="C552" i="5" s="1"/>
  <c r="C553" i="5" s="1"/>
  <c r="C554" i="5" s="1"/>
  <c r="C555" i="5" s="1"/>
  <c r="C556" i="5" s="1"/>
  <c r="C557" i="5" s="1"/>
  <c r="C558" i="5" s="1"/>
  <c r="C559" i="5" s="1"/>
  <c r="C560" i="5" s="1"/>
  <c r="C561" i="5" s="1"/>
  <c r="C562" i="5" s="1"/>
  <c r="C563" i="5" s="1"/>
  <c r="C564" i="5" s="1"/>
  <c r="C565" i="5" s="1"/>
  <c r="C566" i="5" s="1"/>
  <c r="C567" i="5" s="1"/>
  <c r="C568" i="5" s="1"/>
  <c r="C569" i="5" s="1"/>
  <c r="C570" i="5" s="1"/>
  <c r="C571" i="5" s="1"/>
  <c r="C572" i="5" s="1"/>
  <c r="C573" i="5" s="1"/>
  <c r="C574" i="5" s="1"/>
  <c r="C575" i="5" s="1"/>
  <c r="C576" i="5" s="1"/>
  <c r="C577" i="5" s="1"/>
  <c r="C578" i="5" s="1"/>
  <c r="C579" i="5" s="1"/>
  <c r="C580" i="5" s="1"/>
  <c r="C581" i="5" s="1"/>
  <c r="C582" i="5" s="1"/>
  <c r="C583" i="5" s="1"/>
  <c r="C584" i="5" s="1"/>
  <c r="C585" i="5" s="1"/>
  <c r="C586" i="5" s="1"/>
  <c r="C587" i="5" s="1"/>
  <c r="C588" i="5" s="1"/>
  <c r="C589" i="5" s="1"/>
  <c r="C590" i="5" s="1"/>
  <c r="C591" i="5" s="1"/>
  <c r="C592" i="5" s="1"/>
  <c r="C593" i="5" s="1"/>
  <c r="C594" i="5" s="1"/>
  <c r="C595" i="5" s="1"/>
  <c r="C596" i="5" s="1"/>
  <c r="C597" i="5" s="1"/>
  <c r="C598" i="5" s="1"/>
  <c r="C599" i="5" s="1"/>
  <c r="C600" i="5" s="1"/>
  <c r="C601" i="5" s="1"/>
  <c r="C602" i="5" s="1"/>
  <c r="C603" i="5" s="1"/>
  <c r="C604" i="5" s="1"/>
  <c r="C605" i="5" s="1"/>
  <c r="C606" i="5" s="1"/>
  <c r="C607" i="5" s="1"/>
  <c r="C608" i="5" s="1"/>
  <c r="C609" i="5" s="1"/>
  <c r="C610" i="5" s="1"/>
  <c r="C611" i="5" s="1"/>
  <c r="C612" i="5" s="1"/>
  <c r="C613" i="5" s="1"/>
  <c r="C614" i="5" s="1"/>
  <c r="C615" i="5" s="1"/>
  <c r="C616" i="5" s="1"/>
  <c r="C617" i="5" s="1"/>
  <c r="C618" i="5" s="1"/>
  <c r="C619" i="5" s="1"/>
  <c r="C620" i="5" s="1"/>
  <c r="C621" i="5" s="1"/>
  <c r="C622" i="5" s="1"/>
  <c r="C623" i="5" s="1"/>
  <c r="C624" i="5" s="1"/>
  <c r="C625" i="5" s="1"/>
  <c r="C626" i="5" s="1"/>
  <c r="C627" i="5" s="1"/>
  <c r="C628" i="5" s="1"/>
  <c r="C629" i="5" s="1"/>
  <c r="C630" i="5" s="1"/>
  <c r="C631" i="5" s="1"/>
  <c r="C632" i="5" s="1"/>
  <c r="C633" i="5" s="1"/>
  <c r="C634" i="5" s="1"/>
  <c r="C635" i="5" s="1"/>
  <c r="C636" i="5" s="1"/>
  <c r="C637" i="5" s="1"/>
  <c r="C638" i="5" s="1"/>
  <c r="C639" i="5" s="1"/>
  <c r="C640" i="5" s="1"/>
  <c r="C641" i="5" s="1"/>
  <c r="C642" i="5" s="1"/>
  <c r="C643" i="5" s="1"/>
  <c r="C644" i="5" s="1"/>
  <c r="C645" i="5" s="1"/>
  <c r="C646" i="5" s="1"/>
  <c r="C647" i="5" s="1"/>
  <c r="C648" i="5" s="1"/>
  <c r="C649" i="5" s="1"/>
  <c r="C650" i="5" s="1"/>
  <c r="C651" i="5" s="1"/>
  <c r="C652" i="5" s="1"/>
  <c r="C653" i="5" s="1"/>
  <c r="C654" i="5" s="1"/>
  <c r="C655" i="5" s="1"/>
  <c r="C656" i="5" s="1"/>
  <c r="C657" i="5" s="1"/>
  <c r="C658" i="5" s="1"/>
  <c r="C659" i="5" s="1"/>
  <c r="C660" i="5" s="1"/>
  <c r="C661" i="5" s="1"/>
  <c r="C662" i="5" s="1"/>
  <c r="C663" i="5" s="1"/>
  <c r="C664" i="5" s="1"/>
  <c r="C665" i="5" s="1"/>
  <c r="C666" i="5" s="1"/>
  <c r="C667" i="5" s="1"/>
  <c r="C668" i="5" s="1"/>
  <c r="C669" i="5" s="1"/>
  <c r="C670" i="5" s="1"/>
  <c r="C671" i="5" s="1"/>
  <c r="C672" i="5" s="1"/>
  <c r="C673" i="5" s="1"/>
  <c r="C674" i="5" s="1"/>
  <c r="C675" i="5" s="1"/>
  <c r="C676" i="5" s="1"/>
  <c r="C677" i="5" s="1"/>
  <c r="C678" i="5" s="1"/>
  <c r="C679" i="5" s="1"/>
  <c r="C680" i="5" s="1"/>
  <c r="C681" i="5" s="1"/>
  <c r="C682" i="5" s="1"/>
  <c r="C683" i="5" s="1"/>
  <c r="C684" i="5" s="1"/>
  <c r="C685" i="5" s="1"/>
  <c r="C686" i="5" s="1"/>
  <c r="C687" i="5" s="1"/>
  <c r="C688" i="5" s="1"/>
  <c r="C689" i="5" s="1"/>
  <c r="C690" i="5" s="1"/>
  <c r="C691" i="5" s="1"/>
  <c r="C692" i="5" s="1"/>
  <c r="C693" i="5" s="1"/>
  <c r="C694" i="5" s="1"/>
  <c r="C695" i="5" s="1"/>
  <c r="C696" i="5" s="1"/>
  <c r="C697" i="5" s="1"/>
  <c r="C698" i="5" s="1"/>
  <c r="C699" i="5" s="1"/>
  <c r="C700" i="5" s="1"/>
  <c r="C701" i="5" s="1"/>
  <c r="C702" i="5" s="1"/>
  <c r="C703" i="5" s="1"/>
  <c r="C704" i="5" s="1"/>
  <c r="C705" i="5" s="1"/>
  <c r="C706" i="5" s="1"/>
  <c r="C707" i="5" s="1"/>
  <c r="C708" i="5" s="1"/>
  <c r="C709" i="5" s="1"/>
  <c r="C710" i="5" s="1"/>
  <c r="C711" i="5" s="1"/>
  <c r="C712" i="5" s="1"/>
  <c r="C713" i="5" s="1"/>
  <c r="C714" i="5" s="1"/>
  <c r="C715" i="5" s="1"/>
  <c r="C716" i="5" s="1"/>
  <c r="C717" i="5" s="1"/>
  <c r="C718" i="5" s="1"/>
  <c r="C719" i="5" s="1"/>
  <c r="C720" i="5" s="1"/>
  <c r="C721" i="5" s="1"/>
  <c r="C722" i="5" s="1"/>
  <c r="C723" i="5" s="1"/>
  <c r="C724" i="5" s="1"/>
  <c r="C725" i="5" s="1"/>
  <c r="C726" i="5" s="1"/>
  <c r="C727" i="5" s="1"/>
  <c r="C728" i="5" s="1"/>
  <c r="C729" i="5" s="1"/>
  <c r="C730" i="5" s="1"/>
  <c r="C731" i="5" s="1"/>
  <c r="C732" i="5" s="1"/>
  <c r="C733" i="5" s="1"/>
  <c r="C734" i="5" s="1"/>
  <c r="C735" i="5" s="1"/>
  <c r="C736" i="5" s="1"/>
  <c r="C737" i="5" s="1"/>
  <c r="C738" i="5" s="1"/>
  <c r="C739" i="5" s="1"/>
  <c r="C740" i="5" s="1"/>
  <c r="C741" i="5" s="1"/>
  <c r="C742" i="5" s="1"/>
  <c r="C743" i="5" s="1"/>
  <c r="C744" i="5" s="1"/>
  <c r="C745" i="5" s="1"/>
  <c r="C746" i="5" s="1"/>
  <c r="C747" i="5" s="1"/>
  <c r="C748" i="5" s="1"/>
  <c r="C749" i="5" s="1"/>
  <c r="C750" i="5" s="1"/>
  <c r="C751" i="5" s="1"/>
  <c r="C752" i="5" s="1"/>
  <c r="C753" i="5" s="1"/>
  <c r="C754" i="5" s="1"/>
  <c r="C755" i="5" s="1"/>
  <c r="C756" i="5" s="1"/>
  <c r="C757" i="5" s="1"/>
  <c r="C758" i="5" s="1"/>
  <c r="C759" i="5" s="1"/>
  <c r="C760" i="5" s="1"/>
  <c r="C761" i="5" s="1"/>
  <c r="C762" i="5" s="1"/>
  <c r="C763" i="5" s="1"/>
  <c r="C764" i="5" s="1"/>
  <c r="C765" i="5" s="1"/>
  <c r="C766" i="5" s="1"/>
  <c r="C767" i="5" s="1"/>
  <c r="C768" i="5" s="1"/>
  <c r="C769" i="5" s="1"/>
  <c r="C770" i="5" s="1"/>
  <c r="C771" i="5" s="1"/>
  <c r="C772" i="5" s="1"/>
  <c r="C773" i="5" s="1"/>
  <c r="C774" i="5" s="1"/>
  <c r="C775" i="5" s="1"/>
  <c r="C776" i="5" s="1"/>
  <c r="C777" i="5" s="1"/>
  <c r="C778" i="5" s="1"/>
  <c r="C779" i="5" s="1"/>
  <c r="C780" i="5" s="1"/>
  <c r="C781" i="5" s="1"/>
  <c r="C782" i="5" s="1"/>
  <c r="C783" i="5" s="1"/>
  <c r="C784" i="5" s="1"/>
  <c r="C785" i="5" s="1"/>
  <c r="C786" i="5" s="1"/>
  <c r="C787" i="5" s="1"/>
  <c r="C788" i="5" s="1"/>
  <c r="C789" i="5" s="1"/>
  <c r="C790" i="5" s="1"/>
  <c r="C791" i="5" s="1"/>
  <c r="C792" i="5" s="1"/>
  <c r="C793" i="5" s="1"/>
  <c r="C794" i="5" s="1"/>
  <c r="C795" i="5" s="1"/>
  <c r="C796" i="5" s="1"/>
  <c r="C797" i="5" s="1"/>
  <c r="C798" i="5" s="1"/>
  <c r="C799" i="5" s="1"/>
  <c r="C800" i="5" s="1"/>
  <c r="C801" i="5" s="1"/>
  <c r="C802" i="5" s="1"/>
  <c r="C803" i="5" s="1"/>
  <c r="C804" i="5" s="1"/>
  <c r="C805" i="5" s="1"/>
  <c r="C806" i="5" s="1"/>
  <c r="C807" i="5" s="1"/>
  <c r="C808" i="5" s="1"/>
  <c r="C809" i="5" s="1"/>
  <c r="C810" i="5" s="1"/>
  <c r="C811" i="5" s="1"/>
  <c r="C812" i="5" s="1"/>
  <c r="C813" i="5" s="1"/>
  <c r="C814" i="5" s="1"/>
  <c r="C815" i="5" s="1"/>
  <c r="C816" i="5" s="1"/>
  <c r="C817" i="5" s="1"/>
  <c r="C818" i="5" s="1"/>
  <c r="C819" i="5" s="1"/>
  <c r="C820" i="5" s="1"/>
  <c r="C821" i="5" s="1"/>
  <c r="C822" i="5" s="1"/>
  <c r="C823" i="5" s="1"/>
  <c r="C824" i="5" s="1"/>
  <c r="C825" i="5" s="1"/>
  <c r="C826" i="5" s="1"/>
  <c r="C827" i="5" s="1"/>
  <c r="C828" i="5" s="1"/>
  <c r="C829" i="5" s="1"/>
  <c r="C830" i="5" s="1"/>
  <c r="C831" i="5" s="1"/>
  <c r="C832" i="5" s="1"/>
  <c r="C833" i="5" s="1"/>
  <c r="C834" i="5" s="1"/>
  <c r="C835" i="5" s="1"/>
  <c r="C836" i="5" s="1"/>
  <c r="C837" i="5" s="1"/>
  <c r="C838" i="5" s="1"/>
  <c r="C839" i="5" s="1"/>
  <c r="C840" i="5" s="1"/>
  <c r="C841" i="5" s="1"/>
  <c r="C842" i="5" s="1"/>
  <c r="C843" i="5" s="1"/>
  <c r="C844" i="5" s="1"/>
  <c r="C845" i="5" s="1"/>
  <c r="C846" i="5" s="1"/>
  <c r="C847" i="5" s="1"/>
  <c r="C848" i="5" s="1"/>
  <c r="C849" i="5" s="1"/>
  <c r="C850" i="5" s="1"/>
  <c r="C851" i="5" s="1"/>
  <c r="C852" i="5" s="1"/>
  <c r="C853" i="5" s="1"/>
  <c r="C854" i="5" s="1"/>
  <c r="C855" i="5" s="1"/>
  <c r="C856" i="5" s="1"/>
  <c r="C857" i="5" s="1"/>
  <c r="C858" i="5" s="1"/>
  <c r="C859" i="5" s="1"/>
  <c r="C860" i="5" s="1"/>
  <c r="C861" i="5" s="1"/>
  <c r="C862" i="5" s="1"/>
  <c r="C863" i="5" s="1"/>
  <c r="C864" i="5" s="1"/>
  <c r="C865" i="5" s="1"/>
  <c r="C866" i="5" s="1"/>
  <c r="C867" i="5" s="1"/>
  <c r="C868" i="5" s="1"/>
  <c r="C869" i="5" s="1"/>
  <c r="C870" i="5" s="1"/>
  <c r="C871" i="5" s="1"/>
  <c r="C872" i="5" s="1"/>
  <c r="C873" i="5" s="1"/>
  <c r="C874" i="5" s="1"/>
  <c r="C875" i="5" s="1"/>
  <c r="C876" i="5" s="1"/>
  <c r="C877" i="5" s="1"/>
  <c r="C878" i="5" s="1"/>
  <c r="C879" i="5" s="1"/>
  <c r="C880" i="5" s="1"/>
  <c r="C881" i="5" s="1"/>
  <c r="C882" i="5" s="1"/>
  <c r="C883" i="5" s="1"/>
  <c r="C884" i="5" s="1"/>
  <c r="C885" i="5" s="1"/>
  <c r="C886" i="5" s="1"/>
  <c r="C887" i="5" s="1"/>
  <c r="C888" i="5" s="1"/>
  <c r="C889" i="5" s="1"/>
  <c r="C890" i="5" s="1"/>
  <c r="C891" i="5" s="1"/>
  <c r="C892" i="5" s="1"/>
  <c r="C893" i="5" s="1"/>
  <c r="C894" i="5" s="1"/>
  <c r="C895" i="5" s="1"/>
  <c r="C896" i="5" s="1"/>
  <c r="C897" i="5" s="1"/>
  <c r="C898" i="5" s="1"/>
  <c r="C899" i="5" s="1"/>
  <c r="C900" i="5" s="1"/>
  <c r="C901" i="5" s="1"/>
  <c r="C902" i="5" s="1"/>
  <c r="C903" i="5" s="1"/>
  <c r="C904" i="5" s="1"/>
  <c r="C905" i="5" s="1"/>
  <c r="C906" i="5" s="1"/>
  <c r="C907" i="5" s="1"/>
  <c r="C908" i="5" s="1"/>
  <c r="C909" i="5" s="1"/>
  <c r="C910" i="5" s="1"/>
  <c r="C911" i="5" s="1"/>
  <c r="C912" i="5" s="1"/>
  <c r="C913" i="5" s="1"/>
  <c r="C914" i="5" s="1"/>
  <c r="C915" i="5" s="1"/>
  <c r="C916" i="5" s="1"/>
  <c r="C917" i="5" s="1"/>
  <c r="C918" i="5" s="1"/>
  <c r="C919" i="5" s="1"/>
  <c r="C920" i="5" s="1"/>
  <c r="C921" i="5" s="1"/>
  <c r="C922" i="5" s="1"/>
  <c r="C923" i="5" s="1"/>
  <c r="C924" i="5" s="1"/>
  <c r="C925" i="5" s="1"/>
  <c r="C926" i="5" s="1"/>
  <c r="C927" i="5" s="1"/>
  <c r="C928" i="5" s="1"/>
  <c r="C929" i="5" s="1"/>
  <c r="C930" i="5" s="1"/>
  <c r="C931" i="5" s="1"/>
  <c r="C932" i="5" s="1"/>
  <c r="C933" i="5" s="1"/>
  <c r="C934" i="5" s="1"/>
  <c r="C935" i="5" s="1"/>
  <c r="C936" i="5" s="1"/>
  <c r="C937" i="5" s="1"/>
  <c r="C938" i="5" s="1"/>
  <c r="C939" i="5" s="1"/>
  <c r="C940" i="5" s="1"/>
  <c r="C941" i="5" s="1"/>
  <c r="C942" i="5" s="1"/>
  <c r="C943" i="5" s="1"/>
  <c r="C944" i="5" s="1"/>
  <c r="C945" i="5" s="1"/>
  <c r="C946" i="5" s="1"/>
  <c r="C947" i="5" s="1"/>
  <c r="C948" i="5" s="1"/>
  <c r="C949" i="5" s="1"/>
  <c r="C950" i="5" s="1"/>
  <c r="C951" i="5" s="1"/>
  <c r="C952" i="5" s="1"/>
  <c r="C953" i="5" s="1"/>
  <c r="C954" i="5" s="1"/>
  <c r="C955" i="5" s="1"/>
  <c r="C956" i="5" s="1"/>
  <c r="C957" i="5" s="1"/>
  <c r="C958" i="5" s="1"/>
  <c r="C959" i="5" s="1"/>
  <c r="C960" i="5" s="1"/>
  <c r="C961" i="5" s="1"/>
  <c r="C962" i="5" s="1"/>
  <c r="C963" i="5" s="1"/>
  <c r="C964" i="5" s="1"/>
  <c r="C965" i="5" s="1"/>
  <c r="C966" i="5" s="1"/>
  <c r="C967" i="5" s="1"/>
  <c r="C968" i="5" s="1"/>
  <c r="C969" i="5" s="1"/>
  <c r="C970" i="5" s="1"/>
  <c r="C971" i="5" s="1"/>
  <c r="C972" i="5" s="1"/>
  <c r="C973" i="5" s="1"/>
  <c r="C974" i="5" s="1"/>
  <c r="C975" i="5" s="1"/>
  <c r="C976" i="5" s="1"/>
  <c r="C977" i="5" s="1"/>
  <c r="C978" i="5" s="1"/>
  <c r="C979" i="5" s="1"/>
  <c r="C980" i="5" s="1"/>
  <c r="C981" i="5" s="1"/>
  <c r="C982" i="5" s="1"/>
  <c r="C983" i="5" s="1"/>
  <c r="C984" i="5" s="1"/>
  <c r="C985" i="5" s="1"/>
  <c r="C986" i="5" s="1"/>
  <c r="C987" i="5" s="1"/>
  <c r="C988" i="5" s="1"/>
  <c r="C989" i="5" s="1"/>
  <c r="C990" i="5" s="1"/>
  <c r="C991" i="5" s="1"/>
  <c r="C992" i="5" s="1"/>
  <c r="C993" i="5" s="1"/>
  <c r="C994" i="5" s="1"/>
  <c r="C995" i="5" s="1"/>
  <c r="C996" i="5" s="1"/>
  <c r="C997" i="5" s="1"/>
  <c r="C998" i="5" s="1"/>
  <c r="C999" i="5" s="1"/>
  <c r="C1000" i="5" s="1"/>
  <c r="C1001" i="5" s="1"/>
  <c r="N36" i="5"/>
  <c r="N37" i="5" s="1"/>
  <c r="N38" i="5" s="1"/>
  <c r="N39" i="5" s="1"/>
  <c r="N40" i="5" s="1"/>
  <c r="N41" i="5" s="1"/>
  <c r="N42" i="5"/>
  <c r="N43" i="5" s="1"/>
  <c r="N44" i="5" s="1"/>
  <c r="N45" i="5" s="1"/>
  <c r="N46" i="5" s="1"/>
  <c r="N47" i="5" s="1"/>
  <c r="N48" i="5" s="1"/>
  <c r="N49" i="5" s="1"/>
  <c r="N50" i="5" s="1"/>
  <c r="N51" i="5" s="1"/>
  <c r="N52" i="5" s="1"/>
  <c r="N53" i="5" s="1"/>
  <c r="N54" i="5" s="1"/>
  <c r="N55" i="5" s="1"/>
  <c r="N56" i="5" s="1"/>
  <c r="N57" i="5" s="1"/>
  <c r="N58" i="5" s="1"/>
  <c r="N59" i="5" s="1"/>
  <c r="N60" i="5" s="1"/>
  <c r="N61" i="5" s="1"/>
  <c r="N62" i="5" s="1"/>
  <c r="N63" i="5" s="1"/>
  <c r="N64" i="5" s="1"/>
  <c r="N65" i="5" s="1"/>
  <c r="N66" i="5" s="1"/>
  <c r="N67" i="5" s="1"/>
  <c r="N68" i="5" s="1"/>
  <c r="N69" i="5" s="1"/>
  <c r="N70" i="5" s="1"/>
  <c r="N71" i="5" s="1"/>
  <c r="N72" i="5" s="1"/>
  <c r="N73" i="5" s="1"/>
  <c r="N74" i="5" s="1"/>
  <c r="N75" i="5" s="1"/>
  <c r="N76" i="5" s="1"/>
  <c r="N77" i="5" s="1"/>
  <c r="N78" i="5" s="1"/>
  <c r="N79" i="5" s="1"/>
  <c r="N80" i="5" s="1"/>
  <c r="N81" i="5" s="1"/>
  <c r="N82" i="5" s="1"/>
  <c r="N83" i="5" s="1"/>
  <c r="N84" i="5" s="1"/>
  <c r="N85" i="5" s="1"/>
  <c r="N86" i="5" s="1"/>
  <c r="N87" i="5" s="1"/>
  <c r="N88" i="5" s="1"/>
  <c r="N89" i="5" s="1"/>
  <c r="N90" i="5" s="1"/>
  <c r="N91" i="5" s="1"/>
  <c r="N92" i="5" s="1"/>
  <c r="N93" i="5" s="1"/>
  <c r="N94" i="5" s="1"/>
  <c r="N95" i="5" s="1"/>
  <c r="N96" i="5" s="1"/>
  <c r="N97" i="5" s="1"/>
  <c r="N98" i="5" s="1"/>
  <c r="N99" i="5" s="1"/>
  <c r="N100" i="5" s="1"/>
  <c r="N101" i="5" s="1"/>
  <c r="N102" i="5" s="1"/>
  <c r="N103" i="5" s="1"/>
  <c r="N104" i="5" s="1"/>
  <c r="N105" i="5" s="1"/>
  <c r="N106" i="5" s="1"/>
  <c r="N107" i="5" s="1"/>
  <c r="N108" i="5" s="1"/>
  <c r="N109" i="5" s="1"/>
  <c r="N110" i="5" s="1"/>
  <c r="N111" i="5" s="1"/>
  <c r="N112" i="5" s="1"/>
  <c r="N113" i="5" s="1"/>
  <c r="N114" i="5" s="1"/>
  <c r="N115" i="5" s="1"/>
  <c r="N116" i="5" s="1"/>
  <c r="N117" i="5" s="1"/>
  <c r="N118" i="5" s="1"/>
  <c r="N119" i="5" s="1"/>
  <c r="N120" i="5" s="1"/>
  <c r="N121" i="5" s="1"/>
  <c r="N122" i="5" s="1"/>
  <c r="N123" i="5" s="1"/>
  <c r="N124" i="5" s="1"/>
  <c r="N125" i="5" s="1"/>
  <c r="N126" i="5" s="1"/>
  <c r="N127" i="5" s="1"/>
  <c r="N128" i="5" s="1"/>
  <c r="N129" i="5" s="1"/>
  <c r="N130" i="5" s="1"/>
  <c r="N131" i="5" s="1"/>
  <c r="N132" i="5" s="1"/>
  <c r="N133" i="5" s="1"/>
  <c r="N134" i="5" s="1"/>
  <c r="N135" i="5" s="1"/>
  <c r="N136" i="5" s="1"/>
  <c r="N137" i="5" s="1"/>
  <c r="N138" i="5" s="1"/>
  <c r="N139" i="5" s="1"/>
  <c r="N140" i="5" s="1"/>
  <c r="N141" i="5" s="1"/>
  <c r="N142" i="5" s="1"/>
  <c r="N143" i="5" s="1"/>
  <c r="N144" i="5" s="1"/>
  <c r="N145" i="5" s="1"/>
  <c r="N146" i="5" s="1"/>
  <c r="N147" i="5" s="1"/>
  <c r="N148" i="5" s="1"/>
  <c r="N149" i="5" s="1"/>
  <c r="N150" i="5" s="1"/>
  <c r="N151" i="5" s="1"/>
  <c r="N152" i="5" s="1"/>
  <c r="N153" i="5" s="1"/>
  <c r="N154" i="5" s="1"/>
  <c r="N155" i="5" s="1"/>
  <c r="N156" i="5" s="1"/>
  <c r="N157" i="5" s="1"/>
  <c r="N158" i="5" s="1"/>
  <c r="N159" i="5" s="1"/>
  <c r="N160" i="5" s="1"/>
  <c r="N161" i="5" s="1"/>
  <c r="N162" i="5" s="1"/>
  <c r="N163" i="5" s="1"/>
  <c r="N164" i="5" s="1"/>
  <c r="N165" i="5" s="1"/>
  <c r="N166" i="5" s="1"/>
  <c r="N167" i="5" s="1"/>
  <c r="N168" i="5" s="1"/>
  <c r="N169" i="5" s="1"/>
  <c r="N170" i="5" s="1"/>
  <c r="N171" i="5" s="1"/>
  <c r="N172" i="5" s="1"/>
  <c r="N173" i="5" s="1"/>
  <c r="N174" i="5" s="1"/>
  <c r="N175" i="5" s="1"/>
  <c r="N176" i="5" s="1"/>
  <c r="N177" i="5" s="1"/>
  <c r="N178" i="5" s="1"/>
  <c r="N179" i="5" s="1"/>
  <c r="N180" i="5" s="1"/>
  <c r="N181" i="5" s="1"/>
  <c r="N182" i="5" s="1"/>
  <c r="N183" i="5" s="1"/>
  <c r="N184" i="5" s="1"/>
  <c r="N185" i="5" s="1"/>
  <c r="N186" i="5" s="1"/>
  <c r="N187" i="5" s="1"/>
  <c r="N188" i="5" s="1"/>
  <c r="N189" i="5" s="1"/>
  <c r="N190" i="5" s="1"/>
  <c r="N191" i="5" s="1"/>
  <c r="N192" i="5" s="1"/>
  <c r="N193" i="5" s="1"/>
  <c r="N194" i="5" s="1"/>
  <c r="N195" i="5" s="1"/>
  <c r="N196" i="5" s="1"/>
  <c r="N197" i="5" s="1"/>
  <c r="N198" i="5" s="1"/>
  <c r="N199" i="5" s="1"/>
  <c r="N200" i="5" s="1"/>
  <c r="N201" i="5" s="1"/>
  <c r="N202" i="5" s="1"/>
  <c r="N203" i="5" s="1"/>
  <c r="N204" i="5" s="1"/>
  <c r="N205" i="5" s="1"/>
  <c r="N206" i="5" s="1"/>
  <c r="N207" i="5" s="1"/>
  <c r="N208" i="5" s="1"/>
  <c r="N209" i="5" s="1"/>
  <c r="N210" i="5" s="1"/>
  <c r="N211" i="5" s="1"/>
  <c r="N212" i="5" s="1"/>
  <c r="N213" i="5" s="1"/>
  <c r="N214" i="5" s="1"/>
  <c r="N215" i="5" s="1"/>
  <c r="N216" i="5" s="1"/>
  <c r="N217" i="5" s="1"/>
  <c r="N218" i="5" s="1"/>
  <c r="N219" i="5" s="1"/>
  <c r="N220" i="5" s="1"/>
  <c r="N221" i="5" s="1"/>
  <c r="N222" i="5" s="1"/>
  <c r="N223" i="5" s="1"/>
  <c r="N224" i="5" s="1"/>
  <c r="N225" i="5" s="1"/>
  <c r="N226" i="5" s="1"/>
  <c r="N227" i="5" s="1"/>
  <c r="N228" i="5" s="1"/>
  <c r="N229" i="5" s="1"/>
  <c r="N230" i="5" s="1"/>
  <c r="N231" i="5" s="1"/>
  <c r="N232" i="5" s="1"/>
  <c r="N233" i="5" s="1"/>
  <c r="N234" i="5" s="1"/>
  <c r="N235" i="5" s="1"/>
  <c r="N236" i="5" s="1"/>
  <c r="N237" i="5" s="1"/>
  <c r="N238" i="5" s="1"/>
  <c r="N239" i="5" s="1"/>
  <c r="N240" i="5" s="1"/>
  <c r="N241" i="5" s="1"/>
  <c r="N242" i="5" s="1"/>
  <c r="N243" i="5" s="1"/>
  <c r="N244" i="5" s="1"/>
  <c r="N245" i="5" s="1"/>
  <c r="N246" i="5" s="1"/>
  <c r="N247" i="5" s="1"/>
  <c r="N248" i="5" s="1"/>
  <c r="N249" i="5" s="1"/>
  <c r="N250" i="5" s="1"/>
  <c r="N251" i="5" s="1"/>
  <c r="N252" i="5" s="1"/>
  <c r="N253" i="5" s="1"/>
  <c r="N254" i="5" s="1"/>
  <c r="N255" i="5" s="1"/>
  <c r="N256" i="5" s="1"/>
  <c r="N257" i="5" s="1"/>
  <c r="N258" i="5" s="1"/>
  <c r="N259" i="5" s="1"/>
  <c r="N260" i="5" s="1"/>
  <c r="N261" i="5" s="1"/>
  <c r="N262" i="5" s="1"/>
  <c r="N263" i="5" s="1"/>
  <c r="N264" i="5" s="1"/>
  <c r="N265" i="5" s="1"/>
  <c r="N266" i="5" s="1"/>
  <c r="N267" i="5" s="1"/>
  <c r="N268" i="5" s="1"/>
  <c r="N269" i="5" s="1"/>
  <c r="N270" i="5" s="1"/>
  <c r="N271" i="5" s="1"/>
  <c r="N272" i="5" s="1"/>
  <c r="N273" i="5" s="1"/>
  <c r="N274" i="5" s="1"/>
  <c r="N275" i="5" s="1"/>
  <c r="N276" i="5" s="1"/>
  <c r="N277" i="5" s="1"/>
  <c r="N278" i="5" s="1"/>
  <c r="N279" i="5" s="1"/>
  <c r="N280" i="5" s="1"/>
  <c r="N281" i="5" s="1"/>
  <c r="N282" i="5" s="1"/>
  <c r="N283" i="5" s="1"/>
  <c r="N284" i="5" s="1"/>
  <c r="N285" i="5" s="1"/>
  <c r="N286" i="5" s="1"/>
  <c r="N287" i="5" s="1"/>
  <c r="N288" i="5" s="1"/>
  <c r="N289" i="5" s="1"/>
  <c r="N290" i="5" s="1"/>
  <c r="N291" i="5" s="1"/>
  <c r="N292" i="5" s="1"/>
  <c r="N293" i="5" s="1"/>
  <c r="N294" i="5" s="1"/>
  <c r="N295" i="5" s="1"/>
  <c r="N296" i="5" s="1"/>
  <c r="N297" i="5" s="1"/>
  <c r="N298" i="5" s="1"/>
  <c r="N299" i="5" s="1"/>
  <c r="N300" i="5" s="1"/>
  <c r="N301" i="5" s="1"/>
  <c r="N302" i="5" s="1"/>
  <c r="N303" i="5" s="1"/>
  <c r="N304" i="5" s="1"/>
  <c r="N305" i="5" s="1"/>
  <c r="N306" i="5" s="1"/>
  <c r="N307" i="5" s="1"/>
  <c r="N308" i="5" s="1"/>
  <c r="N309" i="5" s="1"/>
  <c r="N310" i="5" s="1"/>
  <c r="N311" i="5" s="1"/>
  <c r="N312" i="5" s="1"/>
  <c r="N313" i="5" s="1"/>
  <c r="N314" i="5" s="1"/>
  <c r="N315" i="5" s="1"/>
  <c r="N316" i="5" s="1"/>
  <c r="N317" i="5" s="1"/>
  <c r="N318" i="5" s="1"/>
  <c r="N319" i="5" s="1"/>
  <c r="N320" i="5" s="1"/>
  <c r="N321" i="5" s="1"/>
  <c r="N322" i="5" s="1"/>
  <c r="N323" i="5" s="1"/>
  <c r="N324" i="5" s="1"/>
  <c r="N325" i="5" s="1"/>
  <c r="N326" i="5" s="1"/>
  <c r="N327" i="5" s="1"/>
  <c r="N328" i="5" s="1"/>
  <c r="N329" i="5" s="1"/>
  <c r="N330" i="5" s="1"/>
  <c r="N331" i="5" s="1"/>
  <c r="N332" i="5" s="1"/>
  <c r="N333" i="5" s="1"/>
  <c r="N334" i="5" s="1"/>
  <c r="N335" i="5" s="1"/>
  <c r="N336" i="5" s="1"/>
  <c r="N337" i="5" s="1"/>
  <c r="N338" i="5" s="1"/>
  <c r="N339" i="5" s="1"/>
  <c r="N340" i="5" s="1"/>
  <c r="N341" i="5" s="1"/>
  <c r="N342" i="5" s="1"/>
  <c r="N343" i="5" s="1"/>
  <c r="N344" i="5" s="1"/>
  <c r="N345" i="5" s="1"/>
  <c r="N346" i="5" s="1"/>
  <c r="N347" i="5" s="1"/>
  <c r="N348" i="5" s="1"/>
  <c r="N349" i="5" s="1"/>
  <c r="N350" i="5" s="1"/>
  <c r="N351" i="5" s="1"/>
  <c r="N352" i="5" s="1"/>
  <c r="N353" i="5" s="1"/>
  <c r="N354" i="5" s="1"/>
  <c r="N355" i="5" s="1"/>
  <c r="N356" i="5" s="1"/>
  <c r="N357" i="5" s="1"/>
  <c r="N358" i="5" s="1"/>
  <c r="N359" i="5" s="1"/>
  <c r="N360" i="5" s="1"/>
  <c r="N361" i="5" s="1"/>
  <c r="N362" i="5" s="1"/>
  <c r="N363" i="5" s="1"/>
  <c r="N364" i="5" s="1"/>
  <c r="N365" i="5" s="1"/>
  <c r="N366" i="5" s="1"/>
  <c r="N367" i="5" s="1"/>
  <c r="N368" i="5" s="1"/>
  <c r="N369" i="5" s="1"/>
  <c r="N370" i="5" s="1"/>
  <c r="N371" i="5" s="1"/>
  <c r="N372" i="5" s="1"/>
  <c r="N373" i="5" s="1"/>
  <c r="N374" i="5" s="1"/>
  <c r="N375" i="5" s="1"/>
  <c r="N376" i="5" s="1"/>
  <c r="N377" i="5" s="1"/>
  <c r="N378" i="5" s="1"/>
  <c r="N379" i="5" s="1"/>
  <c r="N380" i="5" s="1"/>
  <c r="N381" i="5" s="1"/>
  <c r="N382" i="5" s="1"/>
  <c r="N383" i="5" s="1"/>
  <c r="N384" i="5" s="1"/>
  <c r="N385" i="5" s="1"/>
  <c r="N386" i="5" s="1"/>
  <c r="N387" i="5" s="1"/>
  <c r="N388" i="5" s="1"/>
  <c r="N389" i="5" s="1"/>
  <c r="N390" i="5" s="1"/>
  <c r="N391" i="5" s="1"/>
  <c r="N392" i="5" s="1"/>
  <c r="N393" i="5" s="1"/>
  <c r="N394" i="5" s="1"/>
  <c r="N395" i="5" s="1"/>
  <c r="N396" i="5" s="1"/>
  <c r="N397" i="5" s="1"/>
  <c r="N398" i="5" s="1"/>
  <c r="N399" i="5" s="1"/>
  <c r="N400" i="5" s="1"/>
  <c r="N401" i="5" s="1"/>
  <c r="N402" i="5" s="1"/>
  <c r="N403" i="5" s="1"/>
  <c r="N404" i="5" s="1"/>
  <c r="N405" i="5" s="1"/>
  <c r="N406" i="5" s="1"/>
  <c r="N407" i="5" s="1"/>
  <c r="N408" i="5" s="1"/>
  <c r="N409" i="5" s="1"/>
  <c r="N410" i="5" s="1"/>
  <c r="N411" i="5" s="1"/>
  <c r="N412" i="5" s="1"/>
  <c r="N413" i="5" s="1"/>
  <c r="N414" i="5" s="1"/>
  <c r="N415" i="5" s="1"/>
  <c r="N416" i="5" s="1"/>
  <c r="N417" i="5" s="1"/>
  <c r="N418" i="5" s="1"/>
  <c r="N419" i="5" s="1"/>
  <c r="N420" i="5" s="1"/>
  <c r="N421" i="5" s="1"/>
  <c r="N422" i="5" s="1"/>
  <c r="N423" i="5" s="1"/>
  <c r="N424" i="5" s="1"/>
  <c r="N425" i="5" s="1"/>
  <c r="N426" i="5" s="1"/>
  <c r="N427" i="5" s="1"/>
  <c r="N428" i="5" s="1"/>
  <c r="N429" i="5" s="1"/>
  <c r="N430" i="5" s="1"/>
  <c r="N431" i="5" s="1"/>
  <c r="N432" i="5" s="1"/>
  <c r="N433" i="5" s="1"/>
  <c r="N434" i="5" s="1"/>
  <c r="N435" i="5" s="1"/>
  <c r="N436" i="5" s="1"/>
  <c r="N437" i="5" s="1"/>
  <c r="N438" i="5" s="1"/>
  <c r="N439" i="5" s="1"/>
  <c r="N440" i="5" s="1"/>
  <c r="N441" i="5" s="1"/>
  <c r="N442" i="5" s="1"/>
  <c r="N443" i="5" s="1"/>
  <c r="N444" i="5" s="1"/>
  <c r="N445" i="5" s="1"/>
  <c r="N446" i="5" s="1"/>
  <c r="N447" i="5" s="1"/>
  <c r="N448" i="5" s="1"/>
  <c r="N449" i="5" s="1"/>
  <c r="N450" i="5" s="1"/>
  <c r="N451" i="5" s="1"/>
  <c r="N452" i="5" s="1"/>
  <c r="N453" i="5" s="1"/>
  <c r="N454" i="5" s="1"/>
  <c r="N455" i="5" s="1"/>
  <c r="N456" i="5" s="1"/>
  <c r="N457" i="5" s="1"/>
  <c r="N458" i="5" s="1"/>
  <c r="N459" i="5" s="1"/>
  <c r="N460" i="5" s="1"/>
  <c r="N461" i="5" s="1"/>
  <c r="N462" i="5" s="1"/>
  <c r="N463" i="5" s="1"/>
  <c r="N464" i="5" s="1"/>
  <c r="N465" i="5" s="1"/>
  <c r="N466" i="5" s="1"/>
  <c r="N467" i="5" s="1"/>
  <c r="N468" i="5" s="1"/>
  <c r="N469" i="5" s="1"/>
  <c r="N470" i="5" s="1"/>
  <c r="N471" i="5" s="1"/>
  <c r="N472" i="5" s="1"/>
  <c r="N473" i="5" s="1"/>
  <c r="N474" i="5" s="1"/>
  <c r="N475" i="5" s="1"/>
  <c r="N476" i="5" s="1"/>
  <c r="N477" i="5" s="1"/>
  <c r="N478" i="5" s="1"/>
  <c r="N479" i="5" s="1"/>
  <c r="N480" i="5" s="1"/>
  <c r="N481" i="5" s="1"/>
  <c r="N482" i="5" s="1"/>
  <c r="N483" i="5" s="1"/>
  <c r="N484" i="5" s="1"/>
  <c r="N485" i="5" s="1"/>
  <c r="N486" i="5" s="1"/>
  <c r="N487" i="5" s="1"/>
  <c r="N488" i="5" s="1"/>
  <c r="N489" i="5" s="1"/>
  <c r="N490" i="5" s="1"/>
  <c r="N491" i="5" s="1"/>
  <c r="N492" i="5" s="1"/>
  <c r="N493" i="5" s="1"/>
  <c r="N494" i="5" s="1"/>
  <c r="N495" i="5" s="1"/>
  <c r="N496" i="5" s="1"/>
  <c r="N497" i="5" s="1"/>
  <c r="N498" i="5" s="1"/>
  <c r="N499" i="5" s="1"/>
  <c r="N500" i="5" s="1"/>
  <c r="N501" i="5" s="1"/>
  <c r="N502" i="5" s="1"/>
  <c r="N503" i="5" s="1"/>
  <c r="N504" i="5" s="1"/>
  <c r="N505" i="5" s="1"/>
  <c r="N506" i="5" s="1"/>
  <c r="N507" i="5" s="1"/>
  <c r="N508" i="5" s="1"/>
  <c r="N509" i="5" s="1"/>
  <c r="N510" i="5" s="1"/>
  <c r="N511" i="5" s="1"/>
  <c r="N512" i="5" s="1"/>
  <c r="N513" i="5" s="1"/>
  <c r="N514" i="5" s="1"/>
  <c r="N515" i="5" s="1"/>
  <c r="N516" i="5" s="1"/>
  <c r="N517" i="5" s="1"/>
  <c r="N518" i="5" s="1"/>
  <c r="N519" i="5" s="1"/>
  <c r="N520" i="5" s="1"/>
  <c r="N521" i="5" s="1"/>
  <c r="N522" i="5" s="1"/>
  <c r="N523" i="5" s="1"/>
  <c r="N524" i="5" s="1"/>
  <c r="N525" i="5" s="1"/>
  <c r="N526" i="5" s="1"/>
  <c r="N527" i="5" s="1"/>
  <c r="N528" i="5" s="1"/>
  <c r="N529" i="5" s="1"/>
  <c r="N530" i="5" s="1"/>
  <c r="N531" i="5" s="1"/>
  <c r="N532" i="5" s="1"/>
  <c r="N533" i="5" s="1"/>
  <c r="N534" i="5" s="1"/>
  <c r="N535" i="5" s="1"/>
  <c r="N536" i="5" s="1"/>
  <c r="N537" i="5" s="1"/>
  <c r="N538" i="5" s="1"/>
  <c r="N539" i="5" s="1"/>
  <c r="N540" i="5" s="1"/>
  <c r="N541" i="5" s="1"/>
  <c r="N542" i="5" s="1"/>
  <c r="N543" i="5" s="1"/>
  <c r="N544" i="5" s="1"/>
  <c r="N545" i="5" s="1"/>
  <c r="N546" i="5" s="1"/>
  <c r="N547" i="5" s="1"/>
  <c r="N548" i="5" s="1"/>
  <c r="N549" i="5" s="1"/>
  <c r="N550" i="5" s="1"/>
  <c r="N551" i="5" s="1"/>
  <c r="N552" i="5" s="1"/>
  <c r="N553" i="5" s="1"/>
  <c r="N554" i="5" s="1"/>
  <c r="N555" i="5" s="1"/>
  <c r="N556" i="5" s="1"/>
  <c r="N557" i="5" s="1"/>
  <c r="N558" i="5" s="1"/>
  <c r="N559" i="5" s="1"/>
  <c r="N560" i="5" s="1"/>
  <c r="N561" i="5" s="1"/>
  <c r="N562" i="5" s="1"/>
  <c r="N563" i="5" s="1"/>
  <c r="N564" i="5" s="1"/>
  <c r="N565" i="5" s="1"/>
  <c r="N566" i="5" s="1"/>
  <c r="N567" i="5" s="1"/>
  <c r="N568" i="5" s="1"/>
  <c r="N569" i="5" s="1"/>
  <c r="N570" i="5" s="1"/>
  <c r="N571" i="5" s="1"/>
  <c r="N572" i="5" s="1"/>
  <c r="N573" i="5" s="1"/>
  <c r="N574" i="5" s="1"/>
  <c r="N575" i="5" s="1"/>
  <c r="N576" i="5" s="1"/>
  <c r="N577" i="5" s="1"/>
  <c r="N578" i="5" s="1"/>
  <c r="N579" i="5" s="1"/>
  <c r="N580" i="5" s="1"/>
  <c r="N581" i="5" s="1"/>
  <c r="N582" i="5" s="1"/>
  <c r="N583" i="5" s="1"/>
  <c r="N584" i="5" s="1"/>
  <c r="N585" i="5" s="1"/>
  <c r="N586" i="5" s="1"/>
  <c r="N587" i="5" s="1"/>
  <c r="N588" i="5" s="1"/>
  <c r="N589" i="5" s="1"/>
  <c r="N590" i="5" s="1"/>
  <c r="N591" i="5" s="1"/>
  <c r="N592" i="5" s="1"/>
  <c r="N593" i="5" s="1"/>
  <c r="N594" i="5" s="1"/>
  <c r="N595" i="5" s="1"/>
  <c r="N596" i="5" s="1"/>
  <c r="N597" i="5" s="1"/>
  <c r="N598" i="5" s="1"/>
  <c r="N599" i="5" s="1"/>
  <c r="N600" i="5" s="1"/>
  <c r="N601" i="5" s="1"/>
  <c r="N602" i="5" s="1"/>
  <c r="N603" i="5" s="1"/>
  <c r="N604" i="5" s="1"/>
  <c r="N605" i="5" s="1"/>
  <c r="N606" i="5" s="1"/>
  <c r="N607" i="5" s="1"/>
  <c r="N608" i="5" s="1"/>
  <c r="N609" i="5" s="1"/>
  <c r="N610" i="5" s="1"/>
  <c r="N611" i="5" s="1"/>
  <c r="N612" i="5" s="1"/>
  <c r="N613" i="5" s="1"/>
  <c r="N614" i="5" s="1"/>
  <c r="N615" i="5" s="1"/>
  <c r="N616" i="5" s="1"/>
  <c r="N617" i="5" s="1"/>
  <c r="N618" i="5" s="1"/>
  <c r="N619" i="5" s="1"/>
  <c r="N620" i="5" s="1"/>
  <c r="N621" i="5" s="1"/>
  <c r="N622" i="5" s="1"/>
  <c r="N623" i="5" s="1"/>
  <c r="N624" i="5" s="1"/>
  <c r="N625" i="5" s="1"/>
  <c r="N626" i="5" s="1"/>
  <c r="N627" i="5" s="1"/>
  <c r="N628" i="5" s="1"/>
  <c r="N629" i="5" s="1"/>
  <c r="N630" i="5" s="1"/>
  <c r="N631" i="5" s="1"/>
  <c r="N632" i="5" s="1"/>
  <c r="N633" i="5" s="1"/>
  <c r="N634" i="5" s="1"/>
  <c r="N635" i="5" s="1"/>
  <c r="N636" i="5" s="1"/>
  <c r="N637" i="5" s="1"/>
  <c r="N638" i="5" s="1"/>
  <c r="N639" i="5" s="1"/>
  <c r="N640" i="5" s="1"/>
  <c r="N641" i="5" s="1"/>
  <c r="N642" i="5" s="1"/>
  <c r="N643" i="5" s="1"/>
  <c r="N644" i="5" s="1"/>
  <c r="N645" i="5" s="1"/>
  <c r="N646" i="5" s="1"/>
  <c r="N647" i="5" s="1"/>
  <c r="N648" i="5" s="1"/>
  <c r="N649" i="5" s="1"/>
  <c r="N650" i="5" s="1"/>
  <c r="N651" i="5" s="1"/>
  <c r="N652" i="5" s="1"/>
  <c r="N653" i="5" s="1"/>
  <c r="N654" i="5" s="1"/>
  <c r="N655" i="5" s="1"/>
  <c r="N656" i="5" s="1"/>
  <c r="N657" i="5" s="1"/>
  <c r="N658" i="5" s="1"/>
  <c r="N659" i="5" s="1"/>
  <c r="N660" i="5" s="1"/>
  <c r="N661" i="5" s="1"/>
  <c r="N662" i="5" s="1"/>
  <c r="N663" i="5" s="1"/>
  <c r="N664" i="5" s="1"/>
  <c r="N665" i="5" s="1"/>
  <c r="N666" i="5" s="1"/>
  <c r="N667" i="5" s="1"/>
  <c r="N668" i="5" s="1"/>
  <c r="N669" i="5" s="1"/>
  <c r="N670" i="5" s="1"/>
  <c r="N671" i="5" s="1"/>
  <c r="N672" i="5" s="1"/>
  <c r="N673" i="5" s="1"/>
  <c r="N674" i="5" s="1"/>
  <c r="N675" i="5" s="1"/>
  <c r="N676" i="5" s="1"/>
  <c r="N677" i="5" s="1"/>
  <c r="N678" i="5" s="1"/>
  <c r="N679" i="5" s="1"/>
  <c r="N680" i="5" s="1"/>
  <c r="N681" i="5" s="1"/>
  <c r="N682" i="5" s="1"/>
  <c r="N683" i="5" s="1"/>
  <c r="N684" i="5" s="1"/>
  <c r="N685" i="5" s="1"/>
  <c r="N686" i="5" s="1"/>
  <c r="N687" i="5" s="1"/>
  <c r="N688" i="5" s="1"/>
  <c r="N689" i="5" s="1"/>
  <c r="N690" i="5" s="1"/>
  <c r="N691" i="5" s="1"/>
  <c r="N692" i="5" s="1"/>
  <c r="N693" i="5" s="1"/>
  <c r="N694" i="5" s="1"/>
  <c r="N695" i="5" s="1"/>
  <c r="N696" i="5" s="1"/>
  <c r="N697" i="5" s="1"/>
  <c r="N698" i="5" s="1"/>
  <c r="N699" i="5" s="1"/>
  <c r="N700" i="5" s="1"/>
  <c r="N701" i="5" s="1"/>
  <c r="N702" i="5" s="1"/>
  <c r="N703" i="5" s="1"/>
  <c r="N704" i="5" s="1"/>
  <c r="N705" i="5" s="1"/>
  <c r="N706" i="5" s="1"/>
  <c r="N707" i="5" s="1"/>
  <c r="N708" i="5" s="1"/>
  <c r="N709" i="5" s="1"/>
  <c r="N710" i="5" s="1"/>
  <c r="N711" i="5" s="1"/>
  <c r="N712" i="5" s="1"/>
  <c r="N713" i="5" s="1"/>
  <c r="N714" i="5" s="1"/>
  <c r="N715" i="5" s="1"/>
  <c r="N716" i="5" s="1"/>
  <c r="N717" i="5" s="1"/>
  <c r="N718" i="5" s="1"/>
  <c r="N719" i="5" s="1"/>
  <c r="N720" i="5" s="1"/>
  <c r="N721" i="5" s="1"/>
  <c r="N722" i="5" s="1"/>
  <c r="N723" i="5" s="1"/>
  <c r="N724" i="5" s="1"/>
  <c r="N725" i="5" s="1"/>
  <c r="N726" i="5" s="1"/>
  <c r="N727" i="5" s="1"/>
  <c r="N728" i="5" s="1"/>
  <c r="N729" i="5" s="1"/>
  <c r="N730" i="5" s="1"/>
  <c r="N731" i="5" s="1"/>
  <c r="N732" i="5" s="1"/>
  <c r="N733" i="5" s="1"/>
  <c r="N734" i="5" s="1"/>
  <c r="N735" i="5" s="1"/>
  <c r="N736" i="5" s="1"/>
  <c r="N737" i="5" s="1"/>
  <c r="N738" i="5" s="1"/>
  <c r="N739" i="5" s="1"/>
  <c r="N740" i="5" s="1"/>
  <c r="N741" i="5" s="1"/>
  <c r="N742" i="5" s="1"/>
  <c r="N743" i="5" s="1"/>
  <c r="N744" i="5" s="1"/>
  <c r="N745" i="5" s="1"/>
  <c r="N746" i="5" s="1"/>
  <c r="N747" i="5" s="1"/>
  <c r="N748" i="5" s="1"/>
  <c r="N749" i="5" s="1"/>
  <c r="N750" i="5" s="1"/>
  <c r="N751" i="5" s="1"/>
  <c r="N752" i="5" s="1"/>
  <c r="N753" i="5" s="1"/>
  <c r="N754" i="5" s="1"/>
  <c r="N755" i="5" s="1"/>
  <c r="N756" i="5" s="1"/>
  <c r="N757" i="5" s="1"/>
  <c r="N758" i="5" s="1"/>
  <c r="N759" i="5" s="1"/>
  <c r="N760" i="5" s="1"/>
  <c r="N761" i="5" s="1"/>
  <c r="N762" i="5" s="1"/>
  <c r="N763" i="5" s="1"/>
  <c r="N764" i="5" s="1"/>
  <c r="N765" i="5" s="1"/>
  <c r="N766" i="5" s="1"/>
  <c r="N767" i="5" s="1"/>
  <c r="N768" i="5" s="1"/>
  <c r="N769" i="5" s="1"/>
  <c r="N770" i="5" s="1"/>
  <c r="N771" i="5" s="1"/>
  <c r="N772" i="5" s="1"/>
  <c r="N773" i="5" s="1"/>
  <c r="N774" i="5" s="1"/>
  <c r="N775" i="5" s="1"/>
  <c r="N776" i="5" s="1"/>
  <c r="N777" i="5" s="1"/>
  <c r="N778" i="5" s="1"/>
  <c r="N779" i="5" s="1"/>
  <c r="N780" i="5" s="1"/>
  <c r="N781" i="5" s="1"/>
  <c r="N782" i="5" s="1"/>
  <c r="N783" i="5" s="1"/>
  <c r="N784" i="5" s="1"/>
  <c r="N785" i="5" s="1"/>
  <c r="N786" i="5" s="1"/>
  <c r="N787" i="5" s="1"/>
  <c r="N788" i="5" s="1"/>
  <c r="N789" i="5" s="1"/>
  <c r="N790" i="5" s="1"/>
  <c r="N791" i="5" s="1"/>
  <c r="N792" i="5" s="1"/>
  <c r="N793" i="5" s="1"/>
  <c r="N794" i="5" s="1"/>
  <c r="N795" i="5" s="1"/>
  <c r="N796" i="5" s="1"/>
  <c r="N797" i="5" s="1"/>
  <c r="N798" i="5" s="1"/>
  <c r="N799" i="5" s="1"/>
  <c r="N800" i="5" s="1"/>
  <c r="N801" i="5" s="1"/>
  <c r="N802" i="5" s="1"/>
  <c r="N803" i="5" s="1"/>
  <c r="N804" i="5" s="1"/>
  <c r="N805" i="5" s="1"/>
  <c r="N806" i="5" s="1"/>
  <c r="N807" i="5" s="1"/>
  <c r="N808" i="5" s="1"/>
  <c r="N809" i="5" s="1"/>
  <c r="N810" i="5" s="1"/>
  <c r="N811" i="5" s="1"/>
  <c r="N812" i="5" s="1"/>
  <c r="N813" i="5" s="1"/>
  <c r="N814" i="5" s="1"/>
  <c r="N815" i="5" s="1"/>
  <c r="N816" i="5" s="1"/>
  <c r="N817" i="5" s="1"/>
  <c r="N818" i="5" s="1"/>
  <c r="N819" i="5" s="1"/>
  <c r="N820" i="5" s="1"/>
  <c r="N821" i="5" s="1"/>
  <c r="N822" i="5" s="1"/>
  <c r="N823" i="5" s="1"/>
  <c r="N824" i="5" s="1"/>
  <c r="N825" i="5" s="1"/>
  <c r="N826" i="5" s="1"/>
  <c r="N827" i="5" s="1"/>
  <c r="N828" i="5" s="1"/>
  <c r="N829" i="5" s="1"/>
  <c r="N830" i="5" s="1"/>
  <c r="N831" i="5" s="1"/>
  <c r="N832" i="5" s="1"/>
  <c r="N833" i="5" s="1"/>
  <c r="N834" i="5" s="1"/>
  <c r="N835" i="5" s="1"/>
  <c r="N836" i="5" s="1"/>
  <c r="N837" i="5" s="1"/>
  <c r="N838" i="5" s="1"/>
  <c r="N839" i="5" s="1"/>
  <c r="N840" i="5" s="1"/>
  <c r="N841" i="5" s="1"/>
  <c r="N842" i="5" s="1"/>
  <c r="N843" i="5" s="1"/>
  <c r="N844" i="5" s="1"/>
  <c r="N845" i="5" s="1"/>
  <c r="N846" i="5" s="1"/>
  <c r="N847" i="5" s="1"/>
  <c r="N848" i="5" s="1"/>
  <c r="N849" i="5" s="1"/>
  <c r="N850" i="5" s="1"/>
  <c r="N851" i="5" s="1"/>
  <c r="N852" i="5" s="1"/>
  <c r="N853" i="5" s="1"/>
  <c r="N854" i="5" s="1"/>
  <c r="N855" i="5" s="1"/>
  <c r="N856" i="5" s="1"/>
  <c r="N857" i="5" s="1"/>
  <c r="N858" i="5" s="1"/>
  <c r="N859" i="5" s="1"/>
  <c r="N860" i="5" s="1"/>
  <c r="N861" i="5" s="1"/>
  <c r="N862" i="5" s="1"/>
  <c r="N863" i="5" s="1"/>
  <c r="N864" i="5" s="1"/>
  <c r="N865" i="5" s="1"/>
  <c r="N866" i="5" s="1"/>
  <c r="N867" i="5" s="1"/>
  <c r="N868" i="5" s="1"/>
  <c r="N869" i="5" s="1"/>
  <c r="N870" i="5" s="1"/>
  <c r="N871" i="5" s="1"/>
  <c r="N872" i="5" s="1"/>
  <c r="N873" i="5" s="1"/>
  <c r="N874" i="5" s="1"/>
  <c r="N875" i="5" s="1"/>
  <c r="N876" i="5" s="1"/>
  <c r="N877" i="5" s="1"/>
  <c r="N878" i="5" s="1"/>
  <c r="N879" i="5" s="1"/>
  <c r="N880" i="5" s="1"/>
  <c r="N881" i="5" s="1"/>
  <c r="N882" i="5" s="1"/>
  <c r="N883" i="5" s="1"/>
  <c r="N884" i="5" s="1"/>
  <c r="N885" i="5" s="1"/>
  <c r="N886" i="5" s="1"/>
  <c r="N887" i="5" s="1"/>
  <c r="N888" i="5" s="1"/>
  <c r="N889" i="5" s="1"/>
  <c r="N890" i="5" s="1"/>
  <c r="N891" i="5" s="1"/>
  <c r="N892" i="5" s="1"/>
  <c r="N893" i="5" s="1"/>
  <c r="N894" i="5" s="1"/>
  <c r="N895" i="5" s="1"/>
  <c r="N896" i="5" s="1"/>
  <c r="N897" i="5" s="1"/>
  <c r="N898" i="5" s="1"/>
  <c r="N899" i="5" s="1"/>
  <c r="N900" i="5" s="1"/>
  <c r="N901" i="5" s="1"/>
  <c r="N902" i="5" s="1"/>
  <c r="N903" i="5" s="1"/>
  <c r="N904" i="5" s="1"/>
  <c r="N905" i="5" s="1"/>
  <c r="N906" i="5" s="1"/>
  <c r="N907" i="5" s="1"/>
  <c r="N908" i="5" s="1"/>
  <c r="N909" i="5" s="1"/>
  <c r="N910" i="5" s="1"/>
  <c r="N911" i="5" s="1"/>
  <c r="N912" i="5" s="1"/>
  <c r="N913" i="5" s="1"/>
  <c r="N914" i="5" s="1"/>
  <c r="N915" i="5" s="1"/>
  <c r="N916" i="5" s="1"/>
  <c r="N917" i="5" s="1"/>
  <c r="N918" i="5" s="1"/>
  <c r="N919" i="5" s="1"/>
  <c r="N920" i="5" s="1"/>
  <c r="N921" i="5" s="1"/>
  <c r="N922" i="5" s="1"/>
  <c r="N923" i="5" s="1"/>
  <c r="N924" i="5" s="1"/>
  <c r="N925" i="5" s="1"/>
  <c r="N926" i="5" s="1"/>
  <c r="N927" i="5" s="1"/>
  <c r="N928" i="5" s="1"/>
  <c r="N929" i="5" s="1"/>
  <c r="N930" i="5" s="1"/>
  <c r="N931" i="5" s="1"/>
  <c r="N932" i="5" s="1"/>
  <c r="N933" i="5" s="1"/>
  <c r="N934" i="5" s="1"/>
  <c r="N935" i="5" s="1"/>
  <c r="N936" i="5" s="1"/>
  <c r="N937" i="5" s="1"/>
  <c r="N938" i="5" s="1"/>
  <c r="N939" i="5" s="1"/>
  <c r="N940" i="5" s="1"/>
  <c r="N941" i="5" s="1"/>
  <c r="N942" i="5" s="1"/>
  <c r="N943" i="5" s="1"/>
  <c r="N944" i="5" s="1"/>
  <c r="N945" i="5" s="1"/>
  <c r="N946" i="5" s="1"/>
  <c r="N947" i="5" s="1"/>
  <c r="N948" i="5" s="1"/>
  <c r="N949" i="5" s="1"/>
  <c r="N950" i="5" s="1"/>
  <c r="N951" i="5" s="1"/>
  <c r="N952" i="5" s="1"/>
  <c r="N953" i="5" s="1"/>
  <c r="N954" i="5" s="1"/>
  <c r="N955" i="5" s="1"/>
  <c r="N956" i="5" s="1"/>
  <c r="N957" i="5" s="1"/>
  <c r="N958" i="5" s="1"/>
  <c r="N959" i="5" s="1"/>
  <c r="N960" i="5" s="1"/>
  <c r="N961" i="5" s="1"/>
  <c r="N962" i="5" s="1"/>
  <c r="N963" i="5" s="1"/>
  <c r="N964" i="5" s="1"/>
  <c r="N965" i="5" s="1"/>
  <c r="N966" i="5" s="1"/>
  <c r="N967" i="5" s="1"/>
  <c r="N968" i="5" s="1"/>
  <c r="N969" i="5" s="1"/>
  <c r="N970" i="5" s="1"/>
  <c r="N971" i="5" s="1"/>
  <c r="N972" i="5" s="1"/>
  <c r="N973" i="5" s="1"/>
  <c r="N974" i="5" s="1"/>
  <c r="N975" i="5" s="1"/>
  <c r="N976" i="5" s="1"/>
  <c r="N977" i="5" s="1"/>
  <c r="N978" i="5" s="1"/>
  <c r="N979" i="5" s="1"/>
  <c r="N980" i="5" s="1"/>
  <c r="N981" i="5" s="1"/>
  <c r="N982" i="5" s="1"/>
  <c r="N983" i="5" s="1"/>
  <c r="N984" i="5" s="1"/>
  <c r="N985" i="5" s="1"/>
  <c r="N986" i="5" s="1"/>
  <c r="N987" i="5" s="1"/>
  <c r="N988" i="5" s="1"/>
  <c r="N989" i="5" s="1"/>
  <c r="N990" i="5" s="1"/>
  <c r="N991" i="5" s="1"/>
  <c r="N992" i="5" s="1"/>
  <c r="N993" i="5" s="1"/>
  <c r="N994" i="5" s="1"/>
  <c r="N995" i="5" s="1"/>
  <c r="N996" i="5" s="1"/>
  <c r="N997" i="5" s="1"/>
  <c r="N998" i="5" s="1"/>
  <c r="N999" i="5" s="1"/>
  <c r="N1000" i="5" s="1"/>
  <c r="N1001" i="5" s="1"/>
  <c r="O50" i="5"/>
  <c r="O51" i="5" s="1"/>
  <c r="O52" i="5" s="1"/>
  <c r="O53" i="5" s="1"/>
  <c r="O54" i="5" s="1"/>
  <c r="O55" i="5" s="1"/>
  <c r="O56" i="5" s="1"/>
  <c r="O57" i="5" s="1"/>
  <c r="O58" i="5" s="1"/>
  <c r="O59" i="5" s="1"/>
  <c r="O60" i="5" s="1"/>
  <c r="O61" i="5" s="1"/>
  <c r="O62" i="5" s="1"/>
  <c r="O63" i="5" s="1"/>
  <c r="O64" i="5" s="1"/>
  <c r="O65" i="5" s="1"/>
  <c r="O66" i="5" s="1"/>
  <c r="O67" i="5" s="1"/>
  <c r="O68" i="5" s="1"/>
  <c r="O69" i="5" s="1"/>
  <c r="O70" i="5" s="1"/>
  <c r="O71" i="5" s="1"/>
  <c r="O72" i="5" s="1"/>
  <c r="O73" i="5" s="1"/>
  <c r="O74" i="5" s="1"/>
  <c r="O75" i="5" s="1"/>
  <c r="O76" i="5" s="1"/>
  <c r="O77" i="5" s="1"/>
  <c r="O78" i="5" s="1"/>
  <c r="O79" i="5" s="1"/>
  <c r="O80" i="5" s="1"/>
  <c r="O81" i="5" s="1"/>
  <c r="O82" i="5" s="1"/>
  <c r="O83" i="5" s="1"/>
  <c r="O84" i="5" s="1"/>
  <c r="O85" i="5" s="1"/>
  <c r="O86" i="5" s="1"/>
  <c r="O87" i="5" s="1"/>
  <c r="O88" i="5" s="1"/>
  <c r="O89" i="5" s="1"/>
  <c r="O90" i="5" s="1"/>
  <c r="O91" i="5" s="1"/>
  <c r="O92" i="5" s="1"/>
  <c r="O93" i="5" s="1"/>
  <c r="O94" i="5" s="1"/>
  <c r="O95" i="5" s="1"/>
  <c r="O96" i="5" s="1"/>
  <c r="O97" i="5" s="1"/>
  <c r="O98" i="5" s="1"/>
  <c r="O99" i="5" s="1"/>
  <c r="O100" i="5" s="1"/>
  <c r="O101" i="5" s="1"/>
  <c r="O102" i="5" s="1"/>
  <c r="O103" i="5" s="1"/>
  <c r="O104" i="5" s="1"/>
  <c r="O105" i="5" s="1"/>
  <c r="O106" i="5" s="1"/>
  <c r="O107" i="5" s="1"/>
  <c r="O108" i="5" s="1"/>
  <c r="O109" i="5" s="1"/>
  <c r="O110" i="5" s="1"/>
  <c r="O111" i="5" s="1"/>
  <c r="O112" i="5" s="1"/>
  <c r="O113" i="5" s="1"/>
  <c r="O114" i="5" s="1"/>
  <c r="O115" i="5" s="1"/>
  <c r="O116" i="5" s="1"/>
  <c r="O117" i="5" s="1"/>
  <c r="O118" i="5" s="1"/>
  <c r="O119" i="5" s="1"/>
  <c r="O120" i="5" s="1"/>
  <c r="O121" i="5" s="1"/>
  <c r="O122" i="5" s="1"/>
  <c r="O123" i="5" s="1"/>
  <c r="O124" i="5" s="1"/>
  <c r="O125" i="5" s="1"/>
  <c r="O126" i="5" s="1"/>
  <c r="O127" i="5" s="1"/>
  <c r="O128" i="5" s="1"/>
  <c r="O129" i="5" s="1"/>
  <c r="O130" i="5" s="1"/>
  <c r="O131" i="5" s="1"/>
  <c r="O132" i="5" s="1"/>
  <c r="O133" i="5" s="1"/>
  <c r="O134" i="5" s="1"/>
  <c r="O135" i="5" s="1"/>
  <c r="O136" i="5" s="1"/>
  <c r="O137" i="5" s="1"/>
  <c r="O138" i="5" s="1"/>
  <c r="O139" i="5" s="1"/>
  <c r="O140" i="5" s="1"/>
  <c r="O141" i="5" s="1"/>
  <c r="O142" i="5" s="1"/>
  <c r="O143" i="5" s="1"/>
  <c r="O144" i="5" s="1"/>
  <c r="O145" i="5" s="1"/>
  <c r="O146" i="5" s="1"/>
  <c r="O147" i="5" s="1"/>
  <c r="O148" i="5" s="1"/>
  <c r="O149" i="5" s="1"/>
  <c r="O150" i="5" s="1"/>
  <c r="O151" i="5" s="1"/>
  <c r="O152" i="5" s="1"/>
  <c r="O153" i="5" s="1"/>
  <c r="O154" i="5" s="1"/>
  <c r="O155" i="5" s="1"/>
  <c r="O156" i="5" s="1"/>
  <c r="O157" i="5" s="1"/>
  <c r="O158" i="5" s="1"/>
  <c r="O159" i="5" s="1"/>
  <c r="O160" i="5" s="1"/>
  <c r="O161" i="5" s="1"/>
  <c r="O162" i="5" s="1"/>
  <c r="O163" i="5" s="1"/>
  <c r="O164" i="5" s="1"/>
  <c r="O165" i="5" s="1"/>
  <c r="O166" i="5" s="1"/>
  <c r="O167" i="5" s="1"/>
  <c r="O168" i="5" s="1"/>
  <c r="O169" i="5" s="1"/>
  <c r="O170" i="5" s="1"/>
  <c r="O171" i="5" s="1"/>
  <c r="O172" i="5" s="1"/>
  <c r="O173" i="5" s="1"/>
  <c r="O174" i="5" s="1"/>
  <c r="O175" i="5" s="1"/>
  <c r="O176" i="5" s="1"/>
  <c r="O177" i="5" s="1"/>
  <c r="O178" i="5" s="1"/>
  <c r="O179" i="5" s="1"/>
  <c r="O180" i="5" s="1"/>
  <c r="O181" i="5" s="1"/>
  <c r="O182" i="5" s="1"/>
  <c r="O183" i="5" s="1"/>
  <c r="O184" i="5" s="1"/>
  <c r="O185" i="5" s="1"/>
  <c r="O186" i="5" s="1"/>
  <c r="O187" i="5" s="1"/>
  <c r="O188" i="5" s="1"/>
  <c r="O189" i="5" s="1"/>
  <c r="O190" i="5" s="1"/>
  <c r="O191" i="5" s="1"/>
  <c r="O192" i="5" s="1"/>
  <c r="O193" i="5" s="1"/>
  <c r="O194" i="5" s="1"/>
  <c r="O195" i="5" s="1"/>
  <c r="O196" i="5" s="1"/>
  <c r="O197" i="5" s="1"/>
  <c r="O198" i="5" s="1"/>
  <c r="O199" i="5" s="1"/>
  <c r="O200" i="5" s="1"/>
  <c r="O201" i="5" s="1"/>
  <c r="O202" i="5" s="1"/>
  <c r="O203" i="5" s="1"/>
  <c r="O204" i="5" s="1"/>
  <c r="O205" i="5" s="1"/>
  <c r="O206" i="5" s="1"/>
  <c r="O207" i="5" s="1"/>
  <c r="O208" i="5" s="1"/>
  <c r="O209" i="5" s="1"/>
  <c r="O210" i="5" s="1"/>
  <c r="O211" i="5" s="1"/>
  <c r="O212" i="5" s="1"/>
  <c r="O213" i="5" s="1"/>
  <c r="O214" i="5" s="1"/>
  <c r="O215" i="5" s="1"/>
  <c r="O216" i="5" s="1"/>
  <c r="O217" i="5" s="1"/>
  <c r="O218" i="5" s="1"/>
  <c r="O219" i="5" s="1"/>
  <c r="O220" i="5" s="1"/>
  <c r="O221" i="5" s="1"/>
  <c r="O222" i="5" s="1"/>
  <c r="O223" i="5" s="1"/>
  <c r="O224" i="5" s="1"/>
  <c r="O225" i="5" s="1"/>
  <c r="O226" i="5" s="1"/>
  <c r="O227" i="5" s="1"/>
  <c r="O228" i="5" s="1"/>
  <c r="O229" i="5" s="1"/>
  <c r="O230" i="5" s="1"/>
  <c r="O231" i="5" s="1"/>
  <c r="O232" i="5" s="1"/>
  <c r="O233" i="5" s="1"/>
  <c r="O234" i="5" s="1"/>
  <c r="O235" i="5" s="1"/>
  <c r="O236" i="5" s="1"/>
  <c r="O237" i="5" s="1"/>
  <c r="O238" i="5" s="1"/>
  <c r="O239" i="5" s="1"/>
  <c r="O240" i="5" s="1"/>
  <c r="O241" i="5" s="1"/>
  <c r="O242" i="5" s="1"/>
  <c r="O243" i="5" s="1"/>
  <c r="O244" i="5" s="1"/>
  <c r="O245" i="5" s="1"/>
  <c r="O246" i="5" s="1"/>
  <c r="O247" i="5" s="1"/>
  <c r="O248" i="5" s="1"/>
  <c r="O249" i="5" s="1"/>
  <c r="O250" i="5" s="1"/>
  <c r="O251" i="5" s="1"/>
  <c r="O252" i="5" s="1"/>
  <c r="O253" i="5" s="1"/>
  <c r="O254" i="5" s="1"/>
  <c r="O255" i="5" s="1"/>
  <c r="O256" i="5" s="1"/>
  <c r="O257" i="5" s="1"/>
  <c r="O258" i="5" s="1"/>
  <c r="O259" i="5" s="1"/>
  <c r="O260" i="5" s="1"/>
  <c r="O261" i="5" s="1"/>
  <c r="O262" i="5" s="1"/>
  <c r="O263" i="5" s="1"/>
  <c r="O264" i="5" s="1"/>
  <c r="O265" i="5" s="1"/>
  <c r="O266" i="5" s="1"/>
  <c r="O267" i="5" s="1"/>
  <c r="O268" i="5" s="1"/>
  <c r="O269" i="5" s="1"/>
  <c r="O270" i="5" s="1"/>
  <c r="O271" i="5" s="1"/>
  <c r="O272" i="5" s="1"/>
  <c r="O273" i="5" s="1"/>
  <c r="O274" i="5" s="1"/>
  <c r="O275" i="5" s="1"/>
  <c r="O276" i="5" s="1"/>
  <c r="O277" i="5" s="1"/>
  <c r="O278" i="5" s="1"/>
  <c r="O279" i="5" s="1"/>
  <c r="O280" i="5" s="1"/>
  <c r="O281" i="5" s="1"/>
  <c r="O282" i="5" s="1"/>
  <c r="O283" i="5" s="1"/>
  <c r="O284" i="5" s="1"/>
  <c r="O285" i="5" s="1"/>
  <c r="O286" i="5" s="1"/>
  <c r="O287" i="5" s="1"/>
  <c r="O288" i="5" s="1"/>
  <c r="O289" i="5" s="1"/>
  <c r="O290" i="5" s="1"/>
  <c r="O291" i="5" s="1"/>
  <c r="O292" i="5" s="1"/>
  <c r="O293" i="5" s="1"/>
  <c r="O294" i="5" s="1"/>
  <c r="O295" i="5" s="1"/>
  <c r="O296" i="5" s="1"/>
  <c r="O297" i="5" s="1"/>
  <c r="O298" i="5" s="1"/>
  <c r="O299" i="5" s="1"/>
  <c r="O300" i="5" s="1"/>
  <c r="O301" i="5" s="1"/>
  <c r="O302" i="5" s="1"/>
  <c r="O303" i="5" s="1"/>
  <c r="O304" i="5" s="1"/>
  <c r="O305" i="5" s="1"/>
  <c r="O306" i="5" s="1"/>
  <c r="O307" i="5" s="1"/>
  <c r="O308" i="5" s="1"/>
  <c r="O309" i="5" s="1"/>
  <c r="O310" i="5" s="1"/>
  <c r="O311" i="5" s="1"/>
  <c r="O312" i="5" s="1"/>
  <c r="O313" i="5" s="1"/>
  <c r="O314" i="5" s="1"/>
  <c r="O315" i="5" s="1"/>
  <c r="O316" i="5" s="1"/>
  <c r="O317" i="5" s="1"/>
  <c r="O318" i="5" s="1"/>
  <c r="O319" i="5" s="1"/>
  <c r="O320" i="5" s="1"/>
  <c r="O321" i="5" s="1"/>
  <c r="O322" i="5" s="1"/>
  <c r="O323" i="5" s="1"/>
  <c r="O324" i="5" s="1"/>
  <c r="O325" i="5" s="1"/>
  <c r="O326" i="5" s="1"/>
  <c r="O327" i="5" s="1"/>
  <c r="O328" i="5" s="1"/>
  <c r="O329" i="5" s="1"/>
  <c r="O330" i="5" s="1"/>
  <c r="O331" i="5" s="1"/>
  <c r="O332" i="5" s="1"/>
  <c r="O333" i="5" s="1"/>
  <c r="O334" i="5" s="1"/>
  <c r="O335" i="5" s="1"/>
  <c r="O336" i="5" s="1"/>
  <c r="O337" i="5" s="1"/>
  <c r="O338" i="5" s="1"/>
  <c r="O339" i="5" s="1"/>
  <c r="O340" i="5" s="1"/>
  <c r="O341" i="5" s="1"/>
  <c r="O342" i="5" s="1"/>
  <c r="O343" i="5" s="1"/>
  <c r="O344" i="5" s="1"/>
  <c r="O345" i="5" s="1"/>
  <c r="O346" i="5" s="1"/>
  <c r="O347" i="5" s="1"/>
  <c r="O348" i="5" s="1"/>
  <c r="O349" i="5" s="1"/>
  <c r="O350" i="5" s="1"/>
  <c r="O351" i="5" s="1"/>
  <c r="O352" i="5" s="1"/>
  <c r="O353" i="5" s="1"/>
  <c r="O354" i="5" s="1"/>
  <c r="O355" i="5" s="1"/>
  <c r="O356" i="5" s="1"/>
  <c r="O357" i="5" s="1"/>
  <c r="O358" i="5" s="1"/>
  <c r="O359" i="5" s="1"/>
  <c r="O360" i="5" s="1"/>
  <c r="O361" i="5" s="1"/>
  <c r="O362" i="5" s="1"/>
  <c r="O363" i="5" s="1"/>
  <c r="O364" i="5" s="1"/>
  <c r="O365" i="5" s="1"/>
  <c r="O366" i="5" s="1"/>
  <c r="O367" i="5" s="1"/>
  <c r="O368" i="5" s="1"/>
  <c r="O369" i="5" s="1"/>
  <c r="O370" i="5" s="1"/>
  <c r="O371" i="5" s="1"/>
  <c r="O372" i="5" s="1"/>
  <c r="O373" i="5" s="1"/>
  <c r="O374" i="5" s="1"/>
  <c r="O375" i="5" s="1"/>
  <c r="O376" i="5" s="1"/>
  <c r="O377" i="5" s="1"/>
  <c r="O378" i="5" s="1"/>
  <c r="O379" i="5" s="1"/>
  <c r="O380" i="5" s="1"/>
  <c r="O381" i="5" s="1"/>
  <c r="O382" i="5" s="1"/>
  <c r="O383" i="5" s="1"/>
  <c r="O384" i="5" s="1"/>
  <c r="O385" i="5" s="1"/>
  <c r="O386" i="5" s="1"/>
  <c r="O387" i="5" s="1"/>
  <c r="O388" i="5" s="1"/>
  <c r="O389" i="5" s="1"/>
  <c r="O390" i="5" s="1"/>
  <c r="O391" i="5" s="1"/>
  <c r="O392" i="5" s="1"/>
  <c r="O393" i="5" s="1"/>
  <c r="O394" i="5" s="1"/>
  <c r="O395" i="5" s="1"/>
  <c r="O396" i="5" s="1"/>
  <c r="O397" i="5" s="1"/>
  <c r="O398" i="5" s="1"/>
  <c r="O399" i="5" s="1"/>
  <c r="O400" i="5" s="1"/>
  <c r="O401" i="5" s="1"/>
  <c r="O402" i="5" s="1"/>
  <c r="O403" i="5" s="1"/>
  <c r="O404" i="5" s="1"/>
  <c r="O405" i="5" s="1"/>
  <c r="O406" i="5" s="1"/>
  <c r="O407" i="5" s="1"/>
  <c r="O408" i="5" s="1"/>
  <c r="O409" i="5" s="1"/>
  <c r="O410" i="5" s="1"/>
  <c r="O411" i="5" s="1"/>
  <c r="O412" i="5" s="1"/>
  <c r="O413" i="5" s="1"/>
  <c r="O414" i="5" s="1"/>
  <c r="O415" i="5" s="1"/>
  <c r="O416" i="5" s="1"/>
  <c r="O417" i="5" s="1"/>
  <c r="O418" i="5" s="1"/>
  <c r="O419" i="5" s="1"/>
  <c r="O420" i="5" s="1"/>
  <c r="O421" i="5" s="1"/>
  <c r="O422" i="5" s="1"/>
  <c r="O423" i="5" s="1"/>
  <c r="O424" i="5" s="1"/>
  <c r="O425" i="5" s="1"/>
  <c r="O426" i="5" s="1"/>
  <c r="O427" i="5" s="1"/>
  <c r="O428" i="5" s="1"/>
  <c r="O429" i="5" s="1"/>
  <c r="O430" i="5" s="1"/>
  <c r="O431" i="5" s="1"/>
  <c r="O432" i="5" s="1"/>
  <c r="O433" i="5" s="1"/>
  <c r="O434" i="5" s="1"/>
  <c r="O435" i="5" s="1"/>
  <c r="O436" i="5" s="1"/>
  <c r="O437" i="5" s="1"/>
  <c r="O438" i="5" s="1"/>
  <c r="O439" i="5" s="1"/>
  <c r="O440" i="5" s="1"/>
  <c r="O441" i="5" s="1"/>
  <c r="O442" i="5" s="1"/>
  <c r="O443" i="5" s="1"/>
  <c r="O444" i="5" s="1"/>
  <c r="O445" i="5" s="1"/>
  <c r="O446" i="5" s="1"/>
  <c r="O447" i="5" s="1"/>
  <c r="O448" i="5" s="1"/>
  <c r="O449" i="5" s="1"/>
  <c r="O450" i="5" s="1"/>
  <c r="O451" i="5" s="1"/>
  <c r="O452" i="5" s="1"/>
  <c r="O453" i="5" s="1"/>
  <c r="O454" i="5" s="1"/>
  <c r="O455" i="5" s="1"/>
  <c r="O456" i="5" s="1"/>
  <c r="O457" i="5" s="1"/>
  <c r="O458" i="5" s="1"/>
  <c r="O459" i="5" s="1"/>
  <c r="O460" i="5" s="1"/>
  <c r="O461" i="5" s="1"/>
  <c r="O462" i="5" s="1"/>
  <c r="O463" i="5" s="1"/>
  <c r="O464" i="5" s="1"/>
  <c r="O465" i="5" s="1"/>
  <c r="O466" i="5" s="1"/>
  <c r="O467" i="5" s="1"/>
  <c r="O468" i="5" s="1"/>
  <c r="O469" i="5" s="1"/>
  <c r="O470" i="5" s="1"/>
  <c r="O471" i="5" s="1"/>
  <c r="O472" i="5" s="1"/>
  <c r="O473" i="5" s="1"/>
  <c r="O474" i="5" s="1"/>
  <c r="O475" i="5" s="1"/>
  <c r="O476" i="5" s="1"/>
  <c r="O477" i="5" s="1"/>
  <c r="O478" i="5" s="1"/>
  <c r="O479" i="5" s="1"/>
  <c r="O480" i="5" s="1"/>
  <c r="O481" i="5" s="1"/>
  <c r="O482" i="5" s="1"/>
  <c r="O483" i="5" s="1"/>
  <c r="O484" i="5" s="1"/>
  <c r="O485" i="5" s="1"/>
  <c r="O486" i="5" s="1"/>
  <c r="O487" i="5" s="1"/>
  <c r="O488" i="5" s="1"/>
  <c r="O489" i="5" s="1"/>
  <c r="O490" i="5" s="1"/>
  <c r="O491" i="5" s="1"/>
  <c r="O492" i="5" s="1"/>
  <c r="O493" i="5" s="1"/>
  <c r="O494" i="5" s="1"/>
  <c r="O495" i="5" s="1"/>
  <c r="O496" i="5" s="1"/>
  <c r="O497" i="5" s="1"/>
  <c r="O498" i="5" s="1"/>
  <c r="O499" i="5" s="1"/>
  <c r="O500" i="5" s="1"/>
  <c r="O501" i="5" s="1"/>
  <c r="O502" i="5" s="1"/>
  <c r="O503" i="5" s="1"/>
  <c r="O504" i="5" s="1"/>
  <c r="O505" i="5" s="1"/>
  <c r="O506" i="5" s="1"/>
  <c r="O507" i="5" s="1"/>
  <c r="O508" i="5" s="1"/>
  <c r="O509" i="5" s="1"/>
  <c r="O510" i="5" s="1"/>
  <c r="O511" i="5" s="1"/>
  <c r="O512" i="5" s="1"/>
  <c r="O513" i="5" s="1"/>
  <c r="O514" i="5" s="1"/>
  <c r="O515" i="5" s="1"/>
  <c r="O516" i="5" s="1"/>
  <c r="O517" i="5" s="1"/>
  <c r="O518" i="5" s="1"/>
  <c r="O519" i="5" s="1"/>
  <c r="O520" i="5" s="1"/>
  <c r="O521" i="5" s="1"/>
  <c r="O522" i="5" s="1"/>
  <c r="O523" i="5" s="1"/>
  <c r="O524" i="5" s="1"/>
  <c r="O525" i="5" s="1"/>
  <c r="O526" i="5" s="1"/>
  <c r="O527" i="5" s="1"/>
  <c r="O528" i="5" s="1"/>
  <c r="O529" i="5" s="1"/>
  <c r="O530" i="5" s="1"/>
  <c r="O531" i="5" s="1"/>
  <c r="O532" i="5" s="1"/>
  <c r="O533" i="5" s="1"/>
  <c r="O534" i="5" s="1"/>
  <c r="O535" i="5" s="1"/>
  <c r="O536" i="5" s="1"/>
  <c r="O537" i="5" s="1"/>
  <c r="O538" i="5" s="1"/>
  <c r="O539" i="5" s="1"/>
  <c r="O540" i="5" s="1"/>
  <c r="O541" i="5" s="1"/>
  <c r="O542" i="5" s="1"/>
  <c r="O543" i="5" s="1"/>
  <c r="O544" i="5" s="1"/>
  <c r="O545" i="5" s="1"/>
  <c r="O546" i="5" s="1"/>
  <c r="O547" i="5" s="1"/>
  <c r="O548" i="5" s="1"/>
  <c r="O549" i="5" s="1"/>
  <c r="O550" i="5" s="1"/>
  <c r="O551" i="5" s="1"/>
  <c r="O552" i="5" s="1"/>
  <c r="O553" i="5" s="1"/>
  <c r="O554" i="5" s="1"/>
  <c r="O555" i="5" s="1"/>
  <c r="O556" i="5" s="1"/>
  <c r="O557" i="5" s="1"/>
  <c r="O558" i="5" s="1"/>
  <c r="O559" i="5" s="1"/>
  <c r="O560" i="5" s="1"/>
  <c r="O561" i="5" s="1"/>
  <c r="O562" i="5" s="1"/>
  <c r="O563" i="5" s="1"/>
  <c r="O564" i="5" s="1"/>
  <c r="O565" i="5" s="1"/>
  <c r="O566" i="5" s="1"/>
  <c r="O567" i="5" s="1"/>
  <c r="O568" i="5" s="1"/>
  <c r="O569" i="5" s="1"/>
  <c r="O570" i="5" s="1"/>
  <c r="O571" i="5" s="1"/>
  <c r="O572" i="5" s="1"/>
  <c r="O573" i="5" s="1"/>
  <c r="O574" i="5" s="1"/>
  <c r="O575" i="5" s="1"/>
  <c r="O576" i="5" s="1"/>
  <c r="O577" i="5" s="1"/>
  <c r="O578" i="5" s="1"/>
  <c r="O579" i="5" s="1"/>
  <c r="O580" i="5" s="1"/>
  <c r="O581" i="5" s="1"/>
  <c r="O582" i="5" s="1"/>
  <c r="O583" i="5" s="1"/>
  <c r="O584" i="5" s="1"/>
  <c r="O585" i="5" s="1"/>
  <c r="O586" i="5" s="1"/>
  <c r="O587" i="5" s="1"/>
  <c r="O588" i="5" s="1"/>
  <c r="O589" i="5" s="1"/>
  <c r="O590" i="5" s="1"/>
  <c r="O591" i="5" s="1"/>
  <c r="O592" i="5" s="1"/>
  <c r="O593" i="5" s="1"/>
  <c r="O594" i="5" s="1"/>
  <c r="O595" i="5" s="1"/>
  <c r="O596" i="5" s="1"/>
  <c r="O597" i="5" s="1"/>
  <c r="O598" i="5" s="1"/>
  <c r="O599" i="5" s="1"/>
  <c r="O600" i="5" s="1"/>
  <c r="O601" i="5" s="1"/>
  <c r="O602" i="5" s="1"/>
  <c r="O603" i="5" s="1"/>
  <c r="O604" i="5" s="1"/>
  <c r="O605" i="5" s="1"/>
  <c r="O606" i="5" s="1"/>
  <c r="O607" i="5" s="1"/>
  <c r="O608" i="5" s="1"/>
  <c r="O609" i="5" s="1"/>
  <c r="O610" i="5" s="1"/>
  <c r="O611" i="5" s="1"/>
  <c r="O612" i="5" s="1"/>
  <c r="O613" i="5" s="1"/>
  <c r="O614" i="5" s="1"/>
  <c r="O615" i="5" s="1"/>
  <c r="O616" i="5" s="1"/>
  <c r="O617" i="5" s="1"/>
  <c r="O618" i="5" s="1"/>
  <c r="O619" i="5" s="1"/>
  <c r="O620" i="5" s="1"/>
  <c r="O621" i="5" s="1"/>
  <c r="O622" i="5" s="1"/>
  <c r="O623" i="5" s="1"/>
  <c r="O624" i="5" s="1"/>
  <c r="O625" i="5" s="1"/>
  <c r="O626" i="5" s="1"/>
  <c r="O627" i="5" s="1"/>
  <c r="O628" i="5" s="1"/>
  <c r="O629" i="5" s="1"/>
  <c r="O630" i="5" s="1"/>
  <c r="O631" i="5" s="1"/>
  <c r="O632" i="5" s="1"/>
  <c r="O633" i="5" s="1"/>
  <c r="O634" i="5" s="1"/>
  <c r="O635" i="5" s="1"/>
  <c r="O636" i="5" s="1"/>
  <c r="O637" i="5" s="1"/>
  <c r="O638" i="5" s="1"/>
  <c r="O639" i="5" s="1"/>
  <c r="O640" i="5" s="1"/>
  <c r="O641" i="5" s="1"/>
  <c r="O642" i="5" s="1"/>
  <c r="O643" i="5" s="1"/>
  <c r="O644" i="5" s="1"/>
  <c r="O645" i="5" s="1"/>
  <c r="O646" i="5" s="1"/>
  <c r="O647" i="5" s="1"/>
  <c r="O648" i="5" s="1"/>
  <c r="O649" i="5" s="1"/>
  <c r="O650" i="5" s="1"/>
  <c r="O651" i="5" s="1"/>
  <c r="O652" i="5" s="1"/>
  <c r="O653" i="5" s="1"/>
  <c r="O654" i="5" s="1"/>
  <c r="O655" i="5" s="1"/>
  <c r="O656" i="5" s="1"/>
  <c r="O657" i="5" s="1"/>
  <c r="O658" i="5" s="1"/>
  <c r="O659" i="5" s="1"/>
  <c r="O660" i="5" s="1"/>
  <c r="O661" i="5" s="1"/>
  <c r="O662" i="5" s="1"/>
  <c r="O663" i="5" s="1"/>
  <c r="O664" i="5" s="1"/>
  <c r="O665" i="5" s="1"/>
  <c r="O666" i="5" s="1"/>
  <c r="O667" i="5" s="1"/>
  <c r="O668" i="5" s="1"/>
  <c r="O669" i="5" s="1"/>
  <c r="O670" i="5" s="1"/>
  <c r="O671" i="5" s="1"/>
  <c r="O672" i="5" s="1"/>
  <c r="O673" i="5" s="1"/>
  <c r="O674" i="5" s="1"/>
  <c r="O675" i="5" s="1"/>
  <c r="O676" i="5" s="1"/>
  <c r="O677" i="5" s="1"/>
  <c r="O678" i="5" s="1"/>
  <c r="O679" i="5" s="1"/>
  <c r="O680" i="5" s="1"/>
  <c r="O681" i="5" s="1"/>
  <c r="O682" i="5" s="1"/>
  <c r="O683" i="5" s="1"/>
  <c r="O684" i="5" s="1"/>
  <c r="O685" i="5" s="1"/>
  <c r="O686" i="5" s="1"/>
  <c r="O687" i="5" s="1"/>
  <c r="O688" i="5" s="1"/>
  <c r="O689" i="5" s="1"/>
  <c r="O690" i="5" s="1"/>
  <c r="O691" i="5" s="1"/>
  <c r="O692" i="5" s="1"/>
  <c r="O693" i="5" s="1"/>
  <c r="O694" i="5" s="1"/>
  <c r="O695" i="5" s="1"/>
  <c r="O696" i="5" s="1"/>
  <c r="O697" i="5" s="1"/>
  <c r="O698" i="5" s="1"/>
  <c r="O699" i="5" s="1"/>
  <c r="O700" i="5" s="1"/>
  <c r="O701" i="5" s="1"/>
  <c r="O702" i="5" s="1"/>
  <c r="O703" i="5" s="1"/>
  <c r="O704" i="5" s="1"/>
  <c r="O705" i="5" s="1"/>
  <c r="O706" i="5" s="1"/>
  <c r="O707" i="5" s="1"/>
  <c r="O708" i="5" s="1"/>
  <c r="O709" i="5" s="1"/>
  <c r="O710" i="5" s="1"/>
  <c r="O711" i="5" s="1"/>
  <c r="O712" i="5" s="1"/>
  <c r="O713" i="5" s="1"/>
  <c r="O714" i="5" s="1"/>
  <c r="O715" i="5" s="1"/>
  <c r="O716" i="5" s="1"/>
  <c r="O717" i="5" s="1"/>
  <c r="O718" i="5" s="1"/>
  <c r="O719" i="5" s="1"/>
  <c r="O720" i="5" s="1"/>
  <c r="O721" i="5" s="1"/>
  <c r="O722" i="5" s="1"/>
  <c r="O723" i="5" s="1"/>
  <c r="O724" i="5" s="1"/>
  <c r="O725" i="5" s="1"/>
  <c r="O726" i="5" s="1"/>
  <c r="O727" i="5" s="1"/>
  <c r="O728" i="5" s="1"/>
  <c r="O729" i="5" s="1"/>
  <c r="O730" i="5" s="1"/>
  <c r="O731" i="5" s="1"/>
  <c r="O732" i="5" s="1"/>
  <c r="O733" i="5" s="1"/>
  <c r="O734" i="5" s="1"/>
  <c r="O735" i="5" s="1"/>
  <c r="O736" i="5" s="1"/>
  <c r="O737" i="5" s="1"/>
  <c r="O738" i="5" s="1"/>
  <c r="O739" i="5" s="1"/>
  <c r="O740" i="5" s="1"/>
  <c r="O741" i="5" s="1"/>
  <c r="O742" i="5" s="1"/>
  <c r="O743" i="5" s="1"/>
  <c r="O744" i="5" s="1"/>
  <c r="O745" i="5" s="1"/>
  <c r="O746" i="5" s="1"/>
  <c r="O747" i="5" s="1"/>
  <c r="O748" i="5" s="1"/>
  <c r="O749" i="5" s="1"/>
  <c r="O750" i="5" s="1"/>
  <c r="O751" i="5" s="1"/>
  <c r="O752" i="5" s="1"/>
  <c r="O753" i="5" s="1"/>
  <c r="O754" i="5" s="1"/>
  <c r="O755" i="5" s="1"/>
  <c r="O756" i="5" s="1"/>
  <c r="O757" i="5" s="1"/>
  <c r="O758" i="5" s="1"/>
  <c r="O759" i="5" s="1"/>
  <c r="O760" i="5" s="1"/>
  <c r="O761" i="5" s="1"/>
  <c r="O762" i="5" s="1"/>
  <c r="O763" i="5" s="1"/>
  <c r="O764" i="5" s="1"/>
  <c r="O765" i="5" s="1"/>
  <c r="O766" i="5" s="1"/>
  <c r="O767" i="5" s="1"/>
  <c r="O768" i="5" s="1"/>
  <c r="O769" i="5" s="1"/>
  <c r="O770" i="5" s="1"/>
  <c r="O771" i="5" s="1"/>
  <c r="O772" i="5" s="1"/>
  <c r="O773" i="5" s="1"/>
  <c r="O774" i="5" s="1"/>
  <c r="O775" i="5" s="1"/>
  <c r="O776" i="5" s="1"/>
  <c r="O777" i="5" s="1"/>
  <c r="O778" i="5" s="1"/>
  <c r="O779" i="5" s="1"/>
  <c r="O780" i="5" s="1"/>
  <c r="O781" i="5" s="1"/>
  <c r="O782" i="5" s="1"/>
  <c r="O783" i="5" s="1"/>
  <c r="O784" i="5" s="1"/>
  <c r="O785" i="5" s="1"/>
  <c r="O786" i="5" s="1"/>
  <c r="O787" i="5" s="1"/>
  <c r="O788" i="5" s="1"/>
  <c r="O789" i="5" s="1"/>
  <c r="O790" i="5" s="1"/>
  <c r="O791" i="5" s="1"/>
  <c r="O792" i="5" s="1"/>
  <c r="O793" i="5" s="1"/>
  <c r="O794" i="5" s="1"/>
  <c r="O795" i="5" s="1"/>
  <c r="O796" i="5" s="1"/>
  <c r="O797" i="5" s="1"/>
  <c r="O798" i="5" s="1"/>
  <c r="O799" i="5" s="1"/>
  <c r="O800" i="5" s="1"/>
  <c r="O801" i="5" s="1"/>
  <c r="O802" i="5" s="1"/>
  <c r="O803" i="5" s="1"/>
  <c r="O804" i="5" s="1"/>
  <c r="O805" i="5" s="1"/>
  <c r="O806" i="5" s="1"/>
  <c r="O807" i="5" s="1"/>
  <c r="O808" i="5" s="1"/>
  <c r="O809" i="5" s="1"/>
  <c r="O810" i="5" s="1"/>
  <c r="O811" i="5" s="1"/>
  <c r="O812" i="5" s="1"/>
  <c r="O813" i="5" s="1"/>
  <c r="O814" i="5" s="1"/>
  <c r="O815" i="5" s="1"/>
  <c r="O816" i="5" s="1"/>
  <c r="O817" i="5" s="1"/>
  <c r="O818" i="5" s="1"/>
  <c r="O819" i="5" s="1"/>
  <c r="O820" i="5" s="1"/>
  <c r="O821" i="5" s="1"/>
  <c r="O822" i="5" s="1"/>
  <c r="O823" i="5" s="1"/>
  <c r="O824" i="5" s="1"/>
  <c r="O825" i="5" s="1"/>
  <c r="O826" i="5" s="1"/>
  <c r="O827" i="5" s="1"/>
  <c r="O828" i="5" s="1"/>
  <c r="O829" i="5" s="1"/>
  <c r="O830" i="5" s="1"/>
  <c r="O831" i="5" s="1"/>
  <c r="O832" i="5" s="1"/>
  <c r="O833" i="5" s="1"/>
  <c r="O834" i="5" s="1"/>
  <c r="O835" i="5" s="1"/>
  <c r="O836" i="5" s="1"/>
  <c r="O837" i="5" s="1"/>
  <c r="O838" i="5" s="1"/>
  <c r="O839" i="5" s="1"/>
  <c r="O840" i="5" s="1"/>
  <c r="O841" i="5" s="1"/>
  <c r="O842" i="5" s="1"/>
  <c r="O843" i="5" s="1"/>
  <c r="O844" i="5" s="1"/>
  <c r="O845" i="5" s="1"/>
  <c r="O846" i="5" s="1"/>
  <c r="O847" i="5" s="1"/>
  <c r="O848" i="5" s="1"/>
  <c r="O849" i="5" s="1"/>
  <c r="O850" i="5" s="1"/>
  <c r="O851" i="5" s="1"/>
  <c r="O852" i="5" s="1"/>
  <c r="O853" i="5" s="1"/>
  <c r="O854" i="5" s="1"/>
  <c r="O855" i="5" s="1"/>
  <c r="O856" i="5" s="1"/>
  <c r="O857" i="5" s="1"/>
  <c r="O858" i="5" s="1"/>
  <c r="O859" i="5" s="1"/>
  <c r="O860" i="5" s="1"/>
  <c r="O861" i="5" s="1"/>
  <c r="O862" i="5" s="1"/>
  <c r="O863" i="5" s="1"/>
  <c r="O864" i="5" s="1"/>
  <c r="O865" i="5" s="1"/>
  <c r="O866" i="5" s="1"/>
  <c r="O867" i="5" s="1"/>
  <c r="O868" i="5" s="1"/>
  <c r="O869" i="5" s="1"/>
  <c r="O870" i="5" s="1"/>
  <c r="O871" i="5" s="1"/>
  <c r="O872" i="5" s="1"/>
  <c r="O873" i="5" s="1"/>
  <c r="O874" i="5" s="1"/>
  <c r="O875" i="5" s="1"/>
  <c r="O876" i="5" s="1"/>
  <c r="O877" i="5" s="1"/>
  <c r="O878" i="5" s="1"/>
  <c r="O879" i="5" s="1"/>
  <c r="O880" i="5" s="1"/>
  <c r="O881" i="5" s="1"/>
  <c r="O882" i="5" s="1"/>
  <c r="O883" i="5" s="1"/>
  <c r="O884" i="5" s="1"/>
  <c r="O885" i="5" s="1"/>
  <c r="O886" i="5" s="1"/>
  <c r="O887" i="5" s="1"/>
  <c r="O888" i="5" s="1"/>
  <c r="O889" i="5" s="1"/>
  <c r="O890" i="5" s="1"/>
  <c r="O891" i="5" s="1"/>
  <c r="O892" i="5" s="1"/>
  <c r="O893" i="5" s="1"/>
  <c r="O894" i="5" s="1"/>
  <c r="O895" i="5" s="1"/>
  <c r="O896" i="5" s="1"/>
  <c r="O897" i="5" s="1"/>
  <c r="O898" i="5" s="1"/>
  <c r="O899" i="5" s="1"/>
  <c r="O900" i="5" s="1"/>
  <c r="O901" i="5" s="1"/>
  <c r="O902" i="5" s="1"/>
  <c r="O903" i="5" s="1"/>
  <c r="O904" i="5" s="1"/>
  <c r="O905" i="5" s="1"/>
  <c r="O906" i="5" s="1"/>
  <c r="O907" i="5" s="1"/>
  <c r="O908" i="5" s="1"/>
  <c r="O909" i="5" s="1"/>
  <c r="O910" i="5" s="1"/>
  <c r="O911" i="5" s="1"/>
  <c r="O912" i="5" s="1"/>
  <c r="O913" i="5" s="1"/>
  <c r="O914" i="5" s="1"/>
  <c r="O915" i="5" s="1"/>
  <c r="O916" i="5" s="1"/>
  <c r="O917" i="5" s="1"/>
  <c r="O918" i="5" s="1"/>
  <c r="O919" i="5" s="1"/>
  <c r="O920" i="5" s="1"/>
  <c r="O921" i="5" s="1"/>
  <c r="O922" i="5" s="1"/>
  <c r="O923" i="5" s="1"/>
  <c r="O924" i="5" s="1"/>
  <c r="O925" i="5" s="1"/>
  <c r="O926" i="5" s="1"/>
  <c r="O927" i="5" s="1"/>
  <c r="O928" i="5" s="1"/>
  <c r="O929" i="5" s="1"/>
  <c r="O930" i="5" s="1"/>
  <c r="O931" i="5" s="1"/>
  <c r="O932" i="5" s="1"/>
  <c r="O933" i="5" s="1"/>
  <c r="O934" i="5" s="1"/>
  <c r="O935" i="5" s="1"/>
  <c r="O936" i="5" s="1"/>
  <c r="O937" i="5" s="1"/>
  <c r="O938" i="5" s="1"/>
  <c r="O939" i="5" s="1"/>
  <c r="O940" i="5" s="1"/>
  <c r="O941" i="5" s="1"/>
  <c r="O942" i="5" s="1"/>
  <c r="O943" i="5" s="1"/>
  <c r="O944" i="5" s="1"/>
  <c r="O945" i="5" s="1"/>
  <c r="O946" i="5" s="1"/>
  <c r="O947" i="5" s="1"/>
  <c r="O948" i="5" s="1"/>
  <c r="O949" i="5" s="1"/>
  <c r="O950" i="5" s="1"/>
  <c r="O951" i="5" s="1"/>
  <c r="O952" i="5" s="1"/>
  <c r="O953" i="5" s="1"/>
  <c r="O954" i="5" s="1"/>
  <c r="O955" i="5" s="1"/>
  <c r="O956" i="5" s="1"/>
  <c r="O957" i="5" s="1"/>
  <c r="O958" i="5" s="1"/>
  <c r="O959" i="5" s="1"/>
  <c r="O960" i="5" s="1"/>
  <c r="O961" i="5" s="1"/>
  <c r="O962" i="5" s="1"/>
  <c r="O963" i="5" s="1"/>
  <c r="O964" i="5" s="1"/>
  <c r="O965" i="5" s="1"/>
  <c r="O966" i="5" s="1"/>
  <c r="O967" i="5" s="1"/>
  <c r="O968" i="5" s="1"/>
  <c r="O969" i="5" s="1"/>
  <c r="O970" i="5" s="1"/>
  <c r="O971" i="5" s="1"/>
  <c r="O972" i="5" s="1"/>
  <c r="O973" i="5" s="1"/>
  <c r="O974" i="5" s="1"/>
  <c r="O975" i="5" s="1"/>
  <c r="O976" i="5" s="1"/>
  <c r="O977" i="5" s="1"/>
  <c r="O978" i="5" s="1"/>
  <c r="O979" i="5" s="1"/>
  <c r="O980" i="5" s="1"/>
  <c r="O981" i="5" s="1"/>
  <c r="O982" i="5" s="1"/>
  <c r="O983" i="5" s="1"/>
  <c r="O984" i="5" s="1"/>
  <c r="O985" i="5" s="1"/>
  <c r="O986" i="5" s="1"/>
  <c r="O987" i="5" s="1"/>
  <c r="O988" i="5" s="1"/>
  <c r="O989" i="5" s="1"/>
  <c r="O990" i="5" s="1"/>
  <c r="O991" i="5" s="1"/>
  <c r="O992" i="5" s="1"/>
  <c r="O993" i="5" s="1"/>
  <c r="O994" i="5" s="1"/>
  <c r="O995" i="5" s="1"/>
  <c r="O996" i="5" s="1"/>
  <c r="O997" i="5" s="1"/>
  <c r="O998" i="5" s="1"/>
  <c r="O999" i="5" s="1"/>
  <c r="O1000" i="5" s="1"/>
  <c r="O1001" i="5" s="1"/>
  <c r="F2" i="5"/>
  <c r="G2" i="5"/>
  <c r="H2" i="5"/>
  <c r="I2" i="5"/>
  <c r="J2" i="5"/>
  <c r="K2" i="5"/>
  <c r="L2" i="5"/>
  <c r="L3" i="5" s="1"/>
  <c r="L4" i="5" s="1"/>
  <c r="L5" i="5" s="1"/>
  <c r="L6" i="5" s="1"/>
  <c r="L7" i="5" s="1"/>
  <c r="L8" i="5" s="1"/>
  <c r="L9" i="5" s="1"/>
  <c r="L10" i="5" s="1"/>
  <c r="L11" i="5" s="1"/>
  <c r="L12" i="5" s="1"/>
  <c r="L13" i="5" s="1"/>
  <c r="L14" i="5" s="1"/>
  <c r="L15" i="5" s="1"/>
  <c r="L16" i="5" s="1"/>
  <c r="L17" i="5" s="1"/>
  <c r="L18" i="5" s="1"/>
  <c r="L19" i="5" s="1"/>
  <c r="L20" i="5" s="1"/>
  <c r="L21" i="5" s="1"/>
  <c r="L22" i="5" s="1"/>
  <c r="L23" i="5" s="1"/>
  <c r="L24" i="5" s="1"/>
  <c r="L25" i="5" s="1"/>
  <c r="L26" i="5" s="1"/>
  <c r="L27" i="5" s="1"/>
  <c r="L28" i="5" s="1"/>
  <c r="L29" i="5" s="1"/>
  <c r="L30" i="5" s="1"/>
  <c r="L31" i="5" s="1"/>
  <c r="L32" i="5" s="1"/>
  <c r="L33" i="5" s="1"/>
  <c r="L34" i="5" s="1"/>
  <c r="L35" i="5" s="1"/>
  <c r="L36" i="5" s="1"/>
  <c r="L37" i="5" s="1"/>
  <c r="L38" i="5" s="1"/>
  <c r="L39" i="5" s="1"/>
  <c r="L40" i="5" s="1"/>
  <c r="L41" i="5" s="1"/>
  <c r="L42" i="5" s="1"/>
  <c r="L43" i="5" s="1"/>
  <c r="L44" i="5" s="1"/>
  <c r="L45" i="5" s="1"/>
  <c r="L46" i="5" s="1"/>
  <c r="L47" i="5" s="1"/>
  <c r="L48" i="5" s="1"/>
  <c r="L49" i="5" s="1"/>
  <c r="L50" i="5" s="1"/>
  <c r="L51" i="5" s="1"/>
  <c r="L52" i="5" s="1"/>
  <c r="L53" i="5" s="1"/>
  <c r="L54" i="5" s="1"/>
  <c r="L55" i="5" s="1"/>
  <c r="L56" i="5" s="1"/>
  <c r="L57" i="5" s="1"/>
  <c r="L58" i="5" s="1"/>
  <c r="L59" i="5" s="1"/>
  <c r="L60" i="5" s="1"/>
  <c r="L61" i="5" s="1"/>
  <c r="L62" i="5" s="1"/>
  <c r="L63" i="5" s="1"/>
  <c r="L64" i="5" s="1"/>
  <c r="L65" i="5" s="1"/>
  <c r="L66" i="5" s="1"/>
  <c r="L67" i="5" s="1"/>
  <c r="L68" i="5" s="1"/>
  <c r="L69" i="5" s="1"/>
  <c r="L70" i="5" s="1"/>
  <c r="L71" i="5" s="1"/>
  <c r="L72" i="5" s="1"/>
  <c r="L73" i="5" s="1"/>
  <c r="L74" i="5" s="1"/>
  <c r="L75" i="5" s="1"/>
  <c r="L76" i="5" s="1"/>
  <c r="L77" i="5" s="1"/>
  <c r="L78" i="5" s="1"/>
  <c r="L79" i="5" s="1"/>
  <c r="L80" i="5" s="1"/>
  <c r="L81" i="5" s="1"/>
  <c r="L82" i="5" s="1"/>
  <c r="L83" i="5" s="1"/>
  <c r="L84" i="5" s="1"/>
  <c r="L85" i="5" s="1"/>
  <c r="L86" i="5" s="1"/>
  <c r="L87" i="5" s="1"/>
  <c r="L88" i="5" s="1"/>
  <c r="L89" i="5" s="1"/>
  <c r="L90" i="5" s="1"/>
  <c r="L91" i="5" s="1"/>
  <c r="L92" i="5" s="1"/>
  <c r="L93" i="5" s="1"/>
  <c r="L94" i="5" s="1"/>
  <c r="L95" i="5" s="1"/>
  <c r="L96" i="5" s="1"/>
  <c r="L97" i="5" s="1"/>
  <c r="L98" i="5" s="1"/>
  <c r="L99" i="5" s="1"/>
  <c r="L100" i="5" s="1"/>
  <c r="L101" i="5" s="1"/>
  <c r="L102" i="5" s="1"/>
  <c r="L103" i="5" s="1"/>
  <c r="L104" i="5" s="1"/>
  <c r="L105" i="5" s="1"/>
  <c r="L106" i="5" s="1"/>
  <c r="L107" i="5" s="1"/>
  <c r="L108" i="5" s="1"/>
  <c r="L109" i="5" s="1"/>
  <c r="L110" i="5" s="1"/>
  <c r="L111" i="5" s="1"/>
  <c r="L112" i="5" s="1"/>
  <c r="L113" i="5" s="1"/>
  <c r="L114" i="5" s="1"/>
  <c r="L115" i="5" s="1"/>
  <c r="L116" i="5" s="1"/>
  <c r="L117" i="5" s="1"/>
  <c r="L118" i="5" s="1"/>
  <c r="L119" i="5" s="1"/>
  <c r="L120" i="5" s="1"/>
  <c r="L121" i="5" s="1"/>
  <c r="L122" i="5" s="1"/>
  <c r="L123" i="5" s="1"/>
  <c r="L124" i="5" s="1"/>
  <c r="L125" i="5" s="1"/>
  <c r="L126" i="5" s="1"/>
  <c r="L127" i="5" s="1"/>
  <c r="L128" i="5" s="1"/>
  <c r="L129" i="5" s="1"/>
  <c r="L130" i="5" s="1"/>
  <c r="L131" i="5" s="1"/>
  <c r="L132" i="5" s="1"/>
  <c r="L133" i="5" s="1"/>
  <c r="L134" i="5" s="1"/>
  <c r="L135" i="5" s="1"/>
  <c r="L136" i="5" s="1"/>
  <c r="L137" i="5" s="1"/>
  <c r="L138" i="5" s="1"/>
  <c r="L139" i="5" s="1"/>
  <c r="L140" i="5" s="1"/>
  <c r="L141" i="5" s="1"/>
  <c r="L142" i="5" s="1"/>
  <c r="L143" i="5" s="1"/>
  <c r="L144" i="5" s="1"/>
  <c r="L145" i="5" s="1"/>
  <c r="L146" i="5" s="1"/>
  <c r="L147" i="5" s="1"/>
  <c r="L148" i="5" s="1"/>
  <c r="L149" i="5" s="1"/>
  <c r="L150" i="5" s="1"/>
  <c r="L151" i="5" s="1"/>
  <c r="L152" i="5" s="1"/>
  <c r="L153" i="5" s="1"/>
  <c r="L154" i="5" s="1"/>
  <c r="L155" i="5" s="1"/>
  <c r="L156" i="5" s="1"/>
  <c r="L157" i="5" s="1"/>
  <c r="L158" i="5" s="1"/>
  <c r="L159" i="5" s="1"/>
  <c r="L160" i="5" s="1"/>
  <c r="L161" i="5" s="1"/>
  <c r="L162" i="5" s="1"/>
  <c r="L163" i="5" s="1"/>
  <c r="L164" i="5" s="1"/>
  <c r="L165" i="5" s="1"/>
  <c r="L166" i="5" s="1"/>
  <c r="L167" i="5" s="1"/>
  <c r="L168" i="5" s="1"/>
  <c r="L169" i="5" s="1"/>
  <c r="L170" i="5" s="1"/>
  <c r="L171" i="5" s="1"/>
  <c r="L172" i="5" s="1"/>
  <c r="L173" i="5" s="1"/>
  <c r="L174" i="5" s="1"/>
  <c r="L175" i="5" s="1"/>
  <c r="L176" i="5" s="1"/>
  <c r="L177" i="5" s="1"/>
  <c r="L178" i="5" s="1"/>
  <c r="L179" i="5" s="1"/>
  <c r="L180" i="5" s="1"/>
  <c r="L181" i="5" s="1"/>
  <c r="L182" i="5" s="1"/>
  <c r="L183" i="5" s="1"/>
  <c r="L184" i="5" s="1"/>
  <c r="L185" i="5" s="1"/>
  <c r="L186" i="5" s="1"/>
  <c r="L187" i="5" s="1"/>
  <c r="L188" i="5" s="1"/>
  <c r="L189" i="5" s="1"/>
  <c r="L190" i="5" s="1"/>
  <c r="L191" i="5" s="1"/>
  <c r="L192" i="5" s="1"/>
  <c r="L193" i="5" s="1"/>
  <c r="L194" i="5" s="1"/>
  <c r="L195" i="5" s="1"/>
  <c r="L196" i="5" s="1"/>
  <c r="L197" i="5" s="1"/>
  <c r="L198" i="5" s="1"/>
  <c r="L199" i="5" s="1"/>
  <c r="L200" i="5" s="1"/>
  <c r="L201" i="5" s="1"/>
  <c r="L202" i="5" s="1"/>
  <c r="L203" i="5" s="1"/>
  <c r="L204" i="5" s="1"/>
  <c r="L205" i="5" s="1"/>
  <c r="L206" i="5" s="1"/>
  <c r="L207" i="5" s="1"/>
  <c r="L208" i="5" s="1"/>
  <c r="L209" i="5" s="1"/>
  <c r="L210" i="5" s="1"/>
  <c r="L211" i="5" s="1"/>
  <c r="L212" i="5" s="1"/>
  <c r="L213" i="5" s="1"/>
  <c r="L214" i="5" s="1"/>
  <c r="L215" i="5" s="1"/>
  <c r="L216" i="5" s="1"/>
  <c r="L217" i="5" s="1"/>
  <c r="L218" i="5" s="1"/>
  <c r="L219" i="5" s="1"/>
  <c r="L220" i="5" s="1"/>
  <c r="L221" i="5" s="1"/>
  <c r="L222" i="5" s="1"/>
  <c r="L223" i="5" s="1"/>
  <c r="L224" i="5" s="1"/>
  <c r="L225" i="5" s="1"/>
  <c r="L226" i="5" s="1"/>
  <c r="L227" i="5" s="1"/>
  <c r="L228" i="5" s="1"/>
  <c r="L229" i="5" s="1"/>
  <c r="L230" i="5" s="1"/>
  <c r="L231" i="5" s="1"/>
  <c r="L232" i="5" s="1"/>
  <c r="L233" i="5" s="1"/>
  <c r="L234" i="5" s="1"/>
  <c r="L235" i="5" s="1"/>
  <c r="L236" i="5" s="1"/>
  <c r="L237" i="5" s="1"/>
  <c r="L238" i="5" s="1"/>
  <c r="L239" i="5" s="1"/>
  <c r="L240" i="5" s="1"/>
  <c r="L241" i="5" s="1"/>
  <c r="L242" i="5" s="1"/>
  <c r="L243" i="5" s="1"/>
  <c r="L244" i="5" s="1"/>
  <c r="L245" i="5" s="1"/>
  <c r="L246" i="5" s="1"/>
  <c r="L247" i="5" s="1"/>
  <c r="L248" i="5" s="1"/>
  <c r="L249" i="5" s="1"/>
  <c r="L250" i="5" s="1"/>
  <c r="L251" i="5" s="1"/>
  <c r="L252" i="5" s="1"/>
  <c r="L253" i="5" s="1"/>
  <c r="L254" i="5" s="1"/>
  <c r="L255" i="5" s="1"/>
  <c r="L256" i="5" s="1"/>
  <c r="L257" i="5" s="1"/>
  <c r="L258" i="5" s="1"/>
  <c r="L259" i="5" s="1"/>
  <c r="L260" i="5" s="1"/>
  <c r="L261" i="5" s="1"/>
  <c r="L262" i="5" s="1"/>
  <c r="L263" i="5" s="1"/>
  <c r="L264" i="5" s="1"/>
  <c r="L265" i="5" s="1"/>
  <c r="L266" i="5" s="1"/>
  <c r="L267" i="5" s="1"/>
  <c r="L268" i="5" s="1"/>
  <c r="L269" i="5" s="1"/>
  <c r="L270" i="5" s="1"/>
  <c r="L271" i="5" s="1"/>
  <c r="L272" i="5" s="1"/>
  <c r="L273" i="5" s="1"/>
  <c r="L274" i="5" s="1"/>
  <c r="L275" i="5" s="1"/>
  <c r="L276" i="5" s="1"/>
  <c r="L277" i="5" s="1"/>
  <c r="L278" i="5" s="1"/>
  <c r="L279" i="5" s="1"/>
  <c r="L280" i="5" s="1"/>
  <c r="L281" i="5" s="1"/>
  <c r="L282" i="5" s="1"/>
  <c r="L283" i="5" s="1"/>
  <c r="L284" i="5" s="1"/>
  <c r="L285" i="5" s="1"/>
  <c r="L286" i="5" s="1"/>
  <c r="L287" i="5" s="1"/>
  <c r="L288" i="5" s="1"/>
  <c r="L289" i="5" s="1"/>
  <c r="L290" i="5" s="1"/>
  <c r="L291" i="5" s="1"/>
  <c r="L292" i="5" s="1"/>
  <c r="L293" i="5" s="1"/>
  <c r="L294" i="5" s="1"/>
  <c r="L295" i="5" s="1"/>
  <c r="L296" i="5" s="1"/>
  <c r="L297" i="5" s="1"/>
  <c r="L298" i="5" s="1"/>
  <c r="L299" i="5" s="1"/>
  <c r="L300" i="5" s="1"/>
  <c r="L301" i="5" s="1"/>
  <c r="L302" i="5" s="1"/>
  <c r="L303" i="5" s="1"/>
  <c r="L304" i="5" s="1"/>
  <c r="L305" i="5" s="1"/>
  <c r="L306" i="5" s="1"/>
  <c r="L307" i="5" s="1"/>
  <c r="L308" i="5" s="1"/>
  <c r="L309" i="5" s="1"/>
  <c r="L310" i="5" s="1"/>
  <c r="L311" i="5" s="1"/>
  <c r="L312" i="5" s="1"/>
  <c r="L313" i="5" s="1"/>
  <c r="L314" i="5" s="1"/>
  <c r="L315" i="5" s="1"/>
  <c r="L316" i="5" s="1"/>
  <c r="L317" i="5" s="1"/>
  <c r="L318" i="5" s="1"/>
  <c r="L319" i="5" s="1"/>
  <c r="L320" i="5" s="1"/>
  <c r="L321" i="5" s="1"/>
  <c r="L322" i="5" s="1"/>
  <c r="L323" i="5" s="1"/>
  <c r="L324" i="5" s="1"/>
  <c r="L325" i="5" s="1"/>
  <c r="L326" i="5" s="1"/>
  <c r="L327" i="5" s="1"/>
  <c r="L328" i="5" s="1"/>
  <c r="L329" i="5" s="1"/>
  <c r="L330" i="5" s="1"/>
  <c r="L331" i="5" s="1"/>
  <c r="L332" i="5" s="1"/>
  <c r="L333" i="5" s="1"/>
  <c r="L334" i="5" s="1"/>
  <c r="L335" i="5" s="1"/>
  <c r="L336" i="5" s="1"/>
  <c r="L337" i="5" s="1"/>
  <c r="L338" i="5" s="1"/>
  <c r="L339" i="5" s="1"/>
  <c r="L340" i="5" s="1"/>
  <c r="L341" i="5" s="1"/>
  <c r="L342" i="5" s="1"/>
  <c r="L343" i="5" s="1"/>
  <c r="L344" i="5" s="1"/>
  <c r="L345" i="5" s="1"/>
  <c r="L346" i="5" s="1"/>
  <c r="L347" i="5" s="1"/>
  <c r="L348" i="5" s="1"/>
  <c r="L349" i="5" s="1"/>
  <c r="L350" i="5" s="1"/>
  <c r="L351" i="5" s="1"/>
  <c r="L352" i="5" s="1"/>
  <c r="L353" i="5" s="1"/>
  <c r="L354" i="5" s="1"/>
  <c r="L355" i="5" s="1"/>
  <c r="L356" i="5" s="1"/>
  <c r="L357" i="5" s="1"/>
  <c r="L358" i="5" s="1"/>
  <c r="L359" i="5" s="1"/>
  <c r="L360" i="5" s="1"/>
  <c r="L361" i="5" s="1"/>
  <c r="L362" i="5" s="1"/>
  <c r="L363" i="5" s="1"/>
  <c r="L364" i="5" s="1"/>
  <c r="L365" i="5" s="1"/>
  <c r="L366" i="5" s="1"/>
  <c r="L367" i="5" s="1"/>
  <c r="L368" i="5" s="1"/>
  <c r="L369" i="5" s="1"/>
  <c r="L370" i="5" s="1"/>
  <c r="L371" i="5" s="1"/>
  <c r="L372" i="5" s="1"/>
  <c r="L373" i="5" s="1"/>
  <c r="L374" i="5" s="1"/>
  <c r="L375" i="5" s="1"/>
  <c r="L376" i="5" s="1"/>
  <c r="L377" i="5" s="1"/>
  <c r="L378" i="5" s="1"/>
  <c r="L379" i="5" s="1"/>
  <c r="L380" i="5" s="1"/>
  <c r="L381" i="5" s="1"/>
  <c r="L382" i="5" s="1"/>
  <c r="L383" i="5" s="1"/>
  <c r="L384" i="5" s="1"/>
  <c r="L385" i="5" s="1"/>
  <c r="L386" i="5" s="1"/>
  <c r="L387" i="5" s="1"/>
  <c r="L388" i="5" s="1"/>
  <c r="L389" i="5" s="1"/>
  <c r="L390" i="5" s="1"/>
  <c r="L391" i="5" s="1"/>
  <c r="L392" i="5" s="1"/>
  <c r="L393" i="5" s="1"/>
  <c r="L394" i="5" s="1"/>
  <c r="L395" i="5" s="1"/>
  <c r="L396" i="5" s="1"/>
  <c r="L397" i="5" s="1"/>
  <c r="L398" i="5" s="1"/>
  <c r="L399" i="5" s="1"/>
  <c r="L400" i="5" s="1"/>
  <c r="L401" i="5" s="1"/>
  <c r="L402" i="5" s="1"/>
  <c r="L403" i="5" s="1"/>
  <c r="L404" i="5" s="1"/>
  <c r="L405" i="5" s="1"/>
  <c r="L406" i="5" s="1"/>
  <c r="L407" i="5" s="1"/>
  <c r="L408" i="5" s="1"/>
  <c r="L409" i="5" s="1"/>
  <c r="L410" i="5" s="1"/>
  <c r="L411" i="5" s="1"/>
  <c r="L412" i="5" s="1"/>
  <c r="L413" i="5" s="1"/>
  <c r="L414" i="5" s="1"/>
  <c r="L415" i="5" s="1"/>
  <c r="L416" i="5" s="1"/>
  <c r="L417" i="5" s="1"/>
  <c r="L418" i="5" s="1"/>
  <c r="L419" i="5" s="1"/>
  <c r="L420" i="5" s="1"/>
  <c r="L421" i="5" s="1"/>
  <c r="L422" i="5" s="1"/>
  <c r="L423" i="5" s="1"/>
  <c r="L424" i="5" s="1"/>
  <c r="L425" i="5" s="1"/>
  <c r="L426" i="5" s="1"/>
  <c r="L427" i="5" s="1"/>
  <c r="L428" i="5" s="1"/>
  <c r="L429" i="5" s="1"/>
  <c r="L430" i="5" s="1"/>
  <c r="L431" i="5" s="1"/>
  <c r="L432" i="5" s="1"/>
  <c r="L433" i="5" s="1"/>
  <c r="L434" i="5" s="1"/>
  <c r="L435" i="5" s="1"/>
  <c r="L436" i="5" s="1"/>
  <c r="L437" i="5" s="1"/>
  <c r="L438" i="5" s="1"/>
  <c r="L439" i="5" s="1"/>
  <c r="L440" i="5" s="1"/>
  <c r="L441" i="5" s="1"/>
  <c r="L442" i="5" s="1"/>
  <c r="L443" i="5" s="1"/>
  <c r="L444" i="5" s="1"/>
  <c r="L445" i="5" s="1"/>
  <c r="L446" i="5" s="1"/>
  <c r="L447" i="5" s="1"/>
  <c r="L448" i="5" s="1"/>
  <c r="L449" i="5" s="1"/>
  <c r="L450" i="5" s="1"/>
  <c r="L451" i="5" s="1"/>
  <c r="L452" i="5" s="1"/>
  <c r="L453" i="5" s="1"/>
  <c r="L454" i="5" s="1"/>
  <c r="L455" i="5" s="1"/>
  <c r="L456" i="5" s="1"/>
  <c r="L457" i="5" s="1"/>
  <c r="L458" i="5" s="1"/>
  <c r="L459" i="5" s="1"/>
  <c r="L460" i="5" s="1"/>
  <c r="L461" i="5" s="1"/>
  <c r="L462" i="5" s="1"/>
  <c r="L463" i="5" s="1"/>
  <c r="L464" i="5" s="1"/>
  <c r="L465" i="5" s="1"/>
  <c r="L466" i="5" s="1"/>
  <c r="L467" i="5" s="1"/>
  <c r="L468" i="5" s="1"/>
  <c r="L469" i="5" s="1"/>
  <c r="L470" i="5" s="1"/>
  <c r="L471" i="5" s="1"/>
  <c r="L472" i="5" s="1"/>
  <c r="L473" i="5" s="1"/>
  <c r="L474" i="5" s="1"/>
  <c r="L475" i="5" s="1"/>
  <c r="L476" i="5" s="1"/>
  <c r="L477" i="5" s="1"/>
  <c r="L478" i="5" s="1"/>
  <c r="L479" i="5" s="1"/>
  <c r="L480" i="5" s="1"/>
  <c r="L481" i="5" s="1"/>
  <c r="L482" i="5" s="1"/>
  <c r="L483" i="5" s="1"/>
  <c r="L484" i="5" s="1"/>
  <c r="L485" i="5" s="1"/>
  <c r="L486" i="5" s="1"/>
  <c r="L487" i="5" s="1"/>
  <c r="L488" i="5" s="1"/>
  <c r="L489" i="5" s="1"/>
  <c r="L490" i="5" s="1"/>
  <c r="L491" i="5" s="1"/>
  <c r="L492" i="5" s="1"/>
  <c r="L493" i="5" s="1"/>
  <c r="L494" i="5" s="1"/>
  <c r="L495" i="5" s="1"/>
  <c r="L496" i="5" s="1"/>
  <c r="L497" i="5" s="1"/>
  <c r="L498" i="5" s="1"/>
  <c r="L499" i="5" s="1"/>
  <c r="L500" i="5" s="1"/>
  <c r="L501" i="5" s="1"/>
  <c r="L502" i="5" s="1"/>
  <c r="L503" i="5" s="1"/>
  <c r="L504" i="5" s="1"/>
  <c r="L505" i="5" s="1"/>
  <c r="L506" i="5" s="1"/>
  <c r="L507" i="5" s="1"/>
  <c r="L508" i="5" s="1"/>
  <c r="L509" i="5" s="1"/>
  <c r="L510" i="5" s="1"/>
  <c r="L511" i="5" s="1"/>
  <c r="L512" i="5" s="1"/>
  <c r="L513" i="5" s="1"/>
  <c r="L514" i="5" s="1"/>
  <c r="L515" i="5" s="1"/>
  <c r="L516" i="5" s="1"/>
  <c r="L517" i="5" s="1"/>
  <c r="L518" i="5" s="1"/>
  <c r="L519" i="5" s="1"/>
  <c r="L520" i="5" s="1"/>
  <c r="L521" i="5" s="1"/>
  <c r="L522" i="5" s="1"/>
  <c r="L523" i="5" s="1"/>
  <c r="L524" i="5" s="1"/>
  <c r="L525" i="5" s="1"/>
  <c r="L526" i="5" s="1"/>
  <c r="L527" i="5" s="1"/>
  <c r="L528" i="5" s="1"/>
  <c r="L529" i="5" s="1"/>
  <c r="L530" i="5" s="1"/>
  <c r="L531" i="5" s="1"/>
  <c r="L532" i="5" s="1"/>
  <c r="L533" i="5" s="1"/>
  <c r="L534" i="5" s="1"/>
  <c r="L535" i="5" s="1"/>
  <c r="L536" i="5" s="1"/>
  <c r="L537" i="5" s="1"/>
  <c r="L538" i="5" s="1"/>
  <c r="L539" i="5" s="1"/>
  <c r="L540" i="5" s="1"/>
  <c r="L541" i="5" s="1"/>
  <c r="L542" i="5" s="1"/>
  <c r="L543" i="5" s="1"/>
  <c r="L544" i="5" s="1"/>
  <c r="L545" i="5" s="1"/>
  <c r="L546" i="5" s="1"/>
  <c r="L547" i="5" s="1"/>
  <c r="L548" i="5" s="1"/>
  <c r="L549" i="5" s="1"/>
  <c r="L550" i="5" s="1"/>
  <c r="L551" i="5" s="1"/>
  <c r="L552" i="5" s="1"/>
  <c r="L553" i="5" s="1"/>
  <c r="L554" i="5" s="1"/>
  <c r="L555" i="5" s="1"/>
  <c r="L556" i="5" s="1"/>
  <c r="L557" i="5" s="1"/>
  <c r="L558" i="5" s="1"/>
  <c r="L559" i="5" s="1"/>
  <c r="L560" i="5" s="1"/>
  <c r="L561" i="5" s="1"/>
  <c r="L562" i="5" s="1"/>
  <c r="L563" i="5" s="1"/>
  <c r="L564" i="5" s="1"/>
  <c r="L565" i="5" s="1"/>
  <c r="L566" i="5" s="1"/>
  <c r="L567" i="5" s="1"/>
  <c r="L568" i="5" s="1"/>
  <c r="L569" i="5" s="1"/>
  <c r="L570" i="5" s="1"/>
  <c r="L571" i="5" s="1"/>
  <c r="L572" i="5" s="1"/>
  <c r="L573" i="5" s="1"/>
  <c r="L574" i="5" s="1"/>
  <c r="L575" i="5" s="1"/>
  <c r="L576" i="5" s="1"/>
  <c r="L577" i="5" s="1"/>
  <c r="L578" i="5" s="1"/>
  <c r="L579" i="5" s="1"/>
  <c r="L580" i="5" s="1"/>
  <c r="L581" i="5" s="1"/>
  <c r="L582" i="5" s="1"/>
  <c r="L583" i="5" s="1"/>
  <c r="L584" i="5" s="1"/>
  <c r="L585" i="5" s="1"/>
  <c r="L586" i="5" s="1"/>
  <c r="L587" i="5" s="1"/>
  <c r="L588" i="5" s="1"/>
  <c r="L589" i="5" s="1"/>
  <c r="L590" i="5" s="1"/>
  <c r="L591" i="5" s="1"/>
  <c r="L592" i="5" s="1"/>
  <c r="L593" i="5" s="1"/>
  <c r="L594" i="5" s="1"/>
  <c r="L595" i="5" s="1"/>
  <c r="L596" i="5" s="1"/>
  <c r="L597" i="5" s="1"/>
  <c r="L598" i="5" s="1"/>
  <c r="L599" i="5" s="1"/>
  <c r="L600" i="5" s="1"/>
  <c r="L601" i="5" s="1"/>
  <c r="L602" i="5" s="1"/>
  <c r="L603" i="5" s="1"/>
  <c r="L604" i="5" s="1"/>
  <c r="L605" i="5" s="1"/>
  <c r="L606" i="5" s="1"/>
  <c r="L607" i="5" s="1"/>
  <c r="L608" i="5" s="1"/>
  <c r="L609" i="5" s="1"/>
  <c r="L610" i="5" s="1"/>
  <c r="L611" i="5" s="1"/>
  <c r="L612" i="5" s="1"/>
  <c r="L613" i="5" s="1"/>
  <c r="L614" i="5" s="1"/>
  <c r="L615" i="5" s="1"/>
  <c r="L616" i="5" s="1"/>
  <c r="L617" i="5" s="1"/>
  <c r="L618" i="5" s="1"/>
  <c r="L619" i="5" s="1"/>
  <c r="L620" i="5" s="1"/>
  <c r="L621" i="5" s="1"/>
  <c r="L622" i="5" s="1"/>
  <c r="L623" i="5" s="1"/>
  <c r="L624" i="5" s="1"/>
  <c r="L625" i="5" s="1"/>
  <c r="L626" i="5" s="1"/>
  <c r="L627" i="5" s="1"/>
  <c r="L628" i="5" s="1"/>
  <c r="L629" i="5" s="1"/>
  <c r="L630" i="5" s="1"/>
  <c r="L631" i="5" s="1"/>
  <c r="L632" i="5" s="1"/>
  <c r="L633" i="5" s="1"/>
  <c r="L634" i="5" s="1"/>
  <c r="L635" i="5" s="1"/>
  <c r="L636" i="5" s="1"/>
  <c r="L637" i="5" s="1"/>
  <c r="L638" i="5" s="1"/>
  <c r="L639" i="5" s="1"/>
  <c r="L640" i="5" s="1"/>
  <c r="L641" i="5" s="1"/>
  <c r="L642" i="5" s="1"/>
  <c r="L643" i="5" s="1"/>
  <c r="L644" i="5" s="1"/>
  <c r="L645" i="5" s="1"/>
  <c r="L646" i="5" s="1"/>
  <c r="L647" i="5" s="1"/>
  <c r="L648" i="5" s="1"/>
  <c r="L649" i="5" s="1"/>
  <c r="L650" i="5" s="1"/>
  <c r="L651" i="5" s="1"/>
  <c r="L652" i="5" s="1"/>
  <c r="L653" i="5" s="1"/>
  <c r="L654" i="5" s="1"/>
  <c r="L655" i="5" s="1"/>
  <c r="L656" i="5" s="1"/>
  <c r="L657" i="5" s="1"/>
  <c r="L658" i="5" s="1"/>
  <c r="L659" i="5" s="1"/>
  <c r="L660" i="5" s="1"/>
  <c r="L661" i="5" s="1"/>
  <c r="L662" i="5" s="1"/>
  <c r="L663" i="5" s="1"/>
  <c r="L664" i="5" s="1"/>
  <c r="L665" i="5" s="1"/>
  <c r="L666" i="5" s="1"/>
  <c r="L667" i="5" s="1"/>
  <c r="L668" i="5" s="1"/>
  <c r="L669" i="5" s="1"/>
  <c r="L670" i="5" s="1"/>
  <c r="L671" i="5" s="1"/>
  <c r="L672" i="5" s="1"/>
  <c r="L673" i="5" s="1"/>
  <c r="L674" i="5" s="1"/>
  <c r="L675" i="5" s="1"/>
  <c r="L676" i="5" s="1"/>
  <c r="L677" i="5" s="1"/>
  <c r="L678" i="5" s="1"/>
  <c r="L679" i="5" s="1"/>
  <c r="L680" i="5" s="1"/>
  <c r="L681" i="5" s="1"/>
  <c r="L682" i="5" s="1"/>
  <c r="L683" i="5" s="1"/>
  <c r="L684" i="5" s="1"/>
  <c r="L685" i="5" s="1"/>
  <c r="L686" i="5" s="1"/>
  <c r="L687" i="5" s="1"/>
  <c r="L688" i="5" s="1"/>
  <c r="L689" i="5" s="1"/>
  <c r="L690" i="5" s="1"/>
  <c r="L691" i="5" s="1"/>
  <c r="L692" i="5" s="1"/>
  <c r="L693" i="5" s="1"/>
  <c r="L694" i="5" s="1"/>
  <c r="L695" i="5" s="1"/>
  <c r="L696" i="5" s="1"/>
  <c r="L697" i="5" s="1"/>
  <c r="L698" i="5" s="1"/>
  <c r="L699" i="5" s="1"/>
  <c r="L700" i="5" s="1"/>
  <c r="L701" i="5" s="1"/>
  <c r="L702" i="5" s="1"/>
  <c r="L703" i="5" s="1"/>
  <c r="L704" i="5" s="1"/>
  <c r="L705" i="5" s="1"/>
  <c r="L706" i="5" s="1"/>
  <c r="L707" i="5" s="1"/>
  <c r="L708" i="5" s="1"/>
  <c r="L709" i="5" s="1"/>
  <c r="L710" i="5" s="1"/>
  <c r="L711" i="5" s="1"/>
  <c r="L712" i="5" s="1"/>
  <c r="L713" i="5" s="1"/>
  <c r="L714" i="5" s="1"/>
  <c r="L715" i="5" s="1"/>
  <c r="L716" i="5" s="1"/>
  <c r="L717" i="5" s="1"/>
  <c r="L718" i="5" s="1"/>
  <c r="L719" i="5" s="1"/>
  <c r="L720" i="5" s="1"/>
  <c r="L721" i="5" s="1"/>
  <c r="L722" i="5" s="1"/>
  <c r="L723" i="5" s="1"/>
  <c r="L724" i="5" s="1"/>
  <c r="L725" i="5" s="1"/>
  <c r="L726" i="5" s="1"/>
  <c r="L727" i="5" s="1"/>
  <c r="L728" i="5" s="1"/>
  <c r="L729" i="5" s="1"/>
  <c r="L730" i="5" s="1"/>
  <c r="L731" i="5" s="1"/>
  <c r="L732" i="5" s="1"/>
  <c r="L733" i="5" s="1"/>
  <c r="L734" i="5" s="1"/>
  <c r="L735" i="5" s="1"/>
  <c r="L736" i="5" s="1"/>
  <c r="L737" i="5" s="1"/>
  <c r="L738" i="5" s="1"/>
  <c r="L739" i="5" s="1"/>
  <c r="L740" i="5" s="1"/>
  <c r="L741" i="5" s="1"/>
  <c r="L742" i="5" s="1"/>
  <c r="L743" i="5" s="1"/>
  <c r="L744" i="5" s="1"/>
  <c r="L745" i="5" s="1"/>
  <c r="L746" i="5" s="1"/>
  <c r="L747" i="5" s="1"/>
  <c r="L748" i="5" s="1"/>
  <c r="L749" i="5" s="1"/>
  <c r="L750" i="5" s="1"/>
  <c r="L751" i="5" s="1"/>
  <c r="L752" i="5" s="1"/>
  <c r="L753" i="5" s="1"/>
  <c r="L754" i="5" s="1"/>
  <c r="L755" i="5" s="1"/>
  <c r="L756" i="5" s="1"/>
  <c r="L757" i="5" s="1"/>
  <c r="L758" i="5" s="1"/>
  <c r="L759" i="5" s="1"/>
  <c r="L760" i="5" s="1"/>
  <c r="L761" i="5" s="1"/>
  <c r="L762" i="5" s="1"/>
  <c r="L763" i="5" s="1"/>
  <c r="L764" i="5" s="1"/>
  <c r="L765" i="5" s="1"/>
  <c r="L766" i="5" s="1"/>
  <c r="L767" i="5" s="1"/>
  <c r="L768" i="5" s="1"/>
  <c r="L769" i="5" s="1"/>
  <c r="L770" i="5" s="1"/>
  <c r="L771" i="5" s="1"/>
  <c r="L772" i="5" s="1"/>
  <c r="L773" i="5" s="1"/>
  <c r="L774" i="5" s="1"/>
  <c r="L775" i="5" s="1"/>
  <c r="L776" i="5" s="1"/>
  <c r="L777" i="5" s="1"/>
  <c r="L778" i="5" s="1"/>
  <c r="L779" i="5" s="1"/>
  <c r="L780" i="5" s="1"/>
  <c r="L781" i="5" s="1"/>
  <c r="L782" i="5" s="1"/>
  <c r="L783" i="5" s="1"/>
  <c r="L784" i="5" s="1"/>
  <c r="L785" i="5" s="1"/>
  <c r="L786" i="5" s="1"/>
  <c r="L787" i="5" s="1"/>
  <c r="L788" i="5" s="1"/>
  <c r="L789" i="5" s="1"/>
  <c r="L790" i="5" s="1"/>
  <c r="L791" i="5" s="1"/>
  <c r="L792" i="5" s="1"/>
  <c r="L793" i="5" s="1"/>
  <c r="L794" i="5" s="1"/>
  <c r="L795" i="5" s="1"/>
  <c r="L796" i="5" s="1"/>
  <c r="L797" i="5" s="1"/>
  <c r="L798" i="5" s="1"/>
  <c r="L799" i="5" s="1"/>
  <c r="L800" i="5" s="1"/>
  <c r="L801" i="5" s="1"/>
  <c r="L802" i="5" s="1"/>
  <c r="L803" i="5" s="1"/>
  <c r="L804" i="5" s="1"/>
  <c r="L805" i="5" s="1"/>
  <c r="L806" i="5" s="1"/>
  <c r="L807" i="5" s="1"/>
  <c r="L808" i="5" s="1"/>
  <c r="L809" i="5" s="1"/>
  <c r="L810" i="5" s="1"/>
  <c r="L811" i="5" s="1"/>
  <c r="L812" i="5" s="1"/>
  <c r="L813" i="5" s="1"/>
  <c r="L814" i="5" s="1"/>
  <c r="L815" i="5" s="1"/>
  <c r="L816" i="5" s="1"/>
  <c r="L817" i="5" s="1"/>
  <c r="L818" i="5" s="1"/>
  <c r="L819" i="5" s="1"/>
  <c r="L820" i="5" s="1"/>
  <c r="L821" i="5" s="1"/>
  <c r="L822" i="5" s="1"/>
  <c r="L823" i="5" s="1"/>
  <c r="L824" i="5" s="1"/>
  <c r="L825" i="5" s="1"/>
  <c r="L826" i="5" s="1"/>
  <c r="L827" i="5" s="1"/>
  <c r="L828" i="5" s="1"/>
  <c r="L829" i="5" s="1"/>
  <c r="L830" i="5" s="1"/>
  <c r="L831" i="5" s="1"/>
  <c r="L832" i="5" s="1"/>
  <c r="L833" i="5" s="1"/>
  <c r="L834" i="5" s="1"/>
  <c r="L835" i="5" s="1"/>
  <c r="L836" i="5" s="1"/>
  <c r="L837" i="5" s="1"/>
  <c r="L838" i="5" s="1"/>
  <c r="L839" i="5" s="1"/>
  <c r="L840" i="5" s="1"/>
  <c r="L841" i="5" s="1"/>
  <c r="L842" i="5" s="1"/>
  <c r="L843" i="5" s="1"/>
  <c r="L844" i="5" s="1"/>
  <c r="L845" i="5" s="1"/>
  <c r="L846" i="5" s="1"/>
  <c r="L847" i="5" s="1"/>
  <c r="L848" i="5" s="1"/>
  <c r="L849" i="5" s="1"/>
  <c r="L850" i="5" s="1"/>
  <c r="L851" i="5" s="1"/>
  <c r="L852" i="5" s="1"/>
  <c r="L853" i="5" s="1"/>
  <c r="L854" i="5" s="1"/>
  <c r="L855" i="5" s="1"/>
  <c r="L856" i="5" s="1"/>
  <c r="L857" i="5" s="1"/>
  <c r="L858" i="5" s="1"/>
  <c r="L859" i="5" s="1"/>
  <c r="L860" i="5" s="1"/>
  <c r="L861" i="5" s="1"/>
  <c r="L862" i="5" s="1"/>
  <c r="L863" i="5" s="1"/>
  <c r="L864" i="5" s="1"/>
  <c r="L865" i="5" s="1"/>
  <c r="L866" i="5" s="1"/>
  <c r="L867" i="5" s="1"/>
  <c r="L868" i="5" s="1"/>
  <c r="L869" i="5" s="1"/>
  <c r="L870" i="5" s="1"/>
  <c r="L871" i="5" s="1"/>
  <c r="L872" i="5" s="1"/>
  <c r="L873" i="5" s="1"/>
  <c r="L874" i="5" s="1"/>
  <c r="L875" i="5" s="1"/>
  <c r="L876" i="5" s="1"/>
  <c r="L877" i="5" s="1"/>
  <c r="L878" i="5" s="1"/>
  <c r="L879" i="5" s="1"/>
  <c r="L880" i="5" s="1"/>
  <c r="L881" i="5" s="1"/>
  <c r="L882" i="5" s="1"/>
  <c r="L883" i="5" s="1"/>
  <c r="L884" i="5" s="1"/>
  <c r="L885" i="5" s="1"/>
  <c r="L886" i="5" s="1"/>
  <c r="L887" i="5" s="1"/>
  <c r="L888" i="5" s="1"/>
  <c r="L889" i="5" s="1"/>
  <c r="L890" i="5" s="1"/>
  <c r="L891" i="5" s="1"/>
  <c r="L892" i="5" s="1"/>
  <c r="L893" i="5" s="1"/>
  <c r="L894" i="5" s="1"/>
  <c r="L895" i="5" s="1"/>
  <c r="L896" i="5" s="1"/>
  <c r="L897" i="5" s="1"/>
  <c r="L898" i="5" s="1"/>
  <c r="L899" i="5" s="1"/>
  <c r="L900" i="5" s="1"/>
  <c r="L901" i="5" s="1"/>
  <c r="L902" i="5" s="1"/>
  <c r="L903" i="5" s="1"/>
  <c r="L904" i="5" s="1"/>
  <c r="L905" i="5" s="1"/>
  <c r="L906" i="5" s="1"/>
  <c r="L907" i="5" s="1"/>
  <c r="L908" i="5" s="1"/>
  <c r="L909" i="5" s="1"/>
  <c r="L910" i="5" s="1"/>
  <c r="L911" i="5" s="1"/>
  <c r="L912" i="5" s="1"/>
  <c r="L913" i="5" s="1"/>
  <c r="L914" i="5" s="1"/>
  <c r="L915" i="5" s="1"/>
  <c r="L916" i="5" s="1"/>
  <c r="L917" i="5" s="1"/>
  <c r="L918" i="5" s="1"/>
  <c r="L919" i="5" s="1"/>
  <c r="L920" i="5" s="1"/>
  <c r="L921" i="5" s="1"/>
  <c r="L922" i="5" s="1"/>
  <c r="L923" i="5" s="1"/>
  <c r="L924" i="5" s="1"/>
  <c r="L925" i="5" s="1"/>
  <c r="L926" i="5" s="1"/>
  <c r="L927" i="5" s="1"/>
  <c r="L928" i="5" s="1"/>
  <c r="L929" i="5" s="1"/>
  <c r="L930" i="5" s="1"/>
  <c r="L931" i="5" s="1"/>
  <c r="L932" i="5" s="1"/>
  <c r="L933" i="5" s="1"/>
  <c r="L934" i="5" s="1"/>
  <c r="L935" i="5" s="1"/>
  <c r="L936" i="5" s="1"/>
  <c r="L937" i="5" s="1"/>
  <c r="L938" i="5" s="1"/>
  <c r="L939" i="5" s="1"/>
  <c r="L940" i="5" s="1"/>
  <c r="L941" i="5" s="1"/>
  <c r="L942" i="5" s="1"/>
  <c r="L943" i="5" s="1"/>
  <c r="L944" i="5" s="1"/>
  <c r="L945" i="5" s="1"/>
  <c r="L946" i="5" s="1"/>
  <c r="L947" i="5" s="1"/>
  <c r="L948" i="5" s="1"/>
  <c r="L949" i="5" s="1"/>
  <c r="L950" i="5" s="1"/>
  <c r="L951" i="5" s="1"/>
  <c r="L952" i="5" s="1"/>
  <c r="L953" i="5" s="1"/>
  <c r="L954" i="5" s="1"/>
  <c r="L955" i="5" s="1"/>
  <c r="L956" i="5" s="1"/>
  <c r="L957" i="5" s="1"/>
  <c r="L958" i="5" s="1"/>
  <c r="L959" i="5" s="1"/>
  <c r="L960" i="5" s="1"/>
  <c r="L961" i="5" s="1"/>
  <c r="L962" i="5" s="1"/>
  <c r="L963" i="5" s="1"/>
  <c r="L964" i="5" s="1"/>
  <c r="L965" i="5" s="1"/>
  <c r="L966" i="5" s="1"/>
  <c r="L967" i="5" s="1"/>
  <c r="L968" i="5" s="1"/>
  <c r="L969" i="5" s="1"/>
  <c r="L970" i="5" s="1"/>
  <c r="L971" i="5" s="1"/>
  <c r="L972" i="5" s="1"/>
  <c r="L973" i="5" s="1"/>
  <c r="L974" i="5" s="1"/>
  <c r="L975" i="5" s="1"/>
  <c r="L976" i="5" s="1"/>
  <c r="L977" i="5" s="1"/>
  <c r="L978" i="5" s="1"/>
  <c r="L979" i="5" s="1"/>
  <c r="L980" i="5" s="1"/>
  <c r="L981" i="5" s="1"/>
  <c r="L982" i="5" s="1"/>
  <c r="L983" i="5" s="1"/>
  <c r="L984" i="5" s="1"/>
  <c r="L985" i="5" s="1"/>
  <c r="L986" i="5" s="1"/>
  <c r="L987" i="5" s="1"/>
  <c r="L988" i="5" s="1"/>
  <c r="L989" i="5" s="1"/>
  <c r="L990" i="5" s="1"/>
  <c r="L991" i="5" s="1"/>
  <c r="L992" i="5" s="1"/>
  <c r="L993" i="5" s="1"/>
  <c r="L994" i="5" s="1"/>
  <c r="L995" i="5" s="1"/>
  <c r="L996" i="5" s="1"/>
  <c r="L997" i="5" s="1"/>
  <c r="L998" i="5" s="1"/>
  <c r="L999" i="5" s="1"/>
  <c r="L1000" i="5" s="1"/>
  <c r="L1001" i="5" s="1"/>
  <c r="M2" i="5"/>
  <c r="N2" i="5"/>
  <c r="O2" i="5"/>
  <c r="B2" i="5"/>
  <c r="C2" i="5"/>
  <c r="D2" i="5"/>
  <c r="E2" i="5"/>
  <c r="B2" i="4" a="1"/>
  <c r="B2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<sst xmlns="http://schemas.openxmlformats.org/spreadsheetml/2006/main" count="34152" uniqueCount="1062">
  <si>
    <t>Transaction ID</t>
  </si>
  <si>
    <t>Date</t>
  </si>
  <si>
    <t>Sales Rep</t>
  </si>
  <si>
    <t>Branch Code</t>
  </si>
  <si>
    <t>Region</t>
  </si>
  <si>
    <t>Product</t>
  </si>
  <si>
    <t>Lead Source</t>
  </si>
  <si>
    <t>Customer Segment</t>
  </si>
  <si>
    <t>Customer Age</t>
  </si>
  <si>
    <t>Account Tenure Months</t>
  </si>
  <si>
    <t>Revenue</t>
  </si>
  <si>
    <t>Processing Fee</t>
  </si>
  <si>
    <t>Discount Applied</t>
  </si>
  <si>
    <t>Target Achieved</t>
  </si>
  <si>
    <t>CSAT Score</t>
  </si>
  <si>
    <t>TRX-10000</t>
  </si>
  <si>
    <t>Jamie</t>
  </si>
  <si>
    <t>BR-006</t>
  </si>
  <si>
    <t>East</t>
  </si>
  <si>
    <t>Wealth Management</t>
  </si>
  <si>
    <t>Walk-in</t>
  </si>
  <si>
    <t>Retail</t>
  </si>
  <si>
    <t>No</t>
  </si>
  <si>
    <t>TRX-10001</t>
  </si>
  <si>
    <t>Morgan</t>
  </si>
  <si>
    <t>BR-015</t>
  </si>
  <si>
    <t>South</t>
  </si>
  <si>
    <t>Personal Loan</t>
  </si>
  <si>
    <t>Website</t>
  </si>
  <si>
    <t>High Net Worth</t>
  </si>
  <si>
    <t>Yes</t>
  </si>
  <si>
    <t>TRX-10002</t>
  </si>
  <si>
    <t>Casey</t>
  </si>
  <si>
    <t>BR-001</t>
  </si>
  <si>
    <t>Auto Loan</t>
  </si>
  <si>
    <t>Social Media</t>
  </si>
  <si>
    <t>TRX-10003</t>
  </si>
  <si>
    <t>BR-009</t>
  </si>
  <si>
    <t>Central</t>
  </si>
  <si>
    <t>Mortgage</t>
  </si>
  <si>
    <t>TRX-10004</t>
  </si>
  <si>
    <t>Taylor</t>
  </si>
  <si>
    <t>TRX-10005</t>
  </si>
  <si>
    <t>Drew</t>
  </si>
  <si>
    <t>BR-005</t>
  </si>
  <si>
    <t>West</t>
  </si>
  <si>
    <t>TRX-10006</t>
  </si>
  <si>
    <t>BR-004</t>
  </si>
  <si>
    <t>TRX-10007</t>
  </si>
  <si>
    <t>BR-013</t>
  </si>
  <si>
    <t>TRX-10008</t>
  </si>
  <si>
    <t>BR-012</t>
  </si>
  <si>
    <t>Corporate</t>
  </si>
  <si>
    <t>TRX-10009</t>
  </si>
  <si>
    <t>Jordan</t>
  </si>
  <si>
    <t>Email Campaign</t>
  </si>
  <si>
    <t>SME</t>
  </si>
  <si>
    <t>TRX-10010</t>
  </si>
  <si>
    <t>North</t>
  </si>
  <si>
    <t>TRX-10011</t>
  </si>
  <si>
    <t>BR-014</t>
  </si>
  <si>
    <t>TRX-10012</t>
  </si>
  <si>
    <t>BR-003</t>
  </si>
  <si>
    <t>TRX-10013</t>
  </si>
  <si>
    <t>Referral</t>
  </si>
  <si>
    <t>TRX-10014</t>
  </si>
  <si>
    <t>TRX-10015</t>
  </si>
  <si>
    <t>BR-002</t>
  </si>
  <si>
    <t>Credit Card</t>
  </si>
  <si>
    <t>TRX-10016</t>
  </si>
  <si>
    <t>TRX-10017</t>
  </si>
  <si>
    <t>TRX-10018</t>
  </si>
  <si>
    <t>TRX-10019</t>
  </si>
  <si>
    <t>TRX-10020</t>
  </si>
  <si>
    <t>Sam</t>
  </si>
  <si>
    <t>TRX-10021</t>
  </si>
  <si>
    <t>BR-010</t>
  </si>
  <si>
    <t>TRX-10022</t>
  </si>
  <si>
    <t>BR-008</t>
  </si>
  <si>
    <t>TRX-10023</t>
  </si>
  <si>
    <t>TRX-10024</t>
  </si>
  <si>
    <t>TRX-10025</t>
  </si>
  <si>
    <t>BR-011</t>
  </si>
  <si>
    <t>TRX-10026</t>
  </si>
  <si>
    <t>TRX-10027</t>
  </si>
  <si>
    <t>TRX-10028</t>
  </si>
  <si>
    <t>BR-007</t>
  </si>
  <si>
    <t>TRX-10029</t>
  </si>
  <si>
    <t>TRX-10030</t>
  </si>
  <si>
    <t>TRX-10031</t>
  </si>
  <si>
    <t>Alex</t>
  </si>
  <si>
    <t>TRX-10032</t>
  </si>
  <si>
    <t>TRX-10033</t>
  </si>
  <si>
    <t>TRX-10034</t>
  </si>
  <si>
    <t>TRX-10035</t>
  </si>
  <si>
    <t>TRX-10036</t>
  </si>
  <si>
    <t>TRX-10037</t>
  </si>
  <si>
    <t>TRX-10038</t>
  </si>
  <si>
    <t>TRX-10039</t>
  </si>
  <si>
    <t>TRX-10040</t>
  </si>
  <si>
    <t>TRX-10041</t>
  </si>
  <si>
    <t>TRX-10042</t>
  </si>
  <si>
    <t>TRX-10043</t>
  </si>
  <si>
    <t>TRX-10044</t>
  </si>
  <si>
    <t>TRX-10045</t>
  </si>
  <si>
    <t>TRX-10046</t>
  </si>
  <si>
    <t>TRX-10047</t>
  </si>
  <si>
    <t>TRX-10048</t>
  </si>
  <si>
    <t>TRX-10049</t>
  </si>
  <si>
    <t>TRX-10050</t>
  </si>
  <si>
    <t>TRX-10051</t>
  </si>
  <si>
    <t>TRX-10052</t>
  </si>
  <si>
    <t>TRX-10053</t>
  </si>
  <si>
    <t>TRX-10054</t>
  </si>
  <si>
    <t>TRX-10055</t>
  </si>
  <si>
    <t>TRX-10056</t>
  </si>
  <si>
    <t>TRX-10057</t>
  </si>
  <si>
    <t>TRX-10058</t>
  </si>
  <si>
    <t>TRX-10059</t>
  </si>
  <si>
    <t>TRX-10060</t>
  </si>
  <si>
    <t>TRX-10061</t>
  </si>
  <si>
    <t>TRX-10062</t>
  </si>
  <si>
    <t>TRX-10063</t>
  </si>
  <si>
    <t>TRX-10064</t>
  </si>
  <si>
    <t>TRX-10065</t>
  </si>
  <si>
    <t>TRX-10066</t>
  </si>
  <si>
    <t>TRX-10067</t>
  </si>
  <si>
    <t>TRX-10068</t>
  </si>
  <si>
    <t>TRX-10069</t>
  </si>
  <si>
    <t>TRX-10070</t>
  </si>
  <si>
    <t>TRX-10071</t>
  </si>
  <si>
    <t>TRX-10072</t>
  </si>
  <si>
    <t>TRX-10073</t>
  </si>
  <si>
    <t>TRX-10074</t>
  </si>
  <si>
    <t>TRX-10075</t>
  </si>
  <si>
    <t>TRX-10076</t>
  </si>
  <si>
    <t>TRX-10077</t>
  </si>
  <si>
    <t>TRX-10078</t>
  </si>
  <si>
    <t>TRX-10079</t>
  </si>
  <si>
    <t>TRX-10080</t>
  </si>
  <si>
    <t>TRX-10081</t>
  </si>
  <si>
    <t>TRX-10082</t>
  </si>
  <si>
    <t>TRX-10083</t>
  </si>
  <si>
    <t>TRX-10084</t>
  </si>
  <si>
    <t>TRX-10085</t>
  </si>
  <si>
    <t>TRX-10086</t>
  </si>
  <si>
    <t>TRX-10087</t>
  </si>
  <si>
    <t>TRX-10088</t>
  </si>
  <si>
    <t>TRX-10089</t>
  </si>
  <si>
    <t>TRX-10090</t>
  </si>
  <si>
    <t>TRX-10091</t>
  </si>
  <si>
    <t>TRX-10092</t>
  </si>
  <si>
    <t>TRX-10093</t>
  </si>
  <si>
    <t>TRX-10094</t>
  </si>
  <si>
    <t>TRX-10095</t>
  </si>
  <si>
    <t>TRX-10096</t>
  </si>
  <si>
    <t>TRX-10097</t>
  </si>
  <si>
    <t>TRX-10098</t>
  </si>
  <si>
    <t>TRX-10099</t>
  </si>
  <si>
    <t>TRX-10100</t>
  </si>
  <si>
    <t>TRX-10101</t>
  </si>
  <si>
    <t>TRX-10102</t>
  </si>
  <si>
    <t>TRX-10103</t>
  </si>
  <si>
    <t>TRX-10104</t>
  </si>
  <si>
    <t>TRX-10105</t>
  </si>
  <si>
    <t>TRX-10106</t>
  </si>
  <si>
    <t>TRX-10107</t>
  </si>
  <si>
    <t>TRX-10108</t>
  </si>
  <si>
    <t>TRX-10109</t>
  </si>
  <si>
    <t>TRX-10110</t>
  </si>
  <si>
    <t>TRX-10111</t>
  </si>
  <si>
    <t>TRX-10112</t>
  </si>
  <si>
    <t>TRX-10113</t>
  </si>
  <si>
    <t>TRX-10114</t>
  </si>
  <si>
    <t>TRX-10115</t>
  </si>
  <si>
    <t>TRX-10116</t>
  </si>
  <si>
    <t>TRX-10117</t>
  </si>
  <si>
    <t>TRX-10118</t>
  </si>
  <si>
    <t>TRX-10119</t>
  </si>
  <si>
    <t>TRX-10120</t>
  </si>
  <si>
    <t>TRX-10121</t>
  </si>
  <si>
    <t>TRX-10122</t>
  </si>
  <si>
    <t>TRX-10123</t>
  </si>
  <si>
    <t>TRX-10124</t>
  </si>
  <si>
    <t>TRX-10125</t>
  </si>
  <si>
    <t>TRX-10126</t>
  </si>
  <si>
    <t>TRX-10127</t>
  </si>
  <si>
    <t>TRX-10128</t>
  </si>
  <si>
    <t>TRX-10129</t>
  </si>
  <si>
    <t>TRX-10130</t>
  </si>
  <si>
    <t>TRX-10131</t>
  </si>
  <si>
    <t>TRX-10132</t>
  </si>
  <si>
    <t>TRX-10133</t>
  </si>
  <si>
    <t>TRX-10134</t>
  </si>
  <si>
    <t>TRX-10135</t>
  </si>
  <si>
    <t>TRX-10136</t>
  </si>
  <si>
    <t>TRX-10137</t>
  </si>
  <si>
    <t>TRX-10138</t>
  </si>
  <si>
    <t>TRX-10139</t>
  </si>
  <si>
    <t>TRX-10140</t>
  </si>
  <si>
    <t>TRX-10141</t>
  </si>
  <si>
    <t>TRX-10142</t>
  </si>
  <si>
    <t>TRX-10143</t>
  </si>
  <si>
    <t>TRX-10144</t>
  </si>
  <si>
    <t>TRX-10145</t>
  </si>
  <si>
    <t>TRX-10146</t>
  </si>
  <si>
    <t>TRX-10147</t>
  </si>
  <si>
    <t>TRX-10148</t>
  </si>
  <si>
    <t>TRX-10149</t>
  </si>
  <si>
    <t>TRX-10150</t>
  </si>
  <si>
    <t>TRX-10151</t>
  </si>
  <si>
    <t>TRX-10152</t>
  </si>
  <si>
    <t>TRX-10153</t>
  </si>
  <si>
    <t>TRX-10154</t>
  </si>
  <si>
    <t>TRX-10155</t>
  </si>
  <si>
    <t>TRX-10156</t>
  </si>
  <si>
    <t>TRX-10157</t>
  </si>
  <si>
    <t>TRX-10158</t>
  </si>
  <si>
    <t>TRX-10159</t>
  </si>
  <si>
    <t>TRX-10160</t>
  </si>
  <si>
    <t>TRX-10161</t>
  </si>
  <si>
    <t>TRX-10162</t>
  </si>
  <si>
    <t>TRX-10163</t>
  </si>
  <si>
    <t>TRX-10164</t>
  </si>
  <si>
    <t>TRX-10165</t>
  </si>
  <si>
    <t>TRX-10166</t>
  </si>
  <si>
    <t>TRX-10167</t>
  </si>
  <si>
    <t>TRX-10168</t>
  </si>
  <si>
    <t>TRX-10169</t>
  </si>
  <si>
    <t>TRX-10170</t>
  </si>
  <si>
    <t>TRX-10171</t>
  </si>
  <si>
    <t>TRX-10172</t>
  </si>
  <si>
    <t>TRX-10173</t>
  </si>
  <si>
    <t>TRX-10174</t>
  </si>
  <si>
    <t>TRX-10175</t>
  </si>
  <si>
    <t>TRX-10176</t>
  </si>
  <si>
    <t>TRX-10177</t>
  </si>
  <si>
    <t>TRX-10178</t>
  </si>
  <si>
    <t>TRX-10179</t>
  </si>
  <si>
    <t>TRX-10180</t>
  </si>
  <si>
    <t>TRX-10181</t>
  </si>
  <si>
    <t>TRX-10182</t>
  </si>
  <si>
    <t>TRX-10183</t>
  </si>
  <si>
    <t>TRX-10184</t>
  </si>
  <si>
    <t>TRX-10185</t>
  </si>
  <si>
    <t>TRX-10186</t>
  </si>
  <si>
    <t>TRX-10187</t>
  </si>
  <si>
    <t>TRX-10188</t>
  </si>
  <si>
    <t>TRX-10189</t>
  </si>
  <si>
    <t>TRX-10190</t>
  </si>
  <si>
    <t>TRX-10191</t>
  </si>
  <si>
    <t>TRX-10192</t>
  </si>
  <si>
    <t>TRX-10193</t>
  </si>
  <si>
    <t>TRX-10194</t>
  </si>
  <si>
    <t>TRX-10195</t>
  </si>
  <si>
    <t>TRX-10196</t>
  </si>
  <si>
    <t>TRX-10197</t>
  </si>
  <si>
    <t>TRX-10198</t>
  </si>
  <si>
    <t>TRX-10199</t>
  </si>
  <si>
    <t>TRX-10200</t>
  </si>
  <si>
    <t>TRX-10201</t>
  </si>
  <si>
    <t>TRX-10202</t>
  </si>
  <si>
    <t>TRX-10203</t>
  </si>
  <si>
    <t>TRX-10204</t>
  </si>
  <si>
    <t>TRX-10205</t>
  </si>
  <si>
    <t>TRX-10206</t>
  </si>
  <si>
    <t>TRX-10207</t>
  </si>
  <si>
    <t>TRX-10208</t>
  </si>
  <si>
    <t>TRX-10209</t>
  </si>
  <si>
    <t>TRX-10210</t>
  </si>
  <si>
    <t>TRX-10211</t>
  </si>
  <si>
    <t>TRX-10212</t>
  </si>
  <si>
    <t>TRX-10213</t>
  </si>
  <si>
    <t>TRX-10214</t>
  </si>
  <si>
    <t>TRX-10215</t>
  </si>
  <si>
    <t>TRX-10216</t>
  </si>
  <si>
    <t>TRX-10217</t>
  </si>
  <si>
    <t>TRX-10218</t>
  </si>
  <si>
    <t>TRX-10219</t>
  </si>
  <si>
    <t>TRX-10220</t>
  </si>
  <si>
    <t>TRX-10221</t>
  </si>
  <si>
    <t>TRX-10222</t>
  </si>
  <si>
    <t>TRX-10223</t>
  </si>
  <si>
    <t>TRX-10224</t>
  </si>
  <si>
    <t>TRX-10225</t>
  </si>
  <si>
    <t>TRX-10226</t>
  </si>
  <si>
    <t>TRX-10227</t>
  </si>
  <si>
    <t>TRX-10228</t>
  </si>
  <si>
    <t>TRX-10229</t>
  </si>
  <si>
    <t>TRX-10230</t>
  </si>
  <si>
    <t>TRX-10231</t>
  </si>
  <si>
    <t>TRX-10232</t>
  </si>
  <si>
    <t>TRX-10233</t>
  </si>
  <si>
    <t>TRX-10234</t>
  </si>
  <si>
    <t>TRX-10235</t>
  </si>
  <si>
    <t>TRX-10236</t>
  </si>
  <si>
    <t>TRX-10237</t>
  </si>
  <si>
    <t>TRX-10238</t>
  </si>
  <si>
    <t>TRX-10239</t>
  </si>
  <si>
    <t>TRX-10240</t>
  </si>
  <si>
    <t>TRX-10241</t>
  </si>
  <si>
    <t>TRX-10242</t>
  </si>
  <si>
    <t>TRX-10243</t>
  </si>
  <si>
    <t>TRX-10244</t>
  </si>
  <si>
    <t>TRX-10245</t>
  </si>
  <si>
    <t>TRX-10246</t>
  </si>
  <si>
    <t>TRX-10247</t>
  </si>
  <si>
    <t>TRX-10248</t>
  </si>
  <si>
    <t>TRX-10249</t>
  </si>
  <si>
    <t>TRX-10250</t>
  </si>
  <si>
    <t>TRX-10251</t>
  </si>
  <si>
    <t>TRX-10252</t>
  </si>
  <si>
    <t>TRX-10253</t>
  </si>
  <si>
    <t>TRX-10254</t>
  </si>
  <si>
    <t>TRX-10255</t>
  </si>
  <si>
    <t>TRX-10256</t>
  </si>
  <si>
    <t>TRX-10257</t>
  </si>
  <si>
    <t>TRX-10258</t>
  </si>
  <si>
    <t>TRX-10259</t>
  </si>
  <si>
    <t>TRX-10260</t>
  </si>
  <si>
    <t>TRX-10261</t>
  </si>
  <si>
    <t>TRX-10262</t>
  </si>
  <si>
    <t>TRX-10263</t>
  </si>
  <si>
    <t>TRX-10264</t>
  </si>
  <si>
    <t>TRX-10265</t>
  </si>
  <si>
    <t>TRX-10266</t>
  </si>
  <si>
    <t>TRX-10267</t>
  </si>
  <si>
    <t>TRX-10268</t>
  </si>
  <si>
    <t>TRX-10269</t>
  </si>
  <si>
    <t>TRX-10270</t>
  </si>
  <si>
    <t>TRX-10271</t>
  </si>
  <si>
    <t>TRX-10272</t>
  </si>
  <si>
    <t>TRX-10273</t>
  </si>
  <si>
    <t>TRX-10274</t>
  </si>
  <si>
    <t>TRX-10275</t>
  </si>
  <si>
    <t>TRX-10276</t>
  </si>
  <si>
    <t>TRX-10277</t>
  </si>
  <si>
    <t>TRX-10278</t>
  </si>
  <si>
    <t>TRX-10279</t>
  </si>
  <si>
    <t>TRX-10280</t>
  </si>
  <si>
    <t>TRX-10281</t>
  </si>
  <si>
    <t>TRX-10282</t>
  </si>
  <si>
    <t>TRX-10283</t>
  </si>
  <si>
    <t>TRX-10284</t>
  </si>
  <si>
    <t>TRX-10285</t>
  </si>
  <si>
    <t>TRX-10286</t>
  </si>
  <si>
    <t>TRX-10287</t>
  </si>
  <si>
    <t>TRX-10288</t>
  </si>
  <si>
    <t>TRX-10289</t>
  </si>
  <si>
    <t>TRX-10290</t>
  </si>
  <si>
    <t>TRX-10291</t>
  </si>
  <si>
    <t>TRX-10292</t>
  </si>
  <si>
    <t>TRX-10293</t>
  </si>
  <si>
    <t>TRX-10294</t>
  </si>
  <si>
    <t>TRX-10295</t>
  </si>
  <si>
    <t>TRX-10296</t>
  </si>
  <si>
    <t>TRX-10297</t>
  </si>
  <si>
    <t>TRX-10298</t>
  </si>
  <si>
    <t>TRX-10299</t>
  </si>
  <si>
    <t>TRX-10300</t>
  </si>
  <si>
    <t>TRX-10301</t>
  </si>
  <si>
    <t>TRX-10302</t>
  </si>
  <si>
    <t>TRX-10303</t>
  </si>
  <si>
    <t>TRX-10304</t>
  </si>
  <si>
    <t>TRX-10305</t>
  </si>
  <si>
    <t>TRX-10306</t>
  </si>
  <si>
    <t>TRX-10307</t>
  </si>
  <si>
    <t>TRX-10308</t>
  </si>
  <si>
    <t>TRX-10309</t>
  </si>
  <si>
    <t>TRX-10310</t>
  </si>
  <si>
    <t>TRX-10311</t>
  </si>
  <si>
    <t>TRX-10312</t>
  </si>
  <si>
    <t>TRX-10313</t>
  </si>
  <si>
    <t>TRX-10314</t>
  </si>
  <si>
    <t>TRX-10315</t>
  </si>
  <si>
    <t>TRX-10316</t>
  </si>
  <si>
    <t>TRX-10317</t>
  </si>
  <si>
    <t>TRX-10318</t>
  </si>
  <si>
    <t>TRX-10319</t>
  </si>
  <si>
    <t>TRX-10320</t>
  </si>
  <si>
    <t>TRX-10321</t>
  </si>
  <si>
    <t>TRX-10322</t>
  </si>
  <si>
    <t>TRX-10323</t>
  </si>
  <si>
    <t>TRX-10324</t>
  </si>
  <si>
    <t>TRX-10325</t>
  </si>
  <si>
    <t>TRX-10326</t>
  </si>
  <si>
    <t>TRX-10327</t>
  </si>
  <si>
    <t>TRX-10328</t>
  </si>
  <si>
    <t>TRX-10329</t>
  </si>
  <si>
    <t>TRX-10330</t>
  </si>
  <si>
    <t>TRX-10331</t>
  </si>
  <si>
    <t>TRX-10332</t>
  </si>
  <si>
    <t>TRX-10333</t>
  </si>
  <si>
    <t>TRX-10334</t>
  </si>
  <si>
    <t>TRX-10335</t>
  </si>
  <si>
    <t>TRX-10336</t>
  </si>
  <si>
    <t>TRX-10337</t>
  </si>
  <si>
    <t>TRX-10338</t>
  </si>
  <si>
    <t>TRX-10339</t>
  </si>
  <si>
    <t>TRX-10340</t>
  </si>
  <si>
    <t>TRX-10341</t>
  </si>
  <si>
    <t>TRX-10342</t>
  </si>
  <si>
    <t>TRX-10343</t>
  </si>
  <si>
    <t>TRX-10344</t>
  </si>
  <si>
    <t>TRX-10345</t>
  </si>
  <si>
    <t>TRX-10346</t>
  </si>
  <si>
    <t>TRX-10347</t>
  </si>
  <si>
    <t>TRX-10348</t>
  </si>
  <si>
    <t>TRX-10349</t>
  </si>
  <si>
    <t>TRX-10350</t>
  </si>
  <si>
    <t>TRX-10351</t>
  </si>
  <si>
    <t>TRX-10352</t>
  </si>
  <si>
    <t>TRX-10353</t>
  </si>
  <si>
    <t>TRX-10354</t>
  </si>
  <si>
    <t>TRX-10355</t>
  </si>
  <si>
    <t>TRX-10356</t>
  </si>
  <si>
    <t>TRX-10357</t>
  </si>
  <si>
    <t>TRX-10358</t>
  </si>
  <si>
    <t>TRX-10359</t>
  </si>
  <si>
    <t>TRX-10360</t>
  </si>
  <si>
    <t>TRX-10361</t>
  </si>
  <si>
    <t>TRX-10362</t>
  </si>
  <si>
    <t>TRX-10363</t>
  </si>
  <si>
    <t>TRX-10364</t>
  </si>
  <si>
    <t>TRX-10365</t>
  </si>
  <si>
    <t>TRX-10366</t>
  </si>
  <si>
    <t>TRX-10367</t>
  </si>
  <si>
    <t>TRX-10368</t>
  </si>
  <si>
    <t>TRX-10369</t>
  </si>
  <si>
    <t>TRX-10370</t>
  </si>
  <si>
    <t>TRX-10371</t>
  </si>
  <si>
    <t>TRX-10372</t>
  </si>
  <si>
    <t>TRX-10373</t>
  </si>
  <si>
    <t>TRX-10374</t>
  </si>
  <si>
    <t>TRX-10375</t>
  </si>
  <si>
    <t>TRX-10376</t>
  </si>
  <si>
    <t>TRX-10377</t>
  </si>
  <si>
    <t>TRX-10378</t>
  </si>
  <si>
    <t>TRX-10379</t>
  </si>
  <si>
    <t>TRX-10380</t>
  </si>
  <si>
    <t>TRX-10381</t>
  </si>
  <si>
    <t>TRX-10382</t>
  </si>
  <si>
    <t>TRX-10383</t>
  </si>
  <si>
    <t>TRX-10384</t>
  </si>
  <si>
    <t>TRX-10385</t>
  </si>
  <si>
    <t>TRX-10386</t>
  </si>
  <si>
    <t>TRX-10387</t>
  </si>
  <si>
    <t>TRX-10388</t>
  </si>
  <si>
    <t>TRX-10389</t>
  </si>
  <si>
    <t>TRX-10390</t>
  </si>
  <si>
    <t>TRX-10391</t>
  </si>
  <si>
    <t>TRX-10392</t>
  </si>
  <si>
    <t>TRX-10393</t>
  </si>
  <si>
    <t>TRX-10394</t>
  </si>
  <si>
    <t>TRX-10395</t>
  </si>
  <si>
    <t>TRX-10396</t>
  </si>
  <si>
    <t>TRX-10397</t>
  </si>
  <si>
    <t>TRX-10398</t>
  </si>
  <si>
    <t>TRX-10399</t>
  </si>
  <si>
    <t>TRX-10400</t>
  </si>
  <si>
    <t>TRX-10401</t>
  </si>
  <si>
    <t>TRX-10402</t>
  </si>
  <si>
    <t>TRX-10403</t>
  </si>
  <si>
    <t>TRX-10404</t>
  </si>
  <si>
    <t>TRX-10405</t>
  </si>
  <si>
    <t>TRX-10406</t>
  </si>
  <si>
    <t>TRX-10407</t>
  </si>
  <si>
    <t>TRX-10408</t>
  </si>
  <si>
    <t>TRX-10409</t>
  </si>
  <si>
    <t>TRX-10410</t>
  </si>
  <si>
    <t>TRX-10411</t>
  </si>
  <si>
    <t>TRX-10412</t>
  </si>
  <si>
    <t>TRX-10413</t>
  </si>
  <si>
    <t>TRX-10414</t>
  </si>
  <si>
    <t>TRX-10415</t>
  </si>
  <si>
    <t>TRX-10416</t>
  </si>
  <si>
    <t>TRX-10417</t>
  </si>
  <si>
    <t>TRX-10418</t>
  </si>
  <si>
    <t>TRX-10419</t>
  </si>
  <si>
    <t>TRX-10420</t>
  </si>
  <si>
    <t>TRX-10421</t>
  </si>
  <si>
    <t>TRX-10422</t>
  </si>
  <si>
    <t>TRX-10423</t>
  </si>
  <si>
    <t>TRX-10424</t>
  </si>
  <si>
    <t>TRX-10425</t>
  </si>
  <si>
    <t>TRX-10426</t>
  </si>
  <si>
    <t>TRX-10427</t>
  </si>
  <si>
    <t>TRX-10428</t>
  </si>
  <si>
    <t>TRX-10429</t>
  </si>
  <si>
    <t>TRX-10430</t>
  </si>
  <si>
    <t>TRX-10431</t>
  </si>
  <si>
    <t>TRX-10432</t>
  </si>
  <si>
    <t>TRX-10433</t>
  </si>
  <si>
    <t>TRX-10434</t>
  </si>
  <si>
    <t>TRX-10435</t>
  </si>
  <si>
    <t>TRX-10436</t>
  </si>
  <si>
    <t>TRX-10437</t>
  </si>
  <si>
    <t>TRX-10438</t>
  </si>
  <si>
    <t>TRX-10439</t>
  </si>
  <si>
    <t>TRX-10440</t>
  </si>
  <si>
    <t>TRX-10441</t>
  </si>
  <si>
    <t>TRX-10442</t>
  </si>
  <si>
    <t>TRX-10443</t>
  </si>
  <si>
    <t>TRX-10444</t>
  </si>
  <si>
    <t>TRX-10445</t>
  </si>
  <si>
    <t>TRX-10446</t>
  </si>
  <si>
    <t>TRX-10447</t>
  </si>
  <si>
    <t>TRX-10448</t>
  </si>
  <si>
    <t>TRX-10449</t>
  </si>
  <si>
    <t>TRX-10450</t>
  </si>
  <si>
    <t>TRX-10451</t>
  </si>
  <si>
    <t>TRX-10452</t>
  </si>
  <si>
    <t>TRX-10453</t>
  </si>
  <si>
    <t>TRX-10454</t>
  </si>
  <si>
    <t>TRX-10455</t>
  </si>
  <si>
    <t>TRX-10456</t>
  </si>
  <si>
    <t>TRX-10457</t>
  </si>
  <si>
    <t>TRX-10458</t>
  </si>
  <si>
    <t>TRX-10459</t>
  </si>
  <si>
    <t>TRX-10460</t>
  </si>
  <si>
    <t>TRX-10461</t>
  </si>
  <si>
    <t>TRX-10462</t>
  </si>
  <si>
    <t>TRX-10463</t>
  </si>
  <si>
    <t>TRX-10464</t>
  </si>
  <si>
    <t>TRX-10465</t>
  </si>
  <si>
    <t>TRX-10466</t>
  </si>
  <si>
    <t>TRX-10467</t>
  </si>
  <si>
    <t>TRX-10468</t>
  </si>
  <si>
    <t>TRX-10469</t>
  </si>
  <si>
    <t>TRX-10470</t>
  </si>
  <si>
    <t>TRX-10471</t>
  </si>
  <si>
    <t>TRX-10472</t>
  </si>
  <si>
    <t>TRX-10473</t>
  </si>
  <si>
    <t>TRX-10474</t>
  </si>
  <si>
    <t>TRX-10475</t>
  </si>
  <si>
    <t>TRX-10476</t>
  </si>
  <si>
    <t>TRX-10477</t>
  </si>
  <si>
    <t>TRX-10478</t>
  </si>
  <si>
    <t>TRX-10479</t>
  </si>
  <si>
    <t>TRX-10480</t>
  </si>
  <si>
    <t>TRX-10481</t>
  </si>
  <si>
    <t>TRX-10482</t>
  </si>
  <si>
    <t>TRX-10483</t>
  </si>
  <si>
    <t>TRX-10484</t>
  </si>
  <si>
    <t>TRX-10485</t>
  </si>
  <si>
    <t>TRX-10486</t>
  </si>
  <si>
    <t>TRX-10487</t>
  </si>
  <si>
    <t>TRX-10488</t>
  </si>
  <si>
    <t>TRX-10489</t>
  </si>
  <si>
    <t>TRX-10490</t>
  </si>
  <si>
    <t>TRX-10491</t>
  </si>
  <si>
    <t>TRX-10492</t>
  </si>
  <si>
    <t>TRX-10493</t>
  </si>
  <si>
    <t>TRX-10494</t>
  </si>
  <si>
    <t>TRX-10495</t>
  </si>
  <si>
    <t>TRX-10496</t>
  </si>
  <si>
    <t>TRX-10497</t>
  </si>
  <si>
    <t>TRX-10498</t>
  </si>
  <si>
    <t>TRX-10499</t>
  </si>
  <si>
    <t>TRX-10500</t>
  </si>
  <si>
    <t>TRX-10501</t>
  </si>
  <si>
    <t>TRX-10502</t>
  </si>
  <si>
    <t>TRX-10503</t>
  </si>
  <si>
    <t>TRX-10504</t>
  </si>
  <si>
    <t>TRX-10505</t>
  </si>
  <si>
    <t>TRX-10506</t>
  </si>
  <si>
    <t>TRX-10507</t>
  </si>
  <si>
    <t>TRX-10508</t>
  </si>
  <si>
    <t>TRX-10509</t>
  </si>
  <si>
    <t>TRX-10510</t>
  </si>
  <si>
    <t>TRX-10511</t>
  </si>
  <si>
    <t>TRX-10512</t>
  </si>
  <si>
    <t>TRX-10513</t>
  </si>
  <si>
    <t>TRX-10514</t>
  </si>
  <si>
    <t>TRX-10515</t>
  </si>
  <si>
    <t>TRX-10516</t>
  </si>
  <si>
    <t>TRX-10517</t>
  </si>
  <si>
    <t>TRX-10518</t>
  </si>
  <si>
    <t>TRX-10519</t>
  </si>
  <si>
    <t>TRX-10520</t>
  </si>
  <si>
    <t>TRX-10521</t>
  </si>
  <si>
    <t>TRX-10522</t>
  </si>
  <si>
    <t>TRX-10523</t>
  </si>
  <si>
    <t>TRX-10524</t>
  </si>
  <si>
    <t>TRX-10525</t>
  </si>
  <si>
    <t>TRX-10526</t>
  </si>
  <si>
    <t>TRX-10527</t>
  </si>
  <si>
    <t>TRX-10528</t>
  </si>
  <si>
    <t>TRX-10529</t>
  </si>
  <si>
    <t>TRX-10530</t>
  </si>
  <si>
    <t>TRX-10531</t>
  </si>
  <si>
    <t>TRX-10532</t>
  </si>
  <si>
    <t>TRX-10533</t>
  </si>
  <si>
    <t>TRX-10534</t>
  </si>
  <si>
    <t>TRX-10535</t>
  </si>
  <si>
    <t>TRX-10536</t>
  </si>
  <si>
    <t>TRX-10537</t>
  </si>
  <si>
    <t>TRX-10538</t>
  </si>
  <si>
    <t>TRX-10539</t>
  </si>
  <si>
    <t>TRX-10540</t>
  </si>
  <si>
    <t>TRX-10541</t>
  </si>
  <si>
    <t>TRX-10542</t>
  </si>
  <si>
    <t>TRX-10543</t>
  </si>
  <si>
    <t>TRX-10544</t>
  </si>
  <si>
    <t>TRX-10545</t>
  </si>
  <si>
    <t>TRX-10546</t>
  </si>
  <si>
    <t>TRX-10547</t>
  </si>
  <si>
    <t>TRX-10548</t>
  </si>
  <si>
    <t>TRX-10549</t>
  </si>
  <si>
    <t>TRX-10550</t>
  </si>
  <si>
    <t>TRX-10551</t>
  </si>
  <si>
    <t>TRX-10552</t>
  </si>
  <si>
    <t>TRX-10553</t>
  </si>
  <si>
    <t>TRX-10554</t>
  </si>
  <si>
    <t>TRX-10555</t>
  </si>
  <si>
    <t>TRX-10556</t>
  </si>
  <si>
    <t>TRX-10557</t>
  </si>
  <si>
    <t>TRX-10558</t>
  </si>
  <si>
    <t>TRX-10559</t>
  </si>
  <si>
    <t>TRX-10560</t>
  </si>
  <si>
    <t>TRX-10561</t>
  </si>
  <si>
    <t>TRX-10562</t>
  </si>
  <si>
    <t>TRX-10563</t>
  </si>
  <si>
    <t>TRX-10564</t>
  </si>
  <si>
    <t>TRX-10565</t>
  </si>
  <si>
    <t>TRX-10566</t>
  </si>
  <si>
    <t>TRX-10567</t>
  </si>
  <si>
    <t>TRX-10568</t>
  </si>
  <si>
    <t>TRX-10569</t>
  </si>
  <si>
    <t>TRX-10570</t>
  </si>
  <si>
    <t>TRX-10571</t>
  </si>
  <si>
    <t>TRX-10572</t>
  </si>
  <si>
    <t>TRX-10573</t>
  </si>
  <si>
    <t>TRX-10574</t>
  </si>
  <si>
    <t>TRX-10575</t>
  </si>
  <si>
    <t>TRX-10576</t>
  </si>
  <si>
    <t>TRX-10577</t>
  </si>
  <si>
    <t>TRX-10578</t>
  </si>
  <si>
    <t>TRX-10579</t>
  </si>
  <si>
    <t>TRX-10580</t>
  </si>
  <si>
    <t>TRX-10581</t>
  </si>
  <si>
    <t>TRX-10582</t>
  </si>
  <si>
    <t>TRX-10583</t>
  </si>
  <si>
    <t>TRX-10584</t>
  </si>
  <si>
    <t>TRX-10585</t>
  </si>
  <si>
    <t>TRX-10586</t>
  </si>
  <si>
    <t>TRX-10587</t>
  </si>
  <si>
    <t>TRX-10588</t>
  </si>
  <si>
    <t>TRX-10589</t>
  </si>
  <si>
    <t>TRX-10590</t>
  </si>
  <si>
    <t>TRX-10591</t>
  </si>
  <si>
    <t>TRX-10592</t>
  </si>
  <si>
    <t>TRX-10593</t>
  </si>
  <si>
    <t>TRX-10594</t>
  </si>
  <si>
    <t>TRX-10595</t>
  </si>
  <si>
    <t>TRX-10596</t>
  </si>
  <si>
    <t>TRX-10597</t>
  </si>
  <si>
    <t>TRX-10598</t>
  </si>
  <si>
    <t>TRX-10599</t>
  </si>
  <si>
    <t>TRX-10600</t>
  </si>
  <si>
    <t>TRX-10601</t>
  </si>
  <si>
    <t>TRX-10602</t>
  </si>
  <si>
    <t>TRX-10603</t>
  </si>
  <si>
    <t>TRX-10604</t>
  </si>
  <si>
    <t>TRX-10605</t>
  </si>
  <si>
    <t>TRX-10606</t>
  </si>
  <si>
    <t>TRX-10607</t>
  </si>
  <si>
    <t>TRX-10608</t>
  </si>
  <si>
    <t>TRX-10609</t>
  </si>
  <si>
    <t>TRX-10610</t>
  </si>
  <si>
    <t>TRX-10611</t>
  </si>
  <si>
    <t>TRX-10612</t>
  </si>
  <si>
    <t>TRX-10613</t>
  </si>
  <si>
    <t>TRX-10614</t>
  </si>
  <si>
    <t>TRX-10615</t>
  </si>
  <si>
    <t>TRX-10616</t>
  </si>
  <si>
    <t>TRX-10617</t>
  </si>
  <si>
    <t>TRX-10618</t>
  </si>
  <si>
    <t>TRX-10619</t>
  </si>
  <si>
    <t>TRX-10620</t>
  </si>
  <si>
    <t>TRX-10621</t>
  </si>
  <si>
    <t>TRX-10622</t>
  </si>
  <si>
    <t>TRX-10623</t>
  </si>
  <si>
    <t>TRX-10624</t>
  </si>
  <si>
    <t>TRX-10625</t>
  </si>
  <si>
    <t>TRX-10626</t>
  </si>
  <si>
    <t>TRX-10627</t>
  </si>
  <si>
    <t>TRX-10628</t>
  </si>
  <si>
    <t>TRX-10629</t>
  </si>
  <si>
    <t>TRX-10630</t>
  </si>
  <si>
    <t>TRX-10631</t>
  </si>
  <si>
    <t>TRX-10632</t>
  </si>
  <si>
    <t>TRX-10633</t>
  </si>
  <si>
    <t>TRX-10634</t>
  </si>
  <si>
    <t>TRX-10635</t>
  </si>
  <si>
    <t>TRX-10636</t>
  </si>
  <si>
    <t>TRX-10637</t>
  </si>
  <si>
    <t>TRX-10638</t>
  </si>
  <si>
    <t>TRX-10639</t>
  </si>
  <si>
    <t>TRX-10640</t>
  </si>
  <si>
    <t>TRX-10641</t>
  </si>
  <si>
    <t>TRX-10642</t>
  </si>
  <si>
    <t>TRX-10643</t>
  </si>
  <si>
    <t>TRX-10644</t>
  </si>
  <si>
    <t>TRX-10645</t>
  </si>
  <si>
    <t>TRX-10646</t>
  </si>
  <si>
    <t>TRX-10647</t>
  </si>
  <si>
    <t>TRX-10648</t>
  </si>
  <si>
    <t>TRX-10649</t>
  </si>
  <si>
    <t>TRX-10650</t>
  </si>
  <si>
    <t>TRX-10651</t>
  </si>
  <si>
    <t>TRX-10652</t>
  </si>
  <si>
    <t>TRX-10653</t>
  </si>
  <si>
    <t>TRX-10654</t>
  </si>
  <si>
    <t>TRX-10655</t>
  </si>
  <si>
    <t>TRX-10656</t>
  </si>
  <si>
    <t>TRX-10657</t>
  </si>
  <si>
    <t>TRX-10658</t>
  </si>
  <si>
    <t>TRX-10659</t>
  </si>
  <si>
    <t>TRX-10660</t>
  </si>
  <si>
    <t>TRX-10661</t>
  </si>
  <si>
    <t>TRX-10662</t>
  </si>
  <si>
    <t>TRX-10663</t>
  </si>
  <si>
    <t>TRX-10664</t>
  </si>
  <si>
    <t>TRX-10665</t>
  </si>
  <si>
    <t>TRX-10666</t>
  </si>
  <si>
    <t>TRX-10667</t>
  </si>
  <si>
    <t>TRX-10668</t>
  </si>
  <si>
    <t>TRX-10669</t>
  </si>
  <si>
    <t>TRX-10670</t>
  </si>
  <si>
    <t>TRX-10671</t>
  </si>
  <si>
    <t>TRX-10672</t>
  </si>
  <si>
    <t>TRX-10673</t>
  </si>
  <si>
    <t>TRX-10674</t>
  </si>
  <si>
    <t>TRX-10675</t>
  </si>
  <si>
    <t>TRX-10676</t>
  </si>
  <si>
    <t>TRX-10677</t>
  </si>
  <si>
    <t>TRX-10678</t>
  </si>
  <si>
    <t>TRX-10679</t>
  </si>
  <si>
    <t>TRX-10680</t>
  </si>
  <si>
    <t>TRX-10681</t>
  </si>
  <si>
    <t>TRX-10682</t>
  </si>
  <si>
    <t>TRX-10683</t>
  </si>
  <si>
    <t>TRX-10684</t>
  </si>
  <si>
    <t>TRX-10685</t>
  </si>
  <si>
    <t>TRX-10686</t>
  </si>
  <si>
    <t>TRX-10687</t>
  </si>
  <si>
    <t>TRX-10688</t>
  </si>
  <si>
    <t>TRX-10689</t>
  </si>
  <si>
    <t>TRX-10690</t>
  </si>
  <si>
    <t>TRX-10691</t>
  </si>
  <si>
    <t>TRX-10692</t>
  </si>
  <si>
    <t>TRX-10693</t>
  </si>
  <si>
    <t>TRX-10694</t>
  </si>
  <si>
    <t>TRX-10695</t>
  </si>
  <si>
    <t>TRX-10696</t>
  </si>
  <si>
    <t>TRX-10697</t>
  </si>
  <si>
    <t>TRX-10698</t>
  </si>
  <si>
    <t>TRX-10699</t>
  </si>
  <si>
    <t>TRX-10700</t>
  </si>
  <si>
    <t>TRX-10701</t>
  </si>
  <si>
    <t>TRX-10702</t>
  </si>
  <si>
    <t>TRX-10703</t>
  </si>
  <si>
    <t>TRX-10704</t>
  </si>
  <si>
    <t>TRX-10705</t>
  </si>
  <si>
    <t>TRX-10706</t>
  </si>
  <si>
    <t>TRX-10707</t>
  </si>
  <si>
    <t>TRX-10708</t>
  </si>
  <si>
    <t>TRX-10709</t>
  </si>
  <si>
    <t>TRX-10710</t>
  </si>
  <si>
    <t>TRX-10711</t>
  </si>
  <si>
    <t>TRX-10712</t>
  </si>
  <si>
    <t>TRX-10713</t>
  </si>
  <si>
    <t>TRX-10714</t>
  </si>
  <si>
    <t>TRX-10715</t>
  </si>
  <si>
    <t>TRX-10716</t>
  </si>
  <si>
    <t>TRX-10717</t>
  </si>
  <si>
    <t>TRX-10718</t>
  </si>
  <si>
    <t>TRX-10719</t>
  </si>
  <si>
    <t>TRX-10720</t>
  </si>
  <si>
    <t>TRX-10721</t>
  </si>
  <si>
    <t>TRX-10722</t>
  </si>
  <si>
    <t>TRX-10723</t>
  </si>
  <si>
    <t>TRX-10724</t>
  </si>
  <si>
    <t>TRX-10725</t>
  </si>
  <si>
    <t>TRX-10726</t>
  </si>
  <si>
    <t>TRX-10727</t>
  </si>
  <si>
    <t>TRX-10728</t>
  </si>
  <si>
    <t>TRX-10729</t>
  </si>
  <si>
    <t>TRX-10730</t>
  </si>
  <si>
    <t>TRX-10731</t>
  </si>
  <si>
    <t>TRX-10732</t>
  </si>
  <si>
    <t>TRX-10733</t>
  </si>
  <si>
    <t>TRX-10734</t>
  </si>
  <si>
    <t>TRX-10735</t>
  </si>
  <si>
    <t>TRX-10736</t>
  </si>
  <si>
    <t>TRX-10737</t>
  </si>
  <si>
    <t>TRX-10738</t>
  </si>
  <si>
    <t>TRX-10739</t>
  </si>
  <si>
    <t>TRX-10740</t>
  </si>
  <si>
    <t>TRX-10741</t>
  </si>
  <si>
    <t>TRX-10742</t>
  </si>
  <si>
    <t>TRX-10743</t>
  </si>
  <si>
    <t>TRX-10744</t>
  </si>
  <si>
    <t>TRX-10745</t>
  </si>
  <si>
    <t>TRX-10746</t>
  </si>
  <si>
    <t>TRX-10747</t>
  </si>
  <si>
    <t>TRX-10748</t>
  </si>
  <si>
    <t>TRX-10749</t>
  </si>
  <si>
    <t>TRX-10750</t>
  </si>
  <si>
    <t>TRX-10751</t>
  </si>
  <si>
    <t>TRX-10752</t>
  </si>
  <si>
    <t>TRX-10753</t>
  </si>
  <si>
    <t>TRX-10754</t>
  </si>
  <si>
    <t>TRX-10755</t>
  </si>
  <si>
    <t>TRX-10756</t>
  </si>
  <si>
    <t>TRX-10757</t>
  </si>
  <si>
    <t>TRX-10758</t>
  </si>
  <si>
    <t>TRX-10759</t>
  </si>
  <si>
    <t>TRX-10760</t>
  </si>
  <si>
    <t>TRX-10761</t>
  </si>
  <si>
    <t>TRX-10762</t>
  </si>
  <si>
    <t>TRX-10763</t>
  </si>
  <si>
    <t>TRX-10764</t>
  </si>
  <si>
    <t>TRX-10765</t>
  </si>
  <si>
    <t>TRX-10766</t>
  </si>
  <si>
    <t>TRX-10767</t>
  </si>
  <si>
    <t>TRX-10768</t>
  </si>
  <si>
    <t>TRX-10769</t>
  </si>
  <si>
    <t>TRX-10770</t>
  </si>
  <si>
    <t>TRX-10771</t>
  </si>
  <si>
    <t>TRX-10772</t>
  </si>
  <si>
    <t>TRX-10773</t>
  </si>
  <si>
    <t>TRX-10774</t>
  </si>
  <si>
    <t>TRX-10775</t>
  </si>
  <si>
    <t>TRX-10776</t>
  </si>
  <si>
    <t>TRX-10777</t>
  </si>
  <si>
    <t>TRX-10778</t>
  </si>
  <si>
    <t>TRX-10779</t>
  </si>
  <si>
    <t>TRX-10780</t>
  </si>
  <si>
    <t>TRX-10781</t>
  </si>
  <si>
    <t>TRX-10782</t>
  </si>
  <si>
    <t>TRX-10783</t>
  </si>
  <si>
    <t>TRX-10784</t>
  </si>
  <si>
    <t>TRX-10785</t>
  </si>
  <si>
    <t>TRX-10786</t>
  </si>
  <si>
    <t>TRX-10787</t>
  </si>
  <si>
    <t>TRX-10788</t>
  </si>
  <si>
    <t>TRX-10789</t>
  </si>
  <si>
    <t>TRX-10790</t>
  </si>
  <si>
    <t>TRX-10791</t>
  </si>
  <si>
    <t>TRX-10792</t>
  </si>
  <si>
    <t>TRX-10793</t>
  </si>
  <si>
    <t>TRX-10794</t>
  </si>
  <si>
    <t>TRX-10795</t>
  </si>
  <si>
    <t>TRX-10796</t>
  </si>
  <si>
    <t>TRX-10797</t>
  </si>
  <si>
    <t>TRX-10798</t>
  </si>
  <si>
    <t>TRX-10799</t>
  </si>
  <si>
    <t>TRX-10800</t>
  </si>
  <si>
    <t>TRX-10801</t>
  </si>
  <si>
    <t>TRX-10802</t>
  </si>
  <si>
    <t>TRX-10803</t>
  </si>
  <si>
    <t>TRX-10804</t>
  </si>
  <si>
    <t>TRX-10805</t>
  </si>
  <si>
    <t>TRX-10806</t>
  </si>
  <si>
    <t>TRX-10807</t>
  </si>
  <si>
    <t>TRX-10808</t>
  </si>
  <si>
    <t>TRX-10809</t>
  </si>
  <si>
    <t>TRX-10810</t>
  </si>
  <si>
    <t>TRX-10811</t>
  </si>
  <si>
    <t>TRX-10812</t>
  </si>
  <si>
    <t>TRX-10813</t>
  </si>
  <si>
    <t>TRX-10814</t>
  </si>
  <si>
    <t>TRX-10815</t>
  </si>
  <si>
    <t>TRX-10816</t>
  </si>
  <si>
    <t>TRX-10817</t>
  </si>
  <si>
    <t>TRX-10818</t>
  </si>
  <si>
    <t>TRX-10819</t>
  </si>
  <si>
    <t>TRX-10820</t>
  </si>
  <si>
    <t>TRX-10821</t>
  </si>
  <si>
    <t>TRX-10822</t>
  </si>
  <si>
    <t>TRX-10823</t>
  </si>
  <si>
    <t>TRX-10824</t>
  </si>
  <si>
    <t>TRX-10825</t>
  </si>
  <si>
    <t>TRX-10826</t>
  </si>
  <si>
    <t>TRX-10827</t>
  </si>
  <si>
    <t>TRX-10828</t>
  </si>
  <si>
    <t>TRX-10829</t>
  </si>
  <si>
    <t>TRX-10830</t>
  </si>
  <si>
    <t>TRX-10831</t>
  </si>
  <si>
    <t>TRX-10832</t>
  </si>
  <si>
    <t>TRX-10833</t>
  </si>
  <si>
    <t>TRX-10834</t>
  </si>
  <si>
    <t>TRX-10835</t>
  </si>
  <si>
    <t>TRX-10836</t>
  </si>
  <si>
    <t>TRX-10837</t>
  </si>
  <si>
    <t>TRX-10838</t>
  </si>
  <si>
    <t>TRX-10839</t>
  </si>
  <si>
    <t>TRX-10840</t>
  </si>
  <si>
    <t>TRX-10841</t>
  </si>
  <si>
    <t>TRX-10842</t>
  </si>
  <si>
    <t>TRX-10843</t>
  </si>
  <si>
    <t>TRX-10844</t>
  </si>
  <si>
    <t>TRX-10845</t>
  </si>
  <si>
    <t>TRX-10846</t>
  </si>
  <si>
    <t>TRX-10847</t>
  </si>
  <si>
    <t>TRX-10848</t>
  </si>
  <si>
    <t>TRX-10849</t>
  </si>
  <si>
    <t>TRX-10850</t>
  </si>
  <si>
    <t>TRX-10851</t>
  </si>
  <si>
    <t>TRX-10852</t>
  </si>
  <si>
    <t>TRX-10853</t>
  </si>
  <si>
    <t>TRX-10854</t>
  </si>
  <si>
    <t>TRX-10855</t>
  </si>
  <si>
    <t>TRX-10856</t>
  </si>
  <si>
    <t>TRX-10857</t>
  </si>
  <si>
    <t>TRX-10858</t>
  </si>
  <si>
    <t>TRX-10859</t>
  </si>
  <si>
    <t>TRX-10860</t>
  </si>
  <si>
    <t>TRX-10861</t>
  </si>
  <si>
    <t>TRX-10862</t>
  </si>
  <si>
    <t>TRX-10863</t>
  </si>
  <si>
    <t>TRX-10864</t>
  </si>
  <si>
    <t>TRX-10865</t>
  </si>
  <si>
    <t>TRX-10866</t>
  </si>
  <si>
    <t>TRX-10867</t>
  </si>
  <si>
    <t>TRX-10868</t>
  </si>
  <si>
    <t>TRX-10869</t>
  </si>
  <si>
    <t>TRX-10870</t>
  </si>
  <si>
    <t>TRX-10871</t>
  </si>
  <si>
    <t>TRX-10872</t>
  </si>
  <si>
    <t>TRX-10873</t>
  </si>
  <si>
    <t>TRX-10874</t>
  </si>
  <si>
    <t>TRX-10875</t>
  </si>
  <si>
    <t>TRX-10876</t>
  </si>
  <si>
    <t>TRX-10877</t>
  </si>
  <si>
    <t>TRX-10878</t>
  </si>
  <si>
    <t>TRX-10879</t>
  </si>
  <si>
    <t>TRX-10880</t>
  </si>
  <si>
    <t>TRX-10881</t>
  </si>
  <si>
    <t>TRX-10882</t>
  </si>
  <si>
    <t>TRX-10883</t>
  </si>
  <si>
    <t>TRX-10884</t>
  </si>
  <si>
    <t>TRX-10885</t>
  </si>
  <si>
    <t>TRX-10886</t>
  </si>
  <si>
    <t>TRX-10887</t>
  </si>
  <si>
    <t>TRX-10888</t>
  </si>
  <si>
    <t>TRX-10889</t>
  </si>
  <si>
    <t>TRX-10890</t>
  </si>
  <si>
    <t>TRX-10891</t>
  </si>
  <si>
    <t>TRX-10892</t>
  </si>
  <si>
    <t>TRX-10893</t>
  </si>
  <si>
    <t>TRX-10894</t>
  </si>
  <si>
    <t>TRX-10895</t>
  </si>
  <si>
    <t>TRX-10896</t>
  </si>
  <si>
    <t>TRX-10897</t>
  </si>
  <si>
    <t>TRX-10898</t>
  </si>
  <si>
    <t>TRX-10899</t>
  </si>
  <si>
    <t>TRX-10900</t>
  </si>
  <si>
    <t>TRX-10901</t>
  </si>
  <si>
    <t>TRX-10902</t>
  </si>
  <si>
    <t>TRX-10903</t>
  </si>
  <si>
    <t>TRX-10904</t>
  </si>
  <si>
    <t>TRX-10905</t>
  </si>
  <si>
    <t>TRX-10906</t>
  </si>
  <si>
    <t>TRX-10907</t>
  </si>
  <si>
    <t>TRX-10908</t>
  </si>
  <si>
    <t>TRX-10909</t>
  </si>
  <si>
    <t>TRX-10910</t>
  </si>
  <si>
    <t>TRX-10911</t>
  </si>
  <si>
    <t>TRX-10912</t>
  </si>
  <si>
    <t>TRX-10913</t>
  </si>
  <si>
    <t>TRX-10914</t>
  </si>
  <si>
    <t>TRX-10915</t>
  </si>
  <si>
    <t>TRX-10916</t>
  </si>
  <si>
    <t>TRX-10917</t>
  </si>
  <si>
    <t>TRX-10918</t>
  </si>
  <si>
    <t>TRX-10919</t>
  </si>
  <si>
    <t>TRX-10920</t>
  </si>
  <si>
    <t>TRX-10921</t>
  </si>
  <si>
    <t>TRX-10922</t>
  </si>
  <si>
    <t>TRX-10923</t>
  </si>
  <si>
    <t>TRX-10924</t>
  </si>
  <si>
    <t>TRX-10925</t>
  </si>
  <si>
    <t>TRX-10926</t>
  </si>
  <si>
    <t>TRX-10927</t>
  </si>
  <si>
    <t>TRX-10928</t>
  </si>
  <si>
    <t>TRX-10929</t>
  </si>
  <si>
    <t>TRX-10930</t>
  </si>
  <si>
    <t>TRX-10931</t>
  </si>
  <si>
    <t>TRX-10932</t>
  </si>
  <si>
    <t>TRX-10933</t>
  </si>
  <si>
    <t>TRX-10934</t>
  </si>
  <si>
    <t>TRX-10935</t>
  </si>
  <si>
    <t>TRX-10936</t>
  </si>
  <si>
    <t>TRX-10937</t>
  </si>
  <si>
    <t>TRX-10938</t>
  </si>
  <si>
    <t>TRX-10939</t>
  </si>
  <si>
    <t>TRX-10940</t>
  </si>
  <si>
    <t>TRX-10941</t>
  </si>
  <si>
    <t>TRX-10942</t>
  </si>
  <si>
    <t>TRX-10943</t>
  </si>
  <si>
    <t>TRX-10944</t>
  </si>
  <si>
    <t>TRX-10945</t>
  </si>
  <si>
    <t>TRX-10946</t>
  </si>
  <si>
    <t>TRX-10947</t>
  </si>
  <si>
    <t>TRX-10948</t>
  </si>
  <si>
    <t>TRX-10949</t>
  </si>
  <si>
    <t>TRX-10950</t>
  </si>
  <si>
    <t>TRX-10951</t>
  </si>
  <si>
    <t>TRX-10952</t>
  </si>
  <si>
    <t>TRX-10953</t>
  </si>
  <si>
    <t>TRX-10954</t>
  </si>
  <si>
    <t>TRX-10955</t>
  </si>
  <si>
    <t>TRX-10956</t>
  </si>
  <si>
    <t>TRX-10957</t>
  </si>
  <si>
    <t>TRX-10958</t>
  </si>
  <si>
    <t>TRX-10959</t>
  </si>
  <si>
    <t>TRX-10960</t>
  </si>
  <si>
    <t>TRX-10961</t>
  </si>
  <si>
    <t>TRX-10962</t>
  </si>
  <si>
    <t>TRX-10963</t>
  </si>
  <si>
    <t>TRX-10964</t>
  </si>
  <si>
    <t>TRX-10965</t>
  </si>
  <si>
    <t>TRX-10966</t>
  </si>
  <si>
    <t>TRX-10967</t>
  </si>
  <si>
    <t>TRX-10968</t>
  </si>
  <si>
    <t>TRX-10969</t>
  </si>
  <si>
    <t>TRX-10970</t>
  </si>
  <si>
    <t>TRX-10971</t>
  </si>
  <si>
    <t>TRX-10972</t>
  </si>
  <si>
    <t>TRX-10973</t>
  </si>
  <si>
    <t>TRX-10974</t>
  </si>
  <si>
    <t>TRX-10975</t>
  </si>
  <si>
    <t>TRX-10976</t>
  </si>
  <si>
    <t>TRX-10977</t>
  </si>
  <si>
    <t>TRX-10978</t>
  </si>
  <si>
    <t>TRX-10979</t>
  </si>
  <si>
    <t>TRX-10980</t>
  </si>
  <si>
    <t>TRX-10981</t>
  </si>
  <si>
    <t>TRX-10982</t>
  </si>
  <si>
    <t>TRX-10983</t>
  </si>
  <si>
    <t>TRX-10984</t>
  </si>
  <si>
    <t>TRX-10985</t>
  </si>
  <si>
    <t>TRX-10986</t>
  </si>
  <si>
    <t>TRX-10987</t>
  </si>
  <si>
    <t>TRX-10988</t>
  </si>
  <si>
    <t>TRX-10989</t>
  </si>
  <si>
    <t>TRX-10990</t>
  </si>
  <si>
    <t>TRX-10991</t>
  </si>
  <si>
    <t>TRX-10992</t>
  </si>
  <si>
    <t>TRX-10993</t>
  </si>
  <si>
    <t>TRX-10994</t>
  </si>
  <si>
    <t>TRX-10995</t>
  </si>
  <si>
    <t>TRX-10996</t>
  </si>
  <si>
    <t>TRX-10997</t>
  </si>
  <si>
    <t>TRX-10998</t>
  </si>
  <si>
    <t>TRX-10999</t>
  </si>
  <si>
    <t>DOUBLE VLOOKUP</t>
  </si>
  <si>
    <t>VLOOKUP</t>
  </si>
  <si>
    <t>DYNAMIC TWO WAY GRID 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</si>
</sst>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39]#,##0.00"/>
  </numFmts>
  <fonts count="8" x14ac:knownFonts="1">
    <font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20"/>
      <color theme="0"/>
      <name val="Arial Black"/>
      <family val="2"/>
    </font>
    <font>
      <b/>
      <sz val="26"/>
      <color theme="0"/>
      <name val="Arial Black"/>
      <family val="2"/>
    </font>
    <font>
      <b/>
      <sz val="24"/>
      <color theme="0"/>
      <name val="Arial Black"/>
      <family val="2"/>
    </font>
    <font>
      <b/>
      <sz val="16"/>
      <color theme="1"/>
      <name val="Calibri"/>
      <family val="2"/>
      <scheme val="minor"/>
    </font>
    <font>
      <b/>
      <sz val="20"/>
      <color theme="1"/>
      <name val="Arial Black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14" fontId="2" fillId="2" borderId="1" xfId="0" applyNumberFormat="1" applyFont="1" applyFill="1" applyBorder="1" applyAlignment="1">
      <alignment horizontal="center" vertical="center"/>
    </xf>
    <xf numFmtId="14" fontId="0" fillId="0" borderId="1" xfId="0" applyNumberFormat="1" applyBorder="1"/>
    <xf numFmtId="14" fontId="1" fillId="2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164" fontId="2" fillId="2" borderId="1" xfId="0" applyNumberFormat="1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0" xfId="0" applyNumberForma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3" xfId="0" applyBorder="1"/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7" fillId="3" borderId="0" xfId="0" applyFont="1" applyFill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4" fillId="2" borderId="0" xfId="0" applyFont="1" applyFill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78F9E-FC3D-42C8-AE47-401525D6BEE9}">
  <dimension ref="A1:O1001"/>
  <sheetViews>
    <sheetView workbookViewId="0"/>
  </sheetViews>
  <sheetFormatPr defaultRowHeight="14.4" x14ac:dyDescent="0.3"/>
  <cols>
    <col min="1" max="1" width="19.21875" bestFit="1" customWidth="1"/>
    <col min="2" max="2" width="8.33203125" style="9" bestFit="1" customWidth="1"/>
    <col min="3" max="3" width="13.109375" bestFit="1" customWidth="1"/>
    <col min="4" max="4" width="16.88671875" bestFit="1" customWidth="1"/>
    <col min="5" max="5" width="9.88671875" bestFit="1" customWidth="1"/>
    <col min="6" max="6" width="18.33203125" bestFit="1" customWidth="1"/>
    <col min="7" max="7" width="16.33203125" bestFit="1" customWidth="1"/>
    <col min="8" max="8" width="25.33203125" bestFit="1" customWidth="1"/>
    <col min="9" max="9" width="19" bestFit="1" customWidth="1"/>
    <col min="10" max="10" width="31.5546875" bestFit="1" customWidth="1"/>
    <col min="11" max="11" width="12.109375" bestFit="1" customWidth="1"/>
    <col min="12" max="12" width="19.88671875" bestFit="1" customWidth="1"/>
    <col min="13" max="13" width="22.6640625" bestFit="1" customWidth="1"/>
    <col min="14" max="14" width="21.6640625" bestFit="1" customWidth="1"/>
    <col min="15" max="15" width="15.21875" bestFit="1" customWidth="1"/>
  </cols>
  <sheetData>
    <row r="1" spans="1:15" ht="21" x14ac:dyDescent="0.3">
      <c r="A1" s="3" t="s">
        <v>0</v>
      </c>
      <c r="B1" s="8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">
      <c r="A2" s="2" t="s">
        <v>15</v>
      </c>
      <c r="B2" s="1">
        <v>46088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>
        <v>74</v>
      </c>
      <c r="J2" s="2">
        <v>16</v>
      </c>
      <c r="K2" s="2">
        <v>25114.07</v>
      </c>
      <c r="L2" s="2">
        <v>350.3</v>
      </c>
      <c r="M2" s="2">
        <v>179.26</v>
      </c>
      <c r="N2" s="2" t="s">
        <v>22</v>
      </c>
      <c r="O2" s="2">
        <v>4</v>
      </c>
    </row>
    <row r="3" spans="1:15" x14ac:dyDescent="0.3">
      <c r="A3" s="2" t="s">
        <v>23</v>
      </c>
      <c r="B3" s="1">
        <v>46007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29</v>
      </c>
      <c r="I3" s="2">
        <v>28</v>
      </c>
      <c r="J3" s="2">
        <v>28</v>
      </c>
      <c r="K3" s="2">
        <v>9331.6</v>
      </c>
      <c r="L3" s="2">
        <v>106.51</v>
      </c>
      <c r="M3" s="2">
        <v>121.35</v>
      </c>
      <c r="N3" s="2" t="s">
        <v>30</v>
      </c>
      <c r="O3" s="2">
        <v>5</v>
      </c>
    </row>
    <row r="4" spans="1:15" x14ac:dyDescent="0.3">
      <c r="A4" s="2" t="s">
        <v>31</v>
      </c>
      <c r="B4" s="1">
        <v>45886</v>
      </c>
      <c r="C4" s="2" t="s">
        <v>32</v>
      </c>
      <c r="D4" s="2" t="s">
        <v>33</v>
      </c>
      <c r="E4" s="2" t="s">
        <v>18</v>
      </c>
      <c r="F4" s="2" t="s">
        <v>34</v>
      </c>
      <c r="G4" s="2" t="s">
        <v>35</v>
      </c>
      <c r="H4" s="2" t="s">
        <v>29</v>
      </c>
      <c r="I4" s="2">
        <v>44</v>
      </c>
      <c r="J4" s="2">
        <v>112</v>
      </c>
      <c r="K4" s="2">
        <v>5853.67</v>
      </c>
      <c r="L4" s="2">
        <v>394.49</v>
      </c>
      <c r="M4" s="2">
        <v>136.69999999999999</v>
      </c>
      <c r="N4" s="2" t="s">
        <v>30</v>
      </c>
      <c r="O4" s="2">
        <v>5</v>
      </c>
    </row>
    <row r="5" spans="1:15" x14ac:dyDescent="0.3">
      <c r="A5" s="2" t="s">
        <v>36</v>
      </c>
      <c r="B5" s="1">
        <v>46015</v>
      </c>
      <c r="C5" s="2" t="s">
        <v>16</v>
      </c>
      <c r="D5" s="2" t="s">
        <v>37</v>
      </c>
      <c r="E5" s="2" t="s">
        <v>38</v>
      </c>
      <c r="F5" s="2" t="s">
        <v>39</v>
      </c>
      <c r="G5" s="2" t="s">
        <v>28</v>
      </c>
      <c r="H5" s="2" t="s">
        <v>21</v>
      </c>
      <c r="I5" s="2">
        <v>35</v>
      </c>
      <c r="J5" s="2">
        <v>35</v>
      </c>
      <c r="K5" s="2">
        <v>42184.29</v>
      </c>
      <c r="L5" s="2">
        <v>144.59</v>
      </c>
      <c r="M5" s="2">
        <v>141.15</v>
      </c>
      <c r="N5" s="2" t="s">
        <v>30</v>
      </c>
      <c r="O5" s="2">
        <v>5</v>
      </c>
    </row>
    <row r="6" spans="1:15" x14ac:dyDescent="0.3">
      <c r="A6" s="2" t="s">
        <v>40</v>
      </c>
      <c r="B6" s="1">
        <v>45980</v>
      </c>
      <c r="C6" s="2" t="s">
        <v>41</v>
      </c>
      <c r="D6" s="2" t="s">
        <v>33</v>
      </c>
      <c r="E6" s="2" t="s">
        <v>26</v>
      </c>
      <c r="F6" s="2" t="s">
        <v>34</v>
      </c>
      <c r="G6" s="2" t="s">
        <v>28</v>
      </c>
      <c r="H6" s="2" t="s">
        <v>29</v>
      </c>
      <c r="I6" s="2">
        <v>63</v>
      </c>
      <c r="J6" s="2">
        <v>60</v>
      </c>
      <c r="K6" s="2">
        <v>30899.59</v>
      </c>
      <c r="L6" s="2">
        <v>195.55</v>
      </c>
      <c r="M6" s="2">
        <v>246.26</v>
      </c>
      <c r="N6" s="2" t="s">
        <v>22</v>
      </c>
      <c r="O6" s="2">
        <v>1</v>
      </c>
    </row>
    <row r="7" spans="1:15" x14ac:dyDescent="0.3">
      <c r="A7" s="2" t="s">
        <v>42</v>
      </c>
      <c r="B7" s="1">
        <v>46170</v>
      </c>
      <c r="C7" s="2" t="s">
        <v>43</v>
      </c>
      <c r="D7" s="2" t="s">
        <v>44</v>
      </c>
      <c r="E7" s="2" t="s">
        <v>45</v>
      </c>
      <c r="F7" s="2" t="s">
        <v>39</v>
      </c>
      <c r="G7" s="2" t="s">
        <v>20</v>
      </c>
      <c r="H7" s="2" t="s">
        <v>29</v>
      </c>
      <c r="I7" s="2">
        <v>51</v>
      </c>
      <c r="J7" s="2">
        <v>45</v>
      </c>
      <c r="K7" s="2">
        <v>16628.32</v>
      </c>
      <c r="L7" s="2">
        <v>418.66</v>
      </c>
      <c r="M7" s="2">
        <v>70.900000000000006</v>
      </c>
      <c r="N7" s="2" t="s">
        <v>22</v>
      </c>
      <c r="O7" s="2">
        <v>5</v>
      </c>
    </row>
    <row r="8" spans="1:15" x14ac:dyDescent="0.3">
      <c r="A8" s="2" t="s">
        <v>46</v>
      </c>
      <c r="B8" s="1">
        <v>46132</v>
      </c>
      <c r="C8" s="2" t="s">
        <v>32</v>
      </c>
      <c r="D8" s="2" t="s">
        <v>47</v>
      </c>
      <c r="E8" s="2" t="s">
        <v>18</v>
      </c>
      <c r="F8" s="2" t="s">
        <v>39</v>
      </c>
      <c r="G8" s="2" t="s">
        <v>28</v>
      </c>
      <c r="H8" s="2" t="s">
        <v>21</v>
      </c>
      <c r="I8" s="2">
        <v>29</v>
      </c>
      <c r="J8" s="2">
        <v>46</v>
      </c>
      <c r="K8" s="2">
        <v>9990.94</v>
      </c>
      <c r="L8" s="2">
        <v>291.44</v>
      </c>
      <c r="M8" s="2">
        <v>132.27000000000001</v>
      </c>
      <c r="N8" s="2" t="s">
        <v>30</v>
      </c>
      <c r="O8" s="2">
        <v>4</v>
      </c>
    </row>
    <row r="9" spans="1:15" x14ac:dyDescent="0.3">
      <c r="A9" s="2" t="s">
        <v>48</v>
      </c>
      <c r="B9" s="1">
        <v>46226</v>
      </c>
      <c r="C9" s="2" t="s">
        <v>32</v>
      </c>
      <c r="D9" s="2" t="s">
        <v>49</v>
      </c>
      <c r="E9" s="2" t="s">
        <v>26</v>
      </c>
      <c r="F9" s="2" t="s">
        <v>34</v>
      </c>
      <c r="G9" s="2" t="s">
        <v>20</v>
      </c>
      <c r="H9" s="2" t="s">
        <v>21</v>
      </c>
      <c r="I9" s="2">
        <v>59</v>
      </c>
      <c r="J9" s="2">
        <v>72</v>
      </c>
      <c r="K9" s="2">
        <v>27997.119999999999</v>
      </c>
      <c r="L9" s="2">
        <v>436.97</v>
      </c>
      <c r="M9" s="2">
        <v>78.400000000000006</v>
      </c>
      <c r="N9" s="2" t="s">
        <v>30</v>
      </c>
      <c r="O9" s="2">
        <v>2</v>
      </c>
    </row>
    <row r="10" spans="1:15" x14ac:dyDescent="0.3">
      <c r="A10" s="2" t="s">
        <v>50</v>
      </c>
      <c r="B10" s="1">
        <v>46066</v>
      </c>
      <c r="C10" s="2" t="s">
        <v>16</v>
      </c>
      <c r="D10" s="2" t="s">
        <v>51</v>
      </c>
      <c r="E10" s="2" t="s">
        <v>18</v>
      </c>
      <c r="F10" s="2" t="s">
        <v>39</v>
      </c>
      <c r="G10" s="2" t="s">
        <v>35</v>
      </c>
      <c r="H10" s="2" t="s">
        <v>52</v>
      </c>
      <c r="I10" s="2">
        <v>65</v>
      </c>
      <c r="J10" s="2">
        <v>108</v>
      </c>
      <c r="K10" s="2">
        <v>29404</v>
      </c>
      <c r="L10" s="2">
        <v>145.87</v>
      </c>
      <c r="M10" s="2">
        <v>73.739999999999995</v>
      </c>
      <c r="N10" s="2" t="s">
        <v>22</v>
      </c>
      <c r="O10" s="2">
        <v>5</v>
      </c>
    </row>
    <row r="11" spans="1:15" x14ac:dyDescent="0.3">
      <c r="A11" s="2" t="s">
        <v>53</v>
      </c>
      <c r="B11" s="1">
        <v>46230</v>
      </c>
      <c r="C11" s="2" t="s">
        <v>54</v>
      </c>
      <c r="D11" s="2" t="s">
        <v>49</v>
      </c>
      <c r="E11" s="2" t="s">
        <v>26</v>
      </c>
      <c r="F11" s="2" t="s">
        <v>39</v>
      </c>
      <c r="G11" s="2" t="s">
        <v>55</v>
      </c>
      <c r="H11" s="2" t="s">
        <v>56</v>
      </c>
      <c r="I11" s="2">
        <v>22</v>
      </c>
      <c r="J11" s="2">
        <v>55</v>
      </c>
      <c r="K11" s="2">
        <v>10746.18</v>
      </c>
      <c r="L11" s="2">
        <v>323.5</v>
      </c>
      <c r="M11" s="2">
        <v>138.01</v>
      </c>
      <c r="N11" s="2" t="s">
        <v>30</v>
      </c>
      <c r="O11" s="2">
        <v>2</v>
      </c>
    </row>
    <row r="12" spans="1:15" x14ac:dyDescent="0.3">
      <c r="A12" s="2" t="s">
        <v>57</v>
      </c>
      <c r="B12" s="1">
        <v>45945</v>
      </c>
      <c r="C12" s="2" t="s">
        <v>41</v>
      </c>
      <c r="D12" s="2" t="s">
        <v>49</v>
      </c>
      <c r="E12" s="2" t="s">
        <v>58</v>
      </c>
      <c r="F12" s="2" t="s">
        <v>27</v>
      </c>
      <c r="G12" s="2" t="s">
        <v>20</v>
      </c>
      <c r="H12" s="2" t="s">
        <v>56</v>
      </c>
      <c r="I12" s="2">
        <v>28</v>
      </c>
      <c r="J12" s="2">
        <v>119</v>
      </c>
      <c r="K12" s="2">
        <v>42644.58</v>
      </c>
      <c r="L12" s="2">
        <v>87.71</v>
      </c>
      <c r="M12" s="2">
        <v>77.44</v>
      </c>
      <c r="N12" s="2" t="s">
        <v>30</v>
      </c>
      <c r="O12" s="2">
        <v>4</v>
      </c>
    </row>
    <row r="13" spans="1:15" x14ac:dyDescent="0.3">
      <c r="A13" s="2" t="s">
        <v>59</v>
      </c>
      <c r="B13" s="1">
        <v>46203</v>
      </c>
      <c r="C13" s="2" t="s">
        <v>16</v>
      </c>
      <c r="D13" s="2" t="s">
        <v>60</v>
      </c>
      <c r="E13" s="2" t="s">
        <v>18</v>
      </c>
      <c r="F13" s="2" t="s">
        <v>19</v>
      </c>
      <c r="G13" s="2" t="s">
        <v>35</v>
      </c>
      <c r="H13" s="2" t="s">
        <v>21</v>
      </c>
      <c r="I13" s="2">
        <v>27</v>
      </c>
      <c r="J13" s="2">
        <v>86</v>
      </c>
      <c r="K13" s="2">
        <v>4671.09</v>
      </c>
      <c r="L13" s="2">
        <v>339.38</v>
      </c>
      <c r="M13" s="2">
        <v>69.22</v>
      </c>
      <c r="N13" s="2" t="s">
        <v>30</v>
      </c>
      <c r="O13" s="2">
        <v>5</v>
      </c>
    </row>
    <row r="14" spans="1:15" x14ac:dyDescent="0.3">
      <c r="A14" s="2" t="s">
        <v>61</v>
      </c>
      <c r="B14" s="1">
        <v>46076</v>
      </c>
      <c r="C14" s="2" t="s">
        <v>41</v>
      </c>
      <c r="D14" s="2" t="s">
        <v>62</v>
      </c>
      <c r="E14" s="2" t="s">
        <v>45</v>
      </c>
      <c r="F14" s="2" t="s">
        <v>19</v>
      </c>
      <c r="G14" s="2" t="s">
        <v>55</v>
      </c>
      <c r="H14" s="2" t="s">
        <v>21</v>
      </c>
      <c r="I14" s="2">
        <v>64</v>
      </c>
      <c r="J14" s="2">
        <v>85</v>
      </c>
      <c r="K14" s="2">
        <v>18126.61</v>
      </c>
      <c r="L14" s="2">
        <v>393.14</v>
      </c>
      <c r="M14" s="2">
        <v>167.18</v>
      </c>
      <c r="N14" s="2" t="s">
        <v>22</v>
      </c>
      <c r="O14" s="2">
        <v>1</v>
      </c>
    </row>
    <row r="15" spans="1:15" x14ac:dyDescent="0.3">
      <c r="A15" s="2" t="s">
        <v>63</v>
      </c>
      <c r="B15" s="1">
        <v>45927</v>
      </c>
      <c r="C15" s="2" t="s">
        <v>41</v>
      </c>
      <c r="D15" s="2" t="s">
        <v>49</v>
      </c>
      <c r="E15" s="2" t="s">
        <v>45</v>
      </c>
      <c r="F15" s="2" t="s">
        <v>27</v>
      </c>
      <c r="G15" s="2" t="s">
        <v>64</v>
      </c>
      <c r="H15" s="2" t="s">
        <v>29</v>
      </c>
      <c r="I15" s="2">
        <v>71</v>
      </c>
      <c r="J15" s="2">
        <v>26</v>
      </c>
      <c r="K15" s="2">
        <v>34179.03</v>
      </c>
      <c r="L15" s="2">
        <v>313.22000000000003</v>
      </c>
      <c r="M15" s="2">
        <v>30.39</v>
      </c>
      <c r="N15" s="2" t="s">
        <v>30</v>
      </c>
      <c r="O15" s="2">
        <v>1</v>
      </c>
    </row>
    <row r="16" spans="1:15" x14ac:dyDescent="0.3">
      <c r="A16" s="2" t="s">
        <v>65</v>
      </c>
      <c r="B16" s="1">
        <v>46137</v>
      </c>
      <c r="C16" s="2" t="s">
        <v>43</v>
      </c>
      <c r="D16" s="2" t="s">
        <v>17</v>
      </c>
      <c r="E16" s="2" t="s">
        <v>38</v>
      </c>
      <c r="F16" s="2" t="s">
        <v>34</v>
      </c>
      <c r="G16" s="2" t="s">
        <v>20</v>
      </c>
      <c r="H16" s="2" t="s">
        <v>52</v>
      </c>
      <c r="I16" s="2">
        <v>59</v>
      </c>
      <c r="J16" s="2">
        <v>104</v>
      </c>
      <c r="K16" s="2">
        <v>14068.96</v>
      </c>
      <c r="L16" s="2">
        <v>169.8</v>
      </c>
      <c r="M16" s="2">
        <v>135.18</v>
      </c>
      <c r="N16" s="2" t="s">
        <v>22</v>
      </c>
      <c r="O16" s="2">
        <v>2</v>
      </c>
    </row>
    <row r="17" spans="1:15" x14ac:dyDescent="0.3">
      <c r="A17" s="2" t="s">
        <v>66</v>
      </c>
      <c r="B17" s="1">
        <v>46208</v>
      </c>
      <c r="C17" s="2" t="s">
        <v>32</v>
      </c>
      <c r="D17" s="2" t="s">
        <v>67</v>
      </c>
      <c r="E17" s="2" t="s">
        <v>26</v>
      </c>
      <c r="F17" s="2" t="s">
        <v>68</v>
      </c>
      <c r="G17" s="2" t="s">
        <v>20</v>
      </c>
      <c r="H17" s="2" t="s">
        <v>52</v>
      </c>
      <c r="I17" s="2">
        <v>62</v>
      </c>
      <c r="J17" s="2">
        <v>85</v>
      </c>
      <c r="K17" s="2">
        <v>41469.919999999998</v>
      </c>
      <c r="L17" s="2">
        <v>64.099999999999994</v>
      </c>
      <c r="M17" s="2">
        <v>49.75</v>
      </c>
      <c r="N17" s="2" t="s">
        <v>30</v>
      </c>
      <c r="O17" s="2">
        <v>1</v>
      </c>
    </row>
    <row r="18" spans="1:15" x14ac:dyDescent="0.3">
      <c r="A18" s="2" t="s">
        <v>69</v>
      </c>
      <c r="B18" s="1">
        <v>46029</v>
      </c>
      <c r="C18" s="2" t="s">
        <v>24</v>
      </c>
      <c r="D18" s="2" t="s">
        <v>62</v>
      </c>
      <c r="E18" s="2" t="s">
        <v>18</v>
      </c>
      <c r="F18" s="2" t="s">
        <v>68</v>
      </c>
      <c r="G18" s="2" t="s">
        <v>64</v>
      </c>
      <c r="H18" s="2" t="s">
        <v>21</v>
      </c>
      <c r="I18" s="2">
        <v>36</v>
      </c>
      <c r="J18" s="2">
        <v>25</v>
      </c>
      <c r="K18" s="2">
        <v>37123.46</v>
      </c>
      <c r="L18" s="2">
        <v>103.75</v>
      </c>
      <c r="M18" s="2">
        <v>3.1</v>
      </c>
      <c r="N18" s="2" t="s">
        <v>22</v>
      </c>
      <c r="O18" s="2">
        <v>1</v>
      </c>
    </row>
    <row r="19" spans="1:15" x14ac:dyDescent="0.3">
      <c r="A19" s="2" t="s">
        <v>70</v>
      </c>
      <c r="B19" s="1">
        <v>45988</v>
      </c>
      <c r="C19" s="2" t="s">
        <v>43</v>
      </c>
      <c r="D19" s="2" t="s">
        <v>44</v>
      </c>
      <c r="E19" s="2" t="s">
        <v>38</v>
      </c>
      <c r="F19" s="2" t="s">
        <v>68</v>
      </c>
      <c r="G19" s="2" t="s">
        <v>64</v>
      </c>
      <c r="H19" s="2" t="s">
        <v>29</v>
      </c>
      <c r="I19" s="2">
        <v>55</v>
      </c>
      <c r="J19" s="2">
        <v>105</v>
      </c>
      <c r="K19" s="2">
        <v>39556.629999999997</v>
      </c>
      <c r="L19" s="2">
        <v>330.04</v>
      </c>
      <c r="M19" s="2">
        <v>50.03</v>
      </c>
      <c r="N19" s="2" t="s">
        <v>22</v>
      </c>
      <c r="O19" s="2">
        <v>1</v>
      </c>
    </row>
    <row r="20" spans="1:15" x14ac:dyDescent="0.3">
      <c r="A20" s="2" t="s">
        <v>71</v>
      </c>
      <c r="B20" s="1">
        <v>46166</v>
      </c>
      <c r="C20" s="2" t="s">
        <v>43</v>
      </c>
      <c r="D20" s="2" t="s">
        <v>25</v>
      </c>
      <c r="E20" s="2" t="s">
        <v>18</v>
      </c>
      <c r="F20" s="2" t="s">
        <v>27</v>
      </c>
      <c r="G20" s="2" t="s">
        <v>20</v>
      </c>
      <c r="H20" s="2" t="s">
        <v>29</v>
      </c>
      <c r="I20" s="2">
        <v>50</v>
      </c>
      <c r="J20" s="2">
        <v>65</v>
      </c>
      <c r="K20" s="2">
        <v>6395.77</v>
      </c>
      <c r="L20" s="2">
        <v>470.49</v>
      </c>
      <c r="M20" s="2">
        <v>182</v>
      </c>
      <c r="N20" s="2" t="s">
        <v>30</v>
      </c>
      <c r="O20" s="2">
        <v>4</v>
      </c>
    </row>
    <row r="21" spans="1:15" x14ac:dyDescent="0.3">
      <c r="A21" s="2" t="s">
        <v>72</v>
      </c>
      <c r="B21" s="1">
        <v>46012</v>
      </c>
      <c r="C21" s="2" t="s">
        <v>41</v>
      </c>
      <c r="D21" s="2" t="s">
        <v>37</v>
      </c>
      <c r="E21" s="2" t="s">
        <v>26</v>
      </c>
      <c r="F21" s="2" t="s">
        <v>27</v>
      </c>
      <c r="G21" s="2" t="s">
        <v>64</v>
      </c>
      <c r="H21" s="2" t="s">
        <v>56</v>
      </c>
      <c r="I21" s="2">
        <v>30</v>
      </c>
      <c r="J21" s="2">
        <v>6</v>
      </c>
      <c r="K21" s="2">
        <v>7457.08</v>
      </c>
      <c r="L21" s="2">
        <v>142.94</v>
      </c>
      <c r="M21" s="2">
        <v>141.83000000000001</v>
      </c>
      <c r="N21" s="2" t="s">
        <v>30</v>
      </c>
      <c r="O21" s="2">
        <v>1</v>
      </c>
    </row>
    <row r="22" spans="1:15" x14ac:dyDescent="0.3">
      <c r="A22" s="2" t="s">
        <v>73</v>
      </c>
      <c r="B22" s="1">
        <v>46174</v>
      </c>
      <c r="C22" s="2" t="s">
        <v>74</v>
      </c>
      <c r="D22" s="2" t="s">
        <v>67</v>
      </c>
      <c r="E22" s="2" t="s">
        <v>45</v>
      </c>
      <c r="F22" s="2" t="s">
        <v>39</v>
      </c>
      <c r="G22" s="2" t="s">
        <v>28</v>
      </c>
      <c r="H22" s="2" t="s">
        <v>56</v>
      </c>
      <c r="I22" s="2">
        <v>58</v>
      </c>
      <c r="J22" s="2">
        <v>23</v>
      </c>
      <c r="K22" s="2">
        <v>14680.45</v>
      </c>
      <c r="L22" s="2">
        <v>380.76</v>
      </c>
      <c r="M22" s="2">
        <v>4.21</v>
      </c>
      <c r="N22" s="2" t="s">
        <v>30</v>
      </c>
      <c r="O22" s="2">
        <v>3</v>
      </c>
    </row>
    <row r="23" spans="1:15" x14ac:dyDescent="0.3">
      <c r="A23" s="2" t="s">
        <v>75</v>
      </c>
      <c r="B23" s="1">
        <v>46172</v>
      </c>
      <c r="C23" s="2" t="s">
        <v>32</v>
      </c>
      <c r="D23" s="2" t="s">
        <v>76</v>
      </c>
      <c r="E23" s="2" t="s">
        <v>58</v>
      </c>
      <c r="F23" s="2" t="s">
        <v>68</v>
      </c>
      <c r="G23" s="2" t="s">
        <v>55</v>
      </c>
      <c r="H23" s="2" t="s">
        <v>29</v>
      </c>
      <c r="I23" s="2">
        <v>38</v>
      </c>
      <c r="J23" s="2">
        <v>115</v>
      </c>
      <c r="K23" s="2">
        <v>26144.82</v>
      </c>
      <c r="L23" s="2">
        <v>439.9</v>
      </c>
      <c r="M23" s="2">
        <v>10.94</v>
      </c>
      <c r="N23" s="2" t="s">
        <v>30</v>
      </c>
      <c r="O23" s="2">
        <v>5</v>
      </c>
    </row>
    <row r="24" spans="1:15" x14ac:dyDescent="0.3">
      <c r="A24" s="2" t="s">
        <v>77</v>
      </c>
      <c r="B24" s="1">
        <v>46175</v>
      </c>
      <c r="C24" s="2" t="s">
        <v>54</v>
      </c>
      <c r="D24" s="2" t="s">
        <v>78</v>
      </c>
      <c r="E24" s="2" t="s">
        <v>45</v>
      </c>
      <c r="F24" s="2" t="s">
        <v>34</v>
      </c>
      <c r="G24" s="2" t="s">
        <v>55</v>
      </c>
      <c r="H24" s="2" t="s">
        <v>56</v>
      </c>
      <c r="I24" s="2">
        <v>70</v>
      </c>
      <c r="J24" s="2">
        <v>64</v>
      </c>
      <c r="K24" s="2">
        <v>37526.800000000003</v>
      </c>
      <c r="L24" s="2">
        <v>284.39999999999998</v>
      </c>
      <c r="M24" s="2">
        <v>180.51</v>
      </c>
      <c r="N24" s="2" t="s">
        <v>22</v>
      </c>
      <c r="O24" s="2">
        <v>1</v>
      </c>
    </row>
    <row r="25" spans="1:15" x14ac:dyDescent="0.3">
      <c r="A25" s="2" t="s">
        <v>79</v>
      </c>
      <c r="B25" s="1">
        <v>46015</v>
      </c>
      <c r="C25" s="2" t="s">
        <v>43</v>
      </c>
      <c r="D25" s="2" t="s">
        <v>60</v>
      </c>
      <c r="E25" s="2" t="s">
        <v>38</v>
      </c>
      <c r="F25" s="2" t="s">
        <v>34</v>
      </c>
      <c r="G25" s="2" t="s">
        <v>55</v>
      </c>
      <c r="H25" s="2" t="s">
        <v>21</v>
      </c>
      <c r="I25" s="2">
        <v>25</v>
      </c>
      <c r="J25" s="2">
        <v>87</v>
      </c>
      <c r="K25" s="2">
        <v>41908.28</v>
      </c>
      <c r="L25" s="2">
        <v>351.17</v>
      </c>
      <c r="M25" s="2">
        <v>14.66</v>
      </c>
      <c r="N25" s="2" t="s">
        <v>30</v>
      </c>
      <c r="O25" s="2">
        <v>1</v>
      </c>
    </row>
    <row r="26" spans="1:15" x14ac:dyDescent="0.3">
      <c r="A26" s="2" t="s">
        <v>80</v>
      </c>
      <c r="B26" s="1">
        <v>46124</v>
      </c>
      <c r="C26" s="2" t="s">
        <v>24</v>
      </c>
      <c r="D26" s="2" t="s">
        <v>67</v>
      </c>
      <c r="E26" s="2" t="s">
        <v>58</v>
      </c>
      <c r="F26" s="2" t="s">
        <v>68</v>
      </c>
      <c r="G26" s="2" t="s">
        <v>28</v>
      </c>
      <c r="H26" s="2" t="s">
        <v>29</v>
      </c>
      <c r="I26" s="2">
        <v>73</v>
      </c>
      <c r="J26" s="2">
        <v>43</v>
      </c>
      <c r="K26" s="2">
        <v>35364.6</v>
      </c>
      <c r="L26" s="2">
        <v>416.76</v>
      </c>
      <c r="M26" s="2">
        <v>268.26</v>
      </c>
      <c r="N26" s="2" t="s">
        <v>22</v>
      </c>
      <c r="O26" s="2">
        <v>1</v>
      </c>
    </row>
    <row r="27" spans="1:15" x14ac:dyDescent="0.3">
      <c r="A27" s="2" t="s">
        <v>81</v>
      </c>
      <c r="B27" s="1">
        <v>46133</v>
      </c>
      <c r="C27" s="2" t="s">
        <v>74</v>
      </c>
      <c r="D27" s="2" t="s">
        <v>82</v>
      </c>
      <c r="E27" s="2" t="s">
        <v>38</v>
      </c>
      <c r="F27" s="2" t="s">
        <v>68</v>
      </c>
      <c r="G27" s="2" t="s">
        <v>64</v>
      </c>
      <c r="H27" s="2" t="s">
        <v>56</v>
      </c>
      <c r="I27" s="2">
        <v>49</v>
      </c>
      <c r="J27" s="2">
        <v>107</v>
      </c>
      <c r="K27" s="2">
        <v>46465.55</v>
      </c>
      <c r="L27" s="2">
        <v>167.3</v>
      </c>
      <c r="M27" s="2">
        <v>45.63</v>
      </c>
      <c r="N27" s="2" t="s">
        <v>30</v>
      </c>
      <c r="O27" s="2">
        <v>3</v>
      </c>
    </row>
    <row r="28" spans="1:15" x14ac:dyDescent="0.3">
      <c r="A28" s="2" t="s">
        <v>83</v>
      </c>
      <c r="B28" s="1">
        <v>46209</v>
      </c>
      <c r="C28" s="2" t="s">
        <v>74</v>
      </c>
      <c r="D28" s="2" t="s">
        <v>49</v>
      </c>
      <c r="E28" s="2" t="s">
        <v>26</v>
      </c>
      <c r="F28" s="2" t="s">
        <v>68</v>
      </c>
      <c r="G28" s="2" t="s">
        <v>35</v>
      </c>
      <c r="H28" s="2" t="s">
        <v>52</v>
      </c>
      <c r="I28" s="2">
        <v>59</v>
      </c>
      <c r="J28" s="2">
        <v>23</v>
      </c>
      <c r="K28" s="2">
        <v>37067.800000000003</v>
      </c>
      <c r="L28" s="2">
        <v>183.6</v>
      </c>
      <c r="M28" s="2">
        <v>148</v>
      </c>
      <c r="N28" s="2" t="s">
        <v>30</v>
      </c>
      <c r="O28" s="2">
        <v>1</v>
      </c>
    </row>
    <row r="29" spans="1:15" x14ac:dyDescent="0.3">
      <c r="A29" s="2" t="s">
        <v>84</v>
      </c>
      <c r="B29" s="1">
        <v>45972</v>
      </c>
      <c r="C29" s="2" t="s">
        <v>54</v>
      </c>
      <c r="D29" s="2" t="s">
        <v>44</v>
      </c>
      <c r="E29" s="2" t="s">
        <v>58</v>
      </c>
      <c r="F29" s="2" t="s">
        <v>27</v>
      </c>
      <c r="G29" s="2" t="s">
        <v>64</v>
      </c>
      <c r="H29" s="2" t="s">
        <v>29</v>
      </c>
      <c r="I29" s="2">
        <v>54</v>
      </c>
      <c r="J29" s="2">
        <v>96</v>
      </c>
      <c r="K29" s="2">
        <v>15660.26</v>
      </c>
      <c r="L29" s="2">
        <v>50.28</v>
      </c>
      <c r="M29" s="2">
        <v>92.93</v>
      </c>
      <c r="N29" s="2" t="s">
        <v>30</v>
      </c>
      <c r="O29" s="2">
        <v>1</v>
      </c>
    </row>
    <row r="30" spans="1:15" x14ac:dyDescent="0.3">
      <c r="A30" s="2" t="s">
        <v>85</v>
      </c>
      <c r="B30" s="1">
        <v>46204</v>
      </c>
      <c r="C30" s="2" t="s">
        <v>43</v>
      </c>
      <c r="D30" s="2" t="s">
        <v>86</v>
      </c>
      <c r="E30" s="2" t="s">
        <v>38</v>
      </c>
      <c r="F30" s="2" t="s">
        <v>27</v>
      </c>
      <c r="G30" s="2" t="s">
        <v>20</v>
      </c>
      <c r="H30" s="2" t="s">
        <v>29</v>
      </c>
      <c r="I30" s="2">
        <v>63</v>
      </c>
      <c r="J30" s="2">
        <v>30</v>
      </c>
      <c r="K30" s="2">
        <v>13621.52</v>
      </c>
      <c r="L30" s="2">
        <v>483.39</v>
      </c>
      <c r="M30" s="2">
        <v>257.62</v>
      </c>
      <c r="N30" s="2" t="s">
        <v>30</v>
      </c>
      <c r="O30" s="2">
        <v>5</v>
      </c>
    </row>
    <row r="31" spans="1:15" x14ac:dyDescent="0.3">
      <c r="A31" s="2" t="s">
        <v>87</v>
      </c>
      <c r="B31" s="1">
        <v>46178</v>
      </c>
      <c r="C31" s="2" t="s">
        <v>24</v>
      </c>
      <c r="D31" s="2" t="s">
        <v>78</v>
      </c>
      <c r="E31" s="2" t="s">
        <v>26</v>
      </c>
      <c r="F31" s="2" t="s">
        <v>27</v>
      </c>
      <c r="G31" s="2" t="s">
        <v>55</v>
      </c>
      <c r="H31" s="2" t="s">
        <v>52</v>
      </c>
      <c r="I31" s="2">
        <v>65</v>
      </c>
      <c r="J31" s="2">
        <v>77</v>
      </c>
      <c r="K31" s="2">
        <v>34961.53</v>
      </c>
      <c r="L31" s="2">
        <v>462.9</v>
      </c>
      <c r="M31" s="2">
        <v>140.09</v>
      </c>
      <c r="N31" s="2" t="s">
        <v>30</v>
      </c>
      <c r="O31" s="2">
        <v>3</v>
      </c>
    </row>
    <row r="32" spans="1:15" x14ac:dyDescent="0.3">
      <c r="A32" s="2" t="s">
        <v>88</v>
      </c>
      <c r="B32" s="1">
        <v>46012</v>
      </c>
      <c r="C32" s="2" t="s">
        <v>32</v>
      </c>
      <c r="D32" s="2" t="s">
        <v>33</v>
      </c>
      <c r="E32" s="2" t="s">
        <v>45</v>
      </c>
      <c r="F32" s="2" t="s">
        <v>19</v>
      </c>
      <c r="G32" s="2" t="s">
        <v>64</v>
      </c>
      <c r="H32" s="2" t="s">
        <v>21</v>
      </c>
      <c r="I32" s="2">
        <v>43</v>
      </c>
      <c r="J32" s="2">
        <v>107</v>
      </c>
      <c r="K32" s="2">
        <v>10047.09</v>
      </c>
      <c r="L32" s="2">
        <v>394.06</v>
      </c>
      <c r="M32" s="2">
        <v>80.36</v>
      </c>
      <c r="N32" s="2" t="s">
        <v>22</v>
      </c>
      <c r="O32" s="2">
        <v>3</v>
      </c>
    </row>
    <row r="33" spans="1:15" x14ac:dyDescent="0.3">
      <c r="A33" s="2" t="s">
        <v>89</v>
      </c>
      <c r="B33" s="1">
        <v>46152</v>
      </c>
      <c r="C33" s="2" t="s">
        <v>90</v>
      </c>
      <c r="D33" s="2" t="s">
        <v>17</v>
      </c>
      <c r="E33" s="2" t="s">
        <v>26</v>
      </c>
      <c r="F33" s="2" t="s">
        <v>34</v>
      </c>
      <c r="G33" s="2" t="s">
        <v>35</v>
      </c>
      <c r="H33" s="2" t="s">
        <v>52</v>
      </c>
      <c r="I33" s="2">
        <v>25</v>
      </c>
      <c r="J33" s="2">
        <v>18</v>
      </c>
      <c r="K33" s="2">
        <v>5089.38</v>
      </c>
      <c r="L33" s="2">
        <v>85.58</v>
      </c>
      <c r="M33" s="2">
        <v>15.26</v>
      </c>
      <c r="N33" s="2" t="s">
        <v>30</v>
      </c>
      <c r="O33" s="2">
        <v>1</v>
      </c>
    </row>
    <row r="34" spans="1:15" x14ac:dyDescent="0.3">
      <c r="A34" s="2" t="s">
        <v>91</v>
      </c>
      <c r="B34" s="1">
        <v>46105</v>
      </c>
      <c r="C34" s="2" t="s">
        <v>24</v>
      </c>
      <c r="D34" s="2" t="s">
        <v>33</v>
      </c>
      <c r="E34" s="2" t="s">
        <v>18</v>
      </c>
      <c r="F34" s="2" t="s">
        <v>34</v>
      </c>
      <c r="G34" s="2" t="s">
        <v>20</v>
      </c>
      <c r="H34" s="2" t="s">
        <v>29</v>
      </c>
      <c r="I34" s="2">
        <v>50</v>
      </c>
      <c r="J34" s="2">
        <v>87</v>
      </c>
      <c r="K34" s="2">
        <v>26845.03</v>
      </c>
      <c r="L34" s="2">
        <v>251.38</v>
      </c>
      <c r="M34" s="2">
        <v>219.81</v>
      </c>
      <c r="N34" s="2" t="s">
        <v>30</v>
      </c>
      <c r="O34" s="2">
        <v>3</v>
      </c>
    </row>
    <row r="35" spans="1:15" x14ac:dyDescent="0.3">
      <c r="A35" s="2" t="s">
        <v>92</v>
      </c>
      <c r="B35" s="1">
        <v>46219</v>
      </c>
      <c r="C35" s="2" t="s">
        <v>54</v>
      </c>
      <c r="D35" s="2" t="s">
        <v>67</v>
      </c>
      <c r="E35" s="2" t="s">
        <v>26</v>
      </c>
      <c r="F35" s="2" t="s">
        <v>39</v>
      </c>
      <c r="G35" s="2" t="s">
        <v>28</v>
      </c>
      <c r="H35" s="2" t="s">
        <v>21</v>
      </c>
      <c r="I35" s="2">
        <v>26</v>
      </c>
      <c r="J35" s="2">
        <v>79</v>
      </c>
      <c r="K35" s="2">
        <v>41171.26</v>
      </c>
      <c r="L35" s="2">
        <v>95.85</v>
      </c>
      <c r="M35" s="2">
        <v>123.38</v>
      </c>
      <c r="N35" s="2" t="s">
        <v>22</v>
      </c>
      <c r="O35" s="2">
        <v>2</v>
      </c>
    </row>
    <row r="36" spans="1:15" x14ac:dyDescent="0.3">
      <c r="A36" s="2" t="s">
        <v>93</v>
      </c>
      <c r="B36" s="1">
        <v>45890</v>
      </c>
      <c r="C36" s="2" t="s">
        <v>74</v>
      </c>
      <c r="D36" s="2" t="s">
        <v>25</v>
      </c>
      <c r="E36" s="2" t="s">
        <v>26</v>
      </c>
      <c r="F36" s="2" t="s">
        <v>27</v>
      </c>
      <c r="G36" s="2" t="s">
        <v>28</v>
      </c>
      <c r="H36" s="2" t="s">
        <v>56</v>
      </c>
      <c r="I36" s="2">
        <v>66</v>
      </c>
      <c r="J36" s="2">
        <v>97</v>
      </c>
      <c r="K36" s="2">
        <v>5518.3</v>
      </c>
      <c r="L36" s="2">
        <v>57.16</v>
      </c>
      <c r="M36" s="2">
        <v>0.57999999999999996</v>
      </c>
      <c r="N36" s="2" t="s">
        <v>22</v>
      </c>
      <c r="O36" s="2">
        <v>3</v>
      </c>
    </row>
    <row r="37" spans="1:15" x14ac:dyDescent="0.3">
      <c r="A37" s="2" t="s">
        <v>94</v>
      </c>
      <c r="B37" s="1">
        <v>45974</v>
      </c>
      <c r="C37" s="2" t="s">
        <v>32</v>
      </c>
      <c r="D37" s="2" t="s">
        <v>33</v>
      </c>
      <c r="E37" s="2" t="s">
        <v>18</v>
      </c>
      <c r="F37" s="2" t="s">
        <v>19</v>
      </c>
      <c r="G37" s="2" t="s">
        <v>35</v>
      </c>
      <c r="H37" s="2" t="s">
        <v>56</v>
      </c>
      <c r="I37" s="2">
        <v>64</v>
      </c>
      <c r="J37" s="2">
        <v>21</v>
      </c>
      <c r="K37" s="2">
        <v>39698.620000000003</v>
      </c>
      <c r="L37" s="2">
        <v>327.27999999999997</v>
      </c>
      <c r="M37" s="2">
        <v>1.88</v>
      </c>
      <c r="N37" s="2" t="s">
        <v>30</v>
      </c>
      <c r="O37" s="2">
        <v>3</v>
      </c>
    </row>
    <row r="38" spans="1:15" x14ac:dyDescent="0.3">
      <c r="A38" s="2" t="s">
        <v>95</v>
      </c>
      <c r="B38" s="1">
        <v>45899</v>
      </c>
      <c r="C38" s="2" t="s">
        <v>24</v>
      </c>
      <c r="D38" s="2" t="s">
        <v>82</v>
      </c>
      <c r="E38" s="2" t="s">
        <v>38</v>
      </c>
      <c r="F38" s="2" t="s">
        <v>19</v>
      </c>
      <c r="G38" s="2" t="s">
        <v>20</v>
      </c>
      <c r="H38" s="2" t="s">
        <v>56</v>
      </c>
      <c r="I38" s="2">
        <v>24</v>
      </c>
      <c r="J38" s="2">
        <v>57</v>
      </c>
      <c r="K38" s="2">
        <v>40672.81</v>
      </c>
      <c r="L38" s="2">
        <v>482.37</v>
      </c>
      <c r="M38" s="2">
        <v>161.76</v>
      </c>
      <c r="N38" s="2" t="s">
        <v>30</v>
      </c>
      <c r="O38" s="2">
        <v>3</v>
      </c>
    </row>
    <row r="39" spans="1:15" x14ac:dyDescent="0.3">
      <c r="A39" s="2" t="s">
        <v>96</v>
      </c>
      <c r="B39" s="1">
        <v>46221</v>
      </c>
      <c r="C39" s="2" t="s">
        <v>90</v>
      </c>
      <c r="D39" s="2" t="s">
        <v>44</v>
      </c>
      <c r="E39" s="2" t="s">
        <v>38</v>
      </c>
      <c r="F39" s="2" t="s">
        <v>34</v>
      </c>
      <c r="G39" s="2" t="s">
        <v>55</v>
      </c>
      <c r="H39" s="2" t="s">
        <v>29</v>
      </c>
      <c r="I39" s="2">
        <v>49</v>
      </c>
      <c r="J39" s="2">
        <v>103</v>
      </c>
      <c r="K39" s="2">
        <v>24372.560000000001</v>
      </c>
      <c r="L39" s="2">
        <v>456.29</v>
      </c>
      <c r="M39" s="2">
        <v>77.819999999999993</v>
      </c>
      <c r="N39" s="2" t="s">
        <v>30</v>
      </c>
      <c r="O39" s="2">
        <v>4</v>
      </c>
    </row>
    <row r="40" spans="1:15" x14ac:dyDescent="0.3">
      <c r="A40" s="2" t="s">
        <v>97</v>
      </c>
      <c r="B40" s="1">
        <v>45890</v>
      </c>
      <c r="C40" s="2" t="s">
        <v>90</v>
      </c>
      <c r="D40" s="2" t="s">
        <v>76</v>
      </c>
      <c r="E40" s="2" t="s">
        <v>26</v>
      </c>
      <c r="F40" s="2" t="s">
        <v>27</v>
      </c>
      <c r="G40" s="2" t="s">
        <v>64</v>
      </c>
      <c r="H40" s="2" t="s">
        <v>52</v>
      </c>
      <c r="I40" s="2">
        <v>43</v>
      </c>
      <c r="J40" s="2">
        <v>23</v>
      </c>
      <c r="K40" s="2">
        <v>3336.86</v>
      </c>
      <c r="L40" s="2">
        <v>363.54</v>
      </c>
      <c r="M40" s="2">
        <v>127.23</v>
      </c>
      <c r="N40" s="2" t="s">
        <v>22</v>
      </c>
      <c r="O40" s="2">
        <v>4</v>
      </c>
    </row>
    <row r="41" spans="1:15" x14ac:dyDescent="0.3">
      <c r="A41" s="2" t="s">
        <v>98</v>
      </c>
      <c r="B41" s="1">
        <v>46134</v>
      </c>
      <c r="C41" s="2" t="s">
        <v>41</v>
      </c>
      <c r="D41" s="2" t="s">
        <v>25</v>
      </c>
      <c r="E41" s="2" t="s">
        <v>18</v>
      </c>
      <c r="F41" s="2" t="s">
        <v>39</v>
      </c>
      <c r="G41" s="2" t="s">
        <v>20</v>
      </c>
      <c r="H41" s="2" t="s">
        <v>21</v>
      </c>
      <c r="I41" s="2">
        <v>26</v>
      </c>
      <c r="J41" s="2">
        <v>91</v>
      </c>
      <c r="K41" s="2">
        <v>9142.2000000000007</v>
      </c>
      <c r="L41" s="2">
        <v>93.49</v>
      </c>
      <c r="M41" s="2">
        <v>90.84</v>
      </c>
      <c r="N41" s="2" t="s">
        <v>22</v>
      </c>
      <c r="O41" s="2">
        <v>4</v>
      </c>
    </row>
    <row r="42" spans="1:15" x14ac:dyDescent="0.3">
      <c r="A42" s="2" t="s">
        <v>99</v>
      </c>
      <c r="B42" s="1">
        <v>46126</v>
      </c>
      <c r="C42" s="2" t="s">
        <v>41</v>
      </c>
      <c r="D42" s="2" t="s">
        <v>37</v>
      </c>
      <c r="E42" s="2" t="s">
        <v>18</v>
      </c>
      <c r="F42" s="2" t="s">
        <v>27</v>
      </c>
      <c r="G42" s="2" t="s">
        <v>28</v>
      </c>
      <c r="H42" s="2" t="s">
        <v>56</v>
      </c>
      <c r="I42" s="2">
        <v>52</v>
      </c>
      <c r="J42" s="2">
        <v>45</v>
      </c>
      <c r="K42" s="2">
        <v>35517.599999999999</v>
      </c>
      <c r="L42" s="2">
        <v>173.37</v>
      </c>
      <c r="M42" s="2">
        <v>172.69</v>
      </c>
      <c r="N42" s="2" t="s">
        <v>22</v>
      </c>
      <c r="O42" s="2">
        <v>3</v>
      </c>
    </row>
    <row r="43" spans="1:15" x14ac:dyDescent="0.3">
      <c r="A43" s="2" t="s">
        <v>100</v>
      </c>
      <c r="B43" s="1">
        <v>46054</v>
      </c>
      <c r="C43" s="2" t="s">
        <v>16</v>
      </c>
      <c r="D43" s="2" t="s">
        <v>17</v>
      </c>
      <c r="E43" s="2" t="s">
        <v>45</v>
      </c>
      <c r="F43" s="2" t="s">
        <v>68</v>
      </c>
      <c r="G43" s="2" t="s">
        <v>35</v>
      </c>
      <c r="H43" s="2" t="s">
        <v>21</v>
      </c>
      <c r="I43" s="2">
        <v>62</v>
      </c>
      <c r="J43" s="2">
        <v>44</v>
      </c>
      <c r="K43" s="2">
        <v>35733.01</v>
      </c>
      <c r="L43" s="2">
        <v>194.03</v>
      </c>
      <c r="M43" s="2">
        <v>183.39</v>
      </c>
      <c r="N43" s="2" t="s">
        <v>22</v>
      </c>
      <c r="O43" s="2">
        <v>2</v>
      </c>
    </row>
    <row r="44" spans="1:15" x14ac:dyDescent="0.3">
      <c r="A44" s="2" t="s">
        <v>101</v>
      </c>
      <c r="B44" s="1">
        <v>46025</v>
      </c>
      <c r="C44" s="2" t="s">
        <v>54</v>
      </c>
      <c r="D44" s="2" t="s">
        <v>82</v>
      </c>
      <c r="E44" s="2" t="s">
        <v>38</v>
      </c>
      <c r="F44" s="2" t="s">
        <v>27</v>
      </c>
      <c r="G44" s="2" t="s">
        <v>35</v>
      </c>
      <c r="H44" s="2" t="s">
        <v>29</v>
      </c>
      <c r="I44" s="2">
        <v>38</v>
      </c>
      <c r="J44" s="2">
        <v>82</v>
      </c>
      <c r="K44" s="2">
        <v>44968.59</v>
      </c>
      <c r="L44" s="2">
        <v>393.42</v>
      </c>
      <c r="M44" s="2">
        <v>299.04000000000002</v>
      </c>
      <c r="N44" s="2" t="s">
        <v>30</v>
      </c>
      <c r="O44" s="2">
        <v>3</v>
      </c>
    </row>
    <row r="45" spans="1:15" x14ac:dyDescent="0.3">
      <c r="A45" s="2" t="s">
        <v>102</v>
      </c>
      <c r="B45" s="1">
        <v>46011</v>
      </c>
      <c r="C45" s="2" t="s">
        <v>43</v>
      </c>
      <c r="D45" s="2" t="s">
        <v>82</v>
      </c>
      <c r="E45" s="2" t="s">
        <v>58</v>
      </c>
      <c r="F45" s="2" t="s">
        <v>68</v>
      </c>
      <c r="G45" s="2" t="s">
        <v>64</v>
      </c>
      <c r="H45" s="2" t="s">
        <v>56</v>
      </c>
      <c r="I45" s="2">
        <v>35</v>
      </c>
      <c r="J45" s="2">
        <v>88</v>
      </c>
      <c r="K45" s="2">
        <v>29342.959999999999</v>
      </c>
      <c r="L45" s="2">
        <v>411.01</v>
      </c>
      <c r="M45" s="2">
        <v>30.74</v>
      </c>
      <c r="N45" s="2" t="s">
        <v>22</v>
      </c>
      <c r="O45" s="2">
        <v>1</v>
      </c>
    </row>
    <row r="46" spans="1:15" x14ac:dyDescent="0.3">
      <c r="A46" s="2" t="s">
        <v>103</v>
      </c>
      <c r="B46" s="1">
        <v>46101</v>
      </c>
      <c r="C46" s="2" t="s">
        <v>24</v>
      </c>
      <c r="D46" s="2" t="s">
        <v>33</v>
      </c>
      <c r="E46" s="2" t="s">
        <v>38</v>
      </c>
      <c r="F46" s="2" t="s">
        <v>68</v>
      </c>
      <c r="G46" s="2" t="s">
        <v>35</v>
      </c>
      <c r="H46" s="2" t="s">
        <v>29</v>
      </c>
      <c r="I46" s="2">
        <v>60</v>
      </c>
      <c r="J46" s="2">
        <v>115</v>
      </c>
      <c r="K46" s="2">
        <v>6643.31</v>
      </c>
      <c r="L46" s="2">
        <v>223.3</v>
      </c>
      <c r="M46" s="2">
        <v>258.88</v>
      </c>
      <c r="N46" s="2" t="s">
        <v>30</v>
      </c>
      <c r="O46" s="2">
        <v>2</v>
      </c>
    </row>
    <row r="47" spans="1:15" x14ac:dyDescent="0.3">
      <c r="A47" s="2" t="s">
        <v>104</v>
      </c>
      <c r="B47" s="1">
        <v>46081</v>
      </c>
      <c r="C47" s="2" t="s">
        <v>24</v>
      </c>
      <c r="D47" s="2" t="s">
        <v>49</v>
      </c>
      <c r="E47" s="2" t="s">
        <v>38</v>
      </c>
      <c r="F47" s="2" t="s">
        <v>39</v>
      </c>
      <c r="G47" s="2" t="s">
        <v>35</v>
      </c>
      <c r="H47" s="2" t="s">
        <v>52</v>
      </c>
      <c r="I47" s="2">
        <v>52</v>
      </c>
      <c r="J47" s="2">
        <v>47</v>
      </c>
      <c r="K47" s="2">
        <v>6510.04</v>
      </c>
      <c r="L47" s="2">
        <v>238.05</v>
      </c>
      <c r="M47" s="2">
        <v>53.2</v>
      </c>
      <c r="N47" s="2" t="s">
        <v>30</v>
      </c>
      <c r="O47" s="2">
        <v>4</v>
      </c>
    </row>
    <row r="48" spans="1:15" x14ac:dyDescent="0.3">
      <c r="A48" s="2" t="s">
        <v>105</v>
      </c>
      <c r="B48" s="1">
        <v>46054</v>
      </c>
      <c r="C48" s="2" t="s">
        <v>43</v>
      </c>
      <c r="D48" s="2" t="s">
        <v>33</v>
      </c>
      <c r="E48" s="2" t="s">
        <v>45</v>
      </c>
      <c r="F48" s="2" t="s">
        <v>34</v>
      </c>
      <c r="G48" s="2" t="s">
        <v>20</v>
      </c>
      <c r="H48" s="2" t="s">
        <v>29</v>
      </c>
      <c r="I48" s="2">
        <v>29</v>
      </c>
      <c r="J48" s="2">
        <v>40</v>
      </c>
      <c r="K48" s="2">
        <v>36196.050000000003</v>
      </c>
      <c r="L48" s="2">
        <v>70.03</v>
      </c>
      <c r="M48" s="2">
        <v>177.24</v>
      </c>
      <c r="N48" s="2" t="s">
        <v>30</v>
      </c>
      <c r="O48" s="2">
        <v>5</v>
      </c>
    </row>
    <row r="49" spans="1:15" x14ac:dyDescent="0.3">
      <c r="A49" s="2" t="s">
        <v>106</v>
      </c>
      <c r="B49" s="1">
        <v>46024</v>
      </c>
      <c r="C49" s="2" t="s">
        <v>16</v>
      </c>
      <c r="D49" s="2" t="s">
        <v>67</v>
      </c>
      <c r="E49" s="2" t="s">
        <v>58</v>
      </c>
      <c r="F49" s="2" t="s">
        <v>27</v>
      </c>
      <c r="G49" s="2" t="s">
        <v>55</v>
      </c>
      <c r="H49" s="2" t="s">
        <v>29</v>
      </c>
      <c r="I49" s="2">
        <v>57</v>
      </c>
      <c r="J49" s="2">
        <v>51</v>
      </c>
      <c r="K49" s="2">
        <v>9597.34</v>
      </c>
      <c r="L49" s="2">
        <v>180.11</v>
      </c>
      <c r="M49" s="2">
        <v>151.72999999999999</v>
      </c>
      <c r="N49" s="2" t="s">
        <v>22</v>
      </c>
      <c r="O49" s="2">
        <v>2</v>
      </c>
    </row>
    <row r="50" spans="1:15" x14ac:dyDescent="0.3">
      <c r="A50" s="2" t="s">
        <v>107</v>
      </c>
      <c r="B50" s="1">
        <v>46000</v>
      </c>
      <c r="C50" s="2" t="s">
        <v>74</v>
      </c>
      <c r="D50" s="2" t="s">
        <v>37</v>
      </c>
      <c r="E50" s="2" t="s">
        <v>45</v>
      </c>
      <c r="F50" s="2" t="s">
        <v>68</v>
      </c>
      <c r="G50" s="2" t="s">
        <v>64</v>
      </c>
      <c r="H50" s="2" t="s">
        <v>52</v>
      </c>
      <c r="I50" s="2">
        <v>30</v>
      </c>
      <c r="J50" s="2">
        <v>42</v>
      </c>
      <c r="K50" s="2">
        <v>16755.080000000002</v>
      </c>
      <c r="L50" s="2">
        <v>253.08</v>
      </c>
      <c r="M50" s="2">
        <v>3.6</v>
      </c>
      <c r="N50" s="2" t="s">
        <v>22</v>
      </c>
      <c r="O50" s="2">
        <v>4</v>
      </c>
    </row>
    <row r="51" spans="1:15" x14ac:dyDescent="0.3">
      <c r="A51" s="2" t="s">
        <v>108</v>
      </c>
      <c r="B51" s="1">
        <v>46155</v>
      </c>
      <c r="C51" s="2" t="s">
        <v>74</v>
      </c>
      <c r="D51" s="2" t="s">
        <v>62</v>
      </c>
      <c r="E51" s="2" t="s">
        <v>58</v>
      </c>
      <c r="F51" s="2" t="s">
        <v>27</v>
      </c>
      <c r="G51" s="2" t="s">
        <v>20</v>
      </c>
      <c r="H51" s="2" t="s">
        <v>21</v>
      </c>
      <c r="I51" s="2">
        <v>40</v>
      </c>
      <c r="J51" s="2">
        <v>7</v>
      </c>
      <c r="K51" s="2">
        <v>24616.99</v>
      </c>
      <c r="L51" s="2">
        <v>102.64</v>
      </c>
      <c r="M51" s="2">
        <v>186.55</v>
      </c>
      <c r="N51" s="2" t="s">
        <v>30</v>
      </c>
      <c r="O51" s="2">
        <v>2</v>
      </c>
    </row>
    <row r="52" spans="1:15" x14ac:dyDescent="0.3">
      <c r="A52" s="2" t="s">
        <v>109</v>
      </c>
      <c r="B52" s="1">
        <v>45990</v>
      </c>
      <c r="C52" s="2" t="s">
        <v>16</v>
      </c>
      <c r="D52" s="2" t="s">
        <v>25</v>
      </c>
      <c r="E52" s="2" t="s">
        <v>26</v>
      </c>
      <c r="F52" s="2" t="s">
        <v>34</v>
      </c>
      <c r="G52" s="2" t="s">
        <v>55</v>
      </c>
      <c r="H52" s="2" t="s">
        <v>52</v>
      </c>
      <c r="I52" s="2">
        <v>26</v>
      </c>
      <c r="J52" s="2">
        <v>50</v>
      </c>
      <c r="K52" s="2">
        <v>1725.86</v>
      </c>
      <c r="L52" s="2">
        <v>253.97</v>
      </c>
      <c r="M52" s="2">
        <v>15.67</v>
      </c>
      <c r="N52" s="2" t="s">
        <v>22</v>
      </c>
      <c r="O52" s="2">
        <v>2</v>
      </c>
    </row>
    <row r="53" spans="1:15" x14ac:dyDescent="0.3">
      <c r="A53" s="2" t="s">
        <v>110</v>
      </c>
      <c r="B53" s="1">
        <v>45914</v>
      </c>
      <c r="C53" s="2" t="s">
        <v>74</v>
      </c>
      <c r="D53" s="2" t="s">
        <v>33</v>
      </c>
      <c r="E53" s="2" t="s">
        <v>58</v>
      </c>
      <c r="F53" s="2" t="s">
        <v>34</v>
      </c>
      <c r="G53" s="2" t="s">
        <v>20</v>
      </c>
      <c r="H53" s="2" t="s">
        <v>52</v>
      </c>
      <c r="I53" s="2">
        <v>68</v>
      </c>
      <c r="J53" s="2">
        <v>48</v>
      </c>
      <c r="K53" s="2">
        <v>12816.54</v>
      </c>
      <c r="L53" s="2">
        <v>433.93</v>
      </c>
      <c r="M53" s="2">
        <v>137.63999999999999</v>
      </c>
      <c r="N53" s="2" t="s">
        <v>22</v>
      </c>
      <c r="O53" s="2">
        <v>3</v>
      </c>
    </row>
    <row r="54" spans="1:15" x14ac:dyDescent="0.3">
      <c r="A54" s="2" t="s">
        <v>111</v>
      </c>
      <c r="B54" s="1">
        <v>46086</v>
      </c>
      <c r="C54" s="2" t="s">
        <v>41</v>
      </c>
      <c r="D54" s="2" t="s">
        <v>44</v>
      </c>
      <c r="E54" s="2" t="s">
        <v>45</v>
      </c>
      <c r="F54" s="2" t="s">
        <v>19</v>
      </c>
      <c r="G54" s="2" t="s">
        <v>20</v>
      </c>
      <c r="H54" s="2" t="s">
        <v>29</v>
      </c>
      <c r="I54" s="2">
        <v>23</v>
      </c>
      <c r="J54" s="2">
        <v>84</v>
      </c>
      <c r="K54" s="2">
        <v>20690.54</v>
      </c>
      <c r="L54" s="2">
        <v>311.58999999999997</v>
      </c>
      <c r="M54" s="2">
        <v>235.5</v>
      </c>
      <c r="N54" s="2" t="s">
        <v>30</v>
      </c>
      <c r="O54" s="2">
        <v>1</v>
      </c>
    </row>
    <row r="55" spans="1:15" x14ac:dyDescent="0.3">
      <c r="A55" s="2" t="s">
        <v>112</v>
      </c>
      <c r="B55" s="1">
        <v>46149</v>
      </c>
      <c r="C55" s="2" t="s">
        <v>24</v>
      </c>
      <c r="D55" s="2" t="s">
        <v>86</v>
      </c>
      <c r="E55" s="2" t="s">
        <v>38</v>
      </c>
      <c r="F55" s="2" t="s">
        <v>34</v>
      </c>
      <c r="G55" s="2" t="s">
        <v>35</v>
      </c>
      <c r="H55" s="2" t="s">
        <v>21</v>
      </c>
      <c r="I55" s="2">
        <v>62</v>
      </c>
      <c r="J55" s="2">
        <v>91</v>
      </c>
      <c r="K55" s="2">
        <v>14342</v>
      </c>
      <c r="L55" s="2">
        <v>85.52</v>
      </c>
      <c r="M55" s="2">
        <v>159.06</v>
      </c>
      <c r="N55" s="2" t="s">
        <v>30</v>
      </c>
      <c r="O55" s="2">
        <v>5</v>
      </c>
    </row>
    <row r="56" spans="1:15" x14ac:dyDescent="0.3">
      <c r="A56" s="2" t="s">
        <v>113</v>
      </c>
      <c r="B56" s="1">
        <v>45904</v>
      </c>
      <c r="C56" s="2" t="s">
        <v>16</v>
      </c>
      <c r="D56" s="2" t="s">
        <v>17</v>
      </c>
      <c r="E56" s="2" t="s">
        <v>58</v>
      </c>
      <c r="F56" s="2" t="s">
        <v>39</v>
      </c>
      <c r="G56" s="2" t="s">
        <v>55</v>
      </c>
      <c r="H56" s="2" t="s">
        <v>56</v>
      </c>
      <c r="I56" s="2">
        <v>31</v>
      </c>
      <c r="J56" s="2">
        <v>6</v>
      </c>
      <c r="K56" s="2">
        <v>7250.33</v>
      </c>
      <c r="L56" s="2">
        <v>136.25</v>
      </c>
      <c r="M56" s="2">
        <v>27.1</v>
      </c>
      <c r="N56" s="2" t="s">
        <v>22</v>
      </c>
      <c r="O56" s="2">
        <v>4</v>
      </c>
    </row>
    <row r="57" spans="1:15" x14ac:dyDescent="0.3">
      <c r="A57" s="2" t="s">
        <v>114</v>
      </c>
      <c r="B57" s="1">
        <v>45942</v>
      </c>
      <c r="C57" s="2" t="s">
        <v>24</v>
      </c>
      <c r="D57" s="2" t="s">
        <v>51</v>
      </c>
      <c r="E57" s="2" t="s">
        <v>58</v>
      </c>
      <c r="F57" s="2" t="s">
        <v>68</v>
      </c>
      <c r="G57" s="2" t="s">
        <v>64</v>
      </c>
      <c r="H57" s="2" t="s">
        <v>52</v>
      </c>
      <c r="I57" s="2">
        <v>63</v>
      </c>
      <c r="J57" s="2">
        <v>91</v>
      </c>
      <c r="K57" s="2">
        <v>36536.61</v>
      </c>
      <c r="L57" s="2">
        <v>263.54000000000002</v>
      </c>
      <c r="M57" s="2">
        <v>89.51</v>
      </c>
      <c r="N57" s="2" t="s">
        <v>30</v>
      </c>
      <c r="O57" s="2">
        <v>2</v>
      </c>
    </row>
    <row r="58" spans="1:15" x14ac:dyDescent="0.3">
      <c r="A58" s="2" t="s">
        <v>115</v>
      </c>
      <c r="B58" s="1">
        <v>45882</v>
      </c>
      <c r="C58" s="2" t="s">
        <v>43</v>
      </c>
      <c r="D58" s="2" t="s">
        <v>33</v>
      </c>
      <c r="E58" s="2" t="s">
        <v>18</v>
      </c>
      <c r="F58" s="2" t="s">
        <v>19</v>
      </c>
      <c r="G58" s="2" t="s">
        <v>64</v>
      </c>
      <c r="H58" s="2" t="s">
        <v>21</v>
      </c>
      <c r="I58" s="2">
        <v>37</v>
      </c>
      <c r="J58" s="2">
        <v>9</v>
      </c>
      <c r="K58" s="2">
        <v>40750.81</v>
      </c>
      <c r="L58" s="2">
        <v>212.67</v>
      </c>
      <c r="M58" s="2">
        <v>165.89</v>
      </c>
      <c r="N58" s="2" t="s">
        <v>30</v>
      </c>
      <c r="O58" s="2">
        <v>5</v>
      </c>
    </row>
    <row r="59" spans="1:15" x14ac:dyDescent="0.3">
      <c r="A59" s="2" t="s">
        <v>116</v>
      </c>
      <c r="B59" s="1">
        <v>45871</v>
      </c>
      <c r="C59" s="2" t="s">
        <v>90</v>
      </c>
      <c r="D59" s="2" t="s">
        <v>44</v>
      </c>
      <c r="E59" s="2" t="s">
        <v>38</v>
      </c>
      <c r="F59" s="2" t="s">
        <v>39</v>
      </c>
      <c r="G59" s="2" t="s">
        <v>55</v>
      </c>
      <c r="H59" s="2" t="s">
        <v>52</v>
      </c>
      <c r="I59" s="2">
        <v>52</v>
      </c>
      <c r="J59" s="2">
        <v>117</v>
      </c>
      <c r="K59" s="2">
        <v>13245.21</v>
      </c>
      <c r="L59" s="2">
        <v>211.43</v>
      </c>
      <c r="M59" s="2">
        <v>60.54</v>
      </c>
      <c r="N59" s="2" t="s">
        <v>22</v>
      </c>
      <c r="O59" s="2">
        <v>2</v>
      </c>
    </row>
    <row r="60" spans="1:15" x14ac:dyDescent="0.3">
      <c r="A60" s="2" t="s">
        <v>117</v>
      </c>
      <c r="B60" s="1">
        <v>46221</v>
      </c>
      <c r="C60" s="2" t="s">
        <v>41</v>
      </c>
      <c r="D60" s="2" t="s">
        <v>25</v>
      </c>
      <c r="E60" s="2" t="s">
        <v>26</v>
      </c>
      <c r="F60" s="2" t="s">
        <v>27</v>
      </c>
      <c r="G60" s="2" t="s">
        <v>35</v>
      </c>
      <c r="H60" s="2" t="s">
        <v>52</v>
      </c>
      <c r="I60" s="2">
        <v>24</v>
      </c>
      <c r="J60" s="2">
        <v>109</v>
      </c>
      <c r="K60" s="2">
        <v>38833.760000000002</v>
      </c>
      <c r="L60" s="2">
        <v>288.17</v>
      </c>
      <c r="M60" s="2">
        <v>93.55</v>
      </c>
      <c r="N60" s="2" t="s">
        <v>22</v>
      </c>
      <c r="O60" s="2">
        <v>1</v>
      </c>
    </row>
    <row r="61" spans="1:15" x14ac:dyDescent="0.3">
      <c r="A61" s="2" t="s">
        <v>118</v>
      </c>
      <c r="B61" s="1">
        <v>45941</v>
      </c>
      <c r="C61" s="2" t="s">
        <v>32</v>
      </c>
      <c r="D61" s="2" t="s">
        <v>44</v>
      </c>
      <c r="E61" s="2" t="s">
        <v>45</v>
      </c>
      <c r="F61" s="2" t="s">
        <v>68</v>
      </c>
      <c r="G61" s="2" t="s">
        <v>28</v>
      </c>
      <c r="H61" s="2" t="s">
        <v>52</v>
      </c>
      <c r="I61" s="2">
        <v>24</v>
      </c>
      <c r="J61" s="2">
        <v>57</v>
      </c>
      <c r="K61" s="2">
        <v>19584.900000000001</v>
      </c>
      <c r="L61" s="2">
        <v>312.98</v>
      </c>
      <c r="M61" s="2">
        <v>54.56</v>
      </c>
      <c r="N61" s="2" t="s">
        <v>22</v>
      </c>
      <c r="O61" s="2">
        <v>5</v>
      </c>
    </row>
    <row r="62" spans="1:15" x14ac:dyDescent="0.3">
      <c r="A62" s="2" t="s">
        <v>119</v>
      </c>
      <c r="B62" s="1">
        <v>46214</v>
      </c>
      <c r="C62" s="2" t="s">
        <v>41</v>
      </c>
      <c r="D62" s="2" t="s">
        <v>17</v>
      </c>
      <c r="E62" s="2" t="s">
        <v>26</v>
      </c>
      <c r="F62" s="2" t="s">
        <v>34</v>
      </c>
      <c r="G62" s="2" t="s">
        <v>20</v>
      </c>
      <c r="H62" s="2" t="s">
        <v>52</v>
      </c>
      <c r="I62" s="2">
        <v>37</v>
      </c>
      <c r="J62" s="2">
        <v>31</v>
      </c>
      <c r="K62" s="2">
        <v>25580.95</v>
      </c>
      <c r="L62" s="2">
        <v>408.59</v>
      </c>
      <c r="M62" s="2">
        <v>92.71</v>
      </c>
      <c r="N62" s="2" t="s">
        <v>22</v>
      </c>
      <c r="O62" s="2">
        <v>4</v>
      </c>
    </row>
    <row r="63" spans="1:15" x14ac:dyDescent="0.3">
      <c r="A63" s="2" t="s">
        <v>120</v>
      </c>
      <c r="B63" s="1">
        <v>46084</v>
      </c>
      <c r="C63" s="2" t="s">
        <v>16</v>
      </c>
      <c r="D63" s="2" t="s">
        <v>62</v>
      </c>
      <c r="E63" s="2" t="s">
        <v>38</v>
      </c>
      <c r="F63" s="2" t="s">
        <v>68</v>
      </c>
      <c r="G63" s="2" t="s">
        <v>35</v>
      </c>
      <c r="H63" s="2" t="s">
        <v>29</v>
      </c>
      <c r="I63" s="2">
        <v>61</v>
      </c>
      <c r="J63" s="2">
        <v>21</v>
      </c>
      <c r="K63" s="2">
        <v>42872.05</v>
      </c>
      <c r="L63" s="2">
        <v>203.43</v>
      </c>
      <c r="M63" s="2">
        <v>266.36</v>
      </c>
      <c r="N63" s="2" t="s">
        <v>30</v>
      </c>
      <c r="O63" s="2">
        <v>2</v>
      </c>
    </row>
    <row r="64" spans="1:15" x14ac:dyDescent="0.3">
      <c r="A64" s="2" t="s">
        <v>121</v>
      </c>
      <c r="B64" s="1">
        <v>46225</v>
      </c>
      <c r="C64" s="2" t="s">
        <v>32</v>
      </c>
      <c r="D64" s="2" t="s">
        <v>44</v>
      </c>
      <c r="E64" s="2" t="s">
        <v>58</v>
      </c>
      <c r="F64" s="2" t="s">
        <v>27</v>
      </c>
      <c r="G64" s="2" t="s">
        <v>55</v>
      </c>
      <c r="H64" s="2" t="s">
        <v>21</v>
      </c>
      <c r="I64" s="2">
        <v>39</v>
      </c>
      <c r="J64" s="2">
        <v>90</v>
      </c>
      <c r="K64" s="2">
        <v>37622.71</v>
      </c>
      <c r="L64" s="2">
        <v>412.46</v>
      </c>
      <c r="M64" s="2">
        <v>91.02</v>
      </c>
      <c r="N64" s="2" t="s">
        <v>30</v>
      </c>
      <c r="O64" s="2">
        <v>1</v>
      </c>
    </row>
    <row r="65" spans="1:15" x14ac:dyDescent="0.3">
      <c r="A65" s="2" t="s">
        <v>122</v>
      </c>
      <c r="B65" s="1">
        <v>45947</v>
      </c>
      <c r="C65" s="2" t="s">
        <v>90</v>
      </c>
      <c r="D65" s="2" t="s">
        <v>86</v>
      </c>
      <c r="E65" s="2" t="s">
        <v>58</v>
      </c>
      <c r="F65" s="2" t="s">
        <v>19</v>
      </c>
      <c r="G65" s="2" t="s">
        <v>20</v>
      </c>
      <c r="H65" s="2" t="s">
        <v>21</v>
      </c>
      <c r="I65" s="2">
        <v>25</v>
      </c>
      <c r="J65" s="2">
        <v>40</v>
      </c>
      <c r="K65" s="2">
        <v>40353.279999999999</v>
      </c>
      <c r="L65" s="2">
        <v>202.38</v>
      </c>
      <c r="M65" s="2">
        <v>111.18</v>
      </c>
      <c r="N65" s="2" t="s">
        <v>30</v>
      </c>
      <c r="O65" s="2">
        <v>5</v>
      </c>
    </row>
    <row r="66" spans="1:15" x14ac:dyDescent="0.3">
      <c r="A66" s="2" t="s">
        <v>123</v>
      </c>
      <c r="B66" s="1">
        <v>46042</v>
      </c>
      <c r="C66" s="2" t="s">
        <v>16</v>
      </c>
      <c r="D66" s="2" t="s">
        <v>44</v>
      </c>
      <c r="E66" s="2" t="s">
        <v>38</v>
      </c>
      <c r="F66" s="2" t="s">
        <v>19</v>
      </c>
      <c r="G66" s="2" t="s">
        <v>64</v>
      </c>
      <c r="H66" s="2" t="s">
        <v>21</v>
      </c>
      <c r="I66" s="2">
        <v>52</v>
      </c>
      <c r="J66" s="2">
        <v>112</v>
      </c>
      <c r="K66" s="2">
        <v>7273.84</v>
      </c>
      <c r="L66" s="2">
        <v>74.94</v>
      </c>
      <c r="M66" s="2">
        <v>80.8</v>
      </c>
      <c r="N66" s="2" t="s">
        <v>30</v>
      </c>
      <c r="O66" s="2">
        <v>2</v>
      </c>
    </row>
    <row r="67" spans="1:15" x14ac:dyDescent="0.3">
      <c r="A67" s="2" t="s">
        <v>124</v>
      </c>
      <c r="B67" s="1">
        <v>46160</v>
      </c>
      <c r="C67" s="2" t="s">
        <v>54</v>
      </c>
      <c r="D67" s="2" t="s">
        <v>44</v>
      </c>
      <c r="E67" s="2" t="s">
        <v>58</v>
      </c>
      <c r="F67" s="2" t="s">
        <v>19</v>
      </c>
      <c r="G67" s="2" t="s">
        <v>28</v>
      </c>
      <c r="H67" s="2" t="s">
        <v>52</v>
      </c>
      <c r="I67" s="2">
        <v>42</v>
      </c>
      <c r="J67" s="2">
        <v>45</v>
      </c>
      <c r="K67" s="2">
        <v>3951.11</v>
      </c>
      <c r="L67" s="2">
        <v>299.38</v>
      </c>
      <c r="M67" s="2">
        <v>92.02</v>
      </c>
      <c r="N67" s="2" t="s">
        <v>22</v>
      </c>
      <c r="O67" s="2">
        <v>2</v>
      </c>
    </row>
    <row r="68" spans="1:15" x14ac:dyDescent="0.3">
      <c r="A68" s="2" t="s">
        <v>125</v>
      </c>
      <c r="B68" s="1">
        <v>46096</v>
      </c>
      <c r="C68" s="2" t="s">
        <v>24</v>
      </c>
      <c r="D68" s="2" t="s">
        <v>44</v>
      </c>
      <c r="E68" s="2" t="s">
        <v>58</v>
      </c>
      <c r="F68" s="2" t="s">
        <v>34</v>
      </c>
      <c r="G68" s="2" t="s">
        <v>64</v>
      </c>
      <c r="H68" s="2" t="s">
        <v>29</v>
      </c>
      <c r="I68" s="2">
        <v>26</v>
      </c>
      <c r="J68" s="2">
        <v>77</v>
      </c>
      <c r="K68" s="2">
        <v>44723.53</v>
      </c>
      <c r="L68" s="2">
        <v>314.56</v>
      </c>
      <c r="M68" s="2">
        <v>4.54</v>
      </c>
      <c r="N68" s="2" t="s">
        <v>30</v>
      </c>
      <c r="O68" s="2">
        <v>4</v>
      </c>
    </row>
    <row r="69" spans="1:15" x14ac:dyDescent="0.3">
      <c r="A69" s="2" t="s">
        <v>126</v>
      </c>
      <c r="B69" s="1">
        <v>46000</v>
      </c>
      <c r="C69" s="2" t="s">
        <v>90</v>
      </c>
      <c r="D69" s="2" t="s">
        <v>76</v>
      </c>
      <c r="E69" s="2" t="s">
        <v>58</v>
      </c>
      <c r="F69" s="2" t="s">
        <v>39</v>
      </c>
      <c r="G69" s="2" t="s">
        <v>55</v>
      </c>
      <c r="H69" s="2" t="s">
        <v>52</v>
      </c>
      <c r="I69" s="2">
        <v>55</v>
      </c>
      <c r="J69" s="2">
        <v>49</v>
      </c>
      <c r="K69" s="2">
        <v>19697.8</v>
      </c>
      <c r="L69" s="2">
        <v>470.54</v>
      </c>
      <c r="M69" s="2">
        <v>56.75</v>
      </c>
      <c r="N69" s="2" t="s">
        <v>30</v>
      </c>
      <c r="O69" s="2">
        <v>1</v>
      </c>
    </row>
    <row r="70" spans="1:15" x14ac:dyDescent="0.3">
      <c r="A70" s="2" t="s">
        <v>127</v>
      </c>
      <c r="B70" s="1">
        <v>46107</v>
      </c>
      <c r="C70" s="2" t="s">
        <v>24</v>
      </c>
      <c r="D70" s="2" t="s">
        <v>76</v>
      </c>
      <c r="E70" s="2" t="s">
        <v>45</v>
      </c>
      <c r="F70" s="2" t="s">
        <v>39</v>
      </c>
      <c r="G70" s="2" t="s">
        <v>20</v>
      </c>
      <c r="H70" s="2" t="s">
        <v>52</v>
      </c>
      <c r="I70" s="2">
        <v>42</v>
      </c>
      <c r="J70" s="2">
        <v>87</v>
      </c>
      <c r="K70" s="2">
        <v>14750.04</v>
      </c>
      <c r="L70" s="2">
        <v>376.73</v>
      </c>
      <c r="M70" s="2">
        <v>87.32</v>
      </c>
      <c r="N70" s="2" t="s">
        <v>30</v>
      </c>
      <c r="O70" s="2">
        <v>3</v>
      </c>
    </row>
    <row r="71" spans="1:15" x14ac:dyDescent="0.3">
      <c r="A71" s="2" t="s">
        <v>128</v>
      </c>
      <c r="B71" s="1">
        <v>46089</v>
      </c>
      <c r="C71" s="2" t="s">
        <v>74</v>
      </c>
      <c r="D71" s="2" t="s">
        <v>62</v>
      </c>
      <c r="E71" s="2" t="s">
        <v>45</v>
      </c>
      <c r="F71" s="2" t="s">
        <v>68</v>
      </c>
      <c r="G71" s="2" t="s">
        <v>55</v>
      </c>
      <c r="H71" s="2" t="s">
        <v>21</v>
      </c>
      <c r="I71" s="2">
        <v>21</v>
      </c>
      <c r="J71" s="2">
        <v>20</v>
      </c>
      <c r="K71" s="2">
        <v>36372.46</v>
      </c>
      <c r="L71" s="2">
        <v>463</v>
      </c>
      <c r="M71" s="2">
        <v>126.76</v>
      </c>
      <c r="N71" s="2" t="s">
        <v>22</v>
      </c>
      <c r="O71" s="2">
        <v>2</v>
      </c>
    </row>
    <row r="72" spans="1:15" x14ac:dyDescent="0.3">
      <c r="A72" s="2" t="s">
        <v>129</v>
      </c>
      <c r="B72" s="1">
        <v>46185</v>
      </c>
      <c r="C72" s="2" t="s">
        <v>54</v>
      </c>
      <c r="D72" s="2" t="s">
        <v>33</v>
      </c>
      <c r="E72" s="2" t="s">
        <v>18</v>
      </c>
      <c r="F72" s="2" t="s">
        <v>34</v>
      </c>
      <c r="G72" s="2" t="s">
        <v>20</v>
      </c>
      <c r="H72" s="2" t="s">
        <v>52</v>
      </c>
      <c r="I72" s="2">
        <v>40</v>
      </c>
      <c r="J72" s="2">
        <v>101</v>
      </c>
      <c r="K72" s="2">
        <v>41902.57</v>
      </c>
      <c r="L72" s="2">
        <v>458.76</v>
      </c>
      <c r="M72" s="2">
        <v>90.01</v>
      </c>
      <c r="N72" s="2" t="s">
        <v>30</v>
      </c>
      <c r="O72" s="2">
        <v>5</v>
      </c>
    </row>
    <row r="73" spans="1:15" x14ac:dyDescent="0.3">
      <c r="A73" s="2" t="s">
        <v>130</v>
      </c>
      <c r="B73" s="1">
        <v>45922</v>
      </c>
      <c r="C73" s="2" t="s">
        <v>54</v>
      </c>
      <c r="D73" s="2" t="s">
        <v>44</v>
      </c>
      <c r="E73" s="2" t="s">
        <v>26</v>
      </c>
      <c r="F73" s="2" t="s">
        <v>19</v>
      </c>
      <c r="G73" s="2" t="s">
        <v>35</v>
      </c>
      <c r="H73" s="2" t="s">
        <v>56</v>
      </c>
      <c r="I73" s="2">
        <v>42</v>
      </c>
      <c r="J73" s="2">
        <v>118</v>
      </c>
      <c r="K73" s="2">
        <v>43193.24</v>
      </c>
      <c r="L73" s="2">
        <v>322.06</v>
      </c>
      <c r="M73" s="2">
        <v>67.56</v>
      </c>
      <c r="N73" s="2" t="s">
        <v>30</v>
      </c>
      <c r="O73" s="2">
        <v>4</v>
      </c>
    </row>
    <row r="74" spans="1:15" x14ac:dyDescent="0.3">
      <c r="A74" s="2" t="s">
        <v>131</v>
      </c>
      <c r="B74" s="1">
        <v>46014</v>
      </c>
      <c r="C74" s="2" t="s">
        <v>90</v>
      </c>
      <c r="D74" s="2" t="s">
        <v>60</v>
      </c>
      <c r="E74" s="2" t="s">
        <v>38</v>
      </c>
      <c r="F74" s="2" t="s">
        <v>19</v>
      </c>
      <c r="G74" s="2" t="s">
        <v>28</v>
      </c>
      <c r="H74" s="2" t="s">
        <v>52</v>
      </c>
      <c r="I74" s="2">
        <v>68</v>
      </c>
      <c r="J74" s="2">
        <v>117</v>
      </c>
      <c r="K74" s="2">
        <v>16141.86</v>
      </c>
      <c r="L74" s="2">
        <v>287.49</v>
      </c>
      <c r="M74" s="2">
        <v>77.62</v>
      </c>
      <c r="N74" s="2" t="s">
        <v>30</v>
      </c>
      <c r="O74" s="2">
        <v>4</v>
      </c>
    </row>
    <row r="75" spans="1:15" x14ac:dyDescent="0.3">
      <c r="A75" s="2" t="s">
        <v>132</v>
      </c>
      <c r="B75" s="1">
        <v>46090</v>
      </c>
      <c r="C75" s="2" t="s">
        <v>54</v>
      </c>
      <c r="D75" s="2" t="s">
        <v>37</v>
      </c>
      <c r="E75" s="2" t="s">
        <v>38</v>
      </c>
      <c r="F75" s="2" t="s">
        <v>27</v>
      </c>
      <c r="G75" s="2" t="s">
        <v>35</v>
      </c>
      <c r="H75" s="2" t="s">
        <v>56</v>
      </c>
      <c r="I75" s="2">
        <v>31</v>
      </c>
      <c r="J75" s="2">
        <v>92</v>
      </c>
      <c r="K75" s="2">
        <v>42684.51</v>
      </c>
      <c r="L75" s="2">
        <v>300.85000000000002</v>
      </c>
      <c r="M75" s="2">
        <v>48.46</v>
      </c>
      <c r="N75" s="2" t="s">
        <v>22</v>
      </c>
      <c r="O75" s="2">
        <v>2</v>
      </c>
    </row>
    <row r="76" spans="1:15" x14ac:dyDescent="0.3">
      <c r="A76" s="2" t="s">
        <v>133</v>
      </c>
      <c r="B76" s="1">
        <v>45988</v>
      </c>
      <c r="C76" s="2" t="s">
        <v>32</v>
      </c>
      <c r="D76" s="2" t="s">
        <v>60</v>
      </c>
      <c r="E76" s="2" t="s">
        <v>38</v>
      </c>
      <c r="F76" s="2" t="s">
        <v>27</v>
      </c>
      <c r="G76" s="2" t="s">
        <v>35</v>
      </c>
      <c r="H76" s="2" t="s">
        <v>52</v>
      </c>
      <c r="I76" s="2">
        <v>33</v>
      </c>
      <c r="J76" s="2">
        <v>17</v>
      </c>
      <c r="K76" s="2">
        <v>2526.23</v>
      </c>
      <c r="L76" s="2">
        <v>490.25</v>
      </c>
      <c r="M76" s="2">
        <v>184.9</v>
      </c>
      <c r="N76" s="2" t="s">
        <v>30</v>
      </c>
      <c r="O76" s="2">
        <v>2</v>
      </c>
    </row>
    <row r="77" spans="1:15" x14ac:dyDescent="0.3">
      <c r="A77" s="2" t="s">
        <v>134</v>
      </c>
      <c r="B77" s="1">
        <v>46079</v>
      </c>
      <c r="C77" s="2" t="s">
        <v>54</v>
      </c>
      <c r="D77" s="2" t="s">
        <v>33</v>
      </c>
      <c r="E77" s="2" t="s">
        <v>18</v>
      </c>
      <c r="F77" s="2" t="s">
        <v>19</v>
      </c>
      <c r="G77" s="2" t="s">
        <v>55</v>
      </c>
      <c r="H77" s="2" t="s">
        <v>29</v>
      </c>
      <c r="I77" s="2">
        <v>62</v>
      </c>
      <c r="J77" s="2">
        <v>28</v>
      </c>
      <c r="K77" s="2">
        <v>2958.24</v>
      </c>
      <c r="L77" s="2">
        <v>397.93</v>
      </c>
      <c r="M77" s="2">
        <v>156.52000000000001</v>
      </c>
      <c r="N77" s="2" t="s">
        <v>30</v>
      </c>
      <c r="O77" s="2">
        <v>2</v>
      </c>
    </row>
    <row r="78" spans="1:15" x14ac:dyDescent="0.3">
      <c r="A78" s="2" t="s">
        <v>135</v>
      </c>
      <c r="B78" s="1">
        <v>46142</v>
      </c>
      <c r="C78" s="2" t="s">
        <v>24</v>
      </c>
      <c r="D78" s="2" t="s">
        <v>62</v>
      </c>
      <c r="E78" s="2" t="s">
        <v>45</v>
      </c>
      <c r="F78" s="2" t="s">
        <v>19</v>
      </c>
      <c r="G78" s="2" t="s">
        <v>28</v>
      </c>
      <c r="H78" s="2" t="s">
        <v>29</v>
      </c>
      <c r="I78" s="2">
        <v>23</v>
      </c>
      <c r="J78" s="2">
        <v>41</v>
      </c>
      <c r="K78" s="2">
        <v>31364.2</v>
      </c>
      <c r="L78" s="2">
        <v>97.82</v>
      </c>
      <c r="M78" s="2">
        <v>4.0199999999999996</v>
      </c>
      <c r="N78" s="2" t="s">
        <v>30</v>
      </c>
      <c r="O78" s="2">
        <v>3</v>
      </c>
    </row>
    <row r="79" spans="1:15" x14ac:dyDescent="0.3">
      <c r="A79" s="2" t="s">
        <v>136</v>
      </c>
      <c r="B79" s="1">
        <v>45879</v>
      </c>
      <c r="C79" s="2" t="s">
        <v>24</v>
      </c>
      <c r="D79" s="2" t="s">
        <v>49</v>
      </c>
      <c r="E79" s="2" t="s">
        <v>18</v>
      </c>
      <c r="F79" s="2" t="s">
        <v>34</v>
      </c>
      <c r="G79" s="2" t="s">
        <v>20</v>
      </c>
      <c r="H79" s="2" t="s">
        <v>21</v>
      </c>
      <c r="I79" s="2">
        <v>29</v>
      </c>
      <c r="J79" s="2">
        <v>66</v>
      </c>
      <c r="K79" s="2">
        <v>3623.77</v>
      </c>
      <c r="L79" s="2">
        <v>400.29</v>
      </c>
      <c r="M79" s="2">
        <v>3.89</v>
      </c>
      <c r="N79" s="2" t="s">
        <v>22</v>
      </c>
      <c r="O79" s="2">
        <v>2</v>
      </c>
    </row>
    <row r="80" spans="1:15" x14ac:dyDescent="0.3">
      <c r="A80" s="2" t="s">
        <v>137</v>
      </c>
      <c r="B80" s="1">
        <v>46147</v>
      </c>
      <c r="C80" s="2" t="s">
        <v>16</v>
      </c>
      <c r="D80" s="2" t="s">
        <v>49</v>
      </c>
      <c r="E80" s="2" t="s">
        <v>38</v>
      </c>
      <c r="F80" s="2" t="s">
        <v>39</v>
      </c>
      <c r="G80" s="2" t="s">
        <v>20</v>
      </c>
      <c r="H80" s="2" t="s">
        <v>52</v>
      </c>
      <c r="I80" s="2">
        <v>32</v>
      </c>
      <c r="J80" s="2">
        <v>25</v>
      </c>
      <c r="K80" s="2">
        <v>16568.150000000001</v>
      </c>
      <c r="L80" s="2">
        <v>126.74</v>
      </c>
      <c r="M80" s="2">
        <v>194.59</v>
      </c>
      <c r="N80" s="2" t="s">
        <v>30</v>
      </c>
      <c r="O80" s="2">
        <v>1</v>
      </c>
    </row>
    <row r="81" spans="1:15" x14ac:dyDescent="0.3">
      <c r="A81" s="2" t="s">
        <v>138</v>
      </c>
      <c r="B81" s="1">
        <v>46216</v>
      </c>
      <c r="C81" s="2" t="s">
        <v>24</v>
      </c>
      <c r="D81" s="2" t="s">
        <v>47</v>
      </c>
      <c r="E81" s="2" t="s">
        <v>26</v>
      </c>
      <c r="F81" s="2" t="s">
        <v>27</v>
      </c>
      <c r="G81" s="2" t="s">
        <v>64</v>
      </c>
      <c r="H81" s="2" t="s">
        <v>56</v>
      </c>
      <c r="I81" s="2">
        <v>43</v>
      </c>
      <c r="J81" s="2">
        <v>58</v>
      </c>
      <c r="K81" s="2">
        <v>33801.42</v>
      </c>
      <c r="L81" s="2">
        <v>251.31</v>
      </c>
      <c r="M81" s="2">
        <v>44.29</v>
      </c>
      <c r="N81" s="2" t="s">
        <v>30</v>
      </c>
      <c r="O81" s="2">
        <v>5</v>
      </c>
    </row>
    <row r="82" spans="1:15" x14ac:dyDescent="0.3">
      <c r="A82" s="2" t="s">
        <v>139</v>
      </c>
      <c r="B82" s="1">
        <v>46153</v>
      </c>
      <c r="C82" s="2" t="s">
        <v>16</v>
      </c>
      <c r="D82" s="2" t="s">
        <v>60</v>
      </c>
      <c r="E82" s="2" t="s">
        <v>58</v>
      </c>
      <c r="F82" s="2" t="s">
        <v>39</v>
      </c>
      <c r="G82" s="2" t="s">
        <v>20</v>
      </c>
      <c r="H82" s="2" t="s">
        <v>56</v>
      </c>
      <c r="I82" s="2">
        <v>34</v>
      </c>
      <c r="J82" s="2">
        <v>114</v>
      </c>
      <c r="K82" s="2">
        <v>17194.71</v>
      </c>
      <c r="L82" s="2">
        <v>144.71</v>
      </c>
      <c r="M82" s="2">
        <v>161.12</v>
      </c>
      <c r="N82" s="2" t="s">
        <v>30</v>
      </c>
      <c r="O82" s="2">
        <v>2</v>
      </c>
    </row>
    <row r="83" spans="1:15" x14ac:dyDescent="0.3">
      <c r="A83" s="2" t="s">
        <v>140</v>
      </c>
      <c r="B83" s="1">
        <v>46179</v>
      </c>
      <c r="C83" s="2" t="s">
        <v>24</v>
      </c>
      <c r="D83" s="2" t="s">
        <v>33</v>
      </c>
      <c r="E83" s="2" t="s">
        <v>45</v>
      </c>
      <c r="F83" s="2" t="s">
        <v>34</v>
      </c>
      <c r="G83" s="2" t="s">
        <v>55</v>
      </c>
      <c r="H83" s="2" t="s">
        <v>52</v>
      </c>
      <c r="I83" s="2">
        <v>53</v>
      </c>
      <c r="J83" s="2">
        <v>41</v>
      </c>
      <c r="K83" s="2">
        <v>9390.19</v>
      </c>
      <c r="L83" s="2">
        <v>360.31</v>
      </c>
      <c r="M83" s="2">
        <v>11.66</v>
      </c>
      <c r="N83" s="2" t="s">
        <v>30</v>
      </c>
      <c r="O83" s="2">
        <v>3</v>
      </c>
    </row>
    <row r="84" spans="1:15" x14ac:dyDescent="0.3">
      <c r="A84" s="2" t="s">
        <v>141</v>
      </c>
      <c r="B84" s="1">
        <v>46224</v>
      </c>
      <c r="C84" s="2" t="s">
        <v>32</v>
      </c>
      <c r="D84" s="2" t="s">
        <v>33</v>
      </c>
      <c r="E84" s="2" t="s">
        <v>45</v>
      </c>
      <c r="F84" s="2" t="s">
        <v>19</v>
      </c>
      <c r="G84" s="2" t="s">
        <v>35</v>
      </c>
      <c r="H84" s="2" t="s">
        <v>56</v>
      </c>
      <c r="I84" s="2">
        <v>38</v>
      </c>
      <c r="J84" s="2">
        <v>6</v>
      </c>
      <c r="K84" s="2">
        <v>14426.86</v>
      </c>
      <c r="L84" s="2">
        <v>444.79</v>
      </c>
      <c r="M84" s="2">
        <v>184.23</v>
      </c>
      <c r="N84" s="2" t="s">
        <v>22</v>
      </c>
      <c r="O84" s="2">
        <v>5</v>
      </c>
    </row>
    <row r="85" spans="1:15" x14ac:dyDescent="0.3">
      <c r="A85" s="2" t="s">
        <v>142</v>
      </c>
      <c r="B85" s="1">
        <v>46131</v>
      </c>
      <c r="C85" s="2" t="s">
        <v>43</v>
      </c>
      <c r="D85" s="2" t="s">
        <v>78</v>
      </c>
      <c r="E85" s="2" t="s">
        <v>18</v>
      </c>
      <c r="F85" s="2" t="s">
        <v>39</v>
      </c>
      <c r="G85" s="2" t="s">
        <v>35</v>
      </c>
      <c r="H85" s="2" t="s">
        <v>29</v>
      </c>
      <c r="I85" s="2">
        <v>69</v>
      </c>
      <c r="J85" s="2">
        <v>75</v>
      </c>
      <c r="K85" s="2">
        <v>23149.98</v>
      </c>
      <c r="L85" s="2">
        <v>180.66</v>
      </c>
      <c r="M85" s="2">
        <v>262.32</v>
      </c>
      <c r="N85" s="2" t="s">
        <v>30</v>
      </c>
      <c r="O85" s="2">
        <v>4</v>
      </c>
    </row>
    <row r="86" spans="1:15" x14ac:dyDescent="0.3">
      <c r="A86" s="2" t="s">
        <v>143</v>
      </c>
      <c r="B86" s="1">
        <v>46072</v>
      </c>
      <c r="C86" s="2" t="s">
        <v>16</v>
      </c>
      <c r="D86" s="2" t="s">
        <v>67</v>
      </c>
      <c r="E86" s="2" t="s">
        <v>45</v>
      </c>
      <c r="F86" s="2" t="s">
        <v>19</v>
      </c>
      <c r="G86" s="2" t="s">
        <v>35</v>
      </c>
      <c r="H86" s="2" t="s">
        <v>56</v>
      </c>
      <c r="I86" s="2">
        <v>61</v>
      </c>
      <c r="J86" s="2">
        <v>38</v>
      </c>
      <c r="K86" s="2">
        <v>24031.599999999999</v>
      </c>
      <c r="L86" s="2">
        <v>86.9</v>
      </c>
      <c r="M86" s="2">
        <v>114.22</v>
      </c>
      <c r="N86" s="2" t="s">
        <v>22</v>
      </c>
      <c r="O86" s="2">
        <v>2</v>
      </c>
    </row>
    <row r="87" spans="1:15" x14ac:dyDescent="0.3">
      <c r="A87" s="2" t="s">
        <v>144</v>
      </c>
      <c r="B87" s="1">
        <v>46120</v>
      </c>
      <c r="C87" s="2" t="s">
        <v>41</v>
      </c>
      <c r="D87" s="2" t="s">
        <v>51</v>
      </c>
      <c r="E87" s="2" t="s">
        <v>38</v>
      </c>
      <c r="F87" s="2" t="s">
        <v>19</v>
      </c>
      <c r="G87" s="2" t="s">
        <v>28</v>
      </c>
      <c r="H87" s="2" t="s">
        <v>21</v>
      </c>
      <c r="I87" s="2">
        <v>29</v>
      </c>
      <c r="J87" s="2">
        <v>6</v>
      </c>
      <c r="K87" s="2">
        <v>39258.51</v>
      </c>
      <c r="L87" s="2">
        <v>184.32</v>
      </c>
      <c r="M87" s="2">
        <v>1.8</v>
      </c>
      <c r="N87" s="2" t="s">
        <v>22</v>
      </c>
      <c r="O87" s="2">
        <v>5</v>
      </c>
    </row>
    <row r="88" spans="1:15" x14ac:dyDescent="0.3">
      <c r="A88" s="2" t="s">
        <v>145</v>
      </c>
      <c r="B88" s="1">
        <v>46127</v>
      </c>
      <c r="C88" s="2" t="s">
        <v>74</v>
      </c>
      <c r="D88" s="2" t="s">
        <v>25</v>
      </c>
      <c r="E88" s="2" t="s">
        <v>38</v>
      </c>
      <c r="F88" s="2" t="s">
        <v>68</v>
      </c>
      <c r="G88" s="2" t="s">
        <v>20</v>
      </c>
      <c r="H88" s="2" t="s">
        <v>29</v>
      </c>
      <c r="I88" s="2">
        <v>43</v>
      </c>
      <c r="J88" s="2">
        <v>45</v>
      </c>
      <c r="K88" s="2">
        <v>37632.58</v>
      </c>
      <c r="L88" s="2">
        <v>352.56</v>
      </c>
      <c r="M88" s="2">
        <v>77.34</v>
      </c>
      <c r="N88" s="2" t="s">
        <v>30</v>
      </c>
      <c r="O88" s="2">
        <v>4</v>
      </c>
    </row>
    <row r="89" spans="1:15" x14ac:dyDescent="0.3">
      <c r="A89" s="2" t="s">
        <v>146</v>
      </c>
      <c r="B89" s="1">
        <v>45953</v>
      </c>
      <c r="C89" s="2" t="s">
        <v>90</v>
      </c>
      <c r="D89" s="2" t="s">
        <v>78</v>
      </c>
      <c r="E89" s="2" t="s">
        <v>18</v>
      </c>
      <c r="F89" s="2" t="s">
        <v>39</v>
      </c>
      <c r="G89" s="2" t="s">
        <v>55</v>
      </c>
      <c r="H89" s="2" t="s">
        <v>29</v>
      </c>
      <c r="I89" s="2">
        <v>30</v>
      </c>
      <c r="J89" s="2">
        <v>75</v>
      </c>
      <c r="K89" s="2">
        <v>23112.48</v>
      </c>
      <c r="L89" s="2">
        <v>197.94</v>
      </c>
      <c r="M89" s="2">
        <v>122.04</v>
      </c>
      <c r="N89" s="2" t="s">
        <v>22</v>
      </c>
      <c r="O89" s="2">
        <v>3</v>
      </c>
    </row>
    <row r="90" spans="1:15" x14ac:dyDescent="0.3">
      <c r="A90" s="2" t="s">
        <v>147</v>
      </c>
      <c r="B90" s="1">
        <v>46154</v>
      </c>
      <c r="C90" s="2" t="s">
        <v>24</v>
      </c>
      <c r="D90" s="2" t="s">
        <v>86</v>
      </c>
      <c r="E90" s="2" t="s">
        <v>38</v>
      </c>
      <c r="F90" s="2" t="s">
        <v>39</v>
      </c>
      <c r="G90" s="2" t="s">
        <v>28</v>
      </c>
      <c r="H90" s="2" t="s">
        <v>29</v>
      </c>
      <c r="I90" s="2">
        <v>39</v>
      </c>
      <c r="J90" s="2">
        <v>14</v>
      </c>
      <c r="K90" s="2">
        <v>42360.53</v>
      </c>
      <c r="L90" s="2">
        <v>175.15</v>
      </c>
      <c r="M90" s="2">
        <v>138.02000000000001</v>
      </c>
      <c r="N90" s="2" t="s">
        <v>22</v>
      </c>
      <c r="O90" s="2">
        <v>1</v>
      </c>
    </row>
    <row r="91" spans="1:15" x14ac:dyDescent="0.3">
      <c r="A91" s="2" t="s">
        <v>148</v>
      </c>
      <c r="B91" s="1">
        <v>45958</v>
      </c>
      <c r="C91" s="2" t="s">
        <v>54</v>
      </c>
      <c r="D91" s="2" t="s">
        <v>76</v>
      </c>
      <c r="E91" s="2" t="s">
        <v>26</v>
      </c>
      <c r="F91" s="2" t="s">
        <v>19</v>
      </c>
      <c r="G91" s="2" t="s">
        <v>64</v>
      </c>
      <c r="H91" s="2" t="s">
        <v>52</v>
      </c>
      <c r="I91" s="2">
        <v>67</v>
      </c>
      <c r="J91" s="2">
        <v>66</v>
      </c>
      <c r="K91" s="2">
        <v>6154.74</v>
      </c>
      <c r="L91" s="2">
        <v>133</v>
      </c>
      <c r="M91" s="2">
        <v>59.54</v>
      </c>
      <c r="N91" s="2" t="s">
        <v>22</v>
      </c>
      <c r="O91" s="2">
        <v>2</v>
      </c>
    </row>
    <row r="92" spans="1:15" x14ac:dyDescent="0.3">
      <c r="A92" s="2" t="s">
        <v>149</v>
      </c>
      <c r="B92" s="1">
        <v>45956</v>
      </c>
      <c r="C92" s="2" t="s">
        <v>43</v>
      </c>
      <c r="D92" s="2" t="s">
        <v>76</v>
      </c>
      <c r="E92" s="2" t="s">
        <v>18</v>
      </c>
      <c r="F92" s="2" t="s">
        <v>34</v>
      </c>
      <c r="G92" s="2" t="s">
        <v>55</v>
      </c>
      <c r="H92" s="2" t="s">
        <v>52</v>
      </c>
      <c r="I92" s="2">
        <v>25</v>
      </c>
      <c r="J92" s="2">
        <v>40</v>
      </c>
      <c r="K92" s="2">
        <v>13139.99</v>
      </c>
      <c r="L92" s="2">
        <v>273.88</v>
      </c>
      <c r="M92" s="2">
        <v>6.59</v>
      </c>
      <c r="N92" s="2" t="s">
        <v>30</v>
      </c>
      <c r="O92" s="2">
        <v>1</v>
      </c>
    </row>
    <row r="93" spans="1:15" x14ac:dyDescent="0.3">
      <c r="A93" s="2" t="s">
        <v>150</v>
      </c>
      <c r="B93" s="1">
        <v>46148</v>
      </c>
      <c r="C93" s="2" t="s">
        <v>24</v>
      </c>
      <c r="D93" s="2" t="s">
        <v>67</v>
      </c>
      <c r="E93" s="2" t="s">
        <v>26</v>
      </c>
      <c r="F93" s="2" t="s">
        <v>68</v>
      </c>
      <c r="G93" s="2" t="s">
        <v>55</v>
      </c>
      <c r="H93" s="2" t="s">
        <v>29</v>
      </c>
      <c r="I93" s="2">
        <v>67</v>
      </c>
      <c r="J93" s="2">
        <v>3</v>
      </c>
      <c r="K93" s="2">
        <v>41484.83</v>
      </c>
      <c r="L93" s="2">
        <v>174.18</v>
      </c>
      <c r="M93" s="2">
        <v>177.04</v>
      </c>
      <c r="N93" s="2" t="s">
        <v>30</v>
      </c>
      <c r="O93" s="2">
        <v>3</v>
      </c>
    </row>
    <row r="94" spans="1:15" x14ac:dyDescent="0.3">
      <c r="A94" s="2" t="s">
        <v>151</v>
      </c>
      <c r="B94" s="1">
        <v>46031</v>
      </c>
      <c r="C94" s="2" t="s">
        <v>54</v>
      </c>
      <c r="D94" s="2" t="s">
        <v>17</v>
      </c>
      <c r="E94" s="2" t="s">
        <v>58</v>
      </c>
      <c r="F94" s="2" t="s">
        <v>19</v>
      </c>
      <c r="G94" s="2" t="s">
        <v>55</v>
      </c>
      <c r="H94" s="2" t="s">
        <v>52</v>
      </c>
      <c r="I94" s="2">
        <v>72</v>
      </c>
      <c r="J94" s="2">
        <v>119</v>
      </c>
      <c r="K94" s="2">
        <v>19210.7</v>
      </c>
      <c r="L94" s="2">
        <v>378.95</v>
      </c>
      <c r="M94" s="2">
        <v>104.83</v>
      </c>
      <c r="N94" s="2" t="s">
        <v>30</v>
      </c>
      <c r="O94" s="2">
        <v>5</v>
      </c>
    </row>
    <row r="95" spans="1:15" x14ac:dyDescent="0.3">
      <c r="A95" s="2" t="s">
        <v>152</v>
      </c>
      <c r="B95" s="1">
        <v>46032</v>
      </c>
      <c r="C95" s="2" t="s">
        <v>74</v>
      </c>
      <c r="D95" s="2" t="s">
        <v>17</v>
      </c>
      <c r="E95" s="2" t="s">
        <v>26</v>
      </c>
      <c r="F95" s="2" t="s">
        <v>27</v>
      </c>
      <c r="G95" s="2" t="s">
        <v>35</v>
      </c>
      <c r="H95" s="2" t="s">
        <v>56</v>
      </c>
      <c r="I95" s="2">
        <v>43</v>
      </c>
      <c r="J95" s="2">
        <v>117</v>
      </c>
      <c r="K95" s="2">
        <v>49068.49</v>
      </c>
      <c r="L95" s="2">
        <v>84.48</v>
      </c>
      <c r="M95" s="2">
        <v>56.6</v>
      </c>
      <c r="N95" s="2" t="s">
        <v>22</v>
      </c>
      <c r="O95" s="2">
        <v>5</v>
      </c>
    </row>
    <row r="96" spans="1:15" x14ac:dyDescent="0.3">
      <c r="A96" s="2" t="s">
        <v>153</v>
      </c>
      <c r="B96" s="1">
        <v>45919</v>
      </c>
      <c r="C96" s="2" t="s">
        <v>74</v>
      </c>
      <c r="D96" s="2" t="s">
        <v>62</v>
      </c>
      <c r="E96" s="2" t="s">
        <v>58</v>
      </c>
      <c r="F96" s="2" t="s">
        <v>27</v>
      </c>
      <c r="G96" s="2" t="s">
        <v>55</v>
      </c>
      <c r="H96" s="2" t="s">
        <v>52</v>
      </c>
      <c r="I96" s="2">
        <v>50</v>
      </c>
      <c r="J96" s="2">
        <v>99</v>
      </c>
      <c r="K96" s="2">
        <v>23579.54</v>
      </c>
      <c r="L96" s="2">
        <v>348.81</v>
      </c>
      <c r="M96" s="2">
        <v>7.6</v>
      </c>
      <c r="N96" s="2" t="s">
        <v>30</v>
      </c>
      <c r="O96" s="2">
        <v>3</v>
      </c>
    </row>
    <row r="97" spans="1:15" x14ac:dyDescent="0.3">
      <c r="A97" s="2" t="s">
        <v>154</v>
      </c>
      <c r="B97" s="1">
        <v>46031</v>
      </c>
      <c r="C97" s="2" t="s">
        <v>74</v>
      </c>
      <c r="D97" s="2" t="s">
        <v>82</v>
      </c>
      <c r="E97" s="2" t="s">
        <v>58</v>
      </c>
      <c r="F97" s="2" t="s">
        <v>68</v>
      </c>
      <c r="G97" s="2" t="s">
        <v>20</v>
      </c>
      <c r="H97" s="2" t="s">
        <v>52</v>
      </c>
      <c r="I97" s="2">
        <v>45</v>
      </c>
      <c r="J97" s="2">
        <v>97</v>
      </c>
      <c r="K97" s="2">
        <v>39700.81</v>
      </c>
      <c r="L97" s="2">
        <v>156.9</v>
      </c>
      <c r="M97" s="2">
        <v>198.92</v>
      </c>
      <c r="N97" s="2" t="s">
        <v>30</v>
      </c>
      <c r="O97" s="2">
        <v>3</v>
      </c>
    </row>
    <row r="98" spans="1:15" x14ac:dyDescent="0.3">
      <c r="A98" s="2" t="s">
        <v>155</v>
      </c>
      <c r="B98" s="1">
        <v>45971</v>
      </c>
      <c r="C98" s="2" t="s">
        <v>54</v>
      </c>
      <c r="D98" s="2" t="s">
        <v>67</v>
      </c>
      <c r="E98" s="2" t="s">
        <v>26</v>
      </c>
      <c r="F98" s="2" t="s">
        <v>34</v>
      </c>
      <c r="G98" s="2" t="s">
        <v>55</v>
      </c>
      <c r="H98" s="2" t="s">
        <v>29</v>
      </c>
      <c r="I98" s="2">
        <v>48</v>
      </c>
      <c r="J98" s="2">
        <v>24</v>
      </c>
      <c r="K98" s="2">
        <v>20414.2</v>
      </c>
      <c r="L98" s="2">
        <v>270.18</v>
      </c>
      <c r="M98" s="2">
        <v>144.6</v>
      </c>
      <c r="N98" s="2" t="s">
        <v>30</v>
      </c>
      <c r="O98" s="2">
        <v>2</v>
      </c>
    </row>
    <row r="99" spans="1:15" x14ac:dyDescent="0.3">
      <c r="A99" s="2" t="s">
        <v>156</v>
      </c>
      <c r="B99" s="1">
        <v>46038</v>
      </c>
      <c r="C99" s="2" t="s">
        <v>24</v>
      </c>
      <c r="D99" s="2" t="s">
        <v>51</v>
      </c>
      <c r="E99" s="2" t="s">
        <v>18</v>
      </c>
      <c r="F99" s="2" t="s">
        <v>19</v>
      </c>
      <c r="G99" s="2" t="s">
        <v>35</v>
      </c>
      <c r="H99" s="2" t="s">
        <v>21</v>
      </c>
      <c r="I99" s="2">
        <v>54</v>
      </c>
      <c r="J99" s="2">
        <v>19</v>
      </c>
      <c r="K99" s="2">
        <v>21535.200000000001</v>
      </c>
      <c r="L99" s="2">
        <v>178.74</v>
      </c>
      <c r="M99" s="2">
        <v>151.19999999999999</v>
      </c>
      <c r="N99" s="2" t="s">
        <v>30</v>
      </c>
      <c r="O99" s="2">
        <v>4</v>
      </c>
    </row>
    <row r="100" spans="1:15" x14ac:dyDescent="0.3">
      <c r="A100" s="2" t="s">
        <v>157</v>
      </c>
      <c r="B100" s="1">
        <v>46056</v>
      </c>
      <c r="C100" s="2" t="s">
        <v>74</v>
      </c>
      <c r="D100" s="2" t="s">
        <v>33</v>
      </c>
      <c r="E100" s="2" t="s">
        <v>38</v>
      </c>
      <c r="F100" s="2" t="s">
        <v>39</v>
      </c>
      <c r="G100" s="2" t="s">
        <v>55</v>
      </c>
      <c r="H100" s="2" t="s">
        <v>21</v>
      </c>
      <c r="I100" s="2">
        <v>65</v>
      </c>
      <c r="J100" s="2">
        <v>18</v>
      </c>
      <c r="K100" s="2">
        <v>19452.72</v>
      </c>
      <c r="L100" s="2">
        <v>375.25</v>
      </c>
      <c r="M100" s="2">
        <v>90.46</v>
      </c>
      <c r="N100" s="2" t="s">
        <v>30</v>
      </c>
      <c r="O100" s="2">
        <v>1</v>
      </c>
    </row>
    <row r="101" spans="1:15" x14ac:dyDescent="0.3">
      <c r="A101" s="2" t="s">
        <v>158</v>
      </c>
      <c r="B101" s="1">
        <v>45984</v>
      </c>
      <c r="C101" s="2" t="s">
        <v>32</v>
      </c>
      <c r="D101" s="2" t="s">
        <v>17</v>
      </c>
      <c r="E101" s="2" t="s">
        <v>38</v>
      </c>
      <c r="F101" s="2" t="s">
        <v>68</v>
      </c>
      <c r="G101" s="2" t="s">
        <v>64</v>
      </c>
      <c r="H101" s="2" t="s">
        <v>21</v>
      </c>
      <c r="I101" s="2">
        <v>68</v>
      </c>
      <c r="J101" s="2">
        <v>64</v>
      </c>
      <c r="K101" s="2">
        <v>36094.239999999998</v>
      </c>
      <c r="L101" s="2">
        <v>475.39</v>
      </c>
      <c r="M101" s="2">
        <v>8.6300000000000008</v>
      </c>
      <c r="N101" s="2" t="s">
        <v>30</v>
      </c>
      <c r="O101" s="2">
        <v>1</v>
      </c>
    </row>
    <row r="102" spans="1:15" x14ac:dyDescent="0.3">
      <c r="A102" s="2" t="s">
        <v>159</v>
      </c>
      <c r="B102" s="1">
        <v>46136</v>
      </c>
      <c r="C102" s="2" t="s">
        <v>16</v>
      </c>
      <c r="D102" s="2" t="s">
        <v>51</v>
      </c>
      <c r="E102" s="2" t="s">
        <v>58</v>
      </c>
      <c r="F102" s="2" t="s">
        <v>34</v>
      </c>
      <c r="G102" s="2" t="s">
        <v>64</v>
      </c>
      <c r="H102" s="2" t="s">
        <v>56</v>
      </c>
      <c r="I102" s="2">
        <v>67</v>
      </c>
      <c r="J102" s="2">
        <v>113</v>
      </c>
      <c r="K102" s="2">
        <v>27602.14</v>
      </c>
      <c r="L102" s="2">
        <v>462.68</v>
      </c>
      <c r="M102" s="2">
        <v>61.92</v>
      </c>
      <c r="N102" s="2" t="s">
        <v>30</v>
      </c>
      <c r="O102" s="2">
        <v>5</v>
      </c>
    </row>
    <row r="103" spans="1:15" x14ac:dyDescent="0.3">
      <c r="A103" s="2" t="s">
        <v>160</v>
      </c>
      <c r="B103" s="1">
        <v>46228</v>
      </c>
      <c r="C103" s="2" t="s">
        <v>54</v>
      </c>
      <c r="D103" s="2" t="s">
        <v>44</v>
      </c>
      <c r="E103" s="2" t="s">
        <v>58</v>
      </c>
      <c r="F103" s="2" t="s">
        <v>39</v>
      </c>
      <c r="G103" s="2" t="s">
        <v>35</v>
      </c>
      <c r="H103" s="2" t="s">
        <v>52</v>
      </c>
      <c r="I103" s="2">
        <v>45</v>
      </c>
      <c r="J103" s="2">
        <v>116</v>
      </c>
      <c r="K103" s="2">
        <v>47217.02</v>
      </c>
      <c r="L103" s="2">
        <v>312.54000000000002</v>
      </c>
      <c r="M103" s="2">
        <v>64.02</v>
      </c>
      <c r="N103" s="2" t="s">
        <v>22</v>
      </c>
      <c r="O103" s="2">
        <v>5</v>
      </c>
    </row>
    <row r="104" spans="1:15" x14ac:dyDescent="0.3">
      <c r="A104" s="2" t="s">
        <v>161</v>
      </c>
      <c r="B104" s="1">
        <v>46030</v>
      </c>
      <c r="C104" s="2" t="s">
        <v>54</v>
      </c>
      <c r="D104" s="2" t="s">
        <v>60</v>
      </c>
      <c r="E104" s="2" t="s">
        <v>18</v>
      </c>
      <c r="F104" s="2" t="s">
        <v>27</v>
      </c>
      <c r="G104" s="2" t="s">
        <v>20</v>
      </c>
      <c r="H104" s="2" t="s">
        <v>21</v>
      </c>
      <c r="I104" s="2">
        <v>30</v>
      </c>
      <c r="J104" s="2">
        <v>88</v>
      </c>
      <c r="K104" s="2">
        <v>12919.07</v>
      </c>
      <c r="L104" s="2">
        <v>258.17</v>
      </c>
      <c r="M104" s="2">
        <v>167.67</v>
      </c>
      <c r="N104" s="2" t="s">
        <v>30</v>
      </c>
      <c r="O104" s="2">
        <v>2</v>
      </c>
    </row>
    <row r="105" spans="1:15" x14ac:dyDescent="0.3">
      <c r="A105" s="2" t="s">
        <v>162</v>
      </c>
      <c r="B105" s="1">
        <v>46049</v>
      </c>
      <c r="C105" s="2" t="s">
        <v>24</v>
      </c>
      <c r="D105" s="2" t="s">
        <v>60</v>
      </c>
      <c r="E105" s="2" t="s">
        <v>45</v>
      </c>
      <c r="F105" s="2" t="s">
        <v>27</v>
      </c>
      <c r="G105" s="2" t="s">
        <v>20</v>
      </c>
      <c r="H105" s="2" t="s">
        <v>29</v>
      </c>
      <c r="I105" s="2">
        <v>34</v>
      </c>
      <c r="J105" s="2">
        <v>109</v>
      </c>
      <c r="K105" s="2">
        <v>5477.86</v>
      </c>
      <c r="L105" s="2">
        <v>418.24</v>
      </c>
      <c r="M105" s="2">
        <v>196.27</v>
      </c>
      <c r="N105" s="2" t="s">
        <v>22</v>
      </c>
      <c r="O105" s="2">
        <v>3</v>
      </c>
    </row>
    <row r="106" spans="1:15" x14ac:dyDescent="0.3">
      <c r="A106" s="2" t="s">
        <v>163</v>
      </c>
      <c r="B106" s="1">
        <v>46191</v>
      </c>
      <c r="C106" s="2" t="s">
        <v>54</v>
      </c>
      <c r="D106" s="2" t="s">
        <v>82</v>
      </c>
      <c r="E106" s="2" t="s">
        <v>26</v>
      </c>
      <c r="F106" s="2" t="s">
        <v>39</v>
      </c>
      <c r="G106" s="2" t="s">
        <v>28</v>
      </c>
      <c r="H106" s="2" t="s">
        <v>21</v>
      </c>
      <c r="I106" s="2">
        <v>62</v>
      </c>
      <c r="J106" s="2">
        <v>35</v>
      </c>
      <c r="K106" s="2">
        <v>19966.439999999999</v>
      </c>
      <c r="L106" s="2">
        <v>357.5</v>
      </c>
      <c r="M106" s="2">
        <v>55.09</v>
      </c>
      <c r="N106" s="2" t="s">
        <v>30</v>
      </c>
      <c r="O106" s="2">
        <v>1</v>
      </c>
    </row>
    <row r="107" spans="1:15" x14ac:dyDescent="0.3">
      <c r="A107" s="2" t="s">
        <v>164</v>
      </c>
      <c r="B107" s="1">
        <v>46005</v>
      </c>
      <c r="C107" s="2" t="s">
        <v>54</v>
      </c>
      <c r="D107" s="2" t="s">
        <v>37</v>
      </c>
      <c r="E107" s="2" t="s">
        <v>58</v>
      </c>
      <c r="F107" s="2" t="s">
        <v>68</v>
      </c>
      <c r="G107" s="2" t="s">
        <v>35</v>
      </c>
      <c r="H107" s="2" t="s">
        <v>21</v>
      </c>
      <c r="I107" s="2">
        <v>66</v>
      </c>
      <c r="J107" s="2">
        <v>62</v>
      </c>
      <c r="K107" s="2">
        <v>31027.279999999999</v>
      </c>
      <c r="L107" s="2">
        <v>132.6</v>
      </c>
      <c r="M107" s="2">
        <v>193.55</v>
      </c>
      <c r="N107" s="2" t="s">
        <v>30</v>
      </c>
      <c r="O107" s="2">
        <v>2</v>
      </c>
    </row>
    <row r="108" spans="1:15" x14ac:dyDescent="0.3">
      <c r="A108" s="2" t="s">
        <v>165</v>
      </c>
      <c r="B108" s="1">
        <v>45979</v>
      </c>
      <c r="C108" s="2" t="s">
        <v>74</v>
      </c>
      <c r="D108" s="2" t="s">
        <v>33</v>
      </c>
      <c r="E108" s="2" t="s">
        <v>38</v>
      </c>
      <c r="F108" s="2" t="s">
        <v>27</v>
      </c>
      <c r="G108" s="2" t="s">
        <v>55</v>
      </c>
      <c r="H108" s="2" t="s">
        <v>52</v>
      </c>
      <c r="I108" s="2">
        <v>50</v>
      </c>
      <c r="J108" s="2">
        <v>1</v>
      </c>
      <c r="K108" s="2">
        <v>43109.55</v>
      </c>
      <c r="L108" s="2">
        <v>419.41</v>
      </c>
      <c r="M108" s="2">
        <v>64.31</v>
      </c>
      <c r="N108" s="2" t="s">
        <v>22</v>
      </c>
      <c r="O108" s="2">
        <v>5</v>
      </c>
    </row>
    <row r="109" spans="1:15" x14ac:dyDescent="0.3">
      <c r="A109" s="2" t="s">
        <v>166</v>
      </c>
      <c r="B109" s="1">
        <v>46067</v>
      </c>
      <c r="C109" s="2" t="s">
        <v>24</v>
      </c>
      <c r="D109" s="2" t="s">
        <v>25</v>
      </c>
      <c r="E109" s="2" t="s">
        <v>18</v>
      </c>
      <c r="F109" s="2" t="s">
        <v>19</v>
      </c>
      <c r="G109" s="2" t="s">
        <v>35</v>
      </c>
      <c r="H109" s="2" t="s">
        <v>52</v>
      </c>
      <c r="I109" s="2">
        <v>61</v>
      </c>
      <c r="J109" s="2">
        <v>100</v>
      </c>
      <c r="K109" s="2">
        <v>17636.75</v>
      </c>
      <c r="L109" s="2">
        <v>243</v>
      </c>
      <c r="M109" s="2">
        <v>199.65</v>
      </c>
      <c r="N109" s="2" t="s">
        <v>22</v>
      </c>
      <c r="O109" s="2">
        <v>5</v>
      </c>
    </row>
    <row r="110" spans="1:15" x14ac:dyDescent="0.3">
      <c r="A110" s="2" t="s">
        <v>167</v>
      </c>
      <c r="B110" s="1">
        <v>45948</v>
      </c>
      <c r="C110" s="2" t="s">
        <v>74</v>
      </c>
      <c r="D110" s="2" t="s">
        <v>25</v>
      </c>
      <c r="E110" s="2" t="s">
        <v>26</v>
      </c>
      <c r="F110" s="2" t="s">
        <v>39</v>
      </c>
      <c r="G110" s="2" t="s">
        <v>28</v>
      </c>
      <c r="H110" s="2" t="s">
        <v>52</v>
      </c>
      <c r="I110" s="2">
        <v>45</v>
      </c>
      <c r="J110" s="2">
        <v>25</v>
      </c>
      <c r="K110" s="2">
        <v>32862.44</v>
      </c>
      <c r="L110" s="2">
        <v>135.04</v>
      </c>
      <c r="M110" s="2">
        <v>199.23</v>
      </c>
      <c r="N110" s="2" t="s">
        <v>30</v>
      </c>
      <c r="O110" s="2">
        <v>1</v>
      </c>
    </row>
    <row r="111" spans="1:15" x14ac:dyDescent="0.3">
      <c r="A111" s="2" t="s">
        <v>168</v>
      </c>
      <c r="B111" s="1">
        <v>45971</v>
      </c>
      <c r="C111" s="2" t="s">
        <v>16</v>
      </c>
      <c r="D111" s="2" t="s">
        <v>86</v>
      </c>
      <c r="E111" s="2" t="s">
        <v>18</v>
      </c>
      <c r="F111" s="2" t="s">
        <v>39</v>
      </c>
      <c r="G111" s="2" t="s">
        <v>35</v>
      </c>
      <c r="H111" s="2" t="s">
        <v>56</v>
      </c>
      <c r="I111" s="2">
        <v>34</v>
      </c>
      <c r="J111" s="2">
        <v>45</v>
      </c>
      <c r="K111" s="2">
        <v>17834.830000000002</v>
      </c>
      <c r="L111" s="2">
        <v>176.81</v>
      </c>
      <c r="M111" s="2">
        <v>38.24</v>
      </c>
      <c r="N111" s="2" t="s">
        <v>22</v>
      </c>
      <c r="O111" s="2">
        <v>5</v>
      </c>
    </row>
    <row r="112" spans="1:15" x14ac:dyDescent="0.3">
      <c r="A112" s="2" t="s">
        <v>169</v>
      </c>
      <c r="B112" s="1">
        <v>45910</v>
      </c>
      <c r="C112" s="2" t="s">
        <v>43</v>
      </c>
      <c r="D112" s="2" t="s">
        <v>25</v>
      </c>
      <c r="E112" s="2" t="s">
        <v>26</v>
      </c>
      <c r="F112" s="2" t="s">
        <v>27</v>
      </c>
      <c r="G112" s="2" t="s">
        <v>35</v>
      </c>
      <c r="H112" s="2" t="s">
        <v>56</v>
      </c>
      <c r="I112" s="2">
        <v>55</v>
      </c>
      <c r="J112" s="2">
        <v>49</v>
      </c>
      <c r="K112" s="2">
        <v>31052.37</v>
      </c>
      <c r="L112" s="2">
        <v>170.39</v>
      </c>
      <c r="M112" s="2">
        <v>62.55</v>
      </c>
      <c r="N112" s="2" t="s">
        <v>22</v>
      </c>
      <c r="O112" s="2">
        <v>5</v>
      </c>
    </row>
    <row r="113" spans="1:15" x14ac:dyDescent="0.3">
      <c r="A113" s="2" t="s">
        <v>170</v>
      </c>
      <c r="B113" s="1">
        <v>46133</v>
      </c>
      <c r="C113" s="2" t="s">
        <v>16</v>
      </c>
      <c r="D113" s="2" t="s">
        <v>44</v>
      </c>
      <c r="E113" s="2" t="s">
        <v>26</v>
      </c>
      <c r="F113" s="2" t="s">
        <v>68</v>
      </c>
      <c r="G113" s="2" t="s">
        <v>28</v>
      </c>
      <c r="H113" s="2" t="s">
        <v>21</v>
      </c>
      <c r="I113" s="2">
        <v>72</v>
      </c>
      <c r="J113" s="2">
        <v>107</v>
      </c>
      <c r="K113" s="2">
        <v>44297.99</v>
      </c>
      <c r="L113" s="2">
        <v>283.64</v>
      </c>
      <c r="M113" s="2">
        <v>97.21</v>
      </c>
      <c r="N113" s="2" t="s">
        <v>22</v>
      </c>
      <c r="O113" s="2">
        <v>4</v>
      </c>
    </row>
    <row r="114" spans="1:15" x14ac:dyDescent="0.3">
      <c r="A114" s="2" t="s">
        <v>171</v>
      </c>
      <c r="B114" s="1">
        <v>45995</v>
      </c>
      <c r="C114" s="2" t="s">
        <v>43</v>
      </c>
      <c r="D114" s="2" t="s">
        <v>44</v>
      </c>
      <c r="E114" s="2" t="s">
        <v>58</v>
      </c>
      <c r="F114" s="2" t="s">
        <v>19</v>
      </c>
      <c r="G114" s="2" t="s">
        <v>20</v>
      </c>
      <c r="H114" s="2" t="s">
        <v>52</v>
      </c>
      <c r="I114" s="2">
        <v>68</v>
      </c>
      <c r="J114" s="2">
        <v>98</v>
      </c>
      <c r="K114" s="2">
        <v>11952.2</v>
      </c>
      <c r="L114" s="2">
        <v>155.47</v>
      </c>
      <c r="M114" s="2">
        <v>132.82</v>
      </c>
      <c r="N114" s="2" t="s">
        <v>30</v>
      </c>
      <c r="O114" s="2">
        <v>3</v>
      </c>
    </row>
    <row r="115" spans="1:15" x14ac:dyDescent="0.3">
      <c r="A115" s="2" t="s">
        <v>172</v>
      </c>
      <c r="B115" s="1">
        <v>45966</v>
      </c>
      <c r="C115" s="2" t="s">
        <v>74</v>
      </c>
      <c r="D115" s="2" t="s">
        <v>60</v>
      </c>
      <c r="E115" s="2" t="s">
        <v>18</v>
      </c>
      <c r="F115" s="2" t="s">
        <v>68</v>
      </c>
      <c r="G115" s="2" t="s">
        <v>55</v>
      </c>
      <c r="H115" s="2" t="s">
        <v>21</v>
      </c>
      <c r="I115" s="2">
        <v>54</v>
      </c>
      <c r="J115" s="2">
        <v>89</v>
      </c>
      <c r="K115" s="2">
        <v>20509.96</v>
      </c>
      <c r="L115" s="2">
        <v>105.6</v>
      </c>
      <c r="M115" s="2">
        <v>105.61</v>
      </c>
      <c r="N115" s="2" t="s">
        <v>30</v>
      </c>
      <c r="O115" s="2">
        <v>5</v>
      </c>
    </row>
    <row r="116" spans="1:15" x14ac:dyDescent="0.3">
      <c r="A116" s="2" t="s">
        <v>173</v>
      </c>
      <c r="B116" s="1">
        <v>45950</v>
      </c>
      <c r="C116" s="2" t="s">
        <v>16</v>
      </c>
      <c r="D116" s="2" t="s">
        <v>67</v>
      </c>
      <c r="E116" s="2" t="s">
        <v>18</v>
      </c>
      <c r="F116" s="2" t="s">
        <v>34</v>
      </c>
      <c r="G116" s="2" t="s">
        <v>28</v>
      </c>
      <c r="H116" s="2" t="s">
        <v>29</v>
      </c>
      <c r="I116" s="2">
        <v>30</v>
      </c>
      <c r="J116" s="2">
        <v>16</v>
      </c>
      <c r="K116" s="2">
        <v>49666.63</v>
      </c>
      <c r="L116" s="2">
        <v>105.66</v>
      </c>
      <c r="M116" s="2">
        <v>290.83</v>
      </c>
      <c r="N116" s="2" t="s">
        <v>30</v>
      </c>
      <c r="O116" s="2">
        <v>4</v>
      </c>
    </row>
    <row r="117" spans="1:15" x14ac:dyDescent="0.3">
      <c r="A117" s="2" t="s">
        <v>174</v>
      </c>
      <c r="B117" s="1">
        <v>45941</v>
      </c>
      <c r="C117" s="2" t="s">
        <v>24</v>
      </c>
      <c r="D117" s="2" t="s">
        <v>82</v>
      </c>
      <c r="E117" s="2" t="s">
        <v>38</v>
      </c>
      <c r="F117" s="2" t="s">
        <v>34</v>
      </c>
      <c r="G117" s="2" t="s">
        <v>64</v>
      </c>
      <c r="H117" s="2" t="s">
        <v>29</v>
      </c>
      <c r="I117" s="2">
        <v>55</v>
      </c>
      <c r="J117" s="2">
        <v>98</v>
      </c>
      <c r="K117" s="2">
        <v>43493.57</v>
      </c>
      <c r="L117" s="2">
        <v>312.47000000000003</v>
      </c>
      <c r="M117" s="2">
        <v>217.2</v>
      </c>
      <c r="N117" s="2" t="s">
        <v>22</v>
      </c>
      <c r="O117" s="2">
        <v>2</v>
      </c>
    </row>
    <row r="118" spans="1:15" x14ac:dyDescent="0.3">
      <c r="A118" s="2" t="s">
        <v>175</v>
      </c>
      <c r="B118" s="1">
        <v>46192</v>
      </c>
      <c r="C118" s="2" t="s">
        <v>90</v>
      </c>
      <c r="D118" s="2" t="s">
        <v>62</v>
      </c>
      <c r="E118" s="2" t="s">
        <v>38</v>
      </c>
      <c r="F118" s="2" t="s">
        <v>27</v>
      </c>
      <c r="G118" s="2" t="s">
        <v>20</v>
      </c>
      <c r="H118" s="2" t="s">
        <v>52</v>
      </c>
      <c r="I118" s="2">
        <v>31</v>
      </c>
      <c r="J118" s="2">
        <v>93</v>
      </c>
      <c r="K118" s="2">
        <v>28449.67</v>
      </c>
      <c r="L118" s="2">
        <v>380.64</v>
      </c>
      <c r="M118" s="2">
        <v>42.41</v>
      </c>
      <c r="N118" s="2" t="s">
        <v>30</v>
      </c>
      <c r="O118" s="2">
        <v>5</v>
      </c>
    </row>
    <row r="119" spans="1:15" x14ac:dyDescent="0.3">
      <c r="A119" s="2" t="s">
        <v>176</v>
      </c>
      <c r="B119" s="1">
        <v>45970</v>
      </c>
      <c r="C119" s="2" t="s">
        <v>74</v>
      </c>
      <c r="D119" s="2" t="s">
        <v>86</v>
      </c>
      <c r="E119" s="2" t="s">
        <v>58</v>
      </c>
      <c r="F119" s="2" t="s">
        <v>27</v>
      </c>
      <c r="G119" s="2" t="s">
        <v>64</v>
      </c>
      <c r="H119" s="2" t="s">
        <v>52</v>
      </c>
      <c r="I119" s="2">
        <v>31</v>
      </c>
      <c r="J119" s="2">
        <v>19</v>
      </c>
      <c r="K119" s="2">
        <v>26073.07</v>
      </c>
      <c r="L119" s="2">
        <v>194.69</v>
      </c>
      <c r="M119" s="2">
        <v>21.02</v>
      </c>
      <c r="N119" s="2" t="s">
        <v>22</v>
      </c>
      <c r="O119" s="2">
        <v>2</v>
      </c>
    </row>
    <row r="120" spans="1:15" x14ac:dyDescent="0.3">
      <c r="A120" s="2" t="s">
        <v>177</v>
      </c>
      <c r="B120" s="1">
        <v>45994</v>
      </c>
      <c r="C120" s="2" t="s">
        <v>43</v>
      </c>
      <c r="D120" s="2" t="s">
        <v>17</v>
      </c>
      <c r="E120" s="2" t="s">
        <v>58</v>
      </c>
      <c r="F120" s="2" t="s">
        <v>27</v>
      </c>
      <c r="G120" s="2" t="s">
        <v>20</v>
      </c>
      <c r="H120" s="2" t="s">
        <v>29</v>
      </c>
      <c r="I120" s="2">
        <v>41</v>
      </c>
      <c r="J120" s="2">
        <v>23</v>
      </c>
      <c r="K120" s="2">
        <v>14587.72</v>
      </c>
      <c r="L120" s="2">
        <v>65.59</v>
      </c>
      <c r="M120" s="2">
        <v>206.52</v>
      </c>
      <c r="N120" s="2" t="s">
        <v>30</v>
      </c>
      <c r="O120" s="2">
        <v>5</v>
      </c>
    </row>
    <row r="121" spans="1:15" x14ac:dyDescent="0.3">
      <c r="A121" s="2" t="s">
        <v>178</v>
      </c>
      <c r="B121" s="1">
        <v>46002</v>
      </c>
      <c r="C121" s="2" t="s">
        <v>32</v>
      </c>
      <c r="D121" s="2" t="s">
        <v>51</v>
      </c>
      <c r="E121" s="2" t="s">
        <v>45</v>
      </c>
      <c r="F121" s="2" t="s">
        <v>34</v>
      </c>
      <c r="G121" s="2" t="s">
        <v>55</v>
      </c>
      <c r="H121" s="2" t="s">
        <v>52</v>
      </c>
      <c r="I121" s="2">
        <v>41</v>
      </c>
      <c r="J121" s="2">
        <v>83</v>
      </c>
      <c r="K121" s="2">
        <v>26101.87</v>
      </c>
      <c r="L121" s="2">
        <v>107.25</v>
      </c>
      <c r="M121" s="2">
        <v>31.69</v>
      </c>
      <c r="N121" s="2" t="s">
        <v>30</v>
      </c>
      <c r="O121" s="2">
        <v>1</v>
      </c>
    </row>
    <row r="122" spans="1:15" x14ac:dyDescent="0.3">
      <c r="A122" s="2" t="s">
        <v>179</v>
      </c>
      <c r="B122" s="1">
        <v>46107</v>
      </c>
      <c r="C122" s="2" t="s">
        <v>43</v>
      </c>
      <c r="D122" s="2" t="s">
        <v>67</v>
      </c>
      <c r="E122" s="2" t="s">
        <v>38</v>
      </c>
      <c r="F122" s="2" t="s">
        <v>68</v>
      </c>
      <c r="G122" s="2" t="s">
        <v>55</v>
      </c>
      <c r="H122" s="2" t="s">
        <v>56</v>
      </c>
      <c r="I122" s="2">
        <v>42</v>
      </c>
      <c r="J122" s="2">
        <v>25</v>
      </c>
      <c r="K122" s="2">
        <v>42484.98</v>
      </c>
      <c r="L122" s="2">
        <v>461.61</v>
      </c>
      <c r="M122" s="2">
        <v>157.54</v>
      </c>
      <c r="N122" s="2" t="s">
        <v>30</v>
      </c>
      <c r="O122" s="2">
        <v>4</v>
      </c>
    </row>
    <row r="123" spans="1:15" x14ac:dyDescent="0.3">
      <c r="A123" s="2" t="s">
        <v>180</v>
      </c>
      <c r="B123" s="1">
        <v>46012</v>
      </c>
      <c r="C123" s="2" t="s">
        <v>32</v>
      </c>
      <c r="D123" s="2" t="s">
        <v>17</v>
      </c>
      <c r="E123" s="2" t="s">
        <v>26</v>
      </c>
      <c r="F123" s="2" t="s">
        <v>68</v>
      </c>
      <c r="G123" s="2" t="s">
        <v>35</v>
      </c>
      <c r="H123" s="2" t="s">
        <v>56</v>
      </c>
      <c r="I123" s="2">
        <v>65</v>
      </c>
      <c r="J123" s="2">
        <v>16</v>
      </c>
      <c r="K123" s="2">
        <v>34416.14</v>
      </c>
      <c r="L123" s="2">
        <v>272.08999999999997</v>
      </c>
      <c r="M123" s="2">
        <v>62.21</v>
      </c>
      <c r="N123" s="2" t="s">
        <v>22</v>
      </c>
      <c r="O123" s="2">
        <v>4</v>
      </c>
    </row>
    <row r="124" spans="1:15" x14ac:dyDescent="0.3">
      <c r="A124" s="2" t="s">
        <v>181</v>
      </c>
      <c r="B124" s="1">
        <v>46194</v>
      </c>
      <c r="C124" s="2" t="s">
        <v>54</v>
      </c>
      <c r="D124" s="2" t="s">
        <v>67</v>
      </c>
      <c r="E124" s="2" t="s">
        <v>18</v>
      </c>
      <c r="F124" s="2" t="s">
        <v>27</v>
      </c>
      <c r="G124" s="2" t="s">
        <v>64</v>
      </c>
      <c r="H124" s="2" t="s">
        <v>52</v>
      </c>
      <c r="I124" s="2">
        <v>27</v>
      </c>
      <c r="J124" s="2">
        <v>54</v>
      </c>
      <c r="K124" s="2">
        <v>14857.18</v>
      </c>
      <c r="L124" s="2">
        <v>254.11</v>
      </c>
      <c r="M124" s="2">
        <v>65.38</v>
      </c>
      <c r="N124" s="2" t="s">
        <v>30</v>
      </c>
      <c r="O124" s="2">
        <v>1</v>
      </c>
    </row>
    <row r="125" spans="1:15" x14ac:dyDescent="0.3">
      <c r="A125" s="2" t="s">
        <v>182</v>
      </c>
      <c r="B125" s="1">
        <v>46208</v>
      </c>
      <c r="C125" s="2" t="s">
        <v>16</v>
      </c>
      <c r="D125" s="2" t="s">
        <v>67</v>
      </c>
      <c r="E125" s="2" t="s">
        <v>58</v>
      </c>
      <c r="F125" s="2" t="s">
        <v>19</v>
      </c>
      <c r="G125" s="2" t="s">
        <v>20</v>
      </c>
      <c r="H125" s="2" t="s">
        <v>29</v>
      </c>
      <c r="I125" s="2">
        <v>37</v>
      </c>
      <c r="J125" s="2">
        <v>115</v>
      </c>
      <c r="K125" s="2">
        <v>10472.459999999999</v>
      </c>
      <c r="L125" s="2">
        <v>67.12</v>
      </c>
      <c r="M125" s="2">
        <v>3.24</v>
      </c>
      <c r="N125" s="2" t="s">
        <v>22</v>
      </c>
      <c r="O125" s="2">
        <v>3</v>
      </c>
    </row>
    <row r="126" spans="1:15" x14ac:dyDescent="0.3">
      <c r="A126" s="2" t="s">
        <v>183</v>
      </c>
      <c r="B126" s="1">
        <v>45894</v>
      </c>
      <c r="C126" s="2" t="s">
        <v>32</v>
      </c>
      <c r="D126" s="2" t="s">
        <v>67</v>
      </c>
      <c r="E126" s="2" t="s">
        <v>18</v>
      </c>
      <c r="F126" s="2" t="s">
        <v>68</v>
      </c>
      <c r="G126" s="2" t="s">
        <v>55</v>
      </c>
      <c r="H126" s="2" t="s">
        <v>21</v>
      </c>
      <c r="I126" s="2">
        <v>22</v>
      </c>
      <c r="J126" s="2">
        <v>73</v>
      </c>
      <c r="K126" s="2">
        <v>13627.82</v>
      </c>
      <c r="L126" s="2">
        <v>377.89</v>
      </c>
      <c r="M126" s="2">
        <v>140.19999999999999</v>
      </c>
      <c r="N126" s="2" t="s">
        <v>30</v>
      </c>
      <c r="O126" s="2">
        <v>4</v>
      </c>
    </row>
    <row r="127" spans="1:15" x14ac:dyDescent="0.3">
      <c r="A127" s="2" t="s">
        <v>184</v>
      </c>
      <c r="B127" s="1">
        <v>45911</v>
      </c>
      <c r="C127" s="2" t="s">
        <v>43</v>
      </c>
      <c r="D127" s="2" t="s">
        <v>60</v>
      </c>
      <c r="E127" s="2" t="s">
        <v>18</v>
      </c>
      <c r="F127" s="2" t="s">
        <v>34</v>
      </c>
      <c r="G127" s="2" t="s">
        <v>28</v>
      </c>
      <c r="H127" s="2" t="s">
        <v>52</v>
      </c>
      <c r="I127" s="2">
        <v>32</v>
      </c>
      <c r="J127" s="2">
        <v>1</v>
      </c>
      <c r="K127" s="2">
        <v>8903.08</v>
      </c>
      <c r="L127" s="2">
        <v>287.63</v>
      </c>
      <c r="M127" s="2">
        <v>22.65</v>
      </c>
      <c r="N127" s="2" t="s">
        <v>22</v>
      </c>
      <c r="O127" s="2">
        <v>2</v>
      </c>
    </row>
    <row r="128" spans="1:15" x14ac:dyDescent="0.3">
      <c r="A128" s="2" t="s">
        <v>185</v>
      </c>
      <c r="B128" s="1">
        <v>46164</v>
      </c>
      <c r="C128" s="2" t="s">
        <v>54</v>
      </c>
      <c r="D128" s="2" t="s">
        <v>25</v>
      </c>
      <c r="E128" s="2" t="s">
        <v>45</v>
      </c>
      <c r="F128" s="2" t="s">
        <v>39</v>
      </c>
      <c r="G128" s="2" t="s">
        <v>55</v>
      </c>
      <c r="H128" s="2" t="s">
        <v>52</v>
      </c>
      <c r="I128" s="2">
        <v>62</v>
      </c>
      <c r="J128" s="2">
        <v>42</v>
      </c>
      <c r="K128" s="2">
        <v>5234.21</v>
      </c>
      <c r="L128" s="2">
        <v>140.94</v>
      </c>
      <c r="M128" s="2">
        <v>154.58000000000001</v>
      </c>
      <c r="N128" s="2" t="s">
        <v>22</v>
      </c>
      <c r="O128" s="2">
        <v>4</v>
      </c>
    </row>
    <row r="129" spans="1:15" x14ac:dyDescent="0.3">
      <c r="A129" s="2" t="s">
        <v>186</v>
      </c>
      <c r="B129" s="1">
        <v>46042</v>
      </c>
      <c r="C129" s="2" t="s">
        <v>90</v>
      </c>
      <c r="D129" s="2" t="s">
        <v>82</v>
      </c>
      <c r="E129" s="2" t="s">
        <v>38</v>
      </c>
      <c r="F129" s="2" t="s">
        <v>39</v>
      </c>
      <c r="G129" s="2" t="s">
        <v>28</v>
      </c>
      <c r="H129" s="2" t="s">
        <v>21</v>
      </c>
      <c r="I129" s="2">
        <v>38</v>
      </c>
      <c r="J129" s="2">
        <v>19</v>
      </c>
      <c r="K129" s="2">
        <v>21247.24</v>
      </c>
      <c r="L129" s="2">
        <v>99.53</v>
      </c>
      <c r="M129" s="2">
        <v>98.37</v>
      </c>
      <c r="N129" s="2" t="s">
        <v>22</v>
      </c>
      <c r="O129" s="2">
        <v>3</v>
      </c>
    </row>
    <row r="130" spans="1:15" x14ac:dyDescent="0.3">
      <c r="A130" s="2" t="s">
        <v>187</v>
      </c>
      <c r="B130" s="1">
        <v>46149</v>
      </c>
      <c r="C130" s="2" t="s">
        <v>24</v>
      </c>
      <c r="D130" s="2" t="s">
        <v>62</v>
      </c>
      <c r="E130" s="2" t="s">
        <v>58</v>
      </c>
      <c r="F130" s="2" t="s">
        <v>39</v>
      </c>
      <c r="G130" s="2" t="s">
        <v>20</v>
      </c>
      <c r="H130" s="2" t="s">
        <v>52</v>
      </c>
      <c r="I130" s="2">
        <v>74</v>
      </c>
      <c r="J130" s="2">
        <v>97</v>
      </c>
      <c r="K130" s="2">
        <v>6108.33</v>
      </c>
      <c r="L130" s="2">
        <v>222.52</v>
      </c>
      <c r="M130" s="2">
        <v>156.86000000000001</v>
      </c>
      <c r="N130" s="2" t="s">
        <v>22</v>
      </c>
      <c r="O130" s="2">
        <v>2</v>
      </c>
    </row>
    <row r="131" spans="1:15" x14ac:dyDescent="0.3">
      <c r="A131" s="2" t="s">
        <v>188</v>
      </c>
      <c r="B131" s="1">
        <v>45915</v>
      </c>
      <c r="C131" s="2" t="s">
        <v>24</v>
      </c>
      <c r="D131" s="2" t="s">
        <v>25</v>
      </c>
      <c r="E131" s="2" t="s">
        <v>18</v>
      </c>
      <c r="F131" s="2" t="s">
        <v>19</v>
      </c>
      <c r="G131" s="2" t="s">
        <v>55</v>
      </c>
      <c r="H131" s="2" t="s">
        <v>21</v>
      </c>
      <c r="I131" s="2">
        <v>31</v>
      </c>
      <c r="J131" s="2">
        <v>34</v>
      </c>
      <c r="K131" s="2">
        <v>9009.67</v>
      </c>
      <c r="L131" s="2">
        <v>426.72</v>
      </c>
      <c r="M131" s="2">
        <v>116.79</v>
      </c>
      <c r="N131" s="2" t="s">
        <v>30</v>
      </c>
      <c r="O131" s="2">
        <v>2</v>
      </c>
    </row>
    <row r="132" spans="1:15" x14ac:dyDescent="0.3">
      <c r="A132" s="2" t="s">
        <v>189</v>
      </c>
      <c r="B132" s="1">
        <v>46123</v>
      </c>
      <c r="C132" s="2" t="s">
        <v>24</v>
      </c>
      <c r="D132" s="2" t="s">
        <v>67</v>
      </c>
      <c r="E132" s="2" t="s">
        <v>58</v>
      </c>
      <c r="F132" s="2" t="s">
        <v>27</v>
      </c>
      <c r="G132" s="2" t="s">
        <v>55</v>
      </c>
      <c r="H132" s="2" t="s">
        <v>29</v>
      </c>
      <c r="I132" s="2">
        <v>36</v>
      </c>
      <c r="J132" s="2">
        <v>80</v>
      </c>
      <c r="K132" s="2">
        <v>27592.57</v>
      </c>
      <c r="L132" s="2">
        <v>439.38</v>
      </c>
      <c r="M132" s="2">
        <v>24.74</v>
      </c>
      <c r="N132" s="2" t="s">
        <v>30</v>
      </c>
      <c r="O132" s="2">
        <v>1</v>
      </c>
    </row>
    <row r="133" spans="1:15" x14ac:dyDescent="0.3">
      <c r="A133" s="2" t="s">
        <v>190</v>
      </c>
      <c r="B133" s="1">
        <v>45894</v>
      </c>
      <c r="C133" s="2" t="s">
        <v>32</v>
      </c>
      <c r="D133" s="2" t="s">
        <v>47</v>
      </c>
      <c r="E133" s="2" t="s">
        <v>26</v>
      </c>
      <c r="F133" s="2" t="s">
        <v>34</v>
      </c>
      <c r="G133" s="2" t="s">
        <v>20</v>
      </c>
      <c r="H133" s="2" t="s">
        <v>56</v>
      </c>
      <c r="I133" s="2">
        <v>69</v>
      </c>
      <c r="J133" s="2">
        <v>108</v>
      </c>
      <c r="K133" s="2">
        <v>8647.66</v>
      </c>
      <c r="L133" s="2">
        <v>321.27999999999997</v>
      </c>
      <c r="M133" s="2">
        <v>153.13</v>
      </c>
      <c r="N133" s="2" t="s">
        <v>30</v>
      </c>
      <c r="O133" s="2">
        <v>5</v>
      </c>
    </row>
    <row r="134" spans="1:15" x14ac:dyDescent="0.3">
      <c r="A134" s="2" t="s">
        <v>191</v>
      </c>
      <c r="B134" s="1">
        <v>45917</v>
      </c>
      <c r="C134" s="2" t="s">
        <v>90</v>
      </c>
      <c r="D134" s="2" t="s">
        <v>37</v>
      </c>
      <c r="E134" s="2" t="s">
        <v>45</v>
      </c>
      <c r="F134" s="2" t="s">
        <v>19</v>
      </c>
      <c r="G134" s="2" t="s">
        <v>55</v>
      </c>
      <c r="H134" s="2" t="s">
        <v>29</v>
      </c>
      <c r="I134" s="2">
        <v>71</v>
      </c>
      <c r="J134" s="2">
        <v>104</v>
      </c>
      <c r="K134" s="2">
        <v>3662.05</v>
      </c>
      <c r="L134" s="2">
        <v>377.39</v>
      </c>
      <c r="M134" s="2">
        <v>20.94</v>
      </c>
      <c r="N134" s="2" t="s">
        <v>30</v>
      </c>
      <c r="O134" s="2">
        <v>1</v>
      </c>
    </row>
    <row r="135" spans="1:15" x14ac:dyDescent="0.3">
      <c r="A135" s="2" t="s">
        <v>192</v>
      </c>
      <c r="B135" s="1">
        <v>45965</v>
      </c>
      <c r="C135" s="2" t="s">
        <v>32</v>
      </c>
      <c r="D135" s="2" t="s">
        <v>17</v>
      </c>
      <c r="E135" s="2" t="s">
        <v>26</v>
      </c>
      <c r="F135" s="2" t="s">
        <v>34</v>
      </c>
      <c r="G135" s="2" t="s">
        <v>28</v>
      </c>
      <c r="H135" s="2" t="s">
        <v>56</v>
      </c>
      <c r="I135" s="2">
        <v>38</v>
      </c>
      <c r="J135" s="2">
        <v>55</v>
      </c>
      <c r="K135" s="2">
        <v>16210.75</v>
      </c>
      <c r="L135" s="2">
        <v>101.82</v>
      </c>
      <c r="M135" s="2">
        <v>95.74</v>
      </c>
      <c r="N135" s="2" t="s">
        <v>22</v>
      </c>
      <c r="O135" s="2">
        <v>5</v>
      </c>
    </row>
    <row r="136" spans="1:15" x14ac:dyDescent="0.3">
      <c r="A136" s="2" t="s">
        <v>193</v>
      </c>
      <c r="B136" s="1">
        <v>46064</v>
      </c>
      <c r="C136" s="2" t="s">
        <v>16</v>
      </c>
      <c r="D136" s="2" t="s">
        <v>33</v>
      </c>
      <c r="E136" s="2" t="s">
        <v>58</v>
      </c>
      <c r="F136" s="2" t="s">
        <v>34</v>
      </c>
      <c r="G136" s="2" t="s">
        <v>55</v>
      </c>
      <c r="H136" s="2" t="s">
        <v>21</v>
      </c>
      <c r="I136" s="2">
        <v>55</v>
      </c>
      <c r="J136" s="2">
        <v>18</v>
      </c>
      <c r="K136" s="2">
        <v>11405.8</v>
      </c>
      <c r="L136" s="2">
        <v>314.66000000000003</v>
      </c>
      <c r="M136" s="2">
        <v>34.47</v>
      </c>
      <c r="N136" s="2" t="s">
        <v>30</v>
      </c>
      <c r="O136" s="2">
        <v>1</v>
      </c>
    </row>
    <row r="137" spans="1:15" x14ac:dyDescent="0.3">
      <c r="A137" s="2" t="s">
        <v>194</v>
      </c>
      <c r="B137" s="1">
        <v>45888</v>
      </c>
      <c r="C137" s="2" t="s">
        <v>32</v>
      </c>
      <c r="D137" s="2" t="s">
        <v>78</v>
      </c>
      <c r="E137" s="2" t="s">
        <v>58</v>
      </c>
      <c r="F137" s="2" t="s">
        <v>27</v>
      </c>
      <c r="G137" s="2" t="s">
        <v>64</v>
      </c>
      <c r="H137" s="2" t="s">
        <v>56</v>
      </c>
      <c r="I137" s="2">
        <v>73</v>
      </c>
      <c r="J137" s="2">
        <v>34</v>
      </c>
      <c r="K137" s="2">
        <v>26007.61</v>
      </c>
      <c r="L137" s="2">
        <v>350.13</v>
      </c>
      <c r="M137" s="2">
        <v>150.47</v>
      </c>
      <c r="N137" s="2" t="s">
        <v>30</v>
      </c>
      <c r="O137" s="2">
        <v>5</v>
      </c>
    </row>
    <row r="138" spans="1:15" x14ac:dyDescent="0.3">
      <c r="A138" s="2" t="s">
        <v>195</v>
      </c>
      <c r="B138" s="1">
        <v>45903</v>
      </c>
      <c r="C138" s="2" t="s">
        <v>90</v>
      </c>
      <c r="D138" s="2" t="s">
        <v>25</v>
      </c>
      <c r="E138" s="2" t="s">
        <v>38</v>
      </c>
      <c r="F138" s="2" t="s">
        <v>39</v>
      </c>
      <c r="G138" s="2" t="s">
        <v>35</v>
      </c>
      <c r="H138" s="2" t="s">
        <v>29</v>
      </c>
      <c r="I138" s="2">
        <v>46</v>
      </c>
      <c r="J138" s="2">
        <v>89</v>
      </c>
      <c r="K138" s="2">
        <v>5567.17</v>
      </c>
      <c r="L138" s="2">
        <v>140.32</v>
      </c>
      <c r="M138" s="2">
        <v>273.48</v>
      </c>
      <c r="N138" s="2" t="s">
        <v>30</v>
      </c>
      <c r="O138" s="2">
        <v>4</v>
      </c>
    </row>
    <row r="139" spans="1:15" x14ac:dyDescent="0.3">
      <c r="A139" s="2" t="s">
        <v>196</v>
      </c>
      <c r="B139" s="1">
        <v>45930</v>
      </c>
      <c r="C139" s="2" t="s">
        <v>90</v>
      </c>
      <c r="D139" s="2" t="s">
        <v>51</v>
      </c>
      <c r="E139" s="2" t="s">
        <v>18</v>
      </c>
      <c r="F139" s="2" t="s">
        <v>27</v>
      </c>
      <c r="G139" s="2" t="s">
        <v>28</v>
      </c>
      <c r="H139" s="2" t="s">
        <v>56</v>
      </c>
      <c r="I139" s="2">
        <v>36</v>
      </c>
      <c r="J139" s="2">
        <v>45</v>
      </c>
      <c r="K139" s="2">
        <v>37712.65</v>
      </c>
      <c r="L139" s="2">
        <v>446.07</v>
      </c>
      <c r="M139" s="2">
        <v>110.83</v>
      </c>
      <c r="N139" s="2" t="s">
        <v>30</v>
      </c>
      <c r="O139" s="2">
        <v>2</v>
      </c>
    </row>
    <row r="140" spans="1:15" x14ac:dyDescent="0.3">
      <c r="A140" s="2" t="s">
        <v>197</v>
      </c>
      <c r="B140" s="1">
        <v>46117</v>
      </c>
      <c r="C140" s="2" t="s">
        <v>16</v>
      </c>
      <c r="D140" s="2" t="s">
        <v>60</v>
      </c>
      <c r="E140" s="2" t="s">
        <v>18</v>
      </c>
      <c r="F140" s="2" t="s">
        <v>19</v>
      </c>
      <c r="G140" s="2" t="s">
        <v>64</v>
      </c>
      <c r="H140" s="2" t="s">
        <v>21</v>
      </c>
      <c r="I140" s="2">
        <v>26</v>
      </c>
      <c r="J140" s="2">
        <v>6</v>
      </c>
      <c r="K140" s="2">
        <v>45358.559999999998</v>
      </c>
      <c r="L140" s="2">
        <v>137.75</v>
      </c>
      <c r="M140" s="2">
        <v>105.43</v>
      </c>
      <c r="N140" s="2" t="s">
        <v>30</v>
      </c>
      <c r="O140" s="2">
        <v>5</v>
      </c>
    </row>
    <row r="141" spans="1:15" x14ac:dyDescent="0.3">
      <c r="A141" s="2" t="s">
        <v>198</v>
      </c>
      <c r="B141" s="1">
        <v>45944</v>
      </c>
      <c r="C141" s="2" t="s">
        <v>90</v>
      </c>
      <c r="D141" s="2" t="s">
        <v>86</v>
      </c>
      <c r="E141" s="2" t="s">
        <v>26</v>
      </c>
      <c r="F141" s="2" t="s">
        <v>19</v>
      </c>
      <c r="G141" s="2" t="s">
        <v>20</v>
      </c>
      <c r="H141" s="2" t="s">
        <v>56</v>
      </c>
      <c r="I141" s="2">
        <v>64</v>
      </c>
      <c r="J141" s="2">
        <v>21</v>
      </c>
      <c r="K141" s="2">
        <v>37300.04</v>
      </c>
      <c r="L141" s="2">
        <v>191.06</v>
      </c>
      <c r="M141" s="2">
        <v>152.79</v>
      </c>
      <c r="N141" s="2" t="s">
        <v>22</v>
      </c>
      <c r="O141" s="2">
        <v>4</v>
      </c>
    </row>
    <row r="142" spans="1:15" x14ac:dyDescent="0.3">
      <c r="A142" s="2" t="s">
        <v>199</v>
      </c>
      <c r="B142" s="1">
        <v>46225</v>
      </c>
      <c r="C142" s="2" t="s">
        <v>43</v>
      </c>
      <c r="D142" s="2" t="s">
        <v>76</v>
      </c>
      <c r="E142" s="2" t="s">
        <v>45</v>
      </c>
      <c r="F142" s="2" t="s">
        <v>19</v>
      </c>
      <c r="G142" s="2" t="s">
        <v>28</v>
      </c>
      <c r="H142" s="2" t="s">
        <v>52</v>
      </c>
      <c r="I142" s="2">
        <v>63</v>
      </c>
      <c r="J142" s="2">
        <v>70</v>
      </c>
      <c r="K142" s="2">
        <v>26874.94</v>
      </c>
      <c r="L142" s="2">
        <v>329.25</v>
      </c>
      <c r="M142" s="2">
        <v>1.02</v>
      </c>
      <c r="N142" s="2" t="s">
        <v>30</v>
      </c>
      <c r="O142" s="2">
        <v>3</v>
      </c>
    </row>
    <row r="143" spans="1:15" x14ac:dyDescent="0.3">
      <c r="A143" s="2" t="s">
        <v>200</v>
      </c>
      <c r="B143" s="1">
        <v>46055</v>
      </c>
      <c r="C143" s="2" t="s">
        <v>90</v>
      </c>
      <c r="D143" s="2" t="s">
        <v>62</v>
      </c>
      <c r="E143" s="2" t="s">
        <v>18</v>
      </c>
      <c r="F143" s="2" t="s">
        <v>27</v>
      </c>
      <c r="G143" s="2" t="s">
        <v>35</v>
      </c>
      <c r="H143" s="2" t="s">
        <v>29</v>
      </c>
      <c r="I143" s="2">
        <v>67</v>
      </c>
      <c r="J143" s="2">
        <v>96</v>
      </c>
      <c r="K143" s="2">
        <v>43103.06</v>
      </c>
      <c r="L143" s="2">
        <v>337.26</v>
      </c>
      <c r="M143" s="2">
        <v>275.33</v>
      </c>
      <c r="N143" s="2" t="s">
        <v>30</v>
      </c>
      <c r="O143" s="2">
        <v>1</v>
      </c>
    </row>
    <row r="144" spans="1:15" x14ac:dyDescent="0.3">
      <c r="A144" s="2" t="s">
        <v>201</v>
      </c>
      <c r="B144" s="1">
        <v>46161</v>
      </c>
      <c r="C144" s="2" t="s">
        <v>24</v>
      </c>
      <c r="D144" s="2" t="s">
        <v>33</v>
      </c>
      <c r="E144" s="2" t="s">
        <v>38</v>
      </c>
      <c r="F144" s="2" t="s">
        <v>34</v>
      </c>
      <c r="G144" s="2" t="s">
        <v>35</v>
      </c>
      <c r="H144" s="2" t="s">
        <v>52</v>
      </c>
      <c r="I144" s="2">
        <v>67</v>
      </c>
      <c r="J144" s="2">
        <v>105</v>
      </c>
      <c r="K144" s="2">
        <v>34898.46</v>
      </c>
      <c r="L144" s="2">
        <v>364.72</v>
      </c>
      <c r="M144" s="2">
        <v>39.49</v>
      </c>
      <c r="N144" s="2" t="s">
        <v>30</v>
      </c>
      <c r="O144" s="2">
        <v>3</v>
      </c>
    </row>
    <row r="145" spans="1:15" x14ac:dyDescent="0.3">
      <c r="A145" s="2" t="s">
        <v>202</v>
      </c>
      <c r="B145" s="1">
        <v>46064</v>
      </c>
      <c r="C145" s="2" t="s">
        <v>43</v>
      </c>
      <c r="D145" s="2" t="s">
        <v>44</v>
      </c>
      <c r="E145" s="2" t="s">
        <v>26</v>
      </c>
      <c r="F145" s="2" t="s">
        <v>34</v>
      </c>
      <c r="G145" s="2" t="s">
        <v>20</v>
      </c>
      <c r="H145" s="2" t="s">
        <v>21</v>
      </c>
      <c r="I145" s="2">
        <v>68</v>
      </c>
      <c r="J145" s="2">
        <v>48</v>
      </c>
      <c r="K145" s="2">
        <v>1022.28</v>
      </c>
      <c r="L145" s="2">
        <v>100.41</v>
      </c>
      <c r="M145" s="2">
        <v>196.82</v>
      </c>
      <c r="N145" s="2" t="s">
        <v>22</v>
      </c>
      <c r="O145" s="2">
        <v>4</v>
      </c>
    </row>
    <row r="146" spans="1:15" x14ac:dyDescent="0.3">
      <c r="A146" s="2" t="s">
        <v>203</v>
      </c>
      <c r="B146" s="1">
        <v>46014</v>
      </c>
      <c r="C146" s="2" t="s">
        <v>43</v>
      </c>
      <c r="D146" s="2" t="s">
        <v>49</v>
      </c>
      <c r="E146" s="2" t="s">
        <v>26</v>
      </c>
      <c r="F146" s="2" t="s">
        <v>68</v>
      </c>
      <c r="G146" s="2" t="s">
        <v>20</v>
      </c>
      <c r="H146" s="2" t="s">
        <v>56</v>
      </c>
      <c r="I146" s="2">
        <v>62</v>
      </c>
      <c r="J146" s="2">
        <v>107</v>
      </c>
      <c r="K146" s="2">
        <v>20007.46</v>
      </c>
      <c r="L146" s="2">
        <v>432.26</v>
      </c>
      <c r="M146" s="2">
        <v>147.25</v>
      </c>
      <c r="N146" s="2" t="s">
        <v>30</v>
      </c>
      <c r="O146" s="2">
        <v>3</v>
      </c>
    </row>
    <row r="147" spans="1:15" x14ac:dyDescent="0.3">
      <c r="A147" s="2" t="s">
        <v>204</v>
      </c>
      <c r="B147" s="1">
        <v>46131</v>
      </c>
      <c r="C147" s="2" t="s">
        <v>16</v>
      </c>
      <c r="D147" s="2" t="s">
        <v>47</v>
      </c>
      <c r="E147" s="2" t="s">
        <v>38</v>
      </c>
      <c r="F147" s="2" t="s">
        <v>19</v>
      </c>
      <c r="G147" s="2" t="s">
        <v>28</v>
      </c>
      <c r="H147" s="2" t="s">
        <v>52</v>
      </c>
      <c r="I147" s="2">
        <v>32</v>
      </c>
      <c r="J147" s="2">
        <v>39</v>
      </c>
      <c r="K147" s="2">
        <v>42622.12</v>
      </c>
      <c r="L147" s="2">
        <v>289.77999999999997</v>
      </c>
      <c r="M147" s="2">
        <v>154.85</v>
      </c>
      <c r="N147" s="2" t="s">
        <v>22</v>
      </c>
      <c r="O147" s="2">
        <v>3</v>
      </c>
    </row>
    <row r="148" spans="1:15" x14ac:dyDescent="0.3">
      <c r="A148" s="2" t="s">
        <v>205</v>
      </c>
      <c r="B148" s="1">
        <v>46132</v>
      </c>
      <c r="C148" s="2" t="s">
        <v>41</v>
      </c>
      <c r="D148" s="2" t="s">
        <v>76</v>
      </c>
      <c r="E148" s="2" t="s">
        <v>45</v>
      </c>
      <c r="F148" s="2" t="s">
        <v>34</v>
      </c>
      <c r="G148" s="2" t="s">
        <v>55</v>
      </c>
      <c r="H148" s="2" t="s">
        <v>52</v>
      </c>
      <c r="I148" s="2">
        <v>33</v>
      </c>
      <c r="J148" s="2">
        <v>31</v>
      </c>
      <c r="K148" s="2">
        <v>17620.009999999998</v>
      </c>
      <c r="L148" s="2">
        <v>262.08999999999997</v>
      </c>
      <c r="M148" s="2">
        <v>131.24</v>
      </c>
      <c r="N148" s="2" t="s">
        <v>30</v>
      </c>
      <c r="O148" s="2">
        <v>4</v>
      </c>
    </row>
    <row r="149" spans="1:15" x14ac:dyDescent="0.3">
      <c r="A149" s="2" t="s">
        <v>206</v>
      </c>
      <c r="B149" s="1">
        <v>45953</v>
      </c>
      <c r="C149" s="2" t="s">
        <v>41</v>
      </c>
      <c r="D149" s="2" t="s">
        <v>78</v>
      </c>
      <c r="E149" s="2" t="s">
        <v>38</v>
      </c>
      <c r="F149" s="2" t="s">
        <v>68</v>
      </c>
      <c r="G149" s="2" t="s">
        <v>20</v>
      </c>
      <c r="H149" s="2" t="s">
        <v>56</v>
      </c>
      <c r="I149" s="2">
        <v>24</v>
      </c>
      <c r="J149" s="2">
        <v>106</v>
      </c>
      <c r="K149" s="2">
        <v>2243.15</v>
      </c>
      <c r="L149" s="2">
        <v>491.49</v>
      </c>
      <c r="M149" s="2">
        <v>94.33</v>
      </c>
      <c r="N149" s="2" t="s">
        <v>30</v>
      </c>
      <c r="O149" s="2">
        <v>2</v>
      </c>
    </row>
    <row r="150" spans="1:15" x14ac:dyDescent="0.3">
      <c r="A150" s="2" t="s">
        <v>207</v>
      </c>
      <c r="B150" s="1">
        <v>46076</v>
      </c>
      <c r="C150" s="2" t="s">
        <v>90</v>
      </c>
      <c r="D150" s="2" t="s">
        <v>33</v>
      </c>
      <c r="E150" s="2" t="s">
        <v>45</v>
      </c>
      <c r="F150" s="2" t="s">
        <v>34</v>
      </c>
      <c r="G150" s="2" t="s">
        <v>55</v>
      </c>
      <c r="H150" s="2" t="s">
        <v>56</v>
      </c>
      <c r="I150" s="2">
        <v>59</v>
      </c>
      <c r="J150" s="2">
        <v>10</v>
      </c>
      <c r="K150" s="2">
        <v>37435.89</v>
      </c>
      <c r="L150" s="2">
        <v>383.17</v>
      </c>
      <c r="M150" s="2">
        <v>114.33</v>
      </c>
      <c r="N150" s="2" t="s">
        <v>30</v>
      </c>
      <c r="O150" s="2">
        <v>5</v>
      </c>
    </row>
    <row r="151" spans="1:15" x14ac:dyDescent="0.3">
      <c r="A151" s="2" t="s">
        <v>208</v>
      </c>
      <c r="B151" s="1">
        <v>46209</v>
      </c>
      <c r="C151" s="2" t="s">
        <v>43</v>
      </c>
      <c r="D151" s="2" t="s">
        <v>76</v>
      </c>
      <c r="E151" s="2" t="s">
        <v>38</v>
      </c>
      <c r="F151" s="2" t="s">
        <v>19</v>
      </c>
      <c r="G151" s="2" t="s">
        <v>64</v>
      </c>
      <c r="H151" s="2" t="s">
        <v>29</v>
      </c>
      <c r="I151" s="2">
        <v>74</v>
      </c>
      <c r="J151" s="2">
        <v>30</v>
      </c>
      <c r="K151" s="2">
        <v>40200.89</v>
      </c>
      <c r="L151" s="2">
        <v>103.1</v>
      </c>
      <c r="M151" s="2">
        <v>13.92</v>
      </c>
      <c r="N151" s="2" t="s">
        <v>30</v>
      </c>
      <c r="O151" s="2">
        <v>1</v>
      </c>
    </row>
    <row r="152" spans="1:15" x14ac:dyDescent="0.3">
      <c r="A152" s="2" t="s">
        <v>209</v>
      </c>
      <c r="B152" s="1">
        <v>46040</v>
      </c>
      <c r="C152" s="2" t="s">
        <v>41</v>
      </c>
      <c r="D152" s="2" t="s">
        <v>33</v>
      </c>
      <c r="E152" s="2" t="s">
        <v>38</v>
      </c>
      <c r="F152" s="2" t="s">
        <v>39</v>
      </c>
      <c r="G152" s="2" t="s">
        <v>35</v>
      </c>
      <c r="H152" s="2" t="s">
        <v>52</v>
      </c>
      <c r="I152" s="2">
        <v>22</v>
      </c>
      <c r="J152" s="2">
        <v>116</v>
      </c>
      <c r="K152" s="2">
        <v>8449.39</v>
      </c>
      <c r="L152" s="2">
        <v>390.44</v>
      </c>
      <c r="M152" s="2">
        <v>124.79</v>
      </c>
      <c r="N152" s="2" t="s">
        <v>22</v>
      </c>
      <c r="O152" s="2">
        <v>5</v>
      </c>
    </row>
    <row r="153" spans="1:15" x14ac:dyDescent="0.3">
      <c r="A153" s="2" t="s">
        <v>210</v>
      </c>
      <c r="B153" s="1">
        <v>46165</v>
      </c>
      <c r="C153" s="2" t="s">
        <v>41</v>
      </c>
      <c r="D153" s="2" t="s">
        <v>51</v>
      </c>
      <c r="E153" s="2" t="s">
        <v>58</v>
      </c>
      <c r="F153" s="2" t="s">
        <v>19</v>
      </c>
      <c r="G153" s="2" t="s">
        <v>55</v>
      </c>
      <c r="H153" s="2" t="s">
        <v>52</v>
      </c>
      <c r="I153" s="2">
        <v>46</v>
      </c>
      <c r="J153" s="2">
        <v>18</v>
      </c>
      <c r="K153" s="2">
        <v>27098.35</v>
      </c>
      <c r="L153" s="2">
        <v>92.86</v>
      </c>
      <c r="M153" s="2">
        <v>125.22</v>
      </c>
      <c r="N153" s="2" t="s">
        <v>30</v>
      </c>
      <c r="O153" s="2">
        <v>1</v>
      </c>
    </row>
    <row r="154" spans="1:15" x14ac:dyDescent="0.3">
      <c r="A154" s="2" t="s">
        <v>211</v>
      </c>
      <c r="B154" s="1">
        <v>45929</v>
      </c>
      <c r="C154" s="2" t="s">
        <v>90</v>
      </c>
      <c r="D154" s="2" t="s">
        <v>47</v>
      </c>
      <c r="E154" s="2" t="s">
        <v>26</v>
      </c>
      <c r="F154" s="2" t="s">
        <v>27</v>
      </c>
      <c r="G154" s="2" t="s">
        <v>35</v>
      </c>
      <c r="H154" s="2" t="s">
        <v>21</v>
      </c>
      <c r="I154" s="2">
        <v>47</v>
      </c>
      <c r="J154" s="2">
        <v>60</v>
      </c>
      <c r="K154" s="2">
        <v>10001.790000000001</v>
      </c>
      <c r="L154" s="2">
        <v>62.36</v>
      </c>
      <c r="M154" s="2">
        <v>178.24</v>
      </c>
      <c r="N154" s="2" t="s">
        <v>30</v>
      </c>
      <c r="O154" s="2">
        <v>5</v>
      </c>
    </row>
    <row r="155" spans="1:15" x14ac:dyDescent="0.3">
      <c r="A155" s="2" t="s">
        <v>212</v>
      </c>
      <c r="B155" s="1">
        <v>45920</v>
      </c>
      <c r="C155" s="2" t="s">
        <v>41</v>
      </c>
      <c r="D155" s="2" t="s">
        <v>78</v>
      </c>
      <c r="E155" s="2" t="s">
        <v>38</v>
      </c>
      <c r="F155" s="2" t="s">
        <v>34</v>
      </c>
      <c r="G155" s="2" t="s">
        <v>55</v>
      </c>
      <c r="H155" s="2" t="s">
        <v>29</v>
      </c>
      <c r="I155" s="2">
        <v>47</v>
      </c>
      <c r="J155" s="2">
        <v>88</v>
      </c>
      <c r="K155" s="2">
        <v>36102.1</v>
      </c>
      <c r="L155" s="2">
        <v>231.63</v>
      </c>
      <c r="M155" s="2">
        <v>151.69999999999999</v>
      </c>
      <c r="N155" s="2" t="s">
        <v>22</v>
      </c>
      <c r="O155" s="2">
        <v>3</v>
      </c>
    </row>
    <row r="156" spans="1:15" x14ac:dyDescent="0.3">
      <c r="A156" s="2" t="s">
        <v>213</v>
      </c>
      <c r="B156" s="1">
        <v>46190</v>
      </c>
      <c r="C156" s="2" t="s">
        <v>32</v>
      </c>
      <c r="D156" s="2" t="s">
        <v>44</v>
      </c>
      <c r="E156" s="2" t="s">
        <v>38</v>
      </c>
      <c r="F156" s="2" t="s">
        <v>34</v>
      </c>
      <c r="G156" s="2" t="s">
        <v>64</v>
      </c>
      <c r="H156" s="2" t="s">
        <v>21</v>
      </c>
      <c r="I156" s="2">
        <v>35</v>
      </c>
      <c r="J156" s="2">
        <v>116</v>
      </c>
      <c r="K156" s="2">
        <v>13941.75</v>
      </c>
      <c r="L156" s="2">
        <v>497.11</v>
      </c>
      <c r="M156" s="2">
        <v>15.43</v>
      </c>
      <c r="N156" s="2" t="s">
        <v>30</v>
      </c>
      <c r="O156" s="2">
        <v>2</v>
      </c>
    </row>
    <row r="157" spans="1:15" x14ac:dyDescent="0.3">
      <c r="A157" s="2" t="s">
        <v>214</v>
      </c>
      <c r="B157" s="1">
        <v>46043</v>
      </c>
      <c r="C157" s="2" t="s">
        <v>54</v>
      </c>
      <c r="D157" s="2" t="s">
        <v>67</v>
      </c>
      <c r="E157" s="2" t="s">
        <v>18</v>
      </c>
      <c r="F157" s="2" t="s">
        <v>27</v>
      </c>
      <c r="G157" s="2" t="s">
        <v>20</v>
      </c>
      <c r="H157" s="2" t="s">
        <v>52</v>
      </c>
      <c r="I157" s="2">
        <v>28</v>
      </c>
      <c r="J157" s="2">
        <v>73</v>
      </c>
      <c r="K157" s="2">
        <v>16152.65</v>
      </c>
      <c r="L157" s="2">
        <v>128.69999999999999</v>
      </c>
      <c r="M157" s="2">
        <v>61.24</v>
      </c>
      <c r="N157" s="2" t="s">
        <v>30</v>
      </c>
      <c r="O157" s="2">
        <v>3</v>
      </c>
    </row>
    <row r="158" spans="1:15" x14ac:dyDescent="0.3">
      <c r="A158" s="2" t="s">
        <v>215</v>
      </c>
      <c r="B158" s="1">
        <v>45915</v>
      </c>
      <c r="C158" s="2" t="s">
        <v>16</v>
      </c>
      <c r="D158" s="2" t="s">
        <v>17</v>
      </c>
      <c r="E158" s="2" t="s">
        <v>26</v>
      </c>
      <c r="F158" s="2" t="s">
        <v>27</v>
      </c>
      <c r="G158" s="2" t="s">
        <v>64</v>
      </c>
      <c r="H158" s="2" t="s">
        <v>21</v>
      </c>
      <c r="I158" s="2">
        <v>27</v>
      </c>
      <c r="J158" s="2">
        <v>95</v>
      </c>
      <c r="K158" s="2">
        <v>42326.06</v>
      </c>
      <c r="L158" s="2">
        <v>352.69</v>
      </c>
      <c r="M158" s="2">
        <v>131.13</v>
      </c>
      <c r="N158" s="2" t="s">
        <v>22</v>
      </c>
      <c r="O158" s="2">
        <v>2</v>
      </c>
    </row>
    <row r="159" spans="1:15" x14ac:dyDescent="0.3">
      <c r="A159" s="2" t="s">
        <v>216</v>
      </c>
      <c r="B159" s="1">
        <v>46031</v>
      </c>
      <c r="C159" s="2" t="s">
        <v>54</v>
      </c>
      <c r="D159" s="2" t="s">
        <v>44</v>
      </c>
      <c r="E159" s="2" t="s">
        <v>18</v>
      </c>
      <c r="F159" s="2" t="s">
        <v>39</v>
      </c>
      <c r="G159" s="2" t="s">
        <v>20</v>
      </c>
      <c r="H159" s="2" t="s">
        <v>52</v>
      </c>
      <c r="I159" s="2">
        <v>67</v>
      </c>
      <c r="J159" s="2">
        <v>15</v>
      </c>
      <c r="K159" s="2">
        <v>24077.96</v>
      </c>
      <c r="L159" s="2">
        <v>128.03</v>
      </c>
      <c r="M159" s="2">
        <v>47.85</v>
      </c>
      <c r="N159" s="2" t="s">
        <v>30</v>
      </c>
      <c r="O159" s="2">
        <v>4</v>
      </c>
    </row>
    <row r="160" spans="1:15" x14ac:dyDescent="0.3">
      <c r="A160" s="2" t="s">
        <v>217</v>
      </c>
      <c r="B160" s="1">
        <v>46007</v>
      </c>
      <c r="C160" s="2" t="s">
        <v>90</v>
      </c>
      <c r="D160" s="2" t="s">
        <v>67</v>
      </c>
      <c r="E160" s="2" t="s">
        <v>26</v>
      </c>
      <c r="F160" s="2" t="s">
        <v>34</v>
      </c>
      <c r="G160" s="2" t="s">
        <v>20</v>
      </c>
      <c r="H160" s="2" t="s">
        <v>52</v>
      </c>
      <c r="I160" s="2">
        <v>66</v>
      </c>
      <c r="J160" s="2">
        <v>4</v>
      </c>
      <c r="K160" s="2">
        <v>33652.85</v>
      </c>
      <c r="L160" s="2">
        <v>376.15</v>
      </c>
      <c r="M160" s="2">
        <v>56.11</v>
      </c>
      <c r="N160" s="2" t="s">
        <v>22</v>
      </c>
      <c r="O160" s="2">
        <v>1</v>
      </c>
    </row>
    <row r="161" spans="1:15" x14ac:dyDescent="0.3">
      <c r="A161" s="2" t="s">
        <v>218</v>
      </c>
      <c r="B161" s="1">
        <v>45957</v>
      </c>
      <c r="C161" s="2" t="s">
        <v>24</v>
      </c>
      <c r="D161" s="2" t="s">
        <v>49</v>
      </c>
      <c r="E161" s="2" t="s">
        <v>18</v>
      </c>
      <c r="F161" s="2" t="s">
        <v>34</v>
      </c>
      <c r="G161" s="2" t="s">
        <v>35</v>
      </c>
      <c r="H161" s="2" t="s">
        <v>21</v>
      </c>
      <c r="I161" s="2">
        <v>60</v>
      </c>
      <c r="J161" s="2">
        <v>63</v>
      </c>
      <c r="K161" s="2">
        <v>20417.47</v>
      </c>
      <c r="L161" s="2">
        <v>277.41000000000003</v>
      </c>
      <c r="M161" s="2">
        <v>164.09</v>
      </c>
      <c r="N161" s="2" t="s">
        <v>30</v>
      </c>
      <c r="O161" s="2">
        <v>1</v>
      </c>
    </row>
    <row r="162" spans="1:15" x14ac:dyDescent="0.3">
      <c r="A162" s="2" t="s">
        <v>219</v>
      </c>
      <c r="B162" s="1">
        <v>45929</v>
      </c>
      <c r="C162" s="2" t="s">
        <v>16</v>
      </c>
      <c r="D162" s="2" t="s">
        <v>60</v>
      </c>
      <c r="E162" s="2" t="s">
        <v>38</v>
      </c>
      <c r="F162" s="2" t="s">
        <v>39</v>
      </c>
      <c r="G162" s="2" t="s">
        <v>64</v>
      </c>
      <c r="H162" s="2" t="s">
        <v>21</v>
      </c>
      <c r="I162" s="2">
        <v>32</v>
      </c>
      <c r="J162" s="2">
        <v>40</v>
      </c>
      <c r="K162" s="2">
        <v>15251.34</v>
      </c>
      <c r="L162" s="2">
        <v>355.99</v>
      </c>
      <c r="M162" s="2">
        <v>116.86</v>
      </c>
      <c r="N162" s="2" t="s">
        <v>22</v>
      </c>
      <c r="O162" s="2">
        <v>4</v>
      </c>
    </row>
    <row r="163" spans="1:15" x14ac:dyDescent="0.3">
      <c r="A163" s="2" t="s">
        <v>220</v>
      </c>
      <c r="B163" s="1">
        <v>46186</v>
      </c>
      <c r="C163" s="2" t="s">
        <v>90</v>
      </c>
      <c r="D163" s="2" t="s">
        <v>82</v>
      </c>
      <c r="E163" s="2" t="s">
        <v>38</v>
      </c>
      <c r="F163" s="2" t="s">
        <v>68</v>
      </c>
      <c r="G163" s="2" t="s">
        <v>55</v>
      </c>
      <c r="H163" s="2" t="s">
        <v>56</v>
      </c>
      <c r="I163" s="2">
        <v>33</v>
      </c>
      <c r="J163" s="2">
        <v>9</v>
      </c>
      <c r="K163" s="2">
        <v>31461.16</v>
      </c>
      <c r="L163" s="2">
        <v>141.29</v>
      </c>
      <c r="M163" s="2">
        <v>101.71</v>
      </c>
      <c r="N163" s="2" t="s">
        <v>30</v>
      </c>
      <c r="O163" s="2">
        <v>5</v>
      </c>
    </row>
    <row r="164" spans="1:15" x14ac:dyDescent="0.3">
      <c r="A164" s="2" t="s">
        <v>221</v>
      </c>
      <c r="B164" s="1">
        <v>46049</v>
      </c>
      <c r="C164" s="2" t="s">
        <v>43</v>
      </c>
      <c r="D164" s="2" t="s">
        <v>82</v>
      </c>
      <c r="E164" s="2" t="s">
        <v>58</v>
      </c>
      <c r="F164" s="2" t="s">
        <v>39</v>
      </c>
      <c r="G164" s="2" t="s">
        <v>64</v>
      </c>
      <c r="H164" s="2" t="s">
        <v>56</v>
      </c>
      <c r="I164" s="2">
        <v>63</v>
      </c>
      <c r="J164" s="2">
        <v>109</v>
      </c>
      <c r="K164" s="2">
        <v>8165.45</v>
      </c>
      <c r="L164" s="2">
        <v>385.53</v>
      </c>
      <c r="M164" s="2">
        <v>63.69</v>
      </c>
      <c r="N164" s="2" t="s">
        <v>22</v>
      </c>
      <c r="O164" s="2">
        <v>4</v>
      </c>
    </row>
    <row r="165" spans="1:15" x14ac:dyDescent="0.3">
      <c r="A165" s="2" t="s">
        <v>222</v>
      </c>
      <c r="B165" s="1">
        <v>45887</v>
      </c>
      <c r="C165" s="2" t="s">
        <v>24</v>
      </c>
      <c r="D165" s="2" t="s">
        <v>82</v>
      </c>
      <c r="E165" s="2" t="s">
        <v>18</v>
      </c>
      <c r="F165" s="2" t="s">
        <v>19</v>
      </c>
      <c r="G165" s="2" t="s">
        <v>35</v>
      </c>
      <c r="H165" s="2" t="s">
        <v>56</v>
      </c>
      <c r="I165" s="2">
        <v>37</v>
      </c>
      <c r="J165" s="2">
        <v>9</v>
      </c>
      <c r="K165" s="2">
        <v>18963.490000000002</v>
      </c>
      <c r="L165" s="2">
        <v>498.03</v>
      </c>
      <c r="M165" s="2">
        <v>146.19</v>
      </c>
      <c r="N165" s="2" t="s">
        <v>30</v>
      </c>
      <c r="O165" s="2">
        <v>4</v>
      </c>
    </row>
    <row r="166" spans="1:15" x14ac:dyDescent="0.3">
      <c r="A166" s="2" t="s">
        <v>223</v>
      </c>
      <c r="B166" s="1">
        <v>45980</v>
      </c>
      <c r="C166" s="2" t="s">
        <v>54</v>
      </c>
      <c r="D166" s="2" t="s">
        <v>62</v>
      </c>
      <c r="E166" s="2" t="s">
        <v>45</v>
      </c>
      <c r="F166" s="2" t="s">
        <v>34</v>
      </c>
      <c r="G166" s="2" t="s">
        <v>20</v>
      </c>
      <c r="H166" s="2" t="s">
        <v>52</v>
      </c>
      <c r="I166" s="2">
        <v>37</v>
      </c>
      <c r="J166" s="2">
        <v>26</v>
      </c>
      <c r="K166" s="2">
        <v>10847.33</v>
      </c>
      <c r="L166" s="2">
        <v>349.54</v>
      </c>
      <c r="M166" s="2">
        <v>57.54</v>
      </c>
      <c r="N166" s="2" t="s">
        <v>22</v>
      </c>
      <c r="O166" s="2">
        <v>2</v>
      </c>
    </row>
    <row r="167" spans="1:15" x14ac:dyDescent="0.3">
      <c r="A167" s="2" t="s">
        <v>224</v>
      </c>
      <c r="B167" s="1">
        <v>46096</v>
      </c>
      <c r="C167" s="2" t="s">
        <v>90</v>
      </c>
      <c r="D167" s="2" t="s">
        <v>25</v>
      </c>
      <c r="E167" s="2" t="s">
        <v>58</v>
      </c>
      <c r="F167" s="2" t="s">
        <v>27</v>
      </c>
      <c r="G167" s="2" t="s">
        <v>35</v>
      </c>
      <c r="H167" s="2" t="s">
        <v>21</v>
      </c>
      <c r="I167" s="2">
        <v>56</v>
      </c>
      <c r="J167" s="2">
        <v>4</v>
      </c>
      <c r="K167" s="2">
        <v>34941.85</v>
      </c>
      <c r="L167" s="2">
        <v>272.07</v>
      </c>
      <c r="M167" s="2">
        <v>147.41</v>
      </c>
      <c r="N167" s="2" t="s">
        <v>30</v>
      </c>
      <c r="O167" s="2">
        <v>4</v>
      </c>
    </row>
    <row r="168" spans="1:15" x14ac:dyDescent="0.3">
      <c r="A168" s="2" t="s">
        <v>225</v>
      </c>
      <c r="B168" s="1">
        <v>46025</v>
      </c>
      <c r="C168" s="2" t="s">
        <v>43</v>
      </c>
      <c r="D168" s="2" t="s">
        <v>37</v>
      </c>
      <c r="E168" s="2" t="s">
        <v>18</v>
      </c>
      <c r="F168" s="2" t="s">
        <v>19</v>
      </c>
      <c r="G168" s="2" t="s">
        <v>28</v>
      </c>
      <c r="H168" s="2" t="s">
        <v>29</v>
      </c>
      <c r="I168" s="2">
        <v>41</v>
      </c>
      <c r="J168" s="2">
        <v>81</v>
      </c>
      <c r="K168" s="2">
        <v>47238.34</v>
      </c>
      <c r="L168" s="2">
        <v>465.43</v>
      </c>
      <c r="M168" s="2">
        <v>21.03</v>
      </c>
      <c r="N168" s="2" t="s">
        <v>30</v>
      </c>
      <c r="O168" s="2">
        <v>1</v>
      </c>
    </row>
    <row r="169" spans="1:15" x14ac:dyDescent="0.3">
      <c r="A169" s="2" t="s">
        <v>226</v>
      </c>
      <c r="B169" s="1">
        <v>46064</v>
      </c>
      <c r="C169" s="2" t="s">
        <v>16</v>
      </c>
      <c r="D169" s="2" t="s">
        <v>86</v>
      </c>
      <c r="E169" s="2" t="s">
        <v>18</v>
      </c>
      <c r="F169" s="2" t="s">
        <v>34</v>
      </c>
      <c r="G169" s="2" t="s">
        <v>28</v>
      </c>
      <c r="H169" s="2" t="s">
        <v>52</v>
      </c>
      <c r="I169" s="2">
        <v>28</v>
      </c>
      <c r="J169" s="2">
        <v>16</v>
      </c>
      <c r="K169" s="2">
        <v>49777.79</v>
      </c>
      <c r="L169" s="2">
        <v>57.13</v>
      </c>
      <c r="M169" s="2">
        <v>172.91</v>
      </c>
      <c r="N169" s="2" t="s">
        <v>30</v>
      </c>
      <c r="O169" s="2">
        <v>3</v>
      </c>
    </row>
    <row r="170" spans="1:15" x14ac:dyDescent="0.3">
      <c r="A170" s="2" t="s">
        <v>227</v>
      </c>
      <c r="B170" s="1">
        <v>46015</v>
      </c>
      <c r="C170" s="2" t="s">
        <v>16</v>
      </c>
      <c r="D170" s="2" t="s">
        <v>86</v>
      </c>
      <c r="E170" s="2" t="s">
        <v>58</v>
      </c>
      <c r="F170" s="2" t="s">
        <v>39</v>
      </c>
      <c r="G170" s="2" t="s">
        <v>55</v>
      </c>
      <c r="H170" s="2" t="s">
        <v>29</v>
      </c>
      <c r="I170" s="2">
        <v>25</v>
      </c>
      <c r="J170" s="2">
        <v>15</v>
      </c>
      <c r="K170" s="2">
        <v>22788.7</v>
      </c>
      <c r="L170" s="2">
        <v>378.47</v>
      </c>
      <c r="M170" s="2">
        <v>149.86000000000001</v>
      </c>
      <c r="N170" s="2" t="s">
        <v>22</v>
      </c>
      <c r="O170" s="2">
        <v>2</v>
      </c>
    </row>
    <row r="171" spans="1:15" x14ac:dyDescent="0.3">
      <c r="A171" s="2" t="s">
        <v>228</v>
      </c>
      <c r="B171" s="1">
        <v>45978</v>
      </c>
      <c r="C171" s="2" t="s">
        <v>74</v>
      </c>
      <c r="D171" s="2" t="s">
        <v>25</v>
      </c>
      <c r="E171" s="2" t="s">
        <v>38</v>
      </c>
      <c r="F171" s="2" t="s">
        <v>19</v>
      </c>
      <c r="G171" s="2" t="s">
        <v>35</v>
      </c>
      <c r="H171" s="2" t="s">
        <v>21</v>
      </c>
      <c r="I171" s="2">
        <v>46</v>
      </c>
      <c r="J171" s="2">
        <v>99</v>
      </c>
      <c r="K171" s="2">
        <v>13000.25</v>
      </c>
      <c r="L171" s="2">
        <v>449.94</v>
      </c>
      <c r="M171" s="2">
        <v>87.7</v>
      </c>
      <c r="N171" s="2" t="s">
        <v>22</v>
      </c>
      <c r="O171" s="2">
        <v>2</v>
      </c>
    </row>
    <row r="172" spans="1:15" x14ac:dyDescent="0.3">
      <c r="A172" s="2" t="s">
        <v>229</v>
      </c>
      <c r="B172" s="1">
        <v>46165</v>
      </c>
      <c r="C172" s="2" t="s">
        <v>43</v>
      </c>
      <c r="D172" s="2" t="s">
        <v>82</v>
      </c>
      <c r="E172" s="2" t="s">
        <v>18</v>
      </c>
      <c r="F172" s="2" t="s">
        <v>34</v>
      </c>
      <c r="G172" s="2" t="s">
        <v>55</v>
      </c>
      <c r="H172" s="2" t="s">
        <v>52</v>
      </c>
      <c r="I172" s="2">
        <v>36</v>
      </c>
      <c r="J172" s="2">
        <v>52</v>
      </c>
      <c r="K172" s="2">
        <v>22420.05</v>
      </c>
      <c r="L172" s="2">
        <v>77.75</v>
      </c>
      <c r="M172" s="2">
        <v>122.2</v>
      </c>
      <c r="N172" s="2" t="s">
        <v>30</v>
      </c>
      <c r="O172" s="2">
        <v>5</v>
      </c>
    </row>
    <row r="173" spans="1:15" x14ac:dyDescent="0.3">
      <c r="A173" s="2" t="s">
        <v>230</v>
      </c>
      <c r="B173" s="1">
        <v>46231</v>
      </c>
      <c r="C173" s="2" t="s">
        <v>32</v>
      </c>
      <c r="D173" s="2" t="s">
        <v>17</v>
      </c>
      <c r="E173" s="2" t="s">
        <v>38</v>
      </c>
      <c r="F173" s="2" t="s">
        <v>68</v>
      </c>
      <c r="G173" s="2" t="s">
        <v>55</v>
      </c>
      <c r="H173" s="2" t="s">
        <v>29</v>
      </c>
      <c r="I173" s="2">
        <v>56</v>
      </c>
      <c r="J173" s="2">
        <v>69</v>
      </c>
      <c r="K173" s="2">
        <v>42439.839999999997</v>
      </c>
      <c r="L173" s="2">
        <v>252.53</v>
      </c>
      <c r="M173" s="2">
        <v>187.26</v>
      </c>
      <c r="N173" s="2" t="s">
        <v>30</v>
      </c>
      <c r="O173" s="2">
        <v>3</v>
      </c>
    </row>
    <row r="174" spans="1:15" x14ac:dyDescent="0.3">
      <c r="A174" s="2" t="s">
        <v>231</v>
      </c>
      <c r="B174" s="1">
        <v>45959</v>
      </c>
      <c r="C174" s="2" t="s">
        <v>41</v>
      </c>
      <c r="D174" s="2" t="s">
        <v>78</v>
      </c>
      <c r="E174" s="2" t="s">
        <v>58</v>
      </c>
      <c r="F174" s="2" t="s">
        <v>68</v>
      </c>
      <c r="G174" s="2" t="s">
        <v>28</v>
      </c>
      <c r="H174" s="2" t="s">
        <v>29</v>
      </c>
      <c r="I174" s="2">
        <v>48</v>
      </c>
      <c r="J174" s="2">
        <v>119</v>
      </c>
      <c r="K174" s="2">
        <v>10697.28</v>
      </c>
      <c r="L174" s="2">
        <v>142.12</v>
      </c>
      <c r="M174" s="2">
        <v>39.619999999999997</v>
      </c>
      <c r="N174" s="2" t="s">
        <v>22</v>
      </c>
      <c r="O174" s="2">
        <v>2</v>
      </c>
    </row>
    <row r="175" spans="1:15" x14ac:dyDescent="0.3">
      <c r="A175" s="2" t="s">
        <v>232</v>
      </c>
      <c r="B175" s="1">
        <v>45918</v>
      </c>
      <c r="C175" s="2" t="s">
        <v>24</v>
      </c>
      <c r="D175" s="2" t="s">
        <v>47</v>
      </c>
      <c r="E175" s="2" t="s">
        <v>38</v>
      </c>
      <c r="F175" s="2" t="s">
        <v>27</v>
      </c>
      <c r="G175" s="2" t="s">
        <v>55</v>
      </c>
      <c r="H175" s="2" t="s">
        <v>56</v>
      </c>
      <c r="I175" s="2">
        <v>74</v>
      </c>
      <c r="J175" s="2">
        <v>5</v>
      </c>
      <c r="K175" s="2">
        <v>47628.73</v>
      </c>
      <c r="L175" s="2">
        <v>304.93</v>
      </c>
      <c r="M175" s="2">
        <v>151.25</v>
      </c>
      <c r="N175" s="2" t="s">
        <v>30</v>
      </c>
      <c r="O175" s="2">
        <v>4</v>
      </c>
    </row>
    <row r="176" spans="1:15" x14ac:dyDescent="0.3">
      <c r="A176" s="2" t="s">
        <v>233</v>
      </c>
      <c r="B176" s="1">
        <v>45992</v>
      </c>
      <c r="C176" s="2" t="s">
        <v>43</v>
      </c>
      <c r="D176" s="2" t="s">
        <v>78</v>
      </c>
      <c r="E176" s="2" t="s">
        <v>26</v>
      </c>
      <c r="F176" s="2" t="s">
        <v>34</v>
      </c>
      <c r="G176" s="2" t="s">
        <v>28</v>
      </c>
      <c r="H176" s="2" t="s">
        <v>56</v>
      </c>
      <c r="I176" s="2">
        <v>49</v>
      </c>
      <c r="J176" s="2">
        <v>20</v>
      </c>
      <c r="K176" s="2">
        <v>17422.36</v>
      </c>
      <c r="L176" s="2">
        <v>342.29</v>
      </c>
      <c r="M176" s="2">
        <v>55.19</v>
      </c>
      <c r="N176" s="2" t="s">
        <v>22</v>
      </c>
      <c r="O176" s="2">
        <v>2</v>
      </c>
    </row>
    <row r="177" spans="1:15" x14ac:dyDescent="0.3">
      <c r="A177" s="2" t="s">
        <v>234</v>
      </c>
      <c r="B177" s="1">
        <v>45902</v>
      </c>
      <c r="C177" s="2" t="s">
        <v>74</v>
      </c>
      <c r="D177" s="2" t="s">
        <v>47</v>
      </c>
      <c r="E177" s="2" t="s">
        <v>45</v>
      </c>
      <c r="F177" s="2" t="s">
        <v>68</v>
      </c>
      <c r="G177" s="2" t="s">
        <v>20</v>
      </c>
      <c r="H177" s="2" t="s">
        <v>56</v>
      </c>
      <c r="I177" s="2">
        <v>67</v>
      </c>
      <c r="J177" s="2">
        <v>79</v>
      </c>
      <c r="K177" s="2">
        <v>49297.279999999999</v>
      </c>
      <c r="L177" s="2">
        <v>186.18</v>
      </c>
      <c r="M177" s="2">
        <v>180.99</v>
      </c>
      <c r="N177" s="2" t="s">
        <v>30</v>
      </c>
      <c r="O177" s="2">
        <v>2</v>
      </c>
    </row>
    <row r="178" spans="1:15" x14ac:dyDescent="0.3">
      <c r="A178" s="2" t="s">
        <v>235</v>
      </c>
      <c r="B178" s="1">
        <v>46155</v>
      </c>
      <c r="C178" s="2" t="s">
        <v>41</v>
      </c>
      <c r="D178" s="2" t="s">
        <v>78</v>
      </c>
      <c r="E178" s="2" t="s">
        <v>18</v>
      </c>
      <c r="F178" s="2" t="s">
        <v>39</v>
      </c>
      <c r="G178" s="2" t="s">
        <v>35</v>
      </c>
      <c r="H178" s="2" t="s">
        <v>52</v>
      </c>
      <c r="I178" s="2">
        <v>32</v>
      </c>
      <c r="J178" s="2">
        <v>18</v>
      </c>
      <c r="K178" s="2">
        <v>42011.14</v>
      </c>
      <c r="L178" s="2">
        <v>256.99</v>
      </c>
      <c r="M178" s="2">
        <v>163.57</v>
      </c>
      <c r="N178" s="2" t="s">
        <v>22</v>
      </c>
      <c r="O178" s="2">
        <v>2</v>
      </c>
    </row>
    <row r="179" spans="1:15" x14ac:dyDescent="0.3">
      <c r="A179" s="2" t="s">
        <v>236</v>
      </c>
      <c r="B179" s="1">
        <v>45957</v>
      </c>
      <c r="C179" s="2" t="s">
        <v>41</v>
      </c>
      <c r="D179" s="2" t="s">
        <v>37</v>
      </c>
      <c r="E179" s="2" t="s">
        <v>45</v>
      </c>
      <c r="F179" s="2" t="s">
        <v>34</v>
      </c>
      <c r="G179" s="2" t="s">
        <v>55</v>
      </c>
      <c r="H179" s="2" t="s">
        <v>21</v>
      </c>
      <c r="I179" s="2">
        <v>57</v>
      </c>
      <c r="J179" s="2">
        <v>111</v>
      </c>
      <c r="K179" s="2">
        <v>40524.239999999998</v>
      </c>
      <c r="L179" s="2">
        <v>175.7</v>
      </c>
      <c r="M179" s="2">
        <v>69.25</v>
      </c>
      <c r="N179" s="2" t="s">
        <v>30</v>
      </c>
      <c r="O179" s="2">
        <v>5</v>
      </c>
    </row>
    <row r="180" spans="1:15" x14ac:dyDescent="0.3">
      <c r="A180" s="2" t="s">
        <v>237</v>
      </c>
      <c r="B180" s="1">
        <v>46190</v>
      </c>
      <c r="C180" s="2" t="s">
        <v>90</v>
      </c>
      <c r="D180" s="2" t="s">
        <v>62</v>
      </c>
      <c r="E180" s="2" t="s">
        <v>38</v>
      </c>
      <c r="F180" s="2" t="s">
        <v>39</v>
      </c>
      <c r="G180" s="2" t="s">
        <v>28</v>
      </c>
      <c r="H180" s="2" t="s">
        <v>21</v>
      </c>
      <c r="I180" s="2">
        <v>50</v>
      </c>
      <c r="J180" s="2">
        <v>2</v>
      </c>
      <c r="K180" s="2">
        <v>16236.28</v>
      </c>
      <c r="L180" s="2">
        <v>216.23</v>
      </c>
      <c r="M180" s="2">
        <v>161.55000000000001</v>
      </c>
      <c r="N180" s="2" t="s">
        <v>30</v>
      </c>
      <c r="O180" s="2">
        <v>2</v>
      </c>
    </row>
    <row r="181" spans="1:15" x14ac:dyDescent="0.3">
      <c r="A181" s="2" t="s">
        <v>238</v>
      </c>
      <c r="B181" s="1">
        <v>46065</v>
      </c>
      <c r="C181" s="2" t="s">
        <v>41</v>
      </c>
      <c r="D181" s="2" t="s">
        <v>62</v>
      </c>
      <c r="E181" s="2" t="s">
        <v>18</v>
      </c>
      <c r="F181" s="2" t="s">
        <v>39</v>
      </c>
      <c r="G181" s="2" t="s">
        <v>64</v>
      </c>
      <c r="H181" s="2" t="s">
        <v>56</v>
      </c>
      <c r="I181" s="2">
        <v>43</v>
      </c>
      <c r="J181" s="2">
        <v>93</v>
      </c>
      <c r="K181" s="2">
        <v>934.47</v>
      </c>
      <c r="L181" s="2">
        <v>121.79</v>
      </c>
      <c r="M181" s="2">
        <v>71.28</v>
      </c>
      <c r="N181" s="2" t="s">
        <v>22</v>
      </c>
      <c r="O181" s="2">
        <v>2</v>
      </c>
    </row>
    <row r="182" spans="1:15" x14ac:dyDescent="0.3">
      <c r="A182" s="2" t="s">
        <v>239</v>
      </c>
      <c r="B182" s="1">
        <v>45956</v>
      </c>
      <c r="C182" s="2" t="s">
        <v>32</v>
      </c>
      <c r="D182" s="2" t="s">
        <v>82</v>
      </c>
      <c r="E182" s="2" t="s">
        <v>38</v>
      </c>
      <c r="F182" s="2" t="s">
        <v>68</v>
      </c>
      <c r="G182" s="2" t="s">
        <v>55</v>
      </c>
      <c r="H182" s="2" t="s">
        <v>56</v>
      </c>
      <c r="I182" s="2">
        <v>36</v>
      </c>
      <c r="J182" s="2">
        <v>13</v>
      </c>
      <c r="K182" s="2">
        <v>19415.580000000002</v>
      </c>
      <c r="L182" s="2">
        <v>448.5</v>
      </c>
      <c r="M182" s="2">
        <v>20.190000000000001</v>
      </c>
      <c r="N182" s="2" t="s">
        <v>22</v>
      </c>
      <c r="O182" s="2">
        <v>5</v>
      </c>
    </row>
    <row r="183" spans="1:15" x14ac:dyDescent="0.3">
      <c r="A183" s="2" t="s">
        <v>240</v>
      </c>
      <c r="B183" s="1">
        <v>45891</v>
      </c>
      <c r="C183" s="2" t="s">
        <v>16</v>
      </c>
      <c r="D183" s="2" t="s">
        <v>49</v>
      </c>
      <c r="E183" s="2" t="s">
        <v>26</v>
      </c>
      <c r="F183" s="2" t="s">
        <v>34</v>
      </c>
      <c r="G183" s="2" t="s">
        <v>20</v>
      </c>
      <c r="H183" s="2" t="s">
        <v>56</v>
      </c>
      <c r="I183" s="2">
        <v>34</v>
      </c>
      <c r="J183" s="2">
        <v>4</v>
      </c>
      <c r="K183" s="2">
        <v>15439.56</v>
      </c>
      <c r="L183" s="2">
        <v>54.5</v>
      </c>
      <c r="M183" s="2">
        <v>192.38</v>
      </c>
      <c r="N183" s="2" t="s">
        <v>22</v>
      </c>
      <c r="O183" s="2">
        <v>3</v>
      </c>
    </row>
    <row r="184" spans="1:15" x14ac:dyDescent="0.3">
      <c r="A184" s="2" t="s">
        <v>241</v>
      </c>
      <c r="B184" s="1">
        <v>46165</v>
      </c>
      <c r="C184" s="2" t="s">
        <v>74</v>
      </c>
      <c r="D184" s="2" t="s">
        <v>67</v>
      </c>
      <c r="E184" s="2" t="s">
        <v>58</v>
      </c>
      <c r="F184" s="2" t="s">
        <v>19</v>
      </c>
      <c r="G184" s="2" t="s">
        <v>20</v>
      </c>
      <c r="H184" s="2" t="s">
        <v>29</v>
      </c>
      <c r="I184" s="2">
        <v>30</v>
      </c>
      <c r="J184" s="2">
        <v>42</v>
      </c>
      <c r="K184" s="2">
        <v>2351.15</v>
      </c>
      <c r="L184" s="2">
        <v>447.08</v>
      </c>
      <c r="M184" s="2">
        <v>195.78</v>
      </c>
      <c r="N184" s="2" t="s">
        <v>30</v>
      </c>
      <c r="O184" s="2">
        <v>1</v>
      </c>
    </row>
    <row r="185" spans="1:15" x14ac:dyDescent="0.3">
      <c r="A185" s="2" t="s">
        <v>242</v>
      </c>
      <c r="B185" s="1">
        <v>46128</v>
      </c>
      <c r="C185" s="2" t="s">
        <v>41</v>
      </c>
      <c r="D185" s="2" t="s">
        <v>49</v>
      </c>
      <c r="E185" s="2" t="s">
        <v>18</v>
      </c>
      <c r="F185" s="2" t="s">
        <v>68</v>
      </c>
      <c r="G185" s="2" t="s">
        <v>64</v>
      </c>
      <c r="H185" s="2" t="s">
        <v>56</v>
      </c>
      <c r="I185" s="2">
        <v>27</v>
      </c>
      <c r="J185" s="2">
        <v>109</v>
      </c>
      <c r="K185" s="2">
        <v>25515.58</v>
      </c>
      <c r="L185" s="2">
        <v>307.26</v>
      </c>
      <c r="M185" s="2">
        <v>91.22</v>
      </c>
      <c r="N185" s="2" t="s">
        <v>30</v>
      </c>
      <c r="O185" s="2">
        <v>5</v>
      </c>
    </row>
    <row r="186" spans="1:15" x14ac:dyDescent="0.3">
      <c r="A186" s="2" t="s">
        <v>243</v>
      </c>
      <c r="B186" s="1">
        <v>45950</v>
      </c>
      <c r="C186" s="2" t="s">
        <v>90</v>
      </c>
      <c r="D186" s="2" t="s">
        <v>76</v>
      </c>
      <c r="E186" s="2" t="s">
        <v>26</v>
      </c>
      <c r="F186" s="2" t="s">
        <v>68</v>
      </c>
      <c r="G186" s="2" t="s">
        <v>28</v>
      </c>
      <c r="H186" s="2" t="s">
        <v>29</v>
      </c>
      <c r="I186" s="2">
        <v>65</v>
      </c>
      <c r="J186" s="2">
        <v>74</v>
      </c>
      <c r="K186" s="2">
        <v>20450.05</v>
      </c>
      <c r="L186" s="2">
        <v>199.25</v>
      </c>
      <c r="M186" s="2">
        <v>119.32</v>
      </c>
      <c r="N186" s="2" t="s">
        <v>30</v>
      </c>
      <c r="O186" s="2">
        <v>5</v>
      </c>
    </row>
    <row r="187" spans="1:15" x14ac:dyDescent="0.3">
      <c r="A187" s="2" t="s">
        <v>244</v>
      </c>
      <c r="B187" s="1">
        <v>46234</v>
      </c>
      <c r="C187" s="2" t="s">
        <v>32</v>
      </c>
      <c r="D187" s="2" t="s">
        <v>62</v>
      </c>
      <c r="E187" s="2" t="s">
        <v>26</v>
      </c>
      <c r="F187" s="2" t="s">
        <v>34</v>
      </c>
      <c r="G187" s="2" t="s">
        <v>55</v>
      </c>
      <c r="H187" s="2" t="s">
        <v>21</v>
      </c>
      <c r="I187" s="2">
        <v>72</v>
      </c>
      <c r="J187" s="2">
        <v>61</v>
      </c>
      <c r="K187" s="2">
        <v>31910.55</v>
      </c>
      <c r="L187" s="2">
        <v>375.38</v>
      </c>
      <c r="M187" s="2">
        <v>64.94</v>
      </c>
      <c r="N187" s="2" t="s">
        <v>22</v>
      </c>
      <c r="O187" s="2">
        <v>2</v>
      </c>
    </row>
    <row r="188" spans="1:15" x14ac:dyDescent="0.3">
      <c r="A188" s="2" t="s">
        <v>245</v>
      </c>
      <c r="B188" s="1">
        <v>46219</v>
      </c>
      <c r="C188" s="2" t="s">
        <v>54</v>
      </c>
      <c r="D188" s="2" t="s">
        <v>62</v>
      </c>
      <c r="E188" s="2" t="s">
        <v>18</v>
      </c>
      <c r="F188" s="2" t="s">
        <v>34</v>
      </c>
      <c r="G188" s="2" t="s">
        <v>28</v>
      </c>
      <c r="H188" s="2" t="s">
        <v>52</v>
      </c>
      <c r="I188" s="2">
        <v>57</v>
      </c>
      <c r="J188" s="2">
        <v>95</v>
      </c>
      <c r="K188" s="2">
        <v>31248.720000000001</v>
      </c>
      <c r="L188" s="2">
        <v>278.49</v>
      </c>
      <c r="M188" s="2">
        <v>196.29</v>
      </c>
      <c r="N188" s="2" t="s">
        <v>30</v>
      </c>
      <c r="O188" s="2">
        <v>2</v>
      </c>
    </row>
    <row r="189" spans="1:15" x14ac:dyDescent="0.3">
      <c r="A189" s="2" t="s">
        <v>246</v>
      </c>
      <c r="B189" s="1">
        <v>46153</v>
      </c>
      <c r="C189" s="2" t="s">
        <v>16</v>
      </c>
      <c r="D189" s="2" t="s">
        <v>44</v>
      </c>
      <c r="E189" s="2" t="s">
        <v>38</v>
      </c>
      <c r="F189" s="2" t="s">
        <v>39</v>
      </c>
      <c r="G189" s="2" t="s">
        <v>20</v>
      </c>
      <c r="H189" s="2" t="s">
        <v>52</v>
      </c>
      <c r="I189" s="2">
        <v>49</v>
      </c>
      <c r="J189" s="2">
        <v>105</v>
      </c>
      <c r="K189" s="2">
        <v>6476.96</v>
      </c>
      <c r="L189" s="2">
        <v>274.60000000000002</v>
      </c>
      <c r="M189" s="2">
        <v>26.95</v>
      </c>
      <c r="N189" s="2" t="s">
        <v>30</v>
      </c>
      <c r="O189" s="2">
        <v>1</v>
      </c>
    </row>
    <row r="190" spans="1:15" x14ac:dyDescent="0.3">
      <c r="A190" s="2" t="s">
        <v>247</v>
      </c>
      <c r="B190" s="1">
        <v>46197</v>
      </c>
      <c r="C190" s="2" t="s">
        <v>16</v>
      </c>
      <c r="D190" s="2" t="s">
        <v>44</v>
      </c>
      <c r="E190" s="2" t="s">
        <v>26</v>
      </c>
      <c r="F190" s="2" t="s">
        <v>34</v>
      </c>
      <c r="G190" s="2" t="s">
        <v>28</v>
      </c>
      <c r="H190" s="2" t="s">
        <v>52</v>
      </c>
      <c r="I190" s="2">
        <v>23</v>
      </c>
      <c r="J190" s="2">
        <v>8</v>
      </c>
      <c r="K190" s="2">
        <v>48859.79</v>
      </c>
      <c r="L190" s="2">
        <v>99.56</v>
      </c>
      <c r="M190" s="2">
        <v>62.96</v>
      </c>
      <c r="N190" s="2" t="s">
        <v>30</v>
      </c>
      <c r="O190" s="2">
        <v>2</v>
      </c>
    </row>
    <row r="191" spans="1:15" x14ac:dyDescent="0.3">
      <c r="A191" s="2" t="s">
        <v>248</v>
      </c>
      <c r="B191" s="1">
        <v>45954</v>
      </c>
      <c r="C191" s="2" t="s">
        <v>74</v>
      </c>
      <c r="D191" s="2" t="s">
        <v>67</v>
      </c>
      <c r="E191" s="2" t="s">
        <v>45</v>
      </c>
      <c r="F191" s="2" t="s">
        <v>39</v>
      </c>
      <c r="G191" s="2" t="s">
        <v>20</v>
      </c>
      <c r="H191" s="2" t="s">
        <v>52</v>
      </c>
      <c r="I191" s="2">
        <v>35</v>
      </c>
      <c r="J191" s="2">
        <v>67</v>
      </c>
      <c r="K191" s="2">
        <v>9753.11</v>
      </c>
      <c r="L191" s="2">
        <v>225.28</v>
      </c>
      <c r="M191" s="2">
        <v>97.1</v>
      </c>
      <c r="N191" s="2" t="s">
        <v>30</v>
      </c>
      <c r="O191" s="2">
        <v>4</v>
      </c>
    </row>
    <row r="192" spans="1:15" x14ac:dyDescent="0.3">
      <c r="A192" s="2" t="s">
        <v>249</v>
      </c>
      <c r="B192" s="1">
        <v>45876</v>
      </c>
      <c r="C192" s="2" t="s">
        <v>16</v>
      </c>
      <c r="D192" s="2" t="s">
        <v>51</v>
      </c>
      <c r="E192" s="2" t="s">
        <v>26</v>
      </c>
      <c r="F192" s="2" t="s">
        <v>68</v>
      </c>
      <c r="G192" s="2" t="s">
        <v>28</v>
      </c>
      <c r="H192" s="2" t="s">
        <v>29</v>
      </c>
      <c r="I192" s="2">
        <v>56</v>
      </c>
      <c r="J192" s="2">
        <v>112</v>
      </c>
      <c r="K192" s="2">
        <v>22541.06</v>
      </c>
      <c r="L192" s="2">
        <v>158.47999999999999</v>
      </c>
      <c r="M192" s="2">
        <v>143.4</v>
      </c>
      <c r="N192" s="2" t="s">
        <v>22</v>
      </c>
      <c r="O192" s="2">
        <v>2</v>
      </c>
    </row>
    <row r="193" spans="1:15" x14ac:dyDescent="0.3">
      <c r="A193" s="2" t="s">
        <v>250</v>
      </c>
      <c r="B193" s="1">
        <v>45975</v>
      </c>
      <c r="C193" s="2" t="s">
        <v>41</v>
      </c>
      <c r="D193" s="2" t="s">
        <v>76</v>
      </c>
      <c r="E193" s="2" t="s">
        <v>38</v>
      </c>
      <c r="F193" s="2" t="s">
        <v>27</v>
      </c>
      <c r="G193" s="2" t="s">
        <v>64</v>
      </c>
      <c r="H193" s="2" t="s">
        <v>29</v>
      </c>
      <c r="I193" s="2">
        <v>67</v>
      </c>
      <c r="J193" s="2">
        <v>63</v>
      </c>
      <c r="K193" s="2">
        <v>24661.82</v>
      </c>
      <c r="L193" s="2">
        <v>57.06</v>
      </c>
      <c r="M193" s="2">
        <v>141.4</v>
      </c>
      <c r="N193" s="2" t="s">
        <v>30</v>
      </c>
      <c r="O193" s="2">
        <v>2</v>
      </c>
    </row>
    <row r="194" spans="1:15" x14ac:dyDescent="0.3">
      <c r="A194" s="2" t="s">
        <v>251</v>
      </c>
      <c r="B194" s="1">
        <v>46199</v>
      </c>
      <c r="C194" s="2" t="s">
        <v>90</v>
      </c>
      <c r="D194" s="2" t="s">
        <v>49</v>
      </c>
      <c r="E194" s="2" t="s">
        <v>38</v>
      </c>
      <c r="F194" s="2" t="s">
        <v>19</v>
      </c>
      <c r="G194" s="2" t="s">
        <v>35</v>
      </c>
      <c r="H194" s="2" t="s">
        <v>56</v>
      </c>
      <c r="I194" s="2">
        <v>66</v>
      </c>
      <c r="J194" s="2">
        <v>110</v>
      </c>
      <c r="K194" s="2">
        <v>40746.61</v>
      </c>
      <c r="L194" s="2">
        <v>212.04</v>
      </c>
      <c r="M194" s="2">
        <v>35.159999999999997</v>
      </c>
      <c r="N194" s="2" t="s">
        <v>30</v>
      </c>
      <c r="O194" s="2">
        <v>4</v>
      </c>
    </row>
    <row r="195" spans="1:15" x14ac:dyDescent="0.3">
      <c r="A195" s="2" t="s">
        <v>252</v>
      </c>
      <c r="B195" s="1">
        <v>45953</v>
      </c>
      <c r="C195" s="2" t="s">
        <v>16</v>
      </c>
      <c r="D195" s="2" t="s">
        <v>17</v>
      </c>
      <c r="E195" s="2" t="s">
        <v>45</v>
      </c>
      <c r="F195" s="2" t="s">
        <v>68</v>
      </c>
      <c r="G195" s="2" t="s">
        <v>64</v>
      </c>
      <c r="H195" s="2" t="s">
        <v>29</v>
      </c>
      <c r="I195" s="2">
        <v>72</v>
      </c>
      <c r="J195" s="2">
        <v>9</v>
      </c>
      <c r="K195" s="2">
        <v>5411.87</v>
      </c>
      <c r="L195" s="2">
        <v>90.42</v>
      </c>
      <c r="M195" s="2">
        <v>43.48</v>
      </c>
      <c r="N195" s="2" t="s">
        <v>30</v>
      </c>
      <c r="O195" s="2">
        <v>1</v>
      </c>
    </row>
    <row r="196" spans="1:15" x14ac:dyDescent="0.3">
      <c r="A196" s="2" t="s">
        <v>253</v>
      </c>
      <c r="B196" s="1">
        <v>46049</v>
      </c>
      <c r="C196" s="2" t="s">
        <v>16</v>
      </c>
      <c r="D196" s="2" t="s">
        <v>44</v>
      </c>
      <c r="E196" s="2" t="s">
        <v>26</v>
      </c>
      <c r="F196" s="2" t="s">
        <v>34</v>
      </c>
      <c r="G196" s="2" t="s">
        <v>64</v>
      </c>
      <c r="H196" s="2" t="s">
        <v>56</v>
      </c>
      <c r="I196" s="2">
        <v>39</v>
      </c>
      <c r="J196" s="2">
        <v>94</v>
      </c>
      <c r="K196" s="2">
        <v>21717.89</v>
      </c>
      <c r="L196" s="2">
        <v>165.57</v>
      </c>
      <c r="M196" s="2">
        <v>50.95</v>
      </c>
      <c r="N196" s="2" t="s">
        <v>30</v>
      </c>
      <c r="O196" s="2">
        <v>4</v>
      </c>
    </row>
    <row r="197" spans="1:15" x14ac:dyDescent="0.3">
      <c r="A197" s="2" t="s">
        <v>254</v>
      </c>
      <c r="B197" s="1">
        <v>45948</v>
      </c>
      <c r="C197" s="2" t="s">
        <v>54</v>
      </c>
      <c r="D197" s="2" t="s">
        <v>17</v>
      </c>
      <c r="E197" s="2" t="s">
        <v>38</v>
      </c>
      <c r="F197" s="2" t="s">
        <v>19</v>
      </c>
      <c r="G197" s="2" t="s">
        <v>35</v>
      </c>
      <c r="H197" s="2" t="s">
        <v>56</v>
      </c>
      <c r="I197" s="2">
        <v>33</v>
      </c>
      <c r="J197" s="2">
        <v>117</v>
      </c>
      <c r="K197" s="2">
        <v>31610.86</v>
      </c>
      <c r="L197" s="2">
        <v>91.63</v>
      </c>
      <c r="M197" s="2">
        <v>182.91</v>
      </c>
      <c r="N197" s="2" t="s">
        <v>30</v>
      </c>
      <c r="O197" s="2">
        <v>5</v>
      </c>
    </row>
    <row r="198" spans="1:15" x14ac:dyDescent="0.3">
      <c r="A198" s="2" t="s">
        <v>255</v>
      </c>
      <c r="B198" s="1">
        <v>46032</v>
      </c>
      <c r="C198" s="2" t="s">
        <v>54</v>
      </c>
      <c r="D198" s="2" t="s">
        <v>33</v>
      </c>
      <c r="E198" s="2" t="s">
        <v>18</v>
      </c>
      <c r="F198" s="2" t="s">
        <v>27</v>
      </c>
      <c r="G198" s="2" t="s">
        <v>35</v>
      </c>
      <c r="H198" s="2" t="s">
        <v>52</v>
      </c>
      <c r="I198" s="2">
        <v>62</v>
      </c>
      <c r="J198" s="2">
        <v>11</v>
      </c>
      <c r="K198" s="2">
        <v>11150.2</v>
      </c>
      <c r="L198" s="2">
        <v>95.42</v>
      </c>
      <c r="M198" s="2">
        <v>22.61</v>
      </c>
      <c r="N198" s="2" t="s">
        <v>30</v>
      </c>
      <c r="O198" s="2">
        <v>4</v>
      </c>
    </row>
    <row r="199" spans="1:15" x14ac:dyDescent="0.3">
      <c r="A199" s="2" t="s">
        <v>256</v>
      </c>
      <c r="B199" s="1">
        <v>46009</v>
      </c>
      <c r="C199" s="2" t="s">
        <v>24</v>
      </c>
      <c r="D199" s="2" t="s">
        <v>44</v>
      </c>
      <c r="E199" s="2" t="s">
        <v>58</v>
      </c>
      <c r="F199" s="2" t="s">
        <v>27</v>
      </c>
      <c r="G199" s="2" t="s">
        <v>55</v>
      </c>
      <c r="H199" s="2" t="s">
        <v>29</v>
      </c>
      <c r="I199" s="2">
        <v>41</v>
      </c>
      <c r="J199" s="2">
        <v>99</v>
      </c>
      <c r="K199" s="2">
        <v>31559.66</v>
      </c>
      <c r="L199" s="2">
        <v>139.56</v>
      </c>
      <c r="M199" s="2">
        <v>227.24</v>
      </c>
      <c r="N199" s="2" t="s">
        <v>22</v>
      </c>
      <c r="O199" s="2">
        <v>3</v>
      </c>
    </row>
    <row r="200" spans="1:15" x14ac:dyDescent="0.3">
      <c r="A200" s="2" t="s">
        <v>257</v>
      </c>
      <c r="B200" s="1">
        <v>46052</v>
      </c>
      <c r="C200" s="2" t="s">
        <v>32</v>
      </c>
      <c r="D200" s="2" t="s">
        <v>37</v>
      </c>
      <c r="E200" s="2" t="s">
        <v>58</v>
      </c>
      <c r="F200" s="2" t="s">
        <v>39</v>
      </c>
      <c r="G200" s="2" t="s">
        <v>55</v>
      </c>
      <c r="H200" s="2" t="s">
        <v>29</v>
      </c>
      <c r="I200" s="2">
        <v>57</v>
      </c>
      <c r="J200" s="2">
        <v>101</v>
      </c>
      <c r="K200" s="2">
        <v>46221.41</v>
      </c>
      <c r="L200" s="2">
        <v>499.93</v>
      </c>
      <c r="M200" s="2">
        <v>227.26</v>
      </c>
      <c r="N200" s="2" t="s">
        <v>30</v>
      </c>
      <c r="O200" s="2">
        <v>5</v>
      </c>
    </row>
    <row r="201" spans="1:15" x14ac:dyDescent="0.3">
      <c r="A201" s="2" t="s">
        <v>258</v>
      </c>
      <c r="B201" s="1">
        <v>46122</v>
      </c>
      <c r="C201" s="2" t="s">
        <v>41</v>
      </c>
      <c r="D201" s="2" t="s">
        <v>51</v>
      </c>
      <c r="E201" s="2" t="s">
        <v>58</v>
      </c>
      <c r="F201" s="2" t="s">
        <v>19</v>
      </c>
      <c r="G201" s="2" t="s">
        <v>64</v>
      </c>
      <c r="H201" s="2" t="s">
        <v>56</v>
      </c>
      <c r="I201" s="2">
        <v>47</v>
      </c>
      <c r="J201" s="2">
        <v>42</v>
      </c>
      <c r="K201" s="2">
        <v>49877.15</v>
      </c>
      <c r="L201" s="2">
        <v>50.98</v>
      </c>
      <c r="M201" s="2">
        <v>161.94999999999999</v>
      </c>
      <c r="N201" s="2" t="s">
        <v>30</v>
      </c>
      <c r="O201" s="2">
        <v>2</v>
      </c>
    </row>
    <row r="202" spans="1:15" x14ac:dyDescent="0.3">
      <c r="A202" s="2" t="s">
        <v>259</v>
      </c>
      <c r="B202" s="1">
        <v>45961</v>
      </c>
      <c r="C202" s="2" t="s">
        <v>16</v>
      </c>
      <c r="D202" s="2" t="s">
        <v>76</v>
      </c>
      <c r="E202" s="2" t="s">
        <v>26</v>
      </c>
      <c r="F202" s="2" t="s">
        <v>39</v>
      </c>
      <c r="G202" s="2" t="s">
        <v>64</v>
      </c>
      <c r="H202" s="2" t="s">
        <v>56</v>
      </c>
      <c r="I202" s="2">
        <v>72</v>
      </c>
      <c r="J202" s="2">
        <v>13</v>
      </c>
      <c r="K202" s="2">
        <v>2106.33</v>
      </c>
      <c r="L202" s="2">
        <v>337.4</v>
      </c>
      <c r="M202" s="2">
        <v>177.32</v>
      </c>
      <c r="N202" s="2" t="s">
        <v>30</v>
      </c>
      <c r="O202" s="2">
        <v>5</v>
      </c>
    </row>
    <row r="203" spans="1:15" x14ac:dyDescent="0.3">
      <c r="A203" s="2" t="s">
        <v>260</v>
      </c>
      <c r="B203" s="1">
        <v>46190</v>
      </c>
      <c r="C203" s="2" t="s">
        <v>43</v>
      </c>
      <c r="D203" s="2" t="s">
        <v>60</v>
      </c>
      <c r="E203" s="2" t="s">
        <v>45</v>
      </c>
      <c r="F203" s="2" t="s">
        <v>68</v>
      </c>
      <c r="G203" s="2" t="s">
        <v>20</v>
      </c>
      <c r="H203" s="2" t="s">
        <v>21</v>
      </c>
      <c r="I203" s="2">
        <v>49</v>
      </c>
      <c r="J203" s="2">
        <v>36</v>
      </c>
      <c r="K203" s="2">
        <v>12161.62</v>
      </c>
      <c r="L203" s="2">
        <v>113.56</v>
      </c>
      <c r="M203" s="2">
        <v>52.61</v>
      </c>
      <c r="N203" s="2" t="s">
        <v>22</v>
      </c>
      <c r="O203" s="2">
        <v>1</v>
      </c>
    </row>
    <row r="204" spans="1:15" x14ac:dyDescent="0.3">
      <c r="A204" s="2" t="s">
        <v>261</v>
      </c>
      <c r="B204" s="1">
        <v>46129</v>
      </c>
      <c r="C204" s="2" t="s">
        <v>16</v>
      </c>
      <c r="D204" s="2" t="s">
        <v>67</v>
      </c>
      <c r="E204" s="2" t="s">
        <v>38</v>
      </c>
      <c r="F204" s="2" t="s">
        <v>19</v>
      </c>
      <c r="G204" s="2" t="s">
        <v>20</v>
      </c>
      <c r="H204" s="2" t="s">
        <v>21</v>
      </c>
      <c r="I204" s="2">
        <v>40</v>
      </c>
      <c r="J204" s="2">
        <v>13</v>
      </c>
      <c r="K204" s="2">
        <v>15860.2</v>
      </c>
      <c r="L204" s="2">
        <v>464.28</v>
      </c>
      <c r="M204" s="2">
        <v>44.91</v>
      </c>
      <c r="N204" s="2" t="s">
        <v>30</v>
      </c>
      <c r="O204" s="2">
        <v>1</v>
      </c>
    </row>
    <row r="205" spans="1:15" x14ac:dyDescent="0.3">
      <c r="A205" s="2" t="s">
        <v>262</v>
      </c>
      <c r="B205" s="1">
        <v>46067</v>
      </c>
      <c r="C205" s="2" t="s">
        <v>90</v>
      </c>
      <c r="D205" s="2" t="s">
        <v>33</v>
      </c>
      <c r="E205" s="2" t="s">
        <v>18</v>
      </c>
      <c r="F205" s="2" t="s">
        <v>68</v>
      </c>
      <c r="G205" s="2" t="s">
        <v>55</v>
      </c>
      <c r="H205" s="2" t="s">
        <v>56</v>
      </c>
      <c r="I205" s="2">
        <v>45</v>
      </c>
      <c r="J205" s="2">
        <v>12</v>
      </c>
      <c r="K205" s="2">
        <v>20256.740000000002</v>
      </c>
      <c r="L205" s="2">
        <v>92.13</v>
      </c>
      <c r="M205" s="2">
        <v>93.1</v>
      </c>
      <c r="N205" s="2" t="s">
        <v>22</v>
      </c>
      <c r="O205" s="2">
        <v>4</v>
      </c>
    </row>
    <row r="206" spans="1:15" x14ac:dyDescent="0.3">
      <c r="A206" s="2" t="s">
        <v>263</v>
      </c>
      <c r="B206" s="1">
        <v>46135</v>
      </c>
      <c r="C206" s="2" t="s">
        <v>24</v>
      </c>
      <c r="D206" s="2" t="s">
        <v>60</v>
      </c>
      <c r="E206" s="2" t="s">
        <v>18</v>
      </c>
      <c r="F206" s="2" t="s">
        <v>39</v>
      </c>
      <c r="G206" s="2" t="s">
        <v>55</v>
      </c>
      <c r="H206" s="2" t="s">
        <v>21</v>
      </c>
      <c r="I206" s="2">
        <v>26</v>
      </c>
      <c r="J206" s="2">
        <v>37</v>
      </c>
      <c r="K206" s="2">
        <v>12491.73</v>
      </c>
      <c r="L206" s="2">
        <v>479.78</v>
      </c>
      <c r="M206" s="2">
        <v>53.02</v>
      </c>
      <c r="N206" s="2" t="s">
        <v>30</v>
      </c>
      <c r="O206" s="2">
        <v>5</v>
      </c>
    </row>
    <row r="207" spans="1:15" x14ac:dyDescent="0.3">
      <c r="A207" s="2" t="s">
        <v>264</v>
      </c>
      <c r="B207" s="1">
        <v>45933</v>
      </c>
      <c r="C207" s="2" t="s">
        <v>32</v>
      </c>
      <c r="D207" s="2" t="s">
        <v>76</v>
      </c>
      <c r="E207" s="2" t="s">
        <v>26</v>
      </c>
      <c r="F207" s="2" t="s">
        <v>19</v>
      </c>
      <c r="G207" s="2" t="s">
        <v>20</v>
      </c>
      <c r="H207" s="2" t="s">
        <v>21</v>
      </c>
      <c r="I207" s="2">
        <v>56</v>
      </c>
      <c r="J207" s="2">
        <v>74</v>
      </c>
      <c r="K207" s="2">
        <v>10572.66</v>
      </c>
      <c r="L207" s="2">
        <v>324.92</v>
      </c>
      <c r="M207" s="2">
        <v>146.86000000000001</v>
      </c>
      <c r="N207" s="2" t="s">
        <v>22</v>
      </c>
      <c r="O207" s="2">
        <v>2</v>
      </c>
    </row>
    <row r="208" spans="1:15" x14ac:dyDescent="0.3">
      <c r="A208" s="2" t="s">
        <v>265</v>
      </c>
      <c r="B208" s="1">
        <v>45988</v>
      </c>
      <c r="C208" s="2" t="s">
        <v>43</v>
      </c>
      <c r="D208" s="2" t="s">
        <v>49</v>
      </c>
      <c r="E208" s="2" t="s">
        <v>58</v>
      </c>
      <c r="F208" s="2" t="s">
        <v>39</v>
      </c>
      <c r="G208" s="2" t="s">
        <v>20</v>
      </c>
      <c r="H208" s="2" t="s">
        <v>56</v>
      </c>
      <c r="I208" s="2">
        <v>22</v>
      </c>
      <c r="J208" s="2">
        <v>73</v>
      </c>
      <c r="K208" s="2">
        <v>47750.42</v>
      </c>
      <c r="L208" s="2">
        <v>50.57</v>
      </c>
      <c r="M208" s="2">
        <v>127.19</v>
      </c>
      <c r="N208" s="2" t="s">
        <v>30</v>
      </c>
      <c r="O208" s="2">
        <v>1</v>
      </c>
    </row>
    <row r="209" spans="1:15" x14ac:dyDescent="0.3">
      <c r="A209" s="2" t="s">
        <v>266</v>
      </c>
      <c r="B209" s="1">
        <v>45895</v>
      </c>
      <c r="C209" s="2" t="s">
        <v>24</v>
      </c>
      <c r="D209" s="2" t="s">
        <v>82</v>
      </c>
      <c r="E209" s="2" t="s">
        <v>26</v>
      </c>
      <c r="F209" s="2" t="s">
        <v>19</v>
      </c>
      <c r="G209" s="2" t="s">
        <v>28</v>
      </c>
      <c r="H209" s="2" t="s">
        <v>56</v>
      </c>
      <c r="I209" s="2">
        <v>42</v>
      </c>
      <c r="J209" s="2">
        <v>52</v>
      </c>
      <c r="K209" s="2">
        <v>45966.82</v>
      </c>
      <c r="L209" s="2">
        <v>452.3</v>
      </c>
      <c r="M209" s="2">
        <v>175</v>
      </c>
      <c r="N209" s="2" t="s">
        <v>22</v>
      </c>
      <c r="O209" s="2">
        <v>2</v>
      </c>
    </row>
    <row r="210" spans="1:15" x14ac:dyDescent="0.3">
      <c r="A210" s="2" t="s">
        <v>267</v>
      </c>
      <c r="B210" s="1">
        <v>46046</v>
      </c>
      <c r="C210" s="2" t="s">
        <v>74</v>
      </c>
      <c r="D210" s="2" t="s">
        <v>37</v>
      </c>
      <c r="E210" s="2" t="s">
        <v>45</v>
      </c>
      <c r="F210" s="2" t="s">
        <v>39</v>
      </c>
      <c r="G210" s="2" t="s">
        <v>28</v>
      </c>
      <c r="H210" s="2" t="s">
        <v>29</v>
      </c>
      <c r="I210" s="2">
        <v>52</v>
      </c>
      <c r="J210" s="2">
        <v>71</v>
      </c>
      <c r="K210" s="2">
        <v>2826.13</v>
      </c>
      <c r="L210" s="2">
        <v>284.77</v>
      </c>
      <c r="M210" s="2">
        <v>24.83</v>
      </c>
      <c r="N210" s="2" t="s">
        <v>30</v>
      </c>
      <c r="O210" s="2">
        <v>3</v>
      </c>
    </row>
    <row r="211" spans="1:15" x14ac:dyDescent="0.3">
      <c r="A211" s="2" t="s">
        <v>268</v>
      </c>
      <c r="B211" s="1">
        <v>45946</v>
      </c>
      <c r="C211" s="2" t="s">
        <v>32</v>
      </c>
      <c r="D211" s="2" t="s">
        <v>76</v>
      </c>
      <c r="E211" s="2" t="s">
        <v>45</v>
      </c>
      <c r="F211" s="2" t="s">
        <v>27</v>
      </c>
      <c r="G211" s="2" t="s">
        <v>20</v>
      </c>
      <c r="H211" s="2" t="s">
        <v>56</v>
      </c>
      <c r="I211" s="2">
        <v>36</v>
      </c>
      <c r="J211" s="2">
        <v>2</v>
      </c>
      <c r="K211" s="2">
        <v>17271.240000000002</v>
      </c>
      <c r="L211" s="2">
        <v>168.2</v>
      </c>
      <c r="M211" s="2">
        <v>183.02</v>
      </c>
      <c r="N211" s="2" t="s">
        <v>30</v>
      </c>
      <c r="O211" s="2">
        <v>1</v>
      </c>
    </row>
    <row r="212" spans="1:15" x14ac:dyDescent="0.3">
      <c r="A212" s="2" t="s">
        <v>269</v>
      </c>
      <c r="B212" s="1">
        <v>45975</v>
      </c>
      <c r="C212" s="2" t="s">
        <v>16</v>
      </c>
      <c r="D212" s="2" t="s">
        <v>37</v>
      </c>
      <c r="E212" s="2" t="s">
        <v>38</v>
      </c>
      <c r="F212" s="2" t="s">
        <v>39</v>
      </c>
      <c r="G212" s="2" t="s">
        <v>28</v>
      </c>
      <c r="H212" s="2" t="s">
        <v>56</v>
      </c>
      <c r="I212" s="2">
        <v>38</v>
      </c>
      <c r="J212" s="2">
        <v>118</v>
      </c>
      <c r="K212" s="2">
        <v>20554.849999999999</v>
      </c>
      <c r="L212" s="2">
        <v>395.28</v>
      </c>
      <c r="M212" s="2">
        <v>58.67</v>
      </c>
      <c r="N212" s="2" t="s">
        <v>22</v>
      </c>
      <c r="O212" s="2">
        <v>4</v>
      </c>
    </row>
    <row r="213" spans="1:15" x14ac:dyDescent="0.3">
      <c r="A213" s="2" t="s">
        <v>270</v>
      </c>
      <c r="B213" s="1">
        <v>45998</v>
      </c>
      <c r="C213" s="2" t="s">
        <v>16</v>
      </c>
      <c r="D213" s="2" t="s">
        <v>25</v>
      </c>
      <c r="E213" s="2" t="s">
        <v>38</v>
      </c>
      <c r="F213" s="2" t="s">
        <v>27</v>
      </c>
      <c r="G213" s="2" t="s">
        <v>35</v>
      </c>
      <c r="H213" s="2" t="s">
        <v>52</v>
      </c>
      <c r="I213" s="2">
        <v>25</v>
      </c>
      <c r="J213" s="2">
        <v>56</v>
      </c>
      <c r="K213" s="2">
        <v>12331.22</v>
      </c>
      <c r="L213" s="2">
        <v>467</v>
      </c>
      <c r="M213" s="2">
        <v>98.14</v>
      </c>
      <c r="N213" s="2" t="s">
        <v>30</v>
      </c>
      <c r="O213" s="2">
        <v>3</v>
      </c>
    </row>
    <row r="214" spans="1:15" x14ac:dyDescent="0.3">
      <c r="A214" s="2" t="s">
        <v>271</v>
      </c>
      <c r="B214" s="1">
        <v>46226</v>
      </c>
      <c r="C214" s="2" t="s">
        <v>32</v>
      </c>
      <c r="D214" s="2" t="s">
        <v>37</v>
      </c>
      <c r="E214" s="2" t="s">
        <v>45</v>
      </c>
      <c r="F214" s="2" t="s">
        <v>39</v>
      </c>
      <c r="G214" s="2" t="s">
        <v>55</v>
      </c>
      <c r="H214" s="2" t="s">
        <v>29</v>
      </c>
      <c r="I214" s="2">
        <v>74</v>
      </c>
      <c r="J214" s="2">
        <v>60</v>
      </c>
      <c r="K214" s="2">
        <v>31629.21</v>
      </c>
      <c r="L214" s="2">
        <v>267.66000000000003</v>
      </c>
      <c r="M214" s="2">
        <v>131.58000000000001</v>
      </c>
      <c r="N214" s="2" t="s">
        <v>22</v>
      </c>
      <c r="O214" s="2">
        <v>5</v>
      </c>
    </row>
    <row r="215" spans="1:15" x14ac:dyDescent="0.3">
      <c r="A215" s="2" t="s">
        <v>272</v>
      </c>
      <c r="B215" s="1">
        <v>45947</v>
      </c>
      <c r="C215" s="2" t="s">
        <v>16</v>
      </c>
      <c r="D215" s="2" t="s">
        <v>17</v>
      </c>
      <c r="E215" s="2" t="s">
        <v>45</v>
      </c>
      <c r="F215" s="2" t="s">
        <v>19</v>
      </c>
      <c r="G215" s="2" t="s">
        <v>55</v>
      </c>
      <c r="H215" s="2" t="s">
        <v>29</v>
      </c>
      <c r="I215" s="2">
        <v>56</v>
      </c>
      <c r="J215" s="2">
        <v>23</v>
      </c>
      <c r="K215" s="2">
        <v>32198.85</v>
      </c>
      <c r="L215" s="2">
        <v>192</v>
      </c>
      <c r="M215" s="2">
        <v>228.09</v>
      </c>
      <c r="N215" s="2" t="s">
        <v>30</v>
      </c>
      <c r="O215" s="2">
        <v>2</v>
      </c>
    </row>
    <row r="216" spans="1:15" x14ac:dyDescent="0.3">
      <c r="A216" s="2" t="s">
        <v>273</v>
      </c>
      <c r="B216" s="1">
        <v>46101</v>
      </c>
      <c r="C216" s="2" t="s">
        <v>41</v>
      </c>
      <c r="D216" s="2" t="s">
        <v>25</v>
      </c>
      <c r="E216" s="2" t="s">
        <v>45</v>
      </c>
      <c r="F216" s="2" t="s">
        <v>19</v>
      </c>
      <c r="G216" s="2" t="s">
        <v>20</v>
      </c>
      <c r="H216" s="2" t="s">
        <v>29</v>
      </c>
      <c r="I216" s="2">
        <v>50</v>
      </c>
      <c r="J216" s="2">
        <v>103</v>
      </c>
      <c r="K216" s="2">
        <v>42599.96</v>
      </c>
      <c r="L216" s="2">
        <v>405.03</v>
      </c>
      <c r="M216" s="2">
        <v>126.1</v>
      </c>
      <c r="N216" s="2" t="s">
        <v>22</v>
      </c>
      <c r="O216" s="2">
        <v>1</v>
      </c>
    </row>
    <row r="217" spans="1:15" x14ac:dyDescent="0.3">
      <c r="A217" s="2" t="s">
        <v>274</v>
      </c>
      <c r="B217" s="1">
        <v>46084</v>
      </c>
      <c r="C217" s="2" t="s">
        <v>32</v>
      </c>
      <c r="D217" s="2" t="s">
        <v>78</v>
      </c>
      <c r="E217" s="2" t="s">
        <v>26</v>
      </c>
      <c r="F217" s="2" t="s">
        <v>19</v>
      </c>
      <c r="G217" s="2" t="s">
        <v>64</v>
      </c>
      <c r="H217" s="2" t="s">
        <v>52</v>
      </c>
      <c r="I217" s="2">
        <v>65</v>
      </c>
      <c r="J217" s="2">
        <v>40</v>
      </c>
      <c r="K217" s="2">
        <v>37173.03</v>
      </c>
      <c r="L217" s="2">
        <v>356.8</v>
      </c>
      <c r="M217" s="2">
        <v>188.71</v>
      </c>
      <c r="N217" s="2" t="s">
        <v>22</v>
      </c>
      <c r="O217" s="2">
        <v>3</v>
      </c>
    </row>
    <row r="218" spans="1:15" x14ac:dyDescent="0.3">
      <c r="A218" s="2" t="s">
        <v>275</v>
      </c>
      <c r="B218" s="1">
        <v>46156</v>
      </c>
      <c r="C218" s="2" t="s">
        <v>24</v>
      </c>
      <c r="D218" s="2" t="s">
        <v>60</v>
      </c>
      <c r="E218" s="2" t="s">
        <v>45</v>
      </c>
      <c r="F218" s="2" t="s">
        <v>34</v>
      </c>
      <c r="G218" s="2" t="s">
        <v>20</v>
      </c>
      <c r="H218" s="2" t="s">
        <v>56</v>
      </c>
      <c r="I218" s="2">
        <v>39</v>
      </c>
      <c r="J218" s="2">
        <v>64</v>
      </c>
      <c r="K218" s="2">
        <v>27357.38</v>
      </c>
      <c r="L218" s="2">
        <v>449.94</v>
      </c>
      <c r="M218" s="2">
        <v>180.51</v>
      </c>
      <c r="N218" s="2" t="s">
        <v>22</v>
      </c>
      <c r="O218" s="2">
        <v>3</v>
      </c>
    </row>
    <row r="219" spans="1:15" x14ac:dyDescent="0.3">
      <c r="A219" s="2" t="s">
        <v>276</v>
      </c>
      <c r="B219" s="1">
        <v>46091</v>
      </c>
      <c r="C219" s="2" t="s">
        <v>32</v>
      </c>
      <c r="D219" s="2" t="s">
        <v>82</v>
      </c>
      <c r="E219" s="2" t="s">
        <v>18</v>
      </c>
      <c r="F219" s="2" t="s">
        <v>68</v>
      </c>
      <c r="G219" s="2" t="s">
        <v>28</v>
      </c>
      <c r="H219" s="2" t="s">
        <v>29</v>
      </c>
      <c r="I219" s="2">
        <v>43</v>
      </c>
      <c r="J219" s="2">
        <v>103</v>
      </c>
      <c r="K219" s="2">
        <v>32852.550000000003</v>
      </c>
      <c r="L219" s="2">
        <v>361.63</v>
      </c>
      <c r="M219" s="2">
        <v>261.64</v>
      </c>
      <c r="N219" s="2" t="s">
        <v>22</v>
      </c>
      <c r="O219" s="2">
        <v>1</v>
      </c>
    </row>
    <row r="220" spans="1:15" x14ac:dyDescent="0.3">
      <c r="A220" s="2" t="s">
        <v>277</v>
      </c>
      <c r="B220" s="1">
        <v>45998</v>
      </c>
      <c r="C220" s="2" t="s">
        <v>43</v>
      </c>
      <c r="D220" s="2" t="s">
        <v>25</v>
      </c>
      <c r="E220" s="2" t="s">
        <v>58</v>
      </c>
      <c r="F220" s="2" t="s">
        <v>19</v>
      </c>
      <c r="G220" s="2" t="s">
        <v>64</v>
      </c>
      <c r="H220" s="2" t="s">
        <v>29</v>
      </c>
      <c r="I220" s="2">
        <v>54</v>
      </c>
      <c r="J220" s="2">
        <v>85</v>
      </c>
      <c r="K220" s="2">
        <v>14062.44</v>
      </c>
      <c r="L220" s="2">
        <v>159.59</v>
      </c>
      <c r="M220" s="2">
        <v>21.38</v>
      </c>
      <c r="N220" s="2" t="s">
        <v>22</v>
      </c>
      <c r="O220" s="2">
        <v>5</v>
      </c>
    </row>
    <row r="221" spans="1:15" x14ac:dyDescent="0.3">
      <c r="A221" s="2" t="s">
        <v>278</v>
      </c>
      <c r="B221" s="1">
        <v>46182</v>
      </c>
      <c r="C221" s="2" t="s">
        <v>16</v>
      </c>
      <c r="D221" s="2" t="s">
        <v>49</v>
      </c>
      <c r="E221" s="2" t="s">
        <v>45</v>
      </c>
      <c r="F221" s="2" t="s">
        <v>27</v>
      </c>
      <c r="G221" s="2" t="s">
        <v>28</v>
      </c>
      <c r="H221" s="2" t="s">
        <v>21</v>
      </c>
      <c r="I221" s="2">
        <v>33</v>
      </c>
      <c r="J221" s="2">
        <v>23</v>
      </c>
      <c r="K221" s="2">
        <v>29856.28</v>
      </c>
      <c r="L221" s="2">
        <v>469.25</v>
      </c>
      <c r="M221" s="2">
        <v>170.85</v>
      </c>
      <c r="N221" s="2" t="s">
        <v>22</v>
      </c>
      <c r="O221" s="2">
        <v>5</v>
      </c>
    </row>
    <row r="222" spans="1:15" x14ac:dyDescent="0.3">
      <c r="A222" s="2" t="s">
        <v>279</v>
      </c>
      <c r="B222" s="1">
        <v>46025</v>
      </c>
      <c r="C222" s="2" t="s">
        <v>41</v>
      </c>
      <c r="D222" s="2" t="s">
        <v>33</v>
      </c>
      <c r="E222" s="2" t="s">
        <v>58</v>
      </c>
      <c r="F222" s="2" t="s">
        <v>19</v>
      </c>
      <c r="G222" s="2" t="s">
        <v>35</v>
      </c>
      <c r="H222" s="2" t="s">
        <v>29</v>
      </c>
      <c r="I222" s="2">
        <v>63</v>
      </c>
      <c r="J222" s="2">
        <v>29</v>
      </c>
      <c r="K222" s="2">
        <v>24716.75</v>
      </c>
      <c r="L222" s="2">
        <v>97.18</v>
      </c>
      <c r="M222" s="2">
        <v>234.5</v>
      </c>
      <c r="N222" s="2" t="s">
        <v>30</v>
      </c>
      <c r="O222" s="2">
        <v>4</v>
      </c>
    </row>
    <row r="223" spans="1:15" x14ac:dyDescent="0.3">
      <c r="A223" s="2" t="s">
        <v>280</v>
      </c>
      <c r="B223" s="1">
        <v>45881</v>
      </c>
      <c r="C223" s="2" t="s">
        <v>41</v>
      </c>
      <c r="D223" s="2" t="s">
        <v>76</v>
      </c>
      <c r="E223" s="2" t="s">
        <v>26</v>
      </c>
      <c r="F223" s="2" t="s">
        <v>34</v>
      </c>
      <c r="G223" s="2" t="s">
        <v>28</v>
      </c>
      <c r="H223" s="2" t="s">
        <v>56</v>
      </c>
      <c r="I223" s="2">
        <v>74</v>
      </c>
      <c r="J223" s="2">
        <v>78</v>
      </c>
      <c r="K223" s="2">
        <v>7100.55</v>
      </c>
      <c r="L223" s="2">
        <v>170.57</v>
      </c>
      <c r="M223" s="2">
        <v>20.7</v>
      </c>
      <c r="N223" s="2" t="s">
        <v>30</v>
      </c>
      <c r="O223" s="2">
        <v>5</v>
      </c>
    </row>
    <row r="224" spans="1:15" x14ac:dyDescent="0.3">
      <c r="A224" s="2" t="s">
        <v>281</v>
      </c>
      <c r="B224" s="1">
        <v>46214</v>
      </c>
      <c r="C224" s="2" t="s">
        <v>74</v>
      </c>
      <c r="D224" s="2" t="s">
        <v>47</v>
      </c>
      <c r="E224" s="2" t="s">
        <v>58</v>
      </c>
      <c r="F224" s="2" t="s">
        <v>27</v>
      </c>
      <c r="G224" s="2" t="s">
        <v>35</v>
      </c>
      <c r="H224" s="2" t="s">
        <v>56</v>
      </c>
      <c r="I224" s="2">
        <v>49</v>
      </c>
      <c r="J224" s="2">
        <v>90</v>
      </c>
      <c r="K224" s="2">
        <v>12505.94</v>
      </c>
      <c r="L224" s="2">
        <v>284.08999999999997</v>
      </c>
      <c r="M224" s="2">
        <v>21.48</v>
      </c>
      <c r="N224" s="2" t="s">
        <v>22</v>
      </c>
      <c r="O224" s="2">
        <v>4</v>
      </c>
    </row>
    <row r="225" spans="1:15" x14ac:dyDescent="0.3">
      <c r="A225" s="2" t="s">
        <v>282</v>
      </c>
      <c r="B225" s="1">
        <v>45955</v>
      </c>
      <c r="C225" s="2" t="s">
        <v>24</v>
      </c>
      <c r="D225" s="2" t="s">
        <v>33</v>
      </c>
      <c r="E225" s="2" t="s">
        <v>26</v>
      </c>
      <c r="F225" s="2" t="s">
        <v>34</v>
      </c>
      <c r="G225" s="2" t="s">
        <v>35</v>
      </c>
      <c r="H225" s="2" t="s">
        <v>21</v>
      </c>
      <c r="I225" s="2">
        <v>56</v>
      </c>
      <c r="J225" s="2">
        <v>51</v>
      </c>
      <c r="K225" s="2">
        <v>14938.83</v>
      </c>
      <c r="L225" s="2">
        <v>304.58</v>
      </c>
      <c r="M225" s="2">
        <v>20.23</v>
      </c>
      <c r="N225" s="2" t="s">
        <v>22</v>
      </c>
      <c r="O225" s="2">
        <v>3</v>
      </c>
    </row>
    <row r="226" spans="1:15" x14ac:dyDescent="0.3">
      <c r="A226" s="2" t="s">
        <v>283</v>
      </c>
      <c r="B226" s="1">
        <v>46207</v>
      </c>
      <c r="C226" s="2" t="s">
        <v>54</v>
      </c>
      <c r="D226" s="2" t="s">
        <v>78</v>
      </c>
      <c r="E226" s="2" t="s">
        <v>18</v>
      </c>
      <c r="F226" s="2" t="s">
        <v>27</v>
      </c>
      <c r="G226" s="2" t="s">
        <v>28</v>
      </c>
      <c r="H226" s="2" t="s">
        <v>29</v>
      </c>
      <c r="I226" s="2">
        <v>42</v>
      </c>
      <c r="J226" s="2">
        <v>69</v>
      </c>
      <c r="K226" s="2">
        <v>46253.32</v>
      </c>
      <c r="L226" s="2">
        <v>56.89</v>
      </c>
      <c r="M226" s="2">
        <v>3.4</v>
      </c>
      <c r="N226" s="2" t="s">
        <v>22</v>
      </c>
      <c r="O226" s="2">
        <v>1</v>
      </c>
    </row>
    <row r="227" spans="1:15" x14ac:dyDescent="0.3">
      <c r="A227" s="2" t="s">
        <v>284</v>
      </c>
      <c r="B227" s="1">
        <v>46109</v>
      </c>
      <c r="C227" s="2" t="s">
        <v>54</v>
      </c>
      <c r="D227" s="2" t="s">
        <v>33</v>
      </c>
      <c r="E227" s="2" t="s">
        <v>26</v>
      </c>
      <c r="F227" s="2" t="s">
        <v>39</v>
      </c>
      <c r="G227" s="2" t="s">
        <v>28</v>
      </c>
      <c r="H227" s="2" t="s">
        <v>29</v>
      </c>
      <c r="I227" s="2">
        <v>72</v>
      </c>
      <c r="J227" s="2">
        <v>119</v>
      </c>
      <c r="K227" s="2">
        <v>11904.14</v>
      </c>
      <c r="L227" s="2">
        <v>401.26</v>
      </c>
      <c r="M227" s="2">
        <v>164.6</v>
      </c>
      <c r="N227" s="2" t="s">
        <v>22</v>
      </c>
      <c r="O227" s="2">
        <v>5</v>
      </c>
    </row>
    <row r="228" spans="1:15" x14ac:dyDescent="0.3">
      <c r="A228" s="2" t="s">
        <v>285</v>
      </c>
      <c r="B228" s="1">
        <v>46153</v>
      </c>
      <c r="C228" s="2" t="s">
        <v>32</v>
      </c>
      <c r="D228" s="2" t="s">
        <v>62</v>
      </c>
      <c r="E228" s="2" t="s">
        <v>26</v>
      </c>
      <c r="F228" s="2" t="s">
        <v>68</v>
      </c>
      <c r="G228" s="2" t="s">
        <v>35</v>
      </c>
      <c r="H228" s="2" t="s">
        <v>29</v>
      </c>
      <c r="I228" s="2">
        <v>72</v>
      </c>
      <c r="J228" s="2">
        <v>95</v>
      </c>
      <c r="K228" s="2">
        <v>14817.57</v>
      </c>
      <c r="L228" s="2">
        <v>212.72</v>
      </c>
      <c r="M228" s="2">
        <v>292.02</v>
      </c>
      <c r="N228" s="2" t="s">
        <v>22</v>
      </c>
      <c r="O228" s="2">
        <v>4</v>
      </c>
    </row>
    <row r="229" spans="1:15" x14ac:dyDescent="0.3">
      <c r="A229" s="2" t="s">
        <v>286</v>
      </c>
      <c r="B229" s="1">
        <v>46090</v>
      </c>
      <c r="C229" s="2" t="s">
        <v>74</v>
      </c>
      <c r="D229" s="2" t="s">
        <v>49</v>
      </c>
      <c r="E229" s="2" t="s">
        <v>38</v>
      </c>
      <c r="F229" s="2" t="s">
        <v>68</v>
      </c>
      <c r="G229" s="2" t="s">
        <v>64</v>
      </c>
      <c r="H229" s="2" t="s">
        <v>52</v>
      </c>
      <c r="I229" s="2">
        <v>67</v>
      </c>
      <c r="J229" s="2">
        <v>89</v>
      </c>
      <c r="K229" s="2">
        <v>18783.03</v>
      </c>
      <c r="L229" s="2">
        <v>232.89</v>
      </c>
      <c r="M229" s="2">
        <v>87.74</v>
      </c>
      <c r="N229" s="2" t="s">
        <v>30</v>
      </c>
      <c r="O229" s="2">
        <v>3</v>
      </c>
    </row>
    <row r="230" spans="1:15" x14ac:dyDescent="0.3">
      <c r="A230" s="2" t="s">
        <v>287</v>
      </c>
      <c r="B230" s="1">
        <v>46041</v>
      </c>
      <c r="C230" s="2" t="s">
        <v>90</v>
      </c>
      <c r="D230" s="2" t="s">
        <v>47</v>
      </c>
      <c r="E230" s="2" t="s">
        <v>45</v>
      </c>
      <c r="F230" s="2" t="s">
        <v>34</v>
      </c>
      <c r="G230" s="2" t="s">
        <v>35</v>
      </c>
      <c r="H230" s="2" t="s">
        <v>29</v>
      </c>
      <c r="I230" s="2">
        <v>56</v>
      </c>
      <c r="J230" s="2">
        <v>31</v>
      </c>
      <c r="K230" s="2">
        <v>33355.269999999997</v>
      </c>
      <c r="L230" s="2">
        <v>414.22</v>
      </c>
      <c r="M230" s="2">
        <v>162.22999999999999</v>
      </c>
      <c r="N230" s="2" t="s">
        <v>30</v>
      </c>
      <c r="O230" s="2">
        <v>5</v>
      </c>
    </row>
    <row r="231" spans="1:15" x14ac:dyDescent="0.3">
      <c r="A231" s="2" t="s">
        <v>288</v>
      </c>
      <c r="B231" s="1">
        <v>46101</v>
      </c>
      <c r="C231" s="2" t="s">
        <v>32</v>
      </c>
      <c r="D231" s="2" t="s">
        <v>25</v>
      </c>
      <c r="E231" s="2" t="s">
        <v>45</v>
      </c>
      <c r="F231" s="2" t="s">
        <v>68</v>
      </c>
      <c r="G231" s="2" t="s">
        <v>55</v>
      </c>
      <c r="H231" s="2" t="s">
        <v>56</v>
      </c>
      <c r="I231" s="2">
        <v>29</v>
      </c>
      <c r="J231" s="2">
        <v>50</v>
      </c>
      <c r="K231" s="2">
        <v>6352.8</v>
      </c>
      <c r="L231" s="2">
        <v>220.68</v>
      </c>
      <c r="M231" s="2">
        <v>193.59</v>
      </c>
      <c r="N231" s="2" t="s">
        <v>30</v>
      </c>
      <c r="O231" s="2">
        <v>2</v>
      </c>
    </row>
    <row r="232" spans="1:15" x14ac:dyDescent="0.3">
      <c r="A232" s="2" t="s">
        <v>289</v>
      </c>
      <c r="B232" s="1">
        <v>46142</v>
      </c>
      <c r="C232" s="2" t="s">
        <v>74</v>
      </c>
      <c r="D232" s="2" t="s">
        <v>25</v>
      </c>
      <c r="E232" s="2" t="s">
        <v>18</v>
      </c>
      <c r="F232" s="2" t="s">
        <v>34</v>
      </c>
      <c r="G232" s="2" t="s">
        <v>35</v>
      </c>
      <c r="H232" s="2" t="s">
        <v>56</v>
      </c>
      <c r="I232" s="2">
        <v>59</v>
      </c>
      <c r="J232" s="2">
        <v>20</v>
      </c>
      <c r="K232" s="2">
        <v>47720.29</v>
      </c>
      <c r="L232" s="2">
        <v>71.25</v>
      </c>
      <c r="M232" s="2">
        <v>51.04</v>
      </c>
      <c r="N232" s="2" t="s">
        <v>30</v>
      </c>
      <c r="O232" s="2">
        <v>3</v>
      </c>
    </row>
    <row r="233" spans="1:15" x14ac:dyDescent="0.3">
      <c r="A233" s="2" t="s">
        <v>290</v>
      </c>
      <c r="B233" s="1">
        <v>45913</v>
      </c>
      <c r="C233" s="2" t="s">
        <v>24</v>
      </c>
      <c r="D233" s="2" t="s">
        <v>25</v>
      </c>
      <c r="E233" s="2" t="s">
        <v>18</v>
      </c>
      <c r="F233" s="2" t="s">
        <v>34</v>
      </c>
      <c r="G233" s="2" t="s">
        <v>64</v>
      </c>
      <c r="H233" s="2" t="s">
        <v>52</v>
      </c>
      <c r="I233" s="2">
        <v>71</v>
      </c>
      <c r="J233" s="2">
        <v>108</v>
      </c>
      <c r="K233" s="2">
        <v>43345.78</v>
      </c>
      <c r="L233" s="2">
        <v>129.4</v>
      </c>
      <c r="M233" s="2">
        <v>171.69</v>
      </c>
      <c r="N233" s="2" t="s">
        <v>30</v>
      </c>
      <c r="O233" s="2">
        <v>5</v>
      </c>
    </row>
    <row r="234" spans="1:15" x14ac:dyDescent="0.3">
      <c r="A234" s="2" t="s">
        <v>291</v>
      </c>
      <c r="B234" s="1">
        <v>46224</v>
      </c>
      <c r="C234" s="2" t="s">
        <v>24</v>
      </c>
      <c r="D234" s="2" t="s">
        <v>78</v>
      </c>
      <c r="E234" s="2" t="s">
        <v>45</v>
      </c>
      <c r="F234" s="2" t="s">
        <v>34</v>
      </c>
      <c r="G234" s="2" t="s">
        <v>55</v>
      </c>
      <c r="H234" s="2" t="s">
        <v>52</v>
      </c>
      <c r="I234" s="2">
        <v>39</v>
      </c>
      <c r="J234" s="2">
        <v>55</v>
      </c>
      <c r="K234" s="2">
        <v>29072.2</v>
      </c>
      <c r="L234" s="2">
        <v>480.16</v>
      </c>
      <c r="M234" s="2">
        <v>109.28</v>
      </c>
      <c r="N234" s="2" t="s">
        <v>22</v>
      </c>
      <c r="O234" s="2">
        <v>3</v>
      </c>
    </row>
    <row r="235" spans="1:15" x14ac:dyDescent="0.3">
      <c r="A235" s="2" t="s">
        <v>292</v>
      </c>
      <c r="B235" s="1">
        <v>45994</v>
      </c>
      <c r="C235" s="2" t="s">
        <v>24</v>
      </c>
      <c r="D235" s="2" t="s">
        <v>17</v>
      </c>
      <c r="E235" s="2" t="s">
        <v>38</v>
      </c>
      <c r="F235" s="2" t="s">
        <v>68</v>
      </c>
      <c r="G235" s="2" t="s">
        <v>20</v>
      </c>
      <c r="H235" s="2" t="s">
        <v>29</v>
      </c>
      <c r="I235" s="2">
        <v>58</v>
      </c>
      <c r="J235" s="2">
        <v>81</v>
      </c>
      <c r="K235" s="2">
        <v>33864.870000000003</v>
      </c>
      <c r="L235" s="2">
        <v>81.680000000000007</v>
      </c>
      <c r="M235" s="2">
        <v>170.85</v>
      </c>
      <c r="N235" s="2" t="s">
        <v>22</v>
      </c>
      <c r="O235" s="2">
        <v>1</v>
      </c>
    </row>
    <row r="236" spans="1:15" x14ac:dyDescent="0.3">
      <c r="A236" s="2" t="s">
        <v>293</v>
      </c>
      <c r="B236" s="1">
        <v>46168</v>
      </c>
      <c r="C236" s="2" t="s">
        <v>24</v>
      </c>
      <c r="D236" s="2" t="s">
        <v>60</v>
      </c>
      <c r="E236" s="2" t="s">
        <v>45</v>
      </c>
      <c r="F236" s="2" t="s">
        <v>34</v>
      </c>
      <c r="G236" s="2" t="s">
        <v>20</v>
      </c>
      <c r="H236" s="2" t="s">
        <v>21</v>
      </c>
      <c r="I236" s="2">
        <v>26</v>
      </c>
      <c r="J236" s="2">
        <v>109</v>
      </c>
      <c r="K236" s="2">
        <v>1324.69</v>
      </c>
      <c r="L236" s="2">
        <v>209.72</v>
      </c>
      <c r="M236" s="2">
        <v>68.63</v>
      </c>
      <c r="N236" s="2" t="s">
        <v>30</v>
      </c>
      <c r="O236" s="2">
        <v>1</v>
      </c>
    </row>
    <row r="237" spans="1:15" x14ac:dyDescent="0.3">
      <c r="A237" s="2" t="s">
        <v>294</v>
      </c>
      <c r="B237" s="1">
        <v>46125</v>
      </c>
      <c r="C237" s="2" t="s">
        <v>24</v>
      </c>
      <c r="D237" s="2" t="s">
        <v>76</v>
      </c>
      <c r="E237" s="2" t="s">
        <v>38</v>
      </c>
      <c r="F237" s="2" t="s">
        <v>68</v>
      </c>
      <c r="G237" s="2" t="s">
        <v>64</v>
      </c>
      <c r="H237" s="2" t="s">
        <v>52</v>
      </c>
      <c r="I237" s="2">
        <v>72</v>
      </c>
      <c r="J237" s="2">
        <v>2</v>
      </c>
      <c r="K237" s="2">
        <v>17277.77</v>
      </c>
      <c r="L237" s="2">
        <v>276.43</v>
      </c>
      <c r="M237" s="2">
        <v>112.32</v>
      </c>
      <c r="N237" s="2" t="s">
        <v>30</v>
      </c>
      <c r="O237" s="2">
        <v>1</v>
      </c>
    </row>
    <row r="238" spans="1:15" x14ac:dyDescent="0.3">
      <c r="A238" s="2" t="s">
        <v>295</v>
      </c>
      <c r="B238" s="1">
        <v>46042</v>
      </c>
      <c r="C238" s="2" t="s">
        <v>74</v>
      </c>
      <c r="D238" s="2" t="s">
        <v>51</v>
      </c>
      <c r="E238" s="2" t="s">
        <v>18</v>
      </c>
      <c r="F238" s="2" t="s">
        <v>34</v>
      </c>
      <c r="G238" s="2" t="s">
        <v>35</v>
      </c>
      <c r="H238" s="2" t="s">
        <v>52</v>
      </c>
      <c r="I238" s="2">
        <v>67</v>
      </c>
      <c r="J238" s="2">
        <v>25</v>
      </c>
      <c r="K238" s="2">
        <v>39885.18</v>
      </c>
      <c r="L238" s="2">
        <v>271.98</v>
      </c>
      <c r="M238" s="2">
        <v>14.63</v>
      </c>
      <c r="N238" s="2" t="s">
        <v>30</v>
      </c>
      <c r="O238" s="2">
        <v>2</v>
      </c>
    </row>
    <row r="239" spans="1:15" x14ac:dyDescent="0.3">
      <c r="A239" s="2" t="s">
        <v>296</v>
      </c>
      <c r="B239" s="1">
        <v>46021</v>
      </c>
      <c r="C239" s="2" t="s">
        <v>74</v>
      </c>
      <c r="D239" s="2" t="s">
        <v>86</v>
      </c>
      <c r="E239" s="2" t="s">
        <v>58</v>
      </c>
      <c r="F239" s="2" t="s">
        <v>19</v>
      </c>
      <c r="G239" s="2" t="s">
        <v>28</v>
      </c>
      <c r="H239" s="2" t="s">
        <v>29</v>
      </c>
      <c r="I239" s="2">
        <v>35</v>
      </c>
      <c r="J239" s="2">
        <v>13</v>
      </c>
      <c r="K239" s="2">
        <v>4335.41</v>
      </c>
      <c r="L239" s="2">
        <v>51.78</v>
      </c>
      <c r="M239" s="2">
        <v>229.4</v>
      </c>
      <c r="N239" s="2" t="s">
        <v>30</v>
      </c>
      <c r="O239" s="2">
        <v>1</v>
      </c>
    </row>
    <row r="240" spans="1:15" x14ac:dyDescent="0.3">
      <c r="A240" s="2" t="s">
        <v>297</v>
      </c>
      <c r="B240" s="1">
        <v>46101</v>
      </c>
      <c r="C240" s="2" t="s">
        <v>41</v>
      </c>
      <c r="D240" s="2" t="s">
        <v>60</v>
      </c>
      <c r="E240" s="2" t="s">
        <v>18</v>
      </c>
      <c r="F240" s="2" t="s">
        <v>34</v>
      </c>
      <c r="G240" s="2" t="s">
        <v>64</v>
      </c>
      <c r="H240" s="2" t="s">
        <v>29</v>
      </c>
      <c r="I240" s="2">
        <v>40</v>
      </c>
      <c r="J240" s="2">
        <v>103</v>
      </c>
      <c r="K240" s="2">
        <v>14474.53</v>
      </c>
      <c r="L240" s="2">
        <v>275.52</v>
      </c>
      <c r="M240" s="2">
        <v>85.41</v>
      </c>
      <c r="N240" s="2" t="s">
        <v>30</v>
      </c>
      <c r="O240" s="2">
        <v>2</v>
      </c>
    </row>
    <row r="241" spans="1:15" x14ac:dyDescent="0.3">
      <c r="A241" s="2" t="s">
        <v>298</v>
      </c>
      <c r="B241" s="1">
        <v>46116</v>
      </c>
      <c r="C241" s="2" t="s">
        <v>43</v>
      </c>
      <c r="D241" s="2" t="s">
        <v>78</v>
      </c>
      <c r="E241" s="2" t="s">
        <v>18</v>
      </c>
      <c r="F241" s="2" t="s">
        <v>27</v>
      </c>
      <c r="G241" s="2" t="s">
        <v>55</v>
      </c>
      <c r="H241" s="2" t="s">
        <v>52</v>
      </c>
      <c r="I241" s="2">
        <v>29</v>
      </c>
      <c r="J241" s="2">
        <v>92</v>
      </c>
      <c r="K241" s="2">
        <v>29472.19</v>
      </c>
      <c r="L241" s="2">
        <v>222.7</v>
      </c>
      <c r="M241" s="2">
        <v>177.52</v>
      </c>
      <c r="N241" s="2" t="s">
        <v>30</v>
      </c>
      <c r="O241" s="2">
        <v>1</v>
      </c>
    </row>
    <row r="242" spans="1:15" x14ac:dyDescent="0.3">
      <c r="A242" s="2" t="s">
        <v>299</v>
      </c>
      <c r="B242" s="1">
        <v>46211</v>
      </c>
      <c r="C242" s="2" t="s">
        <v>54</v>
      </c>
      <c r="D242" s="2" t="s">
        <v>67</v>
      </c>
      <c r="E242" s="2" t="s">
        <v>26</v>
      </c>
      <c r="F242" s="2" t="s">
        <v>34</v>
      </c>
      <c r="G242" s="2" t="s">
        <v>55</v>
      </c>
      <c r="H242" s="2" t="s">
        <v>21</v>
      </c>
      <c r="I242" s="2">
        <v>52</v>
      </c>
      <c r="J242" s="2">
        <v>106</v>
      </c>
      <c r="K242" s="2">
        <v>13192.44</v>
      </c>
      <c r="L242" s="2">
        <v>487.44</v>
      </c>
      <c r="M242" s="2">
        <v>73.569999999999993</v>
      </c>
      <c r="N242" s="2" t="s">
        <v>30</v>
      </c>
      <c r="O242" s="2">
        <v>3</v>
      </c>
    </row>
    <row r="243" spans="1:15" x14ac:dyDescent="0.3">
      <c r="A243" s="2" t="s">
        <v>300</v>
      </c>
      <c r="B243" s="1">
        <v>45925</v>
      </c>
      <c r="C243" s="2" t="s">
        <v>16</v>
      </c>
      <c r="D243" s="2" t="s">
        <v>49</v>
      </c>
      <c r="E243" s="2" t="s">
        <v>26</v>
      </c>
      <c r="F243" s="2" t="s">
        <v>39</v>
      </c>
      <c r="G243" s="2" t="s">
        <v>20</v>
      </c>
      <c r="H243" s="2" t="s">
        <v>52</v>
      </c>
      <c r="I243" s="2">
        <v>24</v>
      </c>
      <c r="J243" s="2">
        <v>119</v>
      </c>
      <c r="K243" s="2">
        <v>46731.91</v>
      </c>
      <c r="L243" s="2">
        <v>121.62</v>
      </c>
      <c r="M243" s="2">
        <v>28.56</v>
      </c>
      <c r="N243" s="2" t="s">
        <v>30</v>
      </c>
      <c r="O243" s="2">
        <v>5</v>
      </c>
    </row>
    <row r="244" spans="1:15" x14ac:dyDescent="0.3">
      <c r="A244" s="2" t="s">
        <v>301</v>
      </c>
      <c r="B244" s="1">
        <v>46063</v>
      </c>
      <c r="C244" s="2" t="s">
        <v>24</v>
      </c>
      <c r="D244" s="2" t="s">
        <v>76</v>
      </c>
      <c r="E244" s="2" t="s">
        <v>26</v>
      </c>
      <c r="F244" s="2" t="s">
        <v>34</v>
      </c>
      <c r="G244" s="2" t="s">
        <v>55</v>
      </c>
      <c r="H244" s="2" t="s">
        <v>29</v>
      </c>
      <c r="I244" s="2">
        <v>70</v>
      </c>
      <c r="J244" s="2">
        <v>70</v>
      </c>
      <c r="K244" s="2">
        <v>6987.4</v>
      </c>
      <c r="L244" s="2">
        <v>209.37</v>
      </c>
      <c r="M244" s="2">
        <v>208.77</v>
      </c>
      <c r="N244" s="2" t="s">
        <v>22</v>
      </c>
      <c r="O244" s="2">
        <v>5</v>
      </c>
    </row>
    <row r="245" spans="1:15" x14ac:dyDescent="0.3">
      <c r="A245" s="2" t="s">
        <v>302</v>
      </c>
      <c r="B245" s="1">
        <v>46161</v>
      </c>
      <c r="C245" s="2" t="s">
        <v>90</v>
      </c>
      <c r="D245" s="2" t="s">
        <v>60</v>
      </c>
      <c r="E245" s="2" t="s">
        <v>26</v>
      </c>
      <c r="F245" s="2" t="s">
        <v>27</v>
      </c>
      <c r="G245" s="2" t="s">
        <v>64</v>
      </c>
      <c r="H245" s="2" t="s">
        <v>29</v>
      </c>
      <c r="I245" s="2">
        <v>38</v>
      </c>
      <c r="J245" s="2">
        <v>67</v>
      </c>
      <c r="K245" s="2">
        <v>39971.019999999997</v>
      </c>
      <c r="L245" s="2">
        <v>238.77</v>
      </c>
      <c r="M245" s="2">
        <v>49.38</v>
      </c>
      <c r="N245" s="2" t="s">
        <v>30</v>
      </c>
      <c r="O245" s="2">
        <v>1</v>
      </c>
    </row>
    <row r="246" spans="1:15" x14ac:dyDescent="0.3">
      <c r="A246" s="2" t="s">
        <v>303</v>
      </c>
      <c r="B246" s="1">
        <v>46188</v>
      </c>
      <c r="C246" s="2" t="s">
        <v>16</v>
      </c>
      <c r="D246" s="2" t="s">
        <v>82</v>
      </c>
      <c r="E246" s="2" t="s">
        <v>38</v>
      </c>
      <c r="F246" s="2" t="s">
        <v>27</v>
      </c>
      <c r="G246" s="2" t="s">
        <v>55</v>
      </c>
      <c r="H246" s="2" t="s">
        <v>52</v>
      </c>
      <c r="I246" s="2">
        <v>25</v>
      </c>
      <c r="J246" s="2">
        <v>58</v>
      </c>
      <c r="K246" s="2">
        <v>25643.46</v>
      </c>
      <c r="L246" s="2">
        <v>225.81</v>
      </c>
      <c r="M246" s="2">
        <v>150.74</v>
      </c>
      <c r="N246" s="2" t="s">
        <v>30</v>
      </c>
      <c r="O246" s="2">
        <v>5</v>
      </c>
    </row>
    <row r="247" spans="1:15" x14ac:dyDescent="0.3">
      <c r="A247" s="2" t="s">
        <v>304</v>
      </c>
      <c r="B247" s="1">
        <v>46011</v>
      </c>
      <c r="C247" s="2" t="s">
        <v>74</v>
      </c>
      <c r="D247" s="2" t="s">
        <v>78</v>
      </c>
      <c r="E247" s="2" t="s">
        <v>45</v>
      </c>
      <c r="F247" s="2" t="s">
        <v>68</v>
      </c>
      <c r="G247" s="2" t="s">
        <v>64</v>
      </c>
      <c r="H247" s="2" t="s">
        <v>21</v>
      </c>
      <c r="I247" s="2">
        <v>40</v>
      </c>
      <c r="J247" s="2">
        <v>99</v>
      </c>
      <c r="K247" s="2">
        <v>37641.370000000003</v>
      </c>
      <c r="L247" s="2">
        <v>349.62</v>
      </c>
      <c r="M247" s="2">
        <v>193.62</v>
      </c>
      <c r="N247" s="2" t="s">
        <v>30</v>
      </c>
      <c r="O247" s="2">
        <v>1</v>
      </c>
    </row>
    <row r="248" spans="1:15" x14ac:dyDescent="0.3">
      <c r="A248" s="2" t="s">
        <v>305</v>
      </c>
      <c r="B248" s="1">
        <v>46182</v>
      </c>
      <c r="C248" s="2" t="s">
        <v>90</v>
      </c>
      <c r="D248" s="2" t="s">
        <v>62</v>
      </c>
      <c r="E248" s="2" t="s">
        <v>58</v>
      </c>
      <c r="F248" s="2" t="s">
        <v>19</v>
      </c>
      <c r="G248" s="2" t="s">
        <v>28</v>
      </c>
      <c r="H248" s="2" t="s">
        <v>52</v>
      </c>
      <c r="I248" s="2">
        <v>43</v>
      </c>
      <c r="J248" s="2">
        <v>82</v>
      </c>
      <c r="K248" s="2">
        <v>15880.41</v>
      </c>
      <c r="L248" s="2">
        <v>146.97999999999999</v>
      </c>
      <c r="M248" s="2">
        <v>155.91</v>
      </c>
      <c r="N248" s="2" t="s">
        <v>30</v>
      </c>
      <c r="O248" s="2">
        <v>1</v>
      </c>
    </row>
    <row r="249" spans="1:15" x14ac:dyDescent="0.3">
      <c r="A249" s="2" t="s">
        <v>306</v>
      </c>
      <c r="B249" s="1">
        <v>45936</v>
      </c>
      <c r="C249" s="2" t="s">
        <v>90</v>
      </c>
      <c r="D249" s="2" t="s">
        <v>86</v>
      </c>
      <c r="E249" s="2" t="s">
        <v>18</v>
      </c>
      <c r="F249" s="2" t="s">
        <v>34</v>
      </c>
      <c r="G249" s="2" t="s">
        <v>20</v>
      </c>
      <c r="H249" s="2" t="s">
        <v>52</v>
      </c>
      <c r="I249" s="2">
        <v>31</v>
      </c>
      <c r="J249" s="2">
        <v>75</v>
      </c>
      <c r="K249" s="2">
        <v>25967.24</v>
      </c>
      <c r="L249" s="2">
        <v>149.47999999999999</v>
      </c>
      <c r="M249" s="2">
        <v>4.49</v>
      </c>
      <c r="N249" s="2" t="s">
        <v>22</v>
      </c>
      <c r="O249" s="2">
        <v>4</v>
      </c>
    </row>
    <row r="250" spans="1:15" x14ac:dyDescent="0.3">
      <c r="A250" s="2" t="s">
        <v>307</v>
      </c>
      <c r="B250" s="1">
        <v>46090</v>
      </c>
      <c r="C250" s="2" t="s">
        <v>90</v>
      </c>
      <c r="D250" s="2" t="s">
        <v>62</v>
      </c>
      <c r="E250" s="2" t="s">
        <v>38</v>
      </c>
      <c r="F250" s="2" t="s">
        <v>68</v>
      </c>
      <c r="G250" s="2" t="s">
        <v>55</v>
      </c>
      <c r="H250" s="2" t="s">
        <v>29</v>
      </c>
      <c r="I250" s="2">
        <v>57</v>
      </c>
      <c r="J250" s="2">
        <v>118</v>
      </c>
      <c r="K250" s="2">
        <v>42913.35</v>
      </c>
      <c r="L250" s="2">
        <v>378.14</v>
      </c>
      <c r="M250" s="2">
        <v>179.97</v>
      </c>
      <c r="N250" s="2" t="s">
        <v>22</v>
      </c>
      <c r="O250" s="2">
        <v>4</v>
      </c>
    </row>
    <row r="251" spans="1:15" x14ac:dyDescent="0.3">
      <c r="A251" s="2" t="s">
        <v>308</v>
      </c>
      <c r="B251" s="1">
        <v>45898</v>
      </c>
      <c r="C251" s="2" t="s">
        <v>41</v>
      </c>
      <c r="D251" s="2" t="s">
        <v>25</v>
      </c>
      <c r="E251" s="2" t="s">
        <v>58</v>
      </c>
      <c r="F251" s="2" t="s">
        <v>19</v>
      </c>
      <c r="G251" s="2" t="s">
        <v>64</v>
      </c>
      <c r="H251" s="2" t="s">
        <v>21</v>
      </c>
      <c r="I251" s="2">
        <v>42</v>
      </c>
      <c r="J251" s="2">
        <v>84</v>
      </c>
      <c r="K251" s="2">
        <v>23610.47</v>
      </c>
      <c r="L251" s="2">
        <v>275.13</v>
      </c>
      <c r="M251" s="2">
        <v>139.08000000000001</v>
      </c>
      <c r="N251" s="2" t="s">
        <v>30</v>
      </c>
      <c r="O251" s="2">
        <v>4</v>
      </c>
    </row>
    <row r="252" spans="1:15" x14ac:dyDescent="0.3">
      <c r="A252" s="2" t="s">
        <v>309</v>
      </c>
      <c r="B252" s="1">
        <v>46118</v>
      </c>
      <c r="C252" s="2" t="s">
        <v>74</v>
      </c>
      <c r="D252" s="2" t="s">
        <v>86</v>
      </c>
      <c r="E252" s="2" t="s">
        <v>38</v>
      </c>
      <c r="F252" s="2" t="s">
        <v>34</v>
      </c>
      <c r="G252" s="2" t="s">
        <v>35</v>
      </c>
      <c r="H252" s="2" t="s">
        <v>56</v>
      </c>
      <c r="I252" s="2">
        <v>24</v>
      </c>
      <c r="J252" s="2">
        <v>64</v>
      </c>
      <c r="K252" s="2">
        <v>18306.13</v>
      </c>
      <c r="L252" s="2">
        <v>236.82</v>
      </c>
      <c r="M252" s="2">
        <v>165.09</v>
      </c>
      <c r="N252" s="2" t="s">
        <v>22</v>
      </c>
      <c r="O252" s="2">
        <v>2</v>
      </c>
    </row>
    <row r="253" spans="1:15" x14ac:dyDescent="0.3">
      <c r="A253" s="2" t="s">
        <v>310</v>
      </c>
      <c r="B253" s="1">
        <v>46192</v>
      </c>
      <c r="C253" s="2" t="s">
        <v>90</v>
      </c>
      <c r="D253" s="2" t="s">
        <v>60</v>
      </c>
      <c r="E253" s="2" t="s">
        <v>38</v>
      </c>
      <c r="F253" s="2" t="s">
        <v>39</v>
      </c>
      <c r="G253" s="2" t="s">
        <v>20</v>
      </c>
      <c r="H253" s="2" t="s">
        <v>21</v>
      </c>
      <c r="I253" s="2">
        <v>49</v>
      </c>
      <c r="J253" s="2">
        <v>69</v>
      </c>
      <c r="K253" s="2">
        <v>27039.69</v>
      </c>
      <c r="L253" s="2">
        <v>126.14</v>
      </c>
      <c r="M253" s="2">
        <v>11.2</v>
      </c>
      <c r="N253" s="2" t="s">
        <v>30</v>
      </c>
      <c r="O253" s="2">
        <v>4</v>
      </c>
    </row>
    <row r="254" spans="1:15" x14ac:dyDescent="0.3">
      <c r="A254" s="2" t="s">
        <v>311</v>
      </c>
      <c r="B254" s="1">
        <v>46167</v>
      </c>
      <c r="C254" s="2" t="s">
        <v>24</v>
      </c>
      <c r="D254" s="2" t="s">
        <v>82</v>
      </c>
      <c r="E254" s="2" t="s">
        <v>18</v>
      </c>
      <c r="F254" s="2" t="s">
        <v>34</v>
      </c>
      <c r="G254" s="2" t="s">
        <v>28</v>
      </c>
      <c r="H254" s="2" t="s">
        <v>52</v>
      </c>
      <c r="I254" s="2">
        <v>64</v>
      </c>
      <c r="J254" s="2">
        <v>83</v>
      </c>
      <c r="K254" s="2">
        <v>36009.46</v>
      </c>
      <c r="L254" s="2">
        <v>134.38999999999999</v>
      </c>
      <c r="M254" s="2">
        <v>96.02</v>
      </c>
      <c r="N254" s="2" t="s">
        <v>22</v>
      </c>
      <c r="O254" s="2">
        <v>1</v>
      </c>
    </row>
    <row r="255" spans="1:15" x14ac:dyDescent="0.3">
      <c r="A255" s="2" t="s">
        <v>312</v>
      </c>
      <c r="B255" s="1">
        <v>45931</v>
      </c>
      <c r="C255" s="2" t="s">
        <v>32</v>
      </c>
      <c r="D255" s="2" t="s">
        <v>25</v>
      </c>
      <c r="E255" s="2" t="s">
        <v>45</v>
      </c>
      <c r="F255" s="2" t="s">
        <v>27</v>
      </c>
      <c r="G255" s="2" t="s">
        <v>64</v>
      </c>
      <c r="H255" s="2" t="s">
        <v>52</v>
      </c>
      <c r="I255" s="2">
        <v>54</v>
      </c>
      <c r="J255" s="2">
        <v>86</v>
      </c>
      <c r="K255" s="2">
        <v>22456.39</v>
      </c>
      <c r="L255" s="2">
        <v>54.75</v>
      </c>
      <c r="M255" s="2">
        <v>107.07</v>
      </c>
      <c r="N255" s="2" t="s">
        <v>30</v>
      </c>
      <c r="O255" s="2">
        <v>3</v>
      </c>
    </row>
    <row r="256" spans="1:15" x14ac:dyDescent="0.3">
      <c r="A256" s="2" t="s">
        <v>313</v>
      </c>
      <c r="B256" s="1">
        <v>45966</v>
      </c>
      <c r="C256" s="2" t="s">
        <v>90</v>
      </c>
      <c r="D256" s="2" t="s">
        <v>51</v>
      </c>
      <c r="E256" s="2" t="s">
        <v>26</v>
      </c>
      <c r="F256" s="2" t="s">
        <v>27</v>
      </c>
      <c r="G256" s="2" t="s">
        <v>28</v>
      </c>
      <c r="H256" s="2" t="s">
        <v>52</v>
      </c>
      <c r="I256" s="2">
        <v>33</v>
      </c>
      <c r="J256" s="2">
        <v>59</v>
      </c>
      <c r="K256" s="2">
        <v>46974.41</v>
      </c>
      <c r="L256" s="2">
        <v>91.14</v>
      </c>
      <c r="M256" s="2">
        <v>33.82</v>
      </c>
      <c r="N256" s="2" t="s">
        <v>30</v>
      </c>
      <c r="O256" s="2">
        <v>4</v>
      </c>
    </row>
    <row r="257" spans="1:15" x14ac:dyDescent="0.3">
      <c r="A257" s="2" t="s">
        <v>314</v>
      </c>
      <c r="B257" s="1">
        <v>46131</v>
      </c>
      <c r="C257" s="2" t="s">
        <v>41</v>
      </c>
      <c r="D257" s="2" t="s">
        <v>49</v>
      </c>
      <c r="E257" s="2" t="s">
        <v>45</v>
      </c>
      <c r="F257" s="2" t="s">
        <v>39</v>
      </c>
      <c r="G257" s="2" t="s">
        <v>28</v>
      </c>
      <c r="H257" s="2" t="s">
        <v>21</v>
      </c>
      <c r="I257" s="2">
        <v>62</v>
      </c>
      <c r="J257" s="2">
        <v>60</v>
      </c>
      <c r="K257" s="2">
        <v>15099.82</v>
      </c>
      <c r="L257" s="2">
        <v>300.58</v>
      </c>
      <c r="M257" s="2">
        <v>64.489999999999995</v>
      </c>
      <c r="N257" s="2" t="s">
        <v>22</v>
      </c>
      <c r="O257" s="2">
        <v>4</v>
      </c>
    </row>
    <row r="258" spans="1:15" x14ac:dyDescent="0.3">
      <c r="A258" s="2" t="s">
        <v>315</v>
      </c>
      <c r="B258" s="1">
        <v>46172</v>
      </c>
      <c r="C258" s="2" t="s">
        <v>16</v>
      </c>
      <c r="D258" s="2" t="s">
        <v>67</v>
      </c>
      <c r="E258" s="2" t="s">
        <v>18</v>
      </c>
      <c r="F258" s="2" t="s">
        <v>68</v>
      </c>
      <c r="G258" s="2" t="s">
        <v>55</v>
      </c>
      <c r="H258" s="2" t="s">
        <v>29</v>
      </c>
      <c r="I258" s="2">
        <v>29</v>
      </c>
      <c r="J258" s="2">
        <v>83</v>
      </c>
      <c r="K258" s="2">
        <v>24035.45</v>
      </c>
      <c r="L258" s="2">
        <v>451.34</v>
      </c>
      <c r="M258" s="2">
        <v>132.06</v>
      </c>
      <c r="N258" s="2" t="s">
        <v>22</v>
      </c>
      <c r="O258" s="2">
        <v>3</v>
      </c>
    </row>
    <row r="259" spans="1:15" x14ac:dyDescent="0.3">
      <c r="A259" s="2" t="s">
        <v>316</v>
      </c>
      <c r="B259" s="1">
        <v>46122</v>
      </c>
      <c r="C259" s="2" t="s">
        <v>74</v>
      </c>
      <c r="D259" s="2" t="s">
        <v>76</v>
      </c>
      <c r="E259" s="2" t="s">
        <v>18</v>
      </c>
      <c r="F259" s="2" t="s">
        <v>19</v>
      </c>
      <c r="G259" s="2" t="s">
        <v>55</v>
      </c>
      <c r="H259" s="2" t="s">
        <v>52</v>
      </c>
      <c r="I259" s="2">
        <v>62</v>
      </c>
      <c r="J259" s="2">
        <v>111</v>
      </c>
      <c r="K259" s="2">
        <v>37967.919999999998</v>
      </c>
      <c r="L259" s="2">
        <v>179.22</v>
      </c>
      <c r="M259" s="2">
        <v>166.64</v>
      </c>
      <c r="N259" s="2" t="s">
        <v>22</v>
      </c>
      <c r="O259" s="2">
        <v>1</v>
      </c>
    </row>
    <row r="260" spans="1:15" x14ac:dyDescent="0.3">
      <c r="A260" s="2" t="s">
        <v>317</v>
      </c>
      <c r="B260" s="1">
        <v>46081</v>
      </c>
      <c r="C260" s="2" t="s">
        <v>43</v>
      </c>
      <c r="D260" s="2" t="s">
        <v>17</v>
      </c>
      <c r="E260" s="2" t="s">
        <v>18</v>
      </c>
      <c r="F260" s="2" t="s">
        <v>34</v>
      </c>
      <c r="G260" s="2" t="s">
        <v>64</v>
      </c>
      <c r="H260" s="2" t="s">
        <v>52</v>
      </c>
      <c r="I260" s="2">
        <v>51</v>
      </c>
      <c r="J260" s="2">
        <v>62</v>
      </c>
      <c r="K260" s="2">
        <v>34611.49</v>
      </c>
      <c r="L260" s="2">
        <v>197.49</v>
      </c>
      <c r="M260" s="2">
        <v>185.88</v>
      </c>
      <c r="N260" s="2" t="s">
        <v>30</v>
      </c>
      <c r="O260" s="2">
        <v>2</v>
      </c>
    </row>
    <row r="261" spans="1:15" x14ac:dyDescent="0.3">
      <c r="A261" s="2" t="s">
        <v>318</v>
      </c>
      <c r="B261" s="1">
        <v>46200</v>
      </c>
      <c r="C261" s="2" t="s">
        <v>41</v>
      </c>
      <c r="D261" s="2" t="s">
        <v>62</v>
      </c>
      <c r="E261" s="2" t="s">
        <v>58</v>
      </c>
      <c r="F261" s="2" t="s">
        <v>27</v>
      </c>
      <c r="G261" s="2" t="s">
        <v>35</v>
      </c>
      <c r="H261" s="2" t="s">
        <v>21</v>
      </c>
      <c r="I261" s="2">
        <v>27</v>
      </c>
      <c r="J261" s="2">
        <v>16</v>
      </c>
      <c r="K261" s="2">
        <v>43250.23</v>
      </c>
      <c r="L261" s="2">
        <v>102.02</v>
      </c>
      <c r="M261" s="2">
        <v>125.68</v>
      </c>
      <c r="N261" s="2" t="s">
        <v>30</v>
      </c>
      <c r="O261" s="2">
        <v>4</v>
      </c>
    </row>
    <row r="262" spans="1:15" x14ac:dyDescent="0.3">
      <c r="A262" s="2" t="s">
        <v>319</v>
      </c>
      <c r="B262" s="1">
        <v>46112</v>
      </c>
      <c r="C262" s="2" t="s">
        <v>90</v>
      </c>
      <c r="D262" s="2" t="s">
        <v>62</v>
      </c>
      <c r="E262" s="2" t="s">
        <v>45</v>
      </c>
      <c r="F262" s="2" t="s">
        <v>68</v>
      </c>
      <c r="G262" s="2" t="s">
        <v>64</v>
      </c>
      <c r="H262" s="2" t="s">
        <v>56</v>
      </c>
      <c r="I262" s="2">
        <v>24</v>
      </c>
      <c r="J262" s="2">
        <v>88</v>
      </c>
      <c r="K262" s="2">
        <v>49842.05</v>
      </c>
      <c r="L262" s="2">
        <v>224.88</v>
      </c>
      <c r="M262" s="2">
        <v>78.989999999999995</v>
      </c>
      <c r="N262" s="2" t="s">
        <v>22</v>
      </c>
      <c r="O262" s="2">
        <v>3</v>
      </c>
    </row>
    <row r="263" spans="1:15" x14ac:dyDescent="0.3">
      <c r="A263" s="2" t="s">
        <v>320</v>
      </c>
      <c r="B263" s="1">
        <v>46041</v>
      </c>
      <c r="C263" s="2" t="s">
        <v>74</v>
      </c>
      <c r="D263" s="2" t="s">
        <v>25</v>
      </c>
      <c r="E263" s="2" t="s">
        <v>45</v>
      </c>
      <c r="F263" s="2" t="s">
        <v>39</v>
      </c>
      <c r="G263" s="2" t="s">
        <v>35</v>
      </c>
      <c r="H263" s="2" t="s">
        <v>56</v>
      </c>
      <c r="I263" s="2">
        <v>39</v>
      </c>
      <c r="J263" s="2">
        <v>105</v>
      </c>
      <c r="K263" s="2">
        <v>21629.49</v>
      </c>
      <c r="L263" s="2">
        <v>66.75</v>
      </c>
      <c r="M263" s="2">
        <v>50.81</v>
      </c>
      <c r="N263" s="2" t="s">
        <v>30</v>
      </c>
      <c r="O263" s="2">
        <v>1</v>
      </c>
    </row>
    <row r="264" spans="1:15" x14ac:dyDescent="0.3">
      <c r="A264" s="2" t="s">
        <v>321</v>
      </c>
      <c r="B264" s="1">
        <v>46012</v>
      </c>
      <c r="C264" s="2" t="s">
        <v>32</v>
      </c>
      <c r="D264" s="2" t="s">
        <v>37</v>
      </c>
      <c r="E264" s="2" t="s">
        <v>38</v>
      </c>
      <c r="F264" s="2" t="s">
        <v>27</v>
      </c>
      <c r="G264" s="2" t="s">
        <v>28</v>
      </c>
      <c r="H264" s="2" t="s">
        <v>29</v>
      </c>
      <c r="I264" s="2">
        <v>62</v>
      </c>
      <c r="J264" s="2">
        <v>68</v>
      </c>
      <c r="K264" s="2">
        <v>6001.97</v>
      </c>
      <c r="L264" s="2">
        <v>462.92</v>
      </c>
      <c r="M264" s="2">
        <v>294.64</v>
      </c>
      <c r="N264" s="2" t="s">
        <v>30</v>
      </c>
      <c r="O264" s="2">
        <v>5</v>
      </c>
    </row>
    <row r="265" spans="1:15" x14ac:dyDescent="0.3">
      <c r="A265" s="2" t="s">
        <v>322</v>
      </c>
      <c r="B265" s="1">
        <v>45937</v>
      </c>
      <c r="C265" s="2" t="s">
        <v>90</v>
      </c>
      <c r="D265" s="2" t="s">
        <v>86</v>
      </c>
      <c r="E265" s="2" t="s">
        <v>38</v>
      </c>
      <c r="F265" s="2" t="s">
        <v>39</v>
      </c>
      <c r="G265" s="2" t="s">
        <v>20</v>
      </c>
      <c r="H265" s="2" t="s">
        <v>29</v>
      </c>
      <c r="I265" s="2">
        <v>50</v>
      </c>
      <c r="J265" s="2">
        <v>15</v>
      </c>
      <c r="K265" s="2">
        <v>2005.59</v>
      </c>
      <c r="L265" s="2">
        <v>352.9</v>
      </c>
      <c r="M265" s="2">
        <v>294.89999999999998</v>
      </c>
      <c r="N265" s="2" t="s">
        <v>30</v>
      </c>
      <c r="O265" s="2">
        <v>2</v>
      </c>
    </row>
    <row r="266" spans="1:15" x14ac:dyDescent="0.3">
      <c r="A266" s="2" t="s">
        <v>323</v>
      </c>
      <c r="B266" s="1">
        <v>45898</v>
      </c>
      <c r="C266" s="2" t="s">
        <v>41</v>
      </c>
      <c r="D266" s="2" t="s">
        <v>44</v>
      </c>
      <c r="E266" s="2" t="s">
        <v>38</v>
      </c>
      <c r="F266" s="2" t="s">
        <v>34</v>
      </c>
      <c r="G266" s="2" t="s">
        <v>64</v>
      </c>
      <c r="H266" s="2" t="s">
        <v>52</v>
      </c>
      <c r="I266" s="2">
        <v>51</v>
      </c>
      <c r="J266" s="2">
        <v>89</v>
      </c>
      <c r="K266" s="2">
        <v>36480.410000000003</v>
      </c>
      <c r="L266" s="2">
        <v>495.84</v>
      </c>
      <c r="M266" s="2">
        <v>185</v>
      </c>
      <c r="N266" s="2" t="s">
        <v>30</v>
      </c>
      <c r="O266" s="2">
        <v>3</v>
      </c>
    </row>
    <row r="267" spans="1:15" x14ac:dyDescent="0.3">
      <c r="A267" s="2" t="s">
        <v>324</v>
      </c>
      <c r="B267" s="1">
        <v>45896</v>
      </c>
      <c r="C267" s="2" t="s">
        <v>54</v>
      </c>
      <c r="D267" s="2" t="s">
        <v>51</v>
      </c>
      <c r="E267" s="2" t="s">
        <v>18</v>
      </c>
      <c r="F267" s="2" t="s">
        <v>19</v>
      </c>
      <c r="G267" s="2" t="s">
        <v>64</v>
      </c>
      <c r="H267" s="2" t="s">
        <v>21</v>
      </c>
      <c r="I267" s="2">
        <v>55</v>
      </c>
      <c r="J267" s="2">
        <v>108</v>
      </c>
      <c r="K267" s="2">
        <v>43763.68</v>
      </c>
      <c r="L267" s="2">
        <v>447.27</v>
      </c>
      <c r="M267" s="2">
        <v>157.13</v>
      </c>
      <c r="N267" s="2" t="s">
        <v>30</v>
      </c>
      <c r="O267" s="2">
        <v>3</v>
      </c>
    </row>
    <row r="268" spans="1:15" x14ac:dyDescent="0.3">
      <c r="A268" s="2" t="s">
        <v>325</v>
      </c>
      <c r="B268" s="1">
        <v>46026</v>
      </c>
      <c r="C268" s="2" t="s">
        <v>24</v>
      </c>
      <c r="D268" s="2" t="s">
        <v>76</v>
      </c>
      <c r="E268" s="2" t="s">
        <v>45</v>
      </c>
      <c r="F268" s="2" t="s">
        <v>27</v>
      </c>
      <c r="G268" s="2" t="s">
        <v>35</v>
      </c>
      <c r="H268" s="2" t="s">
        <v>52</v>
      </c>
      <c r="I268" s="2">
        <v>41</v>
      </c>
      <c r="J268" s="2">
        <v>55</v>
      </c>
      <c r="K268" s="2">
        <v>11425.27</v>
      </c>
      <c r="L268" s="2">
        <v>262.85000000000002</v>
      </c>
      <c r="M268" s="2">
        <v>65.16</v>
      </c>
      <c r="N268" s="2" t="s">
        <v>30</v>
      </c>
      <c r="O268" s="2">
        <v>3</v>
      </c>
    </row>
    <row r="269" spans="1:15" x14ac:dyDescent="0.3">
      <c r="A269" s="2" t="s">
        <v>326</v>
      </c>
      <c r="B269" s="1">
        <v>45888</v>
      </c>
      <c r="C269" s="2" t="s">
        <v>43</v>
      </c>
      <c r="D269" s="2" t="s">
        <v>86</v>
      </c>
      <c r="E269" s="2" t="s">
        <v>18</v>
      </c>
      <c r="F269" s="2" t="s">
        <v>27</v>
      </c>
      <c r="G269" s="2" t="s">
        <v>28</v>
      </c>
      <c r="H269" s="2" t="s">
        <v>29</v>
      </c>
      <c r="I269" s="2">
        <v>51</v>
      </c>
      <c r="J269" s="2">
        <v>35</v>
      </c>
      <c r="K269" s="2">
        <v>8343.18</v>
      </c>
      <c r="L269" s="2">
        <v>283.86</v>
      </c>
      <c r="M269" s="2">
        <v>245.1</v>
      </c>
      <c r="N269" s="2" t="s">
        <v>30</v>
      </c>
      <c r="O269" s="2">
        <v>4</v>
      </c>
    </row>
    <row r="270" spans="1:15" x14ac:dyDescent="0.3">
      <c r="A270" s="2" t="s">
        <v>327</v>
      </c>
      <c r="B270" s="1">
        <v>46028</v>
      </c>
      <c r="C270" s="2" t="s">
        <v>16</v>
      </c>
      <c r="D270" s="2" t="s">
        <v>37</v>
      </c>
      <c r="E270" s="2" t="s">
        <v>58</v>
      </c>
      <c r="F270" s="2" t="s">
        <v>34</v>
      </c>
      <c r="G270" s="2" t="s">
        <v>28</v>
      </c>
      <c r="H270" s="2" t="s">
        <v>21</v>
      </c>
      <c r="I270" s="2">
        <v>39</v>
      </c>
      <c r="J270" s="2">
        <v>55</v>
      </c>
      <c r="K270" s="2">
        <v>3579.15</v>
      </c>
      <c r="L270" s="2">
        <v>135.76</v>
      </c>
      <c r="M270" s="2">
        <v>81.760000000000005</v>
      </c>
      <c r="N270" s="2" t="s">
        <v>22</v>
      </c>
      <c r="O270" s="2">
        <v>5</v>
      </c>
    </row>
    <row r="271" spans="1:15" x14ac:dyDescent="0.3">
      <c r="A271" s="2" t="s">
        <v>328</v>
      </c>
      <c r="B271" s="1">
        <v>45980</v>
      </c>
      <c r="C271" s="2" t="s">
        <v>41</v>
      </c>
      <c r="D271" s="2" t="s">
        <v>33</v>
      </c>
      <c r="E271" s="2" t="s">
        <v>38</v>
      </c>
      <c r="F271" s="2" t="s">
        <v>68</v>
      </c>
      <c r="G271" s="2" t="s">
        <v>35</v>
      </c>
      <c r="H271" s="2" t="s">
        <v>21</v>
      </c>
      <c r="I271" s="2">
        <v>51</v>
      </c>
      <c r="J271" s="2">
        <v>14</v>
      </c>
      <c r="K271" s="2">
        <v>41223.79</v>
      </c>
      <c r="L271" s="2">
        <v>257.92</v>
      </c>
      <c r="M271" s="2">
        <v>65.349999999999994</v>
      </c>
      <c r="N271" s="2" t="s">
        <v>30</v>
      </c>
      <c r="O271" s="2">
        <v>2</v>
      </c>
    </row>
    <row r="272" spans="1:15" x14ac:dyDescent="0.3">
      <c r="A272" s="2" t="s">
        <v>329</v>
      </c>
      <c r="B272" s="1">
        <v>45908</v>
      </c>
      <c r="C272" s="2" t="s">
        <v>74</v>
      </c>
      <c r="D272" s="2" t="s">
        <v>86</v>
      </c>
      <c r="E272" s="2" t="s">
        <v>18</v>
      </c>
      <c r="F272" s="2" t="s">
        <v>19</v>
      </c>
      <c r="G272" s="2" t="s">
        <v>28</v>
      </c>
      <c r="H272" s="2" t="s">
        <v>29</v>
      </c>
      <c r="I272" s="2">
        <v>73</v>
      </c>
      <c r="J272" s="2">
        <v>49</v>
      </c>
      <c r="K272" s="2">
        <v>15913.41</v>
      </c>
      <c r="L272" s="2">
        <v>456.36</v>
      </c>
      <c r="M272" s="2">
        <v>223.46</v>
      </c>
      <c r="N272" s="2" t="s">
        <v>30</v>
      </c>
      <c r="O272" s="2">
        <v>1</v>
      </c>
    </row>
    <row r="273" spans="1:15" x14ac:dyDescent="0.3">
      <c r="A273" s="2" t="s">
        <v>330</v>
      </c>
      <c r="B273" s="1">
        <v>46150</v>
      </c>
      <c r="C273" s="2" t="s">
        <v>43</v>
      </c>
      <c r="D273" s="2" t="s">
        <v>17</v>
      </c>
      <c r="E273" s="2" t="s">
        <v>18</v>
      </c>
      <c r="F273" s="2" t="s">
        <v>27</v>
      </c>
      <c r="G273" s="2" t="s">
        <v>55</v>
      </c>
      <c r="H273" s="2" t="s">
        <v>56</v>
      </c>
      <c r="I273" s="2">
        <v>52</v>
      </c>
      <c r="J273" s="2">
        <v>83</v>
      </c>
      <c r="K273" s="2">
        <v>20384</v>
      </c>
      <c r="L273" s="2">
        <v>72.88</v>
      </c>
      <c r="M273" s="2">
        <v>15.93</v>
      </c>
      <c r="N273" s="2" t="s">
        <v>30</v>
      </c>
      <c r="O273" s="2">
        <v>1</v>
      </c>
    </row>
    <row r="274" spans="1:15" x14ac:dyDescent="0.3">
      <c r="A274" s="2" t="s">
        <v>331</v>
      </c>
      <c r="B274" s="1">
        <v>45988</v>
      </c>
      <c r="C274" s="2" t="s">
        <v>43</v>
      </c>
      <c r="D274" s="2" t="s">
        <v>76</v>
      </c>
      <c r="E274" s="2" t="s">
        <v>58</v>
      </c>
      <c r="F274" s="2" t="s">
        <v>19</v>
      </c>
      <c r="G274" s="2" t="s">
        <v>20</v>
      </c>
      <c r="H274" s="2" t="s">
        <v>56</v>
      </c>
      <c r="I274" s="2">
        <v>22</v>
      </c>
      <c r="J274" s="2">
        <v>102</v>
      </c>
      <c r="K274" s="2">
        <v>25386.13</v>
      </c>
      <c r="L274" s="2">
        <v>438.6</v>
      </c>
      <c r="M274" s="2">
        <v>9.7100000000000009</v>
      </c>
      <c r="N274" s="2" t="s">
        <v>30</v>
      </c>
      <c r="O274" s="2">
        <v>5</v>
      </c>
    </row>
    <row r="275" spans="1:15" x14ac:dyDescent="0.3">
      <c r="A275" s="2" t="s">
        <v>332</v>
      </c>
      <c r="B275" s="1">
        <v>46041</v>
      </c>
      <c r="C275" s="2" t="s">
        <v>43</v>
      </c>
      <c r="D275" s="2" t="s">
        <v>60</v>
      </c>
      <c r="E275" s="2" t="s">
        <v>26</v>
      </c>
      <c r="F275" s="2" t="s">
        <v>27</v>
      </c>
      <c r="G275" s="2" t="s">
        <v>64</v>
      </c>
      <c r="H275" s="2" t="s">
        <v>21</v>
      </c>
      <c r="I275" s="2">
        <v>72</v>
      </c>
      <c r="J275" s="2">
        <v>100</v>
      </c>
      <c r="K275" s="2">
        <v>42052.94</v>
      </c>
      <c r="L275" s="2">
        <v>203.43</v>
      </c>
      <c r="M275" s="2">
        <v>89.59</v>
      </c>
      <c r="N275" s="2" t="s">
        <v>30</v>
      </c>
      <c r="O275" s="2">
        <v>3</v>
      </c>
    </row>
    <row r="276" spans="1:15" x14ac:dyDescent="0.3">
      <c r="A276" s="2" t="s">
        <v>333</v>
      </c>
      <c r="B276" s="1">
        <v>46108</v>
      </c>
      <c r="C276" s="2" t="s">
        <v>90</v>
      </c>
      <c r="D276" s="2" t="s">
        <v>51</v>
      </c>
      <c r="E276" s="2" t="s">
        <v>45</v>
      </c>
      <c r="F276" s="2" t="s">
        <v>19</v>
      </c>
      <c r="G276" s="2" t="s">
        <v>20</v>
      </c>
      <c r="H276" s="2" t="s">
        <v>52</v>
      </c>
      <c r="I276" s="2">
        <v>30</v>
      </c>
      <c r="J276" s="2">
        <v>7</v>
      </c>
      <c r="K276" s="2">
        <v>32716.240000000002</v>
      </c>
      <c r="L276" s="2">
        <v>454.78</v>
      </c>
      <c r="M276" s="2">
        <v>89.13</v>
      </c>
      <c r="N276" s="2" t="s">
        <v>22</v>
      </c>
      <c r="O276" s="2">
        <v>3</v>
      </c>
    </row>
    <row r="277" spans="1:15" x14ac:dyDescent="0.3">
      <c r="A277" s="2" t="s">
        <v>334</v>
      </c>
      <c r="B277" s="1">
        <v>46128</v>
      </c>
      <c r="C277" s="2" t="s">
        <v>24</v>
      </c>
      <c r="D277" s="2" t="s">
        <v>37</v>
      </c>
      <c r="E277" s="2" t="s">
        <v>26</v>
      </c>
      <c r="F277" s="2" t="s">
        <v>39</v>
      </c>
      <c r="G277" s="2" t="s">
        <v>64</v>
      </c>
      <c r="H277" s="2" t="s">
        <v>56</v>
      </c>
      <c r="I277" s="2">
        <v>22</v>
      </c>
      <c r="J277" s="2">
        <v>30</v>
      </c>
      <c r="K277" s="2">
        <v>30945.7</v>
      </c>
      <c r="L277" s="2">
        <v>473.4</v>
      </c>
      <c r="M277" s="2">
        <v>179.13</v>
      </c>
      <c r="N277" s="2" t="s">
        <v>30</v>
      </c>
      <c r="O277" s="2">
        <v>3</v>
      </c>
    </row>
    <row r="278" spans="1:15" x14ac:dyDescent="0.3">
      <c r="A278" s="2" t="s">
        <v>335</v>
      </c>
      <c r="B278" s="1">
        <v>46111</v>
      </c>
      <c r="C278" s="2" t="s">
        <v>90</v>
      </c>
      <c r="D278" s="2" t="s">
        <v>33</v>
      </c>
      <c r="E278" s="2" t="s">
        <v>38</v>
      </c>
      <c r="F278" s="2" t="s">
        <v>27</v>
      </c>
      <c r="G278" s="2" t="s">
        <v>55</v>
      </c>
      <c r="H278" s="2" t="s">
        <v>52</v>
      </c>
      <c r="I278" s="2">
        <v>22</v>
      </c>
      <c r="J278" s="2">
        <v>83</v>
      </c>
      <c r="K278" s="2">
        <v>9195.77</v>
      </c>
      <c r="L278" s="2">
        <v>351.89</v>
      </c>
      <c r="M278" s="2">
        <v>25.23</v>
      </c>
      <c r="N278" s="2" t="s">
        <v>22</v>
      </c>
      <c r="O278" s="2">
        <v>3</v>
      </c>
    </row>
    <row r="279" spans="1:15" x14ac:dyDescent="0.3">
      <c r="A279" s="2" t="s">
        <v>336</v>
      </c>
      <c r="B279" s="1">
        <v>45922</v>
      </c>
      <c r="C279" s="2" t="s">
        <v>74</v>
      </c>
      <c r="D279" s="2" t="s">
        <v>49</v>
      </c>
      <c r="E279" s="2" t="s">
        <v>18</v>
      </c>
      <c r="F279" s="2" t="s">
        <v>19</v>
      </c>
      <c r="G279" s="2" t="s">
        <v>28</v>
      </c>
      <c r="H279" s="2" t="s">
        <v>56</v>
      </c>
      <c r="I279" s="2">
        <v>44</v>
      </c>
      <c r="J279" s="2">
        <v>49</v>
      </c>
      <c r="K279" s="2">
        <v>25902.9</v>
      </c>
      <c r="L279" s="2">
        <v>348.99</v>
      </c>
      <c r="M279" s="2">
        <v>24.66</v>
      </c>
      <c r="N279" s="2" t="s">
        <v>30</v>
      </c>
      <c r="O279" s="2">
        <v>3</v>
      </c>
    </row>
    <row r="280" spans="1:15" x14ac:dyDescent="0.3">
      <c r="A280" s="2" t="s">
        <v>337</v>
      </c>
      <c r="B280" s="1">
        <v>46019</v>
      </c>
      <c r="C280" s="2" t="s">
        <v>90</v>
      </c>
      <c r="D280" s="2" t="s">
        <v>47</v>
      </c>
      <c r="E280" s="2" t="s">
        <v>58</v>
      </c>
      <c r="F280" s="2" t="s">
        <v>68</v>
      </c>
      <c r="G280" s="2" t="s">
        <v>35</v>
      </c>
      <c r="H280" s="2" t="s">
        <v>56</v>
      </c>
      <c r="I280" s="2">
        <v>37</v>
      </c>
      <c r="J280" s="2">
        <v>89</v>
      </c>
      <c r="K280" s="2">
        <v>35911.360000000001</v>
      </c>
      <c r="L280" s="2">
        <v>253.74</v>
      </c>
      <c r="M280" s="2">
        <v>29.49</v>
      </c>
      <c r="N280" s="2" t="s">
        <v>30</v>
      </c>
      <c r="O280" s="2">
        <v>5</v>
      </c>
    </row>
    <row r="281" spans="1:15" x14ac:dyDescent="0.3">
      <c r="A281" s="2" t="s">
        <v>338</v>
      </c>
      <c r="B281" s="1">
        <v>45938</v>
      </c>
      <c r="C281" s="2" t="s">
        <v>54</v>
      </c>
      <c r="D281" s="2" t="s">
        <v>37</v>
      </c>
      <c r="E281" s="2" t="s">
        <v>58</v>
      </c>
      <c r="F281" s="2" t="s">
        <v>39</v>
      </c>
      <c r="G281" s="2" t="s">
        <v>55</v>
      </c>
      <c r="H281" s="2" t="s">
        <v>52</v>
      </c>
      <c r="I281" s="2">
        <v>52</v>
      </c>
      <c r="J281" s="2">
        <v>16</v>
      </c>
      <c r="K281" s="2">
        <v>48676.41</v>
      </c>
      <c r="L281" s="2">
        <v>425.99</v>
      </c>
      <c r="M281" s="2">
        <v>5.95</v>
      </c>
      <c r="N281" s="2" t="s">
        <v>22</v>
      </c>
      <c r="O281" s="2">
        <v>4</v>
      </c>
    </row>
    <row r="282" spans="1:15" x14ac:dyDescent="0.3">
      <c r="A282" s="2" t="s">
        <v>339</v>
      </c>
      <c r="B282" s="1">
        <v>45949</v>
      </c>
      <c r="C282" s="2" t="s">
        <v>24</v>
      </c>
      <c r="D282" s="2" t="s">
        <v>47</v>
      </c>
      <c r="E282" s="2" t="s">
        <v>45</v>
      </c>
      <c r="F282" s="2" t="s">
        <v>39</v>
      </c>
      <c r="G282" s="2" t="s">
        <v>20</v>
      </c>
      <c r="H282" s="2" t="s">
        <v>29</v>
      </c>
      <c r="I282" s="2">
        <v>36</v>
      </c>
      <c r="J282" s="2">
        <v>111</v>
      </c>
      <c r="K282" s="2">
        <v>10469.61</v>
      </c>
      <c r="L282" s="2">
        <v>482.73</v>
      </c>
      <c r="M282" s="2">
        <v>21.52</v>
      </c>
      <c r="N282" s="2" t="s">
        <v>30</v>
      </c>
      <c r="O282" s="2">
        <v>2</v>
      </c>
    </row>
    <row r="283" spans="1:15" x14ac:dyDescent="0.3">
      <c r="A283" s="2" t="s">
        <v>340</v>
      </c>
      <c r="B283" s="1">
        <v>45932</v>
      </c>
      <c r="C283" s="2" t="s">
        <v>24</v>
      </c>
      <c r="D283" s="2" t="s">
        <v>76</v>
      </c>
      <c r="E283" s="2" t="s">
        <v>26</v>
      </c>
      <c r="F283" s="2" t="s">
        <v>68</v>
      </c>
      <c r="G283" s="2" t="s">
        <v>35</v>
      </c>
      <c r="H283" s="2" t="s">
        <v>56</v>
      </c>
      <c r="I283" s="2">
        <v>36</v>
      </c>
      <c r="J283" s="2">
        <v>118</v>
      </c>
      <c r="K283" s="2">
        <v>972.4</v>
      </c>
      <c r="L283" s="2">
        <v>398.79</v>
      </c>
      <c r="M283" s="2">
        <v>131.97</v>
      </c>
      <c r="N283" s="2" t="s">
        <v>30</v>
      </c>
      <c r="O283" s="2">
        <v>3</v>
      </c>
    </row>
    <row r="284" spans="1:15" x14ac:dyDescent="0.3">
      <c r="A284" s="2" t="s">
        <v>341</v>
      </c>
      <c r="B284" s="1">
        <v>46115</v>
      </c>
      <c r="C284" s="2" t="s">
        <v>74</v>
      </c>
      <c r="D284" s="2" t="s">
        <v>62</v>
      </c>
      <c r="E284" s="2" t="s">
        <v>45</v>
      </c>
      <c r="F284" s="2" t="s">
        <v>19</v>
      </c>
      <c r="G284" s="2" t="s">
        <v>28</v>
      </c>
      <c r="H284" s="2" t="s">
        <v>56</v>
      </c>
      <c r="I284" s="2">
        <v>66</v>
      </c>
      <c r="J284" s="2">
        <v>104</v>
      </c>
      <c r="K284" s="2">
        <v>4227.42</v>
      </c>
      <c r="L284" s="2">
        <v>329.87</v>
      </c>
      <c r="M284" s="2">
        <v>86.32</v>
      </c>
      <c r="N284" s="2" t="s">
        <v>30</v>
      </c>
      <c r="O284" s="2">
        <v>4</v>
      </c>
    </row>
    <row r="285" spans="1:15" x14ac:dyDescent="0.3">
      <c r="A285" s="2" t="s">
        <v>342</v>
      </c>
      <c r="B285" s="1">
        <v>45900</v>
      </c>
      <c r="C285" s="2" t="s">
        <v>16</v>
      </c>
      <c r="D285" s="2" t="s">
        <v>37</v>
      </c>
      <c r="E285" s="2" t="s">
        <v>18</v>
      </c>
      <c r="F285" s="2" t="s">
        <v>34</v>
      </c>
      <c r="G285" s="2" t="s">
        <v>55</v>
      </c>
      <c r="H285" s="2" t="s">
        <v>52</v>
      </c>
      <c r="I285" s="2">
        <v>59</v>
      </c>
      <c r="J285" s="2">
        <v>51</v>
      </c>
      <c r="K285" s="2">
        <v>19104.7</v>
      </c>
      <c r="L285" s="2">
        <v>323.06</v>
      </c>
      <c r="M285" s="2">
        <v>152.72</v>
      </c>
      <c r="N285" s="2" t="s">
        <v>30</v>
      </c>
      <c r="O285" s="2">
        <v>1</v>
      </c>
    </row>
    <row r="286" spans="1:15" x14ac:dyDescent="0.3">
      <c r="A286" s="2" t="s">
        <v>343</v>
      </c>
      <c r="B286" s="1">
        <v>46228</v>
      </c>
      <c r="C286" s="2" t="s">
        <v>54</v>
      </c>
      <c r="D286" s="2" t="s">
        <v>49</v>
      </c>
      <c r="E286" s="2" t="s">
        <v>45</v>
      </c>
      <c r="F286" s="2" t="s">
        <v>68</v>
      </c>
      <c r="G286" s="2" t="s">
        <v>35</v>
      </c>
      <c r="H286" s="2" t="s">
        <v>29</v>
      </c>
      <c r="I286" s="2">
        <v>73</v>
      </c>
      <c r="J286" s="2">
        <v>72</v>
      </c>
      <c r="K286" s="2">
        <v>41116.959999999999</v>
      </c>
      <c r="L286" s="2">
        <v>432.26</v>
      </c>
      <c r="M286" s="2">
        <v>297.77999999999997</v>
      </c>
      <c r="N286" s="2" t="s">
        <v>30</v>
      </c>
      <c r="O286" s="2">
        <v>5</v>
      </c>
    </row>
    <row r="287" spans="1:15" x14ac:dyDescent="0.3">
      <c r="A287" s="2" t="s">
        <v>344</v>
      </c>
      <c r="B287" s="1">
        <v>46097</v>
      </c>
      <c r="C287" s="2" t="s">
        <v>41</v>
      </c>
      <c r="D287" s="2" t="s">
        <v>67</v>
      </c>
      <c r="E287" s="2" t="s">
        <v>58</v>
      </c>
      <c r="F287" s="2" t="s">
        <v>19</v>
      </c>
      <c r="G287" s="2" t="s">
        <v>55</v>
      </c>
      <c r="H287" s="2" t="s">
        <v>56</v>
      </c>
      <c r="I287" s="2">
        <v>51</v>
      </c>
      <c r="J287" s="2">
        <v>82</v>
      </c>
      <c r="K287" s="2">
        <v>853.53</v>
      </c>
      <c r="L287" s="2">
        <v>293.54000000000002</v>
      </c>
      <c r="M287" s="2">
        <v>131.81</v>
      </c>
      <c r="N287" s="2" t="s">
        <v>30</v>
      </c>
      <c r="O287" s="2">
        <v>4</v>
      </c>
    </row>
    <row r="288" spans="1:15" x14ac:dyDescent="0.3">
      <c r="A288" s="2" t="s">
        <v>345</v>
      </c>
      <c r="B288" s="1">
        <v>46098</v>
      </c>
      <c r="C288" s="2" t="s">
        <v>90</v>
      </c>
      <c r="D288" s="2" t="s">
        <v>25</v>
      </c>
      <c r="E288" s="2" t="s">
        <v>58</v>
      </c>
      <c r="F288" s="2" t="s">
        <v>68</v>
      </c>
      <c r="G288" s="2" t="s">
        <v>55</v>
      </c>
      <c r="H288" s="2" t="s">
        <v>56</v>
      </c>
      <c r="I288" s="2">
        <v>63</v>
      </c>
      <c r="J288" s="2">
        <v>92</v>
      </c>
      <c r="K288" s="2">
        <v>23108.16</v>
      </c>
      <c r="L288" s="2">
        <v>411.74</v>
      </c>
      <c r="M288" s="2">
        <v>10.09</v>
      </c>
      <c r="N288" s="2" t="s">
        <v>30</v>
      </c>
      <c r="O288" s="2">
        <v>3</v>
      </c>
    </row>
    <row r="289" spans="1:15" x14ac:dyDescent="0.3">
      <c r="A289" s="2" t="s">
        <v>346</v>
      </c>
      <c r="B289" s="1">
        <v>45944</v>
      </c>
      <c r="C289" s="2" t="s">
        <v>32</v>
      </c>
      <c r="D289" s="2" t="s">
        <v>47</v>
      </c>
      <c r="E289" s="2" t="s">
        <v>38</v>
      </c>
      <c r="F289" s="2" t="s">
        <v>68</v>
      </c>
      <c r="G289" s="2" t="s">
        <v>28</v>
      </c>
      <c r="H289" s="2" t="s">
        <v>29</v>
      </c>
      <c r="I289" s="2">
        <v>44</v>
      </c>
      <c r="J289" s="2">
        <v>80</v>
      </c>
      <c r="K289" s="2">
        <v>16796.919999999998</v>
      </c>
      <c r="L289" s="2">
        <v>279</v>
      </c>
      <c r="M289" s="2">
        <v>31.36</v>
      </c>
      <c r="N289" s="2" t="s">
        <v>30</v>
      </c>
      <c r="O289" s="2">
        <v>3</v>
      </c>
    </row>
    <row r="290" spans="1:15" x14ac:dyDescent="0.3">
      <c r="A290" s="2" t="s">
        <v>347</v>
      </c>
      <c r="B290" s="1">
        <v>46227</v>
      </c>
      <c r="C290" s="2" t="s">
        <v>90</v>
      </c>
      <c r="D290" s="2" t="s">
        <v>25</v>
      </c>
      <c r="E290" s="2" t="s">
        <v>38</v>
      </c>
      <c r="F290" s="2" t="s">
        <v>27</v>
      </c>
      <c r="G290" s="2" t="s">
        <v>64</v>
      </c>
      <c r="H290" s="2" t="s">
        <v>56</v>
      </c>
      <c r="I290" s="2">
        <v>21</v>
      </c>
      <c r="J290" s="2">
        <v>116</v>
      </c>
      <c r="K290" s="2">
        <v>3097.84</v>
      </c>
      <c r="L290" s="2">
        <v>78.099999999999994</v>
      </c>
      <c r="M290" s="2">
        <v>176.2</v>
      </c>
      <c r="N290" s="2" t="s">
        <v>22</v>
      </c>
      <c r="O290" s="2">
        <v>3</v>
      </c>
    </row>
    <row r="291" spans="1:15" x14ac:dyDescent="0.3">
      <c r="A291" s="2" t="s">
        <v>348</v>
      </c>
      <c r="B291" s="1">
        <v>45927</v>
      </c>
      <c r="C291" s="2" t="s">
        <v>43</v>
      </c>
      <c r="D291" s="2" t="s">
        <v>17</v>
      </c>
      <c r="E291" s="2" t="s">
        <v>18</v>
      </c>
      <c r="F291" s="2" t="s">
        <v>19</v>
      </c>
      <c r="G291" s="2" t="s">
        <v>35</v>
      </c>
      <c r="H291" s="2" t="s">
        <v>29</v>
      </c>
      <c r="I291" s="2">
        <v>31</v>
      </c>
      <c r="J291" s="2">
        <v>83</v>
      </c>
      <c r="K291" s="2">
        <v>22786.7</v>
      </c>
      <c r="L291" s="2">
        <v>222.78</v>
      </c>
      <c r="M291" s="2">
        <v>158.25</v>
      </c>
      <c r="N291" s="2" t="s">
        <v>22</v>
      </c>
      <c r="O291" s="2">
        <v>4</v>
      </c>
    </row>
    <row r="292" spans="1:15" x14ac:dyDescent="0.3">
      <c r="A292" s="2" t="s">
        <v>349</v>
      </c>
      <c r="B292" s="1">
        <v>46048</v>
      </c>
      <c r="C292" s="2" t="s">
        <v>90</v>
      </c>
      <c r="D292" s="2" t="s">
        <v>67</v>
      </c>
      <c r="E292" s="2" t="s">
        <v>26</v>
      </c>
      <c r="F292" s="2" t="s">
        <v>34</v>
      </c>
      <c r="G292" s="2" t="s">
        <v>28</v>
      </c>
      <c r="H292" s="2" t="s">
        <v>29</v>
      </c>
      <c r="I292" s="2">
        <v>41</v>
      </c>
      <c r="J292" s="2">
        <v>42</v>
      </c>
      <c r="K292" s="2">
        <v>13110.06</v>
      </c>
      <c r="L292" s="2">
        <v>250</v>
      </c>
      <c r="M292" s="2">
        <v>247.46</v>
      </c>
      <c r="N292" s="2" t="s">
        <v>22</v>
      </c>
      <c r="O292" s="2">
        <v>3</v>
      </c>
    </row>
    <row r="293" spans="1:15" x14ac:dyDescent="0.3">
      <c r="A293" s="2" t="s">
        <v>350</v>
      </c>
      <c r="B293" s="1">
        <v>46063</v>
      </c>
      <c r="C293" s="2" t="s">
        <v>41</v>
      </c>
      <c r="D293" s="2" t="s">
        <v>25</v>
      </c>
      <c r="E293" s="2" t="s">
        <v>45</v>
      </c>
      <c r="F293" s="2" t="s">
        <v>27</v>
      </c>
      <c r="G293" s="2" t="s">
        <v>55</v>
      </c>
      <c r="H293" s="2" t="s">
        <v>52</v>
      </c>
      <c r="I293" s="2">
        <v>24</v>
      </c>
      <c r="J293" s="2">
        <v>17</v>
      </c>
      <c r="K293" s="2">
        <v>17918.3</v>
      </c>
      <c r="L293" s="2">
        <v>113.73</v>
      </c>
      <c r="M293" s="2">
        <v>171.32</v>
      </c>
      <c r="N293" s="2" t="s">
        <v>30</v>
      </c>
      <c r="O293" s="2">
        <v>4</v>
      </c>
    </row>
    <row r="294" spans="1:15" x14ac:dyDescent="0.3">
      <c r="A294" s="2" t="s">
        <v>351</v>
      </c>
      <c r="B294" s="1">
        <v>46160</v>
      </c>
      <c r="C294" s="2" t="s">
        <v>90</v>
      </c>
      <c r="D294" s="2" t="s">
        <v>78</v>
      </c>
      <c r="E294" s="2" t="s">
        <v>18</v>
      </c>
      <c r="F294" s="2" t="s">
        <v>68</v>
      </c>
      <c r="G294" s="2" t="s">
        <v>28</v>
      </c>
      <c r="H294" s="2" t="s">
        <v>21</v>
      </c>
      <c r="I294" s="2">
        <v>27</v>
      </c>
      <c r="J294" s="2">
        <v>63</v>
      </c>
      <c r="K294" s="2">
        <v>35427.96</v>
      </c>
      <c r="L294" s="2">
        <v>96.12</v>
      </c>
      <c r="M294" s="2">
        <v>185.53</v>
      </c>
      <c r="N294" s="2" t="s">
        <v>22</v>
      </c>
      <c r="O294" s="2">
        <v>3</v>
      </c>
    </row>
    <row r="295" spans="1:15" x14ac:dyDescent="0.3">
      <c r="A295" s="2" t="s">
        <v>352</v>
      </c>
      <c r="B295" s="1">
        <v>46107</v>
      </c>
      <c r="C295" s="2" t="s">
        <v>54</v>
      </c>
      <c r="D295" s="2" t="s">
        <v>78</v>
      </c>
      <c r="E295" s="2" t="s">
        <v>38</v>
      </c>
      <c r="F295" s="2" t="s">
        <v>68</v>
      </c>
      <c r="G295" s="2" t="s">
        <v>64</v>
      </c>
      <c r="H295" s="2" t="s">
        <v>29</v>
      </c>
      <c r="I295" s="2">
        <v>46</v>
      </c>
      <c r="J295" s="2">
        <v>45</v>
      </c>
      <c r="K295" s="2">
        <v>26316.77</v>
      </c>
      <c r="L295" s="2">
        <v>290.95999999999998</v>
      </c>
      <c r="M295" s="2">
        <v>284.95999999999998</v>
      </c>
      <c r="N295" s="2" t="s">
        <v>22</v>
      </c>
      <c r="O295" s="2">
        <v>1</v>
      </c>
    </row>
    <row r="296" spans="1:15" x14ac:dyDescent="0.3">
      <c r="A296" s="2" t="s">
        <v>353</v>
      </c>
      <c r="B296" s="1">
        <v>45957</v>
      </c>
      <c r="C296" s="2" t="s">
        <v>54</v>
      </c>
      <c r="D296" s="2" t="s">
        <v>33</v>
      </c>
      <c r="E296" s="2" t="s">
        <v>45</v>
      </c>
      <c r="F296" s="2" t="s">
        <v>68</v>
      </c>
      <c r="G296" s="2" t="s">
        <v>35</v>
      </c>
      <c r="H296" s="2" t="s">
        <v>52</v>
      </c>
      <c r="I296" s="2">
        <v>67</v>
      </c>
      <c r="J296" s="2">
        <v>77</v>
      </c>
      <c r="K296" s="2">
        <v>6670.05</v>
      </c>
      <c r="L296" s="2">
        <v>88.31</v>
      </c>
      <c r="M296" s="2">
        <v>110.97</v>
      </c>
      <c r="N296" s="2" t="s">
        <v>22</v>
      </c>
      <c r="O296" s="2">
        <v>1</v>
      </c>
    </row>
    <row r="297" spans="1:15" x14ac:dyDescent="0.3">
      <c r="A297" s="2" t="s">
        <v>354</v>
      </c>
      <c r="B297" s="1">
        <v>45901</v>
      </c>
      <c r="C297" s="2" t="s">
        <v>24</v>
      </c>
      <c r="D297" s="2" t="s">
        <v>51</v>
      </c>
      <c r="E297" s="2" t="s">
        <v>38</v>
      </c>
      <c r="F297" s="2" t="s">
        <v>19</v>
      </c>
      <c r="G297" s="2" t="s">
        <v>64</v>
      </c>
      <c r="H297" s="2" t="s">
        <v>21</v>
      </c>
      <c r="I297" s="2">
        <v>70</v>
      </c>
      <c r="J297" s="2">
        <v>7</v>
      </c>
      <c r="K297" s="2">
        <v>48090.02</v>
      </c>
      <c r="L297" s="2">
        <v>186.33</v>
      </c>
      <c r="M297" s="2">
        <v>68.2</v>
      </c>
      <c r="N297" s="2" t="s">
        <v>30</v>
      </c>
      <c r="O297" s="2">
        <v>2</v>
      </c>
    </row>
    <row r="298" spans="1:15" x14ac:dyDescent="0.3">
      <c r="A298" s="2" t="s">
        <v>355</v>
      </c>
      <c r="B298" s="1">
        <v>46000</v>
      </c>
      <c r="C298" s="2" t="s">
        <v>74</v>
      </c>
      <c r="D298" s="2" t="s">
        <v>62</v>
      </c>
      <c r="E298" s="2" t="s">
        <v>45</v>
      </c>
      <c r="F298" s="2" t="s">
        <v>19</v>
      </c>
      <c r="G298" s="2" t="s">
        <v>20</v>
      </c>
      <c r="H298" s="2" t="s">
        <v>56</v>
      </c>
      <c r="I298" s="2">
        <v>32</v>
      </c>
      <c r="J298" s="2">
        <v>27</v>
      </c>
      <c r="K298" s="2">
        <v>31977.58</v>
      </c>
      <c r="L298" s="2">
        <v>385.07</v>
      </c>
      <c r="M298" s="2">
        <v>192.37</v>
      </c>
      <c r="N298" s="2" t="s">
        <v>30</v>
      </c>
      <c r="O298" s="2">
        <v>3</v>
      </c>
    </row>
    <row r="299" spans="1:15" x14ac:dyDescent="0.3">
      <c r="A299" s="2" t="s">
        <v>356</v>
      </c>
      <c r="B299" s="1">
        <v>45963</v>
      </c>
      <c r="C299" s="2" t="s">
        <v>16</v>
      </c>
      <c r="D299" s="2" t="s">
        <v>76</v>
      </c>
      <c r="E299" s="2" t="s">
        <v>26</v>
      </c>
      <c r="F299" s="2" t="s">
        <v>27</v>
      </c>
      <c r="G299" s="2" t="s">
        <v>35</v>
      </c>
      <c r="H299" s="2" t="s">
        <v>21</v>
      </c>
      <c r="I299" s="2">
        <v>51</v>
      </c>
      <c r="J299" s="2">
        <v>10</v>
      </c>
      <c r="K299" s="2">
        <v>38410.49</v>
      </c>
      <c r="L299" s="2">
        <v>483.99</v>
      </c>
      <c r="M299" s="2">
        <v>109.48</v>
      </c>
      <c r="N299" s="2" t="s">
        <v>22</v>
      </c>
      <c r="O299" s="2">
        <v>3</v>
      </c>
    </row>
    <row r="300" spans="1:15" x14ac:dyDescent="0.3">
      <c r="A300" s="2" t="s">
        <v>357</v>
      </c>
      <c r="B300" s="1">
        <v>46001</v>
      </c>
      <c r="C300" s="2" t="s">
        <v>32</v>
      </c>
      <c r="D300" s="2" t="s">
        <v>37</v>
      </c>
      <c r="E300" s="2" t="s">
        <v>18</v>
      </c>
      <c r="F300" s="2" t="s">
        <v>34</v>
      </c>
      <c r="G300" s="2" t="s">
        <v>64</v>
      </c>
      <c r="H300" s="2" t="s">
        <v>29</v>
      </c>
      <c r="I300" s="2">
        <v>37</v>
      </c>
      <c r="J300" s="2">
        <v>34</v>
      </c>
      <c r="K300" s="2">
        <v>4421.05</v>
      </c>
      <c r="L300" s="2">
        <v>373.04</v>
      </c>
      <c r="M300" s="2">
        <v>19.27</v>
      </c>
      <c r="N300" s="2" t="s">
        <v>30</v>
      </c>
      <c r="O300" s="2">
        <v>4</v>
      </c>
    </row>
    <row r="301" spans="1:15" x14ac:dyDescent="0.3">
      <c r="A301" s="2" t="s">
        <v>358</v>
      </c>
      <c r="B301" s="1">
        <v>46088</v>
      </c>
      <c r="C301" s="2" t="s">
        <v>43</v>
      </c>
      <c r="D301" s="2" t="s">
        <v>44</v>
      </c>
      <c r="E301" s="2" t="s">
        <v>45</v>
      </c>
      <c r="F301" s="2" t="s">
        <v>27</v>
      </c>
      <c r="G301" s="2" t="s">
        <v>55</v>
      </c>
      <c r="H301" s="2" t="s">
        <v>29</v>
      </c>
      <c r="I301" s="2">
        <v>53</v>
      </c>
      <c r="J301" s="2">
        <v>36</v>
      </c>
      <c r="K301" s="2">
        <v>2829.39</v>
      </c>
      <c r="L301" s="2">
        <v>496.68</v>
      </c>
      <c r="M301" s="2">
        <v>192.84</v>
      </c>
      <c r="N301" s="2" t="s">
        <v>30</v>
      </c>
      <c r="O301" s="2">
        <v>4</v>
      </c>
    </row>
    <row r="302" spans="1:15" x14ac:dyDescent="0.3">
      <c r="A302" s="2" t="s">
        <v>359</v>
      </c>
      <c r="B302" s="1">
        <v>46215</v>
      </c>
      <c r="C302" s="2" t="s">
        <v>90</v>
      </c>
      <c r="D302" s="2" t="s">
        <v>17</v>
      </c>
      <c r="E302" s="2" t="s">
        <v>58</v>
      </c>
      <c r="F302" s="2" t="s">
        <v>39</v>
      </c>
      <c r="G302" s="2" t="s">
        <v>35</v>
      </c>
      <c r="H302" s="2" t="s">
        <v>29</v>
      </c>
      <c r="I302" s="2">
        <v>31</v>
      </c>
      <c r="J302" s="2">
        <v>25</v>
      </c>
      <c r="K302" s="2">
        <v>1462.68</v>
      </c>
      <c r="L302" s="2">
        <v>364.25</v>
      </c>
      <c r="M302" s="2">
        <v>176.31</v>
      </c>
      <c r="N302" s="2" t="s">
        <v>22</v>
      </c>
      <c r="O302" s="2">
        <v>3</v>
      </c>
    </row>
    <row r="303" spans="1:15" x14ac:dyDescent="0.3">
      <c r="A303" s="2" t="s">
        <v>360</v>
      </c>
      <c r="B303" s="1">
        <v>45890</v>
      </c>
      <c r="C303" s="2" t="s">
        <v>90</v>
      </c>
      <c r="D303" s="2" t="s">
        <v>47</v>
      </c>
      <c r="E303" s="2" t="s">
        <v>58</v>
      </c>
      <c r="F303" s="2" t="s">
        <v>68</v>
      </c>
      <c r="G303" s="2" t="s">
        <v>35</v>
      </c>
      <c r="H303" s="2" t="s">
        <v>29</v>
      </c>
      <c r="I303" s="2">
        <v>48</v>
      </c>
      <c r="J303" s="2">
        <v>6</v>
      </c>
      <c r="K303" s="2">
        <v>9845.2999999999993</v>
      </c>
      <c r="L303" s="2">
        <v>182.21</v>
      </c>
      <c r="M303" s="2">
        <v>268.74</v>
      </c>
      <c r="N303" s="2" t="s">
        <v>22</v>
      </c>
      <c r="O303" s="2">
        <v>2</v>
      </c>
    </row>
    <row r="304" spans="1:15" x14ac:dyDescent="0.3">
      <c r="A304" s="2" t="s">
        <v>361</v>
      </c>
      <c r="B304" s="1">
        <v>46031</v>
      </c>
      <c r="C304" s="2" t="s">
        <v>41</v>
      </c>
      <c r="D304" s="2" t="s">
        <v>76</v>
      </c>
      <c r="E304" s="2" t="s">
        <v>45</v>
      </c>
      <c r="F304" s="2" t="s">
        <v>68</v>
      </c>
      <c r="G304" s="2" t="s">
        <v>28</v>
      </c>
      <c r="H304" s="2" t="s">
        <v>29</v>
      </c>
      <c r="I304" s="2">
        <v>52</v>
      </c>
      <c r="J304" s="2">
        <v>24</v>
      </c>
      <c r="K304" s="2">
        <v>21013.22</v>
      </c>
      <c r="L304" s="2">
        <v>352.42</v>
      </c>
      <c r="M304" s="2">
        <v>195.96</v>
      </c>
      <c r="N304" s="2" t="s">
        <v>22</v>
      </c>
      <c r="O304" s="2">
        <v>3</v>
      </c>
    </row>
    <row r="305" spans="1:15" x14ac:dyDescent="0.3">
      <c r="A305" s="2" t="s">
        <v>362</v>
      </c>
      <c r="B305" s="1">
        <v>45983</v>
      </c>
      <c r="C305" s="2" t="s">
        <v>74</v>
      </c>
      <c r="D305" s="2" t="s">
        <v>67</v>
      </c>
      <c r="E305" s="2" t="s">
        <v>45</v>
      </c>
      <c r="F305" s="2" t="s">
        <v>68</v>
      </c>
      <c r="G305" s="2" t="s">
        <v>55</v>
      </c>
      <c r="H305" s="2" t="s">
        <v>52</v>
      </c>
      <c r="I305" s="2">
        <v>21</v>
      </c>
      <c r="J305" s="2">
        <v>18</v>
      </c>
      <c r="K305" s="2">
        <v>46823.39</v>
      </c>
      <c r="L305" s="2">
        <v>365.97</v>
      </c>
      <c r="M305" s="2">
        <v>69.81</v>
      </c>
      <c r="N305" s="2" t="s">
        <v>22</v>
      </c>
      <c r="O305" s="2">
        <v>4</v>
      </c>
    </row>
    <row r="306" spans="1:15" x14ac:dyDescent="0.3">
      <c r="A306" s="2" t="s">
        <v>363</v>
      </c>
      <c r="B306" s="1">
        <v>46130</v>
      </c>
      <c r="C306" s="2" t="s">
        <v>54</v>
      </c>
      <c r="D306" s="2" t="s">
        <v>82</v>
      </c>
      <c r="E306" s="2" t="s">
        <v>45</v>
      </c>
      <c r="F306" s="2" t="s">
        <v>27</v>
      </c>
      <c r="G306" s="2" t="s">
        <v>20</v>
      </c>
      <c r="H306" s="2" t="s">
        <v>29</v>
      </c>
      <c r="I306" s="2">
        <v>67</v>
      </c>
      <c r="J306" s="2">
        <v>87</v>
      </c>
      <c r="K306" s="2">
        <v>23124.45</v>
      </c>
      <c r="L306" s="2">
        <v>217.28</v>
      </c>
      <c r="M306" s="2">
        <v>289.88</v>
      </c>
      <c r="N306" s="2" t="s">
        <v>30</v>
      </c>
      <c r="O306" s="2">
        <v>3</v>
      </c>
    </row>
    <row r="307" spans="1:15" x14ac:dyDescent="0.3">
      <c r="A307" s="2" t="s">
        <v>364</v>
      </c>
      <c r="B307" s="1">
        <v>45876</v>
      </c>
      <c r="C307" s="2" t="s">
        <v>32</v>
      </c>
      <c r="D307" s="2" t="s">
        <v>78</v>
      </c>
      <c r="E307" s="2" t="s">
        <v>58</v>
      </c>
      <c r="F307" s="2" t="s">
        <v>27</v>
      </c>
      <c r="G307" s="2" t="s">
        <v>64</v>
      </c>
      <c r="H307" s="2" t="s">
        <v>52</v>
      </c>
      <c r="I307" s="2">
        <v>48</v>
      </c>
      <c r="J307" s="2">
        <v>6</v>
      </c>
      <c r="K307" s="2">
        <v>14867.63</v>
      </c>
      <c r="L307" s="2">
        <v>57.97</v>
      </c>
      <c r="M307" s="2">
        <v>160.32</v>
      </c>
      <c r="N307" s="2" t="s">
        <v>30</v>
      </c>
      <c r="O307" s="2">
        <v>4</v>
      </c>
    </row>
    <row r="308" spans="1:15" x14ac:dyDescent="0.3">
      <c r="A308" s="2" t="s">
        <v>365</v>
      </c>
      <c r="B308" s="1">
        <v>45946</v>
      </c>
      <c r="C308" s="2" t="s">
        <v>24</v>
      </c>
      <c r="D308" s="2" t="s">
        <v>82</v>
      </c>
      <c r="E308" s="2" t="s">
        <v>58</v>
      </c>
      <c r="F308" s="2" t="s">
        <v>68</v>
      </c>
      <c r="G308" s="2" t="s">
        <v>28</v>
      </c>
      <c r="H308" s="2" t="s">
        <v>56</v>
      </c>
      <c r="I308" s="2">
        <v>73</v>
      </c>
      <c r="J308" s="2">
        <v>29</v>
      </c>
      <c r="K308" s="2">
        <v>28315.8</v>
      </c>
      <c r="L308" s="2">
        <v>366.44</v>
      </c>
      <c r="M308" s="2">
        <v>126.08</v>
      </c>
      <c r="N308" s="2" t="s">
        <v>30</v>
      </c>
      <c r="O308" s="2">
        <v>3</v>
      </c>
    </row>
    <row r="309" spans="1:15" x14ac:dyDescent="0.3">
      <c r="A309" s="2" t="s">
        <v>366</v>
      </c>
      <c r="B309" s="1">
        <v>46024</v>
      </c>
      <c r="C309" s="2" t="s">
        <v>54</v>
      </c>
      <c r="D309" s="2" t="s">
        <v>49</v>
      </c>
      <c r="E309" s="2" t="s">
        <v>45</v>
      </c>
      <c r="F309" s="2" t="s">
        <v>27</v>
      </c>
      <c r="G309" s="2" t="s">
        <v>64</v>
      </c>
      <c r="H309" s="2" t="s">
        <v>29</v>
      </c>
      <c r="I309" s="2">
        <v>62</v>
      </c>
      <c r="J309" s="2">
        <v>25</v>
      </c>
      <c r="K309" s="2">
        <v>6040.76</v>
      </c>
      <c r="L309" s="2">
        <v>59.77</v>
      </c>
      <c r="M309" s="2">
        <v>87.88</v>
      </c>
      <c r="N309" s="2" t="s">
        <v>30</v>
      </c>
      <c r="O309" s="2">
        <v>5</v>
      </c>
    </row>
    <row r="310" spans="1:15" x14ac:dyDescent="0.3">
      <c r="A310" s="2" t="s">
        <v>367</v>
      </c>
      <c r="B310" s="1">
        <v>46119</v>
      </c>
      <c r="C310" s="2" t="s">
        <v>43</v>
      </c>
      <c r="D310" s="2" t="s">
        <v>17</v>
      </c>
      <c r="E310" s="2" t="s">
        <v>38</v>
      </c>
      <c r="F310" s="2" t="s">
        <v>19</v>
      </c>
      <c r="G310" s="2" t="s">
        <v>20</v>
      </c>
      <c r="H310" s="2" t="s">
        <v>29</v>
      </c>
      <c r="I310" s="2">
        <v>27</v>
      </c>
      <c r="J310" s="2">
        <v>55</v>
      </c>
      <c r="K310" s="2">
        <v>30670.54</v>
      </c>
      <c r="L310" s="2">
        <v>334.03</v>
      </c>
      <c r="M310" s="2">
        <v>112.06</v>
      </c>
      <c r="N310" s="2" t="s">
        <v>30</v>
      </c>
      <c r="O310" s="2">
        <v>4</v>
      </c>
    </row>
    <row r="311" spans="1:15" x14ac:dyDescent="0.3">
      <c r="A311" s="2" t="s">
        <v>368</v>
      </c>
      <c r="B311" s="1">
        <v>46226</v>
      </c>
      <c r="C311" s="2" t="s">
        <v>74</v>
      </c>
      <c r="D311" s="2" t="s">
        <v>44</v>
      </c>
      <c r="E311" s="2" t="s">
        <v>38</v>
      </c>
      <c r="F311" s="2" t="s">
        <v>19</v>
      </c>
      <c r="G311" s="2" t="s">
        <v>20</v>
      </c>
      <c r="H311" s="2" t="s">
        <v>21</v>
      </c>
      <c r="I311" s="2">
        <v>22</v>
      </c>
      <c r="J311" s="2">
        <v>81</v>
      </c>
      <c r="K311" s="2">
        <v>28637.38</v>
      </c>
      <c r="L311" s="2">
        <v>123.63</v>
      </c>
      <c r="M311" s="2">
        <v>133.99</v>
      </c>
      <c r="N311" s="2" t="s">
        <v>30</v>
      </c>
      <c r="O311" s="2">
        <v>2</v>
      </c>
    </row>
    <row r="312" spans="1:15" x14ac:dyDescent="0.3">
      <c r="A312" s="2" t="s">
        <v>369</v>
      </c>
      <c r="B312" s="1">
        <v>46230</v>
      </c>
      <c r="C312" s="2" t="s">
        <v>43</v>
      </c>
      <c r="D312" s="2" t="s">
        <v>37</v>
      </c>
      <c r="E312" s="2" t="s">
        <v>26</v>
      </c>
      <c r="F312" s="2" t="s">
        <v>27</v>
      </c>
      <c r="G312" s="2" t="s">
        <v>35</v>
      </c>
      <c r="H312" s="2" t="s">
        <v>56</v>
      </c>
      <c r="I312" s="2">
        <v>62</v>
      </c>
      <c r="J312" s="2">
        <v>46</v>
      </c>
      <c r="K312" s="2">
        <v>39703.660000000003</v>
      </c>
      <c r="L312" s="2">
        <v>304.52</v>
      </c>
      <c r="M312" s="2">
        <v>14.4</v>
      </c>
      <c r="N312" s="2" t="s">
        <v>30</v>
      </c>
      <c r="O312" s="2">
        <v>5</v>
      </c>
    </row>
    <row r="313" spans="1:15" x14ac:dyDescent="0.3">
      <c r="A313" s="2" t="s">
        <v>370</v>
      </c>
      <c r="B313" s="1">
        <v>46007</v>
      </c>
      <c r="C313" s="2" t="s">
        <v>16</v>
      </c>
      <c r="D313" s="2" t="s">
        <v>33</v>
      </c>
      <c r="E313" s="2" t="s">
        <v>18</v>
      </c>
      <c r="F313" s="2" t="s">
        <v>68</v>
      </c>
      <c r="G313" s="2" t="s">
        <v>20</v>
      </c>
      <c r="H313" s="2" t="s">
        <v>29</v>
      </c>
      <c r="I313" s="2">
        <v>44</v>
      </c>
      <c r="J313" s="2">
        <v>24</v>
      </c>
      <c r="K313" s="2">
        <v>49341.04</v>
      </c>
      <c r="L313" s="2">
        <v>276.76</v>
      </c>
      <c r="M313" s="2">
        <v>77.010000000000005</v>
      </c>
      <c r="N313" s="2" t="s">
        <v>22</v>
      </c>
      <c r="O313" s="2">
        <v>3</v>
      </c>
    </row>
    <row r="314" spans="1:15" x14ac:dyDescent="0.3">
      <c r="A314" s="2" t="s">
        <v>371</v>
      </c>
      <c r="B314" s="1">
        <v>45963</v>
      </c>
      <c r="C314" s="2" t="s">
        <v>24</v>
      </c>
      <c r="D314" s="2" t="s">
        <v>44</v>
      </c>
      <c r="E314" s="2" t="s">
        <v>38</v>
      </c>
      <c r="F314" s="2" t="s">
        <v>27</v>
      </c>
      <c r="G314" s="2" t="s">
        <v>64</v>
      </c>
      <c r="H314" s="2" t="s">
        <v>29</v>
      </c>
      <c r="I314" s="2">
        <v>24</v>
      </c>
      <c r="J314" s="2">
        <v>75</v>
      </c>
      <c r="K314" s="2">
        <v>12918.24</v>
      </c>
      <c r="L314" s="2">
        <v>56.08</v>
      </c>
      <c r="M314" s="2">
        <v>214.17</v>
      </c>
      <c r="N314" s="2" t="s">
        <v>22</v>
      </c>
      <c r="O314" s="2">
        <v>4</v>
      </c>
    </row>
    <row r="315" spans="1:15" x14ac:dyDescent="0.3">
      <c r="A315" s="2" t="s">
        <v>372</v>
      </c>
      <c r="B315" s="1">
        <v>46090</v>
      </c>
      <c r="C315" s="2" t="s">
        <v>16</v>
      </c>
      <c r="D315" s="2" t="s">
        <v>17</v>
      </c>
      <c r="E315" s="2" t="s">
        <v>58</v>
      </c>
      <c r="F315" s="2" t="s">
        <v>27</v>
      </c>
      <c r="G315" s="2" t="s">
        <v>55</v>
      </c>
      <c r="H315" s="2" t="s">
        <v>56</v>
      </c>
      <c r="I315" s="2">
        <v>64</v>
      </c>
      <c r="J315" s="2">
        <v>26</v>
      </c>
      <c r="K315" s="2">
        <v>25727.99</v>
      </c>
      <c r="L315" s="2">
        <v>213.29</v>
      </c>
      <c r="M315" s="2">
        <v>96</v>
      </c>
      <c r="N315" s="2" t="s">
        <v>22</v>
      </c>
      <c r="O315" s="2">
        <v>5</v>
      </c>
    </row>
    <row r="316" spans="1:15" x14ac:dyDescent="0.3">
      <c r="A316" s="2" t="s">
        <v>373</v>
      </c>
      <c r="B316" s="1">
        <v>45950</v>
      </c>
      <c r="C316" s="2" t="s">
        <v>41</v>
      </c>
      <c r="D316" s="2" t="s">
        <v>44</v>
      </c>
      <c r="E316" s="2" t="s">
        <v>38</v>
      </c>
      <c r="F316" s="2" t="s">
        <v>27</v>
      </c>
      <c r="G316" s="2" t="s">
        <v>55</v>
      </c>
      <c r="H316" s="2" t="s">
        <v>52</v>
      </c>
      <c r="I316" s="2">
        <v>39</v>
      </c>
      <c r="J316" s="2">
        <v>115</v>
      </c>
      <c r="K316" s="2">
        <v>45488.84</v>
      </c>
      <c r="L316" s="2">
        <v>320.49</v>
      </c>
      <c r="M316" s="2">
        <v>80.48</v>
      </c>
      <c r="N316" s="2" t="s">
        <v>22</v>
      </c>
      <c r="O316" s="2">
        <v>2</v>
      </c>
    </row>
    <row r="317" spans="1:15" x14ac:dyDescent="0.3">
      <c r="A317" s="2" t="s">
        <v>374</v>
      </c>
      <c r="B317" s="1">
        <v>46063</v>
      </c>
      <c r="C317" s="2" t="s">
        <v>43</v>
      </c>
      <c r="D317" s="2" t="s">
        <v>17</v>
      </c>
      <c r="E317" s="2" t="s">
        <v>26</v>
      </c>
      <c r="F317" s="2" t="s">
        <v>39</v>
      </c>
      <c r="G317" s="2" t="s">
        <v>35</v>
      </c>
      <c r="H317" s="2" t="s">
        <v>29</v>
      </c>
      <c r="I317" s="2">
        <v>46</v>
      </c>
      <c r="J317" s="2">
        <v>98</v>
      </c>
      <c r="K317" s="2">
        <v>39366.9</v>
      </c>
      <c r="L317" s="2">
        <v>431.87</v>
      </c>
      <c r="M317" s="2">
        <v>45.44</v>
      </c>
      <c r="N317" s="2" t="s">
        <v>30</v>
      </c>
      <c r="O317" s="2">
        <v>4</v>
      </c>
    </row>
    <row r="318" spans="1:15" x14ac:dyDescent="0.3">
      <c r="A318" s="2" t="s">
        <v>375</v>
      </c>
      <c r="B318" s="1">
        <v>46026</v>
      </c>
      <c r="C318" s="2" t="s">
        <v>41</v>
      </c>
      <c r="D318" s="2" t="s">
        <v>17</v>
      </c>
      <c r="E318" s="2" t="s">
        <v>26</v>
      </c>
      <c r="F318" s="2" t="s">
        <v>19</v>
      </c>
      <c r="G318" s="2" t="s">
        <v>64</v>
      </c>
      <c r="H318" s="2" t="s">
        <v>21</v>
      </c>
      <c r="I318" s="2">
        <v>31</v>
      </c>
      <c r="J318" s="2">
        <v>28</v>
      </c>
      <c r="K318" s="2">
        <v>24626.61</v>
      </c>
      <c r="L318" s="2">
        <v>449.89</v>
      </c>
      <c r="M318" s="2">
        <v>88.37</v>
      </c>
      <c r="N318" s="2" t="s">
        <v>22</v>
      </c>
      <c r="O318" s="2">
        <v>5</v>
      </c>
    </row>
    <row r="319" spans="1:15" x14ac:dyDescent="0.3">
      <c r="A319" s="2" t="s">
        <v>376</v>
      </c>
      <c r="B319" s="1">
        <v>45930</v>
      </c>
      <c r="C319" s="2" t="s">
        <v>90</v>
      </c>
      <c r="D319" s="2" t="s">
        <v>86</v>
      </c>
      <c r="E319" s="2" t="s">
        <v>18</v>
      </c>
      <c r="F319" s="2" t="s">
        <v>34</v>
      </c>
      <c r="G319" s="2" t="s">
        <v>64</v>
      </c>
      <c r="H319" s="2" t="s">
        <v>29</v>
      </c>
      <c r="I319" s="2">
        <v>60</v>
      </c>
      <c r="J319" s="2">
        <v>3</v>
      </c>
      <c r="K319" s="2">
        <v>47295.9</v>
      </c>
      <c r="L319" s="2">
        <v>267.73</v>
      </c>
      <c r="M319" s="2">
        <v>231.21</v>
      </c>
      <c r="N319" s="2" t="s">
        <v>30</v>
      </c>
      <c r="O319" s="2">
        <v>5</v>
      </c>
    </row>
    <row r="320" spans="1:15" x14ac:dyDescent="0.3">
      <c r="A320" s="2" t="s">
        <v>377</v>
      </c>
      <c r="B320" s="1">
        <v>46151</v>
      </c>
      <c r="C320" s="2" t="s">
        <v>16</v>
      </c>
      <c r="D320" s="2" t="s">
        <v>47</v>
      </c>
      <c r="E320" s="2" t="s">
        <v>38</v>
      </c>
      <c r="F320" s="2" t="s">
        <v>34</v>
      </c>
      <c r="G320" s="2" t="s">
        <v>20</v>
      </c>
      <c r="H320" s="2" t="s">
        <v>21</v>
      </c>
      <c r="I320" s="2">
        <v>70</v>
      </c>
      <c r="J320" s="2">
        <v>75</v>
      </c>
      <c r="K320" s="2">
        <v>3333.22</v>
      </c>
      <c r="L320" s="2">
        <v>377.79</v>
      </c>
      <c r="M320" s="2">
        <v>52.8</v>
      </c>
      <c r="N320" s="2" t="s">
        <v>22</v>
      </c>
      <c r="O320" s="2">
        <v>5</v>
      </c>
    </row>
    <row r="321" spans="1:15" x14ac:dyDescent="0.3">
      <c r="A321" s="2" t="s">
        <v>378</v>
      </c>
      <c r="B321" s="1">
        <v>45925</v>
      </c>
      <c r="C321" s="2" t="s">
        <v>74</v>
      </c>
      <c r="D321" s="2" t="s">
        <v>60</v>
      </c>
      <c r="E321" s="2" t="s">
        <v>58</v>
      </c>
      <c r="F321" s="2" t="s">
        <v>39</v>
      </c>
      <c r="G321" s="2" t="s">
        <v>64</v>
      </c>
      <c r="H321" s="2" t="s">
        <v>21</v>
      </c>
      <c r="I321" s="2">
        <v>63</v>
      </c>
      <c r="J321" s="2">
        <v>38</v>
      </c>
      <c r="K321" s="2">
        <v>46584.43</v>
      </c>
      <c r="L321" s="2">
        <v>192.4</v>
      </c>
      <c r="M321" s="2">
        <v>1.08</v>
      </c>
      <c r="N321" s="2" t="s">
        <v>22</v>
      </c>
      <c r="O321" s="2">
        <v>1</v>
      </c>
    </row>
    <row r="322" spans="1:15" x14ac:dyDescent="0.3">
      <c r="A322" s="2" t="s">
        <v>379</v>
      </c>
      <c r="B322" s="1">
        <v>46045</v>
      </c>
      <c r="C322" s="2" t="s">
        <v>43</v>
      </c>
      <c r="D322" s="2" t="s">
        <v>82</v>
      </c>
      <c r="E322" s="2" t="s">
        <v>58</v>
      </c>
      <c r="F322" s="2" t="s">
        <v>27</v>
      </c>
      <c r="G322" s="2" t="s">
        <v>28</v>
      </c>
      <c r="H322" s="2" t="s">
        <v>29</v>
      </c>
      <c r="I322" s="2">
        <v>31</v>
      </c>
      <c r="J322" s="2">
        <v>61</v>
      </c>
      <c r="K322" s="2">
        <v>3000.12</v>
      </c>
      <c r="L322" s="2">
        <v>203.98</v>
      </c>
      <c r="M322" s="2">
        <v>200.55</v>
      </c>
      <c r="N322" s="2" t="s">
        <v>22</v>
      </c>
      <c r="O322" s="2">
        <v>3</v>
      </c>
    </row>
    <row r="323" spans="1:15" x14ac:dyDescent="0.3">
      <c r="A323" s="2" t="s">
        <v>380</v>
      </c>
      <c r="B323" s="1">
        <v>45970</v>
      </c>
      <c r="C323" s="2" t="s">
        <v>32</v>
      </c>
      <c r="D323" s="2" t="s">
        <v>60</v>
      </c>
      <c r="E323" s="2" t="s">
        <v>45</v>
      </c>
      <c r="F323" s="2" t="s">
        <v>39</v>
      </c>
      <c r="G323" s="2" t="s">
        <v>20</v>
      </c>
      <c r="H323" s="2" t="s">
        <v>29</v>
      </c>
      <c r="I323" s="2">
        <v>65</v>
      </c>
      <c r="J323" s="2">
        <v>78</v>
      </c>
      <c r="K323" s="2">
        <v>27591.58</v>
      </c>
      <c r="L323" s="2">
        <v>137.51</v>
      </c>
      <c r="M323" s="2">
        <v>291.8</v>
      </c>
      <c r="N323" s="2" t="s">
        <v>30</v>
      </c>
      <c r="O323" s="2">
        <v>4</v>
      </c>
    </row>
    <row r="324" spans="1:15" x14ac:dyDescent="0.3">
      <c r="A324" s="2" t="s">
        <v>381</v>
      </c>
      <c r="B324" s="1">
        <v>46140</v>
      </c>
      <c r="C324" s="2" t="s">
        <v>24</v>
      </c>
      <c r="D324" s="2" t="s">
        <v>60</v>
      </c>
      <c r="E324" s="2" t="s">
        <v>58</v>
      </c>
      <c r="F324" s="2" t="s">
        <v>39</v>
      </c>
      <c r="G324" s="2" t="s">
        <v>28</v>
      </c>
      <c r="H324" s="2" t="s">
        <v>21</v>
      </c>
      <c r="I324" s="2">
        <v>23</v>
      </c>
      <c r="J324" s="2">
        <v>51</v>
      </c>
      <c r="K324" s="2">
        <v>44576.83</v>
      </c>
      <c r="L324" s="2">
        <v>302.88</v>
      </c>
      <c r="M324" s="2">
        <v>121.37</v>
      </c>
      <c r="N324" s="2" t="s">
        <v>30</v>
      </c>
      <c r="O324" s="2">
        <v>4</v>
      </c>
    </row>
    <row r="325" spans="1:15" x14ac:dyDescent="0.3">
      <c r="A325" s="2" t="s">
        <v>382</v>
      </c>
      <c r="B325" s="1">
        <v>46135</v>
      </c>
      <c r="C325" s="2" t="s">
        <v>54</v>
      </c>
      <c r="D325" s="2" t="s">
        <v>60</v>
      </c>
      <c r="E325" s="2" t="s">
        <v>18</v>
      </c>
      <c r="F325" s="2" t="s">
        <v>68</v>
      </c>
      <c r="G325" s="2" t="s">
        <v>35</v>
      </c>
      <c r="H325" s="2" t="s">
        <v>56</v>
      </c>
      <c r="I325" s="2">
        <v>32</v>
      </c>
      <c r="J325" s="2">
        <v>90</v>
      </c>
      <c r="K325" s="2">
        <v>13504.69</v>
      </c>
      <c r="L325" s="2">
        <v>191.55</v>
      </c>
      <c r="M325" s="2">
        <v>23.98</v>
      </c>
      <c r="N325" s="2" t="s">
        <v>30</v>
      </c>
      <c r="O325" s="2">
        <v>4</v>
      </c>
    </row>
    <row r="326" spans="1:15" x14ac:dyDescent="0.3">
      <c r="A326" s="2" t="s">
        <v>383</v>
      </c>
      <c r="B326" s="1">
        <v>46141</v>
      </c>
      <c r="C326" s="2" t="s">
        <v>74</v>
      </c>
      <c r="D326" s="2" t="s">
        <v>25</v>
      </c>
      <c r="E326" s="2" t="s">
        <v>18</v>
      </c>
      <c r="F326" s="2" t="s">
        <v>19</v>
      </c>
      <c r="G326" s="2" t="s">
        <v>55</v>
      </c>
      <c r="H326" s="2" t="s">
        <v>56</v>
      </c>
      <c r="I326" s="2">
        <v>23</v>
      </c>
      <c r="J326" s="2">
        <v>48</v>
      </c>
      <c r="K326" s="2">
        <v>23876.3</v>
      </c>
      <c r="L326" s="2">
        <v>87.97</v>
      </c>
      <c r="M326" s="2">
        <v>64.150000000000006</v>
      </c>
      <c r="N326" s="2" t="s">
        <v>30</v>
      </c>
      <c r="O326" s="2">
        <v>5</v>
      </c>
    </row>
    <row r="327" spans="1:15" x14ac:dyDescent="0.3">
      <c r="A327" s="2" t="s">
        <v>384</v>
      </c>
      <c r="B327" s="1">
        <v>46166</v>
      </c>
      <c r="C327" s="2" t="s">
        <v>74</v>
      </c>
      <c r="D327" s="2" t="s">
        <v>78</v>
      </c>
      <c r="E327" s="2" t="s">
        <v>58</v>
      </c>
      <c r="F327" s="2" t="s">
        <v>34</v>
      </c>
      <c r="G327" s="2" t="s">
        <v>35</v>
      </c>
      <c r="H327" s="2" t="s">
        <v>29</v>
      </c>
      <c r="I327" s="2">
        <v>62</v>
      </c>
      <c r="J327" s="2">
        <v>21</v>
      </c>
      <c r="K327" s="2">
        <v>16554.28</v>
      </c>
      <c r="L327" s="2">
        <v>358.25</v>
      </c>
      <c r="M327" s="2">
        <v>260.3</v>
      </c>
      <c r="N327" s="2" t="s">
        <v>30</v>
      </c>
      <c r="O327" s="2">
        <v>3</v>
      </c>
    </row>
    <row r="328" spans="1:15" x14ac:dyDescent="0.3">
      <c r="A328" s="2" t="s">
        <v>385</v>
      </c>
      <c r="B328" s="1">
        <v>46061</v>
      </c>
      <c r="C328" s="2" t="s">
        <v>41</v>
      </c>
      <c r="D328" s="2" t="s">
        <v>86</v>
      </c>
      <c r="E328" s="2" t="s">
        <v>58</v>
      </c>
      <c r="F328" s="2" t="s">
        <v>27</v>
      </c>
      <c r="G328" s="2" t="s">
        <v>55</v>
      </c>
      <c r="H328" s="2" t="s">
        <v>52</v>
      </c>
      <c r="I328" s="2">
        <v>47</v>
      </c>
      <c r="J328" s="2">
        <v>54</v>
      </c>
      <c r="K328" s="2">
        <v>47631.12</v>
      </c>
      <c r="L328" s="2">
        <v>368.49</v>
      </c>
      <c r="M328" s="2">
        <v>46.51</v>
      </c>
      <c r="N328" s="2" t="s">
        <v>30</v>
      </c>
      <c r="O328" s="2">
        <v>2</v>
      </c>
    </row>
    <row r="329" spans="1:15" x14ac:dyDescent="0.3">
      <c r="A329" s="2" t="s">
        <v>386</v>
      </c>
      <c r="B329" s="1">
        <v>46161</v>
      </c>
      <c r="C329" s="2" t="s">
        <v>16</v>
      </c>
      <c r="D329" s="2" t="s">
        <v>37</v>
      </c>
      <c r="E329" s="2" t="s">
        <v>45</v>
      </c>
      <c r="F329" s="2" t="s">
        <v>34</v>
      </c>
      <c r="G329" s="2" t="s">
        <v>35</v>
      </c>
      <c r="H329" s="2" t="s">
        <v>56</v>
      </c>
      <c r="I329" s="2">
        <v>69</v>
      </c>
      <c r="J329" s="2">
        <v>56</v>
      </c>
      <c r="K329" s="2">
        <v>41270.46</v>
      </c>
      <c r="L329" s="2">
        <v>212</v>
      </c>
      <c r="M329" s="2">
        <v>121.54</v>
      </c>
      <c r="N329" s="2" t="s">
        <v>30</v>
      </c>
      <c r="O329" s="2">
        <v>4</v>
      </c>
    </row>
    <row r="330" spans="1:15" x14ac:dyDescent="0.3">
      <c r="A330" s="2" t="s">
        <v>387</v>
      </c>
      <c r="B330" s="1">
        <v>46089</v>
      </c>
      <c r="C330" s="2" t="s">
        <v>43</v>
      </c>
      <c r="D330" s="2" t="s">
        <v>86</v>
      </c>
      <c r="E330" s="2" t="s">
        <v>58</v>
      </c>
      <c r="F330" s="2" t="s">
        <v>34</v>
      </c>
      <c r="G330" s="2" t="s">
        <v>64</v>
      </c>
      <c r="H330" s="2" t="s">
        <v>29</v>
      </c>
      <c r="I330" s="2">
        <v>74</v>
      </c>
      <c r="J330" s="2">
        <v>103</v>
      </c>
      <c r="K330" s="2">
        <v>35595.57</v>
      </c>
      <c r="L330" s="2">
        <v>84.53</v>
      </c>
      <c r="M330" s="2">
        <v>120.8</v>
      </c>
      <c r="N330" s="2" t="s">
        <v>30</v>
      </c>
      <c r="O330" s="2">
        <v>3</v>
      </c>
    </row>
    <row r="331" spans="1:15" x14ac:dyDescent="0.3">
      <c r="A331" s="2" t="s">
        <v>388</v>
      </c>
      <c r="B331" s="1">
        <v>46050</v>
      </c>
      <c r="C331" s="2" t="s">
        <v>43</v>
      </c>
      <c r="D331" s="2" t="s">
        <v>62</v>
      </c>
      <c r="E331" s="2" t="s">
        <v>45</v>
      </c>
      <c r="F331" s="2" t="s">
        <v>19</v>
      </c>
      <c r="G331" s="2" t="s">
        <v>28</v>
      </c>
      <c r="H331" s="2" t="s">
        <v>56</v>
      </c>
      <c r="I331" s="2">
        <v>22</v>
      </c>
      <c r="J331" s="2">
        <v>94</v>
      </c>
      <c r="K331" s="2">
        <v>29587.54</v>
      </c>
      <c r="L331" s="2">
        <v>241.83</v>
      </c>
      <c r="M331" s="2">
        <v>41.57</v>
      </c>
      <c r="N331" s="2" t="s">
        <v>22</v>
      </c>
      <c r="O331" s="2">
        <v>3</v>
      </c>
    </row>
    <row r="332" spans="1:15" x14ac:dyDescent="0.3">
      <c r="A332" s="2" t="s">
        <v>389</v>
      </c>
      <c r="B332" s="1">
        <v>46124</v>
      </c>
      <c r="C332" s="2" t="s">
        <v>90</v>
      </c>
      <c r="D332" s="2" t="s">
        <v>62</v>
      </c>
      <c r="E332" s="2" t="s">
        <v>45</v>
      </c>
      <c r="F332" s="2" t="s">
        <v>34</v>
      </c>
      <c r="G332" s="2" t="s">
        <v>55</v>
      </c>
      <c r="H332" s="2" t="s">
        <v>52</v>
      </c>
      <c r="I332" s="2">
        <v>69</v>
      </c>
      <c r="J332" s="2">
        <v>59</v>
      </c>
      <c r="K332" s="2">
        <v>41119.29</v>
      </c>
      <c r="L332" s="2">
        <v>249.05</v>
      </c>
      <c r="M332" s="2">
        <v>162.68</v>
      </c>
      <c r="N332" s="2" t="s">
        <v>30</v>
      </c>
      <c r="O332" s="2">
        <v>1</v>
      </c>
    </row>
    <row r="333" spans="1:15" x14ac:dyDescent="0.3">
      <c r="A333" s="2" t="s">
        <v>390</v>
      </c>
      <c r="B333" s="1">
        <v>45901</v>
      </c>
      <c r="C333" s="2" t="s">
        <v>90</v>
      </c>
      <c r="D333" s="2" t="s">
        <v>25</v>
      </c>
      <c r="E333" s="2" t="s">
        <v>58</v>
      </c>
      <c r="F333" s="2" t="s">
        <v>34</v>
      </c>
      <c r="G333" s="2" t="s">
        <v>20</v>
      </c>
      <c r="H333" s="2" t="s">
        <v>29</v>
      </c>
      <c r="I333" s="2">
        <v>36</v>
      </c>
      <c r="J333" s="2">
        <v>72</v>
      </c>
      <c r="K333" s="2">
        <v>19917.22</v>
      </c>
      <c r="L333" s="2">
        <v>350.9</v>
      </c>
      <c r="M333" s="2">
        <v>222.86</v>
      </c>
      <c r="N333" s="2" t="s">
        <v>22</v>
      </c>
      <c r="O333" s="2">
        <v>4</v>
      </c>
    </row>
    <row r="334" spans="1:15" x14ac:dyDescent="0.3">
      <c r="A334" s="2" t="s">
        <v>391</v>
      </c>
      <c r="B334" s="1">
        <v>45917</v>
      </c>
      <c r="C334" s="2" t="s">
        <v>24</v>
      </c>
      <c r="D334" s="2" t="s">
        <v>78</v>
      </c>
      <c r="E334" s="2" t="s">
        <v>26</v>
      </c>
      <c r="F334" s="2" t="s">
        <v>39</v>
      </c>
      <c r="G334" s="2" t="s">
        <v>28</v>
      </c>
      <c r="H334" s="2" t="s">
        <v>52</v>
      </c>
      <c r="I334" s="2">
        <v>22</v>
      </c>
      <c r="J334" s="2">
        <v>51</v>
      </c>
      <c r="K334" s="2">
        <v>22653.82</v>
      </c>
      <c r="L334" s="2">
        <v>191.94</v>
      </c>
      <c r="M334" s="2">
        <v>132.32</v>
      </c>
      <c r="N334" s="2" t="s">
        <v>22</v>
      </c>
      <c r="O334" s="2">
        <v>5</v>
      </c>
    </row>
    <row r="335" spans="1:15" x14ac:dyDescent="0.3">
      <c r="A335" s="2" t="s">
        <v>392</v>
      </c>
      <c r="B335" s="1">
        <v>46045</v>
      </c>
      <c r="C335" s="2" t="s">
        <v>41</v>
      </c>
      <c r="D335" s="2" t="s">
        <v>44</v>
      </c>
      <c r="E335" s="2" t="s">
        <v>26</v>
      </c>
      <c r="F335" s="2" t="s">
        <v>19</v>
      </c>
      <c r="G335" s="2" t="s">
        <v>20</v>
      </c>
      <c r="H335" s="2" t="s">
        <v>29</v>
      </c>
      <c r="I335" s="2">
        <v>74</v>
      </c>
      <c r="J335" s="2">
        <v>20</v>
      </c>
      <c r="K335" s="2">
        <v>36635.089999999997</v>
      </c>
      <c r="L335" s="2">
        <v>357.17</v>
      </c>
      <c r="M335" s="2">
        <v>70.900000000000006</v>
      </c>
      <c r="N335" s="2" t="s">
        <v>30</v>
      </c>
      <c r="O335" s="2">
        <v>3</v>
      </c>
    </row>
    <row r="336" spans="1:15" x14ac:dyDescent="0.3">
      <c r="A336" s="2" t="s">
        <v>393</v>
      </c>
      <c r="B336" s="1">
        <v>45905</v>
      </c>
      <c r="C336" s="2" t="s">
        <v>74</v>
      </c>
      <c r="D336" s="2" t="s">
        <v>47</v>
      </c>
      <c r="E336" s="2" t="s">
        <v>45</v>
      </c>
      <c r="F336" s="2" t="s">
        <v>68</v>
      </c>
      <c r="G336" s="2" t="s">
        <v>28</v>
      </c>
      <c r="H336" s="2" t="s">
        <v>52</v>
      </c>
      <c r="I336" s="2">
        <v>50</v>
      </c>
      <c r="J336" s="2">
        <v>112</v>
      </c>
      <c r="K336" s="2">
        <v>18208.86</v>
      </c>
      <c r="L336" s="2">
        <v>442.17</v>
      </c>
      <c r="M336" s="2">
        <v>19.57</v>
      </c>
      <c r="N336" s="2" t="s">
        <v>22</v>
      </c>
      <c r="O336" s="2">
        <v>3</v>
      </c>
    </row>
    <row r="337" spans="1:15" x14ac:dyDescent="0.3">
      <c r="A337" s="2" t="s">
        <v>394</v>
      </c>
      <c r="B337" s="1">
        <v>46106</v>
      </c>
      <c r="C337" s="2" t="s">
        <v>43</v>
      </c>
      <c r="D337" s="2" t="s">
        <v>78</v>
      </c>
      <c r="E337" s="2" t="s">
        <v>58</v>
      </c>
      <c r="F337" s="2" t="s">
        <v>27</v>
      </c>
      <c r="G337" s="2" t="s">
        <v>28</v>
      </c>
      <c r="H337" s="2" t="s">
        <v>56</v>
      </c>
      <c r="I337" s="2">
        <v>40</v>
      </c>
      <c r="J337" s="2">
        <v>96</v>
      </c>
      <c r="K337" s="2">
        <v>3663.1</v>
      </c>
      <c r="L337" s="2">
        <v>156.87</v>
      </c>
      <c r="M337" s="2">
        <v>115.23</v>
      </c>
      <c r="N337" s="2" t="s">
        <v>30</v>
      </c>
      <c r="O337" s="2">
        <v>2</v>
      </c>
    </row>
    <row r="338" spans="1:15" x14ac:dyDescent="0.3">
      <c r="A338" s="2" t="s">
        <v>395</v>
      </c>
      <c r="B338" s="1">
        <v>46177</v>
      </c>
      <c r="C338" s="2" t="s">
        <v>32</v>
      </c>
      <c r="D338" s="2" t="s">
        <v>25</v>
      </c>
      <c r="E338" s="2" t="s">
        <v>26</v>
      </c>
      <c r="F338" s="2" t="s">
        <v>34</v>
      </c>
      <c r="G338" s="2" t="s">
        <v>35</v>
      </c>
      <c r="H338" s="2" t="s">
        <v>56</v>
      </c>
      <c r="I338" s="2">
        <v>58</v>
      </c>
      <c r="J338" s="2">
        <v>86</v>
      </c>
      <c r="K338" s="2">
        <v>4179.5600000000004</v>
      </c>
      <c r="L338" s="2">
        <v>490.51</v>
      </c>
      <c r="M338" s="2">
        <v>110.74</v>
      </c>
      <c r="N338" s="2" t="s">
        <v>30</v>
      </c>
      <c r="O338" s="2">
        <v>1</v>
      </c>
    </row>
    <row r="339" spans="1:15" x14ac:dyDescent="0.3">
      <c r="A339" s="2" t="s">
        <v>396</v>
      </c>
      <c r="B339" s="1">
        <v>46140</v>
      </c>
      <c r="C339" s="2" t="s">
        <v>41</v>
      </c>
      <c r="D339" s="2" t="s">
        <v>17</v>
      </c>
      <c r="E339" s="2" t="s">
        <v>58</v>
      </c>
      <c r="F339" s="2" t="s">
        <v>27</v>
      </c>
      <c r="G339" s="2" t="s">
        <v>55</v>
      </c>
      <c r="H339" s="2" t="s">
        <v>52</v>
      </c>
      <c r="I339" s="2">
        <v>48</v>
      </c>
      <c r="J339" s="2">
        <v>59</v>
      </c>
      <c r="K339" s="2">
        <v>6210.46</v>
      </c>
      <c r="L339" s="2">
        <v>223.87</v>
      </c>
      <c r="M339" s="2">
        <v>37.68</v>
      </c>
      <c r="N339" s="2" t="s">
        <v>30</v>
      </c>
      <c r="O339" s="2">
        <v>3</v>
      </c>
    </row>
    <row r="340" spans="1:15" x14ac:dyDescent="0.3">
      <c r="A340" s="2" t="s">
        <v>397</v>
      </c>
      <c r="B340" s="1">
        <v>45920</v>
      </c>
      <c r="C340" s="2" t="s">
        <v>24</v>
      </c>
      <c r="D340" s="2" t="s">
        <v>67</v>
      </c>
      <c r="E340" s="2" t="s">
        <v>58</v>
      </c>
      <c r="F340" s="2" t="s">
        <v>68</v>
      </c>
      <c r="G340" s="2" t="s">
        <v>55</v>
      </c>
      <c r="H340" s="2" t="s">
        <v>52</v>
      </c>
      <c r="I340" s="2">
        <v>45</v>
      </c>
      <c r="J340" s="2">
        <v>71</v>
      </c>
      <c r="K340" s="2">
        <v>43549.23</v>
      </c>
      <c r="L340" s="2">
        <v>170.27</v>
      </c>
      <c r="M340" s="2">
        <v>11.25</v>
      </c>
      <c r="N340" s="2" t="s">
        <v>30</v>
      </c>
      <c r="O340" s="2">
        <v>3</v>
      </c>
    </row>
    <row r="341" spans="1:15" x14ac:dyDescent="0.3">
      <c r="A341" s="2" t="s">
        <v>398</v>
      </c>
      <c r="B341" s="1">
        <v>46212</v>
      </c>
      <c r="C341" s="2" t="s">
        <v>24</v>
      </c>
      <c r="D341" s="2" t="s">
        <v>47</v>
      </c>
      <c r="E341" s="2" t="s">
        <v>58</v>
      </c>
      <c r="F341" s="2" t="s">
        <v>27</v>
      </c>
      <c r="G341" s="2" t="s">
        <v>28</v>
      </c>
      <c r="H341" s="2" t="s">
        <v>52</v>
      </c>
      <c r="I341" s="2">
        <v>52</v>
      </c>
      <c r="J341" s="2">
        <v>9</v>
      </c>
      <c r="K341" s="2">
        <v>23875.21</v>
      </c>
      <c r="L341" s="2">
        <v>239.68</v>
      </c>
      <c r="M341" s="2">
        <v>16.14</v>
      </c>
      <c r="N341" s="2" t="s">
        <v>30</v>
      </c>
      <c r="O341" s="2">
        <v>5</v>
      </c>
    </row>
    <row r="342" spans="1:15" x14ac:dyDescent="0.3">
      <c r="A342" s="2" t="s">
        <v>399</v>
      </c>
      <c r="B342" s="1">
        <v>46064</v>
      </c>
      <c r="C342" s="2" t="s">
        <v>41</v>
      </c>
      <c r="D342" s="2" t="s">
        <v>51</v>
      </c>
      <c r="E342" s="2" t="s">
        <v>38</v>
      </c>
      <c r="F342" s="2" t="s">
        <v>68</v>
      </c>
      <c r="G342" s="2" t="s">
        <v>64</v>
      </c>
      <c r="H342" s="2" t="s">
        <v>29</v>
      </c>
      <c r="I342" s="2">
        <v>30</v>
      </c>
      <c r="J342" s="2">
        <v>109</v>
      </c>
      <c r="K342" s="2">
        <v>35787.68</v>
      </c>
      <c r="L342" s="2">
        <v>92.48</v>
      </c>
      <c r="M342" s="2">
        <v>297.83</v>
      </c>
      <c r="N342" s="2" t="s">
        <v>30</v>
      </c>
      <c r="O342" s="2">
        <v>5</v>
      </c>
    </row>
    <row r="343" spans="1:15" x14ac:dyDescent="0.3">
      <c r="A343" s="2" t="s">
        <v>400</v>
      </c>
      <c r="B343" s="1">
        <v>45913</v>
      </c>
      <c r="C343" s="2" t="s">
        <v>24</v>
      </c>
      <c r="D343" s="2" t="s">
        <v>82</v>
      </c>
      <c r="E343" s="2" t="s">
        <v>58</v>
      </c>
      <c r="F343" s="2" t="s">
        <v>39</v>
      </c>
      <c r="G343" s="2" t="s">
        <v>64</v>
      </c>
      <c r="H343" s="2" t="s">
        <v>56</v>
      </c>
      <c r="I343" s="2">
        <v>62</v>
      </c>
      <c r="J343" s="2">
        <v>1</v>
      </c>
      <c r="K343" s="2">
        <v>19949.009999999998</v>
      </c>
      <c r="L343" s="2">
        <v>106.57</v>
      </c>
      <c r="M343" s="2">
        <v>156.72</v>
      </c>
      <c r="N343" s="2" t="s">
        <v>30</v>
      </c>
      <c r="O343" s="2">
        <v>2</v>
      </c>
    </row>
    <row r="344" spans="1:15" x14ac:dyDescent="0.3">
      <c r="A344" s="2" t="s">
        <v>401</v>
      </c>
      <c r="B344" s="1">
        <v>45935</v>
      </c>
      <c r="C344" s="2" t="s">
        <v>41</v>
      </c>
      <c r="D344" s="2" t="s">
        <v>47</v>
      </c>
      <c r="E344" s="2" t="s">
        <v>38</v>
      </c>
      <c r="F344" s="2" t="s">
        <v>34</v>
      </c>
      <c r="G344" s="2" t="s">
        <v>20</v>
      </c>
      <c r="H344" s="2" t="s">
        <v>29</v>
      </c>
      <c r="I344" s="2">
        <v>60</v>
      </c>
      <c r="J344" s="2">
        <v>29</v>
      </c>
      <c r="K344" s="2">
        <v>13306.19</v>
      </c>
      <c r="L344" s="2">
        <v>236.5</v>
      </c>
      <c r="M344" s="2">
        <v>276.60000000000002</v>
      </c>
      <c r="N344" s="2" t="s">
        <v>30</v>
      </c>
      <c r="O344" s="2">
        <v>2</v>
      </c>
    </row>
    <row r="345" spans="1:15" x14ac:dyDescent="0.3">
      <c r="A345" s="2" t="s">
        <v>402</v>
      </c>
      <c r="B345" s="1">
        <v>46206</v>
      </c>
      <c r="C345" s="2" t="s">
        <v>54</v>
      </c>
      <c r="D345" s="2" t="s">
        <v>25</v>
      </c>
      <c r="E345" s="2" t="s">
        <v>45</v>
      </c>
      <c r="F345" s="2" t="s">
        <v>68</v>
      </c>
      <c r="G345" s="2" t="s">
        <v>20</v>
      </c>
      <c r="H345" s="2" t="s">
        <v>56</v>
      </c>
      <c r="I345" s="2">
        <v>53</v>
      </c>
      <c r="J345" s="2">
        <v>63</v>
      </c>
      <c r="K345" s="2">
        <v>17686.009999999998</v>
      </c>
      <c r="L345" s="2">
        <v>393.1</v>
      </c>
      <c r="M345" s="2">
        <v>39.01</v>
      </c>
      <c r="N345" s="2" t="s">
        <v>30</v>
      </c>
      <c r="O345" s="2">
        <v>2</v>
      </c>
    </row>
    <row r="346" spans="1:15" x14ac:dyDescent="0.3">
      <c r="A346" s="2" t="s">
        <v>403</v>
      </c>
      <c r="B346" s="1">
        <v>45882</v>
      </c>
      <c r="C346" s="2" t="s">
        <v>41</v>
      </c>
      <c r="D346" s="2" t="s">
        <v>17</v>
      </c>
      <c r="E346" s="2" t="s">
        <v>26</v>
      </c>
      <c r="F346" s="2" t="s">
        <v>27</v>
      </c>
      <c r="G346" s="2" t="s">
        <v>35</v>
      </c>
      <c r="H346" s="2" t="s">
        <v>21</v>
      </c>
      <c r="I346" s="2">
        <v>33</v>
      </c>
      <c r="J346" s="2">
        <v>72</v>
      </c>
      <c r="K346" s="2">
        <v>39812.03</v>
      </c>
      <c r="L346" s="2">
        <v>455.14</v>
      </c>
      <c r="M346" s="2">
        <v>192.11</v>
      </c>
      <c r="N346" s="2" t="s">
        <v>30</v>
      </c>
      <c r="O346" s="2">
        <v>5</v>
      </c>
    </row>
    <row r="347" spans="1:15" x14ac:dyDescent="0.3">
      <c r="A347" s="2" t="s">
        <v>404</v>
      </c>
      <c r="B347" s="1">
        <v>45999</v>
      </c>
      <c r="C347" s="2" t="s">
        <v>16</v>
      </c>
      <c r="D347" s="2" t="s">
        <v>17</v>
      </c>
      <c r="E347" s="2" t="s">
        <v>26</v>
      </c>
      <c r="F347" s="2" t="s">
        <v>34</v>
      </c>
      <c r="G347" s="2" t="s">
        <v>28</v>
      </c>
      <c r="H347" s="2" t="s">
        <v>29</v>
      </c>
      <c r="I347" s="2">
        <v>61</v>
      </c>
      <c r="J347" s="2">
        <v>56</v>
      </c>
      <c r="K347" s="2">
        <v>31448.2</v>
      </c>
      <c r="L347" s="2">
        <v>349.17</v>
      </c>
      <c r="M347" s="2">
        <v>42.8</v>
      </c>
      <c r="N347" s="2" t="s">
        <v>30</v>
      </c>
      <c r="O347" s="2">
        <v>5</v>
      </c>
    </row>
    <row r="348" spans="1:15" x14ac:dyDescent="0.3">
      <c r="A348" s="2" t="s">
        <v>405</v>
      </c>
      <c r="B348" s="1">
        <v>46010</v>
      </c>
      <c r="C348" s="2" t="s">
        <v>41</v>
      </c>
      <c r="D348" s="2" t="s">
        <v>33</v>
      </c>
      <c r="E348" s="2" t="s">
        <v>26</v>
      </c>
      <c r="F348" s="2" t="s">
        <v>39</v>
      </c>
      <c r="G348" s="2" t="s">
        <v>20</v>
      </c>
      <c r="H348" s="2" t="s">
        <v>56</v>
      </c>
      <c r="I348" s="2">
        <v>74</v>
      </c>
      <c r="J348" s="2">
        <v>118</v>
      </c>
      <c r="K348" s="2">
        <v>46913.17</v>
      </c>
      <c r="L348" s="2">
        <v>97.35</v>
      </c>
      <c r="M348" s="2">
        <v>101.82</v>
      </c>
      <c r="N348" s="2" t="s">
        <v>30</v>
      </c>
      <c r="O348" s="2">
        <v>1</v>
      </c>
    </row>
    <row r="349" spans="1:15" x14ac:dyDescent="0.3">
      <c r="A349" s="2" t="s">
        <v>406</v>
      </c>
      <c r="B349" s="1">
        <v>45887</v>
      </c>
      <c r="C349" s="2" t="s">
        <v>24</v>
      </c>
      <c r="D349" s="2" t="s">
        <v>60</v>
      </c>
      <c r="E349" s="2" t="s">
        <v>26</v>
      </c>
      <c r="F349" s="2" t="s">
        <v>34</v>
      </c>
      <c r="G349" s="2" t="s">
        <v>20</v>
      </c>
      <c r="H349" s="2" t="s">
        <v>56</v>
      </c>
      <c r="I349" s="2">
        <v>62</v>
      </c>
      <c r="J349" s="2">
        <v>68</v>
      </c>
      <c r="K349" s="2">
        <v>34145.39</v>
      </c>
      <c r="L349" s="2">
        <v>352.41</v>
      </c>
      <c r="M349" s="2">
        <v>165.94</v>
      </c>
      <c r="N349" s="2" t="s">
        <v>30</v>
      </c>
      <c r="O349" s="2">
        <v>4</v>
      </c>
    </row>
    <row r="350" spans="1:15" x14ac:dyDescent="0.3">
      <c r="A350" s="2" t="s">
        <v>407</v>
      </c>
      <c r="B350" s="1">
        <v>46203</v>
      </c>
      <c r="C350" s="2" t="s">
        <v>43</v>
      </c>
      <c r="D350" s="2" t="s">
        <v>78</v>
      </c>
      <c r="E350" s="2" t="s">
        <v>26</v>
      </c>
      <c r="F350" s="2" t="s">
        <v>68</v>
      </c>
      <c r="G350" s="2" t="s">
        <v>28</v>
      </c>
      <c r="H350" s="2" t="s">
        <v>29</v>
      </c>
      <c r="I350" s="2">
        <v>67</v>
      </c>
      <c r="J350" s="2">
        <v>35</v>
      </c>
      <c r="K350" s="2">
        <v>28723.99</v>
      </c>
      <c r="L350" s="2">
        <v>335.94</v>
      </c>
      <c r="M350" s="2">
        <v>104.94</v>
      </c>
      <c r="N350" s="2" t="s">
        <v>30</v>
      </c>
      <c r="O350" s="2">
        <v>4</v>
      </c>
    </row>
    <row r="351" spans="1:15" x14ac:dyDescent="0.3">
      <c r="A351" s="2" t="s">
        <v>408</v>
      </c>
      <c r="B351" s="1">
        <v>46019</v>
      </c>
      <c r="C351" s="2" t="s">
        <v>16</v>
      </c>
      <c r="D351" s="2" t="s">
        <v>17</v>
      </c>
      <c r="E351" s="2" t="s">
        <v>26</v>
      </c>
      <c r="F351" s="2" t="s">
        <v>39</v>
      </c>
      <c r="G351" s="2" t="s">
        <v>35</v>
      </c>
      <c r="H351" s="2" t="s">
        <v>29</v>
      </c>
      <c r="I351" s="2">
        <v>57</v>
      </c>
      <c r="J351" s="2">
        <v>3</v>
      </c>
      <c r="K351" s="2">
        <v>30704.7</v>
      </c>
      <c r="L351" s="2">
        <v>412.59</v>
      </c>
      <c r="M351" s="2">
        <v>127.46</v>
      </c>
      <c r="N351" s="2" t="s">
        <v>30</v>
      </c>
      <c r="O351" s="2">
        <v>1</v>
      </c>
    </row>
    <row r="352" spans="1:15" x14ac:dyDescent="0.3">
      <c r="A352" s="2" t="s">
        <v>409</v>
      </c>
      <c r="B352" s="1">
        <v>45931</v>
      </c>
      <c r="C352" s="2" t="s">
        <v>24</v>
      </c>
      <c r="D352" s="2" t="s">
        <v>62</v>
      </c>
      <c r="E352" s="2" t="s">
        <v>26</v>
      </c>
      <c r="F352" s="2" t="s">
        <v>27</v>
      </c>
      <c r="G352" s="2" t="s">
        <v>20</v>
      </c>
      <c r="H352" s="2" t="s">
        <v>56</v>
      </c>
      <c r="I352" s="2">
        <v>74</v>
      </c>
      <c r="J352" s="2">
        <v>118</v>
      </c>
      <c r="K352" s="2">
        <v>47147.39</v>
      </c>
      <c r="L352" s="2">
        <v>421.36</v>
      </c>
      <c r="M352" s="2">
        <v>25.64</v>
      </c>
      <c r="N352" s="2" t="s">
        <v>22</v>
      </c>
      <c r="O352" s="2">
        <v>4</v>
      </c>
    </row>
    <row r="353" spans="1:15" x14ac:dyDescent="0.3">
      <c r="A353" s="2" t="s">
        <v>410</v>
      </c>
      <c r="B353" s="1">
        <v>45996</v>
      </c>
      <c r="C353" s="2" t="s">
        <v>90</v>
      </c>
      <c r="D353" s="2" t="s">
        <v>60</v>
      </c>
      <c r="E353" s="2" t="s">
        <v>45</v>
      </c>
      <c r="F353" s="2" t="s">
        <v>39</v>
      </c>
      <c r="G353" s="2" t="s">
        <v>35</v>
      </c>
      <c r="H353" s="2" t="s">
        <v>29</v>
      </c>
      <c r="I353" s="2">
        <v>36</v>
      </c>
      <c r="J353" s="2">
        <v>109</v>
      </c>
      <c r="K353" s="2">
        <v>39515.949999999997</v>
      </c>
      <c r="L353" s="2">
        <v>440.69</v>
      </c>
      <c r="M353" s="2">
        <v>36.869999999999997</v>
      </c>
      <c r="N353" s="2" t="s">
        <v>30</v>
      </c>
      <c r="O353" s="2">
        <v>5</v>
      </c>
    </row>
    <row r="354" spans="1:15" x14ac:dyDescent="0.3">
      <c r="A354" s="2" t="s">
        <v>411</v>
      </c>
      <c r="B354" s="1">
        <v>46139</v>
      </c>
      <c r="C354" s="2" t="s">
        <v>90</v>
      </c>
      <c r="D354" s="2" t="s">
        <v>37</v>
      </c>
      <c r="E354" s="2" t="s">
        <v>58</v>
      </c>
      <c r="F354" s="2" t="s">
        <v>39</v>
      </c>
      <c r="G354" s="2" t="s">
        <v>55</v>
      </c>
      <c r="H354" s="2" t="s">
        <v>52</v>
      </c>
      <c r="I354" s="2">
        <v>65</v>
      </c>
      <c r="J354" s="2">
        <v>104</v>
      </c>
      <c r="K354" s="2">
        <v>1690.04</v>
      </c>
      <c r="L354" s="2">
        <v>236.36</v>
      </c>
      <c r="M354" s="2">
        <v>123.91</v>
      </c>
      <c r="N354" s="2" t="s">
        <v>22</v>
      </c>
      <c r="O354" s="2">
        <v>4</v>
      </c>
    </row>
    <row r="355" spans="1:15" x14ac:dyDescent="0.3">
      <c r="A355" s="2" t="s">
        <v>412</v>
      </c>
      <c r="B355" s="1">
        <v>46144</v>
      </c>
      <c r="C355" s="2" t="s">
        <v>43</v>
      </c>
      <c r="D355" s="2" t="s">
        <v>67</v>
      </c>
      <c r="E355" s="2" t="s">
        <v>18</v>
      </c>
      <c r="F355" s="2" t="s">
        <v>19</v>
      </c>
      <c r="G355" s="2" t="s">
        <v>35</v>
      </c>
      <c r="H355" s="2" t="s">
        <v>29</v>
      </c>
      <c r="I355" s="2">
        <v>42</v>
      </c>
      <c r="J355" s="2">
        <v>7</v>
      </c>
      <c r="K355" s="2">
        <v>26939.91</v>
      </c>
      <c r="L355" s="2">
        <v>364.04</v>
      </c>
      <c r="M355" s="2">
        <v>202.67</v>
      </c>
      <c r="N355" s="2" t="s">
        <v>22</v>
      </c>
      <c r="O355" s="2">
        <v>5</v>
      </c>
    </row>
    <row r="356" spans="1:15" x14ac:dyDescent="0.3">
      <c r="A356" s="2" t="s">
        <v>413</v>
      </c>
      <c r="B356" s="1">
        <v>46173</v>
      </c>
      <c r="C356" s="2" t="s">
        <v>43</v>
      </c>
      <c r="D356" s="2" t="s">
        <v>25</v>
      </c>
      <c r="E356" s="2" t="s">
        <v>38</v>
      </c>
      <c r="F356" s="2" t="s">
        <v>39</v>
      </c>
      <c r="G356" s="2" t="s">
        <v>64</v>
      </c>
      <c r="H356" s="2" t="s">
        <v>29</v>
      </c>
      <c r="I356" s="2">
        <v>40</v>
      </c>
      <c r="J356" s="2">
        <v>27</v>
      </c>
      <c r="K356" s="2">
        <v>34572.75</v>
      </c>
      <c r="L356" s="2">
        <v>170.71</v>
      </c>
      <c r="M356" s="2">
        <v>233.2</v>
      </c>
      <c r="N356" s="2" t="s">
        <v>30</v>
      </c>
      <c r="O356" s="2">
        <v>1</v>
      </c>
    </row>
    <row r="357" spans="1:15" x14ac:dyDescent="0.3">
      <c r="A357" s="2" t="s">
        <v>414</v>
      </c>
      <c r="B357" s="1">
        <v>45914</v>
      </c>
      <c r="C357" s="2" t="s">
        <v>16</v>
      </c>
      <c r="D357" s="2" t="s">
        <v>82</v>
      </c>
      <c r="E357" s="2" t="s">
        <v>18</v>
      </c>
      <c r="F357" s="2" t="s">
        <v>39</v>
      </c>
      <c r="G357" s="2" t="s">
        <v>64</v>
      </c>
      <c r="H357" s="2" t="s">
        <v>29</v>
      </c>
      <c r="I357" s="2">
        <v>70</v>
      </c>
      <c r="J357" s="2">
        <v>1</v>
      </c>
      <c r="K357" s="2">
        <v>37560.57</v>
      </c>
      <c r="L357" s="2">
        <v>499.7</v>
      </c>
      <c r="M357" s="2">
        <v>167.01</v>
      </c>
      <c r="N357" s="2" t="s">
        <v>30</v>
      </c>
      <c r="O357" s="2">
        <v>2</v>
      </c>
    </row>
    <row r="358" spans="1:15" x14ac:dyDescent="0.3">
      <c r="A358" s="2" t="s">
        <v>415</v>
      </c>
      <c r="B358" s="1">
        <v>46076</v>
      </c>
      <c r="C358" s="2" t="s">
        <v>54</v>
      </c>
      <c r="D358" s="2" t="s">
        <v>78</v>
      </c>
      <c r="E358" s="2" t="s">
        <v>18</v>
      </c>
      <c r="F358" s="2" t="s">
        <v>34</v>
      </c>
      <c r="G358" s="2" t="s">
        <v>35</v>
      </c>
      <c r="H358" s="2" t="s">
        <v>56</v>
      </c>
      <c r="I358" s="2">
        <v>63</v>
      </c>
      <c r="J358" s="2">
        <v>91</v>
      </c>
      <c r="K358" s="2">
        <v>11050.53</v>
      </c>
      <c r="L358" s="2">
        <v>128.9</v>
      </c>
      <c r="M358" s="2">
        <v>129.15</v>
      </c>
      <c r="N358" s="2" t="s">
        <v>22</v>
      </c>
      <c r="O358" s="2">
        <v>1</v>
      </c>
    </row>
    <row r="359" spans="1:15" x14ac:dyDescent="0.3">
      <c r="A359" s="2" t="s">
        <v>416</v>
      </c>
      <c r="B359" s="1">
        <v>45979</v>
      </c>
      <c r="C359" s="2" t="s">
        <v>43</v>
      </c>
      <c r="D359" s="2" t="s">
        <v>76</v>
      </c>
      <c r="E359" s="2" t="s">
        <v>58</v>
      </c>
      <c r="F359" s="2" t="s">
        <v>27</v>
      </c>
      <c r="G359" s="2" t="s">
        <v>64</v>
      </c>
      <c r="H359" s="2" t="s">
        <v>52</v>
      </c>
      <c r="I359" s="2">
        <v>47</v>
      </c>
      <c r="J359" s="2">
        <v>80</v>
      </c>
      <c r="K359" s="2">
        <v>43425.279999999999</v>
      </c>
      <c r="L359" s="2">
        <v>54.55</v>
      </c>
      <c r="M359" s="2">
        <v>2.7</v>
      </c>
      <c r="N359" s="2" t="s">
        <v>22</v>
      </c>
      <c r="O359" s="2">
        <v>4</v>
      </c>
    </row>
    <row r="360" spans="1:15" x14ac:dyDescent="0.3">
      <c r="A360" s="2" t="s">
        <v>417</v>
      </c>
      <c r="B360" s="1">
        <v>45938</v>
      </c>
      <c r="C360" s="2" t="s">
        <v>90</v>
      </c>
      <c r="D360" s="2" t="s">
        <v>62</v>
      </c>
      <c r="E360" s="2" t="s">
        <v>58</v>
      </c>
      <c r="F360" s="2" t="s">
        <v>34</v>
      </c>
      <c r="G360" s="2" t="s">
        <v>55</v>
      </c>
      <c r="H360" s="2" t="s">
        <v>21</v>
      </c>
      <c r="I360" s="2">
        <v>61</v>
      </c>
      <c r="J360" s="2">
        <v>102</v>
      </c>
      <c r="K360" s="2">
        <v>47814.239999999998</v>
      </c>
      <c r="L360" s="2">
        <v>116.96</v>
      </c>
      <c r="M360" s="2">
        <v>32.43</v>
      </c>
      <c r="N360" s="2" t="s">
        <v>30</v>
      </c>
      <c r="O360" s="2">
        <v>5</v>
      </c>
    </row>
    <row r="361" spans="1:15" x14ac:dyDescent="0.3">
      <c r="A361" s="2" t="s">
        <v>418</v>
      </c>
      <c r="B361" s="1">
        <v>45981</v>
      </c>
      <c r="C361" s="2" t="s">
        <v>41</v>
      </c>
      <c r="D361" s="2" t="s">
        <v>49</v>
      </c>
      <c r="E361" s="2" t="s">
        <v>58</v>
      </c>
      <c r="F361" s="2" t="s">
        <v>34</v>
      </c>
      <c r="G361" s="2" t="s">
        <v>28</v>
      </c>
      <c r="H361" s="2" t="s">
        <v>21</v>
      </c>
      <c r="I361" s="2">
        <v>36</v>
      </c>
      <c r="J361" s="2">
        <v>71</v>
      </c>
      <c r="K361" s="2">
        <v>12217.41</v>
      </c>
      <c r="L361" s="2">
        <v>399.14</v>
      </c>
      <c r="M361" s="2">
        <v>196.98</v>
      </c>
      <c r="N361" s="2" t="s">
        <v>22</v>
      </c>
      <c r="O361" s="2">
        <v>4</v>
      </c>
    </row>
    <row r="362" spans="1:15" x14ac:dyDescent="0.3">
      <c r="A362" s="2" t="s">
        <v>419</v>
      </c>
      <c r="B362" s="1">
        <v>45903</v>
      </c>
      <c r="C362" s="2" t="s">
        <v>24</v>
      </c>
      <c r="D362" s="2" t="s">
        <v>51</v>
      </c>
      <c r="E362" s="2" t="s">
        <v>26</v>
      </c>
      <c r="F362" s="2" t="s">
        <v>68</v>
      </c>
      <c r="G362" s="2" t="s">
        <v>64</v>
      </c>
      <c r="H362" s="2" t="s">
        <v>52</v>
      </c>
      <c r="I362" s="2">
        <v>54</v>
      </c>
      <c r="J362" s="2">
        <v>44</v>
      </c>
      <c r="K362" s="2">
        <v>44189.47</v>
      </c>
      <c r="L362" s="2">
        <v>251.05</v>
      </c>
      <c r="M362" s="2">
        <v>15.2</v>
      </c>
      <c r="N362" s="2" t="s">
        <v>22</v>
      </c>
      <c r="O362" s="2">
        <v>4</v>
      </c>
    </row>
    <row r="363" spans="1:15" x14ac:dyDescent="0.3">
      <c r="A363" s="2" t="s">
        <v>420</v>
      </c>
      <c r="B363" s="1">
        <v>46145</v>
      </c>
      <c r="C363" s="2" t="s">
        <v>90</v>
      </c>
      <c r="D363" s="2" t="s">
        <v>44</v>
      </c>
      <c r="E363" s="2" t="s">
        <v>45</v>
      </c>
      <c r="F363" s="2" t="s">
        <v>34</v>
      </c>
      <c r="G363" s="2" t="s">
        <v>64</v>
      </c>
      <c r="H363" s="2" t="s">
        <v>52</v>
      </c>
      <c r="I363" s="2">
        <v>52</v>
      </c>
      <c r="J363" s="2">
        <v>87</v>
      </c>
      <c r="K363" s="2">
        <v>5300.45</v>
      </c>
      <c r="L363" s="2">
        <v>251.38</v>
      </c>
      <c r="M363" s="2">
        <v>135.76</v>
      </c>
      <c r="N363" s="2" t="s">
        <v>30</v>
      </c>
      <c r="O363" s="2">
        <v>2</v>
      </c>
    </row>
    <row r="364" spans="1:15" x14ac:dyDescent="0.3">
      <c r="A364" s="2" t="s">
        <v>421</v>
      </c>
      <c r="B364" s="1">
        <v>46109</v>
      </c>
      <c r="C364" s="2" t="s">
        <v>90</v>
      </c>
      <c r="D364" s="2" t="s">
        <v>17</v>
      </c>
      <c r="E364" s="2" t="s">
        <v>26</v>
      </c>
      <c r="F364" s="2" t="s">
        <v>19</v>
      </c>
      <c r="G364" s="2" t="s">
        <v>35</v>
      </c>
      <c r="H364" s="2" t="s">
        <v>52</v>
      </c>
      <c r="I364" s="2">
        <v>46</v>
      </c>
      <c r="J364" s="2">
        <v>41</v>
      </c>
      <c r="K364" s="2">
        <v>3257.49</v>
      </c>
      <c r="L364" s="2">
        <v>479.76</v>
      </c>
      <c r="M364" s="2">
        <v>35.22</v>
      </c>
      <c r="N364" s="2" t="s">
        <v>22</v>
      </c>
      <c r="O364" s="2">
        <v>4</v>
      </c>
    </row>
    <row r="365" spans="1:15" x14ac:dyDescent="0.3">
      <c r="A365" s="2" t="s">
        <v>422</v>
      </c>
      <c r="B365" s="1">
        <v>46170</v>
      </c>
      <c r="C365" s="2" t="s">
        <v>54</v>
      </c>
      <c r="D365" s="2" t="s">
        <v>76</v>
      </c>
      <c r="E365" s="2" t="s">
        <v>45</v>
      </c>
      <c r="F365" s="2" t="s">
        <v>19</v>
      </c>
      <c r="G365" s="2" t="s">
        <v>55</v>
      </c>
      <c r="H365" s="2" t="s">
        <v>56</v>
      </c>
      <c r="I365" s="2">
        <v>45</v>
      </c>
      <c r="J365" s="2">
        <v>75</v>
      </c>
      <c r="K365" s="2">
        <v>6896.58</v>
      </c>
      <c r="L365" s="2">
        <v>463.84</v>
      </c>
      <c r="M365" s="2">
        <v>143.34</v>
      </c>
      <c r="N365" s="2" t="s">
        <v>30</v>
      </c>
      <c r="O365" s="2">
        <v>2</v>
      </c>
    </row>
    <row r="366" spans="1:15" x14ac:dyDescent="0.3">
      <c r="A366" s="2" t="s">
        <v>423</v>
      </c>
      <c r="B366" s="1">
        <v>46068</v>
      </c>
      <c r="C366" s="2" t="s">
        <v>16</v>
      </c>
      <c r="D366" s="2" t="s">
        <v>17</v>
      </c>
      <c r="E366" s="2" t="s">
        <v>45</v>
      </c>
      <c r="F366" s="2" t="s">
        <v>68</v>
      </c>
      <c r="G366" s="2" t="s">
        <v>28</v>
      </c>
      <c r="H366" s="2" t="s">
        <v>21</v>
      </c>
      <c r="I366" s="2">
        <v>22</v>
      </c>
      <c r="J366" s="2">
        <v>42</v>
      </c>
      <c r="K366" s="2">
        <v>3358.18</v>
      </c>
      <c r="L366" s="2">
        <v>190.04</v>
      </c>
      <c r="M366" s="2">
        <v>141.19999999999999</v>
      </c>
      <c r="N366" s="2" t="s">
        <v>30</v>
      </c>
      <c r="O366" s="2">
        <v>5</v>
      </c>
    </row>
    <row r="367" spans="1:15" x14ac:dyDescent="0.3">
      <c r="A367" s="2" t="s">
        <v>424</v>
      </c>
      <c r="B367" s="1">
        <v>46083</v>
      </c>
      <c r="C367" s="2" t="s">
        <v>16</v>
      </c>
      <c r="D367" s="2" t="s">
        <v>47</v>
      </c>
      <c r="E367" s="2" t="s">
        <v>18</v>
      </c>
      <c r="F367" s="2" t="s">
        <v>27</v>
      </c>
      <c r="G367" s="2" t="s">
        <v>35</v>
      </c>
      <c r="H367" s="2" t="s">
        <v>52</v>
      </c>
      <c r="I367" s="2">
        <v>32</v>
      </c>
      <c r="J367" s="2">
        <v>117</v>
      </c>
      <c r="K367" s="2">
        <v>42328.11</v>
      </c>
      <c r="L367" s="2">
        <v>144.08000000000001</v>
      </c>
      <c r="M367" s="2">
        <v>46.84</v>
      </c>
      <c r="N367" s="2" t="s">
        <v>22</v>
      </c>
      <c r="O367" s="2">
        <v>5</v>
      </c>
    </row>
    <row r="368" spans="1:15" x14ac:dyDescent="0.3">
      <c r="A368" s="2" t="s">
        <v>425</v>
      </c>
      <c r="B368" s="1">
        <v>46161</v>
      </c>
      <c r="C368" s="2" t="s">
        <v>74</v>
      </c>
      <c r="D368" s="2" t="s">
        <v>62</v>
      </c>
      <c r="E368" s="2" t="s">
        <v>18</v>
      </c>
      <c r="F368" s="2" t="s">
        <v>27</v>
      </c>
      <c r="G368" s="2" t="s">
        <v>35</v>
      </c>
      <c r="H368" s="2" t="s">
        <v>56</v>
      </c>
      <c r="I368" s="2">
        <v>60</v>
      </c>
      <c r="J368" s="2">
        <v>33</v>
      </c>
      <c r="K368" s="2">
        <v>3422.98</v>
      </c>
      <c r="L368" s="2">
        <v>431.82</v>
      </c>
      <c r="M368" s="2">
        <v>53.93</v>
      </c>
      <c r="N368" s="2" t="s">
        <v>22</v>
      </c>
      <c r="O368" s="2">
        <v>2</v>
      </c>
    </row>
    <row r="369" spans="1:15" x14ac:dyDescent="0.3">
      <c r="A369" s="2" t="s">
        <v>426</v>
      </c>
      <c r="B369" s="1">
        <v>45915</v>
      </c>
      <c r="C369" s="2" t="s">
        <v>54</v>
      </c>
      <c r="D369" s="2" t="s">
        <v>47</v>
      </c>
      <c r="E369" s="2" t="s">
        <v>45</v>
      </c>
      <c r="F369" s="2" t="s">
        <v>34</v>
      </c>
      <c r="G369" s="2" t="s">
        <v>55</v>
      </c>
      <c r="H369" s="2" t="s">
        <v>21</v>
      </c>
      <c r="I369" s="2">
        <v>29</v>
      </c>
      <c r="J369" s="2">
        <v>50</v>
      </c>
      <c r="K369" s="2">
        <v>13947.38</v>
      </c>
      <c r="L369" s="2">
        <v>457.71</v>
      </c>
      <c r="M369" s="2">
        <v>130.94999999999999</v>
      </c>
      <c r="N369" s="2" t="s">
        <v>30</v>
      </c>
      <c r="O369" s="2">
        <v>1</v>
      </c>
    </row>
    <row r="370" spans="1:15" x14ac:dyDescent="0.3">
      <c r="A370" s="2" t="s">
        <v>427</v>
      </c>
      <c r="B370" s="1">
        <v>45954</v>
      </c>
      <c r="C370" s="2" t="s">
        <v>41</v>
      </c>
      <c r="D370" s="2" t="s">
        <v>33</v>
      </c>
      <c r="E370" s="2" t="s">
        <v>45</v>
      </c>
      <c r="F370" s="2" t="s">
        <v>34</v>
      </c>
      <c r="G370" s="2" t="s">
        <v>28</v>
      </c>
      <c r="H370" s="2" t="s">
        <v>29</v>
      </c>
      <c r="I370" s="2">
        <v>32</v>
      </c>
      <c r="J370" s="2">
        <v>63</v>
      </c>
      <c r="K370" s="2">
        <v>5635.94</v>
      </c>
      <c r="L370" s="2">
        <v>293.72000000000003</v>
      </c>
      <c r="M370" s="2">
        <v>117.03</v>
      </c>
      <c r="N370" s="2" t="s">
        <v>30</v>
      </c>
      <c r="O370" s="2">
        <v>5</v>
      </c>
    </row>
    <row r="371" spans="1:15" x14ac:dyDescent="0.3">
      <c r="A371" s="2" t="s">
        <v>428</v>
      </c>
      <c r="B371" s="1">
        <v>46185</v>
      </c>
      <c r="C371" s="2" t="s">
        <v>16</v>
      </c>
      <c r="D371" s="2" t="s">
        <v>47</v>
      </c>
      <c r="E371" s="2" t="s">
        <v>26</v>
      </c>
      <c r="F371" s="2" t="s">
        <v>34</v>
      </c>
      <c r="G371" s="2" t="s">
        <v>55</v>
      </c>
      <c r="H371" s="2" t="s">
        <v>56</v>
      </c>
      <c r="I371" s="2">
        <v>46</v>
      </c>
      <c r="J371" s="2">
        <v>100</v>
      </c>
      <c r="K371" s="2">
        <v>15123.39</v>
      </c>
      <c r="L371" s="2">
        <v>333.24</v>
      </c>
      <c r="M371" s="2">
        <v>38.909999999999997</v>
      </c>
      <c r="N371" s="2" t="s">
        <v>30</v>
      </c>
      <c r="O371" s="2">
        <v>1</v>
      </c>
    </row>
    <row r="372" spans="1:15" x14ac:dyDescent="0.3">
      <c r="A372" s="2" t="s">
        <v>429</v>
      </c>
      <c r="B372" s="1">
        <v>46055</v>
      </c>
      <c r="C372" s="2" t="s">
        <v>24</v>
      </c>
      <c r="D372" s="2" t="s">
        <v>33</v>
      </c>
      <c r="E372" s="2" t="s">
        <v>26</v>
      </c>
      <c r="F372" s="2" t="s">
        <v>27</v>
      </c>
      <c r="G372" s="2" t="s">
        <v>28</v>
      </c>
      <c r="H372" s="2" t="s">
        <v>21</v>
      </c>
      <c r="I372" s="2">
        <v>29</v>
      </c>
      <c r="J372" s="2">
        <v>37</v>
      </c>
      <c r="K372" s="2">
        <v>4982.6899999999996</v>
      </c>
      <c r="L372" s="2">
        <v>165.61</v>
      </c>
      <c r="M372" s="2">
        <v>146.34</v>
      </c>
      <c r="N372" s="2" t="s">
        <v>22</v>
      </c>
      <c r="O372" s="2">
        <v>5</v>
      </c>
    </row>
    <row r="373" spans="1:15" x14ac:dyDescent="0.3">
      <c r="A373" s="2" t="s">
        <v>430</v>
      </c>
      <c r="B373" s="1">
        <v>46061</v>
      </c>
      <c r="C373" s="2" t="s">
        <v>43</v>
      </c>
      <c r="D373" s="2" t="s">
        <v>51</v>
      </c>
      <c r="E373" s="2" t="s">
        <v>18</v>
      </c>
      <c r="F373" s="2" t="s">
        <v>39</v>
      </c>
      <c r="G373" s="2" t="s">
        <v>55</v>
      </c>
      <c r="H373" s="2" t="s">
        <v>56</v>
      </c>
      <c r="I373" s="2">
        <v>30</v>
      </c>
      <c r="J373" s="2">
        <v>105</v>
      </c>
      <c r="K373" s="2">
        <v>33566.160000000003</v>
      </c>
      <c r="L373" s="2">
        <v>410.36</v>
      </c>
      <c r="M373" s="2">
        <v>30.83</v>
      </c>
      <c r="N373" s="2" t="s">
        <v>22</v>
      </c>
      <c r="O373" s="2">
        <v>5</v>
      </c>
    </row>
    <row r="374" spans="1:15" x14ac:dyDescent="0.3">
      <c r="A374" s="2" t="s">
        <v>431</v>
      </c>
      <c r="B374" s="1">
        <v>45982</v>
      </c>
      <c r="C374" s="2" t="s">
        <v>54</v>
      </c>
      <c r="D374" s="2" t="s">
        <v>25</v>
      </c>
      <c r="E374" s="2" t="s">
        <v>58</v>
      </c>
      <c r="F374" s="2" t="s">
        <v>19</v>
      </c>
      <c r="G374" s="2" t="s">
        <v>35</v>
      </c>
      <c r="H374" s="2" t="s">
        <v>21</v>
      </c>
      <c r="I374" s="2">
        <v>52</v>
      </c>
      <c r="J374" s="2">
        <v>59</v>
      </c>
      <c r="K374" s="2">
        <v>7099.68</v>
      </c>
      <c r="L374" s="2">
        <v>334.46</v>
      </c>
      <c r="M374" s="2">
        <v>171.13</v>
      </c>
      <c r="N374" s="2" t="s">
        <v>22</v>
      </c>
      <c r="O374" s="2">
        <v>3</v>
      </c>
    </row>
    <row r="375" spans="1:15" x14ac:dyDescent="0.3">
      <c r="A375" s="2" t="s">
        <v>432</v>
      </c>
      <c r="B375" s="1">
        <v>46121</v>
      </c>
      <c r="C375" s="2" t="s">
        <v>43</v>
      </c>
      <c r="D375" s="2" t="s">
        <v>33</v>
      </c>
      <c r="E375" s="2" t="s">
        <v>45</v>
      </c>
      <c r="F375" s="2" t="s">
        <v>39</v>
      </c>
      <c r="G375" s="2" t="s">
        <v>35</v>
      </c>
      <c r="H375" s="2" t="s">
        <v>21</v>
      </c>
      <c r="I375" s="2">
        <v>54</v>
      </c>
      <c r="J375" s="2">
        <v>81</v>
      </c>
      <c r="K375" s="2">
        <v>42666.37</v>
      </c>
      <c r="L375" s="2">
        <v>276.58</v>
      </c>
      <c r="M375" s="2">
        <v>102.93</v>
      </c>
      <c r="N375" s="2" t="s">
        <v>22</v>
      </c>
      <c r="O375" s="2">
        <v>4</v>
      </c>
    </row>
    <row r="376" spans="1:15" x14ac:dyDescent="0.3">
      <c r="A376" s="2" t="s">
        <v>433</v>
      </c>
      <c r="B376" s="1">
        <v>45955</v>
      </c>
      <c r="C376" s="2" t="s">
        <v>90</v>
      </c>
      <c r="D376" s="2" t="s">
        <v>76</v>
      </c>
      <c r="E376" s="2" t="s">
        <v>26</v>
      </c>
      <c r="F376" s="2" t="s">
        <v>39</v>
      </c>
      <c r="G376" s="2" t="s">
        <v>20</v>
      </c>
      <c r="H376" s="2" t="s">
        <v>29</v>
      </c>
      <c r="I376" s="2">
        <v>68</v>
      </c>
      <c r="J376" s="2">
        <v>99</v>
      </c>
      <c r="K376" s="2">
        <v>40950.959999999999</v>
      </c>
      <c r="L376" s="2">
        <v>77.05</v>
      </c>
      <c r="M376" s="2">
        <v>31.71</v>
      </c>
      <c r="N376" s="2" t="s">
        <v>30</v>
      </c>
      <c r="O376" s="2">
        <v>4</v>
      </c>
    </row>
    <row r="377" spans="1:15" x14ac:dyDescent="0.3">
      <c r="A377" s="2" t="s">
        <v>434</v>
      </c>
      <c r="B377" s="1">
        <v>46110</v>
      </c>
      <c r="C377" s="2" t="s">
        <v>24</v>
      </c>
      <c r="D377" s="2" t="s">
        <v>60</v>
      </c>
      <c r="E377" s="2" t="s">
        <v>18</v>
      </c>
      <c r="F377" s="2" t="s">
        <v>27</v>
      </c>
      <c r="G377" s="2" t="s">
        <v>64</v>
      </c>
      <c r="H377" s="2" t="s">
        <v>56</v>
      </c>
      <c r="I377" s="2">
        <v>40</v>
      </c>
      <c r="J377" s="2">
        <v>48</v>
      </c>
      <c r="K377" s="2">
        <v>1176.25</v>
      </c>
      <c r="L377" s="2">
        <v>462.17</v>
      </c>
      <c r="M377" s="2">
        <v>138.81</v>
      </c>
      <c r="N377" s="2" t="s">
        <v>30</v>
      </c>
      <c r="O377" s="2">
        <v>1</v>
      </c>
    </row>
    <row r="378" spans="1:15" x14ac:dyDescent="0.3">
      <c r="A378" s="2" t="s">
        <v>435</v>
      </c>
      <c r="B378" s="1">
        <v>46034</v>
      </c>
      <c r="C378" s="2" t="s">
        <v>24</v>
      </c>
      <c r="D378" s="2" t="s">
        <v>17</v>
      </c>
      <c r="E378" s="2" t="s">
        <v>26</v>
      </c>
      <c r="F378" s="2" t="s">
        <v>39</v>
      </c>
      <c r="G378" s="2" t="s">
        <v>55</v>
      </c>
      <c r="H378" s="2" t="s">
        <v>52</v>
      </c>
      <c r="I378" s="2">
        <v>59</v>
      </c>
      <c r="J378" s="2">
        <v>5</v>
      </c>
      <c r="K378" s="2">
        <v>44838.45</v>
      </c>
      <c r="L378" s="2">
        <v>326.95</v>
      </c>
      <c r="M378" s="2">
        <v>103.83</v>
      </c>
      <c r="N378" s="2" t="s">
        <v>30</v>
      </c>
      <c r="O378" s="2">
        <v>4</v>
      </c>
    </row>
    <row r="379" spans="1:15" x14ac:dyDescent="0.3">
      <c r="A379" s="2" t="s">
        <v>436</v>
      </c>
      <c r="B379" s="1">
        <v>46025</v>
      </c>
      <c r="C379" s="2" t="s">
        <v>90</v>
      </c>
      <c r="D379" s="2" t="s">
        <v>44</v>
      </c>
      <c r="E379" s="2" t="s">
        <v>45</v>
      </c>
      <c r="F379" s="2" t="s">
        <v>68</v>
      </c>
      <c r="G379" s="2" t="s">
        <v>20</v>
      </c>
      <c r="H379" s="2" t="s">
        <v>29</v>
      </c>
      <c r="I379" s="2">
        <v>22</v>
      </c>
      <c r="J379" s="2">
        <v>48</v>
      </c>
      <c r="K379" s="2">
        <v>1932.74</v>
      </c>
      <c r="L379" s="2">
        <v>136.71</v>
      </c>
      <c r="M379" s="2">
        <v>89.42</v>
      </c>
      <c r="N379" s="2" t="s">
        <v>22</v>
      </c>
      <c r="O379" s="2">
        <v>1</v>
      </c>
    </row>
    <row r="380" spans="1:15" x14ac:dyDescent="0.3">
      <c r="A380" s="2" t="s">
        <v>437</v>
      </c>
      <c r="B380" s="1">
        <v>46086</v>
      </c>
      <c r="C380" s="2" t="s">
        <v>54</v>
      </c>
      <c r="D380" s="2" t="s">
        <v>60</v>
      </c>
      <c r="E380" s="2" t="s">
        <v>45</v>
      </c>
      <c r="F380" s="2" t="s">
        <v>34</v>
      </c>
      <c r="G380" s="2" t="s">
        <v>64</v>
      </c>
      <c r="H380" s="2" t="s">
        <v>29</v>
      </c>
      <c r="I380" s="2">
        <v>21</v>
      </c>
      <c r="J380" s="2">
        <v>96</v>
      </c>
      <c r="K380" s="2">
        <v>12362.47</v>
      </c>
      <c r="L380" s="2">
        <v>322.87</v>
      </c>
      <c r="M380" s="2">
        <v>126.77</v>
      </c>
      <c r="N380" s="2" t="s">
        <v>30</v>
      </c>
      <c r="O380" s="2">
        <v>5</v>
      </c>
    </row>
    <row r="381" spans="1:15" x14ac:dyDescent="0.3">
      <c r="A381" s="2" t="s">
        <v>438</v>
      </c>
      <c r="B381" s="1">
        <v>46206</v>
      </c>
      <c r="C381" s="2" t="s">
        <v>90</v>
      </c>
      <c r="D381" s="2" t="s">
        <v>82</v>
      </c>
      <c r="E381" s="2" t="s">
        <v>38</v>
      </c>
      <c r="F381" s="2" t="s">
        <v>68</v>
      </c>
      <c r="G381" s="2" t="s">
        <v>55</v>
      </c>
      <c r="H381" s="2" t="s">
        <v>21</v>
      </c>
      <c r="I381" s="2">
        <v>71</v>
      </c>
      <c r="J381" s="2">
        <v>3</v>
      </c>
      <c r="K381" s="2">
        <v>2103.2600000000002</v>
      </c>
      <c r="L381" s="2">
        <v>354.86</v>
      </c>
      <c r="M381" s="2">
        <v>59.67</v>
      </c>
      <c r="N381" s="2" t="s">
        <v>30</v>
      </c>
      <c r="O381" s="2">
        <v>3</v>
      </c>
    </row>
    <row r="382" spans="1:15" x14ac:dyDescent="0.3">
      <c r="A382" s="2" t="s">
        <v>439</v>
      </c>
      <c r="B382" s="1">
        <v>46082</v>
      </c>
      <c r="C382" s="2" t="s">
        <v>43</v>
      </c>
      <c r="D382" s="2" t="s">
        <v>25</v>
      </c>
      <c r="E382" s="2" t="s">
        <v>58</v>
      </c>
      <c r="F382" s="2" t="s">
        <v>19</v>
      </c>
      <c r="G382" s="2" t="s">
        <v>28</v>
      </c>
      <c r="H382" s="2" t="s">
        <v>52</v>
      </c>
      <c r="I382" s="2">
        <v>56</v>
      </c>
      <c r="J382" s="2">
        <v>116</v>
      </c>
      <c r="K382" s="2">
        <v>17124.25</v>
      </c>
      <c r="L382" s="2">
        <v>286.60000000000002</v>
      </c>
      <c r="M382" s="2">
        <v>52.61</v>
      </c>
      <c r="N382" s="2" t="s">
        <v>30</v>
      </c>
      <c r="O382" s="2">
        <v>3</v>
      </c>
    </row>
    <row r="383" spans="1:15" x14ac:dyDescent="0.3">
      <c r="A383" s="2" t="s">
        <v>440</v>
      </c>
      <c r="B383" s="1">
        <v>46077</v>
      </c>
      <c r="C383" s="2" t="s">
        <v>74</v>
      </c>
      <c r="D383" s="2" t="s">
        <v>47</v>
      </c>
      <c r="E383" s="2" t="s">
        <v>38</v>
      </c>
      <c r="F383" s="2" t="s">
        <v>34</v>
      </c>
      <c r="G383" s="2" t="s">
        <v>64</v>
      </c>
      <c r="H383" s="2" t="s">
        <v>56</v>
      </c>
      <c r="I383" s="2">
        <v>44</v>
      </c>
      <c r="J383" s="2">
        <v>47</v>
      </c>
      <c r="K383" s="2">
        <v>25936.39</v>
      </c>
      <c r="L383" s="2">
        <v>373.15</v>
      </c>
      <c r="M383" s="2">
        <v>32.72</v>
      </c>
      <c r="N383" s="2" t="s">
        <v>30</v>
      </c>
      <c r="O383" s="2">
        <v>5</v>
      </c>
    </row>
    <row r="384" spans="1:15" x14ac:dyDescent="0.3">
      <c r="A384" s="2" t="s">
        <v>441</v>
      </c>
      <c r="B384" s="1">
        <v>45929</v>
      </c>
      <c r="C384" s="2" t="s">
        <v>24</v>
      </c>
      <c r="D384" s="2" t="s">
        <v>49</v>
      </c>
      <c r="E384" s="2" t="s">
        <v>18</v>
      </c>
      <c r="F384" s="2" t="s">
        <v>39</v>
      </c>
      <c r="G384" s="2" t="s">
        <v>35</v>
      </c>
      <c r="H384" s="2" t="s">
        <v>52</v>
      </c>
      <c r="I384" s="2">
        <v>74</v>
      </c>
      <c r="J384" s="2">
        <v>62</v>
      </c>
      <c r="K384" s="2">
        <v>39933.919999999998</v>
      </c>
      <c r="L384" s="2">
        <v>311.64999999999998</v>
      </c>
      <c r="M384" s="2">
        <v>72.55</v>
      </c>
      <c r="N384" s="2" t="s">
        <v>30</v>
      </c>
      <c r="O384" s="2">
        <v>2</v>
      </c>
    </row>
    <row r="385" spans="1:15" x14ac:dyDescent="0.3">
      <c r="A385" s="2" t="s">
        <v>442</v>
      </c>
      <c r="B385" s="1">
        <v>46064</v>
      </c>
      <c r="C385" s="2" t="s">
        <v>32</v>
      </c>
      <c r="D385" s="2" t="s">
        <v>82</v>
      </c>
      <c r="E385" s="2" t="s">
        <v>26</v>
      </c>
      <c r="F385" s="2" t="s">
        <v>19</v>
      </c>
      <c r="G385" s="2" t="s">
        <v>20</v>
      </c>
      <c r="H385" s="2" t="s">
        <v>52</v>
      </c>
      <c r="I385" s="2">
        <v>47</v>
      </c>
      <c r="J385" s="2">
        <v>99</v>
      </c>
      <c r="K385" s="2">
        <v>17230.09</v>
      </c>
      <c r="L385" s="2">
        <v>476.5</v>
      </c>
      <c r="M385" s="2">
        <v>50.2</v>
      </c>
      <c r="N385" s="2" t="s">
        <v>30</v>
      </c>
      <c r="O385" s="2">
        <v>2</v>
      </c>
    </row>
    <row r="386" spans="1:15" x14ac:dyDescent="0.3">
      <c r="A386" s="2" t="s">
        <v>443</v>
      </c>
      <c r="B386" s="1">
        <v>46200</v>
      </c>
      <c r="C386" s="2" t="s">
        <v>32</v>
      </c>
      <c r="D386" s="2" t="s">
        <v>62</v>
      </c>
      <c r="E386" s="2" t="s">
        <v>18</v>
      </c>
      <c r="F386" s="2" t="s">
        <v>34</v>
      </c>
      <c r="G386" s="2" t="s">
        <v>64</v>
      </c>
      <c r="H386" s="2" t="s">
        <v>52</v>
      </c>
      <c r="I386" s="2">
        <v>22</v>
      </c>
      <c r="J386" s="2">
        <v>116</v>
      </c>
      <c r="K386" s="2">
        <v>35421.760000000002</v>
      </c>
      <c r="L386" s="2">
        <v>74.16</v>
      </c>
      <c r="M386" s="2">
        <v>136.69</v>
      </c>
      <c r="N386" s="2" t="s">
        <v>30</v>
      </c>
      <c r="O386" s="2">
        <v>4</v>
      </c>
    </row>
    <row r="387" spans="1:15" x14ac:dyDescent="0.3">
      <c r="A387" s="2" t="s">
        <v>444</v>
      </c>
      <c r="B387" s="1">
        <v>46023</v>
      </c>
      <c r="C387" s="2" t="s">
        <v>43</v>
      </c>
      <c r="D387" s="2" t="s">
        <v>33</v>
      </c>
      <c r="E387" s="2" t="s">
        <v>45</v>
      </c>
      <c r="F387" s="2" t="s">
        <v>39</v>
      </c>
      <c r="G387" s="2" t="s">
        <v>64</v>
      </c>
      <c r="H387" s="2" t="s">
        <v>52</v>
      </c>
      <c r="I387" s="2">
        <v>51</v>
      </c>
      <c r="J387" s="2">
        <v>14</v>
      </c>
      <c r="K387" s="2">
        <v>9781.4699999999993</v>
      </c>
      <c r="L387" s="2">
        <v>97.81</v>
      </c>
      <c r="M387" s="2">
        <v>136.78</v>
      </c>
      <c r="N387" s="2" t="s">
        <v>30</v>
      </c>
      <c r="O387" s="2">
        <v>1</v>
      </c>
    </row>
    <row r="388" spans="1:15" x14ac:dyDescent="0.3">
      <c r="A388" s="2" t="s">
        <v>445</v>
      </c>
      <c r="B388" s="1">
        <v>45879</v>
      </c>
      <c r="C388" s="2" t="s">
        <v>41</v>
      </c>
      <c r="D388" s="2" t="s">
        <v>17</v>
      </c>
      <c r="E388" s="2" t="s">
        <v>38</v>
      </c>
      <c r="F388" s="2" t="s">
        <v>68</v>
      </c>
      <c r="G388" s="2" t="s">
        <v>35</v>
      </c>
      <c r="H388" s="2" t="s">
        <v>52</v>
      </c>
      <c r="I388" s="2">
        <v>34</v>
      </c>
      <c r="J388" s="2">
        <v>63</v>
      </c>
      <c r="K388" s="2">
        <v>37654.620000000003</v>
      </c>
      <c r="L388" s="2">
        <v>128.15</v>
      </c>
      <c r="M388" s="2">
        <v>100.37</v>
      </c>
      <c r="N388" s="2" t="s">
        <v>30</v>
      </c>
      <c r="O388" s="2">
        <v>3</v>
      </c>
    </row>
    <row r="389" spans="1:15" x14ac:dyDescent="0.3">
      <c r="A389" s="2" t="s">
        <v>446</v>
      </c>
      <c r="B389" s="1">
        <v>46167</v>
      </c>
      <c r="C389" s="2" t="s">
        <v>16</v>
      </c>
      <c r="D389" s="2" t="s">
        <v>67</v>
      </c>
      <c r="E389" s="2" t="s">
        <v>38</v>
      </c>
      <c r="F389" s="2" t="s">
        <v>34</v>
      </c>
      <c r="G389" s="2" t="s">
        <v>55</v>
      </c>
      <c r="H389" s="2" t="s">
        <v>21</v>
      </c>
      <c r="I389" s="2">
        <v>22</v>
      </c>
      <c r="J389" s="2">
        <v>112</v>
      </c>
      <c r="K389" s="2">
        <v>12181.83</v>
      </c>
      <c r="L389" s="2">
        <v>360.58</v>
      </c>
      <c r="M389" s="2">
        <v>155.59</v>
      </c>
      <c r="N389" s="2" t="s">
        <v>30</v>
      </c>
      <c r="O389" s="2">
        <v>4</v>
      </c>
    </row>
    <row r="390" spans="1:15" x14ac:dyDescent="0.3">
      <c r="A390" s="2" t="s">
        <v>447</v>
      </c>
      <c r="B390" s="1">
        <v>46029</v>
      </c>
      <c r="C390" s="2" t="s">
        <v>90</v>
      </c>
      <c r="D390" s="2" t="s">
        <v>78</v>
      </c>
      <c r="E390" s="2" t="s">
        <v>38</v>
      </c>
      <c r="F390" s="2" t="s">
        <v>39</v>
      </c>
      <c r="G390" s="2" t="s">
        <v>28</v>
      </c>
      <c r="H390" s="2" t="s">
        <v>21</v>
      </c>
      <c r="I390" s="2">
        <v>49</v>
      </c>
      <c r="J390" s="2">
        <v>61</v>
      </c>
      <c r="K390" s="2">
        <v>7605.47</v>
      </c>
      <c r="L390" s="2">
        <v>340.52</v>
      </c>
      <c r="M390" s="2">
        <v>168.27</v>
      </c>
      <c r="N390" s="2" t="s">
        <v>30</v>
      </c>
      <c r="O390" s="2">
        <v>5</v>
      </c>
    </row>
    <row r="391" spans="1:15" x14ac:dyDescent="0.3">
      <c r="A391" s="2" t="s">
        <v>448</v>
      </c>
      <c r="B391" s="1">
        <v>46138</v>
      </c>
      <c r="C391" s="2" t="s">
        <v>90</v>
      </c>
      <c r="D391" s="2" t="s">
        <v>76</v>
      </c>
      <c r="E391" s="2" t="s">
        <v>18</v>
      </c>
      <c r="F391" s="2" t="s">
        <v>68</v>
      </c>
      <c r="G391" s="2" t="s">
        <v>35</v>
      </c>
      <c r="H391" s="2" t="s">
        <v>29</v>
      </c>
      <c r="I391" s="2">
        <v>35</v>
      </c>
      <c r="J391" s="2">
        <v>31</v>
      </c>
      <c r="K391" s="2">
        <v>9677.74</v>
      </c>
      <c r="L391" s="2">
        <v>451.43</v>
      </c>
      <c r="M391" s="2">
        <v>173.92</v>
      </c>
      <c r="N391" s="2" t="s">
        <v>22</v>
      </c>
      <c r="O391" s="2">
        <v>3</v>
      </c>
    </row>
    <row r="392" spans="1:15" x14ac:dyDescent="0.3">
      <c r="A392" s="2" t="s">
        <v>449</v>
      </c>
      <c r="B392" s="1">
        <v>46156</v>
      </c>
      <c r="C392" s="2" t="s">
        <v>41</v>
      </c>
      <c r="D392" s="2" t="s">
        <v>44</v>
      </c>
      <c r="E392" s="2" t="s">
        <v>45</v>
      </c>
      <c r="F392" s="2" t="s">
        <v>19</v>
      </c>
      <c r="G392" s="2" t="s">
        <v>28</v>
      </c>
      <c r="H392" s="2" t="s">
        <v>21</v>
      </c>
      <c r="I392" s="2">
        <v>32</v>
      </c>
      <c r="J392" s="2">
        <v>95</v>
      </c>
      <c r="K392" s="2">
        <v>9512.1200000000008</v>
      </c>
      <c r="L392" s="2">
        <v>379.79</v>
      </c>
      <c r="M392" s="2">
        <v>123.79</v>
      </c>
      <c r="N392" s="2" t="s">
        <v>30</v>
      </c>
      <c r="O392" s="2">
        <v>1</v>
      </c>
    </row>
    <row r="393" spans="1:15" x14ac:dyDescent="0.3">
      <c r="A393" s="2" t="s">
        <v>450</v>
      </c>
      <c r="B393" s="1">
        <v>45989</v>
      </c>
      <c r="C393" s="2" t="s">
        <v>41</v>
      </c>
      <c r="D393" s="2" t="s">
        <v>86</v>
      </c>
      <c r="E393" s="2" t="s">
        <v>26</v>
      </c>
      <c r="F393" s="2" t="s">
        <v>19</v>
      </c>
      <c r="G393" s="2" t="s">
        <v>55</v>
      </c>
      <c r="H393" s="2" t="s">
        <v>29</v>
      </c>
      <c r="I393" s="2">
        <v>57</v>
      </c>
      <c r="J393" s="2">
        <v>17</v>
      </c>
      <c r="K393" s="2">
        <v>25886.71</v>
      </c>
      <c r="L393" s="2">
        <v>278.76</v>
      </c>
      <c r="M393" s="2">
        <v>84.87</v>
      </c>
      <c r="N393" s="2" t="s">
        <v>22</v>
      </c>
      <c r="O393" s="2">
        <v>1</v>
      </c>
    </row>
    <row r="394" spans="1:15" x14ac:dyDescent="0.3">
      <c r="A394" s="2" t="s">
        <v>451</v>
      </c>
      <c r="B394" s="1">
        <v>45870</v>
      </c>
      <c r="C394" s="2" t="s">
        <v>43</v>
      </c>
      <c r="D394" s="2" t="s">
        <v>76</v>
      </c>
      <c r="E394" s="2" t="s">
        <v>26</v>
      </c>
      <c r="F394" s="2" t="s">
        <v>19</v>
      </c>
      <c r="G394" s="2" t="s">
        <v>64</v>
      </c>
      <c r="H394" s="2" t="s">
        <v>29</v>
      </c>
      <c r="I394" s="2">
        <v>48</v>
      </c>
      <c r="J394" s="2">
        <v>24</v>
      </c>
      <c r="K394" s="2">
        <v>42317.48</v>
      </c>
      <c r="L394" s="2">
        <v>496.32</v>
      </c>
      <c r="M394" s="2">
        <v>268.45999999999998</v>
      </c>
      <c r="N394" s="2" t="s">
        <v>22</v>
      </c>
      <c r="O394" s="2">
        <v>2</v>
      </c>
    </row>
    <row r="395" spans="1:15" x14ac:dyDescent="0.3">
      <c r="A395" s="2" t="s">
        <v>452</v>
      </c>
      <c r="B395" s="1">
        <v>46144</v>
      </c>
      <c r="C395" s="2" t="s">
        <v>43</v>
      </c>
      <c r="D395" s="2" t="s">
        <v>51</v>
      </c>
      <c r="E395" s="2" t="s">
        <v>18</v>
      </c>
      <c r="F395" s="2" t="s">
        <v>19</v>
      </c>
      <c r="G395" s="2" t="s">
        <v>28</v>
      </c>
      <c r="H395" s="2" t="s">
        <v>56</v>
      </c>
      <c r="I395" s="2">
        <v>40</v>
      </c>
      <c r="J395" s="2">
        <v>116</v>
      </c>
      <c r="K395" s="2">
        <v>4440.45</v>
      </c>
      <c r="L395" s="2">
        <v>169.75</v>
      </c>
      <c r="M395" s="2">
        <v>4.84</v>
      </c>
      <c r="N395" s="2" t="s">
        <v>30</v>
      </c>
      <c r="O395" s="2">
        <v>4</v>
      </c>
    </row>
    <row r="396" spans="1:15" x14ac:dyDescent="0.3">
      <c r="A396" s="2" t="s">
        <v>453</v>
      </c>
      <c r="B396" s="1">
        <v>46231</v>
      </c>
      <c r="C396" s="2" t="s">
        <v>41</v>
      </c>
      <c r="D396" s="2" t="s">
        <v>67</v>
      </c>
      <c r="E396" s="2" t="s">
        <v>38</v>
      </c>
      <c r="F396" s="2" t="s">
        <v>27</v>
      </c>
      <c r="G396" s="2" t="s">
        <v>20</v>
      </c>
      <c r="H396" s="2" t="s">
        <v>52</v>
      </c>
      <c r="I396" s="2">
        <v>59</v>
      </c>
      <c r="J396" s="2">
        <v>23</v>
      </c>
      <c r="K396" s="2">
        <v>35494.339999999997</v>
      </c>
      <c r="L396" s="2">
        <v>424.94</v>
      </c>
      <c r="M396" s="2">
        <v>69.72</v>
      </c>
      <c r="N396" s="2" t="s">
        <v>30</v>
      </c>
      <c r="O396" s="2">
        <v>5</v>
      </c>
    </row>
    <row r="397" spans="1:15" x14ac:dyDescent="0.3">
      <c r="A397" s="2" t="s">
        <v>454</v>
      </c>
      <c r="B397" s="1">
        <v>45958</v>
      </c>
      <c r="C397" s="2" t="s">
        <v>24</v>
      </c>
      <c r="D397" s="2" t="s">
        <v>49</v>
      </c>
      <c r="E397" s="2" t="s">
        <v>58</v>
      </c>
      <c r="F397" s="2" t="s">
        <v>34</v>
      </c>
      <c r="G397" s="2" t="s">
        <v>20</v>
      </c>
      <c r="H397" s="2" t="s">
        <v>21</v>
      </c>
      <c r="I397" s="2">
        <v>44</v>
      </c>
      <c r="J397" s="2">
        <v>82</v>
      </c>
      <c r="K397" s="2">
        <v>32890.15</v>
      </c>
      <c r="L397" s="2">
        <v>242.06</v>
      </c>
      <c r="M397" s="2">
        <v>144.36000000000001</v>
      </c>
      <c r="N397" s="2" t="s">
        <v>22</v>
      </c>
      <c r="O397" s="2">
        <v>3</v>
      </c>
    </row>
    <row r="398" spans="1:15" x14ac:dyDescent="0.3">
      <c r="A398" s="2" t="s">
        <v>455</v>
      </c>
      <c r="B398" s="1">
        <v>46111</v>
      </c>
      <c r="C398" s="2" t="s">
        <v>43</v>
      </c>
      <c r="D398" s="2" t="s">
        <v>78</v>
      </c>
      <c r="E398" s="2" t="s">
        <v>18</v>
      </c>
      <c r="F398" s="2" t="s">
        <v>34</v>
      </c>
      <c r="G398" s="2" t="s">
        <v>35</v>
      </c>
      <c r="H398" s="2" t="s">
        <v>56</v>
      </c>
      <c r="I398" s="2">
        <v>41</v>
      </c>
      <c r="J398" s="2">
        <v>50</v>
      </c>
      <c r="K398" s="2">
        <v>43689.74</v>
      </c>
      <c r="L398" s="2">
        <v>341.93</v>
      </c>
      <c r="M398" s="2">
        <v>16.02</v>
      </c>
      <c r="N398" s="2" t="s">
        <v>22</v>
      </c>
      <c r="O398" s="2">
        <v>1</v>
      </c>
    </row>
    <row r="399" spans="1:15" x14ac:dyDescent="0.3">
      <c r="A399" s="2" t="s">
        <v>456</v>
      </c>
      <c r="B399" s="1">
        <v>46219</v>
      </c>
      <c r="C399" s="2" t="s">
        <v>74</v>
      </c>
      <c r="D399" s="2" t="s">
        <v>67</v>
      </c>
      <c r="E399" s="2" t="s">
        <v>18</v>
      </c>
      <c r="F399" s="2" t="s">
        <v>27</v>
      </c>
      <c r="G399" s="2" t="s">
        <v>55</v>
      </c>
      <c r="H399" s="2" t="s">
        <v>21</v>
      </c>
      <c r="I399" s="2">
        <v>30</v>
      </c>
      <c r="J399" s="2">
        <v>118</v>
      </c>
      <c r="K399" s="2">
        <v>12585.3</v>
      </c>
      <c r="L399" s="2">
        <v>377.27</v>
      </c>
      <c r="M399" s="2">
        <v>36.630000000000003</v>
      </c>
      <c r="N399" s="2" t="s">
        <v>22</v>
      </c>
      <c r="O399" s="2">
        <v>3</v>
      </c>
    </row>
    <row r="400" spans="1:15" x14ac:dyDescent="0.3">
      <c r="A400" s="2" t="s">
        <v>457</v>
      </c>
      <c r="B400" s="1">
        <v>45913</v>
      </c>
      <c r="C400" s="2" t="s">
        <v>43</v>
      </c>
      <c r="D400" s="2" t="s">
        <v>47</v>
      </c>
      <c r="E400" s="2" t="s">
        <v>45</v>
      </c>
      <c r="F400" s="2" t="s">
        <v>39</v>
      </c>
      <c r="G400" s="2" t="s">
        <v>35</v>
      </c>
      <c r="H400" s="2" t="s">
        <v>29</v>
      </c>
      <c r="I400" s="2">
        <v>66</v>
      </c>
      <c r="J400" s="2">
        <v>78</v>
      </c>
      <c r="K400" s="2">
        <v>22780.44</v>
      </c>
      <c r="L400" s="2">
        <v>335.19</v>
      </c>
      <c r="M400" s="2">
        <v>176.79</v>
      </c>
      <c r="N400" s="2" t="s">
        <v>22</v>
      </c>
      <c r="O400" s="2">
        <v>5</v>
      </c>
    </row>
    <row r="401" spans="1:15" x14ac:dyDescent="0.3">
      <c r="A401" s="2" t="s">
        <v>458</v>
      </c>
      <c r="B401" s="1">
        <v>46092</v>
      </c>
      <c r="C401" s="2" t="s">
        <v>90</v>
      </c>
      <c r="D401" s="2" t="s">
        <v>33</v>
      </c>
      <c r="E401" s="2" t="s">
        <v>26</v>
      </c>
      <c r="F401" s="2" t="s">
        <v>39</v>
      </c>
      <c r="G401" s="2" t="s">
        <v>35</v>
      </c>
      <c r="H401" s="2" t="s">
        <v>21</v>
      </c>
      <c r="I401" s="2">
        <v>34</v>
      </c>
      <c r="J401" s="2">
        <v>114</v>
      </c>
      <c r="K401" s="2">
        <v>46328.46</v>
      </c>
      <c r="L401" s="2">
        <v>113.23</v>
      </c>
      <c r="M401" s="2">
        <v>112</v>
      </c>
      <c r="N401" s="2" t="s">
        <v>30</v>
      </c>
      <c r="O401" s="2">
        <v>3</v>
      </c>
    </row>
    <row r="402" spans="1:15" x14ac:dyDescent="0.3">
      <c r="A402" s="2" t="s">
        <v>459</v>
      </c>
      <c r="B402" s="1">
        <v>46163</v>
      </c>
      <c r="C402" s="2" t="s">
        <v>43</v>
      </c>
      <c r="D402" s="2" t="s">
        <v>25</v>
      </c>
      <c r="E402" s="2" t="s">
        <v>18</v>
      </c>
      <c r="F402" s="2" t="s">
        <v>19</v>
      </c>
      <c r="G402" s="2" t="s">
        <v>35</v>
      </c>
      <c r="H402" s="2" t="s">
        <v>52</v>
      </c>
      <c r="I402" s="2">
        <v>57</v>
      </c>
      <c r="J402" s="2">
        <v>79</v>
      </c>
      <c r="K402" s="2">
        <v>33169.68</v>
      </c>
      <c r="L402" s="2">
        <v>249.33</v>
      </c>
      <c r="M402" s="2">
        <v>147.79</v>
      </c>
      <c r="N402" s="2" t="s">
        <v>30</v>
      </c>
      <c r="O402" s="2">
        <v>4</v>
      </c>
    </row>
    <row r="403" spans="1:15" x14ac:dyDescent="0.3">
      <c r="A403" s="2" t="s">
        <v>460</v>
      </c>
      <c r="B403" s="1">
        <v>46038</v>
      </c>
      <c r="C403" s="2" t="s">
        <v>24</v>
      </c>
      <c r="D403" s="2" t="s">
        <v>44</v>
      </c>
      <c r="E403" s="2" t="s">
        <v>18</v>
      </c>
      <c r="F403" s="2" t="s">
        <v>68</v>
      </c>
      <c r="G403" s="2" t="s">
        <v>20</v>
      </c>
      <c r="H403" s="2" t="s">
        <v>29</v>
      </c>
      <c r="I403" s="2">
        <v>38</v>
      </c>
      <c r="J403" s="2">
        <v>79</v>
      </c>
      <c r="K403" s="2">
        <v>19744.04</v>
      </c>
      <c r="L403" s="2">
        <v>302.64999999999998</v>
      </c>
      <c r="M403" s="2">
        <v>243.78</v>
      </c>
      <c r="N403" s="2" t="s">
        <v>30</v>
      </c>
      <c r="O403" s="2">
        <v>2</v>
      </c>
    </row>
    <row r="404" spans="1:15" x14ac:dyDescent="0.3">
      <c r="A404" s="2" t="s">
        <v>461</v>
      </c>
      <c r="B404" s="1">
        <v>45919</v>
      </c>
      <c r="C404" s="2" t="s">
        <v>41</v>
      </c>
      <c r="D404" s="2" t="s">
        <v>37</v>
      </c>
      <c r="E404" s="2" t="s">
        <v>38</v>
      </c>
      <c r="F404" s="2" t="s">
        <v>39</v>
      </c>
      <c r="G404" s="2" t="s">
        <v>20</v>
      </c>
      <c r="H404" s="2" t="s">
        <v>29</v>
      </c>
      <c r="I404" s="2">
        <v>44</v>
      </c>
      <c r="J404" s="2">
        <v>70</v>
      </c>
      <c r="K404" s="2">
        <v>7004.91</v>
      </c>
      <c r="L404" s="2">
        <v>432.07</v>
      </c>
      <c r="M404" s="2">
        <v>38.58</v>
      </c>
      <c r="N404" s="2" t="s">
        <v>30</v>
      </c>
      <c r="O404" s="2">
        <v>3</v>
      </c>
    </row>
    <row r="405" spans="1:15" x14ac:dyDescent="0.3">
      <c r="A405" s="2" t="s">
        <v>462</v>
      </c>
      <c r="B405" s="1">
        <v>46221</v>
      </c>
      <c r="C405" s="2" t="s">
        <v>90</v>
      </c>
      <c r="D405" s="2" t="s">
        <v>33</v>
      </c>
      <c r="E405" s="2" t="s">
        <v>38</v>
      </c>
      <c r="F405" s="2" t="s">
        <v>68</v>
      </c>
      <c r="G405" s="2" t="s">
        <v>35</v>
      </c>
      <c r="H405" s="2" t="s">
        <v>56</v>
      </c>
      <c r="I405" s="2">
        <v>34</v>
      </c>
      <c r="J405" s="2">
        <v>27</v>
      </c>
      <c r="K405" s="2">
        <v>13493.01</v>
      </c>
      <c r="L405" s="2">
        <v>249.64</v>
      </c>
      <c r="M405" s="2">
        <v>3.68</v>
      </c>
      <c r="N405" s="2" t="s">
        <v>30</v>
      </c>
      <c r="O405" s="2">
        <v>2</v>
      </c>
    </row>
    <row r="406" spans="1:15" x14ac:dyDescent="0.3">
      <c r="A406" s="2" t="s">
        <v>463</v>
      </c>
      <c r="B406" s="1">
        <v>46130</v>
      </c>
      <c r="C406" s="2" t="s">
        <v>43</v>
      </c>
      <c r="D406" s="2" t="s">
        <v>37</v>
      </c>
      <c r="E406" s="2" t="s">
        <v>58</v>
      </c>
      <c r="F406" s="2" t="s">
        <v>34</v>
      </c>
      <c r="G406" s="2" t="s">
        <v>20</v>
      </c>
      <c r="H406" s="2" t="s">
        <v>52</v>
      </c>
      <c r="I406" s="2">
        <v>54</v>
      </c>
      <c r="J406" s="2">
        <v>15</v>
      </c>
      <c r="K406" s="2">
        <v>29270.17</v>
      </c>
      <c r="L406" s="2">
        <v>463.44</v>
      </c>
      <c r="M406" s="2">
        <v>137.93</v>
      </c>
      <c r="N406" s="2" t="s">
        <v>22</v>
      </c>
      <c r="O406" s="2">
        <v>5</v>
      </c>
    </row>
    <row r="407" spans="1:15" x14ac:dyDescent="0.3">
      <c r="A407" s="2" t="s">
        <v>464</v>
      </c>
      <c r="B407" s="1">
        <v>46107</v>
      </c>
      <c r="C407" s="2" t="s">
        <v>24</v>
      </c>
      <c r="D407" s="2" t="s">
        <v>82</v>
      </c>
      <c r="E407" s="2" t="s">
        <v>45</v>
      </c>
      <c r="F407" s="2" t="s">
        <v>68</v>
      </c>
      <c r="G407" s="2" t="s">
        <v>55</v>
      </c>
      <c r="H407" s="2" t="s">
        <v>29</v>
      </c>
      <c r="I407" s="2">
        <v>32</v>
      </c>
      <c r="J407" s="2">
        <v>50</v>
      </c>
      <c r="K407" s="2">
        <v>36049.31</v>
      </c>
      <c r="L407" s="2">
        <v>248.17</v>
      </c>
      <c r="M407" s="2">
        <v>90.42</v>
      </c>
      <c r="N407" s="2" t="s">
        <v>30</v>
      </c>
      <c r="O407" s="2">
        <v>2</v>
      </c>
    </row>
    <row r="408" spans="1:15" x14ac:dyDescent="0.3">
      <c r="A408" s="2" t="s">
        <v>465</v>
      </c>
      <c r="B408" s="1">
        <v>46056</v>
      </c>
      <c r="C408" s="2" t="s">
        <v>74</v>
      </c>
      <c r="D408" s="2" t="s">
        <v>25</v>
      </c>
      <c r="E408" s="2" t="s">
        <v>58</v>
      </c>
      <c r="F408" s="2" t="s">
        <v>34</v>
      </c>
      <c r="G408" s="2" t="s">
        <v>35</v>
      </c>
      <c r="H408" s="2" t="s">
        <v>52</v>
      </c>
      <c r="I408" s="2">
        <v>42</v>
      </c>
      <c r="J408" s="2">
        <v>36</v>
      </c>
      <c r="K408" s="2">
        <v>6658.88</v>
      </c>
      <c r="L408" s="2">
        <v>296.95</v>
      </c>
      <c r="M408" s="2">
        <v>125.2</v>
      </c>
      <c r="N408" s="2" t="s">
        <v>30</v>
      </c>
      <c r="O408" s="2">
        <v>3</v>
      </c>
    </row>
    <row r="409" spans="1:15" x14ac:dyDescent="0.3">
      <c r="A409" s="2" t="s">
        <v>466</v>
      </c>
      <c r="B409" s="1">
        <v>46161</v>
      </c>
      <c r="C409" s="2" t="s">
        <v>43</v>
      </c>
      <c r="D409" s="2" t="s">
        <v>78</v>
      </c>
      <c r="E409" s="2" t="s">
        <v>38</v>
      </c>
      <c r="F409" s="2" t="s">
        <v>27</v>
      </c>
      <c r="G409" s="2" t="s">
        <v>20</v>
      </c>
      <c r="H409" s="2" t="s">
        <v>21</v>
      </c>
      <c r="I409" s="2">
        <v>26</v>
      </c>
      <c r="J409" s="2">
        <v>119</v>
      </c>
      <c r="K409" s="2">
        <v>30180.06</v>
      </c>
      <c r="L409" s="2">
        <v>408.33</v>
      </c>
      <c r="M409" s="2">
        <v>30.11</v>
      </c>
      <c r="N409" s="2" t="s">
        <v>22</v>
      </c>
      <c r="O409" s="2">
        <v>3</v>
      </c>
    </row>
    <row r="410" spans="1:15" x14ac:dyDescent="0.3">
      <c r="A410" s="2" t="s">
        <v>467</v>
      </c>
      <c r="B410" s="1">
        <v>46196</v>
      </c>
      <c r="C410" s="2" t="s">
        <v>24</v>
      </c>
      <c r="D410" s="2" t="s">
        <v>17</v>
      </c>
      <c r="E410" s="2" t="s">
        <v>26</v>
      </c>
      <c r="F410" s="2" t="s">
        <v>27</v>
      </c>
      <c r="G410" s="2" t="s">
        <v>28</v>
      </c>
      <c r="H410" s="2" t="s">
        <v>52</v>
      </c>
      <c r="I410" s="2">
        <v>56</v>
      </c>
      <c r="J410" s="2">
        <v>8</v>
      </c>
      <c r="K410" s="2">
        <v>27742.39</v>
      </c>
      <c r="L410" s="2">
        <v>312.38</v>
      </c>
      <c r="M410" s="2">
        <v>93.81</v>
      </c>
      <c r="N410" s="2" t="s">
        <v>22</v>
      </c>
      <c r="O410" s="2">
        <v>1</v>
      </c>
    </row>
    <row r="411" spans="1:15" x14ac:dyDescent="0.3">
      <c r="A411" s="2" t="s">
        <v>468</v>
      </c>
      <c r="B411" s="1">
        <v>46092</v>
      </c>
      <c r="C411" s="2" t="s">
        <v>74</v>
      </c>
      <c r="D411" s="2" t="s">
        <v>86</v>
      </c>
      <c r="E411" s="2" t="s">
        <v>38</v>
      </c>
      <c r="F411" s="2" t="s">
        <v>19</v>
      </c>
      <c r="G411" s="2" t="s">
        <v>35</v>
      </c>
      <c r="H411" s="2" t="s">
        <v>29</v>
      </c>
      <c r="I411" s="2">
        <v>65</v>
      </c>
      <c r="J411" s="2">
        <v>79</v>
      </c>
      <c r="K411" s="2">
        <v>25940.79</v>
      </c>
      <c r="L411" s="2">
        <v>482.1</v>
      </c>
      <c r="M411" s="2">
        <v>151.32</v>
      </c>
      <c r="N411" s="2" t="s">
        <v>30</v>
      </c>
      <c r="O411" s="2">
        <v>3</v>
      </c>
    </row>
    <row r="412" spans="1:15" x14ac:dyDescent="0.3">
      <c r="A412" s="2" t="s">
        <v>469</v>
      </c>
      <c r="B412" s="1">
        <v>46047</v>
      </c>
      <c r="C412" s="2" t="s">
        <v>41</v>
      </c>
      <c r="D412" s="2" t="s">
        <v>62</v>
      </c>
      <c r="E412" s="2" t="s">
        <v>45</v>
      </c>
      <c r="F412" s="2" t="s">
        <v>39</v>
      </c>
      <c r="G412" s="2" t="s">
        <v>35</v>
      </c>
      <c r="H412" s="2" t="s">
        <v>56</v>
      </c>
      <c r="I412" s="2">
        <v>56</v>
      </c>
      <c r="J412" s="2">
        <v>3</v>
      </c>
      <c r="K412" s="2">
        <v>34661.089999999997</v>
      </c>
      <c r="L412" s="2">
        <v>347.15</v>
      </c>
      <c r="M412" s="2">
        <v>117.02</v>
      </c>
      <c r="N412" s="2" t="s">
        <v>22</v>
      </c>
      <c r="O412" s="2">
        <v>2</v>
      </c>
    </row>
    <row r="413" spans="1:15" x14ac:dyDescent="0.3">
      <c r="A413" s="2" t="s">
        <v>470</v>
      </c>
      <c r="B413" s="1">
        <v>46165</v>
      </c>
      <c r="C413" s="2" t="s">
        <v>43</v>
      </c>
      <c r="D413" s="2" t="s">
        <v>60</v>
      </c>
      <c r="E413" s="2" t="s">
        <v>38</v>
      </c>
      <c r="F413" s="2" t="s">
        <v>19</v>
      </c>
      <c r="G413" s="2" t="s">
        <v>55</v>
      </c>
      <c r="H413" s="2" t="s">
        <v>29</v>
      </c>
      <c r="I413" s="2">
        <v>42</v>
      </c>
      <c r="J413" s="2">
        <v>62</v>
      </c>
      <c r="K413" s="2">
        <v>41953.75</v>
      </c>
      <c r="L413" s="2">
        <v>285.22000000000003</v>
      </c>
      <c r="M413" s="2">
        <v>153.94</v>
      </c>
      <c r="N413" s="2" t="s">
        <v>22</v>
      </c>
      <c r="O413" s="2">
        <v>1</v>
      </c>
    </row>
    <row r="414" spans="1:15" x14ac:dyDescent="0.3">
      <c r="A414" s="2" t="s">
        <v>471</v>
      </c>
      <c r="B414" s="1">
        <v>46013</v>
      </c>
      <c r="C414" s="2" t="s">
        <v>74</v>
      </c>
      <c r="D414" s="2" t="s">
        <v>25</v>
      </c>
      <c r="E414" s="2" t="s">
        <v>45</v>
      </c>
      <c r="F414" s="2" t="s">
        <v>34</v>
      </c>
      <c r="G414" s="2" t="s">
        <v>64</v>
      </c>
      <c r="H414" s="2" t="s">
        <v>52</v>
      </c>
      <c r="I414" s="2">
        <v>34</v>
      </c>
      <c r="J414" s="2">
        <v>47</v>
      </c>
      <c r="K414" s="2">
        <v>16487.990000000002</v>
      </c>
      <c r="L414" s="2">
        <v>60.62</v>
      </c>
      <c r="M414" s="2">
        <v>99.14</v>
      </c>
      <c r="N414" s="2" t="s">
        <v>30</v>
      </c>
      <c r="O414" s="2">
        <v>3</v>
      </c>
    </row>
    <row r="415" spans="1:15" x14ac:dyDescent="0.3">
      <c r="A415" s="2" t="s">
        <v>472</v>
      </c>
      <c r="B415" s="1">
        <v>46116</v>
      </c>
      <c r="C415" s="2" t="s">
        <v>90</v>
      </c>
      <c r="D415" s="2" t="s">
        <v>33</v>
      </c>
      <c r="E415" s="2" t="s">
        <v>45</v>
      </c>
      <c r="F415" s="2" t="s">
        <v>19</v>
      </c>
      <c r="G415" s="2" t="s">
        <v>64</v>
      </c>
      <c r="H415" s="2" t="s">
        <v>52</v>
      </c>
      <c r="I415" s="2">
        <v>36</v>
      </c>
      <c r="J415" s="2">
        <v>77</v>
      </c>
      <c r="K415" s="2">
        <v>44506.1</v>
      </c>
      <c r="L415" s="2">
        <v>236.18</v>
      </c>
      <c r="M415" s="2">
        <v>66.55</v>
      </c>
      <c r="N415" s="2" t="s">
        <v>30</v>
      </c>
      <c r="O415" s="2">
        <v>3</v>
      </c>
    </row>
    <row r="416" spans="1:15" x14ac:dyDescent="0.3">
      <c r="A416" s="2" t="s">
        <v>473</v>
      </c>
      <c r="B416" s="1">
        <v>46152</v>
      </c>
      <c r="C416" s="2" t="s">
        <v>41</v>
      </c>
      <c r="D416" s="2" t="s">
        <v>44</v>
      </c>
      <c r="E416" s="2" t="s">
        <v>45</v>
      </c>
      <c r="F416" s="2" t="s">
        <v>68</v>
      </c>
      <c r="G416" s="2" t="s">
        <v>55</v>
      </c>
      <c r="H416" s="2" t="s">
        <v>29</v>
      </c>
      <c r="I416" s="2">
        <v>56</v>
      </c>
      <c r="J416" s="2">
        <v>105</v>
      </c>
      <c r="K416" s="2">
        <v>8451.36</v>
      </c>
      <c r="L416" s="2">
        <v>184.66</v>
      </c>
      <c r="M416" s="2">
        <v>21.36</v>
      </c>
      <c r="N416" s="2" t="s">
        <v>30</v>
      </c>
      <c r="O416" s="2">
        <v>5</v>
      </c>
    </row>
    <row r="417" spans="1:15" x14ac:dyDescent="0.3">
      <c r="A417" s="2" t="s">
        <v>474</v>
      </c>
      <c r="B417" s="1">
        <v>45905</v>
      </c>
      <c r="C417" s="2" t="s">
        <v>90</v>
      </c>
      <c r="D417" s="2" t="s">
        <v>60</v>
      </c>
      <c r="E417" s="2" t="s">
        <v>45</v>
      </c>
      <c r="F417" s="2" t="s">
        <v>34</v>
      </c>
      <c r="G417" s="2" t="s">
        <v>55</v>
      </c>
      <c r="H417" s="2" t="s">
        <v>52</v>
      </c>
      <c r="I417" s="2">
        <v>45</v>
      </c>
      <c r="J417" s="2">
        <v>98</v>
      </c>
      <c r="K417" s="2">
        <v>9064.68</v>
      </c>
      <c r="L417" s="2">
        <v>386.65</v>
      </c>
      <c r="M417" s="2">
        <v>17.899999999999999</v>
      </c>
      <c r="N417" s="2" t="s">
        <v>30</v>
      </c>
      <c r="O417" s="2">
        <v>1</v>
      </c>
    </row>
    <row r="418" spans="1:15" x14ac:dyDescent="0.3">
      <c r="A418" s="2" t="s">
        <v>475</v>
      </c>
      <c r="B418" s="1">
        <v>45907</v>
      </c>
      <c r="C418" s="2" t="s">
        <v>32</v>
      </c>
      <c r="D418" s="2" t="s">
        <v>51</v>
      </c>
      <c r="E418" s="2" t="s">
        <v>45</v>
      </c>
      <c r="F418" s="2" t="s">
        <v>27</v>
      </c>
      <c r="G418" s="2" t="s">
        <v>55</v>
      </c>
      <c r="H418" s="2" t="s">
        <v>21</v>
      </c>
      <c r="I418" s="2">
        <v>52</v>
      </c>
      <c r="J418" s="2">
        <v>88</v>
      </c>
      <c r="K418" s="2">
        <v>13705.22</v>
      </c>
      <c r="L418" s="2">
        <v>143.72</v>
      </c>
      <c r="M418" s="2">
        <v>86.76</v>
      </c>
      <c r="N418" s="2" t="s">
        <v>30</v>
      </c>
      <c r="O418" s="2">
        <v>5</v>
      </c>
    </row>
    <row r="419" spans="1:15" x14ac:dyDescent="0.3">
      <c r="A419" s="2" t="s">
        <v>476</v>
      </c>
      <c r="B419" s="1">
        <v>45958</v>
      </c>
      <c r="C419" s="2" t="s">
        <v>54</v>
      </c>
      <c r="D419" s="2" t="s">
        <v>51</v>
      </c>
      <c r="E419" s="2" t="s">
        <v>26</v>
      </c>
      <c r="F419" s="2" t="s">
        <v>39</v>
      </c>
      <c r="G419" s="2" t="s">
        <v>64</v>
      </c>
      <c r="H419" s="2" t="s">
        <v>29</v>
      </c>
      <c r="I419" s="2">
        <v>53</v>
      </c>
      <c r="J419" s="2">
        <v>104</v>
      </c>
      <c r="K419" s="2">
        <v>6416.78</v>
      </c>
      <c r="L419" s="2">
        <v>142.35</v>
      </c>
      <c r="M419" s="2">
        <v>106.74</v>
      </c>
      <c r="N419" s="2" t="s">
        <v>22</v>
      </c>
      <c r="O419" s="2">
        <v>5</v>
      </c>
    </row>
    <row r="420" spans="1:15" x14ac:dyDescent="0.3">
      <c r="A420" s="2" t="s">
        <v>477</v>
      </c>
      <c r="B420" s="1">
        <v>45894</v>
      </c>
      <c r="C420" s="2" t="s">
        <v>43</v>
      </c>
      <c r="D420" s="2" t="s">
        <v>67</v>
      </c>
      <c r="E420" s="2" t="s">
        <v>58</v>
      </c>
      <c r="F420" s="2" t="s">
        <v>34</v>
      </c>
      <c r="G420" s="2" t="s">
        <v>55</v>
      </c>
      <c r="H420" s="2" t="s">
        <v>56</v>
      </c>
      <c r="I420" s="2">
        <v>65</v>
      </c>
      <c r="J420" s="2">
        <v>96</v>
      </c>
      <c r="K420" s="2">
        <v>11900.8</v>
      </c>
      <c r="L420" s="2">
        <v>135.28</v>
      </c>
      <c r="M420" s="2">
        <v>103.23</v>
      </c>
      <c r="N420" s="2" t="s">
        <v>22</v>
      </c>
      <c r="O420" s="2">
        <v>5</v>
      </c>
    </row>
    <row r="421" spans="1:15" x14ac:dyDescent="0.3">
      <c r="A421" s="2" t="s">
        <v>478</v>
      </c>
      <c r="B421" s="1">
        <v>45957</v>
      </c>
      <c r="C421" s="2" t="s">
        <v>74</v>
      </c>
      <c r="D421" s="2" t="s">
        <v>60</v>
      </c>
      <c r="E421" s="2" t="s">
        <v>18</v>
      </c>
      <c r="F421" s="2" t="s">
        <v>34</v>
      </c>
      <c r="G421" s="2" t="s">
        <v>20</v>
      </c>
      <c r="H421" s="2" t="s">
        <v>29</v>
      </c>
      <c r="I421" s="2">
        <v>56</v>
      </c>
      <c r="J421" s="2">
        <v>61</v>
      </c>
      <c r="K421" s="2">
        <v>5767.38</v>
      </c>
      <c r="L421" s="2">
        <v>106.53</v>
      </c>
      <c r="M421" s="2">
        <v>91.46</v>
      </c>
      <c r="N421" s="2" t="s">
        <v>22</v>
      </c>
      <c r="O421" s="2">
        <v>4</v>
      </c>
    </row>
    <row r="422" spans="1:15" x14ac:dyDescent="0.3">
      <c r="A422" s="2" t="s">
        <v>479</v>
      </c>
      <c r="B422" s="1">
        <v>45999</v>
      </c>
      <c r="C422" s="2" t="s">
        <v>54</v>
      </c>
      <c r="D422" s="2" t="s">
        <v>44</v>
      </c>
      <c r="E422" s="2" t="s">
        <v>58</v>
      </c>
      <c r="F422" s="2" t="s">
        <v>68</v>
      </c>
      <c r="G422" s="2" t="s">
        <v>35</v>
      </c>
      <c r="H422" s="2" t="s">
        <v>21</v>
      </c>
      <c r="I422" s="2">
        <v>40</v>
      </c>
      <c r="J422" s="2">
        <v>32</v>
      </c>
      <c r="K422" s="2">
        <v>41176.74</v>
      </c>
      <c r="L422" s="2">
        <v>189.95</v>
      </c>
      <c r="M422" s="2">
        <v>137.58000000000001</v>
      </c>
      <c r="N422" s="2" t="s">
        <v>22</v>
      </c>
      <c r="O422" s="2">
        <v>5</v>
      </c>
    </row>
    <row r="423" spans="1:15" x14ac:dyDescent="0.3">
      <c r="A423" s="2" t="s">
        <v>480</v>
      </c>
      <c r="B423" s="1">
        <v>45955</v>
      </c>
      <c r="C423" s="2" t="s">
        <v>54</v>
      </c>
      <c r="D423" s="2" t="s">
        <v>78</v>
      </c>
      <c r="E423" s="2" t="s">
        <v>45</v>
      </c>
      <c r="F423" s="2" t="s">
        <v>39</v>
      </c>
      <c r="G423" s="2" t="s">
        <v>35</v>
      </c>
      <c r="H423" s="2" t="s">
        <v>21</v>
      </c>
      <c r="I423" s="2">
        <v>38</v>
      </c>
      <c r="J423" s="2">
        <v>94</v>
      </c>
      <c r="K423" s="2">
        <v>7378.97</v>
      </c>
      <c r="L423" s="2">
        <v>448.66</v>
      </c>
      <c r="M423" s="2">
        <v>172.79</v>
      </c>
      <c r="N423" s="2" t="s">
        <v>22</v>
      </c>
      <c r="O423" s="2">
        <v>2</v>
      </c>
    </row>
    <row r="424" spans="1:15" x14ac:dyDescent="0.3">
      <c r="A424" s="2" t="s">
        <v>481</v>
      </c>
      <c r="B424" s="1">
        <v>46218</v>
      </c>
      <c r="C424" s="2" t="s">
        <v>74</v>
      </c>
      <c r="D424" s="2" t="s">
        <v>82</v>
      </c>
      <c r="E424" s="2" t="s">
        <v>26</v>
      </c>
      <c r="F424" s="2" t="s">
        <v>27</v>
      </c>
      <c r="G424" s="2" t="s">
        <v>28</v>
      </c>
      <c r="H424" s="2" t="s">
        <v>21</v>
      </c>
      <c r="I424" s="2">
        <v>58</v>
      </c>
      <c r="J424" s="2">
        <v>116</v>
      </c>
      <c r="K424" s="2">
        <v>37491.230000000003</v>
      </c>
      <c r="L424" s="2">
        <v>398.72</v>
      </c>
      <c r="M424" s="2">
        <v>59.77</v>
      </c>
      <c r="N424" s="2" t="s">
        <v>30</v>
      </c>
      <c r="O424" s="2">
        <v>3</v>
      </c>
    </row>
    <row r="425" spans="1:15" x14ac:dyDescent="0.3">
      <c r="A425" s="2" t="s">
        <v>482</v>
      </c>
      <c r="B425" s="1">
        <v>46065</v>
      </c>
      <c r="C425" s="2" t="s">
        <v>41</v>
      </c>
      <c r="D425" s="2" t="s">
        <v>37</v>
      </c>
      <c r="E425" s="2" t="s">
        <v>38</v>
      </c>
      <c r="F425" s="2" t="s">
        <v>34</v>
      </c>
      <c r="G425" s="2" t="s">
        <v>28</v>
      </c>
      <c r="H425" s="2" t="s">
        <v>21</v>
      </c>
      <c r="I425" s="2">
        <v>23</v>
      </c>
      <c r="J425" s="2">
        <v>113</v>
      </c>
      <c r="K425" s="2">
        <v>2871.74</v>
      </c>
      <c r="L425" s="2">
        <v>380.86</v>
      </c>
      <c r="M425" s="2">
        <v>38.6</v>
      </c>
      <c r="N425" s="2" t="s">
        <v>30</v>
      </c>
      <c r="O425" s="2">
        <v>4</v>
      </c>
    </row>
    <row r="426" spans="1:15" x14ac:dyDescent="0.3">
      <c r="A426" s="2" t="s">
        <v>483</v>
      </c>
      <c r="B426" s="1">
        <v>45988</v>
      </c>
      <c r="C426" s="2" t="s">
        <v>43</v>
      </c>
      <c r="D426" s="2" t="s">
        <v>67</v>
      </c>
      <c r="E426" s="2" t="s">
        <v>26</v>
      </c>
      <c r="F426" s="2" t="s">
        <v>34</v>
      </c>
      <c r="G426" s="2" t="s">
        <v>35</v>
      </c>
      <c r="H426" s="2" t="s">
        <v>21</v>
      </c>
      <c r="I426" s="2">
        <v>43</v>
      </c>
      <c r="J426" s="2">
        <v>13</v>
      </c>
      <c r="K426" s="2">
        <v>47451.76</v>
      </c>
      <c r="L426" s="2">
        <v>408.8</v>
      </c>
      <c r="M426" s="2">
        <v>23.24</v>
      </c>
      <c r="N426" s="2" t="s">
        <v>22</v>
      </c>
      <c r="O426" s="2">
        <v>5</v>
      </c>
    </row>
    <row r="427" spans="1:15" x14ac:dyDescent="0.3">
      <c r="A427" s="2" t="s">
        <v>484</v>
      </c>
      <c r="B427" s="1">
        <v>45876</v>
      </c>
      <c r="C427" s="2" t="s">
        <v>32</v>
      </c>
      <c r="D427" s="2" t="s">
        <v>51</v>
      </c>
      <c r="E427" s="2" t="s">
        <v>45</v>
      </c>
      <c r="F427" s="2" t="s">
        <v>68</v>
      </c>
      <c r="G427" s="2" t="s">
        <v>20</v>
      </c>
      <c r="H427" s="2" t="s">
        <v>56</v>
      </c>
      <c r="I427" s="2">
        <v>52</v>
      </c>
      <c r="J427" s="2">
        <v>1</v>
      </c>
      <c r="K427" s="2">
        <v>35702.42</v>
      </c>
      <c r="L427" s="2">
        <v>171.24</v>
      </c>
      <c r="M427" s="2">
        <v>123.25</v>
      </c>
      <c r="N427" s="2" t="s">
        <v>30</v>
      </c>
      <c r="O427" s="2">
        <v>3</v>
      </c>
    </row>
    <row r="428" spans="1:15" x14ac:dyDescent="0.3">
      <c r="A428" s="2" t="s">
        <v>485</v>
      </c>
      <c r="B428" s="1">
        <v>46151</v>
      </c>
      <c r="C428" s="2" t="s">
        <v>90</v>
      </c>
      <c r="D428" s="2" t="s">
        <v>62</v>
      </c>
      <c r="E428" s="2" t="s">
        <v>26</v>
      </c>
      <c r="F428" s="2" t="s">
        <v>19</v>
      </c>
      <c r="G428" s="2" t="s">
        <v>64</v>
      </c>
      <c r="H428" s="2" t="s">
        <v>52</v>
      </c>
      <c r="I428" s="2">
        <v>65</v>
      </c>
      <c r="J428" s="2">
        <v>34</v>
      </c>
      <c r="K428" s="2">
        <v>836.43</v>
      </c>
      <c r="L428" s="2">
        <v>449.35</v>
      </c>
      <c r="M428" s="2">
        <v>88.77</v>
      </c>
      <c r="N428" s="2" t="s">
        <v>30</v>
      </c>
      <c r="O428" s="2">
        <v>1</v>
      </c>
    </row>
    <row r="429" spans="1:15" x14ac:dyDescent="0.3">
      <c r="A429" s="2" t="s">
        <v>486</v>
      </c>
      <c r="B429" s="1">
        <v>46133</v>
      </c>
      <c r="C429" s="2" t="s">
        <v>24</v>
      </c>
      <c r="D429" s="2" t="s">
        <v>62</v>
      </c>
      <c r="E429" s="2" t="s">
        <v>26</v>
      </c>
      <c r="F429" s="2" t="s">
        <v>27</v>
      </c>
      <c r="G429" s="2" t="s">
        <v>64</v>
      </c>
      <c r="H429" s="2" t="s">
        <v>21</v>
      </c>
      <c r="I429" s="2">
        <v>36</v>
      </c>
      <c r="J429" s="2">
        <v>62</v>
      </c>
      <c r="K429" s="2">
        <v>38310.9</v>
      </c>
      <c r="L429" s="2">
        <v>111.79</v>
      </c>
      <c r="M429" s="2">
        <v>37.6</v>
      </c>
      <c r="N429" s="2" t="s">
        <v>30</v>
      </c>
      <c r="O429" s="2">
        <v>1</v>
      </c>
    </row>
    <row r="430" spans="1:15" x14ac:dyDescent="0.3">
      <c r="A430" s="2" t="s">
        <v>487</v>
      </c>
      <c r="B430" s="1">
        <v>46056</v>
      </c>
      <c r="C430" s="2" t="s">
        <v>90</v>
      </c>
      <c r="D430" s="2" t="s">
        <v>33</v>
      </c>
      <c r="E430" s="2" t="s">
        <v>45</v>
      </c>
      <c r="F430" s="2" t="s">
        <v>39</v>
      </c>
      <c r="G430" s="2" t="s">
        <v>20</v>
      </c>
      <c r="H430" s="2" t="s">
        <v>21</v>
      </c>
      <c r="I430" s="2">
        <v>25</v>
      </c>
      <c r="J430" s="2">
        <v>79</v>
      </c>
      <c r="K430" s="2">
        <v>25947.06</v>
      </c>
      <c r="L430" s="2">
        <v>201.36</v>
      </c>
      <c r="M430" s="2">
        <v>130.63</v>
      </c>
      <c r="N430" s="2" t="s">
        <v>22</v>
      </c>
      <c r="O430" s="2">
        <v>3</v>
      </c>
    </row>
    <row r="431" spans="1:15" x14ac:dyDescent="0.3">
      <c r="A431" s="2" t="s">
        <v>488</v>
      </c>
      <c r="B431" s="1">
        <v>46081</v>
      </c>
      <c r="C431" s="2" t="s">
        <v>24</v>
      </c>
      <c r="D431" s="2" t="s">
        <v>78</v>
      </c>
      <c r="E431" s="2" t="s">
        <v>26</v>
      </c>
      <c r="F431" s="2" t="s">
        <v>34</v>
      </c>
      <c r="G431" s="2" t="s">
        <v>64</v>
      </c>
      <c r="H431" s="2" t="s">
        <v>29</v>
      </c>
      <c r="I431" s="2">
        <v>24</v>
      </c>
      <c r="J431" s="2">
        <v>108</v>
      </c>
      <c r="K431" s="2">
        <v>39078.58</v>
      </c>
      <c r="L431" s="2">
        <v>314.04000000000002</v>
      </c>
      <c r="M431" s="2">
        <v>44.55</v>
      </c>
      <c r="N431" s="2" t="s">
        <v>30</v>
      </c>
      <c r="O431" s="2">
        <v>2</v>
      </c>
    </row>
    <row r="432" spans="1:15" x14ac:dyDescent="0.3">
      <c r="A432" s="2" t="s">
        <v>489</v>
      </c>
      <c r="B432" s="1">
        <v>46116</v>
      </c>
      <c r="C432" s="2" t="s">
        <v>90</v>
      </c>
      <c r="D432" s="2" t="s">
        <v>17</v>
      </c>
      <c r="E432" s="2" t="s">
        <v>18</v>
      </c>
      <c r="F432" s="2" t="s">
        <v>34</v>
      </c>
      <c r="G432" s="2" t="s">
        <v>55</v>
      </c>
      <c r="H432" s="2" t="s">
        <v>56</v>
      </c>
      <c r="I432" s="2">
        <v>41</v>
      </c>
      <c r="J432" s="2">
        <v>78</v>
      </c>
      <c r="K432" s="2">
        <v>26363.59</v>
      </c>
      <c r="L432" s="2">
        <v>96.31</v>
      </c>
      <c r="M432" s="2">
        <v>110.86</v>
      </c>
      <c r="N432" s="2" t="s">
        <v>22</v>
      </c>
      <c r="O432" s="2">
        <v>3</v>
      </c>
    </row>
    <row r="433" spans="1:15" x14ac:dyDescent="0.3">
      <c r="A433" s="2" t="s">
        <v>490</v>
      </c>
      <c r="B433" s="1">
        <v>45884</v>
      </c>
      <c r="C433" s="2" t="s">
        <v>74</v>
      </c>
      <c r="D433" s="2" t="s">
        <v>51</v>
      </c>
      <c r="E433" s="2" t="s">
        <v>18</v>
      </c>
      <c r="F433" s="2" t="s">
        <v>27</v>
      </c>
      <c r="G433" s="2" t="s">
        <v>35</v>
      </c>
      <c r="H433" s="2" t="s">
        <v>56</v>
      </c>
      <c r="I433" s="2">
        <v>60</v>
      </c>
      <c r="J433" s="2">
        <v>93</v>
      </c>
      <c r="K433" s="2">
        <v>32230.73</v>
      </c>
      <c r="L433" s="2">
        <v>378.56</v>
      </c>
      <c r="M433" s="2">
        <v>105.43</v>
      </c>
      <c r="N433" s="2" t="s">
        <v>30</v>
      </c>
      <c r="O433" s="2">
        <v>3</v>
      </c>
    </row>
    <row r="434" spans="1:15" x14ac:dyDescent="0.3">
      <c r="A434" s="2" t="s">
        <v>491</v>
      </c>
      <c r="B434" s="1">
        <v>46109</v>
      </c>
      <c r="C434" s="2" t="s">
        <v>32</v>
      </c>
      <c r="D434" s="2" t="s">
        <v>49</v>
      </c>
      <c r="E434" s="2" t="s">
        <v>26</v>
      </c>
      <c r="F434" s="2" t="s">
        <v>19</v>
      </c>
      <c r="G434" s="2" t="s">
        <v>35</v>
      </c>
      <c r="H434" s="2" t="s">
        <v>52</v>
      </c>
      <c r="I434" s="2">
        <v>71</v>
      </c>
      <c r="J434" s="2">
        <v>98</v>
      </c>
      <c r="K434" s="2">
        <v>39423.42</v>
      </c>
      <c r="L434" s="2">
        <v>224.26</v>
      </c>
      <c r="M434" s="2">
        <v>146.85</v>
      </c>
      <c r="N434" s="2" t="s">
        <v>22</v>
      </c>
      <c r="O434" s="2">
        <v>4</v>
      </c>
    </row>
    <row r="435" spans="1:15" x14ac:dyDescent="0.3">
      <c r="A435" s="2" t="s">
        <v>492</v>
      </c>
      <c r="B435" s="1">
        <v>46128</v>
      </c>
      <c r="C435" s="2" t="s">
        <v>43</v>
      </c>
      <c r="D435" s="2" t="s">
        <v>78</v>
      </c>
      <c r="E435" s="2" t="s">
        <v>38</v>
      </c>
      <c r="F435" s="2" t="s">
        <v>34</v>
      </c>
      <c r="G435" s="2" t="s">
        <v>20</v>
      </c>
      <c r="H435" s="2" t="s">
        <v>56</v>
      </c>
      <c r="I435" s="2">
        <v>34</v>
      </c>
      <c r="J435" s="2">
        <v>82</v>
      </c>
      <c r="K435" s="2">
        <v>20552.849999999999</v>
      </c>
      <c r="L435" s="2">
        <v>402.98</v>
      </c>
      <c r="M435" s="2">
        <v>11.02</v>
      </c>
      <c r="N435" s="2" t="s">
        <v>30</v>
      </c>
      <c r="O435" s="2">
        <v>1</v>
      </c>
    </row>
    <row r="436" spans="1:15" x14ac:dyDescent="0.3">
      <c r="A436" s="2" t="s">
        <v>493</v>
      </c>
      <c r="B436" s="1">
        <v>46052</v>
      </c>
      <c r="C436" s="2" t="s">
        <v>24</v>
      </c>
      <c r="D436" s="2" t="s">
        <v>82</v>
      </c>
      <c r="E436" s="2" t="s">
        <v>45</v>
      </c>
      <c r="F436" s="2" t="s">
        <v>27</v>
      </c>
      <c r="G436" s="2" t="s">
        <v>64</v>
      </c>
      <c r="H436" s="2" t="s">
        <v>29</v>
      </c>
      <c r="I436" s="2">
        <v>59</v>
      </c>
      <c r="J436" s="2">
        <v>118</v>
      </c>
      <c r="K436" s="2">
        <v>634.04999999999995</v>
      </c>
      <c r="L436" s="2">
        <v>271.8</v>
      </c>
      <c r="M436" s="2">
        <v>266.36</v>
      </c>
      <c r="N436" s="2" t="s">
        <v>22</v>
      </c>
      <c r="O436" s="2">
        <v>1</v>
      </c>
    </row>
    <row r="437" spans="1:15" x14ac:dyDescent="0.3">
      <c r="A437" s="2" t="s">
        <v>494</v>
      </c>
      <c r="B437" s="1">
        <v>46224</v>
      </c>
      <c r="C437" s="2" t="s">
        <v>43</v>
      </c>
      <c r="D437" s="2" t="s">
        <v>37</v>
      </c>
      <c r="E437" s="2" t="s">
        <v>18</v>
      </c>
      <c r="F437" s="2" t="s">
        <v>68</v>
      </c>
      <c r="G437" s="2" t="s">
        <v>28</v>
      </c>
      <c r="H437" s="2" t="s">
        <v>29</v>
      </c>
      <c r="I437" s="2">
        <v>51</v>
      </c>
      <c r="J437" s="2">
        <v>71</v>
      </c>
      <c r="K437" s="2">
        <v>42572.35</v>
      </c>
      <c r="L437" s="2">
        <v>131.38999999999999</v>
      </c>
      <c r="M437" s="2">
        <v>210.9</v>
      </c>
      <c r="N437" s="2" t="s">
        <v>30</v>
      </c>
      <c r="O437" s="2">
        <v>5</v>
      </c>
    </row>
    <row r="438" spans="1:15" x14ac:dyDescent="0.3">
      <c r="A438" s="2" t="s">
        <v>495</v>
      </c>
      <c r="B438" s="1">
        <v>46008</v>
      </c>
      <c r="C438" s="2" t="s">
        <v>43</v>
      </c>
      <c r="D438" s="2" t="s">
        <v>44</v>
      </c>
      <c r="E438" s="2" t="s">
        <v>38</v>
      </c>
      <c r="F438" s="2" t="s">
        <v>19</v>
      </c>
      <c r="G438" s="2" t="s">
        <v>28</v>
      </c>
      <c r="H438" s="2" t="s">
        <v>52</v>
      </c>
      <c r="I438" s="2">
        <v>34</v>
      </c>
      <c r="J438" s="2">
        <v>93</v>
      </c>
      <c r="K438" s="2">
        <v>19354.07</v>
      </c>
      <c r="L438" s="2">
        <v>380.64</v>
      </c>
      <c r="M438" s="2">
        <v>43.23</v>
      </c>
      <c r="N438" s="2" t="s">
        <v>22</v>
      </c>
      <c r="O438" s="2">
        <v>3</v>
      </c>
    </row>
    <row r="439" spans="1:15" x14ac:dyDescent="0.3">
      <c r="A439" s="2" t="s">
        <v>496</v>
      </c>
      <c r="B439" s="1">
        <v>46091</v>
      </c>
      <c r="C439" s="2" t="s">
        <v>43</v>
      </c>
      <c r="D439" s="2" t="s">
        <v>60</v>
      </c>
      <c r="E439" s="2" t="s">
        <v>26</v>
      </c>
      <c r="F439" s="2" t="s">
        <v>39</v>
      </c>
      <c r="G439" s="2" t="s">
        <v>64</v>
      </c>
      <c r="H439" s="2" t="s">
        <v>29</v>
      </c>
      <c r="I439" s="2">
        <v>26</v>
      </c>
      <c r="J439" s="2">
        <v>119</v>
      </c>
      <c r="K439" s="2">
        <v>25054.11</v>
      </c>
      <c r="L439" s="2">
        <v>163.46</v>
      </c>
      <c r="M439" s="2">
        <v>55.02</v>
      </c>
      <c r="N439" s="2" t="s">
        <v>30</v>
      </c>
      <c r="O439" s="2">
        <v>3</v>
      </c>
    </row>
    <row r="440" spans="1:15" x14ac:dyDescent="0.3">
      <c r="A440" s="2" t="s">
        <v>497</v>
      </c>
      <c r="B440" s="1">
        <v>46144</v>
      </c>
      <c r="C440" s="2" t="s">
        <v>16</v>
      </c>
      <c r="D440" s="2" t="s">
        <v>51</v>
      </c>
      <c r="E440" s="2" t="s">
        <v>38</v>
      </c>
      <c r="F440" s="2" t="s">
        <v>34</v>
      </c>
      <c r="G440" s="2" t="s">
        <v>28</v>
      </c>
      <c r="H440" s="2" t="s">
        <v>21</v>
      </c>
      <c r="I440" s="2">
        <v>32</v>
      </c>
      <c r="J440" s="2">
        <v>31</v>
      </c>
      <c r="K440" s="2">
        <v>884.45</v>
      </c>
      <c r="L440" s="2">
        <v>270.86</v>
      </c>
      <c r="M440" s="2">
        <v>86.33</v>
      </c>
      <c r="N440" s="2" t="s">
        <v>30</v>
      </c>
      <c r="O440" s="2">
        <v>2</v>
      </c>
    </row>
    <row r="441" spans="1:15" x14ac:dyDescent="0.3">
      <c r="A441" s="2" t="s">
        <v>498</v>
      </c>
      <c r="B441" s="1">
        <v>46056</v>
      </c>
      <c r="C441" s="2" t="s">
        <v>41</v>
      </c>
      <c r="D441" s="2" t="s">
        <v>60</v>
      </c>
      <c r="E441" s="2" t="s">
        <v>58</v>
      </c>
      <c r="F441" s="2" t="s">
        <v>27</v>
      </c>
      <c r="G441" s="2" t="s">
        <v>20</v>
      </c>
      <c r="H441" s="2" t="s">
        <v>21</v>
      </c>
      <c r="I441" s="2">
        <v>36</v>
      </c>
      <c r="J441" s="2">
        <v>64</v>
      </c>
      <c r="K441" s="2">
        <v>24858.55</v>
      </c>
      <c r="L441" s="2">
        <v>83.99</v>
      </c>
      <c r="M441" s="2">
        <v>163.51</v>
      </c>
      <c r="N441" s="2" t="s">
        <v>30</v>
      </c>
      <c r="O441" s="2">
        <v>1</v>
      </c>
    </row>
    <row r="442" spans="1:15" x14ac:dyDescent="0.3">
      <c r="A442" s="2" t="s">
        <v>499</v>
      </c>
      <c r="B442" s="1">
        <v>45944</v>
      </c>
      <c r="C442" s="2" t="s">
        <v>90</v>
      </c>
      <c r="D442" s="2" t="s">
        <v>62</v>
      </c>
      <c r="E442" s="2" t="s">
        <v>18</v>
      </c>
      <c r="F442" s="2" t="s">
        <v>68</v>
      </c>
      <c r="G442" s="2" t="s">
        <v>20</v>
      </c>
      <c r="H442" s="2" t="s">
        <v>29</v>
      </c>
      <c r="I442" s="2">
        <v>37</v>
      </c>
      <c r="J442" s="2">
        <v>25</v>
      </c>
      <c r="K442" s="2">
        <v>49331.13</v>
      </c>
      <c r="L442" s="2">
        <v>328.04</v>
      </c>
      <c r="M442" s="2">
        <v>252.88</v>
      </c>
      <c r="N442" s="2" t="s">
        <v>30</v>
      </c>
      <c r="O442" s="2">
        <v>2</v>
      </c>
    </row>
    <row r="443" spans="1:15" x14ac:dyDescent="0.3">
      <c r="A443" s="2" t="s">
        <v>500</v>
      </c>
      <c r="B443" s="1">
        <v>46231</v>
      </c>
      <c r="C443" s="2" t="s">
        <v>43</v>
      </c>
      <c r="D443" s="2" t="s">
        <v>44</v>
      </c>
      <c r="E443" s="2" t="s">
        <v>26</v>
      </c>
      <c r="F443" s="2" t="s">
        <v>39</v>
      </c>
      <c r="G443" s="2" t="s">
        <v>64</v>
      </c>
      <c r="H443" s="2" t="s">
        <v>52</v>
      </c>
      <c r="I443" s="2">
        <v>65</v>
      </c>
      <c r="J443" s="2">
        <v>38</v>
      </c>
      <c r="K443" s="2">
        <v>14274.25</v>
      </c>
      <c r="L443" s="2">
        <v>349.64</v>
      </c>
      <c r="M443" s="2">
        <v>104.09</v>
      </c>
      <c r="N443" s="2" t="s">
        <v>30</v>
      </c>
      <c r="O443" s="2">
        <v>4</v>
      </c>
    </row>
    <row r="444" spans="1:15" x14ac:dyDescent="0.3">
      <c r="A444" s="2" t="s">
        <v>501</v>
      </c>
      <c r="B444" s="1">
        <v>46079</v>
      </c>
      <c r="C444" s="2" t="s">
        <v>90</v>
      </c>
      <c r="D444" s="2" t="s">
        <v>44</v>
      </c>
      <c r="E444" s="2" t="s">
        <v>45</v>
      </c>
      <c r="F444" s="2" t="s">
        <v>27</v>
      </c>
      <c r="G444" s="2" t="s">
        <v>28</v>
      </c>
      <c r="H444" s="2" t="s">
        <v>56</v>
      </c>
      <c r="I444" s="2">
        <v>43</v>
      </c>
      <c r="J444" s="2">
        <v>14</v>
      </c>
      <c r="K444" s="2">
        <v>20073.2</v>
      </c>
      <c r="L444" s="2">
        <v>220.4</v>
      </c>
      <c r="M444" s="2">
        <v>172.16</v>
      </c>
      <c r="N444" s="2" t="s">
        <v>30</v>
      </c>
      <c r="O444" s="2">
        <v>5</v>
      </c>
    </row>
    <row r="445" spans="1:15" x14ac:dyDescent="0.3">
      <c r="A445" s="2" t="s">
        <v>502</v>
      </c>
      <c r="B445" s="1">
        <v>45944</v>
      </c>
      <c r="C445" s="2" t="s">
        <v>43</v>
      </c>
      <c r="D445" s="2" t="s">
        <v>44</v>
      </c>
      <c r="E445" s="2" t="s">
        <v>26</v>
      </c>
      <c r="F445" s="2" t="s">
        <v>27</v>
      </c>
      <c r="G445" s="2" t="s">
        <v>20</v>
      </c>
      <c r="H445" s="2" t="s">
        <v>52</v>
      </c>
      <c r="I445" s="2">
        <v>34</v>
      </c>
      <c r="J445" s="2">
        <v>8</v>
      </c>
      <c r="K445" s="2">
        <v>34515.9</v>
      </c>
      <c r="L445" s="2">
        <v>479.49</v>
      </c>
      <c r="M445" s="2">
        <v>1.0900000000000001</v>
      </c>
      <c r="N445" s="2" t="s">
        <v>22</v>
      </c>
      <c r="O445" s="2">
        <v>2</v>
      </c>
    </row>
    <row r="446" spans="1:15" x14ac:dyDescent="0.3">
      <c r="A446" s="2" t="s">
        <v>503</v>
      </c>
      <c r="B446" s="1">
        <v>46016</v>
      </c>
      <c r="C446" s="2" t="s">
        <v>24</v>
      </c>
      <c r="D446" s="2" t="s">
        <v>62</v>
      </c>
      <c r="E446" s="2" t="s">
        <v>45</v>
      </c>
      <c r="F446" s="2" t="s">
        <v>39</v>
      </c>
      <c r="G446" s="2" t="s">
        <v>20</v>
      </c>
      <c r="H446" s="2" t="s">
        <v>56</v>
      </c>
      <c r="I446" s="2">
        <v>27</v>
      </c>
      <c r="J446" s="2">
        <v>91</v>
      </c>
      <c r="K446" s="2">
        <v>40832.29</v>
      </c>
      <c r="L446" s="2">
        <v>443.38</v>
      </c>
      <c r="M446" s="2">
        <v>7.03</v>
      </c>
      <c r="N446" s="2" t="s">
        <v>22</v>
      </c>
      <c r="O446" s="2">
        <v>1</v>
      </c>
    </row>
    <row r="447" spans="1:15" x14ac:dyDescent="0.3">
      <c r="A447" s="2" t="s">
        <v>504</v>
      </c>
      <c r="B447" s="1">
        <v>46126</v>
      </c>
      <c r="C447" s="2" t="s">
        <v>41</v>
      </c>
      <c r="D447" s="2" t="s">
        <v>82</v>
      </c>
      <c r="E447" s="2" t="s">
        <v>26</v>
      </c>
      <c r="F447" s="2" t="s">
        <v>68</v>
      </c>
      <c r="G447" s="2" t="s">
        <v>55</v>
      </c>
      <c r="H447" s="2" t="s">
        <v>29</v>
      </c>
      <c r="I447" s="2">
        <v>66</v>
      </c>
      <c r="J447" s="2">
        <v>54</v>
      </c>
      <c r="K447" s="2">
        <v>21160.89</v>
      </c>
      <c r="L447" s="2">
        <v>368.57</v>
      </c>
      <c r="M447" s="2">
        <v>273.54000000000002</v>
      </c>
      <c r="N447" s="2" t="s">
        <v>30</v>
      </c>
      <c r="O447" s="2">
        <v>4</v>
      </c>
    </row>
    <row r="448" spans="1:15" x14ac:dyDescent="0.3">
      <c r="A448" s="2" t="s">
        <v>505</v>
      </c>
      <c r="B448" s="1">
        <v>46232</v>
      </c>
      <c r="C448" s="2" t="s">
        <v>41</v>
      </c>
      <c r="D448" s="2" t="s">
        <v>60</v>
      </c>
      <c r="E448" s="2" t="s">
        <v>38</v>
      </c>
      <c r="F448" s="2" t="s">
        <v>68</v>
      </c>
      <c r="G448" s="2" t="s">
        <v>55</v>
      </c>
      <c r="H448" s="2" t="s">
        <v>29</v>
      </c>
      <c r="I448" s="2">
        <v>52</v>
      </c>
      <c r="J448" s="2">
        <v>2</v>
      </c>
      <c r="K448" s="2">
        <v>15828.61</v>
      </c>
      <c r="L448" s="2">
        <v>371.14</v>
      </c>
      <c r="M448" s="2">
        <v>232.6</v>
      </c>
      <c r="N448" s="2" t="s">
        <v>22</v>
      </c>
      <c r="O448" s="2">
        <v>3</v>
      </c>
    </row>
    <row r="449" spans="1:15" x14ac:dyDescent="0.3">
      <c r="A449" s="2" t="s">
        <v>506</v>
      </c>
      <c r="B449" s="1">
        <v>46225</v>
      </c>
      <c r="C449" s="2" t="s">
        <v>74</v>
      </c>
      <c r="D449" s="2" t="s">
        <v>76</v>
      </c>
      <c r="E449" s="2" t="s">
        <v>38</v>
      </c>
      <c r="F449" s="2" t="s">
        <v>19</v>
      </c>
      <c r="G449" s="2" t="s">
        <v>20</v>
      </c>
      <c r="H449" s="2" t="s">
        <v>21</v>
      </c>
      <c r="I449" s="2">
        <v>35</v>
      </c>
      <c r="J449" s="2">
        <v>81</v>
      </c>
      <c r="K449" s="2">
        <v>46922.38</v>
      </c>
      <c r="L449" s="2">
        <v>163.58000000000001</v>
      </c>
      <c r="M449" s="2">
        <v>90.14</v>
      </c>
      <c r="N449" s="2" t="s">
        <v>30</v>
      </c>
      <c r="O449" s="2">
        <v>4</v>
      </c>
    </row>
    <row r="450" spans="1:15" x14ac:dyDescent="0.3">
      <c r="A450" s="2" t="s">
        <v>507</v>
      </c>
      <c r="B450" s="1">
        <v>46208</v>
      </c>
      <c r="C450" s="2" t="s">
        <v>16</v>
      </c>
      <c r="D450" s="2" t="s">
        <v>60</v>
      </c>
      <c r="E450" s="2" t="s">
        <v>38</v>
      </c>
      <c r="F450" s="2" t="s">
        <v>34</v>
      </c>
      <c r="G450" s="2" t="s">
        <v>64</v>
      </c>
      <c r="H450" s="2" t="s">
        <v>56</v>
      </c>
      <c r="I450" s="2">
        <v>64</v>
      </c>
      <c r="J450" s="2">
        <v>101</v>
      </c>
      <c r="K450" s="2">
        <v>34018.68</v>
      </c>
      <c r="L450" s="2">
        <v>345.57</v>
      </c>
      <c r="M450" s="2">
        <v>150.72</v>
      </c>
      <c r="N450" s="2" t="s">
        <v>30</v>
      </c>
      <c r="O450" s="2">
        <v>2</v>
      </c>
    </row>
    <row r="451" spans="1:15" x14ac:dyDescent="0.3">
      <c r="A451" s="2" t="s">
        <v>508</v>
      </c>
      <c r="B451" s="1">
        <v>45983</v>
      </c>
      <c r="C451" s="2" t="s">
        <v>74</v>
      </c>
      <c r="D451" s="2" t="s">
        <v>47</v>
      </c>
      <c r="E451" s="2" t="s">
        <v>58</v>
      </c>
      <c r="F451" s="2" t="s">
        <v>39</v>
      </c>
      <c r="G451" s="2" t="s">
        <v>35</v>
      </c>
      <c r="H451" s="2" t="s">
        <v>52</v>
      </c>
      <c r="I451" s="2">
        <v>37</v>
      </c>
      <c r="J451" s="2">
        <v>78</v>
      </c>
      <c r="K451" s="2">
        <v>6391.55</v>
      </c>
      <c r="L451" s="2">
        <v>139.19</v>
      </c>
      <c r="M451" s="2">
        <v>191.13</v>
      </c>
      <c r="N451" s="2" t="s">
        <v>30</v>
      </c>
      <c r="O451" s="2">
        <v>1</v>
      </c>
    </row>
    <row r="452" spans="1:15" x14ac:dyDescent="0.3">
      <c r="A452" s="2" t="s">
        <v>509</v>
      </c>
      <c r="B452" s="1">
        <v>46024</v>
      </c>
      <c r="C452" s="2" t="s">
        <v>74</v>
      </c>
      <c r="D452" s="2" t="s">
        <v>37</v>
      </c>
      <c r="E452" s="2" t="s">
        <v>45</v>
      </c>
      <c r="F452" s="2" t="s">
        <v>39</v>
      </c>
      <c r="G452" s="2" t="s">
        <v>35</v>
      </c>
      <c r="H452" s="2" t="s">
        <v>29</v>
      </c>
      <c r="I452" s="2">
        <v>61</v>
      </c>
      <c r="J452" s="2">
        <v>89</v>
      </c>
      <c r="K452" s="2">
        <v>3911.93</v>
      </c>
      <c r="L452" s="2">
        <v>114.8</v>
      </c>
      <c r="M452" s="2">
        <v>231.63</v>
      </c>
      <c r="N452" s="2" t="s">
        <v>30</v>
      </c>
      <c r="O452" s="2">
        <v>2</v>
      </c>
    </row>
    <row r="453" spans="1:15" x14ac:dyDescent="0.3">
      <c r="A453" s="2" t="s">
        <v>510</v>
      </c>
      <c r="B453" s="1">
        <v>46216</v>
      </c>
      <c r="C453" s="2" t="s">
        <v>74</v>
      </c>
      <c r="D453" s="2" t="s">
        <v>49</v>
      </c>
      <c r="E453" s="2" t="s">
        <v>38</v>
      </c>
      <c r="F453" s="2" t="s">
        <v>39</v>
      </c>
      <c r="G453" s="2" t="s">
        <v>20</v>
      </c>
      <c r="H453" s="2" t="s">
        <v>52</v>
      </c>
      <c r="I453" s="2">
        <v>74</v>
      </c>
      <c r="J453" s="2">
        <v>56</v>
      </c>
      <c r="K453" s="2">
        <v>24435.72</v>
      </c>
      <c r="L453" s="2">
        <v>499.76</v>
      </c>
      <c r="M453" s="2">
        <v>168.47</v>
      </c>
      <c r="N453" s="2" t="s">
        <v>30</v>
      </c>
      <c r="O453" s="2">
        <v>3</v>
      </c>
    </row>
    <row r="454" spans="1:15" x14ac:dyDescent="0.3">
      <c r="A454" s="2" t="s">
        <v>511</v>
      </c>
      <c r="B454" s="1">
        <v>45983</v>
      </c>
      <c r="C454" s="2" t="s">
        <v>74</v>
      </c>
      <c r="D454" s="2" t="s">
        <v>76</v>
      </c>
      <c r="E454" s="2" t="s">
        <v>58</v>
      </c>
      <c r="F454" s="2" t="s">
        <v>68</v>
      </c>
      <c r="G454" s="2" t="s">
        <v>20</v>
      </c>
      <c r="H454" s="2" t="s">
        <v>21</v>
      </c>
      <c r="I454" s="2">
        <v>67</v>
      </c>
      <c r="J454" s="2">
        <v>94</v>
      </c>
      <c r="K454" s="2">
        <v>11394.46</v>
      </c>
      <c r="L454" s="2">
        <v>330.07</v>
      </c>
      <c r="M454" s="2">
        <v>152.12</v>
      </c>
      <c r="N454" s="2" t="s">
        <v>22</v>
      </c>
      <c r="O454" s="2">
        <v>3</v>
      </c>
    </row>
    <row r="455" spans="1:15" x14ac:dyDescent="0.3">
      <c r="A455" s="2" t="s">
        <v>512</v>
      </c>
      <c r="B455" s="1">
        <v>46111</v>
      </c>
      <c r="C455" s="2" t="s">
        <v>74</v>
      </c>
      <c r="D455" s="2" t="s">
        <v>37</v>
      </c>
      <c r="E455" s="2" t="s">
        <v>45</v>
      </c>
      <c r="F455" s="2" t="s">
        <v>34</v>
      </c>
      <c r="G455" s="2" t="s">
        <v>20</v>
      </c>
      <c r="H455" s="2" t="s">
        <v>56</v>
      </c>
      <c r="I455" s="2">
        <v>64</v>
      </c>
      <c r="J455" s="2">
        <v>93</v>
      </c>
      <c r="K455" s="2">
        <v>13072.25</v>
      </c>
      <c r="L455" s="2">
        <v>243.94</v>
      </c>
      <c r="M455" s="2">
        <v>33.64</v>
      </c>
      <c r="N455" s="2" t="s">
        <v>30</v>
      </c>
      <c r="O455" s="2">
        <v>1</v>
      </c>
    </row>
    <row r="456" spans="1:15" x14ac:dyDescent="0.3">
      <c r="A456" s="2" t="s">
        <v>513</v>
      </c>
      <c r="B456" s="1">
        <v>46003</v>
      </c>
      <c r="C456" s="2" t="s">
        <v>32</v>
      </c>
      <c r="D456" s="2" t="s">
        <v>67</v>
      </c>
      <c r="E456" s="2" t="s">
        <v>26</v>
      </c>
      <c r="F456" s="2" t="s">
        <v>19</v>
      </c>
      <c r="G456" s="2" t="s">
        <v>64</v>
      </c>
      <c r="H456" s="2" t="s">
        <v>56</v>
      </c>
      <c r="I456" s="2">
        <v>54</v>
      </c>
      <c r="J456" s="2">
        <v>84</v>
      </c>
      <c r="K456" s="2">
        <v>43945.760000000002</v>
      </c>
      <c r="L456" s="2">
        <v>179.67</v>
      </c>
      <c r="M456" s="2">
        <v>166.71</v>
      </c>
      <c r="N456" s="2" t="s">
        <v>30</v>
      </c>
      <c r="O456" s="2">
        <v>5</v>
      </c>
    </row>
    <row r="457" spans="1:15" x14ac:dyDescent="0.3">
      <c r="A457" s="2" t="s">
        <v>514</v>
      </c>
      <c r="B457" s="1">
        <v>46169</v>
      </c>
      <c r="C457" s="2" t="s">
        <v>41</v>
      </c>
      <c r="D457" s="2" t="s">
        <v>78</v>
      </c>
      <c r="E457" s="2" t="s">
        <v>58</v>
      </c>
      <c r="F457" s="2" t="s">
        <v>27</v>
      </c>
      <c r="G457" s="2" t="s">
        <v>55</v>
      </c>
      <c r="H457" s="2" t="s">
        <v>29</v>
      </c>
      <c r="I457" s="2">
        <v>25</v>
      </c>
      <c r="J457" s="2">
        <v>85</v>
      </c>
      <c r="K457" s="2">
        <v>4933.5200000000004</v>
      </c>
      <c r="L457" s="2">
        <v>321.76</v>
      </c>
      <c r="M457" s="2">
        <v>58.53</v>
      </c>
      <c r="N457" s="2" t="s">
        <v>30</v>
      </c>
      <c r="O457" s="2">
        <v>4</v>
      </c>
    </row>
    <row r="458" spans="1:15" x14ac:dyDescent="0.3">
      <c r="A458" s="2" t="s">
        <v>515</v>
      </c>
      <c r="B458" s="1">
        <v>45957</v>
      </c>
      <c r="C458" s="2" t="s">
        <v>74</v>
      </c>
      <c r="D458" s="2" t="s">
        <v>78</v>
      </c>
      <c r="E458" s="2" t="s">
        <v>18</v>
      </c>
      <c r="F458" s="2" t="s">
        <v>27</v>
      </c>
      <c r="G458" s="2" t="s">
        <v>20</v>
      </c>
      <c r="H458" s="2" t="s">
        <v>56</v>
      </c>
      <c r="I458" s="2">
        <v>65</v>
      </c>
      <c r="J458" s="2">
        <v>61</v>
      </c>
      <c r="K458" s="2">
        <v>35910.519999999997</v>
      </c>
      <c r="L458" s="2">
        <v>72.319999999999993</v>
      </c>
      <c r="M458" s="2">
        <v>178.52</v>
      </c>
      <c r="N458" s="2" t="s">
        <v>22</v>
      </c>
      <c r="O458" s="2">
        <v>4</v>
      </c>
    </row>
    <row r="459" spans="1:15" x14ac:dyDescent="0.3">
      <c r="A459" s="2" t="s">
        <v>516</v>
      </c>
      <c r="B459" s="1">
        <v>45933</v>
      </c>
      <c r="C459" s="2" t="s">
        <v>43</v>
      </c>
      <c r="D459" s="2" t="s">
        <v>86</v>
      </c>
      <c r="E459" s="2" t="s">
        <v>58</v>
      </c>
      <c r="F459" s="2" t="s">
        <v>39</v>
      </c>
      <c r="G459" s="2" t="s">
        <v>20</v>
      </c>
      <c r="H459" s="2" t="s">
        <v>29</v>
      </c>
      <c r="I459" s="2">
        <v>47</v>
      </c>
      <c r="J459" s="2">
        <v>117</v>
      </c>
      <c r="K459" s="2">
        <v>13921.54</v>
      </c>
      <c r="L459" s="2">
        <v>92.61</v>
      </c>
      <c r="M459" s="2">
        <v>137.6</v>
      </c>
      <c r="N459" s="2" t="s">
        <v>30</v>
      </c>
      <c r="O459" s="2">
        <v>3</v>
      </c>
    </row>
    <row r="460" spans="1:15" x14ac:dyDescent="0.3">
      <c r="A460" s="2" t="s">
        <v>517</v>
      </c>
      <c r="B460" s="1">
        <v>46080</v>
      </c>
      <c r="C460" s="2" t="s">
        <v>41</v>
      </c>
      <c r="D460" s="2" t="s">
        <v>78</v>
      </c>
      <c r="E460" s="2" t="s">
        <v>58</v>
      </c>
      <c r="F460" s="2" t="s">
        <v>34</v>
      </c>
      <c r="G460" s="2" t="s">
        <v>28</v>
      </c>
      <c r="H460" s="2" t="s">
        <v>21</v>
      </c>
      <c r="I460" s="2">
        <v>72</v>
      </c>
      <c r="J460" s="2">
        <v>22</v>
      </c>
      <c r="K460" s="2">
        <v>38136.25</v>
      </c>
      <c r="L460" s="2">
        <v>64.790000000000006</v>
      </c>
      <c r="M460" s="2">
        <v>135.4</v>
      </c>
      <c r="N460" s="2" t="s">
        <v>22</v>
      </c>
      <c r="O460" s="2">
        <v>2</v>
      </c>
    </row>
    <row r="461" spans="1:15" x14ac:dyDescent="0.3">
      <c r="A461" s="2" t="s">
        <v>518</v>
      </c>
      <c r="B461" s="1">
        <v>46086</v>
      </c>
      <c r="C461" s="2" t="s">
        <v>41</v>
      </c>
      <c r="D461" s="2" t="s">
        <v>60</v>
      </c>
      <c r="E461" s="2" t="s">
        <v>45</v>
      </c>
      <c r="F461" s="2" t="s">
        <v>68</v>
      </c>
      <c r="G461" s="2" t="s">
        <v>64</v>
      </c>
      <c r="H461" s="2" t="s">
        <v>56</v>
      </c>
      <c r="I461" s="2">
        <v>43</v>
      </c>
      <c r="J461" s="2">
        <v>35</v>
      </c>
      <c r="K461" s="2">
        <v>36259.360000000001</v>
      </c>
      <c r="L461" s="2">
        <v>274.63</v>
      </c>
      <c r="M461" s="2">
        <v>99.45</v>
      </c>
      <c r="N461" s="2" t="s">
        <v>22</v>
      </c>
      <c r="O461" s="2">
        <v>2</v>
      </c>
    </row>
    <row r="462" spans="1:15" x14ac:dyDescent="0.3">
      <c r="A462" s="2" t="s">
        <v>519</v>
      </c>
      <c r="B462" s="1">
        <v>45918</v>
      </c>
      <c r="C462" s="2" t="s">
        <v>54</v>
      </c>
      <c r="D462" s="2" t="s">
        <v>62</v>
      </c>
      <c r="E462" s="2" t="s">
        <v>26</v>
      </c>
      <c r="F462" s="2" t="s">
        <v>34</v>
      </c>
      <c r="G462" s="2" t="s">
        <v>20</v>
      </c>
      <c r="H462" s="2" t="s">
        <v>29</v>
      </c>
      <c r="I462" s="2">
        <v>60</v>
      </c>
      <c r="J462" s="2">
        <v>101</v>
      </c>
      <c r="K462" s="2">
        <v>865.9</v>
      </c>
      <c r="L462" s="2">
        <v>320.27</v>
      </c>
      <c r="M462" s="2">
        <v>28.2</v>
      </c>
      <c r="N462" s="2" t="s">
        <v>22</v>
      </c>
      <c r="O462" s="2">
        <v>5</v>
      </c>
    </row>
    <row r="463" spans="1:15" x14ac:dyDescent="0.3">
      <c r="A463" s="2" t="s">
        <v>520</v>
      </c>
      <c r="B463" s="1">
        <v>46180</v>
      </c>
      <c r="C463" s="2" t="s">
        <v>32</v>
      </c>
      <c r="D463" s="2" t="s">
        <v>49</v>
      </c>
      <c r="E463" s="2" t="s">
        <v>18</v>
      </c>
      <c r="F463" s="2" t="s">
        <v>34</v>
      </c>
      <c r="G463" s="2" t="s">
        <v>28</v>
      </c>
      <c r="H463" s="2" t="s">
        <v>52</v>
      </c>
      <c r="I463" s="2">
        <v>34</v>
      </c>
      <c r="J463" s="2">
        <v>16</v>
      </c>
      <c r="K463" s="2">
        <v>25702.2</v>
      </c>
      <c r="L463" s="2">
        <v>78.12</v>
      </c>
      <c r="M463" s="2">
        <v>58.14</v>
      </c>
      <c r="N463" s="2" t="s">
        <v>22</v>
      </c>
      <c r="O463" s="2">
        <v>2</v>
      </c>
    </row>
    <row r="464" spans="1:15" x14ac:dyDescent="0.3">
      <c r="A464" s="2" t="s">
        <v>521</v>
      </c>
      <c r="B464" s="1">
        <v>46057</v>
      </c>
      <c r="C464" s="2" t="s">
        <v>74</v>
      </c>
      <c r="D464" s="2" t="s">
        <v>17</v>
      </c>
      <c r="E464" s="2" t="s">
        <v>38</v>
      </c>
      <c r="F464" s="2" t="s">
        <v>68</v>
      </c>
      <c r="G464" s="2" t="s">
        <v>35</v>
      </c>
      <c r="H464" s="2" t="s">
        <v>29</v>
      </c>
      <c r="I464" s="2">
        <v>35</v>
      </c>
      <c r="J464" s="2">
        <v>50</v>
      </c>
      <c r="K464" s="2">
        <v>7396.31</v>
      </c>
      <c r="L464" s="2">
        <v>374.55</v>
      </c>
      <c r="M464" s="2">
        <v>295.12</v>
      </c>
      <c r="N464" s="2" t="s">
        <v>30</v>
      </c>
      <c r="O464" s="2">
        <v>4</v>
      </c>
    </row>
    <row r="465" spans="1:15" x14ac:dyDescent="0.3">
      <c r="A465" s="2" t="s">
        <v>522</v>
      </c>
      <c r="B465" s="1">
        <v>45943</v>
      </c>
      <c r="C465" s="2" t="s">
        <v>90</v>
      </c>
      <c r="D465" s="2" t="s">
        <v>33</v>
      </c>
      <c r="E465" s="2" t="s">
        <v>38</v>
      </c>
      <c r="F465" s="2" t="s">
        <v>39</v>
      </c>
      <c r="G465" s="2" t="s">
        <v>20</v>
      </c>
      <c r="H465" s="2" t="s">
        <v>56</v>
      </c>
      <c r="I465" s="2">
        <v>63</v>
      </c>
      <c r="J465" s="2">
        <v>113</v>
      </c>
      <c r="K465" s="2">
        <v>43378.239999999998</v>
      </c>
      <c r="L465" s="2">
        <v>153.68</v>
      </c>
      <c r="M465" s="2">
        <v>192.14</v>
      </c>
      <c r="N465" s="2" t="s">
        <v>22</v>
      </c>
      <c r="O465" s="2">
        <v>2</v>
      </c>
    </row>
    <row r="466" spans="1:15" x14ac:dyDescent="0.3">
      <c r="A466" s="2" t="s">
        <v>523</v>
      </c>
      <c r="B466" s="1">
        <v>45875</v>
      </c>
      <c r="C466" s="2" t="s">
        <v>24</v>
      </c>
      <c r="D466" s="2" t="s">
        <v>86</v>
      </c>
      <c r="E466" s="2" t="s">
        <v>58</v>
      </c>
      <c r="F466" s="2" t="s">
        <v>34</v>
      </c>
      <c r="G466" s="2" t="s">
        <v>20</v>
      </c>
      <c r="H466" s="2" t="s">
        <v>21</v>
      </c>
      <c r="I466" s="2">
        <v>53</v>
      </c>
      <c r="J466" s="2">
        <v>43</v>
      </c>
      <c r="K466" s="2">
        <v>43643.5</v>
      </c>
      <c r="L466" s="2">
        <v>358.34</v>
      </c>
      <c r="M466" s="2">
        <v>64.099999999999994</v>
      </c>
      <c r="N466" s="2" t="s">
        <v>30</v>
      </c>
      <c r="O466" s="2">
        <v>5</v>
      </c>
    </row>
    <row r="467" spans="1:15" x14ac:dyDescent="0.3">
      <c r="A467" s="2" t="s">
        <v>524</v>
      </c>
      <c r="B467" s="1">
        <v>46165</v>
      </c>
      <c r="C467" s="2" t="s">
        <v>16</v>
      </c>
      <c r="D467" s="2" t="s">
        <v>25</v>
      </c>
      <c r="E467" s="2" t="s">
        <v>45</v>
      </c>
      <c r="F467" s="2" t="s">
        <v>27</v>
      </c>
      <c r="G467" s="2" t="s">
        <v>28</v>
      </c>
      <c r="H467" s="2" t="s">
        <v>56</v>
      </c>
      <c r="I467" s="2">
        <v>73</v>
      </c>
      <c r="J467" s="2">
        <v>17</v>
      </c>
      <c r="K467" s="2">
        <v>21208.12</v>
      </c>
      <c r="L467" s="2">
        <v>491.85</v>
      </c>
      <c r="M467" s="2">
        <v>199.26</v>
      </c>
      <c r="N467" s="2" t="s">
        <v>22</v>
      </c>
      <c r="O467" s="2">
        <v>4</v>
      </c>
    </row>
    <row r="468" spans="1:15" x14ac:dyDescent="0.3">
      <c r="A468" s="2" t="s">
        <v>525</v>
      </c>
      <c r="B468" s="1">
        <v>46206</v>
      </c>
      <c r="C468" s="2" t="s">
        <v>43</v>
      </c>
      <c r="D468" s="2" t="s">
        <v>25</v>
      </c>
      <c r="E468" s="2" t="s">
        <v>45</v>
      </c>
      <c r="F468" s="2" t="s">
        <v>68</v>
      </c>
      <c r="G468" s="2" t="s">
        <v>64</v>
      </c>
      <c r="H468" s="2" t="s">
        <v>56</v>
      </c>
      <c r="I468" s="2">
        <v>51</v>
      </c>
      <c r="J468" s="2">
        <v>80</v>
      </c>
      <c r="K468" s="2">
        <v>22497.58</v>
      </c>
      <c r="L468" s="2">
        <v>361</v>
      </c>
      <c r="M468" s="2">
        <v>169.11</v>
      </c>
      <c r="N468" s="2" t="s">
        <v>22</v>
      </c>
      <c r="O468" s="2">
        <v>2</v>
      </c>
    </row>
    <row r="469" spans="1:15" x14ac:dyDescent="0.3">
      <c r="A469" s="2" t="s">
        <v>526</v>
      </c>
      <c r="B469" s="1">
        <v>46225</v>
      </c>
      <c r="C469" s="2" t="s">
        <v>90</v>
      </c>
      <c r="D469" s="2" t="s">
        <v>33</v>
      </c>
      <c r="E469" s="2" t="s">
        <v>38</v>
      </c>
      <c r="F469" s="2" t="s">
        <v>19</v>
      </c>
      <c r="G469" s="2" t="s">
        <v>20</v>
      </c>
      <c r="H469" s="2" t="s">
        <v>29</v>
      </c>
      <c r="I469" s="2">
        <v>55</v>
      </c>
      <c r="J469" s="2">
        <v>58</v>
      </c>
      <c r="K469" s="2">
        <v>15512.51</v>
      </c>
      <c r="L469" s="2">
        <v>447.44</v>
      </c>
      <c r="M469" s="2">
        <v>183.28</v>
      </c>
      <c r="N469" s="2" t="s">
        <v>22</v>
      </c>
      <c r="O469" s="2">
        <v>4</v>
      </c>
    </row>
    <row r="470" spans="1:15" x14ac:dyDescent="0.3">
      <c r="A470" s="2" t="s">
        <v>527</v>
      </c>
      <c r="B470" s="1">
        <v>45896</v>
      </c>
      <c r="C470" s="2" t="s">
        <v>32</v>
      </c>
      <c r="D470" s="2" t="s">
        <v>37</v>
      </c>
      <c r="E470" s="2" t="s">
        <v>18</v>
      </c>
      <c r="F470" s="2" t="s">
        <v>39</v>
      </c>
      <c r="G470" s="2" t="s">
        <v>35</v>
      </c>
      <c r="H470" s="2" t="s">
        <v>52</v>
      </c>
      <c r="I470" s="2">
        <v>37</v>
      </c>
      <c r="J470" s="2">
        <v>119</v>
      </c>
      <c r="K470" s="2">
        <v>35972.01</v>
      </c>
      <c r="L470" s="2">
        <v>476.69</v>
      </c>
      <c r="M470" s="2">
        <v>8.02</v>
      </c>
      <c r="N470" s="2" t="s">
        <v>30</v>
      </c>
      <c r="O470" s="2">
        <v>3</v>
      </c>
    </row>
    <row r="471" spans="1:15" x14ac:dyDescent="0.3">
      <c r="A471" s="2" t="s">
        <v>528</v>
      </c>
      <c r="B471" s="1">
        <v>45931</v>
      </c>
      <c r="C471" s="2" t="s">
        <v>24</v>
      </c>
      <c r="D471" s="2" t="s">
        <v>33</v>
      </c>
      <c r="E471" s="2" t="s">
        <v>26</v>
      </c>
      <c r="F471" s="2" t="s">
        <v>68</v>
      </c>
      <c r="G471" s="2" t="s">
        <v>20</v>
      </c>
      <c r="H471" s="2" t="s">
        <v>56</v>
      </c>
      <c r="I471" s="2">
        <v>48</v>
      </c>
      <c r="J471" s="2">
        <v>2</v>
      </c>
      <c r="K471" s="2">
        <v>18253.740000000002</v>
      </c>
      <c r="L471" s="2">
        <v>269.04000000000002</v>
      </c>
      <c r="M471" s="2">
        <v>180.29</v>
      </c>
      <c r="N471" s="2" t="s">
        <v>30</v>
      </c>
      <c r="O471" s="2">
        <v>3</v>
      </c>
    </row>
    <row r="472" spans="1:15" x14ac:dyDescent="0.3">
      <c r="A472" s="2" t="s">
        <v>529</v>
      </c>
      <c r="B472" s="1">
        <v>46194</v>
      </c>
      <c r="C472" s="2" t="s">
        <v>32</v>
      </c>
      <c r="D472" s="2" t="s">
        <v>33</v>
      </c>
      <c r="E472" s="2" t="s">
        <v>18</v>
      </c>
      <c r="F472" s="2" t="s">
        <v>19</v>
      </c>
      <c r="G472" s="2" t="s">
        <v>35</v>
      </c>
      <c r="H472" s="2" t="s">
        <v>52</v>
      </c>
      <c r="I472" s="2">
        <v>39</v>
      </c>
      <c r="J472" s="2">
        <v>4</v>
      </c>
      <c r="K472" s="2">
        <v>13755.73</v>
      </c>
      <c r="L472" s="2">
        <v>366.05</v>
      </c>
      <c r="M472" s="2">
        <v>111.49</v>
      </c>
      <c r="N472" s="2" t="s">
        <v>22</v>
      </c>
      <c r="O472" s="2">
        <v>3</v>
      </c>
    </row>
    <row r="473" spans="1:15" x14ac:dyDescent="0.3">
      <c r="A473" s="2" t="s">
        <v>530</v>
      </c>
      <c r="B473" s="1">
        <v>46005</v>
      </c>
      <c r="C473" s="2" t="s">
        <v>43</v>
      </c>
      <c r="D473" s="2" t="s">
        <v>25</v>
      </c>
      <c r="E473" s="2" t="s">
        <v>26</v>
      </c>
      <c r="F473" s="2" t="s">
        <v>19</v>
      </c>
      <c r="G473" s="2" t="s">
        <v>55</v>
      </c>
      <c r="H473" s="2" t="s">
        <v>29</v>
      </c>
      <c r="I473" s="2">
        <v>66</v>
      </c>
      <c r="J473" s="2">
        <v>85</v>
      </c>
      <c r="K473" s="2">
        <v>21895.439999999999</v>
      </c>
      <c r="L473" s="2">
        <v>433.39</v>
      </c>
      <c r="M473" s="2">
        <v>260.55</v>
      </c>
      <c r="N473" s="2" t="s">
        <v>30</v>
      </c>
      <c r="O473" s="2">
        <v>2</v>
      </c>
    </row>
    <row r="474" spans="1:15" x14ac:dyDescent="0.3">
      <c r="A474" s="2" t="s">
        <v>531</v>
      </c>
      <c r="B474" s="1">
        <v>45889</v>
      </c>
      <c r="C474" s="2" t="s">
        <v>41</v>
      </c>
      <c r="D474" s="2" t="s">
        <v>86</v>
      </c>
      <c r="E474" s="2" t="s">
        <v>38</v>
      </c>
      <c r="F474" s="2" t="s">
        <v>34</v>
      </c>
      <c r="G474" s="2" t="s">
        <v>55</v>
      </c>
      <c r="H474" s="2" t="s">
        <v>52</v>
      </c>
      <c r="I474" s="2">
        <v>74</v>
      </c>
      <c r="J474" s="2">
        <v>39</v>
      </c>
      <c r="K474" s="2">
        <v>5028.63</v>
      </c>
      <c r="L474" s="2">
        <v>210.47</v>
      </c>
      <c r="M474" s="2">
        <v>166.89</v>
      </c>
      <c r="N474" s="2" t="s">
        <v>30</v>
      </c>
      <c r="O474" s="2">
        <v>5</v>
      </c>
    </row>
    <row r="475" spans="1:15" x14ac:dyDescent="0.3">
      <c r="A475" s="2" t="s">
        <v>532</v>
      </c>
      <c r="B475" s="1">
        <v>46005</v>
      </c>
      <c r="C475" s="2" t="s">
        <v>24</v>
      </c>
      <c r="D475" s="2" t="s">
        <v>67</v>
      </c>
      <c r="E475" s="2" t="s">
        <v>26</v>
      </c>
      <c r="F475" s="2" t="s">
        <v>34</v>
      </c>
      <c r="G475" s="2" t="s">
        <v>35</v>
      </c>
      <c r="H475" s="2" t="s">
        <v>29</v>
      </c>
      <c r="I475" s="2">
        <v>43</v>
      </c>
      <c r="J475" s="2">
        <v>98</v>
      </c>
      <c r="K475" s="2">
        <v>37456.86</v>
      </c>
      <c r="L475" s="2">
        <v>167.63</v>
      </c>
      <c r="M475" s="2">
        <v>249.9</v>
      </c>
      <c r="N475" s="2" t="s">
        <v>30</v>
      </c>
      <c r="O475" s="2">
        <v>4</v>
      </c>
    </row>
    <row r="476" spans="1:15" x14ac:dyDescent="0.3">
      <c r="A476" s="2" t="s">
        <v>533</v>
      </c>
      <c r="B476" s="1">
        <v>46052</v>
      </c>
      <c r="C476" s="2" t="s">
        <v>41</v>
      </c>
      <c r="D476" s="2" t="s">
        <v>60</v>
      </c>
      <c r="E476" s="2" t="s">
        <v>45</v>
      </c>
      <c r="F476" s="2" t="s">
        <v>34</v>
      </c>
      <c r="G476" s="2" t="s">
        <v>64</v>
      </c>
      <c r="H476" s="2" t="s">
        <v>21</v>
      </c>
      <c r="I476" s="2">
        <v>52</v>
      </c>
      <c r="J476" s="2">
        <v>94</v>
      </c>
      <c r="K476" s="2">
        <v>1123.52</v>
      </c>
      <c r="L476" s="2">
        <v>475.97</v>
      </c>
      <c r="M476" s="2">
        <v>139.63</v>
      </c>
      <c r="N476" s="2" t="s">
        <v>22</v>
      </c>
      <c r="O476" s="2">
        <v>1</v>
      </c>
    </row>
    <row r="477" spans="1:15" x14ac:dyDescent="0.3">
      <c r="A477" s="2" t="s">
        <v>534</v>
      </c>
      <c r="B477" s="1">
        <v>46163</v>
      </c>
      <c r="C477" s="2" t="s">
        <v>43</v>
      </c>
      <c r="D477" s="2" t="s">
        <v>44</v>
      </c>
      <c r="E477" s="2" t="s">
        <v>58</v>
      </c>
      <c r="F477" s="2" t="s">
        <v>68</v>
      </c>
      <c r="G477" s="2" t="s">
        <v>20</v>
      </c>
      <c r="H477" s="2" t="s">
        <v>52</v>
      </c>
      <c r="I477" s="2">
        <v>60</v>
      </c>
      <c r="J477" s="2">
        <v>6</v>
      </c>
      <c r="K477" s="2">
        <v>32402.01</v>
      </c>
      <c r="L477" s="2">
        <v>376.84</v>
      </c>
      <c r="M477" s="2">
        <v>58.28</v>
      </c>
      <c r="N477" s="2" t="s">
        <v>30</v>
      </c>
      <c r="O477" s="2">
        <v>3</v>
      </c>
    </row>
    <row r="478" spans="1:15" x14ac:dyDescent="0.3">
      <c r="A478" s="2" t="s">
        <v>535</v>
      </c>
      <c r="B478" s="1">
        <v>46009</v>
      </c>
      <c r="C478" s="2" t="s">
        <v>90</v>
      </c>
      <c r="D478" s="2" t="s">
        <v>78</v>
      </c>
      <c r="E478" s="2" t="s">
        <v>58</v>
      </c>
      <c r="F478" s="2" t="s">
        <v>68</v>
      </c>
      <c r="G478" s="2" t="s">
        <v>20</v>
      </c>
      <c r="H478" s="2" t="s">
        <v>52</v>
      </c>
      <c r="I478" s="2">
        <v>33</v>
      </c>
      <c r="J478" s="2">
        <v>81</v>
      </c>
      <c r="K478" s="2">
        <v>9551.7900000000009</v>
      </c>
      <c r="L478" s="2">
        <v>148.86000000000001</v>
      </c>
      <c r="M478" s="2">
        <v>67.23</v>
      </c>
      <c r="N478" s="2" t="s">
        <v>30</v>
      </c>
      <c r="O478" s="2">
        <v>3</v>
      </c>
    </row>
    <row r="479" spans="1:15" x14ac:dyDescent="0.3">
      <c r="A479" s="2" t="s">
        <v>536</v>
      </c>
      <c r="B479" s="1">
        <v>45923</v>
      </c>
      <c r="C479" s="2" t="s">
        <v>43</v>
      </c>
      <c r="D479" s="2" t="s">
        <v>78</v>
      </c>
      <c r="E479" s="2" t="s">
        <v>38</v>
      </c>
      <c r="F479" s="2" t="s">
        <v>39</v>
      </c>
      <c r="G479" s="2" t="s">
        <v>55</v>
      </c>
      <c r="H479" s="2" t="s">
        <v>21</v>
      </c>
      <c r="I479" s="2">
        <v>40</v>
      </c>
      <c r="J479" s="2">
        <v>103</v>
      </c>
      <c r="K479" s="2">
        <v>12004</v>
      </c>
      <c r="L479" s="2">
        <v>252.09</v>
      </c>
      <c r="M479" s="2">
        <v>61.69</v>
      </c>
      <c r="N479" s="2" t="s">
        <v>30</v>
      </c>
      <c r="O479" s="2">
        <v>1</v>
      </c>
    </row>
    <row r="480" spans="1:15" x14ac:dyDescent="0.3">
      <c r="A480" s="2" t="s">
        <v>537</v>
      </c>
      <c r="B480" s="1">
        <v>46192</v>
      </c>
      <c r="C480" s="2" t="s">
        <v>90</v>
      </c>
      <c r="D480" s="2" t="s">
        <v>62</v>
      </c>
      <c r="E480" s="2" t="s">
        <v>45</v>
      </c>
      <c r="F480" s="2" t="s">
        <v>34</v>
      </c>
      <c r="G480" s="2" t="s">
        <v>35</v>
      </c>
      <c r="H480" s="2" t="s">
        <v>52</v>
      </c>
      <c r="I480" s="2">
        <v>55</v>
      </c>
      <c r="J480" s="2">
        <v>89</v>
      </c>
      <c r="K480" s="2">
        <v>31963.78</v>
      </c>
      <c r="L480" s="2">
        <v>408.4</v>
      </c>
      <c r="M480" s="2">
        <v>4.01</v>
      </c>
      <c r="N480" s="2" t="s">
        <v>30</v>
      </c>
      <c r="O480" s="2">
        <v>1</v>
      </c>
    </row>
    <row r="481" spans="1:15" x14ac:dyDescent="0.3">
      <c r="A481" s="2" t="s">
        <v>538</v>
      </c>
      <c r="B481" s="1">
        <v>46153</v>
      </c>
      <c r="C481" s="2" t="s">
        <v>24</v>
      </c>
      <c r="D481" s="2" t="s">
        <v>86</v>
      </c>
      <c r="E481" s="2" t="s">
        <v>18</v>
      </c>
      <c r="F481" s="2" t="s">
        <v>19</v>
      </c>
      <c r="G481" s="2" t="s">
        <v>20</v>
      </c>
      <c r="H481" s="2" t="s">
        <v>21</v>
      </c>
      <c r="I481" s="2">
        <v>25</v>
      </c>
      <c r="J481" s="2">
        <v>69</v>
      </c>
      <c r="K481" s="2">
        <v>49650.7</v>
      </c>
      <c r="L481" s="2">
        <v>296.18</v>
      </c>
      <c r="M481" s="2">
        <v>116.51</v>
      </c>
      <c r="N481" s="2" t="s">
        <v>22</v>
      </c>
      <c r="O481" s="2">
        <v>2</v>
      </c>
    </row>
    <row r="482" spans="1:15" x14ac:dyDescent="0.3">
      <c r="A482" s="2" t="s">
        <v>539</v>
      </c>
      <c r="B482" s="1">
        <v>45910</v>
      </c>
      <c r="C482" s="2" t="s">
        <v>24</v>
      </c>
      <c r="D482" s="2" t="s">
        <v>62</v>
      </c>
      <c r="E482" s="2" t="s">
        <v>45</v>
      </c>
      <c r="F482" s="2" t="s">
        <v>27</v>
      </c>
      <c r="G482" s="2" t="s">
        <v>20</v>
      </c>
      <c r="H482" s="2" t="s">
        <v>56</v>
      </c>
      <c r="I482" s="2">
        <v>29</v>
      </c>
      <c r="J482" s="2">
        <v>69</v>
      </c>
      <c r="K482" s="2">
        <v>38997.019999999997</v>
      </c>
      <c r="L482" s="2">
        <v>342.48</v>
      </c>
      <c r="M482" s="2">
        <v>139.77000000000001</v>
      </c>
      <c r="N482" s="2" t="s">
        <v>22</v>
      </c>
      <c r="O482" s="2">
        <v>4</v>
      </c>
    </row>
    <row r="483" spans="1:15" x14ac:dyDescent="0.3">
      <c r="A483" s="2" t="s">
        <v>540</v>
      </c>
      <c r="B483" s="1">
        <v>45902</v>
      </c>
      <c r="C483" s="2" t="s">
        <v>74</v>
      </c>
      <c r="D483" s="2" t="s">
        <v>17</v>
      </c>
      <c r="E483" s="2" t="s">
        <v>58</v>
      </c>
      <c r="F483" s="2" t="s">
        <v>39</v>
      </c>
      <c r="G483" s="2" t="s">
        <v>64</v>
      </c>
      <c r="H483" s="2" t="s">
        <v>29</v>
      </c>
      <c r="I483" s="2">
        <v>49</v>
      </c>
      <c r="J483" s="2">
        <v>20</v>
      </c>
      <c r="K483" s="2">
        <v>11679.06</v>
      </c>
      <c r="L483" s="2">
        <v>389.2</v>
      </c>
      <c r="M483" s="2">
        <v>256.16000000000003</v>
      </c>
      <c r="N483" s="2" t="s">
        <v>22</v>
      </c>
      <c r="O483" s="2">
        <v>3</v>
      </c>
    </row>
    <row r="484" spans="1:15" x14ac:dyDescent="0.3">
      <c r="A484" s="2" t="s">
        <v>541</v>
      </c>
      <c r="B484" s="1">
        <v>45993</v>
      </c>
      <c r="C484" s="2" t="s">
        <v>32</v>
      </c>
      <c r="D484" s="2" t="s">
        <v>17</v>
      </c>
      <c r="E484" s="2" t="s">
        <v>58</v>
      </c>
      <c r="F484" s="2" t="s">
        <v>68</v>
      </c>
      <c r="G484" s="2" t="s">
        <v>28</v>
      </c>
      <c r="H484" s="2" t="s">
        <v>21</v>
      </c>
      <c r="I484" s="2">
        <v>26</v>
      </c>
      <c r="J484" s="2">
        <v>64</v>
      </c>
      <c r="K484" s="2">
        <v>9213.23</v>
      </c>
      <c r="L484" s="2">
        <v>329.9</v>
      </c>
      <c r="M484" s="2">
        <v>28.03</v>
      </c>
      <c r="N484" s="2" t="s">
        <v>30</v>
      </c>
      <c r="O484" s="2">
        <v>5</v>
      </c>
    </row>
    <row r="485" spans="1:15" x14ac:dyDescent="0.3">
      <c r="A485" s="2" t="s">
        <v>542</v>
      </c>
      <c r="B485" s="1">
        <v>45937</v>
      </c>
      <c r="C485" s="2" t="s">
        <v>74</v>
      </c>
      <c r="D485" s="2" t="s">
        <v>62</v>
      </c>
      <c r="E485" s="2" t="s">
        <v>45</v>
      </c>
      <c r="F485" s="2" t="s">
        <v>39</v>
      </c>
      <c r="G485" s="2" t="s">
        <v>55</v>
      </c>
      <c r="H485" s="2" t="s">
        <v>52</v>
      </c>
      <c r="I485" s="2">
        <v>45</v>
      </c>
      <c r="J485" s="2">
        <v>16</v>
      </c>
      <c r="K485" s="2">
        <v>43378.53</v>
      </c>
      <c r="L485" s="2">
        <v>293.04000000000002</v>
      </c>
      <c r="M485" s="2">
        <v>108.84</v>
      </c>
      <c r="N485" s="2" t="s">
        <v>22</v>
      </c>
      <c r="O485" s="2">
        <v>2</v>
      </c>
    </row>
    <row r="486" spans="1:15" x14ac:dyDescent="0.3">
      <c r="A486" s="2" t="s">
        <v>543</v>
      </c>
      <c r="B486" s="1">
        <v>46118</v>
      </c>
      <c r="C486" s="2" t="s">
        <v>32</v>
      </c>
      <c r="D486" s="2" t="s">
        <v>86</v>
      </c>
      <c r="E486" s="2" t="s">
        <v>45</v>
      </c>
      <c r="F486" s="2" t="s">
        <v>39</v>
      </c>
      <c r="G486" s="2" t="s">
        <v>55</v>
      </c>
      <c r="H486" s="2" t="s">
        <v>21</v>
      </c>
      <c r="I486" s="2">
        <v>51</v>
      </c>
      <c r="J486" s="2">
        <v>51</v>
      </c>
      <c r="K486" s="2">
        <v>22487.11</v>
      </c>
      <c r="L486" s="2">
        <v>387.33</v>
      </c>
      <c r="M486" s="2">
        <v>1.6</v>
      </c>
      <c r="N486" s="2" t="s">
        <v>30</v>
      </c>
      <c r="O486" s="2">
        <v>2</v>
      </c>
    </row>
    <row r="487" spans="1:15" x14ac:dyDescent="0.3">
      <c r="A487" s="2" t="s">
        <v>544</v>
      </c>
      <c r="B487" s="1">
        <v>46209</v>
      </c>
      <c r="C487" s="2" t="s">
        <v>74</v>
      </c>
      <c r="D487" s="2" t="s">
        <v>62</v>
      </c>
      <c r="E487" s="2" t="s">
        <v>58</v>
      </c>
      <c r="F487" s="2" t="s">
        <v>39</v>
      </c>
      <c r="G487" s="2" t="s">
        <v>28</v>
      </c>
      <c r="H487" s="2" t="s">
        <v>52</v>
      </c>
      <c r="I487" s="2">
        <v>42</v>
      </c>
      <c r="J487" s="2">
        <v>105</v>
      </c>
      <c r="K487" s="2">
        <v>7284.11</v>
      </c>
      <c r="L487" s="2">
        <v>377.4</v>
      </c>
      <c r="M487" s="2">
        <v>19.02</v>
      </c>
      <c r="N487" s="2" t="s">
        <v>30</v>
      </c>
      <c r="O487" s="2">
        <v>5</v>
      </c>
    </row>
    <row r="488" spans="1:15" x14ac:dyDescent="0.3">
      <c r="A488" s="2" t="s">
        <v>545</v>
      </c>
      <c r="B488" s="1">
        <v>46183</v>
      </c>
      <c r="C488" s="2" t="s">
        <v>41</v>
      </c>
      <c r="D488" s="2" t="s">
        <v>78</v>
      </c>
      <c r="E488" s="2" t="s">
        <v>18</v>
      </c>
      <c r="F488" s="2" t="s">
        <v>39</v>
      </c>
      <c r="G488" s="2" t="s">
        <v>20</v>
      </c>
      <c r="H488" s="2" t="s">
        <v>56</v>
      </c>
      <c r="I488" s="2">
        <v>22</v>
      </c>
      <c r="J488" s="2">
        <v>37</v>
      </c>
      <c r="K488" s="2">
        <v>43179.47</v>
      </c>
      <c r="L488" s="2">
        <v>333.44</v>
      </c>
      <c r="M488" s="2">
        <v>10.84</v>
      </c>
      <c r="N488" s="2" t="s">
        <v>30</v>
      </c>
      <c r="O488" s="2">
        <v>5</v>
      </c>
    </row>
    <row r="489" spans="1:15" x14ac:dyDescent="0.3">
      <c r="A489" s="2" t="s">
        <v>546</v>
      </c>
      <c r="B489" s="1">
        <v>45872</v>
      </c>
      <c r="C489" s="2" t="s">
        <v>24</v>
      </c>
      <c r="D489" s="2" t="s">
        <v>76</v>
      </c>
      <c r="E489" s="2" t="s">
        <v>38</v>
      </c>
      <c r="F489" s="2" t="s">
        <v>27</v>
      </c>
      <c r="G489" s="2" t="s">
        <v>64</v>
      </c>
      <c r="H489" s="2" t="s">
        <v>21</v>
      </c>
      <c r="I489" s="2">
        <v>65</v>
      </c>
      <c r="J489" s="2">
        <v>104</v>
      </c>
      <c r="K489" s="2">
        <v>40896.57</v>
      </c>
      <c r="L489" s="2">
        <v>211.91</v>
      </c>
      <c r="M489" s="2">
        <v>145.1</v>
      </c>
      <c r="N489" s="2" t="s">
        <v>30</v>
      </c>
      <c r="O489" s="2">
        <v>5</v>
      </c>
    </row>
    <row r="490" spans="1:15" x14ac:dyDescent="0.3">
      <c r="A490" s="2" t="s">
        <v>547</v>
      </c>
      <c r="B490" s="1">
        <v>46185</v>
      </c>
      <c r="C490" s="2" t="s">
        <v>90</v>
      </c>
      <c r="D490" s="2" t="s">
        <v>47</v>
      </c>
      <c r="E490" s="2" t="s">
        <v>38</v>
      </c>
      <c r="F490" s="2" t="s">
        <v>34</v>
      </c>
      <c r="G490" s="2" t="s">
        <v>64</v>
      </c>
      <c r="H490" s="2" t="s">
        <v>56</v>
      </c>
      <c r="I490" s="2">
        <v>25</v>
      </c>
      <c r="J490" s="2">
        <v>73</v>
      </c>
      <c r="K490" s="2">
        <v>49203.37</v>
      </c>
      <c r="L490" s="2">
        <v>232.62</v>
      </c>
      <c r="M490" s="2">
        <v>16.21</v>
      </c>
      <c r="N490" s="2" t="s">
        <v>30</v>
      </c>
      <c r="O490" s="2">
        <v>1</v>
      </c>
    </row>
    <row r="491" spans="1:15" x14ac:dyDescent="0.3">
      <c r="A491" s="2" t="s">
        <v>548</v>
      </c>
      <c r="B491" s="1">
        <v>46136</v>
      </c>
      <c r="C491" s="2" t="s">
        <v>32</v>
      </c>
      <c r="D491" s="2" t="s">
        <v>25</v>
      </c>
      <c r="E491" s="2" t="s">
        <v>45</v>
      </c>
      <c r="F491" s="2" t="s">
        <v>19</v>
      </c>
      <c r="G491" s="2" t="s">
        <v>55</v>
      </c>
      <c r="H491" s="2" t="s">
        <v>29</v>
      </c>
      <c r="I491" s="2">
        <v>47</v>
      </c>
      <c r="J491" s="2">
        <v>69</v>
      </c>
      <c r="K491" s="2">
        <v>45532.31</v>
      </c>
      <c r="L491" s="2">
        <v>486.7</v>
      </c>
      <c r="M491" s="2">
        <v>214.94</v>
      </c>
      <c r="N491" s="2" t="s">
        <v>30</v>
      </c>
      <c r="O491" s="2">
        <v>3</v>
      </c>
    </row>
    <row r="492" spans="1:15" x14ac:dyDescent="0.3">
      <c r="A492" s="2" t="s">
        <v>549</v>
      </c>
      <c r="B492" s="1">
        <v>46110</v>
      </c>
      <c r="C492" s="2" t="s">
        <v>43</v>
      </c>
      <c r="D492" s="2" t="s">
        <v>25</v>
      </c>
      <c r="E492" s="2" t="s">
        <v>38</v>
      </c>
      <c r="F492" s="2" t="s">
        <v>39</v>
      </c>
      <c r="G492" s="2" t="s">
        <v>64</v>
      </c>
      <c r="H492" s="2" t="s">
        <v>52</v>
      </c>
      <c r="I492" s="2">
        <v>45</v>
      </c>
      <c r="J492" s="2">
        <v>42</v>
      </c>
      <c r="K492" s="2">
        <v>42663.62</v>
      </c>
      <c r="L492" s="2">
        <v>100.57</v>
      </c>
      <c r="M492" s="2">
        <v>49.92</v>
      </c>
      <c r="N492" s="2" t="s">
        <v>30</v>
      </c>
      <c r="O492" s="2">
        <v>1</v>
      </c>
    </row>
    <row r="493" spans="1:15" x14ac:dyDescent="0.3">
      <c r="A493" s="2" t="s">
        <v>550</v>
      </c>
      <c r="B493" s="1">
        <v>46230</v>
      </c>
      <c r="C493" s="2" t="s">
        <v>32</v>
      </c>
      <c r="D493" s="2" t="s">
        <v>49</v>
      </c>
      <c r="E493" s="2" t="s">
        <v>58</v>
      </c>
      <c r="F493" s="2" t="s">
        <v>39</v>
      </c>
      <c r="G493" s="2" t="s">
        <v>28</v>
      </c>
      <c r="H493" s="2" t="s">
        <v>52</v>
      </c>
      <c r="I493" s="2">
        <v>28</v>
      </c>
      <c r="J493" s="2">
        <v>57</v>
      </c>
      <c r="K493" s="2">
        <v>3102.43</v>
      </c>
      <c r="L493" s="2">
        <v>170.83</v>
      </c>
      <c r="M493" s="2">
        <v>175.54</v>
      </c>
      <c r="N493" s="2" t="s">
        <v>30</v>
      </c>
      <c r="O493" s="2">
        <v>3</v>
      </c>
    </row>
    <row r="494" spans="1:15" x14ac:dyDescent="0.3">
      <c r="A494" s="2" t="s">
        <v>551</v>
      </c>
      <c r="B494" s="1">
        <v>46205</v>
      </c>
      <c r="C494" s="2" t="s">
        <v>90</v>
      </c>
      <c r="D494" s="2" t="s">
        <v>33</v>
      </c>
      <c r="E494" s="2" t="s">
        <v>58</v>
      </c>
      <c r="F494" s="2" t="s">
        <v>39</v>
      </c>
      <c r="G494" s="2" t="s">
        <v>20</v>
      </c>
      <c r="H494" s="2" t="s">
        <v>56</v>
      </c>
      <c r="I494" s="2">
        <v>21</v>
      </c>
      <c r="J494" s="2">
        <v>66</v>
      </c>
      <c r="K494" s="2">
        <v>5668.56</v>
      </c>
      <c r="L494" s="2">
        <v>271.58</v>
      </c>
      <c r="M494" s="2">
        <v>162.63</v>
      </c>
      <c r="N494" s="2" t="s">
        <v>22</v>
      </c>
      <c r="O494" s="2">
        <v>1</v>
      </c>
    </row>
    <row r="495" spans="1:15" x14ac:dyDescent="0.3">
      <c r="A495" s="2" t="s">
        <v>552</v>
      </c>
      <c r="B495" s="1">
        <v>46210</v>
      </c>
      <c r="C495" s="2" t="s">
        <v>74</v>
      </c>
      <c r="D495" s="2" t="s">
        <v>47</v>
      </c>
      <c r="E495" s="2" t="s">
        <v>45</v>
      </c>
      <c r="F495" s="2" t="s">
        <v>34</v>
      </c>
      <c r="G495" s="2" t="s">
        <v>28</v>
      </c>
      <c r="H495" s="2" t="s">
        <v>29</v>
      </c>
      <c r="I495" s="2">
        <v>40</v>
      </c>
      <c r="J495" s="2">
        <v>9</v>
      </c>
      <c r="K495" s="2">
        <v>28664.67</v>
      </c>
      <c r="L495" s="2">
        <v>426.53</v>
      </c>
      <c r="M495" s="2">
        <v>287.36</v>
      </c>
      <c r="N495" s="2" t="s">
        <v>30</v>
      </c>
      <c r="O495" s="2">
        <v>4</v>
      </c>
    </row>
    <row r="496" spans="1:15" x14ac:dyDescent="0.3">
      <c r="A496" s="2" t="s">
        <v>553</v>
      </c>
      <c r="B496" s="1">
        <v>46039</v>
      </c>
      <c r="C496" s="2" t="s">
        <v>32</v>
      </c>
      <c r="D496" s="2" t="s">
        <v>60</v>
      </c>
      <c r="E496" s="2" t="s">
        <v>45</v>
      </c>
      <c r="F496" s="2" t="s">
        <v>68</v>
      </c>
      <c r="G496" s="2" t="s">
        <v>35</v>
      </c>
      <c r="H496" s="2" t="s">
        <v>21</v>
      </c>
      <c r="I496" s="2">
        <v>64</v>
      </c>
      <c r="J496" s="2">
        <v>107</v>
      </c>
      <c r="K496" s="2">
        <v>26808.22</v>
      </c>
      <c r="L496" s="2">
        <v>123.65</v>
      </c>
      <c r="M496" s="2">
        <v>176.75</v>
      </c>
      <c r="N496" s="2" t="s">
        <v>22</v>
      </c>
      <c r="O496" s="2">
        <v>3</v>
      </c>
    </row>
    <row r="497" spans="1:15" x14ac:dyDescent="0.3">
      <c r="A497" s="2" t="s">
        <v>554</v>
      </c>
      <c r="B497" s="1">
        <v>45951</v>
      </c>
      <c r="C497" s="2" t="s">
        <v>16</v>
      </c>
      <c r="D497" s="2" t="s">
        <v>86</v>
      </c>
      <c r="E497" s="2" t="s">
        <v>45</v>
      </c>
      <c r="F497" s="2" t="s">
        <v>68</v>
      </c>
      <c r="G497" s="2" t="s">
        <v>55</v>
      </c>
      <c r="H497" s="2" t="s">
        <v>21</v>
      </c>
      <c r="I497" s="2">
        <v>43</v>
      </c>
      <c r="J497" s="2">
        <v>100</v>
      </c>
      <c r="K497" s="2">
        <v>23169.18</v>
      </c>
      <c r="L497" s="2">
        <v>174.63</v>
      </c>
      <c r="M497" s="2">
        <v>186.67</v>
      </c>
      <c r="N497" s="2" t="s">
        <v>30</v>
      </c>
      <c r="O497" s="2">
        <v>2</v>
      </c>
    </row>
    <row r="498" spans="1:15" x14ac:dyDescent="0.3">
      <c r="A498" s="2" t="s">
        <v>555</v>
      </c>
      <c r="B498" s="1">
        <v>45932</v>
      </c>
      <c r="C498" s="2" t="s">
        <v>41</v>
      </c>
      <c r="D498" s="2" t="s">
        <v>82</v>
      </c>
      <c r="E498" s="2" t="s">
        <v>18</v>
      </c>
      <c r="F498" s="2" t="s">
        <v>27</v>
      </c>
      <c r="G498" s="2" t="s">
        <v>64</v>
      </c>
      <c r="H498" s="2" t="s">
        <v>52</v>
      </c>
      <c r="I498" s="2">
        <v>52</v>
      </c>
      <c r="J498" s="2">
        <v>86</v>
      </c>
      <c r="K498" s="2">
        <v>20141.07</v>
      </c>
      <c r="L498" s="2">
        <v>79.61</v>
      </c>
      <c r="M498" s="2">
        <v>171.75</v>
      </c>
      <c r="N498" s="2" t="s">
        <v>22</v>
      </c>
      <c r="O498" s="2">
        <v>3</v>
      </c>
    </row>
    <row r="499" spans="1:15" x14ac:dyDescent="0.3">
      <c r="A499" s="2" t="s">
        <v>556</v>
      </c>
      <c r="B499" s="1">
        <v>45953</v>
      </c>
      <c r="C499" s="2" t="s">
        <v>24</v>
      </c>
      <c r="D499" s="2" t="s">
        <v>47</v>
      </c>
      <c r="E499" s="2" t="s">
        <v>38</v>
      </c>
      <c r="F499" s="2" t="s">
        <v>68</v>
      </c>
      <c r="G499" s="2" t="s">
        <v>35</v>
      </c>
      <c r="H499" s="2" t="s">
        <v>56</v>
      </c>
      <c r="I499" s="2">
        <v>31</v>
      </c>
      <c r="J499" s="2">
        <v>64</v>
      </c>
      <c r="K499" s="2">
        <v>21844.92</v>
      </c>
      <c r="L499" s="2">
        <v>367.69</v>
      </c>
      <c r="M499" s="2">
        <v>138.68</v>
      </c>
      <c r="N499" s="2" t="s">
        <v>22</v>
      </c>
      <c r="O499" s="2">
        <v>3</v>
      </c>
    </row>
    <row r="500" spans="1:15" x14ac:dyDescent="0.3">
      <c r="A500" s="2" t="s">
        <v>557</v>
      </c>
      <c r="B500" s="1">
        <v>46042</v>
      </c>
      <c r="C500" s="2" t="s">
        <v>90</v>
      </c>
      <c r="D500" s="2" t="s">
        <v>49</v>
      </c>
      <c r="E500" s="2" t="s">
        <v>45</v>
      </c>
      <c r="F500" s="2" t="s">
        <v>39</v>
      </c>
      <c r="G500" s="2" t="s">
        <v>64</v>
      </c>
      <c r="H500" s="2" t="s">
        <v>56</v>
      </c>
      <c r="I500" s="2">
        <v>59</v>
      </c>
      <c r="J500" s="2">
        <v>86</v>
      </c>
      <c r="K500" s="2">
        <v>28680.25</v>
      </c>
      <c r="L500" s="2">
        <v>157.19</v>
      </c>
      <c r="M500" s="2">
        <v>34.049999999999997</v>
      </c>
      <c r="N500" s="2" t="s">
        <v>22</v>
      </c>
      <c r="O500" s="2">
        <v>3</v>
      </c>
    </row>
    <row r="501" spans="1:15" x14ac:dyDescent="0.3">
      <c r="A501" s="2" t="s">
        <v>558</v>
      </c>
      <c r="B501" s="1">
        <v>46234</v>
      </c>
      <c r="C501" s="2" t="s">
        <v>24</v>
      </c>
      <c r="D501" s="2" t="s">
        <v>17</v>
      </c>
      <c r="E501" s="2" t="s">
        <v>26</v>
      </c>
      <c r="F501" s="2" t="s">
        <v>39</v>
      </c>
      <c r="G501" s="2" t="s">
        <v>20</v>
      </c>
      <c r="H501" s="2" t="s">
        <v>21</v>
      </c>
      <c r="I501" s="2">
        <v>67</v>
      </c>
      <c r="J501" s="2">
        <v>22</v>
      </c>
      <c r="K501" s="2">
        <v>602.79</v>
      </c>
      <c r="L501" s="2">
        <v>224.9</v>
      </c>
      <c r="M501" s="2">
        <v>54.34</v>
      </c>
      <c r="N501" s="2" t="s">
        <v>22</v>
      </c>
      <c r="O501" s="2">
        <v>4</v>
      </c>
    </row>
    <row r="502" spans="1:15" x14ac:dyDescent="0.3">
      <c r="A502" s="2" t="s">
        <v>559</v>
      </c>
      <c r="B502" s="1">
        <v>46162</v>
      </c>
      <c r="C502" s="2" t="s">
        <v>16</v>
      </c>
      <c r="D502" s="2" t="s">
        <v>37</v>
      </c>
      <c r="E502" s="2" t="s">
        <v>26</v>
      </c>
      <c r="F502" s="2" t="s">
        <v>39</v>
      </c>
      <c r="G502" s="2" t="s">
        <v>20</v>
      </c>
      <c r="H502" s="2" t="s">
        <v>29</v>
      </c>
      <c r="I502" s="2">
        <v>74</v>
      </c>
      <c r="J502" s="2">
        <v>34</v>
      </c>
      <c r="K502" s="2">
        <v>13405.08</v>
      </c>
      <c r="L502" s="2">
        <v>249.67</v>
      </c>
      <c r="M502" s="2">
        <v>63.82</v>
      </c>
      <c r="N502" s="2" t="s">
        <v>30</v>
      </c>
      <c r="O502" s="2">
        <v>1</v>
      </c>
    </row>
    <row r="503" spans="1:15" x14ac:dyDescent="0.3">
      <c r="A503" s="2" t="s">
        <v>560</v>
      </c>
      <c r="B503" s="1">
        <v>45911</v>
      </c>
      <c r="C503" s="2" t="s">
        <v>32</v>
      </c>
      <c r="D503" s="2" t="s">
        <v>33</v>
      </c>
      <c r="E503" s="2" t="s">
        <v>58</v>
      </c>
      <c r="F503" s="2" t="s">
        <v>27</v>
      </c>
      <c r="G503" s="2" t="s">
        <v>20</v>
      </c>
      <c r="H503" s="2" t="s">
        <v>29</v>
      </c>
      <c r="I503" s="2">
        <v>44</v>
      </c>
      <c r="J503" s="2">
        <v>55</v>
      </c>
      <c r="K503" s="2">
        <v>26154.85</v>
      </c>
      <c r="L503" s="2">
        <v>451.09</v>
      </c>
      <c r="M503" s="2">
        <v>181.08</v>
      </c>
      <c r="N503" s="2" t="s">
        <v>30</v>
      </c>
      <c r="O503" s="2">
        <v>2</v>
      </c>
    </row>
    <row r="504" spans="1:15" x14ac:dyDescent="0.3">
      <c r="A504" s="2" t="s">
        <v>561</v>
      </c>
      <c r="B504" s="1">
        <v>45960</v>
      </c>
      <c r="C504" s="2" t="s">
        <v>32</v>
      </c>
      <c r="D504" s="2" t="s">
        <v>49</v>
      </c>
      <c r="E504" s="2" t="s">
        <v>38</v>
      </c>
      <c r="F504" s="2" t="s">
        <v>39</v>
      </c>
      <c r="G504" s="2" t="s">
        <v>64</v>
      </c>
      <c r="H504" s="2" t="s">
        <v>21</v>
      </c>
      <c r="I504" s="2">
        <v>31</v>
      </c>
      <c r="J504" s="2">
        <v>29</v>
      </c>
      <c r="K504" s="2">
        <v>36249.699999999997</v>
      </c>
      <c r="L504" s="2">
        <v>235.1</v>
      </c>
      <c r="M504" s="2">
        <v>100.72</v>
      </c>
      <c r="N504" s="2" t="s">
        <v>30</v>
      </c>
      <c r="O504" s="2">
        <v>1</v>
      </c>
    </row>
    <row r="505" spans="1:15" x14ac:dyDescent="0.3">
      <c r="A505" s="2" t="s">
        <v>562</v>
      </c>
      <c r="B505" s="1">
        <v>45910</v>
      </c>
      <c r="C505" s="2" t="s">
        <v>43</v>
      </c>
      <c r="D505" s="2" t="s">
        <v>44</v>
      </c>
      <c r="E505" s="2" t="s">
        <v>45</v>
      </c>
      <c r="F505" s="2" t="s">
        <v>68</v>
      </c>
      <c r="G505" s="2" t="s">
        <v>35</v>
      </c>
      <c r="H505" s="2" t="s">
        <v>21</v>
      </c>
      <c r="I505" s="2">
        <v>49</v>
      </c>
      <c r="J505" s="2">
        <v>38</v>
      </c>
      <c r="K505" s="2">
        <v>9120.76</v>
      </c>
      <c r="L505" s="2">
        <v>115.35</v>
      </c>
      <c r="M505" s="2">
        <v>173.42</v>
      </c>
      <c r="N505" s="2" t="s">
        <v>30</v>
      </c>
      <c r="O505" s="2">
        <v>1</v>
      </c>
    </row>
    <row r="506" spans="1:15" x14ac:dyDescent="0.3">
      <c r="A506" s="2" t="s">
        <v>563</v>
      </c>
      <c r="B506" s="1">
        <v>45925</v>
      </c>
      <c r="C506" s="2" t="s">
        <v>16</v>
      </c>
      <c r="D506" s="2" t="s">
        <v>82</v>
      </c>
      <c r="E506" s="2" t="s">
        <v>26</v>
      </c>
      <c r="F506" s="2" t="s">
        <v>34</v>
      </c>
      <c r="G506" s="2" t="s">
        <v>20</v>
      </c>
      <c r="H506" s="2" t="s">
        <v>56</v>
      </c>
      <c r="I506" s="2">
        <v>74</v>
      </c>
      <c r="J506" s="2">
        <v>110</v>
      </c>
      <c r="K506" s="2">
        <v>27570.62</v>
      </c>
      <c r="L506" s="2">
        <v>285.94</v>
      </c>
      <c r="M506" s="2">
        <v>190.53</v>
      </c>
      <c r="N506" s="2" t="s">
        <v>30</v>
      </c>
      <c r="O506" s="2">
        <v>5</v>
      </c>
    </row>
    <row r="507" spans="1:15" x14ac:dyDescent="0.3">
      <c r="A507" s="2" t="s">
        <v>564</v>
      </c>
      <c r="B507" s="1">
        <v>46215</v>
      </c>
      <c r="C507" s="2" t="s">
        <v>90</v>
      </c>
      <c r="D507" s="2" t="s">
        <v>86</v>
      </c>
      <c r="E507" s="2" t="s">
        <v>38</v>
      </c>
      <c r="F507" s="2" t="s">
        <v>34</v>
      </c>
      <c r="G507" s="2" t="s">
        <v>35</v>
      </c>
      <c r="H507" s="2" t="s">
        <v>29</v>
      </c>
      <c r="I507" s="2">
        <v>46</v>
      </c>
      <c r="J507" s="2">
        <v>97</v>
      </c>
      <c r="K507" s="2">
        <v>35865.75</v>
      </c>
      <c r="L507" s="2">
        <v>483.33</v>
      </c>
      <c r="M507" s="2">
        <v>121.46</v>
      </c>
      <c r="N507" s="2" t="s">
        <v>22</v>
      </c>
      <c r="O507" s="2">
        <v>4</v>
      </c>
    </row>
    <row r="508" spans="1:15" x14ac:dyDescent="0.3">
      <c r="A508" s="2" t="s">
        <v>565</v>
      </c>
      <c r="B508" s="1">
        <v>46084</v>
      </c>
      <c r="C508" s="2" t="s">
        <v>43</v>
      </c>
      <c r="D508" s="2" t="s">
        <v>33</v>
      </c>
      <c r="E508" s="2" t="s">
        <v>58</v>
      </c>
      <c r="F508" s="2" t="s">
        <v>19</v>
      </c>
      <c r="G508" s="2" t="s">
        <v>64</v>
      </c>
      <c r="H508" s="2" t="s">
        <v>21</v>
      </c>
      <c r="I508" s="2">
        <v>36</v>
      </c>
      <c r="J508" s="2">
        <v>18</v>
      </c>
      <c r="K508" s="2">
        <v>22509.07</v>
      </c>
      <c r="L508" s="2">
        <v>323.45999999999998</v>
      </c>
      <c r="M508" s="2">
        <v>101.27</v>
      </c>
      <c r="N508" s="2" t="s">
        <v>30</v>
      </c>
      <c r="O508" s="2">
        <v>5</v>
      </c>
    </row>
    <row r="509" spans="1:15" x14ac:dyDescent="0.3">
      <c r="A509" s="2" t="s">
        <v>566</v>
      </c>
      <c r="B509" s="1">
        <v>46235</v>
      </c>
      <c r="C509" s="2" t="s">
        <v>41</v>
      </c>
      <c r="D509" s="2" t="s">
        <v>60</v>
      </c>
      <c r="E509" s="2" t="s">
        <v>18</v>
      </c>
      <c r="F509" s="2" t="s">
        <v>68</v>
      </c>
      <c r="G509" s="2" t="s">
        <v>35</v>
      </c>
      <c r="H509" s="2" t="s">
        <v>21</v>
      </c>
      <c r="I509" s="2">
        <v>55</v>
      </c>
      <c r="J509" s="2">
        <v>71</v>
      </c>
      <c r="K509" s="2">
        <v>1840.52</v>
      </c>
      <c r="L509" s="2">
        <v>492.52</v>
      </c>
      <c r="M509" s="2">
        <v>194.3</v>
      </c>
      <c r="N509" s="2" t="s">
        <v>30</v>
      </c>
      <c r="O509" s="2">
        <v>4</v>
      </c>
    </row>
    <row r="510" spans="1:15" x14ac:dyDescent="0.3">
      <c r="A510" s="2" t="s">
        <v>567</v>
      </c>
      <c r="B510" s="1">
        <v>45939</v>
      </c>
      <c r="C510" s="2" t="s">
        <v>43</v>
      </c>
      <c r="D510" s="2" t="s">
        <v>47</v>
      </c>
      <c r="E510" s="2" t="s">
        <v>38</v>
      </c>
      <c r="F510" s="2" t="s">
        <v>39</v>
      </c>
      <c r="G510" s="2" t="s">
        <v>64</v>
      </c>
      <c r="H510" s="2" t="s">
        <v>52</v>
      </c>
      <c r="I510" s="2">
        <v>40</v>
      </c>
      <c r="J510" s="2">
        <v>65</v>
      </c>
      <c r="K510" s="2">
        <v>22738.77</v>
      </c>
      <c r="L510" s="2">
        <v>428.5</v>
      </c>
      <c r="M510" s="2">
        <v>55.25</v>
      </c>
      <c r="N510" s="2" t="s">
        <v>22</v>
      </c>
      <c r="O510" s="2">
        <v>1</v>
      </c>
    </row>
    <row r="511" spans="1:15" x14ac:dyDescent="0.3">
      <c r="A511" s="2" t="s">
        <v>568</v>
      </c>
      <c r="B511" s="1">
        <v>46024</v>
      </c>
      <c r="C511" s="2" t="s">
        <v>54</v>
      </c>
      <c r="D511" s="2" t="s">
        <v>17</v>
      </c>
      <c r="E511" s="2" t="s">
        <v>38</v>
      </c>
      <c r="F511" s="2" t="s">
        <v>34</v>
      </c>
      <c r="G511" s="2" t="s">
        <v>64</v>
      </c>
      <c r="H511" s="2" t="s">
        <v>21</v>
      </c>
      <c r="I511" s="2">
        <v>66</v>
      </c>
      <c r="J511" s="2">
        <v>97</v>
      </c>
      <c r="K511" s="2">
        <v>15174.02</v>
      </c>
      <c r="L511" s="2">
        <v>66.180000000000007</v>
      </c>
      <c r="M511" s="2">
        <v>158.47999999999999</v>
      </c>
      <c r="N511" s="2" t="s">
        <v>22</v>
      </c>
      <c r="O511" s="2">
        <v>1</v>
      </c>
    </row>
    <row r="512" spans="1:15" x14ac:dyDescent="0.3">
      <c r="A512" s="2" t="s">
        <v>569</v>
      </c>
      <c r="B512" s="1">
        <v>46000</v>
      </c>
      <c r="C512" s="2" t="s">
        <v>90</v>
      </c>
      <c r="D512" s="2" t="s">
        <v>67</v>
      </c>
      <c r="E512" s="2" t="s">
        <v>18</v>
      </c>
      <c r="F512" s="2" t="s">
        <v>68</v>
      </c>
      <c r="G512" s="2" t="s">
        <v>55</v>
      </c>
      <c r="H512" s="2" t="s">
        <v>21</v>
      </c>
      <c r="I512" s="2">
        <v>23</v>
      </c>
      <c r="J512" s="2">
        <v>1</v>
      </c>
      <c r="K512" s="2">
        <v>46517.66</v>
      </c>
      <c r="L512" s="2">
        <v>346.28</v>
      </c>
      <c r="M512" s="2">
        <v>45.05</v>
      </c>
      <c r="N512" s="2" t="s">
        <v>22</v>
      </c>
      <c r="O512" s="2">
        <v>4</v>
      </c>
    </row>
    <row r="513" spans="1:15" x14ac:dyDescent="0.3">
      <c r="A513" s="2" t="s">
        <v>570</v>
      </c>
      <c r="B513" s="1">
        <v>46139</v>
      </c>
      <c r="C513" s="2" t="s">
        <v>54</v>
      </c>
      <c r="D513" s="2" t="s">
        <v>76</v>
      </c>
      <c r="E513" s="2" t="s">
        <v>38</v>
      </c>
      <c r="F513" s="2" t="s">
        <v>34</v>
      </c>
      <c r="G513" s="2" t="s">
        <v>64</v>
      </c>
      <c r="H513" s="2" t="s">
        <v>29</v>
      </c>
      <c r="I513" s="2">
        <v>21</v>
      </c>
      <c r="J513" s="2">
        <v>88</v>
      </c>
      <c r="K513" s="2">
        <v>6668.36</v>
      </c>
      <c r="L513" s="2">
        <v>179.05</v>
      </c>
      <c r="M513" s="2">
        <v>204.44</v>
      </c>
      <c r="N513" s="2" t="s">
        <v>22</v>
      </c>
      <c r="O513" s="2">
        <v>1</v>
      </c>
    </row>
    <row r="514" spans="1:15" x14ac:dyDescent="0.3">
      <c r="A514" s="2" t="s">
        <v>571</v>
      </c>
      <c r="B514" s="1">
        <v>46046</v>
      </c>
      <c r="C514" s="2" t="s">
        <v>16</v>
      </c>
      <c r="D514" s="2" t="s">
        <v>44</v>
      </c>
      <c r="E514" s="2" t="s">
        <v>58</v>
      </c>
      <c r="F514" s="2" t="s">
        <v>39</v>
      </c>
      <c r="G514" s="2" t="s">
        <v>64</v>
      </c>
      <c r="H514" s="2" t="s">
        <v>56</v>
      </c>
      <c r="I514" s="2">
        <v>73</v>
      </c>
      <c r="J514" s="2">
        <v>4</v>
      </c>
      <c r="K514" s="2">
        <v>32797.56</v>
      </c>
      <c r="L514" s="2">
        <v>301.83</v>
      </c>
      <c r="M514" s="2">
        <v>50.72</v>
      </c>
      <c r="N514" s="2" t="s">
        <v>30</v>
      </c>
      <c r="O514" s="2">
        <v>1</v>
      </c>
    </row>
    <row r="515" spans="1:15" x14ac:dyDescent="0.3">
      <c r="A515" s="2" t="s">
        <v>572</v>
      </c>
      <c r="B515" s="1">
        <v>46184</v>
      </c>
      <c r="C515" s="2" t="s">
        <v>74</v>
      </c>
      <c r="D515" s="2" t="s">
        <v>82</v>
      </c>
      <c r="E515" s="2" t="s">
        <v>58</v>
      </c>
      <c r="F515" s="2" t="s">
        <v>34</v>
      </c>
      <c r="G515" s="2" t="s">
        <v>28</v>
      </c>
      <c r="H515" s="2" t="s">
        <v>29</v>
      </c>
      <c r="I515" s="2">
        <v>67</v>
      </c>
      <c r="J515" s="2">
        <v>4</v>
      </c>
      <c r="K515" s="2">
        <v>3109.63</v>
      </c>
      <c r="L515" s="2">
        <v>175.71</v>
      </c>
      <c r="M515" s="2">
        <v>265.12</v>
      </c>
      <c r="N515" s="2" t="s">
        <v>30</v>
      </c>
      <c r="O515" s="2">
        <v>2</v>
      </c>
    </row>
    <row r="516" spans="1:15" x14ac:dyDescent="0.3">
      <c r="A516" s="2" t="s">
        <v>573</v>
      </c>
      <c r="B516" s="1">
        <v>46212</v>
      </c>
      <c r="C516" s="2" t="s">
        <v>54</v>
      </c>
      <c r="D516" s="2" t="s">
        <v>76</v>
      </c>
      <c r="E516" s="2" t="s">
        <v>18</v>
      </c>
      <c r="F516" s="2" t="s">
        <v>19</v>
      </c>
      <c r="G516" s="2" t="s">
        <v>20</v>
      </c>
      <c r="H516" s="2" t="s">
        <v>56</v>
      </c>
      <c r="I516" s="2">
        <v>21</v>
      </c>
      <c r="J516" s="2">
        <v>82</v>
      </c>
      <c r="K516" s="2">
        <v>22585.439999999999</v>
      </c>
      <c r="L516" s="2">
        <v>206.99</v>
      </c>
      <c r="M516" s="2">
        <v>112.3</v>
      </c>
      <c r="N516" s="2" t="s">
        <v>22</v>
      </c>
      <c r="O516" s="2">
        <v>5</v>
      </c>
    </row>
    <row r="517" spans="1:15" x14ac:dyDescent="0.3">
      <c r="A517" s="2" t="s">
        <v>574</v>
      </c>
      <c r="B517" s="1">
        <v>46053</v>
      </c>
      <c r="C517" s="2" t="s">
        <v>41</v>
      </c>
      <c r="D517" s="2" t="s">
        <v>33</v>
      </c>
      <c r="E517" s="2" t="s">
        <v>45</v>
      </c>
      <c r="F517" s="2" t="s">
        <v>19</v>
      </c>
      <c r="G517" s="2" t="s">
        <v>55</v>
      </c>
      <c r="H517" s="2" t="s">
        <v>52</v>
      </c>
      <c r="I517" s="2">
        <v>37</v>
      </c>
      <c r="J517" s="2">
        <v>27</v>
      </c>
      <c r="K517" s="2">
        <v>27921.98</v>
      </c>
      <c r="L517" s="2">
        <v>465.43</v>
      </c>
      <c r="M517" s="2">
        <v>37.19</v>
      </c>
      <c r="N517" s="2" t="s">
        <v>22</v>
      </c>
      <c r="O517" s="2">
        <v>5</v>
      </c>
    </row>
    <row r="518" spans="1:15" x14ac:dyDescent="0.3">
      <c r="A518" s="2" t="s">
        <v>575</v>
      </c>
      <c r="B518" s="1">
        <v>46007</v>
      </c>
      <c r="C518" s="2" t="s">
        <v>43</v>
      </c>
      <c r="D518" s="2" t="s">
        <v>17</v>
      </c>
      <c r="E518" s="2" t="s">
        <v>26</v>
      </c>
      <c r="F518" s="2" t="s">
        <v>34</v>
      </c>
      <c r="G518" s="2" t="s">
        <v>55</v>
      </c>
      <c r="H518" s="2" t="s">
        <v>21</v>
      </c>
      <c r="I518" s="2">
        <v>22</v>
      </c>
      <c r="J518" s="2">
        <v>43</v>
      </c>
      <c r="K518" s="2">
        <v>15248.77</v>
      </c>
      <c r="L518" s="2">
        <v>142.99</v>
      </c>
      <c r="M518" s="2">
        <v>44.87</v>
      </c>
      <c r="N518" s="2" t="s">
        <v>22</v>
      </c>
      <c r="O518" s="2">
        <v>5</v>
      </c>
    </row>
    <row r="519" spans="1:15" x14ac:dyDescent="0.3">
      <c r="A519" s="2" t="s">
        <v>576</v>
      </c>
      <c r="B519" s="1">
        <v>46062</v>
      </c>
      <c r="C519" s="2" t="s">
        <v>74</v>
      </c>
      <c r="D519" s="2" t="s">
        <v>17</v>
      </c>
      <c r="E519" s="2" t="s">
        <v>45</v>
      </c>
      <c r="F519" s="2" t="s">
        <v>68</v>
      </c>
      <c r="G519" s="2" t="s">
        <v>55</v>
      </c>
      <c r="H519" s="2" t="s">
        <v>52</v>
      </c>
      <c r="I519" s="2">
        <v>49</v>
      </c>
      <c r="J519" s="2">
        <v>59</v>
      </c>
      <c r="K519" s="2">
        <v>23026.240000000002</v>
      </c>
      <c r="L519" s="2">
        <v>443.35</v>
      </c>
      <c r="M519" s="2">
        <v>98.77</v>
      </c>
      <c r="N519" s="2" t="s">
        <v>30</v>
      </c>
      <c r="O519" s="2">
        <v>3</v>
      </c>
    </row>
    <row r="520" spans="1:15" x14ac:dyDescent="0.3">
      <c r="A520" s="2" t="s">
        <v>577</v>
      </c>
      <c r="B520" s="1">
        <v>46130</v>
      </c>
      <c r="C520" s="2" t="s">
        <v>43</v>
      </c>
      <c r="D520" s="2" t="s">
        <v>49</v>
      </c>
      <c r="E520" s="2" t="s">
        <v>38</v>
      </c>
      <c r="F520" s="2" t="s">
        <v>68</v>
      </c>
      <c r="G520" s="2" t="s">
        <v>28</v>
      </c>
      <c r="H520" s="2" t="s">
        <v>56</v>
      </c>
      <c r="I520" s="2">
        <v>40</v>
      </c>
      <c r="J520" s="2">
        <v>32</v>
      </c>
      <c r="K520" s="2">
        <v>8595.91</v>
      </c>
      <c r="L520" s="2">
        <v>63.71</v>
      </c>
      <c r="M520" s="2">
        <v>192.32</v>
      </c>
      <c r="N520" s="2" t="s">
        <v>22</v>
      </c>
      <c r="O520" s="2">
        <v>2</v>
      </c>
    </row>
    <row r="521" spans="1:15" x14ac:dyDescent="0.3">
      <c r="A521" s="2" t="s">
        <v>578</v>
      </c>
      <c r="B521" s="1">
        <v>45998</v>
      </c>
      <c r="C521" s="2" t="s">
        <v>54</v>
      </c>
      <c r="D521" s="2" t="s">
        <v>25</v>
      </c>
      <c r="E521" s="2" t="s">
        <v>26</v>
      </c>
      <c r="F521" s="2" t="s">
        <v>68</v>
      </c>
      <c r="G521" s="2" t="s">
        <v>64</v>
      </c>
      <c r="H521" s="2" t="s">
        <v>29</v>
      </c>
      <c r="I521" s="2">
        <v>26</v>
      </c>
      <c r="J521" s="2">
        <v>33</v>
      </c>
      <c r="K521" s="2">
        <v>15554.13</v>
      </c>
      <c r="L521" s="2">
        <v>90.89</v>
      </c>
      <c r="M521" s="2">
        <v>230.9</v>
      </c>
      <c r="N521" s="2" t="s">
        <v>30</v>
      </c>
      <c r="O521" s="2">
        <v>5</v>
      </c>
    </row>
    <row r="522" spans="1:15" x14ac:dyDescent="0.3">
      <c r="A522" s="2" t="s">
        <v>579</v>
      </c>
      <c r="B522" s="1">
        <v>46174</v>
      </c>
      <c r="C522" s="2" t="s">
        <v>43</v>
      </c>
      <c r="D522" s="2" t="s">
        <v>25</v>
      </c>
      <c r="E522" s="2" t="s">
        <v>18</v>
      </c>
      <c r="F522" s="2" t="s">
        <v>34</v>
      </c>
      <c r="G522" s="2" t="s">
        <v>20</v>
      </c>
      <c r="H522" s="2" t="s">
        <v>29</v>
      </c>
      <c r="I522" s="2">
        <v>28</v>
      </c>
      <c r="J522" s="2">
        <v>28</v>
      </c>
      <c r="K522" s="2">
        <v>31244.76</v>
      </c>
      <c r="L522" s="2">
        <v>434.6</v>
      </c>
      <c r="M522" s="2">
        <v>146.49</v>
      </c>
      <c r="N522" s="2" t="s">
        <v>30</v>
      </c>
      <c r="O522" s="2">
        <v>5</v>
      </c>
    </row>
    <row r="523" spans="1:15" x14ac:dyDescent="0.3">
      <c r="A523" s="2" t="s">
        <v>580</v>
      </c>
      <c r="B523" s="1">
        <v>46081</v>
      </c>
      <c r="C523" s="2" t="s">
        <v>16</v>
      </c>
      <c r="D523" s="2" t="s">
        <v>47</v>
      </c>
      <c r="E523" s="2" t="s">
        <v>18</v>
      </c>
      <c r="F523" s="2" t="s">
        <v>68</v>
      </c>
      <c r="G523" s="2" t="s">
        <v>35</v>
      </c>
      <c r="H523" s="2" t="s">
        <v>52</v>
      </c>
      <c r="I523" s="2">
        <v>49</v>
      </c>
      <c r="J523" s="2">
        <v>106</v>
      </c>
      <c r="K523" s="2">
        <v>15439.1</v>
      </c>
      <c r="L523" s="2">
        <v>333.75</v>
      </c>
      <c r="M523" s="2">
        <v>67.540000000000006</v>
      </c>
      <c r="N523" s="2" t="s">
        <v>30</v>
      </c>
      <c r="O523" s="2">
        <v>2</v>
      </c>
    </row>
    <row r="524" spans="1:15" x14ac:dyDescent="0.3">
      <c r="A524" s="2" t="s">
        <v>581</v>
      </c>
      <c r="B524" s="1">
        <v>46092</v>
      </c>
      <c r="C524" s="2" t="s">
        <v>74</v>
      </c>
      <c r="D524" s="2" t="s">
        <v>49</v>
      </c>
      <c r="E524" s="2" t="s">
        <v>26</v>
      </c>
      <c r="F524" s="2" t="s">
        <v>39</v>
      </c>
      <c r="G524" s="2" t="s">
        <v>64</v>
      </c>
      <c r="H524" s="2" t="s">
        <v>56</v>
      </c>
      <c r="I524" s="2">
        <v>68</v>
      </c>
      <c r="J524" s="2">
        <v>105</v>
      </c>
      <c r="K524" s="2">
        <v>45037.279999999999</v>
      </c>
      <c r="L524" s="2">
        <v>386.26</v>
      </c>
      <c r="M524" s="2">
        <v>109.85</v>
      </c>
      <c r="N524" s="2" t="s">
        <v>30</v>
      </c>
      <c r="O524" s="2">
        <v>1</v>
      </c>
    </row>
    <row r="525" spans="1:15" x14ac:dyDescent="0.3">
      <c r="A525" s="2" t="s">
        <v>582</v>
      </c>
      <c r="B525" s="1">
        <v>46211</v>
      </c>
      <c r="C525" s="2" t="s">
        <v>16</v>
      </c>
      <c r="D525" s="2" t="s">
        <v>78</v>
      </c>
      <c r="E525" s="2" t="s">
        <v>58</v>
      </c>
      <c r="F525" s="2" t="s">
        <v>19</v>
      </c>
      <c r="G525" s="2" t="s">
        <v>28</v>
      </c>
      <c r="H525" s="2" t="s">
        <v>52</v>
      </c>
      <c r="I525" s="2">
        <v>71</v>
      </c>
      <c r="J525" s="2">
        <v>55</v>
      </c>
      <c r="K525" s="2">
        <v>31606.14</v>
      </c>
      <c r="L525" s="2">
        <v>144.24</v>
      </c>
      <c r="M525" s="2">
        <v>149.66999999999999</v>
      </c>
      <c r="N525" s="2" t="s">
        <v>30</v>
      </c>
      <c r="O525" s="2">
        <v>5</v>
      </c>
    </row>
    <row r="526" spans="1:15" x14ac:dyDescent="0.3">
      <c r="A526" s="2" t="s">
        <v>583</v>
      </c>
      <c r="B526" s="1">
        <v>46078</v>
      </c>
      <c r="C526" s="2" t="s">
        <v>54</v>
      </c>
      <c r="D526" s="2" t="s">
        <v>47</v>
      </c>
      <c r="E526" s="2" t="s">
        <v>26</v>
      </c>
      <c r="F526" s="2" t="s">
        <v>39</v>
      </c>
      <c r="G526" s="2" t="s">
        <v>64</v>
      </c>
      <c r="H526" s="2" t="s">
        <v>52</v>
      </c>
      <c r="I526" s="2">
        <v>53</v>
      </c>
      <c r="J526" s="2">
        <v>100</v>
      </c>
      <c r="K526" s="2">
        <v>22213.13</v>
      </c>
      <c r="L526" s="2">
        <v>291.69</v>
      </c>
      <c r="M526" s="2">
        <v>156.79</v>
      </c>
      <c r="N526" s="2" t="s">
        <v>30</v>
      </c>
      <c r="O526" s="2">
        <v>1</v>
      </c>
    </row>
    <row r="527" spans="1:15" x14ac:dyDescent="0.3">
      <c r="A527" s="2" t="s">
        <v>584</v>
      </c>
      <c r="B527" s="1">
        <v>46097</v>
      </c>
      <c r="C527" s="2" t="s">
        <v>16</v>
      </c>
      <c r="D527" s="2" t="s">
        <v>78</v>
      </c>
      <c r="E527" s="2" t="s">
        <v>38</v>
      </c>
      <c r="F527" s="2" t="s">
        <v>68</v>
      </c>
      <c r="G527" s="2" t="s">
        <v>64</v>
      </c>
      <c r="H527" s="2" t="s">
        <v>21</v>
      </c>
      <c r="I527" s="2">
        <v>23</v>
      </c>
      <c r="J527" s="2">
        <v>60</v>
      </c>
      <c r="K527" s="2">
        <v>2418.4699999999998</v>
      </c>
      <c r="L527" s="2">
        <v>381.75</v>
      </c>
      <c r="M527" s="2">
        <v>64.92</v>
      </c>
      <c r="N527" s="2" t="s">
        <v>30</v>
      </c>
      <c r="O527" s="2">
        <v>5</v>
      </c>
    </row>
    <row r="528" spans="1:15" x14ac:dyDescent="0.3">
      <c r="A528" s="2" t="s">
        <v>585</v>
      </c>
      <c r="B528" s="1">
        <v>45912</v>
      </c>
      <c r="C528" s="2" t="s">
        <v>41</v>
      </c>
      <c r="D528" s="2" t="s">
        <v>25</v>
      </c>
      <c r="E528" s="2" t="s">
        <v>58</v>
      </c>
      <c r="F528" s="2" t="s">
        <v>39</v>
      </c>
      <c r="G528" s="2" t="s">
        <v>28</v>
      </c>
      <c r="H528" s="2" t="s">
        <v>52</v>
      </c>
      <c r="I528" s="2">
        <v>55</v>
      </c>
      <c r="J528" s="2">
        <v>70</v>
      </c>
      <c r="K528" s="2">
        <v>25227.64</v>
      </c>
      <c r="L528" s="2">
        <v>332.29</v>
      </c>
      <c r="M528" s="2">
        <v>144.22999999999999</v>
      </c>
      <c r="N528" s="2" t="s">
        <v>30</v>
      </c>
      <c r="O528" s="2">
        <v>4</v>
      </c>
    </row>
    <row r="529" spans="1:15" x14ac:dyDescent="0.3">
      <c r="A529" s="2" t="s">
        <v>586</v>
      </c>
      <c r="B529" s="1">
        <v>46153</v>
      </c>
      <c r="C529" s="2" t="s">
        <v>54</v>
      </c>
      <c r="D529" s="2" t="s">
        <v>49</v>
      </c>
      <c r="E529" s="2" t="s">
        <v>18</v>
      </c>
      <c r="F529" s="2" t="s">
        <v>68</v>
      </c>
      <c r="G529" s="2" t="s">
        <v>55</v>
      </c>
      <c r="H529" s="2" t="s">
        <v>21</v>
      </c>
      <c r="I529" s="2">
        <v>25</v>
      </c>
      <c r="J529" s="2">
        <v>62</v>
      </c>
      <c r="K529" s="2">
        <v>38356.42</v>
      </c>
      <c r="L529" s="2">
        <v>262.26</v>
      </c>
      <c r="M529" s="2">
        <v>131.56</v>
      </c>
      <c r="N529" s="2" t="s">
        <v>22</v>
      </c>
      <c r="O529" s="2">
        <v>3</v>
      </c>
    </row>
    <row r="530" spans="1:15" x14ac:dyDescent="0.3">
      <c r="A530" s="2" t="s">
        <v>587</v>
      </c>
      <c r="B530" s="1">
        <v>46134</v>
      </c>
      <c r="C530" s="2" t="s">
        <v>54</v>
      </c>
      <c r="D530" s="2" t="s">
        <v>78</v>
      </c>
      <c r="E530" s="2" t="s">
        <v>26</v>
      </c>
      <c r="F530" s="2" t="s">
        <v>34</v>
      </c>
      <c r="G530" s="2" t="s">
        <v>55</v>
      </c>
      <c r="H530" s="2" t="s">
        <v>21</v>
      </c>
      <c r="I530" s="2">
        <v>47</v>
      </c>
      <c r="J530" s="2">
        <v>80</v>
      </c>
      <c r="K530" s="2">
        <v>13645.1</v>
      </c>
      <c r="L530" s="2">
        <v>481.9</v>
      </c>
      <c r="M530" s="2">
        <v>191.82</v>
      </c>
      <c r="N530" s="2" t="s">
        <v>22</v>
      </c>
      <c r="O530" s="2">
        <v>5</v>
      </c>
    </row>
    <row r="531" spans="1:15" x14ac:dyDescent="0.3">
      <c r="A531" s="2" t="s">
        <v>588</v>
      </c>
      <c r="B531" s="1">
        <v>46009</v>
      </c>
      <c r="C531" s="2" t="s">
        <v>54</v>
      </c>
      <c r="D531" s="2" t="s">
        <v>44</v>
      </c>
      <c r="E531" s="2" t="s">
        <v>45</v>
      </c>
      <c r="F531" s="2" t="s">
        <v>39</v>
      </c>
      <c r="G531" s="2" t="s">
        <v>20</v>
      </c>
      <c r="H531" s="2" t="s">
        <v>29</v>
      </c>
      <c r="I531" s="2">
        <v>64</v>
      </c>
      <c r="J531" s="2">
        <v>34</v>
      </c>
      <c r="K531" s="2">
        <v>40435.29</v>
      </c>
      <c r="L531" s="2">
        <v>354.27</v>
      </c>
      <c r="M531" s="2">
        <v>279.33</v>
      </c>
      <c r="N531" s="2" t="s">
        <v>30</v>
      </c>
      <c r="O531" s="2">
        <v>4</v>
      </c>
    </row>
    <row r="532" spans="1:15" x14ac:dyDescent="0.3">
      <c r="A532" s="2" t="s">
        <v>589</v>
      </c>
      <c r="B532" s="1">
        <v>46081</v>
      </c>
      <c r="C532" s="2" t="s">
        <v>90</v>
      </c>
      <c r="D532" s="2" t="s">
        <v>49</v>
      </c>
      <c r="E532" s="2" t="s">
        <v>45</v>
      </c>
      <c r="F532" s="2" t="s">
        <v>34</v>
      </c>
      <c r="G532" s="2" t="s">
        <v>20</v>
      </c>
      <c r="H532" s="2" t="s">
        <v>21</v>
      </c>
      <c r="I532" s="2">
        <v>32</v>
      </c>
      <c r="J532" s="2">
        <v>87</v>
      </c>
      <c r="K532" s="2">
        <v>12964.43</v>
      </c>
      <c r="L532" s="2">
        <v>458.49</v>
      </c>
      <c r="M532" s="2">
        <v>157.88</v>
      </c>
      <c r="N532" s="2" t="s">
        <v>30</v>
      </c>
      <c r="O532" s="2">
        <v>2</v>
      </c>
    </row>
    <row r="533" spans="1:15" x14ac:dyDescent="0.3">
      <c r="A533" s="2" t="s">
        <v>590</v>
      </c>
      <c r="B533" s="1">
        <v>46230</v>
      </c>
      <c r="C533" s="2" t="s">
        <v>43</v>
      </c>
      <c r="D533" s="2" t="s">
        <v>25</v>
      </c>
      <c r="E533" s="2" t="s">
        <v>38</v>
      </c>
      <c r="F533" s="2" t="s">
        <v>34</v>
      </c>
      <c r="G533" s="2" t="s">
        <v>55</v>
      </c>
      <c r="H533" s="2" t="s">
        <v>21</v>
      </c>
      <c r="I533" s="2">
        <v>40</v>
      </c>
      <c r="J533" s="2">
        <v>114</v>
      </c>
      <c r="K533" s="2">
        <v>41275.449999999997</v>
      </c>
      <c r="L533" s="2">
        <v>378.4</v>
      </c>
      <c r="M533" s="2">
        <v>144.68</v>
      </c>
      <c r="N533" s="2" t="s">
        <v>22</v>
      </c>
      <c r="O533" s="2">
        <v>4</v>
      </c>
    </row>
    <row r="534" spans="1:15" x14ac:dyDescent="0.3">
      <c r="A534" s="2" t="s">
        <v>591</v>
      </c>
      <c r="B534" s="1">
        <v>46155</v>
      </c>
      <c r="C534" s="2" t="s">
        <v>90</v>
      </c>
      <c r="D534" s="2" t="s">
        <v>47</v>
      </c>
      <c r="E534" s="2" t="s">
        <v>45</v>
      </c>
      <c r="F534" s="2" t="s">
        <v>27</v>
      </c>
      <c r="G534" s="2" t="s">
        <v>35</v>
      </c>
      <c r="H534" s="2" t="s">
        <v>29</v>
      </c>
      <c r="I534" s="2">
        <v>65</v>
      </c>
      <c r="J534" s="2">
        <v>106</v>
      </c>
      <c r="K534" s="2">
        <v>4720.78</v>
      </c>
      <c r="L534" s="2">
        <v>380.96</v>
      </c>
      <c r="M534" s="2">
        <v>82.22</v>
      </c>
      <c r="N534" s="2" t="s">
        <v>30</v>
      </c>
      <c r="O534" s="2">
        <v>2</v>
      </c>
    </row>
    <row r="535" spans="1:15" x14ac:dyDescent="0.3">
      <c r="A535" s="2" t="s">
        <v>592</v>
      </c>
      <c r="B535" s="1">
        <v>46069</v>
      </c>
      <c r="C535" s="2" t="s">
        <v>90</v>
      </c>
      <c r="D535" s="2" t="s">
        <v>51</v>
      </c>
      <c r="E535" s="2" t="s">
        <v>26</v>
      </c>
      <c r="F535" s="2" t="s">
        <v>68</v>
      </c>
      <c r="G535" s="2" t="s">
        <v>64</v>
      </c>
      <c r="H535" s="2" t="s">
        <v>52</v>
      </c>
      <c r="I535" s="2">
        <v>40</v>
      </c>
      <c r="J535" s="2">
        <v>88</v>
      </c>
      <c r="K535" s="2">
        <v>43376.09</v>
      </c>
      <c r="L535" s="2">
        <v>86.01</v>
      </c>
      <c r="M535" s="2">
        <v>169.19</v>
      </c>
      <c r="N535" s="2" t="s">
        <v>30</v>
      </c>
      <c r="O535" s="2">
        <v>5</v>
      </c>
    </row>
    <row r="536" spans="1:15" x14ac:dyDescent="0.3">
      <c r="A536" s="2" t="s">
        <v>593</v>
      </c>
      <c r="B536" s="1">
        <v>46007</v>
      </c>
      <c r="C536" s="2" t="s">
        <v>41</v>
      </c>
      <c r="D536" s="2" t="s">
        <v>49</v>
      </c>
      <c r="E536" s="2" t="s">
        <v>26</v>
      </c>
      <c r="F536" s="2" t="s">
        <v>19</v>
      </c>
      <c r="G536" s="2" t="s">
        <v>35</v>
      </c>
      <c r="H536" s="2" t="s">
        <v>56</v>
      </c>
      <c r="I536" s="2">
        <v>29</v>
      </c>
      <c r="J536" s="2">
        <v>56</v>
      </c>
      <c r="K536" s="2">
        <v>25209.73</v>
      </c>
      <c r="L536" s="2">
        <v>211.76</v>
      </c>
      <c r="M536" s="2">
        <v>85.5</v>
      </c>
      <c r="N536" s="2" t="s">
        <v>30</v>
      </c>
      <c r="O536" s="2">
        <v>2</v>
      </c>
    </row>
    <row r="537" spans="1:15" x14ac:dyDescent="0.3">
      <c r="A537" s="2" t="s">
        <v>594</v>
      </c>
      <c r="B537" s="1">
        <v>46209</v>
      </c>
      <c r="C537" s="2" t="s">
        <v>74</v>
      </c>
      <c r="D537" s="2" t="s">
        <v>67</v>
      </c>
      <c r="E537" s="2" t="s">
        <v>45</v>
      </c>
      <c r="F537" s="2" t="s">
        <v>68</v>
      </c>
      <c r="G537" s="2" t="s">
        <v>64</v>
      </c>
      <c r="H537" s="2" t="s">
        <v>56</v>
      </c>
      <c r="I537" s="2">
        <v>59</v>
      </c>
      <c r="J537" s="2">
        <v>113</v>
      </c>
      <c r="K537" s="2">
        <v>15178.61</v>
      </c>
      <c r="L537" s="2">
        <v>436.27</v>
      </c>
      <c r="M537" s="2">
        <v>54.45</v>
      </c>
      <c r="N537" s="2" t="s">
        <v>22</v>
      </c>
      <c r="O537" s="2">
        <v>4</v>
      </c>
    </row>
    <row r="538" spans="1:15" x14ac:dyDescent="0.3">
      <c r="A538" s="2" t="s">
        <v>595</v>
      </c>
      <c r="B538" s="1">
        <v>46107</v>
      </c>
      <c r="C538" s="2" t="s">
        <v>43</v>
      </c>
      <c r="D538" s="2" t="s">
        <v>82</v>
      </c>
      <c r="E538" s="2" t="s">
        <v>26</v>
      </c>
      <c r="F538" s="2" t="s">
        <v>19</v>
      </c>
      <c r="G538" s="2" t="s">
        <v>55</v>
      </c>
      <c r="H538" s="2" t="s">
        <v>56</v>
      </c>
      <c r="I538" s="2">
        <v>24</v>
      </c>
      <c r="J538" s="2">
        <v>13</v>
      </c>
      <c r="K538" s="2">
        <v>13623.11</v>
      </c>
      <c r="L538" s="2">
        <v>154.66999999999999</v>
      </c>
      <c r="M538" s="2">
        <v>76.83</v>
      </c>
      <c r="N538" s="2" t="s">
        <v>30</v>
      </c>
      <c r="O538" s="2">
        <v>3</v>
      </c>
    </row>
    <row r="539" spans="1:15" x14ac:dyDescent="0.3">
      <c r="A539" s="2" t="s">
        <v>596</v>
      </c>
      <c r="B539" s="1">
        <v>46063</v>
      </c>
      <c r="C539" s="2" t="s">
        <v>16</v>
      </c>
      <c r="D539" s="2" t="s">
        <v>25</v>
      </c>
      <c r="E539" s="2" t="s">
        <v>38</v>
      </c>
      <c r="F539" s="2" t="s">
        <v>68</v>
      </c>
      <c r="G539" s="2" t="s">
        <v>20</v>
      </c>
      <c r="H539" s="2" t="s">
        <v>52</v>
      </c>
      <c r="I539" s="2">
        <v>71</v>
      </c>
      <c r="J539" s="2">
        <v>56</v>
      </c>
      <c r="K539" s="2">
        <v>21884.52</v>
      </c>
      <c r="L539" s="2">
        <v>101.98</v>
      </c>
      <c r="M539" s="2">
        <v>167.19</v>
      </c>
      <c r="N539" s="2" t="s">
        <v>30</v>
      </c>
      <c r="O539" s="2">
        <v>1</v>
      </c>
    </row>
    <row r="540" spans="1:15" x14ac:dyDescent="0.3">
      <c r="A540" s="2" t="s">
        <v>597</v>
      </c>
      <c r="B540" s="1">
        <v>46090</v>
      </c>
      <c r="C540" s="2" t="s">
        <v>32</v>
      </c>
      <c r="D540" s="2" t="s">
        <v>62</v>
      </c>
      <c r="E540" s="2" t="s">
        <v>58</v>
      </c>
      <c r="F540" s="2" t="s">
        <v>34</v>
      </c>
      <c r="G540" s="2" t="s">
        <v>20</v>
      </c>
      <c r="H540" s="2" t="s">
        <v>21</v>
      </c>
      <c r="I540" s="2">
        <v>74</v>
      </c>
      <c r="J540" s="2">
        <v>18</v>
      </c>
      <c r="K540" s="2">
        <v>49952.95</v>
      </c>
      <c r="L540" s="2">
        <v>196.75</v>
      </c>
      <c r="M540" s="2">
        <v>29.73</v>
      </c>
      <c r="N540" s="2" t="s">
        <v>30</v>
      </c>
      <c r="O540" s="2">
        <v>1</v>
      </c>
    </row>
    <row r="541" spans="1:15" x14ac:dyDescent="0.3">
      <c r="A541" s="2" t="s">
        <v>598</v>
      </c>
      <c r="B541" s="1">
        <v>45905</v>
      </c>
      <c r="C541" s="2" t="s">
        <v>54</v>
      </c>
      <c r="D541" s="2" t="s">
        <v>62</v>
      </c>
      <c r="E541" s="2" t="s">
        <v>38</v>
      </c>
      <c r="F541" s="2" t="s">
        <v>39</v>
      </c>
      <c r="G541" s="2" t="s">
        <v>35</v>
      </c>
      <c r="H541" s="2" t="s">
        <v>56</v>
      </c>
      <c r="I541" s="2">
        <v>39</v>
      </c>
      <c r="J541" s="2">
        <v>54</v>
      </c>
      <c r="K541" s="2">
        <v>11406.21</v>
      </c>
      <c r="L541" s="2">
        <v>149.19999999999999</v>
      </c>
      <c r="M541" s="2">
        <v>91.23</v>
      </c>
      <c r="N541" s="2" t="s">
        <v>30</v>
      </c>
      <c r="O541" s="2">
        <v>3</v>
      </c>
    </row>
    <row r="542" spans="1:15" x14ac:dyDescent="0.3">
      <c r="A542" s="2" t="s">
        <v>599</v>
      </c>
      <c r="B542" s="1">
        <v>46019</v>
      </c>
      <c r="C542" s="2" t="s">
        <v>16</v>
      </c>
      <c r="D542" s="2" t="s">
        <v>47</v>
      </c>
      <c r="E542" s="2" t="s">
        <v>38</v>
      </c>
      <c r="F542" s="2" t="s">
        <v>39</v>
      </c>
      <c r="G542" s="2" t="s">
        <v>20</v>
      </c>
      <c r="H542" s="2" t="s">
        <v>52</v>
      </c>
      <c r="I542" s="2">
        <v>58</v>
      </c>
      <c r="J542" s="2">
        <v>77</v>
      </c>
      <c r="K542" s="2">
        <v>5609.22</v>
      </c>
      <c r="L542" s="2">
        <v>466.38</v>
      </c>
      <c r="M542" s="2">
        <v>98.47</v>
      </c>
      <c r="N542" s="2" t="s">
        <v>30</v>
      </c>
      <c r="O542" s="2">
        <v>1</v>
      </c>
    </row>
    <row r="543" spans="1:15" x14ac:dyDescent="0.3">
      <c r="A543" s="2" t="s">
        <v>600</v>
      </c>
      <c r="B543" s="1">
        <v>45929</v>
      </c>
      <c r="C543" s="2" t="s">
        <v>54</v>
      </c>
      <c r="D543" s="2" t="s">
        <v>47</v>
      </c>
      <c r="E543" s="2" t="s">
        <v>26</v>
      </c>
      <c r="F543" s="2" t="s">
        <v>27</v>
      </c>
      <c r="G543" s="2" t="s">
        <v>55</v>
      </c>
      <c r="H543" s="2" t="s">
        <v>21</v>
      </c>
      <c r="I543" s="2">
        <v>47</v>
      </c>
      <c r="J543" s="2">
        <v>113</v>
      </c>
      <c r="K543" s="2">
        <v>29459.24</v>
      </c>
      <c r="L543" s="2">
        <v>440.58</v>
      </c>
      <c r="M543" s="2">
        <v>7.33</v>
      </c>
      <c r="N543" s="2" t="s">
        <v>30</v>
      </c>
      <c r="O543" s="2">
        <v>5</v>
      </c>
    </row>
    <row r="544" spans="1:15" x14ac:dyDescent="0.3">
      <c r="A544" s="2" t="s">
        <v>601</v>
      </c>
      <c r="B544" s="1">
        <v>45905</v>
      </c>
      <c r="C544" s="2" t="s">
        <v>41</v>
      </c>
      <c r="D544" s="2" t="s">
        <v>76</v>
      </c>
      <c r="E544" s="2" t="s">
        <v>58</v>
      </c>
      <c r="F544" s="2" t="s">
        <v>19</v>
      </c>
      <c r="G544" s="2" t="s">
        <v>35</v>
      </c>
      <c r="H544" s="2" t="s">
        <v>29</v>
      </c>
      <c r="I544" s="2">
        <v>65</v>
      </c>
      <c r="J544" s="2">
        <v>101</v>
      </c>
      <c r="K544" s="2">
        <v>24682.85</v>
      </c>
      <c r="L544" s="2">
        <v>274.86</v>
      </c>
      <c r="M544" s="2">
        <v>58.72</v>
      </c>
      <c r="N544" s="2" t="s">
        <v>30</v>
      </c>
      <c r="O544" s="2">
        <v>5</v>
      </c>
    </row>
    <row r="545" spans="1:15" x14ac:dyDescent="0.3">
      <c r="A545" s="2" t="s">
        <v>602</v>
      </c>
      <c r="B545" s="1">
        <v>45973</v>
      </c>
      <c r="C545" s="2" t="s">
        <v>54</v>
      </c>
      <c r="D545" s="2" t="s">
        <v>82</v>
      </c>
      <c r="E545" s="2" t="s">
        <v>26</v>
      </c>
      <c r="F545" s="2" t="s">
        <v>19</v>
      </c>
      <c r="G545" s="2" t="s">
        <v>64</v>
      </c>
      <c r="H545" s="2" t="s">
        <v>56</v>
      </c>
      <c r="I545" s="2">
        <v>63</v>
      </c>
      <c r="J545" s="2">
        <v>43</v>
      </c>
      <c r="K545" s="2">
        <v>26447.72</v>
      </c>
      <c r="L545" s="2">
        <v>77.599999999999994</v>
      </c>
      <c r="M545" s="2">
        <v>165.35</v>
      </c>
      <c r="N545" s="2" t="s">
        <v>22</v>
      </c>
      <c r="O545" s="2">
        <v>4</v>
      </c>
    </row>
    <row r="546" spans="1:15" x14ac:dyDescent="0.3">
      <c r="A546" s="2" t="s">
        <v>603</v>
      </c>
      <c r="B546" s="1">
        <v>46183</v>
      </c>
      <c r="C546" s="2" t="s">
        <v>90</v>
      </c>
      <c r="D546" s="2" t="s">
        <v>82</v>
      </c>
      <c r="E546" s="2" t="s">
        <v>18</v>
      </c>
      <c r="F546" s="2" t="s">
        <v>19</v>
      </c>
      <c r="G546" s="2" t="s">
        <v>20</v>
      </c>
      <c r="H546" s="2" t="s">
        <v>21</v>
      </c>
      <c r="I546" s="2">
        <v>33</v>
      </c>
      <c r="J546" s="2">
        <v>39</v>
      </c>
      <c r="K546" s="2">
        <v>33513.300000000003</v>
      </c>
      <c r="L546" s="2">
        <v>371.55</v>
      </c>
      <c r="M546" s="2">
        <v>166.15</v>
      </c>
      <c r="N546" s="2" t="s">
        <v>22</v>
      </c>
      <c r="O546" s="2">
        <v>4</v>
      </c>
    </row>
    <row r="547" spans="1:15" x14ac:dyDescent="0.3">
      <c r="A547" s="2" t="s">
        <v>604</v>
      </c>
      <c r="B547" s="1">
        <v>45921</v>
      </c>
      <c r="C547" s="2" t="s">
        <v>43</v>
      </c>
      <c r="D547" s="2" t="s">
        <v>44</v>
      </c>
      <c r="E547" s="2" t="s">
        <v>26</v>
      </c>
      <c r="F547" s="2" t="s">
        <v>34</v>
      </c>
      <c r="G547" s="2" t="s">
        <v>28</v>
      </c>
      <c r="H547" s="2" t="s">
        <v>56</v>
      </c>
      <c r="I547" s="2">
        <v>33</v>
      </c>
      <c r="J547" s="2">
        <v>61</v>
      </c>
      <c r="K547" s="2">
        <v>13723.63</v>
      </c>
      <c r="L547" s="2">
        <v>330.54</v>
      </c>
      <c r="M547" s="2">
        <v>58.48</v>
      </c>
      <c r="N547" s="2" t="s">
        <v>22</v>
      </c>
      <c r="O547" s="2">
        <v>2</v>
      </c>
    </row>
    <row r="548" spans="1:15" x14ac:dyDescent="0.3">
      <c r="A548" s="2" t="s">
        <v>605</v>
      </c>
      <c r="B548" s="1">
        <v>45963</v>
      </c>
      <c r="C548" s="2" t="s">
        <v>32</v>
      </c>
      <c r="D548" s="2" t="s">
        <v>47</v>
      </c>
      <c r="E548" s="2" t="s">
        <v>26</v>
      </c>
      <c r="F548" s="2" t="s">
        <v>19</v>
      </c>
      <c r="G548" s="2" t="s">
        <v>20</v>
      </c>
      <c r="H548" s="2" t="s">
        <v>56</v>
      </c>
      <c r="I548" s="2">
        <v>42</v>
      </c>
      <c r="J548" s="2">
        <v>42</v>
      </c>
      <c r="K548" s="2">
        <v>45577.919999999998</v>
      </c>
      <c r="L548" s="2">
        <v>486.75</v>
      </c>
      <c r="M548" s="2">
        <v>174.98</v>
      </c>
      <c r="N548" s="2" t="s">
        <v>22</v>
      </c>
      <c r="O548" s="2">
        <v>4</v>
      </c>
    </row>
    <row r="549" spans="1:15" x14ac:dyDescent="0.3">
      <c r="A549" s="2" t="s">
        <v>606</v>
      </c>
      <c r="B549" s="1">
        <v>46095</v>
      </c>
      <c r="C549" s="2" t="s">
        <v>24</v>
      </c>
      <c r="D549" s="2" t="s">
        <v>82</v>
      </c>
      <c r="E549" s="2" t="s">
        <v>26</v>
      </c>
      <c r="F549" s="2" t="s">
        <v>39</v>
      </c>
      <c r="G549" s="2" t="s">
        <v>64</v>
      </c>
      <c r="H549" s="2" t="s">
        <v>56</v>
      </c>
      <c r="I549" s="2">
        <v>48</v>
      </c>
      <c r="J549" s="2">
        <v>81</v>
      </c>
      <c r="K549" s="2">
        <v>22065.77</v>
      </c>
      <c r="L549" s="2">
        <v>301.52999999999997</v>
      </c>
      <c r="M549" s="2">
        <v>154.36000000000001</v>
      </c>
      <c r="N549" s="2" t="s">
        <v>30</v>
      </c>
      <c r="O549" s="2">
        <v>5</v>
      </c>
    </row>
    <row r="550" spans="1:15" x14ac:dyDescent="0.3">
      <c r="A550" s="2" t="s">
        <v>607</v>
      </c>
      <c r="B550" s="1">
        <v>46016</v>
      </c>
      <c r="C550" s="2" t="s">
        <v>54</v>
      </c>
      <c r="D550" s="2" t="s">
        <v>60</v>
      </c>
      <c r="E550" s="2" t="s">
        <v>58</v>
      </c>
      <c r="F550" s="2" t="s">
        <v>34</v>
      </c>
      <c r="G550" s="2" t="s">
        <v>35</v>
      </c>
      <c r="H550" s="2" t="s">
        <v>21</v>
      </c>
      <c r="I550" s="2">
        <v>72</v>
      </c>
      <c r="J550" s="2">
        <v>79</v>
      </c>
      <c r="K550" s="2">
        <v>6889.77</v>
      </c>
      <c r="L550" s="2">
        <v>201.38</v>
      </c>
      <c r="M550" s="2">
        <v>83.58</v>
      </c>
      <c r="N550" s="2" t="s">
        <v>22</v>
      </c>
      <c r="O550" s="2">
        <v>4</v>
      </c>
    </row>
    <row r="551" spans="1:15" x14ac:dyDescent="0.3">
      <c r="A551" s="2" t="s">
        <v>608</v>
      </c>
      <c r="B551" s="1">
        <v>46233</v>
      </c>
      <c r="C551" s="2" t="s">
        <v>16</v>
      </c>
      <c r="D551" s="2" t="s">
        <v>76</v>
      </c>
      <c r="E551" s="2" t="s">
        <v>26</v>
      </c>
      <c r="F551" s="2" t="s">
        <v>68</v>
      </c>
      <c r="G551" s="2" t="s">
        <v>64</v>
      </c>
      <c r="H551" s="2" t="s">
        <v>52</v>
      </c>
      <c r="I551" s="2">
        <v>67</v>
      </c>
      <c r="J551" s="2">
        <v>18</v>
      </c>
      <c r="K551" s="2">
        <v>37243.79</v>
      </c>
      <c r="L551" s="2">
        <v>283.56</v>
      </c>
      <c r="M551" s="2">
        <v>149.68</v>
      </c>
      <c r="N551" s="2" t="s">
        <v>30</v>
      </c>
      <c r="O551" s="2">
        <v>1</v>
      </c>
    </row>
    <row r="552" spans="1:15" x14ac:dyDescent="0.3">
      <c r="A552" s="2" t="s">
        <v>609</v>
      </c>
      <c r="B552" s="1">
        <v>45960</v>
      </c>
      <c r="C552" s="2" t="s">
        <v>90</v>
      </c>
      <c r="D552" s="2" t="s">
        <v>78</v>
      </c>
      <c r="E552" s="2" t="s">
        <v>58</v>
      </c>
      <c r="F552" s="2" t="s">
        <v>19</v>
      </c>
      <c r="G552" s="2" t="s">
        <v>28</v>
      </c>
      <c r="H552" s="2" t="s">
        <v>21</v>
      </c>
      <c r="I552" s="2">
        <v>73</v>
      </c>
      <c r="J552" s="2">
        <v>23</v>
      </c>
      <c r="K552" s="2">
        <v>32333.67</v>
      </c>
      <c r="L552" s="2">
        <v>490.67</v>
      </c>
      <c r="M552" s="2">
        <v>192.27</v>
      </c>
      <c r="N552" s="2" t="s">
        <v>30</v>
      </c>
      <c r="O552" s="2">
        <v>2</v>
      </c>
    </row>
    <row r="553" spans="1:15" x14ac:dyDescent="0.3">
      <c r="A553" s="2" t="s">
        <v>610</v>
      </c>
      <c r="B553" s="1">
        <v>45875</v>
      </c>
      <c r="C553" s="2" t="s">
        <v>24</v>
      </c>
      <c r="D553" s="2" t="s">
        <v>17</v>
      </c>
      <c r="E553" s="2" t="s">
        <v>45</v>
      </c>
      <c r="F553" s="2" t="s">
        <v>19</v>
      </c>
      <c r="G553" s="2" t="s">
        <v>55</v>
      </c>
      <c r="H553" s="2" t="s">
        <v>56</v>
      </c>
      <c r="I553" s="2">
        <v>65</v>
      </c>
      <c r="J553" s="2">
        <v>54</v>
      </c>
      <c r="K553" s="2">
        <v>16129.3</v>
      </c>
      <c r="L553" s="2">
        <v>363.36</v>
      </c>
      <c r="M553" s="2">
        <v>91.79</v>
      </c>
      <c r="N553" s="2" t="s">
        <v>22</v>
      </c>
      <c r="O553" s="2">
        <v>2</v>
      </c>
    </row>
    <row r="554" spans="1:15" x14ac:dyDescent="0.3">
      <c r="A554" s="2" t="s">
        <v>611</v>
      </c>
      <c r="B554" s="1">
        <v>45926</v>
      </c>
      <c r="C554" s="2" t="s">
        <v>32</v>
      </c>
      <c r="D554" s="2" t="s">
        <v>17</v>
      </c>
      <c r="E554" s="2" t="s">
        <v>18</v>
      </c>
      <c r="F554" s="2" t="s">
        <v>68</v>
      </c>
      <c r="G554" s="2" t="s">
        <v>20</v>
      </c>
      <c r="H554" s="2" t="s">
        <v>21</v>
      </c>
      <c r="I554" s="2">
        <v>42</v>
      </c>
      <c r="J554" s="2">
        <v>115</v>
      </c>
      <c r="K554" s="2">
        <v>31265.18</v>
      </c>
      <c r="L554" s="2">
        <v>352.39</v>
      </c>
      <c r="M554" s="2">
        <v>47.69</v>
      </c>
      <c r="N554" s="2" t="s">
        <v>22</v>
      </c>
      <c r="O554" s="2">
        <v>5</v>
      </c>
    </row>
    <row r="555" spans="1:15" x14ac:dyDescent="0.3">
      <c r="A555" s="2" t="s">
        <v>612</v>
      </c>
      <c r="B555" s="1">
        <v>45879</v>
      </c>
      <c r="C555" s="2" t="s">
        <v>24</v>
      </c>
      <c r="D555" s="2" t="s">
        <v>78</v>
      </c>
      <c r="E555" s="2" t="s">
        <v>58</v>
      </c>
      <c r="F555" s="2" t="s">
        <v>19</v>
      </c>
      <c r="G555" s="2" t="s">
        <v>35</v>
      </c>
      <c r="H555" s="2" t="s">
        <v>29</v>
      </c>
      <c r="I555" s="2">
        <v>63</v>
      </c>
      <c r="J555" s="2">
        <v>30</v>
      </c>
      <c r="K555" s="2">
        <v>11383.17</v>
      </c>
      <c r="L555" s="2">
        <v>158.31</v>
      </c>
      <c r="M555" s="2">
        <v>282.54000000000002</v>
      </c>
      <c r="N555" s="2" t="s">
        <v>22</v>
      </c>
      <c r="O555" s="2">
        <v>4</v>
      </c>
    </row>
    <row r="556" spans="1:15" x14ac:dyDescent="0.3">
      <c r="A556" s="2" t="s">
        <v>613</v>
      </c>
      <c r="B556" s="1">
        <v>45890</v>
      </c>
      <c r="C556" s="2" t="s">
        <v>90</v>
      </c>
      <c r="D556" s="2" t="s">
        <v>86</v>
      </c>
      <c r="E556" s="2" t="s">
        <v>45</v>
      </c>
      <c r="F556" s="2" t="s">
        <v>68</v>
      </c>
      <c r="G556" s="2" t="s">
        <v>55</v>
      </c>
      <c r="H556" s="2" t="s">
        <v>52</v>
      </c>
      <c r="I556" s="2">
        <v>39</v>
      </c>
      <c r="J556" s="2">
        <v>98</v>
      </c>
      <c r="K556" s="2">
        <v>22519.55</v>
      </c>
      <c r="L556" s="2">
        <v>384.62</v>
      </c>
      <c r="M556" s="2">
        <v>120.75</v>
      </c>
      <c r="N556" s="2" t="s">
        <v>30</v>
      </c>
      <c r="O556" s="2">
        <v>1</v>
      </c>
    </row>
    <row r="557" spans="1:15" x14ac:dyDescent="0.3">
      <c r="A557" s="2" t="s">
        <v>614</v>
      </c>
      <c r="B557" s="1">
        <v>46194</v>
      </c>
      <c r="C557" s="2" t="s">
        <v>43</v>
      </c>
      <c r="D557" s="2" t="s">
        <v>25</v>
      </c>
      <c r="E557" s="2" t="s">
        <v>58</v>
      </c>
      <c r="F557" s="2" t="s">
        <v>34</v>
      </c>
      <c r="G557" s="2" t="s">
        <v>64</v>
      </c>
      <c r="H557" s="2" t="s">
        <v>21</v>
      </c>
      <c r="I557" s="2">
        <v>28</v>
      </c>
      <c r="J557" s="2">
        <v>58</v>
      </c>
      <c r="K557" s="2">
        <v>45020.92</v>
      </c>
      <c r="L557" s="2">
        <v>387.62</v>
      </c>
      <c r="M557" s="2">
        <v>21.05</v>
      </c>
      <c r="N557" s="2" t="s">
        <v>22</v>
      </c>
      <c r="O557" s="2">
        <v>4</v>
      </c>
    </row>
    <row r="558" spans="1:15" x14ac:dyDescent="0.3">
      <c r="A558" s="2" t="s">
        <v>615</v>
      </c>
      <c r="B558" s="1">
        <v>46012</v>
      </c>
      <c r="C558" s="2" t="s">
        <v>43</v>
      </c>
      <c r="D558" s="2" t="s">
        <v>76</v>
      </c>
      <c r="E558" s="2" t="s">
        <v>58</v>
      </c>
      <c r="F558" s="2" t="s">
        <v>39</v>
      </c>
      <c r="G558" s="2" t="s">
        <v>35</v>
      </c>
      <c r="H558" s="2" t="s">
        <v>29</v>
      </c>
      <c r="I558" s="2">
        <v>72</v>
      </c>
      <c r="J558" s="2">
        <v>68</v>
      </c>
      <c r="K558" s="2">
        <v>7109.94</v>
      </c>
      <c r="L558" s="2">
        <v>192.78</v>
      </c>
      <c r="M558" s="2">
        <v>171.81</v>
      </c>
      <c r="N558" s="2" t="s">
        <v>22</v>
      </c>
      <c r="O558" s="2">
        <v>3</v>
      </c>
    </row>
    <row r="559" spans="1:15" x14ac:dyDescent="0.3">
      <c r="A559" s="2" t="s">
        <v>616</v>
      </c>
      <c r="B559" s="1">
        <v>46094</v>
      </c>
      <c r="C559" s="2" t="s">
        <v>74</v>
      </c>
      <c r="D559" s="2" t="s">
        <v>60</v>
      </c>
      <c r="E559" s="2" t="s">
        <v>18</v>
      </c>
      <c r="F559" s="2" t="s">
        <v>68</v>
      </c>
      <c r="G559" s="2" t="s">
        <v>55</v>
      </c>
      <c r="H559" s="2" t="s">
        <v>52</v>
      </c>
      <c r="I559" s="2">
        <v>28</v>
      </c>
      <c r="J559" s="2">
        <v>67</v>
      </c>
      <c r="K559" s="2">
        <v>19641.47</v>
      </c>
      <c r="L559" s="2">
        <v>267.67</v>
      </c>
      <c r="M559" s="2">
        <v>100.12</v>
      </c>
      <c r="N559" s="2" t="s">
        <v>30</v>
      </c>
      <c r="O559" s="2">
        <v>4</v>
      </c>
    </row>
    <row r="560" spans="1:15" x14ac:dyDescent="0.3">
      <c r="A560" s="2" t="s">
        <v>617</v>
      </c>
      <c r="B560" s="1">
        <v>45979</v>
      </c>
      <c r="C560" s="2" t="s">
        <v>43</v>
      </c>
      <c r="D560" s="2" t="s">
        <v>82</v>
      </c>
      <c r="E560" s="2" t="s">
        <v>38</v>
      </c>
      <c r="F560" s="2" t="s">
        <v>27</v>
      </c>
      <c r="G560" s="2" t="s">
        <v>35</v>
      </c>
      <c r="H560" s="2" t="s">
        <v>29</v>
      </c>
      <c r="I560" s="2">
        <v>62</v>
      </c>
      <c r="J560" s="2">
        <v>71</v>
      </c>
      <c r="K560" s="2">
        <v>41146.550000000003</v>
      </c>
      <c r="L560" s="2">
        <v>182.57</v>
      </c>
      <c r="M560" s="2">
        <v>256.68</v>
      </c>
      <c r="N560" s="2" t="s">
        <v>30</v>
      </c>
      <c r="O560" s="2">
        <v>5</v>
      </c>
    </row>
    <row r="561" spans="1:15" x14ac:dyDescent="0.3">
      <c r="A561" s="2" t="s">
        <v>618</v>
      </c>
      <c r="B561" s="1">
        <v>46194</v>
      </c>
      <c r="C561" s="2" t="s">
        <v>74</v>
      </c>
      <c r="D561" s="2" t="s">
        <v>51</v>
      </c>
      <c r="E561" s="2" t="s">
        <v>38</v>
      </c>
      <c r="F561" s="2" t="s">
        <v>68</v>
      </c>
      <c r="G561" s="2" t="s">
        <v>28</v>
      </c>
      <c r="H561" s="2" t="s">
        <v>52</v>
      </c>
      <c r="I561" s="2">
        <v>46</v>
      </c>
      <c r="J561" s="2">
        <v>18</v>
      </c>
      <c r="K561" s="2">
        <v>48489.8</v>
      </c>
      <c r="L561" s="2">
        <v>166.42</v>
      </c>
      <c r="M561" s="2">
        <v>106.14</v>
      </c>
      <c r="N561" s="2" t="s">
        <v>30</v>
      </c>
      <c r="O561" s="2">
        <v>4</v>
      </c>
    </row>
    <row r="562" spans="1:15" x14ac:dyDescent="0.3">
      <c r="A562" s="2" t="s">
        <v>619</v>
      </c>
      <c r="B562" s="1">
        <v>45986</v>
      </c>
      <c r="C562" s="2" t="s">
        <v>24</v>
      </c>
      <c r="D562" s="2" t="s">
        <v>76</v>
      </c>
      <c r="E562" s="2" t="s">
        <v>58</v>
      </c>
      <c r="F562" s="2" t="s">
        <v>19</v>
      </c>
      <c r="G562" s="2" t="s">
        <v>28</v>
      </c>
      <c r="H562" s="2" t="s">
        <v>21</v>
      </c>
      <c r="I562" s="2">
        <v>68</v>
      </c>
      <c r="J562" s="2">
        <v>106</v>
      </c>
      <c r="K562" s="2">
        <v>22969.34</v>
      </c>
      <c r="L562" s="2">
        <v>61.65</v>
      </c>
      <c r="M562" s="2">
        <v>51.05</v>
      </c>
      <c r="N562" s="2" t="s">
        <v>22</v>
      </c>
      <c r="O562" s="2">
        <v>2</v>
      </c>
    </row>
    <row r="563" spans="1:15" x14ac:dyDescent="0.3">
      <c r="A563" s="2" t="s">
        <v>620</v>
      </c>
      <c r="B563" s="1">
        <v>45972</v>
      </c>
      <c r="C563" s="2" t="s">
        <v>41</v>
      </c>
      <c r="D563" s="2" t="s">
        <v>49</v>
      </c>
      <c r="E563" s="2" t="s">
        <v>26</v>
      </c>
      <c r="F563" s="2" t="s">
        <v>34</v>
      </c>
      <c r="G563" s="2" t="s">
        <v>20</v>
      </c>
      <c r="H563" s="2" t="s">
        <v>29</v>
      </c>
      <c r="I563" s="2">
        <v>71</v>
      </c>
      <c r="J563" s="2">
        <v>7</v>
      </c>
      <c r="K563" s="2">
        <v>25596.48</v>
      </c>
      <c r="L563" s="2">
        <v>178.35</v>
      </c>
      <c r="M563" s="2">
        <v>202.7</v>
      </c>
      <c r="N563" s="2" t="s">
        <v>30</v>
      </c>
      <c r="O563" s="2">
        <v>1</v>
      </c>
    </row>
    <row r="564" spans="1:15" x14ac:dyDescent="0.3">
      <c r="A564" s="2" t="s">
        <v>621</v>
      </c>
      <c r="B564" s="1">
        <v>45978</v>
      </c>
      <c r="C564" s="2" t="s">
        <v>16</v>
      </c>
      <c r="D564" s="2" t="s">
        <v>78</v>
      </c>
      <c r="E564" s="2" t="s">
        <v>45</v>
      </c>
      <c r="F564" s="2" t="s">
        <v>34</v>
      </c>
      <c r="G564" s="2" t="s">
        <v>20</v>
      </c>
      <c r="H564" s="2" t="s">
        <v>56</v>
      </c>
      <c r="I564" s="2">
        <v>46</v>
      </c>
      <c r="J564" s="2">
        <v>40</v>
      </c>
      <c r="K564" s="2">
        <v>28822.51</v>
      </c>
      <c r="L564" s="2">
        <v>299.29000000000002</v>
      </c>
      <c r="M564" s="2">
        <v>108.52</v>
      </c>
      <c r="N564" s="2" t="s">
        <v>30</v>
      </c>
      <c r="O564" s="2">
        <v>5</v>
      </c>
    </row>
    <row r="565" spans="1:15" x14ac:dyDescent="0.3">
      <c r="A565" s="2" t="s">
        <v>622</v>
      </c>
      <c r="B565" s="1">
        <v>45919</v>
      </c>
      <c r="C565" s="2" t="s">
        <v>16</v>
      </c>
      <c r="D565" s="2" t="s">
        <v>60</v>
      </c>
      <c r="E565" s="2" t="s">
        <v>26</v>
      </c>
      <c r="F565" s="2" t="s">
        <v>68</v>
      </c>
      <c r="G565" s="2" t="s">
        <v>28</v>
      </c>
      <c r="H565" s="2" t="s">
        <v>29</v>
      </c>
      <c r="I565" s="2">
        <v>43</v>
      </c>
      <c r="J565" s="2">
        <v>70</v>
      </c>
      <c r="K565" s="2">
        <v>46651.23</v>
      </c>
      <c r="L565" s="2">
        <v>50.72</v>
      </c>
      <c r="M565" s="2">
        <v>69.91</v>
      </c>
      <c r="N565" s="2" t="s">
        <v>30</v>
      </c>
      <c r="O565" s="2">
        <v>3</v>
      </c>
    </row>
    <row r="566" spans="1:15" x14ac:dyDescent="0.3">
      <c r="A566" s="2" t="s">
        <v>623</v>
      </c>
      <c r="B566" s="1">
        <v>46226</v>
      </c>
      <c r="C566" s="2" t="s">
        <v>24</v>
      </c>
      <c r="D566" s="2" t="s">
        <v>67</v>
      </c>
      <c r="E566" s="2" t="s">
        <v>26</v>
      </c>
      <c r="F566" s="2" t="s">
        <v>39</v>
      </c>
      <c r="G566" s="2" t="s">
        <v>35</v>
      </c>
      <c r="H566" s="2" t="s">
        <v>52</v>
      </c>
      <c r="I566" s="2">
        <v>63</v>
      </c>
      <c r="J566" s="2">
        <v>86</v>
      </c>
      <c r="K566" s="2">
        <v>42981.24</v>
      </c>
      <c r="L566" s="2">
        <v>177.45</v>
      </c>
      <c r="M566" s="2">
        <v>114.73</v>
      </c>
      <c r="N566" s="2" t="s">
        <v>30</v>
      </c>
      <c r="O566" s="2">
        <v>1</v>
      </c>
    </row>
    <row r="567" spans="1:15" x14ac:dyDescent="0.3">
      <c r="A567" s="2" t="s">
        <v>624</v>
      </c>
      <c r="B567" s="1">
        <v>46147</v>
      </c>
      <c r="C567" s="2" t="s">
        <v>54</v>
      </c>
      <c r="D567" s="2" t="s">
        <v>37</v>
      </c>
      <c r="E567" s="2" t="s">
        <v>58</v>
      </c>
      <c r="F567" s="2" t="s">
        <v>27</v>
      </c>
      <c r="G567" s="2" t="s">
        <v>28</v>
      </c>
      <c r="H567" s="2" t="s">
        <v>21</v>
      </c>
      <c r="I567" s="2">
        <v>33</v>
      </c>
      <c r="J567" s="2">
        <v>65</v>
      </c>
      <c r="K567" s="2">
        <v>8944.76</v>
      </c>
      <c r="L567" s="2">
        <v>446.63</v>
      </c>
      <c r="M567" s="2">
        <v>164.31</v>
      </c>
      <c r="N567" s="2" t="s">
        <v>22</v>
      </c>
      <c r="O567" s="2">
        <v>1</v>
      </c>
    </row>
    <row r="568" spans="1:15" x14ac:dyDescent="0.3">
      <c r="A568" s="2" t="s">
        <v>625</v>
      </c>
      <c r="B568" s="1">
        <v>45911</v>
      </c>
      <c r="C568" s="2" t="s">
        <v>54</v>
      </c>
      <c r="D568" s="2" t="s">
        <v>33</v>
      </c>
      <c r="E568" s="2" t="s">
        <v>58</v>
      </c>
      <c r="F568" s="2" t="s">
        <v>34</v>
      </c>
      <c r="G568" s="2" t="s">
        <v>20</v>
      </c>
      <c r="H568" s="2" t="s">
        <v>52</v>
      </c>
      <c r="I568" s="2">
        <v>48</v>
      </c>
      <c r="J568" s="2">
        <v>68</v>
      </c>
      <c r="K568" s="2">
        <v>22119.51</v>
      </c>
      <c r="L568" s="2">
        <v>317.14</v>
      </c>
      <c r="M568" s="2">
        <v>5.71</v>
      </c>
      <c r="N568" s="2" t="s">
        <v>30</v>
      </c>
      <c r="O568" s="2">
        <v>2</v>
      </c>
    </row>
    <row r="569" spans="1:15" x14ac:dyDescent="0.3">
      <c r="A569" s="2" t="s">
        <v>626</v>
      </c>
      <c r="B569" s="1">
        <v>46214</v>
      </c>
      <c r="C569" s="2" t="s">
        <v>43</v>
      </c>
      <c r="D569" s="2" t="s">
        <v>25</v>
      </c>
      <c r="E569" s="2" t="s">
        <v>58</v>
      </c>
      <c r="F569" s="2" t="s">
        <v>19</v>
      </c>
      <c r="G569" s="2" t="s">
        <v>28</v>
      </c>
      <c r="H569" s="2" t="s">
        <v>29</v>
      </c>
      <c r="I569" s="2">
        <v>29</v>
      </c>
      <c r="J569" s="2">
        <v>110</v>
      </c>
      <c r="K569" s="2">
        <v>23468.02</v>
      </c>
      <c r="L569" s="2">
        <v>323.54000000000002</v>
      </c>
      <c r="M569" s="2">
        <v>189.26</v>
      </c>
      <c r="N569" s="2" t="s">
        <v>22</v>
      </c>
      <c r="O569" s="2">
        <v>2</v>
      </c>
    </row>
    <row r="570" spans="1:15" x14ac:dyDescent="0.3">
      <c r="A570" s="2" t="s">
        <v>627</v>
      </c>
      <c r="B570" s="1">
        <v>46203</v>
      </c>
      <c r="C570" s="2" t="s">
        <v>16</v>
      </c>
      <c r="D570" s="2" t="s">
        <v>78</v>
      </c>
      <c r="E570" s="2" t="s">
        <v>58</v>
      </c>
      <c r="F570" s="2" t="s">
        <v>19</v>
      </c>
      <c r="G570" s="2" t="s">
        <v>28</v>
      </c>
      <c r="H570" s="2" t="s">
        <v>29</v>
      </c>
      <c r="I570" s="2">
        <v>40</v>
      </c>
      <c r="J570" s="2">
        <v>49</v>
      </c>
      <c r="K570" s="2">
        <v>39560.26</v>
      </c>
      <c r="L570" s="2">
        <v>231.51</v>
      </c>
      <c r="M570" s="2">
        <v>104.88</v>
      </c>
      <c r="N570" s="2" t="s">
        <v>22</v>
      </c>
      <c r="O570" s="2">
        <v>2</v>
      </c>
    </row>
    <row r="571" spans="1:15" x14ac:dyDescent="0.3">
      <c r="A571" s="2" t="s">
        <v>628</v>
      </c>
      <c r="B571" s="1">
        <v>46069</v>
      </c>
      <c r="C571" s="2" t="s">
        <v>16</v>
      </c>
      <c r="D571" s="2" t="s">
        <v>51</v>
      </c>
      <c r="E571" s="2" t="s">
        <v>38</v>
      </c>
      <c r="F571" s="2" t="s">
        <v>39</v>
      </c>
      <c r="G571" s="2" t="s">
        <v>35</v>
      </c>
      <c r="H571" s="2" t="s">
        <v>56</v>
      </c>
      <c r="I571" s="2">
        <v>39</v>
      </c>
      <c r="J571" s="2">
        <v>52</v>
      </c>
      <c r="K571" s="2">
        <v>30343.200000000001</v>
      </c>
      <c r="L571" s="2">
        <v>354.41</v>
      </c>
      <c r="M571" s="2">
        <v>58.53</v>
      </c>
      <c r="N571" s="2" t="s">
        <v>22</v>
      </c>
      <c r="O571" s="2">
        <v>5</v>
      </c>
    </row>
    <row r="572" spans="1:15" x14ac:dyDescent="0.3">
      <c r="A572" s="2" t="s">
        <v>629</v>
      </c>
      <c r="B572" s="1">
        <v>46022</v>
      </c>
      <c r="C572" s="2" t="s">
        <v>74</v>
      </c>
      <c r="D572" s="2" t="s">
        <v>82</v>
      </c>
      <c r="E572" s="2" t="s">
        <v>58</v>
      </c>
      <c r="F572" s="2" t="s">
        <v>34</v>
      </c>
      <c r="G572" s="2" t="s">
        <v>55</v>
      </c>
      <c r="H572" s="2" t="s">
        <v>21</v>
      </c>
      <c r="I572" s="2">
        <v>68</v>
      </c>
      <c r="J572" s="2">
        <v>114</v>
      </c>
      <c r="K572" s="2">
        <v>32883.910000000003</v>
      </c>
      <c r="L572" s="2">
        <v>135.47</v>
      </c>
      <c r="M572" s="2">
        <v>78.52</v>
      </c>
      <c r="N572" s="2" t="s">
        <v>30</v>
      </c>
      <c r="O572" s="2">
        <v>4</v>
      </c>
    </row>
    <row r="573" spans="1:15" x14ac:dyDescent="0.3">
      <c r="A573" s="2" t="s">
        <v>630</v>
      </c>
      <c r="B573" s="1">
        <v>45971</v>
      </c>
      <c r="C573" s="2" t="s">
        <v>41</v>
      </c>
      <c r="D573" s="2" t="s">
        <v>51</v>
      </c>
      <c r="E573" s="2" t="s">
        <v>38</v>
      </c>
      <c r="F573" s="2" t="s">
        <v>68</v>
      </c>
      <c r="G573" s="2" t="s">
        <v>20</v>
      </c>
      <c r="H573" s="2" t="s">
        <v>21</v>
      </c>
      <c r="I573" s="2">
        <v>59</v>
      </c>
      <c r="J573" s="2">
        <v>107</v>
      </c>
      <c r="K573" s="2">
        <v>49910.9</v>
      </c>
      <c r="L573" s="2">
        <v>418.44</v>
      </c>
      <c r="M573" s="2">
        <v>68.400000000000006</v>
      </c>
      <c r="N573" s="2" t="s">
        <v>30</v>
      </c>
      <c r="O573" s="2">
        <v>1</v>
      </c>
    </row>
    <row r="574" spans="1:15" x14ac:dyDescent="0.3">
      <c r="A574" s="2" t="s">
        <v>631</v>
      </c>
      <c r="B574" s="1">
        <v>46132</v>
      </c>
      <c r="C574" s="2" t="s">
        <v>90</v>
      </c>
      <c r="D574" s="2" t="s">
        <v>51</v>
      </c>
      <c r="E574" s="2" t="s">
        <v>38</v>
      </c>
      <c r="F574" s="2" t="s">
        <v>19</v>
      </c>
      <c r="G574" s="2" t="s">
        <v>35</v>
      </c>
      <c r="H574" s="2" t="s">
        <v>29</v>
      </c>
      <c r="I574" s="2">
        <v>71</v>
      </c>
      <c r="J574" s="2">
        <v>29</v>
      </c>
      <c r="K574" s="2">
        <v>4210.5200000000004</v>
      </c>
      <c r="L574" s="2">
        <v>102.51</v>
      </c>
      <c r="M574" s="2">
        <v>249.68</v>
      </c>
      <c r="N574" s="2" t="s">
        <v>30</v>
      </c>
      <c r="O574" s="2">
        <v>4</v>
      </c>
    </row>
    <row r="575" spans="1:15" x14ac:dyDescent="0.3">
      <c r="A575" s="2" t="s">
        <v>632</v>
      </c>
      <c r="B575" s="1">
        <v>46195</v>
      </c>
      <c r="C575" s="2" t="s">
        <v>54</v>
      </c>
      <c r="D575" s="2" t="s">
        <v>47</v>
      </c>
      <c r="E575" s="2" t="s">
        <v>58</v>
      </c>
      <c r="F575" s="2" t="s">
        <v>39</v>
      </c>
      <c r="G575" s="2" t="s">
        <v>28</v>
      </c>
      <c r="H575" s="2" t="s">
        <v>21</v>
      </c>
      <c r="I575" s="2">
        <v>32</v>
      </c>
      <c r="J575" s="2">
        <v>21</v>
      </c>
      <c r="K575" s="2">
        <v>11538.99</v>
      </c>
      <c r="L575" s="2">
        <v>345.2</v>
      </c>
      <c r="M575" s="2">
        <v>54.96</v>
      </c>
      <c r="N575" s="2" t="s">
        <v>30</v>
      </c>
      <c r="O575" s="2">
        <v>4</v>
      </c>
    </row>
    <row r="576" spans="1:15" x14ac:dyDescent="0.3">
      <c r="A576" s="2" t="s">
        <v>633</v>
      </c>
      <c r="B576" s="1">
        <v>45929</v>
      </c>
      <c r="C576" s="2" t="s">
        <v>16</v>
      </c>
      <c r="D576" s="2" t="s">
        <v>47</v>
      </c>
      <c r="E576" s="2" t="s">
        <v>18</v>
      </c>
      <c r="F576" s="2" t="s">
        <v>34</v>
      </c>
      <c r="G576" s="2" t="s">
        <v>28</v>
      </c>
      <c r="H576" s="2" t="s">
        <v>56</v>
      </c>
      <c r="I576" s="2">
        <v>35</v>
      </c>
      <c r="J576" s="2">
        <v>90</v>
      </c>
      <c r="K576" s="2">
        <v>20690.849999999999</v>
      </c>
      <c r="L576" s="2">
        <v>203.52</v>
      </c>
      <c r="M576" s="2">
        <v>146.63</v>
      </c>
      <c r="N576" s="2" t="s">
        <v>30</v>
      </c>
      <c r="O576" s="2">
        <v>2</v>
      </c>
    </row>
    <row r="577" spans="1:15" x14ac:dyDescent="0.3">
      <c r="A577" s="2" t="s">
        <v>634</v>
      </c>
      <c r="B577" s="1">
        <v>46107</v>
      </c>
      <c r="C577" s="2" t="s">
        <v>74</v>
      </c>
      <c r="D577" s="2" t="s">
        <v>44</v>
      </c>
      <c r="E577" s="2" t="s">
        <v>45</v>
      </c>
      <c r="F577" s="2" t="s">
        <v>34</v>
      </c>
      <c r="G577" s="2" t="s">
        <v>55</v>
      </c>
      <c r="H577" s="2" t="s">
        <v>52</v>
      </c>
      <c r="I577" s="2">
        <v>51</v>
      </c>
      <c r="J577" s="2">
        <v>78</v>
      </c>
      <c r="K577" s="2">
        <v>17715.23</v>
      </c>
      <c r="L577" s="2">
        <v>386.38</v>
      </c>
      <c r="M577" s="2">
        <v>18.809999999999999</v>
      </c>
      <c r="N577" s="2" t="s">
        <v>22</v>
      </c>
      <c r="O577" s="2">
        <v>4</v>
      </c>
    </row>
    <row r="578" spans="1:15" x14ac:dyDescent="0.3">
      <c r="A578" s="2" t="s">
        <v>635</v>
      </c>
      <c r="B578" s="1">
        <v>45943</v>
      </c>
      <c r="C578" s="2" t="s">
        <v>32</v>
      </c>
      <c r="D578" s="2" t="s">
        <v>78</v>
      </c>
      <c r="E578" s="2" t="s">
        <v>26</v>
      </c>
      <c r="F578" s="2" t="s">
        <v>34</v>
      </c>
      <c r="G578" s="2" t="s">
        <v>20</v>
      </c>
      <c r="H578" s="2" t="s">
        <v>21</v>
      </c>
      <c r="I578" s="2">
        <v>34</v>
      </c>
      <c r="J578" s="2">
        <v>9</v>
      </c>
      <c r="K578" s="2">
        <v>1571.46</v>
      </c>
      <c r="L578" s="2">
        <v>297.39</v>
      </c>
      <c r="M578" s="2">
        <v>190.28</v>
      </c>
      <c r="N578" s="2" t="s">
        <v>30</v>
      </c>
      <c r="O578" s="2">
        <v>1</v>
      </c>
    </row>
    <row r="579" spans="1:15" x14ac:dyDescent="0.3">
      <c r="A579" s="2" t="s">
        <v>636</v>
      </c>
      <c r="B579" s="1">
        <v>46205</v>
      </c>
      <c r="C579" s="2" t="s">
        <v>74</v>
      </c>
      <c r="D579" s="2" t="s">
        <v>44</v>
      </c>
      <c r="E579" s="2" t="s">
        <v>38</v>
      </c>
      <c r="F579" s="2" t="s">
        <v>34</v>
      </c>
      <c r="G579" s="2" t="s">
        <v>20</v>
      </c>
      <c r="H579" s="2" t="s">
        <v>29</v>
      </c>
      <c r="I579" s="2">
        <v>31</v>
      </c>
      <c r="J579" s="2">
        <v>47</v>
      </c>
      <c r="K579" s="2">
        <v>5042.99</v>
      </c>
      <c r="L579" s="2">
        <v>253.56</v>
      </c>
      <c r="M579" s="2">
        <v>186.69</v>
      </c>
      <c r="N579" s="2" t="s">
        <v>30</v>
      </c>
      <c r="O579" s="2">
        <v>1</v>
      </c>
    </row>
    <row r="580" spans="1:15" x14ac:dyDescent="0.3">
      <c r="A580" s="2" t="s">
        <v>637</v>
      </c>
      <c r="B580" s="1">
        <v>46177</v>
      </c>
      <c r="C580" s="2" t="s">
        <v>54</v>
      </c>
      <c r="D580" s="2" t="s">
        <v>78</v>
      </c>
      <c r="E580" s="2" t="s">
        <v>45</v>
      </c>
      <c r="F580" s="2" t="s">
        <v>34</v>
      </c>
      <c r="G580" s="2" t="s">
        <v>64</v>
      </c>
      <c r="H580" s="2" t="s">
        <v>52</v>
      </c>
      <c r="I580" s="2">
        <v>46</v>
      </c>
      <c r="J580" s="2">
        <v>76</v>
      </c>
      <c r="K580" s="2">
        <v>34207.19</v>
      </c>
      <c r="L580" s="2">
        <v>126.24</v>
      </c>
      <c r="M580" s="2">
        <v>141.34</v>
      </c>
      <c r="N580" s="2" t="s">
        <v>30</v>
      </c>
      <c r="O580" s="2">
        <v>3</v>
      </c>
    </row>
    <row r="581" spans="1:15" x14ac:dyDescent="0.3">
      <c r="A581" s="2" t="s">
        <v>638</v>
      </c>
      <c r="B581" s="1">
        <v>45998</v>
      </c>
      <c r="C581" s="2" t="s">
        <v>54</v>
      </c>
      <c r="D581" s="2" t="s">
        <v>25</v>
      </c>
      <c r="E581" s="2" t="s">
        <v>18</v>
      </c>
      <c r="F581" s="2" t="s">
        <v>19</v>
      </c>
      <c r="G581" s="2" t="s">
        <v>20</v>
      </c>
      <c r="H581" s="2" t="s">
        <v>52</v>
      </c>
      <c r="I581" s="2">
        <v>62</v>
      </c>
      <c r="J581" s="2">
        <v>42</v>
      </c>
      <c r="K581" s="2">
        <v>44026.559999999998</v>
      </c>
      <c r="L581" s="2">
        <v>336.57</v>
      </c>
      <c r="M581" s="2">
        <v>59.61</v>
      </c>
      <c r="N581" s="2" t="s">
        <v>30</v>
      </c>
      <c r="O581" s="2">
        <v>5</v>
      </c>
    </row>
    <row r="582" spans="1:15" x14ac:dyDescent="0.3">
      <c r="A582" s="2" t="s">
        <v>639</v>
      </c>
      <c r="B582" s="1">
        <v>46038</v>
      </c>
      <c r="C582" s="2" t="s">
        <v>74</v>
      </c>
      <c r="D582" s="2" t="s">
        <v>76</v>
      </c>
      <c r="E582" s="2" t="s">
        <v>26</v>
      </c>
      <c r="F582" s="2" t="s">
        <v>39</v>
      </c>
      <c r="G582" s="2" t="s">
        <v>55</v>
      </c>
      <c r="H582" s="2" t="s">
        <v>56</v>
      </c>
      <c r="I582" s="2">
        <v>47</v>
      </c>
      <c r="J582" s="2">
        <v>51</v>
      </c>
      <c r="K582" s="2">
        <v>25954.240000000002</v>
      </c>
      <c r="L582" s="2">
        <v>488.65</v>
      </c>
      <c r="M582" s="2">
        <v>82.42</v>
      </c>
      <c r="N582" s="2" t="s">
        <v>22</v>
      </c>
      <c r="O582" s="2">
        <v>4</v>
      </c>
    </row>
    <row r="583" spans="1:15" x14ac:dyDescent="0.3">
      <c r="A583" s="2" t="s">
        <v>640</v>
      </c>
      <c r="B583" s="1">
        <v>46118</v>
      </c>
      <c r="C583" s="2" t="s">
        <v>90</v>
      </c>
      <c r="D583" s="2" t="s">
        <v>33</v>
      </c>
      <c r="E583" s="2" t="s">
        <v>26</v>
      </c>
      <c r="F583" s="2" t="s">
        <v>34</v>
      </c>
      <c r="G583" s="2" t="s">
        <v>64</v>
      </c>
      <c r="H583" s="2" t="s">
        <v>29</v>
      </c>
      <c r="I583" s="2">
        <v>31</v>
      </c>
      <c r="J583" s="2">
        <v>56</v>
      </c>
      <c r="K583" s="2">
        <v>27189.96</v>
      </c>
      <c r="L583" s="2">
        <v>421.52</v>
      </c>
      <c r="M583" s="2">
        <v>67.14</v>
      </c>
      <c r="N583" s="2" t="s">
        <v>30</v>
      </c>
      <c r="O583" s="2">
        <v>5</v>
      </c>
    </row>
    <row r="584" spans="1:15" x14ac:dyDescent="0.3">
      <c r="A584" s="2" t="s">
        <v>641</v>
      </c>
      <c r="B584" s="1">
        <v>45874</v>
      </c>
      <c r="C584" s="2" t="s">
        <v>24</v>
      </c>
      <c r="D584" s="2" t="s">
        <v>51</v>
      </c>
      <c r="E584" s="2" t="s">
        <v>38</v>
      </c>
      <c r="F584" s="2" t="s">
        <v>27</v>
      </c>
      <c r="G584" s="2" t="s">
        <v>64</v>
      </c>
      <c r="H584" s="2" t="s">
        <v>21</v>
      </c>
      <c r="I584" s="2">
        <v>58</v>
      </c>
      <c r="J584" s="2">
        <v>51</v>
      </c>
      <c r="K584" s="2">
        <v>13127.12</v>
      </c>
      <c r="L584" s="2">
        <v>77</v>
      </c>
      <c r="M584" s="2">
        <v>186.51</v>
      </c>
      <c r="N584" s="2" t="s">
        <v>30</v>
      </c>
      <c r="O584" s="2">
        <v>5</v>
      </c>
    </row>
    <row r="585" spans="1:15" x14ac:dyDescent="0.3">
      <c r="A585" s="2" t="s">
        <v>642</v>
      </c>
      <c r="B585" s="1">
        <v>46096</v>
      </c>
      <c r="C585" s="2" t="s">
        <v>54</v>
      </c>
      <c r="D585" s="2" t="s">
        <v>25</v>
      </c>
      <c r="E585" s="2" t="s">
        <v>58</v>
      </c>
      <c r="F585" s="2" t="s">
        <v>27</v>
      </c>
      <c r="G585" s="2" t="s">
        <v>28</v>
      </c>
      <c r="H585" s="2" t="s">
        <v>29</v>
      </c>
      <c r="I585" s="2">
        <v>54</v>
      </c>
      <c r="J585" s="2">
        <v>70</v>
      </c>
      <c r="K585" s="2">
        <v>38509.879999999997</v>
      </c>
      <c r="L585" s="2">
        <v>219.3</v>
      </c>
      <c r="M585" s="2">
        <v>146.43</v>
      </c>
      <c r="N585" s="2" t="s">
        <v>22</v>
      </c>
      <c r="O585" s="2">
        <v>5</v>
      </c>
    </row>
    <row r="586" spans="1:15" x14ac:dyDescent="0.3">
      <c r="A586" s="2" t="s">
        <v>643</v>
      </c>
      <c r="B586" s="1">
        <v>46227</v>
      </c>
      <c r="C586" s="2" t="s">
        <v>74</v>
      </c>
      <c r="D586" s="2" t="s">
        <v>76</v>
      </c>
      <c r="E586" s="2" t="s">
        <v>18</v>
      </c>
      <c r="F586" s="2" t="s">
        <v>39</v>
      </c>
      <c r="G586" s="2" t="s">
        <v>28</v>
      </c>
      <c r="H586" s="2" t="s">
        <v>52</v>
      </c>
      <c r="I586" s="2">
        <v>63</v>
      </c>
      <c r="J586" s="2">
        <v>20</v>
      </c>
      <c r="K586" s="2">
        <v>37713.83</v>
      </c>
      <c r="L586" s="2">
        <v>466.51</v>
      </c>
      <c r="M586" s="2">
        <v>126.09</v>
      </c>
      <c r="N586" s="2" t="s">
        <v>30</v>
      </c>
      <c r="O586" s="2">
        <v>5</v>
      </c>
    </row>
    <row r="587" spans="1:15" x14ac:dyDescent="0.3">
      <c r="A587" s="2" t="s">
        <v>644</v>
      </c>
      <c r="B587" s="1">
        <v>46164</v>
      </c>
      <c r="C587" s="2" t="s">
        <v>16</v>
      </c>
      <c r="D587" s="2" t="s">
        <v>37</v>
      </c>
      <c r="E587" s="2" t="s">
        <v>38</v>
      </c>
      <c r="F587" s="2" t="s">
        <v>68</v>
      </c>
      <c r="G587" s="2" t="s">
        <v>20</v>
      </c>
      <c r="H587" s="2" t="s">
        <v>29</v>
      </c>
      <c r="I587" s="2">
        <v>39</v>
      </c>
      <c r="J587" s="2">
        <v>88</v>
      </c>
      <c r="K587" s="2">
        <v>29624.1</v>
      </c>
      <c r="L587" s="2">
        <v>276.37</v>
      </c>
      <c r="M587" s="2">
        <v>220.27</v>
      </c>
      <c r="N587" s="2" t="s">
        <v>30</v>
      </c>
      <c r="O587" s="2">
        <v>1</v>
      </c>
    </row>
    <row r="588" spans="1:15" x14ac:dyDescent="0.3">
      <c r="A588" s="2" t="s">
        <v>645</v>
      </c>
      <c r="B588" s="1">
        <v>46121</v>
      </c>
      <c r="C588" s="2" t="s">
        <v>74</v>
      </c>
      <c r="D588" s="2" t="s">
        <v>17</v>
      </c>
      <c r="E588" s="2" t="s">
        <v>18</v>
      </c>
      <c r="F588" s="2" t="s">
        <v>68</v>
      </c>
      <c r="G588" s="2" t="s">
        <v>64</v>
      </c>
      <c r="H588" s="2" t="s">
        <v>21</v>
      </c>
      <c r="I588" s="2">
        <v>26</v>
      </c>
      <c r="J588" s="2">
        <v>27</v>
      </c>
      <c r="K588" s="2">
        <v>11026.88</v>
      </c>
      <c r="L588" s="2">
        <v>347.95</v>
      </c>
      <c r="M588" s="2">
        <v>74.22</v>
      </c>
      <c r="N588" s="2" t="s">
        <v>30</v>
      </c>
      <c r="O588" s="2">
        <v>4</v>
      </c>
    </row>
    <row r="589" spans="1:15" x14ac:dyDescent="0.3">
      <c r="A589" s="2" t="s">
        <v>646</v>
      </c>
      <c r="B589" s="1">
        <v>46120</v>
      </c>
      <c r="C589" s="2" t="s">
        <v>41</v>
      </c>
      <c r="D589" s="2" t="s">
        <v>62</v>
      </c>
      <c r="E589" s="2" t="s">
        <v>58</v>
      </c>
      <c r="F589" s="2" t="s">
        <v>68</v>
      </c>
      <c r="G589" s="2" t="s">
        <v>28</v>
      </c>
      <c r="H589" s="2" t="s">
        <v>21</v>
      </c>
      <c r="I589" s="2">
        <v>66</v>
      </c>
      <c r="J589" s="2">
        <v>38</v>
      </c>
      <c r="K589" s="2">
        <v>5302.4</v>
      </c>
      <c r="L589" s="2">
        <v>460.67</v>
      </c>
      <c r="M589" s="2">
        <v>144.02000000000001</v>
      </c>
      <c r="N589" s="2" t="s">
        <v>30</v>
      </c>
      <c r="O589" s="2">
        <v>3</v>
      </c>
    </row>
    <row r="590" spans="1:15" x14ac:dyDescent="0.3">
      <c r="A590" s="2" t="s">
        <v>647</v>
      </c>
      <c r="B590" s="1">
        <v>45871</v>
      </c>
      <c r="C590" s="2" t="s">
        <v>24</v>
      </c>
      <c r="D590" s="2" t="s">
        <v>49</v>
      </c>
      <c r="E590" s="2" t="s">
        <v>58</v>
      </c>
      <c r="F590" s="2" t="s">
        <v>27</v>
      </c>
      <c r="G590" s="2" t="s">
        <v>55</v>
      </c>
      <c r="H590" s="2" t="s">
        <v>56</v>
      </c>
      <c r="I590" s="2">
        <v>72</v>
      </c>
      <c r="J590" s="2">
        <v>72</v>
      </c>
      <c r="K590" s="2">
        <v>3679.81</v>
      </c>
      <c r="L590" s="2">
        <v>443.21</v>
      </c>
      <c r="M590" s="2">
        <v>135.19999999999999</v>
      </c>
      <c r="N590" s="2" t="s">
        <v>30</v>
      </c>
      <c r="O590" s="2">
        <v>5</v>
      </c>
    </row>
    <row r="591" spans="1:15" x14ac:dyDescent="0.3">
      <c r="A591" s="2" t="s">
        <v>648</v>
      </c>
      <c r="B591" s="1">
        <v>45932</v>
      </c>
      <c r="C591" s="2" t="s">
        <v>32</v>
      </c>
      <c r="D591" s="2" t="s">
        <v>60</v>
      </c>
      <c r="E591" s="2" t="s">
        <v>38</v>
      </c>
      <c r="F591" s="2" t="s">
        <v>68</v>
      </c>
      <c r="G591" s="2" t="s">
        <v>28</v>
      </c>
      <c r="H591" s="2" t="s">
        <v>21</v>
      </c>
      <c r="I591" s="2">
        <v>58</v>
      </c>
      <c r="J591" s="2">
        <v>65</v>
      </c>
      <c r="K591" s="2">
        <v>29838.46</v>
      </c>
      <c r="L591" s="2">
        <v>275.82</v>
      </c>
      <c r="M591" s="2">
        <v>141.13</v>
      </c>
      <c r="N591" s="2" t="s">
        <v>30</v>
      </c>
      <c r="O591" s="2">
        <v>3</v>
      </c>
    </row>
    <row r="592" spans="1:15" x14ac:dyDescent="0.3">
      <c r="A592" s="2" t="s">
        <v>649</v>
      </c>
      <c r="B592" s="1">
        <v>46105</v>
      </c>
      <c r="C592" s="2" t="s">
        <v>90</v>
      </c>
      <c r="D592" s="2" t="s">
        <v>78</v>
      </c>
      <c r="E592" s="2" t="s">
        <v>58</v>
      </c>
      <c r="F592" s="2" t="s">
        <v>19</v>
      </c>
      <c r="G592" s="2" t="s">
        <v>28</v>
      </c>
      <c r="H592" s="2" t="s">
        <v>21</v>
      </c>
      <c r="I592" s="2">
        <v>69</v>
      </c>
      <c r="J592" s="2">
        <v>54</v>
      </c>
      <c r="K592" s="2">
        <v>41339.25</v>
      </c>
      <c r="L592" s="2">
        <v>246.94</v>
      </c>
      <c r="M592" s="2">
        <v>97.85</v>
      </c>
      <c r="N592" s="2" t="s">
        <v>22</v>
      </c>
      <c r="O592" s="2">
        <v>1</v>
      </c>
    </row>
    <row r="593" spans="1:15" x14ac:dyDescent="0.3">
      <c r="A593" s="2" t="s">
        <v>650</v>
      </c>
      <c r="B593" s="1">
        <v>46120</v>
      </c>
      <c r="C593" s="2" t="s">
        <v>43</v>
      </c>
      <c r="D593" s="2" t="s">
        <v>37</v>
      </c>
      <c r="E593" s="2" t="s">
        <v>45</v>
      </c>
      <c r="F593" s="2" t="s">
        <v>34</v>
      </c>
      <c r="G593" s="2" t="s">
        <v>64</v>
      </c>
      <c r="H593" s="2" t="s">
        <v>29</v>
      </c>
      <c r="I593" s="2">
        <v>62</v>
      </c>
      <c r="J593" s="2">
        <v>113</v>
      </c>
      <c r="K593" s="2">
        <v>42987.360000000001</v>
      </c>
      <c r="L593" s="2">
        <v>202.86</v>
      </c>
      <c r="M593" s="2">
        <v>114.88</v>
      </c>
      <c r="N593" s="2" t="s">
        <v>30</v>
      </c>
      <c r="O593" s="2">
        <v>1</v>
      </c>
    </row>
    <row r="594" spans="1:15" x14ac:dyDescent="0.3">
      <c r="A594" s="2" t="s">
        <v>651</v>
      </c>
      <c r="B594" s="1">
        <v>45876</v>
      </c>
      <c r="C594" s="2" t="s">
        <v>32</v>
      </c>
      <c r="D594" s="2" t="s">
        <v>17</v>
      </c>
      <c r="E594" s="2" t="s">
        <v>26</v>
      </c>
      <c r="F594" s="2" t="s">
        <v>27</v>
      </c>
      <c r="G594" s="2" t="s">
        <v>64</v>
      </c>
      <c r="H594" s="2" t="s">
        <v>29</v>
      </c>
      <c r="I594" s="2">
        <v>48</v>
      </c>
      <c r="J594" s="2">
        <v>113</v>
      </c>
      <c r="K594" s="2">
        <v>23449.29</v>
      </c>
      <c r="L594" s="2">
        <v>373.56</v>
      </c>
      <c r="M594" s="2">
        <v>66.63</v>
      </c>
      <c r="N594" s="2" t="s">
        <v>22</v>
      </c>
      <c r="O594" s="2">
        <v>2</v>
      </c>
    </row>
    <row r="595" spans="1:15" x14ac:dyDescent="0.3">
      <c r="A595" s="2" t="s">
        <v>652</v>
      </c>
      <c r="B595" s="1">
        <v>46058</v>
      </c>
      <c r="C595" s="2" t="s">
        <v>24</v>
      </c>
      <c r="D595" s="2" t="s">
        <v>82</v>
      </c>
      <c r="E595" s="2" t="s">
        <v>38</v>
      </c>
      <c r="F595" s="2" t="s">
        <v>39</v>
      </c>
      <c r="G595" s="2" t="s">
        <v>35</v>
      </c>
      <c r="H595" s="2" t="s">
        <v>52</v>
      </c>
      <c r="I595" s="2">
        <v>21</v>
      </c>
      <c r="J595" s="2">
        <v>24</v>
      </c>
      <c r="K595" s="2">
        <v>39321.43</v>
      </c>
      <c r="L595" s="2">
        <v>179.14</v>
      </c>
      <c r="M595" s="2">
        <v>164.93</v>
      </c>
      <c r="N595" s="2" t="s">
        <v>22</v>
      </c>
      <c r="O595" s="2">
        <v>5</v>
      </c>
    </row>
    <row r="596" spans="1:15" x14ac:dyDescent="0.3">
      <c r="A596" s="2" t="s">
        <v>653</v>
      </c>
      <c r="B596" s="1">
        <v>46022</v>
      </c>
      <c r="C596" s="2" t="s">
        <v>24</v>
      </c>
      <c r="D596" s="2" t="s">
        <v>86</v>
      </c>
      <c r="E596" s="2" t="s">
        <v>18</v>
      </c>
      <c r="F596" s="2" t="s">
        <v>39</v>
      </c>
      <c r="G596" s="2" t="s">
        <v>55</v>
      </c>
      <c r="H596" s="2" t="s">
        <v>56</v>
      </c>
      <c r="I596" s="2">
        <v>55</v>
      </c>
      <c r="J596" s="2">
        <v>47</v>
      </c>
      <c r="K596" s="2">
        <v>47370.57</v>
      </c>
      <c r="L596" s="2">
        <v>162.44999999999999</v>
      </c>
      <c r="M596" s="2">
        <v>121.67</v>
      </c>
      <c r="N596" s="2" t="s">
        <v>30</v>
      </c>
      <c r="O596" s="2">
        <v>2</v>
      </c>
    </row>
    <row r="597" spans="1:15" x14ac:dyDescent="0.3">
      <c r="A597" s="2" t="s">
        <v>654</v>
      </c>
      <c r="B597" s="1">
        <v>46196</v>
      </c>
      <c r="C597" s="2" t="s">
        <v>24</v>
      </c>
      <c r="D597" s="2" t="s">
        <v>33</v>
      </c>
      <c r="E597" s="2" t="s">
        <v>45</v>
      </c>
      <c r="F597" s="2" t="s">
        <v>34</v>
      </c>
      <c r="G597" s="2" t="s">
        <v>64</v>
      </c>
      <c r="H597" s="2" t="s">
        <v>29</v>
      </c>
      <c r="I597" s="2">
        <v>60</v>
      </c>
      <c r="J597" s="2">
        <v>71</v>
      </c>
      <c r="K597" s="2">
        <v>14120.92</v>
      </c>
      <c r="L597" s="2">
        <v>210.31</v>
      </c>
      <c r="M597" s="2">
        <v>133.30000000000001</v>
      </c>
      <c r="N597" s="2" t="s">
        <v>30</v>
      </c>
      <c r="O597" s="2">
        <v>3</v>
      </c>
    </row>
    <row r="598" spans="1:15" x14ac:dyDescent="0.3">
      <c r="A598" s="2" t="s">
        <v>655</v>
      </c>
      <c r="B598" s="1">
        <v>45924</v>
      </c>
      <c r="C598" s="2" t="s">
        <v>32</v>
      </c>
      <c r="D598" s="2" t="s">
        <v>60</v>
      </c>
      <c r="E598" s="2" t="s">
        <v>38</v>
      </c>
      <c r="F598" s="2" t="s">
        <v>27</v>
      </c>
      <c r="G598" s="2" t="s">
        <v>20</v>
      </c>
      <c r="H598" s="2" t="s">
        <v>21</v>
      </c>
      <c r="I598" s="2">
        <v>28</v>
      </c>
      <c r="J598" s="2">
        <v>83</v>
      </c>
      <c r="K598" s="2">
        <v>20199.04</v>
      </c>
      <c r="L598" s="2">
        <v>129.75</v>
      </c>
      <c r="M598" s="2">
        <v>188.8</v>
      </c>
      <c r="N598" s="2" t="s">
        <v>30</v>
      </c>
      <c r="O598" s="2">
        <v>4</v>
      </c>
    </row>
    <row r="599" spans="1:15" x14ac:dyDescent="0.3">
      <c r="A599" s="2" t="s">
        <v>656</v>
      </c>
      <c r="B599" s="1">
        <v>45871</v>
      </c>
      <c r="C599" s="2" t="s">
        <v>16</v>
      </c>
      <c r="D599" s="2" t="s">
        <v>44</v>
      </c>
      <c r="E599" s="2" t="s">
        <v>58</v>
      </c>
      <c r="F599" s="2" t="s">
        <v>68</v>
      </c>
      <c r="G599" s="2" t="s">
        <v>55</v>
      </c>
      <c r="H599" s="2" t="s">
        <v>52</v>
      </c>
      <c r="I599" s="2">
        <v>72</v>
      </c>
      <c r="J599" s="2">
        <v>86</v>
      </c>
      <c r="K599" s="2">
        <v>46608.21</v>
      </c>
      <c r="L599" s="2">
        <v>362.8</v>
      </c>
      <c r="M599" s="2">
        <v>9.57</v>
      </c>
      <c r="N599" s="2" t="s">
        <v>22</v>
      </c>
      <c r="O599" s="2">
        <v>2</v>
      </c>
    </row>
    <row r="600" spans="1:15" x14ac:dyDescent="0.3">
      <c r="A600" s="2" t="s">
        <v>657</v>
      </c>
      <c r="B600" s="1">
        <v>46041</v>
      </c>
      <c r="C600" s="2" t="s">
        <v>24</v>
      </c>
      <c r="D600" s="2" t="s">
        <v>44</v>
      </c>
      <c r="E600" s="2" t="s">
        <v>58</v>
      </c>
      <c r="F600" s="2" t="s">
        <v>68</v>
      </c>
      <c r="G600" s="2" t="s">
        <v>55</v>
      </c>
      <c r="H600" s="2" t="s">
        <v>29</v>
      </c>
      <c r="I600" s="2">
        <v>74</v>
      </c>
      <c r="J600" s="2">
        <v>63</v>
      </c>
      <c r="K600" s="2">
        <v>17242.43</v>
      </c>
      <c r="L600" s="2">
        <v>327.31</v>
      </c>
      <c r="M600" s="2">
        <v>255.04</v>
      </c>
      <c r="N600" s="2" t="s">
        <v>30</v>
      </c>
      <c r="O600" s="2">
        <v>1</v>
      </c>
    </row>
    <row r="601" spans="1:15" x14ac:dyDescent="0.3">
      <c r="A601" s="2" t="s">
        <v>658</v>
      </c>
      <c r="B601" s="1">
        <v>45912</v>
      </c>
      <c r="C601" s="2" t="s">
        <v>74</v>
      </c>
      <c r="D601" s="2" t="s">
        <v>76</v>
      </c>
      <c r="E601" s="2" t="s">
        <v>58</v>
      </c>
      <c r="F601" s="2" t="s">
        <v>19</v>
      </c>
      <c r="G601" s="2" t="s">
        <v>64</v>
      </c>
      <c r="H601" s="2" t="s">
        <v>56</v>
      </c>
      <c r="I601" s="2">
        <v>67</v>
      </c>
      <c r="J601" s="2">
        <v>57</v>
      </c>
      <c r="K601" s="2">
        <v>45736.88</v>
      </c>
      <c r="L601" s="2">
        <v>267.3</v>
      </c>
      <c r="M601" s="2">
        <v>199.52</v>
      </c>
      <c r="N601" s="2" t="s">
        <v>22</v>
      </c>
      <c r="O601" s="2">
        <v>5</v>
      </c>
    </row>
    <row r="602" spans="1:15" x14ac:dyDescent="0.3">
      <c r="A602" s="2" t="s">
        <v>659</v>
      </c>
      <c r="B602" s="1">
        <v>45896</v>
      </c>
      <c r="C602" s="2" t="s">
        <v>32</v>
      </c>
      <c r="D602" s="2" t="s">
        <v>60</v>
      </c>
      <c r="E602" s="2" t="s">
        <v>58</v>
      </c>
      <c r="F602" s="2" t="s">
        <v>19</v>
      </c>
      <c r="G602" s="2" t="s">
        <v>55</v>
      </c>
      <c r="H602" s="2" t="s">
        <v>56</v>
      </c>
      <c r="I602" s="2">
        <v>27</v>
      </c>
      <c r="J602" s="2">
        <v>55</v>
      </c>
      <c r="K602" s="2">
        <v>49061.72</v>
      </c>
      <c r="L602" s="2">
        <v>225.65</v>
      </c>
      <c r="M602" s="2">
        <v>177.39</v>
      </c>
      <c r="N602" s="2" t="s">
        <v>30</v>
      </c>
      <c r="O602" s="2">
        <v>3</v>
      </c>
    </row>
    <row r="603" spans="1:15" x14ac:dyDescent="0.3">
      <c r="A603" s="2" t="s">
        <v>660</v>
      </c>
      <c r="B603" s="1">
        <v>46187</v>
      </c>
      <c r="C603" s="2" t="s">
        <v>43</v>
      </c>
      <c r="D603" s="2" t="s">
        <v>47</v>
      </c>
      <c r="E603" s="2" t="s">
        <v>18</v>
      </c>
      <c r="F603" s="2" t="s">
        <v>68</v>
      </c>
      <c r="G603" s="2" t="s">
        <v>64</v>
      </c>
      <c r="H603" s="2" t="s">
        <v>52</v>
      </c>
      <c r="I603" s="2">
        <v>31</v>
      </c>
      <c r="J603" s="2">
        <v>60</v>
      </c>
      <c r="K603" s="2">
        <v>33259.629999999997</v>
      </c>
      <c r="L603" s="2">
        <v>459.08</v>
      </c>
      <c r="M603" s="2">
        <v>162.09</v>
      </c>
      <c r="N603" s="2" t="s">
        <v>22</v>
      </c>
      <c r="O603" s="2">
        <v>1</v>
      </c>
    </row>
    <row r="604" spans="1:15" x14ac:dyDescent="0.3">
      <c r="A604" s="2" t="s">
        <v>661</v>
      </c>
      <c r="B604" s="1">
        <v>46098</v>
      </c>
      <c r="C604" s="2" t="s">
        <v>24</v>
      </c>
      <c r="D604" s="2" t="s">
        <v>17</v>
      </c>
      <c r="E604" s="2" t="s">
        <v>45</v>
      </c>
      <c r="F604" s="2" t="s">
        <v>39</v>
      </c>
      <c r="G604" s="2" t="s">
        <v>28</v>
      </c>
      <c r="H604" s="2" t="s">
        <v>52</v>
      </c>
      <c r="I604" s="2">
        <v>59</v>
      </c>
      <c r="J604" s="2">
        <v>99</v>
      </c>
      <c r="K604" s="2">
        <v>40936.07</v>
      </c>
      <c r="L604" s="2">
        <v>63.11</v>
      </c>
      <c r="M604" s="2">
        <v>74.86</v>
      </c>
      <c r="N604" s="2" t="s">
        <v>30</v>
      </c>
      <c r="O604" s="2">
        <v>4</v>
      </c>
    </row>
    <row r="605" spans="1:15" x14ac:dyDescent="0.3">
      <c r="A605" s="2" t="s">
        <v>662</v>
      </c>
      <c r="B605" s="1">
        <v>45879</v>
      </c>
      <c r="C605" s="2" t="s">
        <v>74</v>
      </c>
      <c r="D605" s="2" t="s">
        <v>86</v>
      </c>
      <c r="E605" s="2" t="s">
        <v>26</v>
      </c>
      <c r="F605" s="2" t="s">
        <v>39</v>
      </c>
      <c r="G605" s="2" t="s">
        <v>35</v>
      </c>
      <c r="H605" s="2" t="s">
        <v>52</v>
      </c>
      <c r="I605" s="2">
        <v>24</v>
      </c>
      <c r="J605" s="2">
        <v>62</v>
      </c>
      <c r="K605" s="2">
        <v>37602.51</v>
      </c>
      <c r="L605" s="2">
        <v>396.1</v>
      </c>
      <c r="M605" s="2">
        <v>46.26</v>
      </c>
      <c r="N605" s="2" t="s">
        <v>30</v>
      </c>
      <c r="O605" s="2">
        <v>5</v>
      </c>
    </row>
    <row r="606" spans="1:15" x14ac:dyDescent="0.3">
      <c r="A606" s="2" t="s">
        <v>663</v>
      </c>
      <c r="B606" s="1">
        <v>46060</v>
      </c>
      <c r="C606" s="2" t="s">
        <v>16</v>
      </c>
      <c r="D606" s="2" t="s">
        <v>37</v>
      </c>
      <c r="E606" s="2" t="s">
        <v>18</v>
      </c>
      <c r="F606" s="2" t="s">
        <v>19</v>
      </c>
      <c r="G606" s="2" t="s">
        <v>28</v>
      </c>
      <c r="H606" s="2" t="s">
        <v>52</v>
      </c>
      <c r="I606" s="2">
        <v>45</v>
      </c>
      <c r="J606" s="2">
        <v>30</v>
      </c>
      <c r="K606" s="2">
        <v>35126.949999999997</v>
      </c>
      <c r="L606" s="2">
        <v>455.86</v>
      </c>
      <c r="M606" s="2">
        <v>146.97</v>
      </c>
      <c r="N606" s="2" t="s">
        <v>30</v>
      </c>
      <c r="O606" s="2">
        <v>4</v>
      </c>
    </row>
    <row r="607" spans="1:15" x14ac:dyDescent="0.3">
      <c r="A607" s="2" t="s">
        <v>664</v>
      </c>
      <c r="B607" s="1">
        <v>46206</v>
      </c>
      <c r="C607" s="2" t="s">
        <v>41</v>
      </c>
      <c r="D607" s="2" t="s">
        <v>33</v>
      </c>
      <c r="E607" s="2" t="s">
        <v>18</v>
      </c>
      <c r="F607" s="2" t="s">
        <v>34</v>
      </c>
      <c r="G607" s="2" t="s">
        <v>64</v>
      </c>
      <c r="H607" s="2" t="s">
        <v>52</v>
      </c>
      <c r="I607" s="2">
        <v>32</v>
      </c>
      <c r="J607" s="2">
        <v>93</v>
      </c>
      <c r="K607" s="2">
        <v>15693.09</v>
      </c>
      <c r="L607" s="2">
        <v>250.86</v>
      </c>
      <c r="M607" s="2">
        <v>60.92</v>
      </c>
      <c r="N607" s="2" t="s">
        <v>30</v>
      </c>
      <c r="O607" s="2">
        <v>4</v>
      </c>
    </row>
    <row r="608" spans="1:15" x14ac:dyDescent="0.3">
      <c r="A608" s="2" t="s">
        <v>665</v>
      </c>
      <c r="B608" s="1">
        <v>46113</v>
      </c>
      <c r="C608" s="2" t="s">
        <v>16</v>
      </c>
      <c r="D608" s="2" t="s">
        <v>25</v>
      </c>
      <c r="E608" s="2" t="s">
        <v>26</v>
      </c>
      <c r="F608" s="2" t="s">
        <v>68</v>
      </c>
      <c r="G608" s="2" t="s">
        <v>64</v>
      </c>
      <c r="H608" s="2" t="s">
        <v>21</v>
      </c>
      <c r="I608" s="2">
        <v>46</v>
      </c>
      <c r="J608" s="2">
        <v>22</v>
      </c>
      <c r="K608" s="2">
        <v>3326.17</v>
      </c>
      <c r="L608" s="2">
        <v>297.81</v>
      </c>
      <c r="M608" s="2">
        <v>35.21</v>
      </c>
      <c r="N608" s="2" t="s">
        <v>30</v>
      </c>
      <c r="O608" s="2">
        <v>5</v>
      </c>
    </row>
    <row r="609" spans="1:15" x14ac:dyDescent="0.3">
      <c r="A609" s="2" t="s">
        <v>666</v>
      </c>
      <c r="B609" s="1">
        <v>45870</v>
      </c>
      <c r="C609" s="2" t="s">
        <v>43</v>
      </c>
      <c r="D609" s="2" t="s">
        <v>17</v>
      </c>
      <c r="E609" s="2" t="s">
        <v>26</v>
      </c>
      <c r="F609" s="2" t="s">
        <v>19</v>
      </c>
      <c r="G609" s="2" t="s">
        <v>28</v>
      </c>
      <c r="H609" s="2" t="s">
        <v>21</v>
      </c>
      <c r="I609" s="2">
        <v>58</v>
      </c>
      <c r="J609" s="2">
        <v>75</v>
      </c>
      <c r="K609" s="2">
        <v>17481.060000000001</v>
      </c>
      <c r="L609" s="2">
        <v>475.01</v>
      </c>
      <c r="M609" s="2">
        <v>157.31</v>
      </c>
      <c r="N609" s="2" t="s">
        <v>22</v>
      </c>
      <c r="O609" s="2">
        <v>5</v>
      </c>
    </row>
    <row r="610" spans="1:15" x14ac:dyDescent="0.3">
      <c r="A610" s="2" t="s">
        <v>667</v>
      </c>
      <c r="B610" s="1">
        <v>46099</v>
      </c>
      <c r="C610" s="2" t="s">
        <v>24</v>
      </c>
      <c r="D610" s="2" t="s">
        <v>86</v>
      </c>
      <c r="E610" s="2" t="s">
        <v>58</v>
      </c>
      <c r="F610" s="2" t="s">
        <v>19</v>
      </c>
      <c r="G610" s="2" t="s">
        <v>20</v>
      </c>
      <c r="H610" s="2" t="s">
        <v>29</v>
      </c>
      <c r="I610" s="2">
        <v>66</v>
      </c>
      <c r="J610" s="2">
        <v>84</v>
      </c>
      <c r="K610" s="2">
        <v>33513.33</v>
      </c>
      <c r="L610" s="2">
        <v>145.52000000000001</v>
      </c>
      <c r="M610" s="2">
        <v>93.76</v>
      </c>
      <c r="N610" s="2" t="s">
        <v>22</v>
      </c>
      <c r="O610" s="2">
        <v>4</v>
      </c>
    </row>
    <row r="611" spans="1:15" x14ac:dyDescent="0.3">
      <c r="A611" s="2" t="s">
        <v>668</v>
      </c>
      <c r="B611" s="1">
        <v>46013</v>
      </c>
      <c r="C611" s="2" t="s">
        <v>43</v>
      </c>
      <c r="D611" s="2" t="s">
        <v>62</v>
      </c>
      <c r="E611" s="2" t="s">
        <v>18</v>
      </c>
      <c r="F611" s="2" t="s">
        <v>68</v>
      </c>
      <c r="G611" s="2" t="s">
        <v>20</v>
      </c>
      <c r="H611" s="2" t="s">
        <v>56</v>
      </c>
      <c r="I611" s="2">
        <v>32</v>
      </c>
      <c r="J611" s="2">
        <v>29</v>
      </c>
      <c r="K611" s="2">
        <v>5575.2</v>
      </c>
      <c r="L611" s="2">
        <v>284.06</v>
      </c>
      <c r="M611" s="2">
        <v>182.89</v>
      </c>
      <c r="N611" s="2" t="s">
        <v>22</v>
      </c>
      <c r="O611" s="2">
        <v>3</v>
      </c>
    </row>
    <row r="612" spans="1:15" x14ac:dyDescent="0.3">
      <c r="A612" s="2" t="s">
        <v>669</v>
      </c>
      <c r="B612" s="1">
        <v>46197</v>
      </c>
      <c r="C612" s="2" t="s">
        <v>32</v>
      </c>
      <c r="D612" s="2" t="s">
        <v>78</v>
      </c>
      <c r="E612" s="2" t="s">
        <v>38</v>
      </c>
      <c r="F612" s="2" t="s">
        <v>68</v>
      </c>
      <c r="G612" s="2" t="s">
        <v>20</v>
      </c>
      <c r="H612" s="2" t="s">
        <v>21</v>
      </c>
      <c r="I612" s="2">
        <v>63</v>
      </c>
      <c r="J612" s="2">
        <v>115</v>
      </c>
      <c r="K612" s="2">
        <v>1089.94</v>
      </c>
      <c r="L612" s="2">
        <v>263.62</v>
      </c>
      <c r="M612" s="2">
        <v>168.13</v>
      </c>
      <c r="N612" s="2" t="s">
        <v>30</v>
      </c>
      <c r="O612" s="2">
        <v>5</v>
      </c>
    </row>
    <row r="613" spans="1:15" x14ac:dyDescent="0.3">
      <c r="A613" s="2" t="s">
        <v>670</v>
      </c>
      <c r="B613" s="1">
        <v>46196</v>
      </c>
      <c r="C613" s="2" t="s">
        <v>54</v>
      </c>
      <c r="D613" s="2" t="s">
        <v>25</v>
      </c>
      <c r="E613" s="2" t="s">
        <v>26</v>
      </c>
      <c r="F613" s="2" t="s">
        <v>39</v>
      </c>
      <c r="G613" s="2" t="s">
        <v>64</v>
      </c>
      <c r="H613" s="2" t="s">
        <v>21</v>
      </c>
      <c r="I613" s="2">
        <v>71</v>
      </c>
      <c r="J613" s="2">
        <v>41</v>
      </c>
      <c r="K613" s="2">
        <v>7414.77</v>
      </c>
      <c r="L613" s="2">
        <v>166.28</v>
      </c>
      <c r="M613" s="2">
        <v>169.53</v>
      </c>
      <c r="N613" s="2" t="s">
        <v>30</v>
      </c>
      <c r="O613" s="2">
        <v>1</v>
      </c>
    </row>
    <row r="614" spans="1:15" x14ac:dyDescent="0.3">
      <c r="A614" s="2" t="s">
        <v>671</v>
      </c>
      <c r="B614" s="1">
        <v>46103</v>
      </c>
      <c r="C614" s="2" t="s">
        <v>24</v>
      </c>
      <c r="D614" s="2" t="s">
        <v>44</v>
      </c>
      <c r="E614" s="2" t="s">
        <v>26</v>
      </c>
      <c r="F614" s="2" t="s">
        <v>34</v>
      </c>
      <c r="G614" s="2" t="s">
        <v>55</v>
      </c>
      <c r="H614" s="2" t="s">
        <v>21</v>
      </c>
      <c r="I614" s="2">
        <v>73</v>
      </c>
      <c r="J614" s="2">
        <v>42</v>
      </c>
      <c r="K614" s="2">
        <v>35928.93</v>
      </c>
      <c r="L614" s="2">
        <v>418.37</v>
      </c>
      <c r="M614" s="2">
        <v>154.31</v>
      </c>
      <c r="N614" s="2" t="s">
        <v>30</v>
      </c>
      <c r="O614" s="2">
        <v>2</v>
      </c>
    </row>
    <row r="615" spans="1:15" x14ac:dyDescent="0.3">
      <c r="A615" s="2" t="s">
        <v>672</v>
      </c>
      <c r="B615" s="1">
        <v>46221</v>
      </c>
      <c r="C615" s="2" t="s">
        <v>54</v>
      </c>
      <c r="D615" s="2" t="s">
        <v>25</v>
      </c>
      <c r="E615" s="2" t="s">
        <v>45</v>
      </c>
      <c r="F615" s="2" t="s">
        <v>34</v>
      </c>
      <c r="G615" s="2" t="s">
        <v>64</v>
      </c>
      <c r="H615" s="2" t="s">
        <v>29</v>
      </c>
      <c r="I615" s="2">
        <v>57</v>
      </c>
      <c r="J615" s="2">
        <v>98</v>
      </c>
      <c r="K615" s="2">
        <v>48653.29</v>
      </c>
      <c r="L615" s="2">
        <v>454.82</v>
      </c>
      <c r="M615" s="2">
        <v>264.27</v>
      </c>
      <c r="N615" s="2" t="s">
        <v>30</v>
      </c>
      <c r="O615" s="2">
        <v>3</v>
      </c>
    </row>
    <row r="616" spans="1:15" x14ac:dyDescent="0.3">
      <c r="A616" s="2" t="s">
        <v>673</v>
      </c>
      <c r="B616" s="1">
        <v>46167</v>
      </c>
      <c r="C616" s="2" t="s">
        <v>74</v>
      </c>
      <c r="D616" s="2" t="s">
        <v>37</v>
      </c>
      <c r="E616" s="2" t="s">
        <v>38</v>
      </c>
      <c r="F616" s="2" t="s">
        <v>68</v>
      </c>
      <c r="G616" s="2" t="s">
        <v>55</v>
      </c>
      <c r="H616" s="2" t="s">
        <v>52</v>
      </c>
      <c r="I616" s="2">
        <v>66</v>
      </c>
      <c r="J616" s="2">
        <v>65</v>
      </c>
      <c r="K616" s="2">
        <v>49161.7</v>
      </c>
      <c r="L616" s="2">
        <v>401.87</v>
      </c>
      <c r="M616" s="2">
        <v>161.15</v>
      </c>
      <c r="N616" s="2" t="s">
        <v>30</v>
      </c>
      <c r="O616" s="2">
        <v>5</v>
      </c>
    </row>
    <row r="617" spans="1:15" x14ac:dyDescent="0.3">
      <c r="A617" s="2" t="s">
        <v>674</v>
      </c>
      <c r="B617" s="1">
        <v>46193</v>
      </c>
      <c r="C617" s="2" t="s">
        <v>41</v>
      </c>
      <c r="D617" s="2" t="s">
        <v>44</v>
      </c>
      <c r="E617" s="2" t="s">
        <v>38</v>
      </c>
      <c r="F617" s="2" t="s">
        <v>27</v>
      </c>
      <c r="G617" s="2" t="s">
        <v>28</v>
      </c>
      <c r="H617" s="2" t="s">
        <v>29</v>
      </c>
      <c r="I617" s="2">
        <v>73</v>
      </c>
      <c r="J617" s="2">
        <v>31</v>
      </c>
      <c r="K617" s="2">
        <v>24951.97</v>
      </c>
      <c r="L617" s="2">
        <v>137.91</v>
      </c>
      <c r="M617" s="2">
        <v>180.75</v>
      </c>
      <c r="N617" s="2" t="s">
        <v>30</v>
      </c>
      <c r="O617" s="2">
        <v>5</v>
      </c>
    </row>
    <row r="618" spans="1:15" x14ac:dyDescent="0.3">
      <c r="A618" s="2" t="s">
        <v>675</v>
      </c>
      <c r="B618" s="1">
        <v>45976</v>
      </c>
      <c r="C618" s="2" t="s">
        <v>90</v>
      </c>
      <c r="D618" s="2" t="s">
        <v>37</v>
      </c>
      <c r="E618" s="2" t="s">
        <v>26</v>
      </c>
      <c r="F618" s="2" t="s">
        <v>19</v>
      </c>
      <c r="G618" s="2" t="s">
        <v>35</v>
      </c>
      <c r="H618" s="2" t="s">
        <v>56</v>
      </c>
      <c r="I618" s="2">
        <v>44</v>
      </c>
      <c r="J618" s="2">
        <v>30</v>
      </c>
      <c r="K618" s="2">
        <v>43532.94</v>
      </c>
      <c r="L618" s="2">
        <v>89.04</v>
      </c>
      <c r="M618" s="2">
        <v>59.16</v>
      </c>
      <c r="N618" s="2" t="s">
        <v>30</v>
      </c>
      <c r="O618" s="2">
        <v>3</v>
      </c>
    </row>
    <row r="619" spans="1:15" x14ac:dyDescent="0.3">
      <c r="A619" s="2" t="s">
        <v>676</v>
      </c>
      <c r="B619" s="1">
        <v>46091</v>
      </c>
      <c r="C619" s="2" t="s">
        <v>43</v>
      </c>
      <c r="D619" s="2" t="s">
        <v>76</v>
      </c>
      <c r="E619" s="2" t="s">
        <v>58</v>
      </c>
      <c r="F619" s="2" t="s">
        <v>19</v>
      </c>
      <c r="G619" s="2" t="s">
        <v>55</v>
      </c>
      <c r="H619" s="2" t="s">
        <v>56</v>
      </c>
      <c r="I619" s="2">
        <v>36</v>
      </c>
      <c r="J619" s="2">
        <v>112</v>
      </c>
      <c r="K619" s="2">
        <v>36972.910000000003</v>
      </c>
      <c r="L619" s="2">
        <v>322.45</v>
      </c>
      <c r="M619" s="2">
        <v>177.64</v>
      </c>
      <c r="N619" s="2" t="s">
        <v>30</v>
      </c>
      <c r="O619" s="2">
        <v>2</v>
      </c>
    </row>
    <row r="620" spans="1:15" x14ac:dyDescent="0.3">
      <c r="A620" s="2" t="s">
        <v>677</v>
      </c>
      <c r="B620" s="1">
        <v>46130</v>
      </c>
      <c r="C620" s="2" t="s">
        <v>16</v>
      </c>
      <c r="D620" s="2" t="s">
        <v>47</v>
      </c>
      <c r="E620" s="2" t="s">
        <v>45</v>
      </c>
      <c r="F620" s="2" t="s">
        <v>68</v>
      </c>
      <c r="G620" s="2" t="s">
        <v>20</v>
      </c>
      <c r="H620" s="2" t="s">
        <v>56</v>
      </c>
      <c r="I620" s="2">
        <v>33</v>
      </c>
      <c r="J620" s="2">
        <v>18</v>
      </c>
      <c r="K620" s="2">
        <v>25301.49</v>
      </c>
      <c r="L620" s="2">
        <v>75.69</v>
      </c>
      <c r="M620" s="2">
        <v>168.12</v>
      </c>
      <c r="N620" s="2" t="s">
        <v>30</v>
      </c>
      <c r="O620" s="2">
        <v>4</v>
      </c>
    </row>
    <row r="621" spans="1:15" x14ac:dyDescent="0.3">
      <c r="A621" s="2" t="s">
        <v>678</v>
      </c>
      <c r="B621" s="1">
        <v>46225</v>
      </c>
      <c r="C621" s="2" t="s">
        <v>41</v>
      </c>
      <c r="D621" s="2" t="s">
        <v>37</v>
      </c>
      <c r="E621" s="2" t="s">
        <v>38</v>
      </c>
      <c r="F621" s="2" t="s">
        <v>27</v>
      </c>
      <c r="G621" s="2" t="s">
        <v>64</v>
      </c>
      <c r="H621" s="2" t="s">
        <v>56</v>
      </c>
      <c r="I621" s="2">
        <v>45</v>
      </c>
      <c r="J621" s="2">
        <v>119</v>
      </c>
      <c r="K621" s="2">
        <v>28851.65</v>
      </c>
      <c r="L621" s="2">
        <v>352.77</v>
      </c>
      <c r="M621" s="2">
        <v>94.58</v>
      </c>
      <c r="N621" s="2" t="s">
        <v>22</v>
      </c>
      <c r="O621" s="2">
        <v>1</v>
      </c>
    </row>
    <row r="622" spans="1:15" x14ac:dyDescent="0.3">
      <c r="A622" s="2" t="s">
        <v>679</v>
      </c>
      <c r="B622" s="1">
        <v>46151</v>
      </c>
      <c r="C622" s="2" t="s">
        <v>24</v>
      </c>
      <c r="D622" s="2" t="s">
        <v>44</v>
      </c>
      <c r="E622" s="2" t="s">
        <v>26</v>
      </c>
      <c r="F622" s="2" t="s">
        <v>39</v>
      </c>
      <c r="G622" s="2" t="s">
        <v>28</v>
      </c>
      <c r="H622" s="2" t="s">
        <v>21</v>
      </c>
      <c r="I622" s="2">
        <v>74</v>
      </c>
      <c r="J622" s="2">
        <v>17</v>
      </c>
      <c r="K622" s="2">
        <v>7292.74</v>
      </c>
      <c r="L622" s="2">
        <v>288.69</v>
      </c>
      <c r="M622" s="2">
        <v>7.82</v>
      </c>
      <c r="N622" s="2" t="s">
        <v>30</v>
      </c>
      <c r="O622" s="2">
        <v>5</v>
      </c>
    </row>
    <row r="623" spans="1:15" x14ac:dyDescent="0.3">
      <c r="A623" s="2" t="s">
        <v>680</v>
      </c>
      <c r="B623" s="1">
        <v>46013</v>
      </c>
      <c r="C623" s="2" t="s">
        <v>54</v>
      </c>
      <c r="D623" s="2" t="s">
        <v>76</v>
      </c>
      <c r="E623" s="2" t="s">
        <v>38</v>
      </c>
      <c r="F623" s="2" t="s">
        <v>68</v>
      </c>
      <c r="G623" s="2" t="s">
        <v>20</v>
      </c>
      <c r="H623" s="2" t="s">
        <v>21</v>
      </c>
      <c r="I623" s="2">
        <v>74</v>
      </c>
      <c r="J623" s="2">
        <v>38</v>
      </c>
      <c r="K623" s="2">
        <v>46914.239999999998</v>
      </c>
      <c r="L623" s="2">
        <v>348.25</v>
      </c>
      <c r="M623" s="2">
        <v>127.71</v>
      </c>
      <c r="N623" s="2" t="s">
        <v>22</v>
      </c>
      <c r="O623" s="2">
        <v>2</v>
      </c>
    </row>
    <row r="624" spans="1:15" x14ac:dyDescent="0.3">
      <c r="A624" s="2" t="s">
        <v>681</v>
      </c>
      <c r="B624" s="1">
        <v>46109</v>
      </c>
      <c r="C624" s="2" t="s">
        <v>16</v>
      </c>
      <c r="D624" s="2" t="s">
        <v>37</v>
      </c>
      <c r="E624" s="2" t="s">
        <v>45</v>
      </c>
      <c r="F624" s="2" t="s">
        <v>68</v>
      </c>
      <c r="G624" s="2" t="s">
        <v>28</v>
      </c>
      <c r="H624" s="2" t="s">
        <v>29</v>
      </c>
      <c r="I624" s="2">
        <v>72</v>
      </c>
      <c r="J624" s="2">
        <v>14</v>
      </c>
      <c r="K624" s="2">
        <v>17920.52</v>
      </c>
      <c r="L624" s="2">
        <v>315.58</v>
      </c>
      <c r="M624" s="2">
        <v>15.18</v>
      </c>
      <c r="N624" s="2" t="s">
        <v>22</v>
      </c>
      <c r="O624" s="2">
        <v>1</v>
      </c>
    </row>
    <row r="625" spans="1:15" x14ac:dyDescent="0.3">
      <c r="A625" s="2" t="s">
        <v>682</v>
      </c>
      <c r="B625" s="1">
        <v>46113</v>
      </c>
      <c r="C625" s="2" t="s">
        <v>54</v>
      </c>
      <c r="D625" s="2" t="s">
        <v>62</v>
      </c>
      <c r="E625" s="2" t="s">
        <v>45</v>
      </c>
      <c r="F625" s="2" t="s">
        <v>19</v>
      </c>
      <c r="G625" s="2" t="s">
        <v>35</v>
      </c>
      <c r="H625" s="2" t="s">
        <v>52</v>
      </c>
      <c r="I625" s="2">
        <v>74</v>
      </c>
      <c r="J625" s="2">
        <v>87</v>
      </c>
      <c r="K625" s="2">
        <v>22584.39</v>
      </c>
      <c r="L625" s="2">
        <v>240.22</v>
      </c>
      <c r="M625" s="2">
        <v>185.26</v>
      </c>
      <c r="N625" s="2" t="s">
        <v>30</v>
      </c>
      <c r="O625" s="2">
        <v>3</v>
      </c>
    </row>
    <row r="626" spans="1:15" x14ac:dyDescent="0.3">
      <c r="A626" s="2" t="s">
        <v>683</v>
      </c>
      <c r="B626" s="1">
        <v>45904</v>
      </c>
      <c r="C626" s="2" t="s">
        <v>32</v>
      </c>
      <c r="D626" s="2" t="s">
        <v>25</v>
      </c>
      <c r="E626" s="2" t="s">
        <v>18</v>
      </c>
      <c r="F626" s="2" t="s">
        <v>68</v>
      </c>
      <c r="G626" s="2" t="s">
        <v>64</v>
      </c>
      <c r="H626" s="2" t="s">
        <v>56</v>
      </c>
      <c r="I626" s="2">
        <v>24</v>
      </c>
      <c r="J626" s="2">
        <v>89</v>
      </c>
      <c r="K626" s="2">
        <v>33747.18</v>
      </c>
      <c r="L626" s="2">
        <v>140.38999999999999</v>
      </c>
      <c r="M626" s="2">
        <v>192.33</v>
      </c>
      <c r="N626" s="2" t="s">
        <v>30</v>
      </c>
      <c r="O626" s="2">
        <v>5</v>
      </c>
    </row>
    <row r="627" spans="1:15" x14ac:dyDescent="0.3">
      <c r="A627" s="2" t="s">
        <v>684</v>
      </c>
      <c r="B627" s="1">
        <v>46029</v>
      </c>
      <c r="C627" s="2" t="s">
        <v>54</v>
      </c>
      <c r="D627" s="2" t="s">
        <v>47</v>
      </c>
      <c r="E627" s="2" t="s">
        <v>26</v>
      </c>
      <c r="F627" s="2" t="s">
        <v>68</v>
      </c>
      <c r="G627" s="2" t="s">
        <v>64</v>
      </c>
      <c r="H627" s="2" t="s">
        <v>29</v>
      </c>
      <c r="I627" s="2">
        <v>31</v>
      </c>
      <c r="J627" s="2">
        <v>79</v>
      </c>
      <c r="K627" s="2">
        <v>17028.169999999998</v>
      </c>
      <c r="L627" s="2">
        <v>187.57</v>
      </c>
      <c r="M627" s="2">
        <v>56.85</v>
      </c>
      <c r="N627" s="2" t="s">
        <v>30</v>
      </c>
      <c r="O627" s="2">
        <v>4</v>
      </c>
    </row>
    <row r="628" spans="1:15" x14ac:dyDescent="0.3">
      <c r="A628" s="2" t="s">
        <v>685</v>
      </c>
      <c r="B628" s="1">
        <v>46186</v>
      </c>
      <c r="C628" s="2" t="s">
        <v>32</v>
      </c>
      <c r="D628" s="2" t="s">
        <v>37</v>
      </c>
      <c r="E628" s="2" t="s">
        <v>45</v>
      </c>
      <c r="F628" s="2" t="s">
        <v>68</v>
      </c>
      <c r="G628" s="2" t="s">
        <v>35</v>
      </c>
      <c r="H628" s="2" t="s">
        <v>21</v>
      </c>
      <c r="I628" s="2">
        <v>52</v>
      </c>
      <c r="J628" s="2">
        <v>110</v>
      </c>
      <c r="K628" s="2">
        <v>13085.83</v>
      </c>
      <c r="L628" s="2">
        <v>286.02999999999997</v>
      </c>
      <c r="M628" s="2">
        <v>135.28</v>
      </c>
      <c r="N628" s="2" t="s">
        <v>22</v>
      </c>
      <c r="O628" s="2">
        <v>3</v>
      </c>
    </row>
    <row r="629" spans="1:15" x14ac:dyDescent="0.3">
      <c r="A629" s="2" t="s">
        <v>686</v>
      </c>
      <c r="B629" s="1">
        <v>46185</v>
      </c>
      <c r="C629" s="2" t="s">
        <v>74</v>
      </c>
      <c r="D629" s="2" t="s">
        <v>76</v>
      </c>
      <c r="E629" s="2" t="s">
        <v>18</v>
      </c>
      <c r="F629" s="2" t="s">
        <v>19</v>
      </c>
      <c r="G629" s="2" t="s">
        <v>64</v>
      </c>
      <c r="H629" s="2" t="s">
        <v>21</v>
      </c>
      <c r="I629" s="2">
        <v>69</v>
      </c>
      <c r="J629" s="2">
        <v>56</v>
      </c>
      <c r="K629" s="2">
        <v>31736.94</v>
      </c>
      <c r="L629" s="2">
        <v>343.34</v>
      </c>
      <c r="M629" s="2">
        <v>18.45</v>
      </c>
      <c r="N629" s="2" t="s">
        <v>30</v>
      </c>
      <c r="O629" s="2">
        <v>5</v>
      </c>
    </row>
    <row r="630" spans="1:15" x14ac:dyDescent="0.3">
      <c r="A630" s="2" t="s">
        <v>687</v>
      </c>
      <c r="B630" s="1">
        <v>45984</v>
      </c>
      <c r="C630" s="2" t="s">
        <v>16</v>
      </c>
      <c r="D630" s="2" t="s">
        <v>82</v>
      </c>
      <c r="E630" s="2" t="s">
        <v>18</v>
      </c>
      <c r="F630" s="2" t="s">
        <v>39</v>
      </c>
      <c r="G630" s="2" t="s">
        <v>55</v>
      </c>
      <c r="H630" s="2" t="s">
        <v>52</v>
      </c>
      <c r="I630" s="2">
        <v>27</v>
      </c>
      <c r="J630" s="2">
        <v>22</v>
      </c>
      <c r="K630" s="2">
        <v>1736.71</v>
      </c>
      <c r="L630" s="2">
        <v>400.77</v>
      </c>
      <c r="M630" s="2">
        <v>145.9</v>
      </c>
      <c r="N630" s="2" t="s">
        <v>22</v>
      </c>
      <c r="O630" s="2">
        <v>2</v>
      </c>
    </row>
    <row r="631" spans="1:15" x14ac:dyDescent="0.3">
      <c r="A631" s="2" t="s">
        <v>688</v>
      </c>
      <c r="B631" s="1">
        <v>45994</v>
      </c>
      <c r="C631" s="2" t="s">
        <v>16</v>
      </c>
      <c r="D631" s="2" t="s">
        <v>17</v>
      </c>
      <c r="E631" s="2" t="s">
        <v>38</v>
      </c>
      <c r="F631" s="2" t="s">
        <v>39</v>
      </c>
      <c r="G631" s="2" t="s">
        <v>28</v>
      </c>
      <c r="H631" s="2" t="s">
        <v>52</v>
      </c>
      <c r="I631" s="2">
        <v>66</v>
      </c>
      <c r="J631" s="2">
        <v>67</v>
      </c>
      <c r="K631" s="2">
        <v>36175.89</v>
      </c>
      <c r="L631" s="2">
        <v>395.23</v>
      </c>
      <c r="M631" s="2">
        <v>69.459999999999994</v>
      </c>
      <c r="N631" s="2" t="s">
        <v>30</v>
      </c>
      <c r="O631" s="2">
        <v>1</v>
      </c>
    </row>
    <row r="632" spans="1:15" x14ac:dyDescent="0.3">
      <c r="A632" s="2" t="s">
        <v>689</v>
      </c>
      <c r="B632" s="1">
        <v>46082</v>
      </c>
      <c r="C632" s="2" t="s">
        <v>90</v>
      </c>
      <c r="D632" s="2" t="s">
        <v>67</v>
      </c>
      <c r="E632" s="2" t="s">
        <v>38</v>
      </c>
      <c r="F632" s="2" t="s">
        <v>68</v>
      </c>
      <c r="G632" s="2" t="s">
        <v>20</v>
      </c>
      <c r="H632" s="2" t="s">
        <v>52</v>
      </c>
      <c r="I632" s="2">
        <v>31</v>
      </c>
      <c r="J632" s="2">
        <v>56</v>
      </c>
      <c r="K632" s="2">
        <v>25944.16</v>
      </c>
      <c r="L632" s="2">
        <v>487.71</v>
      </c>
      <c r="M632" s="2">
        <v>136.21</v>
      </c>
      <c r="N632" s="2" t="s">
        <v>22</v>
      </c>
      <c r="O632" s="2">
        <v>1</v>
      </c>
    </row>
    <row r="633" spans="1:15" x14ac:dyDescent="0.3">
      <c r="A633" s="2" t="s">
        <v>690</v>
      </c>
      <c r="B633" s="1">
        <v>45919</v>
      </c>
      <c r="C633" s="2" t="s">
        <v>24</v>
      </c>
      <c r="D633" s="2" t="s">
        <v>86</v>
      </c>
      <c r="E633" s="2" t="s">
        <v>18</v>
      </c>
      <c r="F633" s="2" t="s">
        <v>19</v>
      </c>
      <c r="G633" s="2" t="s">
        <v>35</v>
      </c>
      <c r="H633" s="2" t="s">
        <v>29</v>
      </c>
      <c r="I633" s="2">
        <v>48</v>
      </c>
      <c r="J633" s="2">
        <v>119</v>
      </c>
      <c r="K633" s="2">
        <v>30484.81</v>
      </c>
      <c r="L633" s="2">
        <v>178.63</v>
      </c>
      <c r="M633" s="2">
        <v>111.87</v>
      </c>
      <c r="N633" s="2" t="s">
        <v>22</v>
      </c>
      <c r="O633" s="2">
        <v>5</v>
      </c>
    </row>
    <row r="634" spans="1:15" x14ac:dyDescent="0.3">
      <c r="A634" s="2" t="s">
        <v>691</v>
      </c>
      <c r="B634" s="1">
        <v>46021</v>
      </c>
      <c r="C634" s="2" t="s">
        <v>32</v>
      </c>
      <c r="D634" s="2" t="s">
        <v>67</v>
      </c>
      <c r="E634" s="2" t="s">
        <v>38</v>
      </c>
      <c r="F634" s="2" t="s">
        <v>39</v>
      </c>
      <c r="G634" s="2" t="s">
        <v>55</v>
      </c>
      <c r="H634" s="2" t="s">
        <v>21</v>
      </c>
      <c r="I634" s="2">
        <v>74</v>
      </c>
      <c r="J634" s="2">
        <v>19</v>
      </c>
      <c r="K634" s="2">
        <v>31778.07</v>
      </c>
      <c r="L634" s="2">
        <v>82</v>
      </c>
      <c r="M634" s="2">
        <v>29.11</v>
      </c>
      <c r="N634" s="2" t="s">
        <v>30</v>
      </c>
      <c r="O634" s="2">
        <v>3</v>
      </c>
    </row>
    <row r="635" spans="1:15" x14ac:dyDescent="0.3">
      <c r="A635" s="2" t="s">
        <v>692</v>
      </c>
      <c r="B635" s="1">
        <v>46026</v>
      </c>
      <c r="C635" s="2" t="s">
        <v>90</v>
      </c>
      <c r="D635" s="2" t="s">
        <v>82</v>
      </c>
      <c r="E635" s="2" t="s">
        <v>45</v>
      </c>
      <c r="F635" s="2" t="s">
        <v>39</v>
      </c>
      <c r="G635" s="2" t="s">
        <v>20</v>
      </c>
      <c r="H635" s="2" t="s">
        <v>21</v>
      </c>
      <c r="I635" s="2">
        <v>61</v>
      </c>
      <c r="J635" s="2">
        <v>57</v>
      </c>
      <c r="K635" s="2">
        <v>26588.98</v>
      </c>
      <c r="L635" s="2">
        <v>205.55</v>
      </c>
      <c r="M635" s="2">
        <v>81.22</v>
      </c>
      <c r="N635" s="2" t="s">
        <v>30</v>
      </c>
      <c r="O635" s="2">
        <v>4</v>
      </c>
    </row>
    <row r="636" spans="1:15" x14ac:dyDescent="0.3">
      <c r="A636" s="2" t="s">
        <v>693</v>
      </c>
      <c r="B636" s="1">
        <v>46156</v>
      </c>
      <c r="C636" s="2" t="s">
        <v>54</v>
      </c>
      <c r="D636" s="2" t="s">
        <v>67</v>
      </c>
      <c r="E636" s="2" t="s">
        <v>58</v>
      </c>
      <c r="F636" s="2" t="s">
        <v>39</v>
      </c>
      <c r="G636" s="2" t="s">
        <v>20</v>
      </c>
      <c r="H636" s="2" t="s">
        <v>52</v>
      </c>
      <c r="I636" s="2">
        <v>43</v>
      </c>
      <c r="J636" s="2">
        <v>44</v>
      </c>
      <c r="K636" s="2">
        <v>29335.42</v>
      </c>
      <c r="L636" s="2">
        <v>384.48</v>
      </c>
      <c r="M636" s="2">
        <v>22.53</v>
      </c>
      <c r="N636" s="2" t="s">
        <v>30</v>
      </c>
      <c r="O636" s="2">
        <v>2</v>
      </c>
    </row>
    <row r="637" spans="1:15" x14ac:dyDescent="0.3">
      <c r="A637" s="2" t="s">
        <v>694</v>
      </c>
      <c r="B637" s="1">
        <v>46118</v>
      </c>
      <c r="C637" s="2" t="s">
        <v>54</v>
      </c>
      <c r="D637" s="2" t="s">
        <v>82</v>
      </c>
      <c r="E637" s="2" t="s">
        <v>45</v>
      </c>
      <c r="F637" s="2" t="s">
        <v>19</v>
      </c>
      <c r="G637" s="2" t="s">
        <v>35</v>
      </c>
      <c r="H637" s="2" t="s">
        <v>56</v>
      </c>
      <c r="I637" s="2">
        <v>65</v>
      </c>
      <c r="J637" s="2">
        <v>98</v>
      </c>
      <c r="K637" s="2">
        <v>34347.519999999997</v>
      </c>
      <c r="L637" s="2">
        <v>247.15</v>
      </c>
      <c r="M637" s="2">
        <v>115.38</v>
      </c>
      <c r="N637" s="2" t="s">
        <v>30</v>
      </c>
      <c r="O637" s="2">
        <v>5</v>
      </c>
    </row>
    <row r="638" spans="1:15" x14ac:dyDescent="0.3">
      <c r="A638" s="2" t="s">
        <v>695</v>
      </c>
      <c r="B638" s="1">
        <v>46136</v>
      </c>
      <c r="C638" s="2" t="s">
        <v>90</v>
      </c>
      <c r="D638" s="2" t="s">
        <v>33</v>
      </c>
      <c r="E638" s="2" t="s">
        <v>18</v>
      </c>
      <c r="F638" s="2" t="s">
        <v>19</v>
      </c>
      <c r="G638" s="2" t="s">
        <v>55</v>
      </c>
      <c r="H638" s="2" t="s">
        <v>52</v>
      </c>
      <c r="I638" s="2">
        <v>43</v>
      </c>
      <c r="J638" s="2">
        <v>35</v>
      </c>
      <c r="K638" s="2">
        <v>37779.379999999997</v>
      </c>
      <c r="L638" s="2">
        <v>418</v>
      </c>
      <c r="M638" s="2">
        <v>8.19</v>
      </c>
      <c r="N638" s="2" t="s">
        <v>30</v>
      </c>
      <c r="O638" s="2">
        <v>2</v>
      </c>
    </row>
    <row r="639" spans="1:15" x14ac:dyDescent="0.3">
      <c r="A639" s="2" t="s">
        <v>696</v>
      </c>
      <c r="B639" s="1">
        <v>46112</v>
      </c>
      <c r="C639" s="2" t="s">
        <v>16</v>
      </c>
      <c r="D639" s="2" t="s">
        <v>82</v>
      </c>
      <c r="E639" s="2" t="s">
        <v>18</v>
      </c>
      <c r="F639" s="2" t="s">
        <v>68</v>
      </c>
      <c r="G639" s="2" t="s">
        <v>20</v>
      </c>
      <c r="H639" s="2" t="s">
        <v>29</v>
      </c>
      <c r="I639" s="2">
        <v>70</v>
      </c>
      <c r="J639" s="2">
        <v>114</v>
      </c>
      <c r="K639" s="2">
        <v>36508.89</v>
      </c>
      <c r="L639" s="2">
        <v>297.2</v>
      </c>
      <c r="M639" s="2">
        <v>158.19</v>
      </c>
      <c r="N639" s="2" t="s">
        <v>22</v>
      </c>
      <c r="O639" s="2">
        <v>1</v>
      </c>
    </row>
    <row r="640" spans="1:15" x14ac:dyDescent="0.3">
      <c r="A640" s="2" t="s">
        <v>697</v>
      </c>
      <c r="B640" s="1">
        <v>45953</v>
      </c>
      <c r="C640" s="2" t="s">
        <v>54</v>
      </c>
      <c r="D640" s="2" t="s">
        <v>82</v>
      </c>
      <c r="E640" s="2" t="s">
        <v>45</v>
      </c>
      <c r="F640" s="2" t="s">
        <v>34</v>
      </c>
      <c r="G640" s="2" t="s">
        <v>20</v>
      </c>
      <c r="H640" s="2" t="s">
        <v>52</v>
      </c>
      <c r="I640" s="2">
        <v>48</v>
      </c>
      <c r="J640" s="2">
        <v>1</v>
      </c>
      <c r="K640" s="2">
        <v>43546.01</v>
      </c>
      <c r="L640" s="2">
        <v>468.41</v>
      </c>
      <c r="M640" s="2">
        <v>177.27</v>
      </c>
      <c r="N640" s="2" t="s">
        <v>30</v>
      </c>
      <c r="O640" s="2">
        <v>4</v>
      </c>
    </row>
    <row r="641" spans="1:15" x14ac:dyDescent="0.3">
      <c r="A641" s="2" t="s">
        <v>698</v>
      </c>
      <c r="B641" s="1">
        <v>45924</v>
      </c>
      <c r="C641" s="2" t="s">
        <v>43</v>
      </c>
      <c r="D641" s="2" t="s">
        <v>51</v>
      </c>
      <c r="E641" s="2" t="s">
        <v>38</v>
      </c>
      <c r="F641" s="2" t="s">
        <v>39</v>
      </c>
      <c r="G641" s="2" t="s">
        <v>55</v>
      </c>
      <c r="H641" s="2" t="s">
        <v>52</v>
      </c>
      <c r="I641" s="2">
        <v>63</v>
      </c>
      <c r="J641" s="2">
        <v>52</v>
      </c>
      <c r="K641" s="2">
        <v>9877.4500000000007</v>
      </c>
      <c r="L641" s="2">
        <v>476.54</v>
      </c>
      <c r="M641" s="2">
        <v>167.57</v>
      </c>
      <c r="N641" s="2" t="s">
        <v>22</v>
      </c>
      <c r="O641" s="2">
        <v>2</v>
      </c>
    </row>
    <row r="642" spans="1:15" x14ac:dyDescent="0.3">
      <c r="A642" s="2" t="s">
        <v>699</v>
      </c>
      <c r="B642" s="1">
        <v>45901</v>
      </c>
      <c r="C642" s="2" t="s">
        <v>74</v>
      </c>
      <c r="D642" s="2" t="s">
        <v>82</v>
      </c>
      <c r="E642" s="2" t="s">
        <v>38</v>
      </c>
      <c r="F642" s="2" t="s">
        <v>34</v>
      </c>
      <c r="G642" s="2" t="s">
        <v>64</v>
      </c>
      <c r="H642" s="2" t="s">
        <v>29</v>
      </c>
      <c r="I642" s="2">
        <v>67</v>
      </c>
      <c r="J642" s="2">
        <v>85</v>
      </c>
      <c r="K642" s="2">
        <v>20356.82</v>
      </c>
      <c r="L642" s="2">
        <v>81.19</v>
      </c>
      <c r="M642" s="2">
        <v>264.83999999999997</v>
      </c>
      <c r="N642" s="2" t="s">
        <v>22</v>
      </c>
      <c r="O642" s="2">
        <v>5</v>
      </c>
    </row>
    <row r="643" spans="1:15" x14ac:dyDescent="0.3">
      <c r="A643" s="2" t="s">
        <v>700</v>
      </c>
      <c r="B643" s="1">
        <v>45964</v>
      </c>
      <c r="C643" s="2" t="s">
        <v>74</v>
      </c>
      <c r="D643" s="2" t="s">
        <v>62</v>
      </c>
      <c r="E643" s="2" t="s">
        <v>18</v>
      </c>
      <c r="F643" s="2" t="s">
        <v>19</v>
      </c>
      <c r="G643" s="2" t="s">
        <v>20</v>
      </c>
      <c r="H643" s="2" t="s">
        <v>52</v>
      </c>
      <c r="I643" s="2">
        <v>46</v>
      </c>
      <c r="J643" s="2">
        <v>93</v>
      </c>
      <c r="K643" s="2">
        <v>47415.91</v>
      </c>
      <c r="L643" s="2">
        <v>255.39</v>
      </c>
      <c r="M643" s="2">
        <v>184.41</v>
      </c>
      <c r="N643" s="2" t="s">
        <v>30</v>
      </c>
      <c r="O643" s="2">
        <v>4</v>
      </c>
    </row>
    <row r="644" spans="1:15" x14ac:dyDescent="0.3">
      <c r="A644" s="2" t="s">
        <v>701</v>
      </c>
      <c r="B644" s="1">
        <v>45926</v>
      </c>
      <c r="C644" s="2" t="s">
        <v>43</v>
      </c>
      <c r="D644" s="2" t="s">
        <v>17</v>
      </c>
      <c r="E644" s="2" t="s">
        <v>26</v>
      </c>
      <c r="F644" s="2" t="s">
        <v>19</v>
      </c>
      <c r="G644" s="2" t="s">
        <v>28</v>
      </c>
      <c r="H644" s="2" t="s">
        <v>21</v>
      </c>
      <c r="I644" s="2">
        <v>45</v>
      </c>
      <c r="J644" s="2">
        <v>70</v>
      </c>
      <c r="K644" s="2">
        <v>20131.23</v>
      </c>
      <c r="L644" s="2">
        <v>324.36</v>
      </c>
      <c r="M644" s="2">
        <v>20.91</v>
      </c>
      <c r="N644" s="2" t="s">
        <v>22</v>
      </c>
      <c r="O644" s="2">
        <v>3</v>
      </c>
    </row>
    <row r="645" spans="1:15" x14ac:dyDescent="0.3">
      <c r="A645" s="2" t="s">
        <v>702</v>
      </c>
      <c r="B645" s="1">
        <v>46220</v>
      </c>
      <c r="C645" s="2" t="s">
        <v>90</v>
      </c>
      <c r="D645" s="2" t="s">
        <v>78</v>
      </c>
      <c r="E645" s="2" t="s">
        <v>38</v>
      </c>
      <c r="F645" s="2" t="s">
        <v>19</v>
      </c>
      <c r="G645" s="2" t="s">
        <v>55</v>
      </c>
      <c r="H645" s="2" t="s">
        <v>56</v>
      </c>
      <c r="I645" s="2">
        <v>74</v>
      </c>
      <c r="J645" s="2">
        <v>37</v>
      </c>
      <c r="K645" s="2">
        <v>6681.07</v>
      </c>
      <c r="L645" s="2">
        <v>165.14</v>
      </c>
      <c r="M645" s="2">
        <v>25.75</v>
      </c>
      <c r="N645" s="2" t="s">
        <v>30</v>
      </c>
      <c r="O645" s="2">
        <v>5</v>
      </c>
    </row>
    <row r="646" spans="1:15" x14ac:dyDescent="0.3">
      <c r="A646" s="2" t="s">
        <v>703</v>
      </c>
      <c r="B646" s="1">
        <v>46184</v>
      </c>
      <c r="C646" s="2" t="s">
        <v>43</v>
      </c>
      <c r="D646" s="2" t="s">
        <v>37</v>
      </c>
      <c r="E646" s="2" t="s">
        <v>45</v>
      </c>
      <c r="F646" s="2" t="s">
        <v>34</v>
      </c>
      <c r="G646" s="2" t="s">
        <v>20</v>
      </c>
      <c r="H646" s="2" t="s">
        <v>52</v>
      </c>
      <c r="I646" s="2">
        <v>49</v>
      </c>
      <c r="J646" s="2">
        <v>65</v>
      </c>
      <c r="K646" s="2">
        <v>26509.53</v>
      </c>
      <c r="L646" s="2">
        <v>233.18</v>
      </c>
      <c r="M646" s="2">
        <v>111.4</v>
      </c>
      <c r="N646" s="2" t="s">
        <v>22</v>
      </c>
      <c r="O646" s="2">
        <v>2</v>
      </c>
    </row>
    <row r="647" spans="1:15" x14ac:dyDescent="0.3">
      <c r="A647" s="2" t="s">
        <v>704</v>
      </c>
      <c r="B647" s="1">
        <v>46067</v>
      </c>
      <c r="C647" s="2" t="s">
        <v>32</v>
      </c>
      <c r="D647" s="2" t="s">
        <v>86</v>
      </c>
      <c r="E647" s="2" t="s">
        <v>38</v>
      </c>
      <c r="F647" s="2" t="s">
        <v>19</v>
      </c>
      <c r="G647" s="2" t="s">
        <v>35</v>
      </c>
      <c r="H647" s="2" t="s">
        <v>29</v>
      </c>
      <c r="I647" s="2">
        <v>39</v>
      </c>
      <c r="J647" s="2">
        <v>51</v>
      </c>
      <c r="K647" s="2">
        <v>5919.8</v>
      </c>
      <c r="L647" s="2">
        <v>354.96</v>
      </c>
      <c r="M647" s="2">
        <v>268.18</v>
      </c>
      <c r="N647" s="2" t="s">
        <v>30</v>
      </c>
      <c r="O647" s="2">
        <v>4</v>
      </c>
    </row>
    <row r="648" spans="1:15" x14ac:dyDescent="0.3">
      <c r="A648" s="2" t="s">
        <v>705</v>
      </c>
      <c r="B648" s="1">
        <v>45879</v>
      </c>
      <c r="C648" s="2" t="s">
        <v>32</v>
      </c>
      <c r="D648" s="2" t="s">
        <v>47</v>
      </c>
      <c r="E648" s="2" t="s">
        <v>45</v>
      </c>
      <c r="F648" s="2" t="s">
        <v>68</v>
      </c>
      <c r="G648" s="2" t="s">
        <v>28</v>
      </c>
      <c r="H648" s="2" t="s">
        <v>56</v>
      </c>
      <c r="I648" s="2">
        <v>53</v>
      </c>
      <c r="J648" s="2">
        <v>1</v>
      </c>
      <c r="K648" s="2">
        <v>10541.24</v>
      </c>
      <c r="L648" s="2">
        <v>152.03</v>
      </c>
      <c r="M648" s="2">
        <v>194.87</v>
      </c>
      <c r="N648" s="2" t="s">
        <v>30</v>
      </c>
      <c r="O648" s="2">
        <v>5</v>
      </c>
    </row>
    <row r="649" spans="1:15" x14ac:dyDescent="0.3">
      <c r="A649" s="2" t="s">
        <v>706</v>
      </c>
      <c r="B649" s="1">
        <v>46121</v>
      </c>
      <c r="C649" s="2" t="s">
        <v>90</v>
      </c>
      <c r="D649" s="2" t="s">
        <v>17</v>
      </c>
      <c r="E649" s="2" t="s">
        <v>18</v>
      </c>
      <c r="F649" s="2" t="s">
        <v>19</v>
      </c>
      <c r="G649" s="2" t="s">
        <v>20</v>
      </c>
      <c r="H649" s="2" t="s">
        <v>29</v>
      </c>
      <c r="I649" s="2">
        <v>56</v>
      </c>
      <c r="J649" s="2">
        <v>91</v>
      </c>
      <c r="K649" s="2">
        <v>49916.78</v>
      </c>
      <c r="L649" s="2">
        <v>320.89</v>
      </c>
      <c r="M649" s="2">
        <v>13.88</v>
      </c>
      <c r="N649" s="2" t="s">
        <v>30</v>
      </c>
      <c r="O649" s="2">
        <v>4</v>
      </c>
    </row>
    <row r="650" spans="1:15" x14ac:dyDescent="0.3">
      <c r="A650" s="2" t="s">
        <v>707</v>
      </c>
      <c r="B650" s="1">
        <v>46075</v>
      </c>
      <c r="C650" s="2" t="s">
        <v>43</v>
      </c>
      <c r="D650" s="2" t="s">
        <v>44</v>
      </c>
      <c r="E650" s="2" t="s">
        <v>38</v>
      </c>
      <c r="F650" s="2" t="s">
        <v>27</v>
      </c>
      <c r="G650" s="2" t="s">
        <v>28</v>
      </c>
      <c r="H650" s="2" t="s">
        <v>56</v>
      </c>
      <c r="I650" s="2">
        <v>34</v>
      </c>
      <c r="J650" s="2">
        <v>21</v>
      </c>
      <c r="K650" s="2">
        <v>27297.45</v>
      </c>
      <c r="L650" s="2">
        <v>363.85</v>
      </c>
      <c r="M650" s="2">
        <v>71.150000000000006</v>
      </c>
      <c r="N650" s="2" t="s">
        <v>30</v>
      </c>
      <c r="O650" s="2">
        <v>4</v>
      </c>
    </row>
    <row r="651" spans="1:15" x14ac:dyDescent="0.3">
      <c r="A651" s="2" t="s">
        <v>708</v>
      </c>
      <c r="B651" s="1">
        <v>46162</v>
      </c>
      <c r="C651" s="2" t="s">
        <v>32</v>
      </c>
      <c r="D651" s="2" t="s">
        <v>78</v>
      </c>
      <c r="E651" s="2" t="s">
        <v>45</v>
      </c>
      <c r="F651" s="2" t="s">
        <v>34</v>
      </c>
      <c r="G651" s="2" t="s">
        <v>28</v>
      </c>
      <c r="H651" s="2" t="s">
        <v>56</v>
      </c>
      <c r="I651" s="2">
        <v>34</v>
      </c>
      <c r="J651" s="2">
        <v>53</v>
      </c>
      <c r="K651" s="2">
        <v>14560.89</v>
      </c>
      <c r="L651" s="2">
        <v>90.72</v>
      </c>
      <c r="M651" s="2">
        <v>42.58</v>
      </c>
      <c r="N651" s="2" t="s">
        <v>30</v>
      </c>
      <c r="O651" s="2">
        <v>4</v>
      </c>
    </row>
    <row r="652" spans="1:15" x14ac:dyDescent="0.3">
      <c r="A652" s="2" t="s">
        <v>709</v>
      </c>
      <c r="B652" s="1">
        <v>45962</v>
      </c>
      <c r="C652" s="2" t="s">
        <v>16</v>
      </c>
      <c r="D652" s="2" t="s">
        <v>33</v>
      </c>
      <c r="E652" s="2" t="s">
        <v>18</v>
      </c>
      <c r="F652" s="2" t="s">
        <v>27</v>
      </c>
      <c r="G652" s="2" t="s">
        <v>64</v>
      </c>
      <c r="H652" s="2" t="s">
        <v>52</v>
      </c>
      <c r="I652" s="2">
        <v>55</v>
      </c>
      <c r="J652" s="2">
        <v>16</v>
      </c>
      <c r="K652" s="2">
        <v>49741.36</v>
      </c>
      <c r="L652" s="2">
        <v>273.89</v>
      </c>
      <c r="M652" s="2">
        <v>151.19</v>
      </c>
      <c r="N652" s="2" t="s">
        <v>30</v>
      </c>
      <c r="O652" s="2">
        <v>2</v>
      </c>
    </row>
    <row r="653" spans="1:15" x14ac:dyDescent="0.3">
      <c r="A653" s="2" t="s">
        <v>710</v>
      </c>
      <c r="B653" s="1">
        <v>45955</v>
      </c>
      <c r="C653" s="2" t="s">
        <v>43</v>
      </c>
      <c r="D653" s="2" t="s">
        <v>33</v>
      </c>
      <c r="E653" s="2" t="s">
        <v>26</v>
      </c>
      <c r="F653" s="2" t="s">
        <v>19</v>
      </c>
      <c r="G653" s="2" t="s">
        <v>28</v>
      </c>
      <c r="H653" s="2" t="s">
        <v>21</v>
      </c>
      <c r="I653" s="2">
        <v>50</v>
      </c>
      <c r="J653" s="2">
        <v>108</v>
      </c>
      <c r="K653" s="2">
        <v>48344.67</v>
      </c>
      <c r="L653" s="2">
        <v>168.39</v>
      </c>
      <c r="M653" s="2">
        <v>128.04</v>
      </c>
      <c r="N653" s="2" t="s">
        <v>30</v>
      </c>
      <c r="O653" s="2">
        <v>5</v>
      </c>
    </row>
    <row r="654" spans="1:15" x14ac:dyDescent="0.3">
      <c r="A654" s="2" t="s">
        <v>711</v>
      </c>
      <c r="B654" s="1">
        <v>46187</v>
      </c>
      <c r="C654" s="2" t="s">
        <v>16</v>
      </c>
      <c r="D654" s="2" t="s">
        <v>49</v>
      </c>
      <c r="E654" s="2" t="s">
        <v>45</v>
      </c>
      <c r="F654" s="2" t="s">
        <v>68</v>
      </c>
      <c r="G654" s="2" t="s">
        <v>64</v>
      </c>
      <c r="H654" s="2" t="s">
        <v>52</v>
      </c>
      <c r="I654" s="2">
        <v>48</v>
      </c>
      <c r="J654" s="2">
        <v>61</v>
      </c>
      <c r="K654" s="2">
        <v>22316.58</v>
      </c>
      <c r="L654" s="2">
        <v>375.97</v>
      </c>
      <c r="M654" s="2">
        <v>23.98</v>
      </c>
      <c r="N654" s="2" t="s">
        <v>22</v>
      </c>
      <c r="O654" s="2">
        <v>1</v>
      </c>
    </row>
    <row r="655" spans="1:15" x14ac:dyDescent="0.3">
      <c r="A655" s="2" t="s">
        <v>712</v>
      </c>
      <c r="B655" s="1">
        <v>45999</v>
      </c>
      <c r="C655" s="2" t="s">
        <v>32</v>
      </c>
      <c r="D655" s="2" t="s">
        <v>25</v>
      </c>
      <c r="E655" s="2" t="s">
        <v>26</v>
      </c>
      <c r="F655" s="2" t="s">
        <v>39</v>
      </c>
      <c r="G655" s="2" t="s">
        <v>55</v>
      </c>
      <c r="H655" s="2" t="s">
        <v>29</v>
      </c>
      <c r="I655" s="2">
        <v>37</v>
      </c>
      <c r="J655" s="2">
        <v>54</v>
      </c>
      <c r="K655" s="2">
        <v>13389.95</v>
      </c>
      <c r="L655" s="2">
        <v>135.30000000000001</v>
      </c>
      <c r="M655" s="2">
        <v>145.05000000000001</v>
      </c>
      <c r="N655" s="2" t="s">
        <v>30</v>
      </c>
      <c r="O655" s="2">
        <v>1</v>
      </c>
    </row>
    <row r="656" spans="1:15" x14ac:dyDescent="0.3">
      <c r="A656" s="2" t="s">
        <v>713</v>
      </c>
      <c r="B656" s="1">
        <v>46164</v>
      </c>
      <c r="C656" s="2" t="s">
        <v>74</v>
      </c>
      <c r="D656" s="2" t="s">
        <v>82</v>
      </c>
      <c r="E656" s="2" t="s">
        <v>26</v>
      </c>
      <c r="F656" s="2" t="s">
        <v>19</v>
      </c>
      <c r="G656" s="2" t="s">
        <v>64</v>
      </c>
      <c r="H656" s="2" t="s">
        <v>29</v>
      </c>
      <c r="I656" s="2">
        <v>23</v>
      </c>
      <c r="J656" s="2">
        <v>40</v>
      </c>
      <c r="K656" s="2">
        <v>42000.78</v>
      </c>
      <c r="L656" s="2">
        <v>451.51</v>
      </c>
      <c r="M656" s="2">
        <v>205.64</v>
      </c>
      <c r="N656" s="2" t="s">
        <v>30</v>
      </c>
      <c r="O656" s="2">
        <v>2</v>
      </c>
    </row>
    <row r="657" spans="1:15" x14ac:dyDescent="0.3">
      <c r="A657" s="2" t="s">
        <v>714</v>
      </c>
      <c r="B657" s="1">
        <v>46020</v>
      </c>
      <c r="C657" s="2" t="s">
        <v>32</v>
      </c>
      <c r="D657" s="2" t="s">
        <v>17</v>
      </c>
      <c r="E657" s="2" t="s">
        <v>58</v>
      </c>
      <c r="F657" s="2" t="s">
        <v>68</v>
      </c>
      <c r="G657" s="2" t="s">
        <v>35</v>
      </c>
      <c r="H657" s="2" t="s">
        <v>56</v>
      </c>
      <c r="I657" s="2">
        <v>36</v>
      </c>
      <c r="J657" s="2">
        <v>26</v>
      </c>
      <c r="K657" s="2">
        <v>35923.230000000003</v>
      </c>
      <c r="L657" s="2">
        <v>243.92</v>
      </c>
      <c r="M657" s="2">
        <v>155.80000000000001</v>
      </c>
      <c r="N657" s="2" t="s">
        <v>22</v>
      </c>
      <c r="O657" s="2">
        <v>2</v>
      </c>
    </row>
    <row r="658" spans="1:15" x14ac:dyDescent="0.3">
      <c r="A658" s="2" t="s">
        <v>715</v>
      </c>
      <c r="B658" s="1">
        <v>45936</v>
      </c>
      <c r="C658" s="2" t="s">
        <v>16</v>
      </c>
      <c r="D658" s="2" t="s">
        <v>76</v>
      </c>
      <c r="E658" s="2" t="s">
        <v>38</v>
      </c>
      <c r="F658" s="2" t="s">
        <v>34</v>
      </c>
      <c r="G658" s="2" t="s">
        <v>20</v>
      </c>
      <c r="H658" s="2" t="s">
        <v>56</v>
      </c>
      <c r="I658" s="2">
        <v>66</v>
      </c>
      <c r="J658" s="2">
        <v>80</v>
      </c>
      <c r="K658" s="2">
        <v>34503.599999999999</v>
      </c>
      <c r="L658" s="2">
        <v>139.1</v>
      </c>
      <c r="M658" s="2">
        <v>4.01</v>
      </c>
      <c r="N658" s="2" t="s">
        <v>22</v>
      </c>
      <c r="O658" s="2">
        <v>4</v>
      </c>
    </row>
    <row r="659" spans="1:15" x14ac:dyDescent="0.3">
      <c r="A659" s="2" t="s">
        <v>716</v>
      </c>
      <c r="B659" s="1">
        <v>45930</v>
      </c>
      <c r="C659" s="2" t="s">
        <v>41</v>
      </c>
      <c r="D659" s="2" t="s">
        <v>51</v>
      </c>
      <c r="E659" s="2" t="s">
        <v>45</v>
      </c>
      <c r="F659" s="2" t="s">
        <v>27</v>
      </c>
      <c r="G659" s="2" t="s">
        <v>55</v>
      </c>
      <c r="H659" s="2" t="s">
        <v>21</v>
      </c>
      <c r="I659" s="2">
        <v>50</v>
      </c>
      <c r="J659" s="2">
        <v>92</v>
      </c>
      <c r="K659" s="2">
        <v>44709.13</v>
      </c>
      <c r="L659" s="2">
        <v>247.11</v>
      </c>
      <c r="M659" s="2">
        <v>178.09</v>
      </c>
      <c r="N659" s="2" t="s">
        <v>22</v>
      </c>
      <c r="O659" s="2">
        <v>5</v>
      </c>
    </row>
    <row r="660" spans="1:15" x14ac:dyDescent="0.3">
      <c r="A660" s="2" t="s">
        <v>717</v>
      </c>
      <c r="B660" s="1">
        <v>46101</v>
      </c>
      <c r="C660" s="2" t="s">
        <v>24</v>
      </c>
      <c r="D660" s="2" t="s">
        <v>67</v>
      </c>
      <c r="E660" s="2" t="s">
        <v>26</v>
      </c>
      <c r="F660" s="2" t="s">
        <v>27</v>
      </c>
      <c r="G660" s="2" t="s">
        <v>55</v>
      </c>
      <c r="H660" s="2" t="s">
        <v>52</v>
      </c>
      <c r="I660" s="2">
        <v>72</v>
      </c>
      <c r="J660" s="2">
        <v>65</v>
      </c>
      <c r="K660" s="2">
        <v>34626.15</v>
      </c>
      <c r="L660" s="2">
        <v>233.93</v>
      </c>
      <c r="M660" s="2">
        <v>113.86</v>
      </c>
      <c r="N660" s="2" t="s">
        <v>30</v>
      </c>
      <c r="O660" s="2">
        <v>5</v>
      </c>
    </row>
    <row r="661" spans="1:15" x14ac:dyDescent="0.3">
      <c r="A661" s="2" t="s">
        <v>718</v>
      </c>
      <c r="B661" s="1">
        <v>46185</v>
      </c>
      <c r="C661" s="2" t="s">
        <v>54</v>
      </c>
      <c r="D661" s="2" t="s">
        <v>44</v>
      </c>
      <c r="E661" s="2" t="s">
        <v>58</v>
      </c>
      <c r="F661" s="2" t="s">
        <v>27</v>
      </c>
      <c r="G661" s="2" t="s">
        <v>35</v>
      </c>
      <c r="H661" s="2" t="s">
        <v>29</v>
      </c>
      <c r="I661" s="2">
        <v>49</v>
      </c>
      <c r="J661" s="2">
        <v>100</v>
      </c>
      <c r="K661" s="2">
        <v>14548</v>
      </c>
      <c r="L661" s="2">
        <v>243.01</v>
      </c>
      <c r="M661" s="2">
        <v>243.57</v>
      </c>
      <c r="N661" s="2" t="s">
        <v>30</v>
      </c>
      <c r="O661" s="2">
        <v>3</v>
      </c>
    </row>
    <row r="662" spans="1:15" x14ac:dyDescent="0.3">
      <c r="A662" s="2" t="s">
        <v>719</v>
      </c>
      <c r="B662" s="1">
        <v>46107</v>
      </c>
      <c r="C662" s="2" t="s">
        <v>43</v>
      </c>
      <c r="D662" s="2" t="s">
        <v>33</v>
      </c>
      <c r="E662" s="2" t="s">
        <v>18</v>
      </c>
      <c r="F662" s="2" t="s">
        <v>34</v>
      </c>
      <c r="G662" s="2" t="s">
        <v>64</v>
      </c>
      <c r="H662" s="2" t="s">
        <v>56</v>
      </c>
      <c r="I662" s="2">
        <v>65</v>
      </c>
      <c r="J662" s="2">
        <v>74</v>
      </c>
      <c r="K662" s="2">
        <v>34846.230000000003</v>
      </c>
      <c r="L662" s="2">
        <v>313.5</v>
      </c>
      <c r="M662" s="2">
        <v>161.59</v>
      </c>
      <c r="N662" s="2" t="s">
        <v>30</v>
      </c>
      <c r="O662" s="2">
        <v>3</v>
      </c>
    </row>
    <row r="663" spans="1:15" x14ac:dyDescent="0.3">
      <c r="A663" s="2" t="s">
        <v>720</v>
      </c>
      <c r="B663" s="1">
        <v>45920</v>
      </c>
      <c r="C663" s="2" t="s">
        <v>41</v>
      </c>
      <c r="D663" s="2" t="s">
        <v>86</v>
      </c>
      <c r="E663" s="2" t="s">
        <v>45</v>
      </c>
      <c r="F663" s="2" t="s">
        <v>68</v>
      </c>
      <c r="G663" s="2" t="s">
        <v>20</v>
      </c>
      <c r="H663" s="2" t="s">
        <v>21</v>
      </c>
      <c r="I663" s="2">
        <v>35</v>
      </c>
      <c r="J663" s="2">
        <v>64</v>
      </c>
      <c r="K663" s="2">
        <v>15637.77</v>
      </c>
      <c r="L663" s="2">
        <v>284.52999999999997</v>
      </c>
      <c r="M663" s="2">
        <v>37.97</v>
      </c>
      <c r="N663" s="2" t="s">
        <v>30</v>
      </c>
      <c r="O663" s="2">
        <v>1</v>
      </c>
    </row>
    <row r="664" spans="1:15" x14ac:dyDescent="0.3">
      <c r="A664" s="2" t="s">
        <v>721</v>
      </c>
      <c r="B664" s="1">
        <v>45985</v>
      </c>
      <c r="C664" s="2" t="s">
        <v>32</v>
      </c>
      <c r="D664" s="2" t="s">
        <v>33</v>
      </c>
      <c r="E664" s="2" t="s">
        <v>26</v>
      </c>
      <c r="F664" s="2" t="s">
        <v>34</v>
      </c>
      <c r="G664" s="2" t="s">
        <v>64</v>
      </c>
      <c r="H664" s="2" t="s">
        <v>29</v>
      </c>
      <c r="I664" s="2">
        <v>66</v>
      </c>
      <c r="J664" s="2">
        <v>43</v>
      </c>
      <c r="K664" s="2">
        <v>38082.33</v>
      </c>
      <c r="L664" s="2">
        <v>117.4</v>
      </c>
      <c r="M664" s="2">
        <v>33.04</v>
      </c>
      <c r="N664" s="2" t="s">
        <v>22</v>
      </c>
      <c r="O664" s="2">
        <v>3</v>
      </c>
    </row>
    <row r="665" spans="1:15" x14ac:dyDescent="0.3">
      <c r="A665" s="2" t="s">
        <v>722</v>
      </c>
      <c r="B665" s="1">
        <v>45908</v>
      </c>
      <c r="C665" s="2" t="s">
        <v>74</v>
      </c>
      <c r="D665" s="2" t="s">
        <v>47</v>
      </c>
      <c r="E665" s="2" t="s">
        <v>38</v>
      </c>
      <c r="F665" s="2" t="s">
        <v>27</v>
      </c>
      <c r="G665" s="2" t="s">
        <v>28</v>
      </c>
      <c r="H665" s="2" t="s">
        <v>56</v>
      </c>
      <c r="I665" s="2">
        <v>45</v>
      </c>
      <c r="J665" s="2">
        <v>17</v>
      </c>
      <c r="K665" s="2">
        <v>31177.52</v>
      </c>
      <c r="L665" s="2">
        <v>79.510000000000005</v>
      </c>
      <c r="M665" s="2">
        <v>144.26</v>
      </c>
      <c r="N665" s="2" t="s">
        <v>30</v>
      </c>
      <c r="O665" s="2">
        <v>3</v>
      </c>
    </row>
    <row r="666" spans="1:15" x14ac:dyDescent="0.3">
      <c r="A666" s="2" t="s">
        <v>723</v>
      </c>
      <c r="B666" s="1">
        <v>46137</v>
      </c>
      <c r="C666" s="2" t="s">
        <v>90</v>
      </c>
      <c r="D666" s="2" t="s">
        <v>37</v>
      </c>
      <c r="E666" s="2" t="s">
        <v>58</v>
      </c>
      <c r="F666" s="2" t="s">
        <v>19</v>
      </c>
      <c r="G666" s="2" t="s">
        <v>64</v>
      </c>
      <c r="H666" s="2" t="s">
        <v>29</v>
      </c>
      <c r="I666" s="2">
        <v>71</v>
      </c>
      <c r="J666" s="2">
        <v>59</v>
      </c>
      <c r="K666" s="2">
        <v>4331.87</v>
      </c>
      <c r="L666" s="2">
        <v>378.24</v>
      </c>
      <c r="M666" s="2">
        <v>46.94</v>
      </c>
      <c r="N666" s="2" t="s">
        <v>22</v>
      </c>
      <c r="O666" s="2">
        <v>1</v>
      </c>
    </row>
    <row r="667" spans="1:15" x14ac:dyDescent="0.3">
      <c r="A667" s="2" t="s">
        <v>724</v>
      </c>
      <c r="B667" s="1">
        <v>45930</v>
      </c>
      <c r="C667" s="2" t="s">
        <v>32</v>
      </c>
      <c r="D667" s="2" t="s">
        <v>33</v>
      </c>
      <c r="E667" s="2" t="s">
        <v>26</v>
      </c>
      <c r="F667" s="2" t="s">
        <v>39</v>
      </c>
      <c r="G667" s="2" t="s">
        <v>55</v>
      </c>
      <c r="H667" s="2" t="s">
        <v>21</v>
      </c>
      <c r="I667" s="2">
        <v>58</v>
      </c>
      <c r="J667" s="2">
        <v>23</v>
      </c>
      <c r="K667" s="2">
        <v>25885.35</v>
      </c>
      <c r="L667" s="2">
        <v>301.87</v>
      </c>
      <c r="M667" s="2">
        <v>169.99</v>
      </c>
      <c r="N667" s="2" t="s">
        <v>30</v>
      </c>
      <c r="O667" s="2">
        <v>1</v>
      </c>
    </row>
    <row r="668" spans="1:15" x14ac:dyDescent="0.3">
      <c r="A668" s="2" t="s">
        <v>725</v>
      </c>
      <c r="B668" s="1">
        <v>45921</v>
      </c>
      <c r="C668" s="2" t="s">
        <v>74</v>
      </c>
      <c r="D668" s="2" t="s">
        <v>47</v>
      </c>
      <c r="E668" s="2" t="s">
        <v>38</v>
      </c>
      <c r="F668" s="2" t="s">
        <v>34</v>
      </c>
      <c r="G668" s="2" t="s">
        <v>20</v>
      </c>
      <c r="H668" s="2" t="s">
        <v>21</v>
      </c>
      <c r="I668" s="2">
        <v>62</v>
      </c>
      <c r="J668" s="2">
        <v>7</v>
      </c>
      <c r="K668" s="2">
        <v>17493.400000000001</v>
      </c>
      <c r="L668" s="2">
        <v>211.55</v>
      </c>
      <c r="M668" s="2">
        <v>145.24</v>
      </c>
      <c r="N668" s="2" t="s">
        <v>22</v>
      </c>
      <c r="O668" s="2">
        <v>3</v>
      </c>
    </row>
    <row r="669" spans="1:15" x14ac:dyDescent="0.3">
      <c r="A669" s="2" t="s">
        <v>726</v>
      </c>
      <c r="B669" s="1">
        <v>45980</v>
      </c>
      <c r="C669" s="2" t="s">
        <v>24</v>
      </c>
      <c r="D669" s="2" t="s">
        <v>17</v>
      </c>
      <c r="E669" s="2" t="s">
        <v>26</v>
      </c>
      <c r="F669" s="2" t="s">
        <v>34</v>
      </c>
      <c r="G669" s="2" t="s">
        <v>64</v>
      </c>
      <c r="H669" s="2" t="s">
        <v>29</v>
      </c>
      <c r="I669" s="2">
        <v>67</v>
      </c>
      <c r="J669" s="2">
        <v>44</v>
      </c>
      <c r="K669" s="2">
        <v>16764.25</v>
      </c>
      <c r="L669" s="2">
        <v>413.76</v>
      </c>
      <c r="M669" s="2">
        <v>252.56</v>
      </c>
      <c r="N669" s="2" t="s">
        <v>30</v>
      </c>
      <c r="O669" s="2">
        <v>5</v>
      </c>
    </row>
    <row r="670" spans="1:15" x14ac:dyDescent="0.3">
      <c r="A670" s="2" t="s">
        <v>727</v>
      </c>
      <c r="B670" s="1">
        <v>46067</v>
      </c>
      <c r="C670" s="2" t="s">
        <v>32</v>
      </c>
      <c r="D670" s="2" t="s">
        <v>17</v>
      </c>
      <c r="E670" s="2" t="s">
        <v>45</v>
      </c>
      <c r="F670" s="2" t="s">
        <v>68</v>
      </c>
      <c r="G670" s="2" t="s">
        <v>20</v>
      </c>
      <c r="H670" s="2" t="s">
        <v>52</v>
      </c>
      <c r="I670" s="2">
        <v>73</v>
      </c>
      <c r="J670" s="2">
        <v>53</v>
      </c>
      <c r="K670" s="2">
        <v>30311.69</v>
      </c>
      <c r="L670" s="2">
        <v>224.63</v>
      </c>
      <c r="M670" s="2">
        <v>59.8</v>
      </c>
      <c r="N670" s="2" t="s">
        <v>22</v>
      </c>
      <c r="O670" s="2">
        <v>3</v>
      </c>
    </row>
    <row r="671" spans="1:15" x14ac:dyDescent="0.3">
      <c r="A671" s="2" t="s">
        <v>728</v>
      </c>
      <c r="B671" s="1">
        <v>45959</v>
      </c>
      <c r="C671" s="2" t="s">
        <v>16</v>
      </c>
      <c r="D671" s="2" t="s">
        <v>51</v>
      </c>
      <c r="E671" s="2" t="s">
        <v>45</v>
      </c>
      <c r="F671" s="2" t="s">
        <v>68</v>
      </c>
      <c r="G671" s="2" t="s">
        <v>20</v>
      </c>
      <c r="H671" s="2" t="s">
        <v>29</v>
      </c>
      <c r="I671" s="2">
        <v>74</v>
      </c>
      <c r="J671" s="2">
        <v>71</v>
      </c>
      <c r="K671" s="2">
        <v>16455.080000000002</v>
      </c>
      <c r="L671" s="2">
        <v>408.18</v>
      </c>
      <c r="M671" s="2">
        <v>94.98</v>
      </c>
      <c r="N671" s="2" t="s">
        <v>22</v>
      </c>
      <c r="O671" s="2">
        <v>4</v>
      </c>
    </row>
    <row r="672" spans="1:15" x14ac:dyDescent="0.3">
      <c r="A672" s="2" t="s">
        <v>729</v>
      </c>
      <c r="B672" s="1">
        <v>46162</v>
      </c>
      <c r="C672" s="2" t="s">
        <v>90</v>
      </c>
      <c r="D672" s="2" t="s">
        <v>25</v>
      </c>
      <c r="E672" s="2" t="s">
        <v>45</v>
      </c>
      <c r="F672" s="2" t="s">
        <v>34</v>
      </c>
      <c r="G672" s="2" t="s">
        <v>28</v>
      </c>
      <c r="H672" s="2" t="s">
        <v>56</v>
      </c>
      <c r="I672" s="2">
        <v>72</v>
      </c>
      <c r="J672" s="2">
        <v>108</v>
      </c>
      <c r="K672" s="2">
        <v>38956.239999999998</v>
      </c>
      <c r="L672" s="2">
        <v>187.59</v>
      </c>
      <c r="M672" s="2">
        <v>134.24</v>
      </c>
      <c r="N672" s="2" t="s">
        <v>22</v>
      </c>
      <c r="O672" s="2">
        <v>4</v>
      </c>
    </row>
    <row r="673" spans="1:15" x14ac:dyDescent="0.3">
      <c r="A673" s="2" t="s">
        <v>730</v>
      </c>
      <c r="B673" s="1">
        <v>46118</v>
      </c>
      <c r="C673" s="2" t="s">
        <v>74</v>
      </c>
      <c r="D673" s="2" t="s">
        <v>49</v>
      </c>
      <c r="E673" s="2" t="s">
        <v>58</v>
      </c>
      <c r="F673" s="2" t="s">
        <v>27</v>
      </c>
      <c r="G673" s="2" t="s">
        <v>28</v>
      </c>
      <c r="H673" s="2" t="s">
        <v>52</v>
      </c>
      <c r="I673" s="2">
        <v>58</v>
      </c>
      <c r="J673" s="2">
        <v>79</v>
      </c>
      <c r="K673" s="2">
        <v>4004.18</v>
      </c>
      <c r="L673" s="2">
        <v>82.78</v>
      </c>
      <c r="M673" s="2">
        <v>6.29</v>
      </c>
      <c r="N673" s="2" t="s">
        <v>30</v>
      </c>
      <c r="O673" s="2">
        <v>4</v>
      </c>
    </row>
    <row r="674" spans="1:15" x14ac:dyDescent="0.3">
      <c r="A674" s="2" t="s">
        <v>731</v>
      </c>
      <c r="B674" s="1">
        <v>46119</v>
      </c>
      <c r="C674" s="2" t="s">
        <v>74</v>
      </c>
      <c r="D674" s="2" t="s">
        <v>78</v>
      </c>
      <c r="E674" s="2" t="s">
        <v>45</v>
      </c>
      <c r="F674" s="2" t="s">
        <v>39</v>
      </c>
      <c r="G674" s="2" t="s">
        <v>55</v>
      </c>
      <c r="H674" s="2" t="s">
        <v>56</v>
      </c>
      <c r="I674" s="2">
        <v>43</v>
      </c>
      <c r="J674" s="2">
        <v>34</v>
      </c>
      <c r="K674" s="2">
        <v>33189.22</v>
      </c>
      <c r="L674" s="2">
        <v>469.69</v>
      </c>
      <c r="M674" s="2">
        <v>145.30000000000001</v>
      </c>
      <c r="N674" s="2" t="s">
        <v>30</v>
      </c>
      <c r="O674" s="2">
        <v>2</v>
      </c>
    </row>
    <row r="675" spans="1:15" x14ac:dyDescent="0.3">
      <c r="A675" s="2" t="s">
        <v>732</v>
      </c>
      <c r="B675" s="1">
        <v>46176</v>
      </c>
      <c r="C675" s="2" t="s">
        <v>74</v>
      </c>
      <c r="D675" s="2" t="s">
        <v>33</v>
      </c>
      <c r="E675" s="2" t="s">
        <v>38</v>
      </c>
      <c r="F675" s="2" t="s">
        <v>68</v>
      </c>
      <c r="G675" s="2" t="s">
        <v>35</v>
      </c>
      <c r="H675" s="2" t="s">
        <v>29</v>
      </c>
      <c r="I675" s="2">
        <v>45</v>
      </c>
      <c r="J675" s="2">
        <v>46</v>
      </c>
      <c r="K675" s="2">
        <v>40555.14</v>
      </c>
      <c r="L675" s="2">
        <v>227.55</v>
      </c>
      <c r="M675" s="2">
        <v>250.74</v>
      </c>
      <c r="N675" s="2" t="s">
        <v>22</v>
      </c>
      <c r="O675" s="2">
        <v>4</v>
      </c>
    </row>
    <row r="676" spans="1:15" x14ac:dyDescent="0.3">
      <c r="A676" s="2" t="s">
        <v>733</v>
      </c>
      <c r="B676" s="1">
        <v>45900</v>
      </c>
      <c r="C676" s="2" t="s">
        <v>24</v>
      </c>
      <c r="D676" s="2" t="s">
        <v>86</v>
      </c>
      <c r="E676" s="2" t="s">
        <v>26</v>
      </c>
      <c r="F676" s="2" t="s">
        <v>27</v>
      </c>
      <c r="G676" s="2" t="s">
        <v>20</v>
      </c>
      <c r="H676" s="2" t="s">
        <v>52</v>
      </c>
      <c r="I676" s="2">
        <v>62</v>
      </c>
      <c r="J676" s="2">
        <v>109</v>
      </c>
      <c r="K676" s="2">
        <v>33805.17</v>
      </c>
      <c r="L676" s="2">
        <v>406.71</v>
      </c>
      <c r="M676" s="2">
        <v>83.03</v>
      </c>
      <c r="N676" s="2" t="s">
        <v>30</v>
      </c>
      <c r="O676" s="2">
        <v>5</v>
      </c>
    </row>
    <row r="677" spans="1:15" x14ac:dyDescent="0.3">
      <c r="A677" s="2" t="s">
        <v>734</v>
      </c>
      <c r="B677" s="1">
        <v>46157</v>
      </c>
      <c r="C677" s="2" t="s">
        <v>32</v>
      </c>
      <c r="D677" s="2" t="s">
        <v>33</v>
      </c>
      <c r="E677" s="2" t="s">
        <v>18</v>
      </c>
      <c r="F677" s="2" t="s">
        <v>19</v>
      </c>
      <c r="G677" s="2" t="s">
        <v>35</v>
      </c>
      <c r="H677" s="2" t="s">
        <v>56</v>
      </c>
      <c r="I677" s="2">
        <v>27</v>
      </c>
      <c r="J677" s="2">
        <v>68</v>
      </c>
      <c r="K677" s="2">
        <v>25112.85</v>
      </c>
      <c r="L677" s="2">
        <v>175.61</v>
      </c>
      <c r="M677" s="2">
        <v>152.97999999999999</v>
      </c>
      <c r="N677" s="2" t="s">
        <v>30</v>
      </c>
      <c r="O677" s="2">
        <v>2</v>
      </c>
    </row>
    <row r="678" spans="1:15" x14ac:dyDescent="0.3">
      <c r="A678" s="2" t="s">
        <v>735</v>
      </c>
      <c r="B678" s="1">
        <v>45888</v>
      </c>
      <c r="C678" s="2" t="s">
        <v>24</v>
      </c>
      <c r="D678" s="2" t="s">
        <v>49</v>
      </c>
      <c r="E678" s="2" t="s">
        <v>38</v>
      </c>
      <c r="F678" s="2" t="s">
        <v>68</v>
      </c>
      <c r="G678" s="2" t="s">
        <v>55</v>
      </c>
      <c r="H678" s="2" t="s">
        <v>29</v>
      </c>
      <c r="I678" s="2">
        <v>42</v>
      </c>
      <c r="J678" s="2">
        <v>78</v>
      </c>
      <c r="K678" s="2">
        <v>47540.2</v>
      </c>
      <c r="L678" s="2">
        <v>340.86</v>
      </c>
      <c r="M678" s="2">
        <v>52.38</v>
      </c>
      <c r="N678" s="2" t="s">
        <v>30</v>
      </c>
      <c r="O678" s="2">
        <v>2</v>
      </c>
    </row>
    <row r="679" spans="1:15" x14ac:dyDescent="0.3">
      <c r="A679" s="2" t="s">
        <v>736</v>
      </c>
      <c r="B679" s="1">
        <v>46043</v>
      </c>
      <c r="C679" s="2" t="s">
        <v>43</v>
      </c>
      <c r="D679" s="2" t="s">
        <v>60</v>
      </c>
      <c r="E679" s="2" t="s">
        <v>38</v>
      </c>
      <c r="F679" s="2" t="s">
        <v>27</v>
      </c>
      <c r="G679" s="2" t="s">
        <v>20</v>
      </c>
      <c r="H679" s="2" t="s">
        <v>29</v>
      </c>
      <c r="I679" s="2">
        <v>37</v>
      </c>
      <c r="J679" s="2">
        <v>78</v>
      </c>
      <c r="K679" s="2">
        <v>15346.96</v>
      </c>
      <c r="L679" s="2">
        <v>442.99</v>
      </c>
      <c r="M679" s="2">
        <v>96.68</v>
      </c>
      <c r="N679" s="2" t="s">
        <v>30</v>
      </c>
      <c r="O679" s="2">
        <v>4</v>
      </c>
    </row>
    <row r="680" spans="1:15" x14ac:dyDescent="0.3">
      <c r="A680" s="2" t="s">
        <v>737</v>
      </c>
      <c r="B680" s="1">
        <v>46004</v>
      </c>
      <c r="C680" s="2" t="s">
        <v>54</v>
      </c>
      <c r="D680" s="2" t="s">
        <v>86</v>
      </c>
      <c r="E680" s="2" t="s">
        <v>45</v>
      </c>
      <c r="F680" s="2" t="s">
        <v>27</v>
      </c>
      <c r="G680" s="2" t="s">
        <v>20</v>
      </c>
      <c r="H680" s="2" t="s">
        <v>52</v>
      </c>
      <c r="I680" s="2">
        <v>38</v>
      </c>
      <c r="J680" s="2">
        <v>16</v>
      </c>
      <c r="K680" s="2">
        <v>1448.81</v>
      </c>
      <c r="L680" s="2">
        <v>68.739999999999995</v>
      </c>
      <c r="M680" s="2">
        <v>194.86</v>
      </c>
      <c r="N680" s="2" t="s">
        <v>30</v>
      </c>
      <c r="O680" s="2">
        <v>3</v>
      </c>
    </row>
    <row r="681" spans="1:15" x14ac:dyDescent="0.3">
      <c r="A681" s="2" t="s">
        <v>738</v>
      </c>
      <c r="B681" s="1">
        <v>46138</v>
      </c>
      <c r="C681" s="2" t="s">
        <v>54</v>
      </c>
      <c r="D681" s="2" t="s">
        <v>62</v>
      </c>
      <c r="E681" s="2" t="s">
        <v>58</v>
      </c>
      <c r="F681" s="2" t="s">
        <v>39</v>
      </c>
      <c r="G681" s="2" t="s">
        <v>35</v>
      </c>
      <c r="H681" s="2" t="s">
        <v>29</v>
      </c>
      <c r="I681" s="2">
        <v>69</v>
      </c>
      <c r="J681" s="2">
        <v>71</v>
      </c>
      <c r="K681" s="2">
        <v>21883.47</v>
      </c>
      <c r="L681" s="2">
        <v>423.79</v>
      </c>
      <c r="M681" s="2">
        <v>295.91000000000003</v>
      </c>
      <c r="N681" s="2" t="s">
        <v>30</v>
      </c>
      <c r="O681" s="2">
        <v>1</v>
      </c>
    </row>
    <row r="682" spans="1:15" x14ac:dyDescent="0.3">
      <c r="A682" s="2" t="s">
        <v>739</v>
      </c>
      <c r="B682" s="1">
        <v>46191</v>
      </c>
      <c r="C682" s="2" t="s">
        <v>43</v>
      </c>
      <c r="D682" s="2" t="s">
        <v>82</v>
      </c>
      <c r="E682" s="2" t="s">
        <v>26</v>
      </c>
      <c r="F682" s="2" t="s">
        <v>39</v>
      </c>
      <c r="G682" s="2" t="s">
        <v>64</v>
      </c>
      <c r="H682" s="2" t="s">
        <v>21</v>
      </c>
      <c r="I682" s="2">
        <v>61</v>
      </c>
      <c r="J682" s="2">
        <v>96</v>
      </c>
      <c r="K682" s="2">
        <v>2134.09</v>
      </c>
      <c r="L682" s="2">
        <v>307.10000000000002</v>
      </c>
      <c r="M682" s="2">
        <v>102.52</v>
      </c>
      <c r="N682" s="2" t="s">
        <v>30</v>
      </c>
      <c r="O682" s="2">
        <v>3</v>
      </c>
    </row>
    <row r="683" spans="1:15" x14ac:dyDescent="0.3">
      <c r="A683" s="2" t="s">
        <v>740</v>
      </c>
      <c r="B683" s="1">
        <v>45922</v>
      </c>
      <c r="C683" s="2" t="s">
        <v>32</v>
      </c>
      <c r="D683" s="2" t="s">
        <v>78</v>
      </c>
      <c r="E683" s="2" t="s">
        <v>58</v>
      </c>
      <c r="F683" s="2" t="s">
        <v>19</v>
      </c>
      <c r="G683" s="2" t="s">
        <v>28</v>
      </c>
      <c r="H683" s="2" t="s">
        <v>56</v>
      </c>
      <c r="I683" s="2">
        <v>30</v>
      </c>
      <c r="J683" s="2">
        <v>19</v>
      </c>
      <c r="K683" s="2">
        <v>47719.87</v>
      </c>
      <c r="L683" s="2">
        <v>323.36</v>
      </c>
      <c r="M683" s="2">
        <v>186.85</v>
      </c>
      <c r="N683" s="2" t="s">
        <v>30</v>
      </c>
      <c r="O683" s="2">
        <v>3</v>
      </c>
    </row>
    <row r="684" spans="1:15" x14ac:dyDescent="0.3">
      <c r="A684" s="2" t="s">
        <v>741</v>
      </c>
      <c r="B684" s="1">
        <v>46034</v>
      </c>
      <c r="C684" s="2" t="s">
        <v>16</v>
      </c>
      <c r="D684" s="2" t="s">
        <v>62</v>
      </c>
      <c r="E684" s="2" t="s">
        <v>26</v>
      </c>
      <c r="F684" s="2" t="s">
        <v>27</v>
      </c>
      <c r="G684" s="2" t="s">
        <v>64</v>
      </c>
      <c r="H684" s="2" t="s">
        <v>56</v>
      </c>
      <c r="I684" s="2">
        <v>30</v>
      </c>
      <c r="J684" s="2">
        <v>2</v>
      </c>
      <c r="K684" s="2">
        <v>10890.94</v>
      </c>
      <c r="L684" s="2">
        <v>285.42</v>
      </c>
      <c r="M684" s="2">
        <v>104.55</v>
      </c>
      <c r="N684" s="2" t="s">
        <v>30</v>
      </c>
      <c r="O684" s="2">
        <v>2</v>
      </c>
    </row>
    <row r="685" spans="1:15" x14ac:dyDescent="0.3">
      <c r="A685" s="2" t="s">
        <v>742</v>
      </c>
      <c r="B685" s="1">
        <v>45915</v>
      </c>
      <c r="C685" s="2" t="s">
        <v>24</v>
      </c>
      <c r="D685" s="2" t="s">
        <v>60</v>
      </c>
      <c r="E685" s="2" t="s">
        <v>26</v>
      </c>
      <c r="F685" s="2" t="s">
        <v>27</v>
      </c>
      <c r="G685" s="2" t="s">
        <v>35</v>
      </c>
      <c r="H685" s="2" t="s">
        <v>29</v>
      </c>
      <c r="I685" s="2">
        <v>27</v>
      </c>
      <c r="J685" s="2">
        <v>10</v>
      </c>
      <c r="K685" s="2">
        <v>39551.89</v>
      </c>
      <c r="L685" s="2">
        <v>443.51</v>
      </c>
      <c r="M685" s="2">
        <v>87.48</v>
      </c>
      <c r="N685" s="2" t="s">
        <v>30</v>
      </c>
      <c r="O685" s="2">
        <v>2</v>
      </c>
    </row>
    <row r="686" spans="1:15" x14ac:dyDescent="0.3">
      <c r="A686" s="2" t="s">
        <v>743</v>
      </c>
      <c r="B686" s="1">
        <v>45955</v>
      </c>
      <c r="C686" s="2" t="s">
        <v>90</v>
      </c>
      <c r="D686" s="2" t="s">
        <v>60</v>
      </c>
      <c r="E686" s="2" t="s">
        <v>58</v>
      </c>
      <c r="F686" s="2" t="s">
        <v>39</v>
      </c>
      <c r="G686" s="2" t="s">
        <v>28</v>
      </c>
      <c r="H686" s="2" t="s">
        <v>29</v>
      </c>
      <c r="I686" s="2">
        <v>68</v>
      </c>
      <c r="J686" s="2">
        <v>50</v>
      </c>
      <c r="K686" s="2">
        <v>38841.32</v>
      </c>
      <c r="L686" s="2">
        <v>69.55</v>
      </c>
      <c r="M686" s="2">
        <v>80.069999999999993</v>
      </c>
      <c r="N686" s="2" t="s">
        <v>30</v>
      </c>
      <c r="O686" s="2">
        <v>2</v>
      </c>
    </row>
    <row r="687" spans="1:15" x14ac:dyDescent="0.3">
      <c r="A687" s="2" t="s">
        <v>744</v>
      </c>
      <c r="B687" s="1">
        <v>46043</v>
      </c>
      <c r="C687" s="2" t="s">
        <v>74</v>
      </c>
      <c r="D687" s="2" t="s">
        <v>49</v>
      </c>
      <c r="E687" s="2" t="s">
        <v>38</v>
      </c>
      <c r="F687" s="2" t="s">
        <v>68</v>
      </c>
      <c r="G687" s="2" t="s">
        <v>64</v>
      </c>
      <c r="H687" s="2" t="s">
        <v>21</v>
      </c>
      <c r="I687" s="2">
        <v>70</v>
      </c>
      <c r="J687" s="2">
        <v>81</v>
      </c>
      <c r="K687" s="2">
        <v>11277.58</v>
      </c>
      <c r="L687" s="2">
        <v>167.46</v>
      </c>
      <c r="M687" s="2">
        <v>185.9</v>
      </c>
      <c r="N687" s="2" t="s">
        <v>22</v>
      </c>
      <c r="O687" s="2">
        <v>5</v>
      </c>
    </row>
    <row r="688" spans="1:15" x14ac:dyDescent="0.3">
      <c r="A688" s="2" t="s">
        <v>745</v>
      </c>
      <c r="B688" s="1">
        <v>46221</v>
      </c>
      <c r="C688" s="2" t="s">
        <v>74</v>
      </c>
      <c r="D688" s="2" t="s">
        <v>33</v>
      </c>
      <c r="E688" s="2" t="s">
        <v>26</v>
      </c>
      <c r="F688" s="2" t="s">
        <v>68</v>
      </c>
      <c r="G688" s="2" t="s">
        <v>28</v>
      </c>
      <c r="H688" s="2" t="s">
        <v>52</v>
      </c>
      <c r="I688" s="2">
        <v>58</v>
      </c>
      <c r="J688" s="2">
        <v>101</v>
      </c>
      <c r="K688" s="2">
        <v>31250.71</v>
      </c>
      <c r="L688" s="2">
        <v>444.09</v>
      </c>
      <c r="M688" s="2">
        <v>34.49</v>
      </c>
      <c r="N688" s="2" t="s">
        <v>22</v>
      </c>
      <c r="O688" s="2">
        <v>5</v>
      </c>
    </row>
    <row r="689" spans="1:15" x14ac:dyDescent="0.3">
      <c r="A689" s="2" t="s">
        <v>746</v>
      </c>
      <c r="B689" s="1">
        <v>46208</v>
      </c>
      <c r="C689" s="2" t="s">
        <v>32</v>
      </c>
      <c r="D689" s="2" t="s">
        <v>49</v>
      </c>
      <c r="E689" s="2" t="s">
        <v>58</v>
      </c>
      <c r="F689" s="2" t="s">
        <v>34</v>
      </c>
      <c r="G689" s="2" t="s">
        <v>20</v>
      </c>
      <c r="H689" s="2" t="s">
        <v>29</v>
      </c>
      <c r="I689" s="2">
        <v>47</v>
      </c>
      <c r="J689" s="2">
        <v>12</v>
      </c>
      <c r="K689" s="2">
        <v>2879.91</v>
      </c>
      <c r="L689" s="2">
        <v>388.56</v>
      </c>
      <c r="M689" s="2">
        <v>173.9</v>
      </c>
      <c r="N689" s="2" t="s">
        <v>22</v>
      </c>
      <c r="O689" s="2">
        <v>1</v>
      </c>
    </row>
    <row r="690" spans="1:15" x14ac:dyDescent="0.3">
      <c r="A690" s="2" t="s">
        <v>747</v>
      </c>
      <c r="B690" s="1">
        <v>46140</v>
      </c>
      <c r="C690" s="2" t="s">
        <v>16</v>
      </c>
      <c r="D690" s="2" t="s">
        <v>49</v>
      </c>
      <c r="E690" s="2" t="s">
        <v>26</v>
      </c>
      <c r="F690" s="2" t="s">
        <v>39</v>
      </c>
      <c r="G690" s="2" t="s">
        <v>64</v>
      </c>
      <c r="H690" s="2" t="s">
        <v>29</v>
      </c>
      <c r="I690" s="2">
        <v>72</v>
      </c>
      <c r="J690" s="2">
        <v>70</v>
      </c>
      <c r="K690" s="2">
        <v>24436.94</v>
      </c>
      <c r="L690" s="2">
        <v>57.94</v>
      </c>
      <c r="M690" s="2">
        <v>166.66</v>
      </c>
      <c r="N690" s="2" t="s">
        <v>22</v>
      </c>
      <c r="O690" s="2">
        <v>2</v>
      </c>
    </row>
    <row r="691" spans="1:15" x14ac:dyDescent="0.3">
      <c r="A691" s="2" t="s">
        <v>748</v>
      </c>
      <c r="B691" s="1">
        <v>46220</v>
      </c>
      <c r="C691" s="2" t="s">
        <v>54</v>
      </c>
      <c r="D691" s="2" t="s">
        <v>60</v>
      </c>
      <c r="E691" s="2" t="s">
        <v>18</v>
      </c>
      <c r="F691" s="2" t="s">
        <v>34</v>
      </c>
      <c r="G691" s="2" t="s">
        <v>28</v>
      </c>
      <c r="H691" s="2" t="s">
        <v>29</v>
      </c>
      <c r="I691" s="2">
        <v>53</v>
      </c>
      <c r="J691" s="2">
        <v>22</v>
      </c>
      <c r="K691" s="2">
        <v>1225.03</v>
      </c>
      <c r="L691" s="2">
        <v>282.64999999999998</v>
      </c>
      <c r="M691" s="2">
        <v>221.88</v>
      </c>
      <c r="N691" s="2" t="s">
        <v>30</v>
      </c>
      <c r="O691" s="2">
        <v>4</v>
      </c>
    </row>
    <row r="692" spans="1:15" x14ac:dyDescent="0.3">
      <c r="A692" s="2" t="s">
        <v>749</v>
      </c>
      <c r="B692" s="1">
        <v>46077</v>
      </c>
      <c r="C692" s="2" t="s">
        <v>54</v>
      </c>
      <c r="D692" s="2" t="s">
        <v>78</v>
      </c>
      <c r="E692" s="2" t="s">
        <v>38</v>
      </c>
      <c r="F692" s="2" t="s">
        <v>39</v>
      </c>
      <c r="G692" s="2" t="s">
        <v>28</v>
      </c>
      <c r="H692" s="2" t="s">
        <v>29</v>
      </c>
      <c r="I692" s="2">
        <v>21</v>
      </c>
      <c r="J692" s="2">
        <v>32</v>
      </c>
      <c r="K692" s="2">
        <v>46096.62</v>
      </c>
      <c r="L692" s="2">
        <v>288.31</v>
      </c>
      <c r="M692" s="2">
        <v>149.77000000000001</v>
      </c>
      <c r="N692" s="2" t="s">
        <v>22</v>
      </c>
      <c r="O692" s="2">
        <v>2</v>
      </c>
    </row>
    <row r="693" spans="1:15" x14ac:dyDescent="0.3">
      <c r="A693" s="2" t="s">
        <v>750</v>
      </c>
      <c r="B693" s="1">
        <v>46061</v>
      </c>
      <c r="C693" s="2" t="s">
        <v>74</v>
      </c>
      <c r="D693" s="2" t="s">
        <v>62</v>
      </c>
      <c r="E693" s="2" t="s">
        <v>45</v>
      </c>
      <c r="F693" s="2" t="s">
        <v>19</v>
      </c>
      <c r="G693" s="2" t="s">
        <v>28</v>
      </c>
      <c r="H693" s="2" t="s">
        <v>56</v>
      </c>
      <c r="I693" s="2">
        <v>64</v>
      </c>
      <c r="J693" s="2">
        <v>105</v>
      </c>
      <c r="K693" s="2">
        <v>48816.26</v>
      </c>
      <c r="L693" s="2">
        <v>230.4</v>
      </c>
      <c r="M693" s="2">
        <v>54.46</v>
      </c>
      <c r="N693" s="2" t="s">
        <v>30</v>
      </c>
      <c r="O693" s="2">
        <v>5</v>
      </c>
    </row>
    <row r="694" spans="1:15" x14ac:dyDescent="0.3">
      <c r="A694" s="2" t="s">
        <v>751</v>
      </c>
      <c r="B694" s="1">
        <v>46017</v>
      </c>
      <c r="C694" s="2" t="s">
        <v>32</v>
      </c>
      <c r="D694" s="2" t="s">
        <v>67</v>
      </c>
      <c r="E694" s="2" t="s">
        <v>26</v>
      </c>
      <c r="F694" s="2" t="s">
        <v>27</v>
      </c>
      <c r="G694" s="2" t="s">
        <v>64</v>
      </c>
      <c r="H694" s="2" t="s">
        <v>29</v>
      </c>
      <c r="I694" s="2">
        <v>73</v>
      </c>
      <c r="J694" s="2">
        <v>84</v>
      </c>
      <c r="K694" s="2">
        <v>11503</v>
      </c>
      <c r="L694" s="2">
        <v>183.83</v>
      </c>
      <c r="M694" s="2">
        <v>50.82</v>
      </c>
      <c r="N694" s="2" t="s">
        <v>30</v>
      </c>
      <c r="O694" s="2">
        <v>2</v>
      </c>
    </row>
    <row r="695" spans="1:15" x14ac:dyDescent="0.3">
      <c r="A695" s="2" t="s">
        <v>752</v>
      </c>
      <c r="B695" s="1">
        <v>46008</v>
      </c>
      <c r="C695" s="2" t="s">
        <v>24</v>
      </c>
      <c r="D695" s="2" t="s">
        <v>33</v>
      </c>
      <c r="E695" s="2" t="s">
        <v>18</v>
      </c>
      <c r="F695" s="2" t="s">
        <v>19</v>
      </c>
      <c r="G695" s="2" t="s">
        <v>55</v>
      </c>
      <c r="H695" s="2" t="s">
        <v>56</v>
      </c>
      <c r="I695" s="2">
        <v>54</v>
      </c>
      <c r="J695" s="2">
        <v>1</v>
      </c>
      <c r="K695" s="2">
        <v>10801.25</v>
      </c>
      <c r="L695" s="2">
        <v>356.78</v>
      </c>
      <c r="M695" s="2">
        <v>124.16</v>
      </c>
      <c r="N695" s="2" t="s">
        <v>30</v>
      </c>
      <c r="O695" s="2">
        <v>5</v>
      </c>
    </row>
    <row r="696" spans="1:15" x14ac:dyDescent="0.3">
      <c r="A696" s="2" t="s">
        <v>753</v>
      </c>
      <c r="B696" s="1">
        <v>46219</v>
      </c>
      <c r="C696" s="2" t="s">
        <v>54</v>
      </c>
      <c r="D696" s="2" t="s">
        <v>60</v>
      </c>
      <c r="E696" s="2" t="s">
        <v>45</v>
      </c>
      <c r="F696" s="2" t="s">
        <v>39</v>
      </c>
      <c r="G696" s="2" t="s">
        <v>64</v>
      </c>
      <c r="H696" s="2" t="s">
        <v>29</v>
      </c>
      <c r="I696" s="2">
        <v>24</v>
      </c>
      <c r="J696" s="2">
        <v>54</v>
      </c>
      <c r="K696" s="2">
        <v>37809.15</v>
      </c>
      <c r="L696" s="2">
        <v>143.51</v>
      </c>
      <c r="M696" s="2">
        <v>215.7</v>
      </c>
      <c r="N696" s="2" t="s">
        <v>30</v>
      </c>
      <c r="O696" s="2">
        <v>2</v>
      </c>
    </row>
    <row r="697" spans="1:15" x14ac:dyDescent="0.3">
      <c r="A697" s="2" t="s">
        <v>754</v>
      </c>
      <c r="B697" s="1">
        <v>46014</v>
      </c>
      <c r="C697" s="2" t="s">
        <v>24</v>
      </c>
      <c r="D697" s="2" t="s">
        <v>62</v>
      </c>
      <c r="E697" s="2" t="s">
        <v>45</v>
      </c>
      <c r="F697" s="2" t="s">
        <v>27</v>
      </c>
      <c r="G697" s="2" t="s">
        <v>35</v>
      </c>
      <c r="H697" s="2" t="s">
        <v>52</v>
      </c>
      <c r="I697" s="2">
        <v>37</v>
      </c>
      <c r="J697" s="2">
        <v>111</v>
      </c>
      <c r="K697" s="2">
        <v>13042.28</v>
      </c>
      <c r="L697" s="2">
        <v>409.53</v>
      </c>
      <c r="M697" s="2">
        <v>113.9</v>
      </c>
      <c r="N697" s="2" t="s">
        <v>30</v>
      </c>
      <c r="O697" s="2">
        <v>4</v>
      </c>
    </row>
    <row r="698" spans="1:15" x14ac:dyDescent="0.3">
      <c r="A698" s="2" t="s">
        <v>755</v>
      </c>
      <c r="B698" s="1">
        <v>46142</v>
      </c>
      <c r="C698" s="2" t="s">
        <v>16</v>
      </c>
      <c r="D698" s="2" t="s">
        <v>25</v>
      </c>
      <c r="E698" s="2" t="s">
        <v>26</v>
      </c>
      <c r="F698" s="2" t="s">
        <v>68</v>
      </c>
      <c r="G698" s="2" t="s">
        <v>64</v>
      </c>
      <c r="H698" s="2" t="s">
        <v>21</v>
      </c>
      <c r="I698" s="2">
        <v>24</v>
      </c>
      <c r="J698" s="2">
        <v>117</v>
      </c>
      <c r="K698" s="2">
        <v>44806.29</v>
      </c>
      <c r="L698" s="2">
        <v>411.37</v>
      </c>
      <c r="M698" s="2">
        <v>147.66999999999999</v>
      </c>
      <c r="N698" s="2" t="s">
        <v>30</v>
      </c>
      <c r="O698" s="2">
        <v>1</v>
      </c>
    </row>
    <row r="699" spans="1:15" x14ac:dyDescent="0.3">
      <c r="A699" s="2" t="s">
        <v>756</v>
      </c>
      <c r="B699" s="1">
        <v>45895</v>
      </c>
      <c r="C699" s="2" t="s">
        <v>54</v>
      </c>
      <c r="D699" s="2" t="s">
        <v>67</v>
      </c>
      <c r="E699" s="2" t="s">
        <v>58</v>
      </c>
      <c r="F699" s="2" t="s">
        <v>68</v>
      </c>
      <c r="G699" s="2" t="s">
        <v>28</v>
      </c>
      <c r="H699" s="2" t="s">
        <v>52</v>
      </c>
      <c r="I699" s="2">
        <v>63</v>
      </c>
      <c r="J699" s="2">
        <v>58</v>
      </c>
      <c r="K699" s="2">
        <v>28909.49</v>
      </c>
      <c r="L699" s="2">
        <v>236.87</v>
      </c>
      <c r="M699" s="2">
        <v>28.3</v>
      </c>
      <c r="N699" s="2" t="s">
        <v>22</v>
      </c>
      <c r="O699" s="2">
        <v>4</v>
      </c>
    </row>
    <row r="700" spans="1:15" x14ac:dyDescent="0.3">
      <c r="A700" s="2" t="s">
        <v>757</v>
      </c>
      <c r="B700" s="1">
        <v>45905</v>
      </c>
      <c r="C700" s="2" t="s">
        <v>54</v>
      </c>
      <c r="D700" s="2" t="s">
        <v>67</v>
      </c>
      <c r="E700" s="2" t="s">
        <v>26</v>
      </c>
      <c r="F700" s="2" t="s">
        <v>34</v>
      </c>
      <c r="G700" s="2" t="s">
        <v>20</v>
      </c>
      <c r="H700" s="2" t="s">
        <v>29</v>
      </c>
      <c r="I700" s="2">
        <v>74</v>
      </c>
      <c r="J700" s="2">
        <v>70</v>
      </c>
      <c r="K700" s="2">
        <v>17863.490000000002</v>
      </c>
      <c r="L700" s="2">
        <v>177.6</v>
      </c>
      <c r="M700" s="2">
        <v>264.74</v>
      </c>
      <c r="N700" s="2" t="s">
        <v>30</v>
      </c>
      <c r="O700" s="2">
        <v>5</v>
      </c>
    </row>
    <row r="701" spans="1:15" x14ac:dyDescent="0.3">
      <c r="A701" s="2" t="s">
        <v>758</v>
      </c>
      <c r="B701" s="1">
        <v>45870</v>
      </c>
      <c r="C701" s="2" t="s">
        <v>41</v>
      </c>
      <c r="D701" s="2" t="s">
        <v>17</v>
      </c>
      <c r="E701" s="2" t="s">
        <v>18</v>
      </c>
      <c r="F701" s="2" t="s">
        <v>39</v>
      </c>
      <c r="G701" s="2" t="s">
        <v>64</v>
      </c>
      <c r="H701" s="2" t="s">
        <v>29</v>
      </c>
      <c r="I701" s="2">
        <v>46</v>
      </c>
      <c r="J701" s="2">
        <v>83</v>
      </c>
      <c r="K701" s="2">
        <v>41718.339999999997</v>
      </c>
      <c r="L701" s="2">
        <v>177.75</v>
      </c>
      <c r="M701" s="2">
        <v>174.72</v>
      </c>
      <c r="N701" s="2" t="s">
        <v>30</v>
      </c>
      <c r="O701" s="2">
        <v>3</v>
      </c>
    </row>
    <row r="702" spans="1:15" x14ac:dyDescent="0.3">
      <c r="A702" s="2" t="s">
        <v>759</v>
      </c>
      <c r="B702" s="1">
        <v>45986</v>
      </c>
      <c r="C702" s="2" t="s">
        <v>54</v>
      </c>
      <c r="D702" s="2" t="s">
        <v>51</v>
      </c>
      <c r="E702" s="2" t="s">
        <v>45</v>
      </c>
      <c r="F702" s="2" t="s">
        <v>39</v>
      </c>
      <c r="G702" s="2" t="s">
        <v>64</v>
      </c>
      <c r="H702" s="2" t="s">
        <v>29</v>
      </c>
      <c r="I702" s="2">
        <v>24</v>
      </c>
      <c r="J702" s="2">
        <v>18</v>
      </c>
      <c r="K702" s="2">
        <v>24923.63</v>
      </c>
      <c r="L702" s="2">
        <v>267.02999999999997</v>
      </c>
      <c r="M702" s="2">
        <v>38.06</v>
      </c>
      <c r="N702" s="2" t="s">
        <v>30</v>
      </c>
      <c r="O702" s="2">
        <v>4</v>
      </c>
    </row>
    <row r="703" spans="1:15" x14ac:dyDescent="0.3">
      <c r="A703" s="2" t="s">
        <v>760</v>
      </c>
      <c r="B703" s="1">
        <v>46205</v>
      </c>
      <c r="C703" s="2" t="s">
        <v>43</v>
      </c>
      <c r="D703" s="2" t="s">
        <v>33</v>
      </c>
      <c r="E703" s="2" t="s">
        <v>26</v>
      </c>
      <c r="F703" s="2" t="s">
        <v>68</v>
      </c>
      <c r="G703" s="2" t="s">
        <v>28</v>
      </c>
      <c r="H703" s="2" t="s">
        <v>52</v>
      </c>
      <c r="I703" s="2">
        <v>21</v>
      </c>
      <c r="J703" s="2">
        <v>6</v>
      </c>
      <c r="K703" s="2">
        <v>45625.83</v>
      </c>
      <c r="L703" s="2">
        <v>373.81</v>
      </c>
      <c r="M703" s="2">
        <v>92.39</v>
      </c>
      <c r="N703" s="2" t="s">
        <v>30</v>
      </c>
      <c r="O703" s="2">
        <v>2</v>
      </c>
    </row>
    <row r="704" spans="1:15" x14ac:dyDescent="0.3">
      <c r="A704" s="2" t="s">
        <v>761</v>
      </c>
      <c r="B704" s="1">
        <v>46161</v>
      </c>
      <c r="C704" s="2" t="s">
        <v>90</v>
      </c>
      <c r="D704" s="2" t="s">
        <v>67</v>
      </c>
      <c r="E704" s="2" t="s">
        <v>58</v>
      </c>
      <c r="F704" s="2" t="s">
        <v>19</v>
      </c>
      <c r="G704" s="2" t="s">
        <v>20</v>
      </c>
      <c r="H704" s="2" t="s">
        <v>29</v>
      </c>
      <c r="I704" s="2">
        <v>27</v>
      </c>
      <c r="J704" s="2">
        <v>45</v>
      </c>
      <c r="K704" s="2">
        <v>46436.7</v>
      </c>
      <c r="L704" s="2">
        <v>211.49</v>
      </c>
      <c r="M704" s="2">
        <v>253.44</v>
      </c>
      <c r="N704" s="2" t="s">
        <v>30</v>
      </c>
      <c r="O704" s="2">
        <v>1</v>
      </c>
    </row>
    <row r="705" spans="1:15" x14ac:dyDescent="0.3">
      <c r="A705" s="2" t="s">
        <v>762</v>
      </c>
      <c r="B705" s="1">
        <v>46216</v>
      </c>
      <c r="C705" s="2" t="s">
        <v>43</v>
      </c>
      <c r="D705" s="2" t="s">
        <v>60</v>
      </c>
      <c r="E705" s="2" t="s">
        <v>26</v>
      </c>
      <c r="F705" s="2" t="s">
        <v>27</v>
      </c>
      <c r="G705" s="2" t="s">
        <v>20</v>
      </c>
      <c r="H705" s="2" t="s">
        <v>52</v>
      </c>
      <c r="I705" s="2">
        <v>50</v>
      </c>
      <c r="J705" s="2">
        <v>97</v>
      </c>
      <c r="K705" s="2">
        <v>8688.2999999999993</v>
      </c>
      <c r="L705" s="2">
        <v>324.52</v>
      </c>
      <c r="M705" s="2">
        <v>179.51</v>
      </c>
      <c r="N705" s="2" t="s">
        <v>22</v>
      </c>
      <c r="O705" s="2">
        <v>2</v>
      </c>
    </row>
    <row r="706" spans="1:15" x14ac:dyDescent="0.3">
      <c r="A706" s="2" t="s">
        <v>763</v>
      </c>
      <c r="B706" s="1">
        <v>45887</v>
      </c>
      <c r="C706" s="2" t="s">
        <v>32</v>
      </c>
      <c r="D706" s="2" t="s">
        <v>17</v>
      </c>
      <c r="E706" s="2" t="s">
        <v>38</v>
      </c>
      <c r="F706" s="2" t="s">
        <v>19</v>
      </c>
      <c r="G706" s="2" t="s">
        <v>35</v>
      </c>
      <c r="H706" s="2" t="s">
        <v>56</v>
      </c>
      <c r="I706" s="2">
        <v>70</v>
      </c>
      <c r="J706" s="2">
        <v>23</v>
      </c>
      <c r="K706" s="2">
        <v>615.01</v>
      </c>
      <c r="L706" s="2">
        <v>222.12</v>
      </c>
      <c r="M706" s="2">
        <v>52.93</v>
      </c>
      <c r="N706" s="2" t="s">
        <v>30</v>
      </c>
      <c r="O706" s="2">
        <v>2</v>
      </c>
    </row>
    <row r="707" spans="1:15" x14ac:dyDescent="0.3">
      <c r="A707" s="2" t="s">
        <v>764</v>
      </c>
      <c r="B707" s="1">
        <v>46188</v>
      </c>
      <c r="C707" s="2" t="s">
        <v>32</v>
      </c>
      <c r="D707" s="2" t="s">
        <v>62</v>
      </c>
      <c r="E707" s="2" t="s">
        <v>58</v>
      </c>
      <c r="F707" s="2" t="s">
        <v>19</v>
      </c>
      <c r="G707" s="2" t="s">
        <v>64</v>
      </c>
      <c r="H707" s="2" t="s">
        <v>21</v>
      </c>
      <c r="I707" s="2">
        <v>29</v>
      </c>
      <c r="J707" s="2">
        <v>23</v>
      </c>
      <c r="K707" s="2">
        <v>49204.58</v>
      </c>
      <c r="L707" s="2">
        <v>187.04</v>
      </c>
      <c r="M707" s="2">
        <v>142.25</v>
      </c>
      <c r="N707" s="2" t="s">
        <v>30</v>
      </c>
      <c r="O707" s="2">
        <v>4</v>
      </c>
    </row>
    <row r="708" spans="1:15" x14ac:dyDescent="0.3">
      <c r="A708" s="2" t="s">
        <v>765</v>
      </c>
      <c r="B708" s="1">
        <v>46198</v>
      </c>
      <c r="C708" s="2" t="s">
        <v>24</v>
      </c>
      <c r="D708" s="2" t="s">
        <v>25</v>
      </c>
      <c r="E708" s="2" t="s">
        <v>18</v>
      </c>
      <c r="F708" s="2" t="s">
        <v>68</v>
      </c>
      <c r="G708" s="2" t="s">
        <v>20</v>
      </c>
      <c r="H708" s="2" t="s">
        <v>21</v>
      </c>
      <c r="I708" s="2">
        <v>55</v>
      </c>
      <c r="J708" s="2">
        <v>26</v>
      </c>
      <c r="K708" s="2">
        <v>45353.81</v>
      </c>
      <c r="L708" s="2">
        <v>61.19</v>
      </c>
      <c r="M708" s="2">
        <v>20</v>
      </c>
      <c r="N708" s="2" t="s">
        <v>30</v>
      </c>
      <c r="O708" s="2">
        <v>1</v>
      </c>
    </row>
    <row r="709" spans="1:15" x14ac:dyDescent="0.3">
      <c r="A709" s="2" t="s">
        <v>766</v>
      </c>
      <c r="B709" s="1">
        <v>46114</v>
      </c>
      <c r="C709" s="2" t="s">
        <v>43</v>
      </c>
      <c r="D709" s="2" t="s">
        <v>47</v>
      </c>
      <c r="E709" s="2" t="s">
        <v>45</v>
      </c>
      <c r="F709" s="2" t="s">
        <v>68</v>
      </c>
      <c r="G709" s="2" t="s">
        <v>20</v>
      </c>
      <c r="H709" s="2" t="s">
        <v>52</v>
      </c>
      <c r="I709" s="2">
        <v>28</v>
      </c>
      <c r="J709" s="2">
        <v>77</v>
      </c>
      <c r="K709" s="2">
        <v>3244.54</v>
      </c>
      <c r="L709" s="2">
        <v>51.76</v>
      </c>
      <c r="M709" s="2">
        <v>6.71</v>
      </c>
      <c r="N709" s="2" t="s">
        <v>30</v>
      </c>
      <c r="O709" s="2">
        <v>3</v>
      </c>
    </row>
    <row r="710" spans="1:15" x14ac:dyDescent="0.3">
      <c r="A710" s="2" t="s">
        <v>767</v>
      </c>
      <c r="B710" s="1">
        <v>46099</v>
      </c>
      <c r="C710" s="2" t="s">
        <v>43</v>
      </c>
      <c r="D710" s="2" t="s">
        <v>33</v>
      </c>
      <c r="E710" s="2" t="s">
        <v>26</v>
      </c>
      <c r="F710" s="2" t="s">
        <v>68</v>
      </c>
      <c r="G710" s="2" t="s">
        <v>55</v>
      </c>
      <c r="H710" s="2" t="s">
        <v>56</v>
      </c>
      <c r="I710" s="2">
        <v>44</v>
      </c>
      <c r="J710" s="2">
        <v>7</v>
      </c>
      <c r="K710" s="2">
        <v>41735.199999999997</v>
      </c>
      <c r="L710" s="2">
        <v>152.24</v>
      </c>
      <c r="M710" s="2">
        <v>112.08</v>
      </c>
      <c r="N710" s="2" t="s">
        <v>22</v>
      </c>
      <c r="O710" s="2">
        <v>2</v>
      </c>
    </row>
    <row r="711" spans="1:15" x14ac:dyDescent="0.3">
      <c r="A711" s="2" t="s">
        <v>768</v>
      </c>
      <c r="B711" s="1">
        <v>46118</v>
      </c>
      <c r="C711" s="2" t="s">
        <v>43</v>
      </c>
      <c r="D711" s="2" t="s">
        <v>78</v>
      </c>
      <c r="E711" s="2" t="s">
        <v>58</v>
      </c>
      <c r="F711" s="2" t="s">
        <v>34</v>
      </c>
      <c r="G711" s="2" t="s">
        <v>55</v>
      </c>
      <c r="H711" s="2" t="s">
        <v>52</v>
      </c>
      <c r="I711" s="2">
        <v>39</v>
      </c>
      <c r="J711" s="2">
        <v>79</v>
      </c>
      <c r="K711" s="2">
        <v>23161.34</v>
      </c>
      <c r="L711" s="2">
        <v>232.88</v>
      </c>
      <c r="M711" s="2">
        <v>138.97</v>
      </c>
      <c r="N711" s="2" t="s">
        <v>30</v>
      </c>
      <c r="O711" s="2">
        <v>1</v>
      </c>
    </row>
    <row r="712" spans="1:15" x14ac:dyDescent="0.3">
      <c r="A712" s="2" t="s">
        <v>769</v>
      </c>
      <c r="B712" s="1">
        <v>46203</v>
      </c>
      <c r="C712" s="2" t="s">
        <v>16</v>
      </c>
      <c r="D712" s="2" t="s">
        <v>49</v>
      </c>
      <c r="E712" s="2" t="s">
        <v>38</v>
      </c>
      <c r="F712" s="2" t="s">
        <v>19</v>
      </c>
      <c r="G712" s="2" t="s">
        <v>20</v>
      </c>
      <c r="H712" s="2" t="s">
        <v>56</v>
      </c>
      <c r="I712" s="2">
        <v>56</v>
      </c>
      <c r="J712" s="2">
        <v>44</v>
      </c>
      <c r="K712" s="2">
        <v>13318.6</v>
      </c>
      <c r="L712" s="2">
        <v>433.07</v>
      </c>
      <c r="M712" s="2">
        <v>159.16</v>
      </c>
      <c r="N712" s="2" t="s">
        <v>22</v>
      </c>
      <c r="O712" s="2">
        <v>3</v>
      </c>
    </row>
    <row r="713" spans="1:15" x14ac:dyDescent="0.3">
      <c r="A713" s="2" t="s">
        <v>770</v>
      </c>
      <c r="B713" s="1">
        <v>46208</v>
      </c>
      <c r="C713" s="2" t="s">
        <v>54</v>
      </c>
      <c r="D713" s="2" t="s">
        <v>86</v>
      </c>
      <c r="E713" s="2" t="s">
        <v>58</v>
      </c>
      <c r="F713" s="2" t="s">
        <v>39</v>
      </c>
      <c r="G713" s="2" t="s">
        <v>35</v>
      </c>
      <c r="H713" s="2" t="s">
        <v>29</v>
      </c>
      <c r="I713" s="2">
        <v>70</v>
      </c>
      <c r="J713" s="2">
        <v>27</v>
      </c>
      <c r="K713" s="2">
        <v>43997.95</v>
      </c>
      <c r="L713" s="2">
        <v>409.32</v>
      </c>
      <c r="M713" s="2">
        <v>102.06</v>
      </c>
      <c r="N713" s="2" t="s">
        <v>22</v>
      </c>
      <c r="O713" s="2">
        <v>2</v>
      </c>
    </row>
    <row r="714" spans="1:15" x14ac:dyDescent="0.3">
      <c r="A714" s="2" t="s">
        <v>771</v>
      </c>
      <c r="B714" s="1">
        <v>46032</v>
      </c>
      <c r="C714" s="2" t="s">
        <v>90</v>
      </c>
      <c r="D714" s="2" t="s">
        <v>86</v>
      </c>
      <c r="E714" s="2" t="s">
        <v>38</v>
      </c>
      <c r="F714" s="2" t="s">
        <v>27</v>
      </c>
      <c r="G714" s="2" t="s">
        <v>20</v>
      </c>
      <c r="H714" s="2" t="s">
        <v>56</v>
      </c>
      <c r="I714" s="2">
        <v>72</v>
      </c>
      <c r="J714" s="2">
        <v>26</v>
      </c>
      <c r="K714" s="2">
        <v>10235.030000000001</v>
      </c>
      <c r="L714" s="2">
        <v>170.22</v>
      </c>
      <c r="M714" s="2">
        <v>1.31</v>
      </c>
      <c r="N714" s="2" t="s">
        <v>22</v>
      </c>
      <c r="O714" s="2">
        <v>1</v>
      </c>
    </row>
    <row r="715" spans="1:15" x14ac:dyDescent="0.3">
      <c r="A715" s="2" t="s">
        <v>772</v>
      </c>
      <c r="B715" s="1">
        <v>46007</v>
      </c>
      <c r="C715" s="2" t="s">
        <v>24</v>
      </c>
      <c r="D715" s="2" t="s">
        <v>62</v>
      </c>
      <c r="E715" s="2" t="s">
        <v>18</v>
      </c>
      <c r="F715" s="2" t="s">
        <v>34</v>
      </c>
      <c r="G715" s="2" t="s">
        <v>28</v>
      </c>
      <c r="H715" s="2" t="s">
        <v>56</v>
      </c>
      <c r="I715" s="2">
        <v>63</v>
      </c>
      <c r="J715" s="2">
        <v>97</v>
      </c>
      <c r="K715" s="2">
        <v>47391.35</v>
      </c>
      <c r="L715" s="2">
        <v>160.04</v>
      </c>
      <c r="M715" s="2">
        <v>95.9</v>
      </c>
      <c r="N715" s="2" t="s">
        <v>22</v>
      </c>
      <c r="O715" s="2">
        <v>4</v>
      </c>
    </row>
    <row r="716" spans="1:15" x14ac:dyDescent="0.3">
      <c r="A716" s="2" t="s">
        <v>773</v>
      </c>
      <c r="B716" s="1">
        <v>46167</v>
      </c>
      <c r="C716" s="2" t="s">
        <v>43</v>
      </c>
      <c r="D716" s="2" t="s">
        <v>76</v>
      </c>
      <c r="E716" s="2" t="s">
        <v>45</v>
      </c>
      <c r="F716" s="2" t="s">
        <v>39</v>
      </c>
      <c r="G716" s="2" t="s">
        <v>64</v>
      </c>
      <c r="H716" s="2" t="s">
        <v>56</v>
      </c>
      <c r="I716" s="2">
        <v>47</v>
      </c>
      <c r="J716" s="2">
        <v>79</v>
      </c>
      <c r="K716" s="2">
        <v>10678.26</v>
      </c>
      <c r="L716" s="2">
        <v>152.29</v>
      </c>
      <c r="M716" s="2">
        <v>3.17</v>
      </c>
      <c r="N716" s="2" t="s">
        <v>30</v>
      </c>
      <c r="O716" s="2">
        <v>2</v>
      </c>
    </row>
    <row r="717" spans="1:15" x14ac:dyDescent="0.3">
      <c r="A717" s="2" t="s">
        <v>774</v>
      </c>
      <c r="B717" s="1">
        <v>45894</v>
      </c>
      <c r="C717" s="2" t="s">
        <v>43</v>
      </c>
      <c r="D717" s="2" t="s">
        <v>76</v>
      </c>
      <c r="E717" s="2" t="s">
        <v>18</v>
      </c>
      <c r="F717" s="2" t="s">
        <v>19</v>
      </c>
      <c r="G717" s="2" t="s">
        <v>35</v>
      </c>
      <c r="H717" s="2" t="s">
        <v>21</v>
      </c>
      <c r="I717" s="2">
        <v>52</v>
      </c>
      <c r="J717" s="2">
        <v>36</v>
      </c>
      <c r="K717" s="2">
        <v>30877.32</v>
      </c>
      <c r="L717" s="2">
        <v>202.66</v>
      </c>
      <c r="M717" s="2">
        <v>18.399999999999999</v>
      </c>
      <c r="N717" s="2" t="s">
        <v>30</v>
      </c>
      <c r="O717" s="2">
        <v>2</v>
      </c>
    </row>
    <row r="718" spans="1:15" x14ac:dyDescent="0.3">
      <c r="A718" s="2" t="s">
        <v>775</v>
      </c>
      <c r="B718" s="1">
        <v>46126</v>
      </c>
      <c r="C718" s="2" t="s">
        <v>41</v>
      </c>
      <c r="D718" s="2" t="s">
        <v>62</v>
      </c>
      <c r="E718" s="2" t="s">
        <v>26</v>
      </c>
      <c r="F718" s="2" t="s">
        <v>68</v>
      </c>
      <c r="G718" s="2" t="s">
        <v>28</v>
      </c>
      <c r="H718" s="2" t="s">
        <v>56</v>
      </c>
      <c r="I718" s="2">
        <v>34</v>
      </c>
      <c r="J718" s="2">
        <v>109</v>
      </c>
      <c r="K718" s="2">
        <v>11542.77</v>
      </c>
      <c r="L718" s="2">
        <v>274.19</v>
      </c>
      <c r="M718" s="2">
        <v>65.34</v>
      </c>
      <c r="N718" s="2" t="s">
        <v>30</v>
      </c>
      <c r="O718" s="2">
        <v>1</v>
      </c>
    </row>
    <row r="719" spans="1:15" x14ac:dyDescent="0.3">
      <c r="A719" s="2" t="s">
        <v>776</v>
      </c>
      <c r="B719" s="1">
        <v>46211</v>
      </c>
      <c r="C719" s="2" t="s">
        <v>24</v>
      </c>
      <c r="D719" s="2" t="s">
        <v>60</v>
      </c>
      <c r="E719" s="2" t="s">
        <v>58</v>
      </c>
      <c r="F719" s="2" t="s">
        <v>19</v>
      </c>
      <c r="G719" s="2" t="s">
        <v>35</v>
      </c>
      <c r="H719" s="2" t="s">
        <v>29</v>
      </c>
      <c r="I719" s="2">
        <v>38</v>
      </c>
      <c r="J719" s="2">
        <v>55</v>
      </c>
      <c r="K719" s="2">
        <v>27510.6</v>
      </c>
      <c r="L719" s="2">
        <v>247.4</v>
      </c>
      <c r="M719" s="2">
        <v>131.15</v>
      </c>
      <c r="N719" s="2" t="s">
        <v>22</v>
      </c>
      <c r="O719" s="2">
        <v>2</v>
      </c>
    </row>
    <row r="720" spans="1:15" x14ac:dyDescent="0.3">
      <c r="A720" s="2" t="s">
        <v>777</v>
      </c>
      <c r="B720" s="1">
        <v>45902</v>
      </c>
      <c r="C720" s="2" t="s">
        <v>43</v>
      </c>
      <c r="D720" s="2" t="s">
        <v>67</v>
      </c>
      <c r="E720" s="2" t="s">
        <v>38</v>
      </c>
      <c r="F720" s="2" t="s">
        <v>27</v>
      </c>
      <c r="G720" s="2" t="s">
        <v>28</v>
      </c>
      <c r="H720" s="2" t="s">
        <v>29</v>
      </c>
      <c r="I720" s="2">
        <v>48</v>
      </c>
      <c r="J720" s="2">
        <v>64</v>
      </c>
      <c r="K720" s="2">
        <v>34356.769999999997</v>
      </c>
      <c r="L720" s="2">
        <v>148.22</v>
      </c>
      <c r="M720" s="2">
        <v>83.84</v>
      </c>
      <c r="N720" s="2" t="s">
        <v>22</v>
      </c>
      <c r="O720" s="2">
        <v>3</v>
      </c>
    </row>
    <row r="721" spans="1:15" x14ac:dyDescent="0.3">
      <c r="A721" s="2" t="s">
        <v>778</v>
      </c>
      <c r="B721" s="1">
        <v>46073</v>
      </c>
      <c r="C721" s="2" t="s">
        <v>24</v>
      </c>
      <c r="D721" s="2" t="s">
        <v>51</v>
      </c>
      <c r="E721" s="2" t="s">
        <v>38</v>
      </c>
      <c r="F721" s="2" t="s">
        <v>34</v>
      </c>
      <c r="G721" s="2" t="s">
        <v>64</v>
      </c>
      <c r="H721" s="2" t="s">
        <v>29</v>
      </c>
      <c r="I721" s="2">
        <v>49</v>
      </c>
      <c r="J721" s="2">
        <v>91</v>
      </c>
      <c r="K721" s="2">
        <v>9916.2800000000007</v>
      </c>
      <c r="L721" s="2">
        <v>108.7</v>
      </c>
      <c r="M721" s="2">
        <v>174.56</v>
      </c>
      <c r="N721" s="2" t="s">
        <v>22</v>
      </c>
      <c r="O721" s="2">
        <v>2</v>
      </c>
    </row>
    <row r="722" spans="1:15" x14ac:dyDescent="0.3">
      <c r="A722" s="2" t="s">
        <v>779</v>
      </c>
      <c r="B722" s="1">
        <v>46146</v>
      </c>
      <c r="C722" s="2" t="s">
        <v>54</v>
      </c>
      <c r="D722" s="2" t="s">
        <v>33</v>
      </c>
      <c r="E722" s="2" t="s">
        <v>58</v>
      </c>
      <c r="F722" s="2" t="s">
        <v>34</v>
      </c>
      <c r="G722" s="2" t="s">
        <v>64</v>
      </c>
      <c r="H722" s="2" t="s">
        <v>56</v>
      </c>
      <c r="I722" s="2">
        <v>36</v>
      </c>
      <c r="J722" s="2">
        <v>57</v>
      </c>
      <c r="K722" s="2">
        <v>26283.85</v>
      </c>
      <c r="L722" s="2">
        <v>55.66</v>
      </c>
      <c r="M722" s="2">
        <v>11.07</v>
      </c>
      <c r="N722" s="2" t="s">
        <v>22</v>
      </c>
      <c r="O722" s="2">
        <v>5</v>
      </c>
    </row>
    <row r="723" spans="1:15" x14ac:dyDescent="0.3">
      <c r="A723" s="2" t="s">
        <v>780</v>
      </c>
      <c r="B723" s="1">
        <v>45990</v>
      </c>
      <c r="C723" s="2" t="s">
        <v>41</v>
      </c>
      <c r="D723" s="2" t="s">
        <v>86</v>
      </c>
      <c r="E723" s="2" t="s">
        <v>58</v>
      </c>
      <c r="F723" s="2" t="s">
        <v>27</v>
      </c>
      <c r="G723" s="2" t="s">
        <v>55</v>
      </c>
      <c r="H723" s="2" t="s">
        <v>52</v>
      </c>
      <c r="I723" s="2">
        <v>55</v>
      </c>
      <c r="J723" s="2">
        <v>69</v>
      </c>
      <c r="K723" s="2">
        <v>23718.46</v>
      </c>
      <c r="L723" s="2">
        <v>119.28</v>
      </c>
      <c r="M723" s="2">
        <v>28.92</v>
      </c>
      <c r="N723" s="2" t="s">
        <v>30</v>
      </c>
      <c r="O723" s="2">
        <v>3</v>
      </c>
    </row>
    <row r="724" spans="1:15" x14ac:dyDescent="0.3">
      <c r="A724" s="2" t="s">
        <v>781</v>
      </c>
      <c r="B724" s="1">
        <v>46215</v>
      </c>
      <c r="C724" s="2" t="s">
        <v>24</v>
      </c>
      <c r="D724" s="2" t="s">
        <v>86</v>
      </c>
      <c r="E724" s="2" t="s">
        <v>26</v>
      </c>
      <c r="F724" s="2" t="s">
        <v>39</v>
      </c>
      <c r="G724" s="2" t="s">
        <v>28</v>
      </c>
      <c r="H724" s="2" t="s">
        <v>52</v>
      </c>
      <c r="I724" s="2">
        <v>67</v>
      </c>
      <c r="J724" s="2">
        <v>61</v>
      </c>
      <c r="K724" s="2">
        <v>4016.35</v>
      </c>
      <c r="L724" s="2">
        <v>367.41</v>
      </c>
      <c r="M724" s="2">
        <v>139.05000000000001</v>
      </c>
      <c r="N724" s="2" t="s">
        <v>30</v>
      </c>
      <c r="O724" s="2">
        <v>1</v>
      </c>
    </row>
    <row r="725" spans="1:15" x14ac:dyDescent="0.3">
      <c r="A725" s="2" t="s">
        <v>782</v>
      </c>
      <c r="B725" s="1">
        <v>45981</v>
      </c>
      <c r="C725" s="2" t="s">
        <v>90</v>
      </c>
      <c r="D725" s="2" t="s">
        <v>51</v>
      </c>
      <c r="E725" s="2" t="s">
        <v>18</v>
      </c>
      <c r="F725" s="2" t="s">
        <v>39</v>
      </c>
      <c r="G725" s="2" t="s">
        <v>55</v>
      </c>
      <c r="H725" s="2" t="s">
        <v>29</v>
      </c>
      <c r="I725" s="2">
        <v>51</v>
      </c>
      <c r="J725" s="2">
        <v>2</v>
      </c>
      <c r="K725" s="2">
        <v>41006.239999999998</v>
      </c>
      <c r="L725" s="2">
        <v>159.63999999999999</v>
      </c>
      <c r="M725" s="2">
        <v>42.64</v>
      </c>
      <c r="N725" s="2" t="s">
        <v>30</v>
      </c>
      <c r="O725" s="2">
        <v>3</v>
      </c>
    </row>
    <row r="726" spans="1:15" x14ac:dyDescent="0.3">
      <c r="A726" s="2" t="s">
        <v>783</v>
      </c>
      <c r="B726" s="1">
        <v>45925</v>
      </c>
      <c r="C726" s="2" t="s">
        <v>90</v>
      </c>
      <c r="D726" s="2" t="s">
        <v>67</v>
      </c>
      <c r="E726" s="2" t="s">
        <v>38</v>
      </c>
      <c r="F726" s="2" t="s">
        <v>34</v>
      </c>
      <c r="G726" s="2" t="s">
        <v>28</v>
      </c>
      <c r="H726" s="2" t="s">
        <v>21</v>
      </c>
      <c r="I726" s="2">
        <v>24</v>
      </c>
      <c r="J726" s="2">
        <v>55</v>
      </c>
      <c r="K726" s="2">
        <v>17116.28</v>
      </c>
      <c r="L726" s="2">
        <v>260.87</v>
      </c>
      <c r="M726" s="2">
        <v>127.96</v>
      </c>
      <c r="N726" s="2" t="s">
        <v>22</v>
      </c>
      <c r="O726" s="2">
        <v>5</v>
      </c>
    </row>
    <row r="727" spans="1:15" x14ac:dyDescent="0.3">
      <c r="A727" s="2" t="s">
        <v>784</v>
      </c>
      <c r="B727" s="1">
        <v>46088</v>
      </c>
      <c r="C727" s="2" t="s">
        <v>32</v>
      </c>
      <c r="D727" s="2" t="s">
        <v>86</v>
      </c>
      <c r="E727" s="2" t="s">
        <v>26</v>
      </c>
      <c r="F727" s="2" t="s">
        <v>34</v>
      </c>
      <c r="G727" s="2" t="s">
        <v>55</v>
      </c>
      <c r="H727" s="2" t="s">
        <v>52</v>
      </c>
      <c r="I727" s="2">
        <v>57</v>
      </c>
      <c r="J727" s="2">
        <v>97</v>
      </c>
      <c r="K727" s="2">
        <v>28941.82</v>
      </c>
      <c r="L727" s="2">
        <v>316.08999999999997</v>
      </c>
      <c r="M727" s="2">
        <v>10.94</v>
      </c>
      <c r="N727" s="2" t="s">
        <v>22</v>
      </c>
      <c r="O727" s="2">
        <v>5</v>
      </c>
    </row>
    <row r="728" spans="1:15" x14ac:dyDescent="0.3">
      <c r="A728" s="2" t="s">
        <v>785</v>
      </c>
      <c r="B728" s="1">
        <v>46183</v>
      </c>
      <c r="C728" s="2" t="s">
        <v>41</v>
      </c>
      <c r="D728" s="2" t="s">
        <v>49</v>
      </c>
      <c r="E728" s="2" t="s">
        <v>18</v>
      </c>
      <c r="F728" s="2" t="s">
        <v>68</v>
      </c>
      <c r="G728" s="2" t="s">
        <v>64</v>
      </c>
      <c r="H728" s="2" t="s">
        <v>56</v>
      </c>
      <c r="I728" s="2">
        <v>37</v>
      </c>
      <c r="J728" s="2">
        <v>80</v>
      </c>
      <c r="K728" s="2">
        <v>25981.82</v>
      </c>
      <c r="L728" s="2">
        <v>449.08</v>
      </c>
      <c r="M728" s="2">
        <v>81.48</v>
      </c>
      <c r="N728" s="2" t="s">
        <v>22</v>
      </c>
      <c r="O728" s="2">
        <v>2</v>
      </c>
    </row>
    <row r="729" spans="1:15" x14ac:dyDescent="0.3">
      <c r="A729" s="2" t="s">
        <v>786</v>
      </c>
      <c r="B729" s="1">
        <v>46030</v>
      </c>
      <c r="C729" s="2" t="s">
        <v>41</v>
      </c>
      <c r="D729" s="2" t="s">
        <v>78</v>
      </c>
      <c r="E729" s="2" t="s">
        <v>26</v>
      </c>
      <c r="F729" s="2" t="s">
        <v>39</v>
      </c>
      <c r="G729" s="2" t="s">
        <v>35</v>
      </c>
      <c r="H729" s="2" t="s">
        <v>52</v>
      </c>
      <c r="I729" s="2">
        <v>59</v>
      </c>
      <c r="J729" s="2">
        <v>87</v>
      </c>
      <c r="K729" s="2">
        <v>25906.39</v>
      </c>
      <c r="L729" s="2">
        <v>449.98</v>
      </c>
      <c r="M729" s="2">
        <v>35.479999999999997</v>
      </c>
      <c r="N729" s="2" t="s">
        <v>22</v>
      </c>
      <c r="O729" s="2">
        <v>2</v>
      </c>
    </row>
    <row r="730" spans="1:15" x14ac:dyDescent="0.3">
      <c r="A730" s="2" t="s">
        <v>787</v>
      </c>
      <c r="B730" s="1">
        <v>45925</v>
      </c>
      <c r="C730" s="2" t="s">
        <v>32</v>
      </c>
      <c r="D730" s="2" t="s">
        <v>33</v>
      </c>
      <c r="E730" s="2" t="s">
        <v>38</v>
      </c>
      <c r="F730" s="2" t="s">
        <v>27</v>
      </c>
      <c r="G730" s="2" t="s">
        <v>55</v>
      </c>
      <c r="H730" s="2" t="s">
        <v>29</v>
      </c>
      <c r="I730" s="2">
        <v>68</v>
      </c>
      <c r="J730" s="2">
        <v>38</v>
      </c>
      <c r="K730" s="2">
        <v>5807.51</v>
      </c>
      <c r="L730" s="2">
        <v>385.58</v>
      </c>
      <c r="M730" s="2">
        <v>32.89</v>
      </c>
      <c r="N730" s="2" t="s">
        <v>22</v>
      </c>
      <c r="O730" s="2">
        <v>4</v>
      </c>
    </row>
    <row r="731" spans="1:15" x14ac:dyDescent="0.3">
      <c r="A731" s="2" t="s">
        <v>788</v>
      </c>
      <c r="B731" s="1">
        <v>45882</v>
      </c>
      <c r="C731" s="2" t="s">
        <v>24</v>
      </c>
      <c r="D731" s="2" t="s">
        <v>37</v>
      </c>
      <c r="E731" s="2" t="s">
        <v>58</v>
      </c>
      <c r="F731" s="2" t="s">
        <v>39</v>
      </c>
      <c r="G731" s="2" t="s">
        <v>28</v>
      </c>
      <c r="H731" s="2" t="s">
        <v>21</v>
      </c>
      <c r="I731" s="2">
        <v>66</v>
      </c>
      <c r="J731" s="2">
        <v>119</v>
      </c>
      <c r="K731" s="2">
        <v>21462.36</v>
      </c>
      <c r="L731" s="2">
        <v>65.819999999999993</v>
      </c>
      <c r="M731" s="2">
        <v>113.41</v>
      </c>
      <c r="N731" s="2" t="s">
        <v>22</v>
      </c>
      <c r="O731" s="2">
        <v>3</v>
      </c>
    </row>
    <row r="732" spans="1:15" x14ac:dyDescent="0.3">
      <c r="A732" s="2" t="s">
        <v>789</v>
      </c>
      <c r="B732" s="1">
        <v>45934</v>
      </c>
      <c r="C732" s="2" t="s">
        <v>41</v>
      </c>
      <c r="D732" s="2" t="s">
        <v>86</v>
      </c>
      <c r="E732" s="2" t="s">
        <v>58</v>
      </c>
      <c r="F732" s="2" t="s">
        <v>68</v>
      </c>
      <c r="G732" s="2" t="s">
        <v>28</v>
      </c>
      <c r="H732" s="2" t="s">
        <v>52</v>
      </c>
      <c r="I732" s="2">
        <v>46</v>
      </c>
      <c r="J732" s="2">
        <v>80</v>
      </c>
      <c r="K732" s="2">
        <v>22892.15</v>
      </c>
      <c r="L732" s="2">
        <v>308.77999999999997</v>
      </c>
      <c r="M732" s="2">
        <v>185.67</v>
      </c>
      <c r="N732" s="2" t="s">
        <v>22</v>
      </c>
      <c r="O732" s="2">
        <v>4</v>
      </c>
    </row>
    <row r="733" spans="1:15" x14ac:dyDescent="0.3">
      <c r="A733" s="2" t="s">
        <v>790</v>
      </c>
      <c r="B733" s="1">
        <v>45944</v>
      </c>
      <c r="C733" s="2" t="s">
        <v>90</v>
      </c>
      <c r="D733" s="2" t="s">
        <v>62</v>
      </c>
      <c r="E733" s="2" t="s">
        <v>18</v>
      </c>
      <c r="F733" s="2" t="s">
        <v>34</v>
      </c>
      <c r="G733" s="2" t="s">
        <v>64</v>
      </c>
      <c r="H733" s="2" t="s">
        <v>52</v>
      </c>
      <c r="I733" s="2">
        <v>68</v>
      </c>
      <c r="J733" s="2">
        <v>78</v>
      </c>
      <c r="K733" s="2">
        <v>36815.32</v>
      </c>
      <c r="L733" s="2">
        <v>403.96</v>
      </c>
      <c r="M733" s="2">
        <v>10.96</v>
      </c>
      <c r="N733" s="2" t="s">
        <v>30</v>
      </c>
      <c r="O733" s="2">
        <v>5</v>
      </c>
    </row>
    <row r="734" spans="1:15" x14ac:dyDescent="0.3">
      <c r="A734" s="2" t="s">
        <v>791</v>
      </c>
      <c r="B734" s="1">
        <v>45913</v>
      </c>
      <c r="C734" s="2" t="s">
        <v>90</v>
      </c>
      <c r="D734" s="2" t="s">
        <v>78</v>
      </c>
      <c r="E734" s="2" t="s">
        <v>45</v>
      </c>
      <c r="F734" s="2" t="s">
        <v>34</v>
      </c>
      <c r="G734" s="2" t="s">
        <v>28</v>
      </c>
      <c r="H734" s="2" t="s">
        <v>29</v>
      </c>
      <c r="I734" s="2">
        <v>59</v>
      </c>
      <c r="J734" s="2">
        <v>29</v>
      </c>
      <c r="K734" s="2">
        <v>42080.93</v>
      </c>
      <c r="L734" s="2">
        <v>57.78</v>
      </c>
      <c r="M734" s="2">
        <v>126.46</v>
      </c>
      <c r="N734" s="2" t="s">
        <v>22</v>
      </c>
      <c r="O734" s="2">
        <v>2</v>
      </c>
    </row>
    <row r="735" spans="1:15" x14ac:dyDescent="0.3">
      <c r="A735" s="2" t="s">
        <v>792</v>
      </c>
      <c r="B735" s="1">
        <v>46020</v>
      </c>
      <c r="C735" s="2" t="s">
        <v>43</v>
      </c>
      <c r="D735" s="2" t="s">
        <v>86</v>
      </c>
      <c r="E735" s="2" t="s">
        <v>18</v>
      </c>
      <c r="F735" s="2" t="s">
        <v>68</v>
      </c>
      <c r="G735" s="2" t="s">
        <v>20</v>
      </c>
      <c r="H735" s="2" t="s">
        <v>21</v>
      </c>
      <c r="I735" s="2">
        <v>61</v>
      </c>
      <c r="J735" s="2">
        <v>26</v>
      </c>
      <c r="K735" s="2">
        <v>27476.62</v>
      </c>
      <c r="L735" s="2">
        <v>297.36</v>
      </c>
      <c r="M735" s="2">
        <v>141.51</v>
      </c>
      <c r="N735" s="2" t="s">
        <v>30</v>
      </c>
      <c r="O735" s="2">
        <v>2</v>
      </c>
    </row>
    <row r="736" spans="1:15" x14ac:dyDescent="0.3">
      <c r="A736" s="2" t="s">
        <v>793</v>
      </c>
      <c r="B736" s="1">
        <v>46160</v>
      </c>
      <c r="C736" s="2" t="s">
        <v>54</v>
      </c>
      <c r="D736" s="2" t="s">
        <v>82</v>
      </c>
      <c r="E736" s="2" t="s">
        <v>45</v>
      </c>
      <c r="F736" s="2" t="s">
        <v>27</v>
      </c>
      <c r="G736" s="2" t="s">
        <v>35</v>
      </c>
      <c r="H736" s="2" t="s">
        <v>21</v>
      </c>
      <c r="I736" s="2">
        <v>24</v>
      </c>
      <c r="J736" s="2">
        <v>35</v>
      </c>
      <c r="K736" s="2">
        <v>4795.76</v>
      </c>
      <c r="L736" s="2">
        <v>435.99</v>
      </c>
      <c r="M736" s="2">
        <v>92.54</v>
      </c>
      <c r="N736" s="2" t="s">
        <v>22</v>
      </c>
      <c r="O736" s="2">
        <v>2</v>
      </c>
    </row>
    <row r="737" spans="1:15" x14ac:dyDescent="0.3">
      <c r="A737" s="2" t="s">
        <v>794</v>
      </c>
      <c r="B737" s="1">
        <v>45973</v>
      </c>
      <c r="C737" s="2" t="s">
        <v>41</v>
      </c>
      <c r="D737" s="2" t="s">
        <v>25</v>
      </c>
      <c r="E737" s="2" t="s">
        <v>26</v>
      </c>
      <c r="F737" s="2" t="s">
        <v>34</v>
      </c>
      <c r="G737" s="2" t="s">
        <v>55</v>
      </c>
      <c r="H737" s="2" t="s">
        <v>29</v>
      </c>
      <c r="I737" s="2">
        <v>50</v>
      </c>
      <c r="J737" s="2">
        <v>79</v>
      </c>
      <c r="K737" s="2">
        <v>12224.05</v>
      </c>
      <c r="L737" s="2">
        <v>263.35000000000002</v>
      </c>
      <c r="M737" s="2">
        <v>241.95</v>
      </c>
      <c r="N737" s="2" t="s">
        <v>30</v>
      </c>
      <c r="O737" s="2">
        <v>1</v>
      </c>
    </row>
    <row r="738" spans="1:15" x14ac:dyDescent="0.3">
      <c r="A738" s="2" t="s">
        <v>795</v>
      </c>
      <c r="B738" s="1">
        <v>46025</v>
      </c>
      <c r="C738" s="2" t="s">
        <v>24</v>
      </c>
      <c r="D738" s="2" t="s">
        <v>49</v>
      </c>
      <c r="E738" s="2" t="s">
        <v>26</v>
      </c>
      <c r="F738" s="2" t="s">
        <v>19</v>
      </c>
      <c r="G738" s="2" t="s">
        <v>35</v>
      </c>
      <c r="H738" s="2" t="s">
        <v>56</v>
      </c>
      <c r="I738" s="2">
        <v>50</v>
      </c>
      <c r="J738" s="2">
        <v>67</v>
      </c>
      <c r="K738" s="2">
        <v>8664.23</v>
      </c>
      <c r="L738" s="2">
        <v>51.85</v>
      </c>
      <c r="M738" s="2">
        <v>35.93</v>
      </c>
      <c r="N738" s="2" t="s">
        <v>30</v>
      </c>
      <c r="O738" s="2">
        <v>5</v>
      </c>
    </row>
    <row r="739" spans="1:15" x14ac:dyDescent="0.3">
      <c r="A739" s="2" t="s">
        <v>796</v>
      </c>
      <c r="B739" s="1">
        <v>46172</v>
      </c>
      <c r="C739" s="2" t="s">
        <v>32</v>
      </c>
      <c r="D739" s="2" t="s">
        <v>78</v>
      </c>
      <c r="E739" s="2" t="s">
        <v>38</v>
      </c>
      <c r="F739" s="2" t="s">
        <v>34</v>
      </c>
      <c r="G739" s="2" t="s">
        <v>64</v>
      </c>
      <c r="H739" s="2" t="s">
        <v>52</v>
      </c>
      <c r="I739" s="2">
        <v>42</v>
      </c>
      <c r="J739" s="2">
        <v>87</v>
      </c>
      <c r="K739" s="2">
        <v>6668.45</v>
      </c>
      <c r="L739" s="2">
        <v>54.96</v>
      </c>
      <c r="M739" s="2">
        <v>191.92</v>
      </c>
      <c r="N739" s="2" t="s">
        <v>22</v>
      </c>
      <c r="O739" s="2">
        <v>2</v>
      </c>
    </row>
    <row r="740" spans="1:15" x14ac:dyDescent="0.3">
      <c r="A740" s="2" t="s">
        <v>797</v>
      </c>
      <c r="B740" s="1">
        <v>45946</v>
      </c>
      <c r="C740" s="2" t="s">
        <v>32</v>
      </c>
      <c r="D740" s="2" t="s">
        <v>17</v>
      </c>
      <c r="E740" s="2" t="s">
        <v>45</v>
      </c>
      <c r="F740" s="2" t="s">
        <v>19</v>
      </c>
      <c r="G740" s="2" t="s">
        <v>55</v>
      </c>
      <c r="H740" s="2" t="s">
        <v>56</v>
      </c>
      <c r="I740" s="2">
        <v>31</v>
      </c>
      <c r="J740" s="2">
        <v>29</v>
      </c>
      <c r="K740" s="2">
        <v>18612.02</v>
      </c>
      <c r="L740" s="2">
        <v>237.49</v>
      </c>
      <c r="M740" s="2">
        <v>77.03</v>
      </c>
      <c r="N740" s="2" t="s">
        <v>30</v>
      </c>
      <c r="O740" s="2">
        <v>5</v>
      </c>
    </row>
    <row r="741" spans="1:15" x14ac:dyDescent="0.3">
      <c r="A741" s="2" t="s">
        <v>798</v>
      </c>
      <c r="B741" s="1">
        <v>46034</v>
      </c>
      <c r="C741" s="2" t="s">
        <v>24</v>
      </c>
      <c r="D741" s="2" t="s">
        <v>37</v>
      </c>
      <c r="E741" s="2" t="s">
        <v>38</v>
      </c>
      <c r="F741" s="2" t="s">
        <v>68</v>
      </c>
      <c r="G741" s="2" t="s">
        <v>55</v>
      </c>
      <c r="H741" s="2" t="s">
        <v>52</v>
      </c>
      <c r="I741" s="2">
        <v>22</v>
      </c>
      <c r="J741" s="2">
        <v>34</v>
      </c>
      <c r="K741" s="2">
        <v>11854.98</v>
      </c>
      <c r="L741" s="2">
        <v>119.75</v>
      </c>
      <c r="M741" s="2">
        <v>68.31</v>
      </c>
      <c r="N741" s="2" t="s">
        <v>22</v>
      </c>
      <c r="O741" s="2">
        <v>2</v>
      </c>
    </row>
    <row r="742" spans="1:15" x14ac:dyDescent="0.3">
      <c r="A742" s="2" t="s">
        <v>799</v>
      </c>
      <c r="B742" s="1">
        <v>45922</v>
      </c>
      <c r="C742" s="2" t="s">
        <v>16</v>
      </c>
      <c r="D742" s="2" t="s">
        <v>25</v>
      </c>
      <c r="E742" s="2" t="s">
        <v>58</v>
      </c>
      <c r="F742" s="2" t="s">
        <v>68</v>
      </c>
      <c r="G742" s="2" t="s">
        <v>20</v>
      </c>
      <c r="H742" s="2" t="s">
        <v>52</v>
      </c>
      <c r="I742" s="2">
        <v>64</v>
      </c>
      <c r="J742" s="2">
        <v>97</v>
      </c>
      <c r="K742" s="2">
        <v>11306</v>
      </c>
      <c r="L742" s="2">
        <v>349</v>
      </c>
      <c r="M742" s="2">
        <v>174.92</v>
      </c>
      <c r="N742" s="2" t="s">
        <v>30</v>
      </c>
      <c r="O742" s="2">
        <v>3</v>
      </c>
    </row>
    <row r="743" spans="1:15" x14ac:dyDescent="0.3">
      <c r="A743" s="2" t="s">
        <v>800</v>
      </c>
      <c r="B743" s="1">
        <v>45933</v>
      </c>
      <c r="C743" s="2" t="s">
        <v>74</v>
      </c>
      <c r="D743" s="2" t="s">
        <v>44</v>
      </c>
      <c r="E743" s="2" t="s">
        <v>45</v>
      </c>
      <c r="F743" s="2" t="s">
        <v>34</v>
      </c>
      <c r="G743" s="2" t="s">
        <v>64</v>
      </c>
      <c r="H743" s="2" t="s">
        <v>56</v>
      </c>
      <c r="I743" s="2">
        <v>32</v>
      </c>
      <c r="J743" s="2">
        <v>41</v>
      </c>
      <c r="K743" s="2">
        <v>3207.31</v>
      </c>
      <c r="L743" s="2">
        <v>368.96</v>
      </c>
      <c r="M743" s="2">
        <v>112.77</v>
      </c>
      <c r="N743" s="2" t="s">
        <v>30</v>
      </c>
      <c r="O743" s="2">
        <v>5</v>
      </c>
    </row>
    <row r="744" spans="1:15" x14ac:dyDescent="0.3">
      <c r="A744" s="2" t="s">
        <v>801</v>
      </c>
      <c r="B744" s="1">
        <v>45979</v>
      </c>
      <c r="C744" s="2" t="s">
        <v>54</v>
      </c>
      <c r="D744" s="2" t="s">
        <v>62</v>
      </c>
      <c r="E744" s="2" t="s">
        <v>18</v>
      </c>
      <c r="F744" s="2" t="s">
        <v>39</v>
      </c>
      <c r="G744" s="2" t="s">
        <v>28</v>
      </c>
      <c r="H744" s="2" t="s">
        <v>29</v>
      </c>
      <c r="I744" s="2">
        <v>50</v>
      </c>
      <c r="J744" s="2">
        <v>41</v>
      </c>
      <c r="K744" s="2">
        <v>1374.67</v>
      </c>
      <c r="L744" s="2">
        <v>130.05000000000001</v>
      </c>
      <c r="M744" s="2">
        <v>154.94</v>
      </c>
      <c r="N744" s="2" t="s">
        <v>30</v>
      </c>
      <c r="O744" s="2">
        <v>4</v>
      </c>
    </row>
    <row r="745" spans="1:15" x14ac:dyDescent="0.3">
      <c r="A745" s="2" t="s">
        <v>802</v>
      </c>
      <c r="B745" s="1">
        <v>46171</v>
      </c>
      <c r="C745" s="2" t="s">
        <v>32</v>
      </c>
      <c r="D745" s="2" t="s">
        <v>62</v>
      </c>
      <c r="E745" s="2" t="s">
        <v>58</v>
      </c>
      <c r="F745" s="2" t="s">
        <v>19</v>
      </c>
      <c r="G745" s="2" t="s">
        <v>20</v>
      </c>
      <c r="H745" s="2" t="s">
        <v>29</v>
      </c>
      <c r="I745" s="2">
        <v>56</v>
      </c>
      <c r="J745" s="2">
        <v>23</v>
      </c>
      <c r="K745" s="2">
        <v>5587.03</v>
      </c>
      <c r="L745" s="2">
        <v>449.84</v>
      </c>
      <c r="M745" s="2">
        <v>218.1</v>
      </c>
      <c r="N745" s="2" t="s">
        <v>30</v>
      </c>
      <c r="O745" s="2">
        <v>1</v>
      </c>
    </row>
    <row r="746" spans="1:15" x14ac:dyDescent="0.3">
      <c r="A746" s="2" t="s">
        <v>803</v>
      </c>
      <c r="B746" s="1">
        <v>45952</v>
      </c>
      <c r="C746" s="2" t="s">
        <v>41</v>
      </c>
      <c r="D746" s="2" t="s">
        <v>33</v>
      </c>
      <c r="E746" s="2" t="s">
        <v>58</v>
      </c>
      <c r="F746" s="2" t="s">
        <v>27</v>
      </c>
      <c r="G746" s="2" t="s">
        <v>20</v>
      </c>
      <c r="H746" s="2" t="s">
        <v>52</v>
      </c>
      <c r="I746" s="2">
        <v>38</v>
      </c>
      <c r="J746" s="2">
        <v>71</v>
      </c>
      <c r="K746" s="2">
        <v>9023.7800000000007</v>
      </c>
      <c r="L746" s="2">
        <v>248.86</v>
      </c>
      <c r="M746" s="2">
        <v>115.97</v>
      </c>
      <c r="N746" s="2" t="s">
        <v>30</v>
      </c>
      <c r="O746" s="2">
        <v>4</v>
      </c>
    </row>
    <row r="747" spans="1:15" x14ac:dyDescent="0.3">
      <c r="A747" s="2" t="s">
        <v>804</v>
      </c>
      <c r="B747" s="1">
        <v>46195</v>
      </c>
      <c r="C747" s="2" t="s">
        <v>54</v>
      </c>
      <c r="D747" s="2" t="s">
        <v>51</v>
      </c>
      <c r="E747" s="2" t="s">
        <v>18</v>
      </c>
      <c r="F747" s="2" t="s">
        <v>34</v>
      </c>
      <c r="G747" s="2" t="s">
        <v>35</v>
      </c>
      <c r="H747" s="2" t="s">
        <v>29</v>
      </c>
      <c r="I747" s="2">
        <v>46</v>
      </c>
      <c r="J747" s="2">
        <v>3</v>
      </c>
      <c r="K747" s="2">
        <v>21833.69</v>
      </c>
      <c r="L747" s="2">
        <v>114.28</v>
      </c>
      <c r="M747" s="2">
        <v>48.75</v>
      </c>
      <c r="N747" s="2" t="s">
        <v>30</v>
      </c>
      <c r="O747" s="2">
        <v>5</v>
      </c>
    </row>
    <row r="748" spans="1:15" x14ac:dyDescent="0.3">
      <c r="A748" s="2" t="s">
        <v>805</v>
      </c>
      <c r="B748" s="1">
        <v>45887</v>
      </c>
      <c r="C748" s="2" t="s">
        <v>41</v>
      </c>
      <c r="D748" s="2" t="s">
        <v>25</v>
      </c>
      <c r="E748" s="2" t="s">
        <v>58</v>
      </c>
      <c r="F748" s="2" t="s">
        <v>27</v>
      </c>
      <c r="G748" s="2" t="s">
        <v>35</v>
      </c>
      <c r="H748" s="2" t="s">
        <v>52</v>
      </c>
      <c r="I748" s="2">
        <v>73</v>
      </c>
      <c r="J748" s="2">
        <v>58</v>
      </c>
      <c r="K748" s="2">
        <v>25770.75</v>
      </c>
      <c r="L748" s="2">
        <v>393.91</v>
      </c>
      <c r="M748" s="2">
        <v>134.84</v>
      </c>
      <c r="N748" s="2" t="s">
        <v>30</v>
      </c>
      <c r="O748" s="2">
        <v>2</v>
      </c>
    </row>
    <row r="749" spans="1:15" x14ac:dyDescent="0.3">
      <c r="A749" s="2" t="s">
        <v>806</v>
      </c>
      <c r="B749" s="1">
        <v>46164</v>
      </c>
      <c r="C749" s="2" t="s">
        <v>16</v>
      </c>
      <c r="D749" s="2" t="s">
        <v>78</v>
      </c>
      <c r="E749" s="2" t="s">
        <v>45</v>
      </c>
      <c r="F749" s="2" t="s">
        <v>34</v>
      </c>
      <c r="G749" s="2" t="s">
        <v>35</v>
      </c>
      <c r="H749" s="2" t="s">
        <v>29</v>
      </c>
      <c r="I749" s="2">
        <v>27</v>
      </c>
      <c r="J749" s="2">
        <v>32</v>
      </c>
      <c r="K749" s="2">
        <v>7459.3</v>
      </c>
      <c r="L749" s="2">
        <v>405.49</v>
      </c>
      <c r="M749" s="2">
        <v>40.04</v>
      </c>
      <c r="N749" s="2" t="s">
        <v>30</v>
      </c>
      <c r="O749" s="2">
        <v>5</v>
      </c>
    </row>
    <row r="750" spans="1:15" x14ac:dyDescent="0.3">
      <c r="A750" s="2" t="s">
        <v>807</v>
      </c>
      <c r="B750" s="1">
        <v>46077</v>
      </c>
      <c r="C750" s="2" t="s">
        <v>90</v>
      </c>
      <c r="D750" s="2" t="s">
        <v>67</v>
      </c>
      <c r="E750" s="2" t="s">
        <v>38</v>
      </c>
      <c r="F750" s="2" t="s">
        <v>39</v>
      </c>
      <c r="G750" s="2" t="s">
        <v>20</v>
      </c>
      <c r="H750" s="2" t="s">
        <v>52</v>
      </c>
      <c r="I750" s="2">
        <v>21</v>
      </c>
      <c r="J750" s="2">
        <v>31</v>
      </c>
      <c r="K750" s="2">
        <v>21526.78</v>
      </c>
      <c r="L750" s="2">
        <v>337.68</v>
      </c>
      <c r="M750" s="2">
        <v>161.16999999999999</v>
      </c>
      <c r="N750" s="2" t="s">
        <v>30</v>
      </c>
      <c r="O750" s="2">
        <v>1</v>
      </c>
    </row>
    <row r="751" spans="1:15" x14ac:dyDescent="0.3">
      <c r="A751" s="2" t="s">
        <v>808</v>
      </c>
      <c r="B751" s="1">
        <v>46085</v>
      </c>
      <c r="C751" s="2" t="s">
        <v>54</v>
      </c>
      <c r="D751" s="2" t="s">
        <v>62</v>
      </c>
      <c r="E751" s="2" t="s">
        <v>58</v>
      </c>
      <c r="F751" s="2" t="s">
        <v>39</v>
      </c>
      <c r="G751" s="2" t="s">
        <v>28</v>
      </c>
      <c r="H751" s="2" t="s">
        <v>29</v>
      </c>
      <c r="I751" s="2">
        <v>46</v>
      </c>
      <c r="J751" s="2">
        <v>82</v>
      </c>
      <c r="K751" s="2">
        <v>17416.57</v>
      </c>
      <c r="L751" s="2">
        <v>434.06</v>
      </c>
      <c r="M751" s="2">
        <v>296.92</v>
      </c>
      <c r="N751" s="2" t="s">
        <v>22</v>
      </c>
      <c r="O751" s="2">
        <v>5</v>
      </c>
    </row>
    <row r="752" spans="1:15" x14ac:dyDescent="0.3">
      <c r="A752" s="2" t="s">
        <v>809</v>
      </c>
      <c r="B752" s="1">
        <v>46059</v>
      </c>
      <c r="C752" s="2" t="s">
        <v>43</v>
      </c>
      <c r="D752" s="2" t="s">
        <v>78</v>
      </c>
      <c r="E752" s="2" t="s">
        <v>45</v>
      </c>
      <c r="F752" s="2" t="s">
        <v>39</v>
      </c>
      <c r="G752" s="2" t="s">
        <v>55</v>
      </c>
      <c r="H752" s="2" t="s">
        <v>21</v>
      </c>
      <c r="I752" s="2">
        <v>43</v>
      </c>
      <c r="J752" s="2">
        <v>43</v>
      </c>
      <c r="K752" s="2">
        <v>9579.4699999999993</v>
      </c>
      <c r="L752" s="2">
        <v>381.82</v>
      </c>
      <c r="M752" s="2">
        <v>75.48</v>
      </c>
      <c r="N752" s="2" t="s">
        <v>30</v>
      </c>
      <c r="O752" s="2">
        <v>2</v>
      </c>
    </row>
    <row r="753" spans="1:15" x14ac:dyDescent="0.3">
      <c r="A753" s="2" t="s">
        <v>810</v>
      </c>
      <c r="B753" s="1">
        <v>46018</v>
      </c>
      <c r="C753" s="2" t="s">
        <v>32</v>
      </c>
      <c r="D753" s="2" t="s">
        <v>60</v>
      </c>
      <c r="E753" s="2" t="s">
        <v>26</v>
      </c>
      <c r="F753" s="2" t="s">
        <v>39</v>
      </c>
      <c r="G753" s="2" t="s">
        <v>35</v>
      </c>
      <c r="H753" s="2" t="s">
        <v>56</v>
      </c>
      <c r="I753" s="2">
        <v>46</v>
      </c>
      <c r="J753" s="2">
        <v>7</v>
      </c>
      <c r="K753" s="2">
        <v>838.62</v>
      </c>
      <c r="L753" s="2">
        <v>446.99</v>
      </c>
      <c r="M753" s="2">
        <v>88.95</v>
      </c>
      <c r="N753" s="2" t="s">
        <v>30</v>
      </c>
      <c r="O753" s="2">
        <v>4</v>
      </c>
    </row>
    <row r="754" spans="1:15" x14ac:dyDescent="0.3">
      <c r="A754" s="2" t="s">
        <v>811</v>
      </c>
      <c r="B754" s="1">
        <v>46185</v>
      </c>
      <c r="C754" s="2" t="s">
        <v>54</v>
      </c>
      <c r="D754" s="2" t="s">
        <v>78</v>
      </c>
      <c r="E754" s="2" t="s">
        <v>45</v>
      </c>
      <c r="F754" s="2" t="s">
        <v>68</v>
      </c>
      <c r="G754" s="2" t="s">
        <v>28</v>
      </c>
      <c r="H754" s="2" t="s">
        <v>21</v>
      </c>
      <c r="I754" s="2">
        <v>65</v>
      </c>
      <c r="J754" s="2">
        <v>105</v>
      </c>
      <c r="K754" s="2">
        <v>23617.38</v>
      </c>
      <c r="L754" s="2">
        <v>245.25</v>
      </c>
      <c r="M754" s="2">
        <v>9.2899999999999991</v>
      </c>
      <c r="N754" s="2" t="s">
        <v>22</v>
      </c>
      <c r="O754" s="2">
        <v>3</v>
      </c>
    </row>
    <row r="755" spans="1:15" x14ac:dyDescent="0.3">
      <c r="A755" s="2" t="s">
        <v>812</v>
      </c>
      <c r="B755" s="1">
        <v>46231</v>
      </c>
      <c r="C755" s="2" t="s">
        <v>54</v>
      </c>
      <c r="D755" s="2" t="s">
        <v>60</v>
      </c>
      <c r="E755" s="2" t="s">
        <v>38</v>
      </c>
      <c r="F755" s="2" t="s">
        <v>68</v>
      </c>
      <c r="G755" s="2" t="s">
        <v>64</v>
      </c>
      <c r="H755" s="2" t="s">
        <v>56</v>
      </c>
      <c r="I755" s="2">
        <v>26</v>
      </c>
      <c r="J755" s="2">
        <v>1</v>
      </c>
      <c r="K755" s="2">
        <v>34439.760000000002</v>
      </c>
      <c r="L755" s="2">
        <v>386.42</v>
      </c>
      <c r="M755" s="2">
        <v>2.75</v>
      </c>
      <c r="N755" s="2" t="s">
        <v>30</v>
      </c>
      <c r="O755" s="2">
        <v>4</v>
      </c>
    </row>
    <row r="756" spans="1:15" x14ac:dyDescent="0.3">
      <c r="A756" s="2" t="s">
        <v>813</v>
      </c>
      <c r="B756" s="1">
        <v>46211</v>
      </c>
      <c r="C756" s="2" t="s">
        <v>54</v>
      </c>
      <c r="D756" s="2" t="s">
        <v>82</v>
      </c>
      <c r="E756" s="2" t="s">
        <v>45</v>
      </c>
      <c r="F756" s="2" t="s">
        <v>19</v>
      </c>
      <c r="G756" s="2" t="s">
        <v>35</v>
      </c>
      <c r="H756" s="2" t="s">
        <v>56</v>
      </c>
      <c r="I756" s="2">
        <v>26</v>
      </c>
      <c r="J756" s="2">
        <v>61</v>
      </c>
      <c r="K756" s="2">
        <v>11700.73</v>
      </c>
      <c r="L756" s="2">
        <v>499.89</v>
      </c>
      <c r="M756" s="2">
        <v>184.28</v>
      </c>
      <c r="N756" s="2" t="s">
        <v>22</v>
      </c>
      <c r="O756" s="2">
        <v>2</v>
      </c>
    </row>
    <row r="757" spans="1:15" x14ac:dyDescent="0.3">
      <c r="A757" s="2" t="s">
        <v>814</v>
      </c>
      <c r="B757" s="1">
        <v>46208</v>
      </c>
      <c r="C757" s="2" t="s">
        <v>74</v>
      </c>
      <c r="D757" s="2" t="s">
        <v>47</v>
      </c>
      <c r="E757" s="2" t="s">
        <v>18</v>
      </c>
      <c r="F757" s="2" t="s">
        <v>27</v>
      </c>
      <c r="G757" s="2" t="s">
        <v>55</v>
      </c>
      <c r="H757" s="2" t="s">
        <v>52</v>
      </c>
      <c r="I757" s="2">
        <v>64</v>
      </c>
      <c r="J757" s="2">
        <v>14</v>
      </c>
      <c r="K757" s="2">
        <v>7024.44</v>
      </c>
      <c r="L757" s="2">
        <v>376.22</v>
      </c>
      <c r="M757" s="2">
        <v>25.72</v>
      </c>
      <c r="N757" s="2" t="s">
        <v>22</v>
      </c>
      <c r="O757" s="2">
        <v>2</v>
      </c>
    </row>
    <row r="758" spans="1:15" x14ac:dyDescent="0.3">
      <c r="A758" s="2" t="s">
        <v>815</v>
      </c>
      <c r="B758" s="1">
        <v>46180</v>
      </c>
      <c r="C758" s="2" t="s">
        <v>54</v>
      </c>
      <c r="D758" s="2" t="s">
        <v>47</v>
      </c>
      <c r="E758" s="2" t="s">
        <v>38</v>
      </c>
      <c r="F758" s="2" t="s">
        <v>34</v>
      </c>
      <c r="G758" s="2" t="s">
        <v>64</v>
      </c>
      <c r="H758" s="2" t="s">
        <v>56</v>
      </c>
      <c r="I758" s="2">
        <v>28</v>
      </c>
      <c r="J758" s="2">
        <v>52</v>
      </c>
      <c r="K758" s="2">
        <v>44408.62</v>
      </c>
      <c r="L758" s="2">
        <v>101.38</v>
      </c>
      <c r="M758" s="2">
        <v>89.16</v>
      </c>
      <c r="N758" s="2" t="s">
        <v>22</v>
      </c>
      <c r="O758" s="2">
        <v>1</v>
      </c>
    </row>
    <row r="759" spans="1:15" x14ac:dyDescent="0.3">
      <c r="A759" s="2" t="s">
        <v>816</v>
      </c>
      <c r="B759" s="1">
        <v>46217</v>
      </c>
      <c r="C759" s="2" t="s">
        <v>41</v>
      </c>
      <c r="D759" s="2" t="s">
        <v>44</v>
      </c>
      <c r="E759" s="2" t="s">
        <v>26</v>
      </c>
      <c r="F759" s="2" t="s">
        <v>34</v>
      </c>
      <c r="G759" s="2" t="s">
        <v>64</v>
      </c>
      <c r="H759" s="2" t="s">
        <v>21</v>
      </c>
      <c r="I759" s="2">
        <v>44</v>
      </c>
      <c r="J759" s="2">
        <v>96</v>
      </c>
      <c r="K759" s="2">
        <v>14113.73</v>
      </c>
      <c r="L759" s="2">
        <v>283.24</v>
      </c>
      <c r="M759" s="2">
        <v>163.07</v>
      </c>
      <c r="N759" s="2" t="s">
        <v>30</v>
      </c>
      <c r="O759" s="2">
        <v>5</v>
      </c>
    </row>
    <row r="760" spans="1:15" x14ac:dyDescent="0.3">
      <c r="A760" s="2" t="s">
        <v>817</v>
      </c>
      <c r="B760" s="1">
        <v>45976</v>
      </c>
      <c r="C760" s="2" t="s">
        <v>90</v>
      </c>
      <c r="D760" s="2" t="s">
        <v>17</v>
      </c>
      <c r="E760" s="2" t="s">
        <v>18</v>
      </c>
      <c r="F760" s="2" t="s">
        <v>68</v>
      </c>
      <c r="G760" s="2" t="s">
        <v>55</v>
      </c>
      <c r="H760" s="2" t="s">
        <v>21</v>
      </c>
      <c r="I760" s="2">
        <v>42</v>
      </c>
      <c r="J760" s="2">
        <v>6</v>
      </c>
      <c r="K760" s="2">
        <v>11568.82</v>
      </c>
      <c r="L760" s="2">
        <v>314.31</v>
      </c>
      <c r="M760" s="2">
        <v>177.86</v>
      </c>
      <c r="N760" s="2" t="s">
        <v>22</v>
      </c>
      <c r="O760" s="2">
        <v>5</v>
      </c>
    </row>
    <row r="761" spans="1:15" x14ac:dyDescent="0.3">
      <c r="A761" s="2" t="s">
        <v>818</v>
      </c>
      <c r="B761" s="1">
        <v>46209</v>
      </c>
      <c r="C761" s="2" t="s">
        <v>16</v>
      </c>
      <c r="D761" s="2" t="s">
        <v>44</v>
      </c>
      <c r="E761" s="2" t="s">
        <v>45</v>
      </c>
      <c r="F761" s="2" t="s">
        <v>34</v>
      </c>
      <c r="G761" s="2" t="s">
        <v>35</v>
      </c>
      <c r="H761" s="2" t="s">
        <v>29</v>
      </c>
      <c r="I761" s="2">
        <v>39</v>
      </c>
      <c r="J761" s="2">
        <v>103</v>
      </c>
      <c r="K761" s="2">
        <v>42926.3</v>
      </c>
      <c r="L761" s="2">
        <v>128.38999999999999</v>
      </c>
      <c r="M761" s="2">
        <v>155.82</v>
      </c>
      <c r="N761" s="2" t="s">
        <v>22</v>
      </c>
      <c r="O761" s="2">
        <v>4</v>
      </c>
    </row>
    <row r="762" spans="1:15" x14ac:dyDescent="0.3">
      <c r="A762" s="2" t="s">
        <v>819</v>
      </c>
      <c r="B762" s="1">
        <v>46164</v>
      </c>
      <c r="C762" s="2" t="s">
        <v>24</v>
      </c>
      <c r="D762" s="2" t="s">
        <v>60</v>
      </c>
      <c r="E762" s="2" t="s">
        <v>38</v>
      </c>
      <c r="F762" s="2" t="s">
        <v>68</v>
      </c>
      <c r="G762" s="2" t="s">
        <v>20</v>
      </c>
      <c r="H762" s="2" t="s">
        <v>21</v>
      </c>
      <c r="I762" s="2">
        <v>57</v>
      </c>
      <c r="J762" s="2">
        <v>10</v>
      </c>
      <c r="K762" s="2">
        <v>40946.800000000003</v>
      </c>
      <c r="L762" s="2">
        <v>483.3</v>
      </c>
      <c r="M762" s="2">
        <v>113.01</v>
      </c>
      <c r="N762" s="2" t="s">
        <v>30</v>
      </c>
      <c r="O762" s="2">
        <v>3</v>
      </c>
    </row>
    <row r="763" spans="1:15" x14ac:dyDescent="0.3">
      <c r="A763" s="2" t="s">
        <v>820</v>
      </c>
      <c r="B763" s="1">
        <v>46121</v>
      </c>
      <c r="C763" s="2" t="s">
        <v>54</v>
      </c>
      <c r="D763" s="2" t="s">
        <v>25</v>
      </c>
      <c r="E763" s="2" t="s">
        <v>26</v>
      </c>
      <c r="F763" s="2" t="s">
        <v>19</v>
      </c>
      <c r="G763" s="2" t="s">
        <v>55</v>
      </c>
      <c r="H763" s="2" t="s">
        <v>29</v>
      </c>
      <c r="I763" s="2">
        <v>38</v>
      </c>
      <c r="J763" s="2">
        <v>71</v>
      </c>
      <c r="K763" s="2">
        <v>22693.15</v>
      </c>
      <c r="L763" s="2">
        <v>129.01</v>
      </c>
      <c r="M763" s="2">
        <v>200.91</v>
      </c>
      <c r="N763" s="2" t="s">
        <v>30</v>
      </c>
      <c r="O763" s="2">
        <v>3</v>
      </c>
    </row>
    <row r="764" spans="1:15" x14ac:dyDescent="0.3">
      <c r="A764" s="2" t="s">
        <v>821</v>
      </c>
      <c r="B764" s="1">
        <v>45900</v>
      </c>
      <c r="C764" s="2" t="s">
        <v>32</v>
      </c>
      <c r="D764" s="2" t="s">
        <v>86</v>
      </c>
      <c r="E764" s="2" t="s">
        <v>18</v>
      </c>
      <c r="F764" s="2" t="s">
        <v>27</v>
      </c>
      <c r="G764" s="2" t="s">
        <v>55</v>
      </c>
      <c r="H764" s="2" t="s">
        <v>56</v>
      </c>
      <c r="I764" s="2">
        <v>51</v>
      </c>
      <c r="J764" s="2">
        <v>90</v>
      </c>
      <c r="K764" s="2">
        <v>24717.32</v>
      </c>
      <c r="L764" s="2">
        <v>129.9</v>
      </c>
      <c r="M764" s="2">
        <v>192.28</v>
      </c>
      <c r="N764" s="2" t="s">
        <v>30</v>
      </c>
      <c r="O764" s="2">
        <v>1</v>
      </c>
    </row>
    <row r="765" spans="1:15" x14ac:dyDescent="0.3">
      <c r="A765" s="2" t="s">
        <v>822</v>
      </c>
      <c r="B765" s="1">
        <v>45966</v>
      </c>
      <c r="C765" s="2" t="s">
        <v>54</v>
      </c>
      <c r="D765" s="2" t="s">
        <v>67</v>
      </c>
      <c r="E765" s="2" t="s">
        <v>26</v>
      </c>
      <c r="F765" s="2" t="s">
        <v>19</v>
      </c>
      <c r="G765" s="2" t="s">
        <v>55</v>
      </c>
      <c r="H765" s="2" t="s">
        <v>21</v>
      </c>
      <c r="I765" s="2">
        <v>57</v>
      </c>
      <c r="J765" s="2">
        <v>98</v>
      </c>
      <c r="K765" s="2">
        <v>11278.56</v>
      </c>
      <c r="L765" s="2">
        <v>461.83</v>
      </c>
      <c r="M765" s="2">
        <v>120.53</v>
      </c>
      <c r="N765" s="2" t="s">
        <v>22</v>
      </c>
      <c r="O765" s="2">
        <v>2</v>
      </c>
    </row>
    <row r="766" spans="1:15" x14ac:dyDescent="0.3">
      <c r="A766" s="2" t="s">
        <v>823</v>
      </c>
      <c r="B766" s="1">
        <v>45985</v>
      </c>
      <c r="C766" s="2" t="s">
        <v>32</v>
      </c>
      <c r="D766" s="2" t="s">
        <v>86</v>
      </c>
      <c r="E766" s="2" t="s">
        <v>45</v>
      </c>
      <c r="F766" s="2" t="s">
        <v>39</v>
      </c>
      <c r="G766" s="2" t="s">
        <v>64</v>
      </c>
      <c r="H766" s="2" t="s">
        <v>56</v>
      </c>
      <c r="I766" s="2">
        <v>50</v>
      </c>
      <c r="J766" s="2">
        <v>30</v>
      </c>
      <c r="K766" s="2">
        <v>4375.93</v>
      </c>
      <c r="L766" s="2">
        <v>259.33999999999997</v>
      </c>
      <c r="M766" s="2">
        <v>111.9</v>
      </c>
      <c r="N766" s="2" t="s">
        <v>30</v>
      </c>
      <c r="O766" s="2">
        <v>1</v>
      </c>
    </row>
    <row r="767" spans="1:15" x14ac:dyDescent="0.3">
      <c r="A767" s="2" t="s">
        <v>824</v>
      </c>
      <c r="B767" s="1">
        <v>45956</v>
      </c>
      <c r="C767" s="2" t="s">
        <v>41</v>
      </c>
      <c r="D767" s="2" t="s">
        <v>76</v>
      </c>
      <c r="E767" s="2" t="s">
        <v>26</v>
      </c>
      <c r="F767" s="2" t="s">
        <v>39</v>
      </c>
      <c r="G767" s="2" t="s">
        <v>28</v>
      </c>
      <c r="H767" s="2" t="s">
        <v>21</v>
      </c>
      <c r="I767" s="2">
        <v>62</v>
      </c>
      <c r="J767" s="2">
        <v>100</v>
      </c>
      <c r="K767" s="2">
        <v>28884.880000000001</v>
      </c>
      <c r="L767" s="2">
        <v>78.430000000000007</v>
      </c>
      <c r="M767" s="2">
        <v>2.91</v>
      </c>
      <c r="N767" s="2" t="s">
        <v>22</v>
      </c>
      <c r="O767" s="2">
        <v>5</v>
      </c>
    </row>
    <row r="768" spans="1:15" x14ac:dyDescent="0.3">
      <c r="A768" s="2" t="s">
        <v>825</v>
      </c>
      <c r="B768" s="1">
        <v>46229</v>
      </c>
      <c r="C768" s="2" t="s">
        <v>32</v>
      </c>
      <c r="D768" s="2" t="s">
        <v>86</v>
      </c>
      <c r="E768" s="2" t="s">
        <v>58</v>
      </c>
      <c r="F768" s="2" t="s">
        <v>39</v>
      </c>
      <c r="G768" s="2" t="s">
        <v>20</v>
      </c>
      <c r="H768" s="2" t="s">
        <v>21</v>
      </c>
      <c r="I768" s="2">
        <v>53</v>
      </c>
      <c r="J768" s="2">
        <v>21</v>
      </c>
      <c r="K768" s="2">
        <v>5368.07</v>
      </c>
      <c r="L768" s="2">
        <v>319.18</v>
      </c>
      <c r="M768" s="2">
        <v>16.190000000000001</v>
      </c>
      <c r="N768" s="2" t="s">
        <v>30</v>
      </c>
      <c r="O768" s="2">
        <v>2</v>
      </c>
    </row>
    <row r="769" spans="1:15" x14ac:dyDescent="0.3">
      <c r="A769" s="2" t="s">
        <v>826</v>
      </c>
      <c r="B769" s="1">
        <v>46134</v>
      </c>
      <c r="C769" s="2" t="s">
        <v>43</v>
      </c>
      <c r="D769" s="2" t="s">
        <v>33</v>
      </c>
      <c r="E769" s="2" t="s">
        <v>18</v>
      </c>
      <c r="F769" s="2" t="s">
        <v>19</v>
      </c>
      <c r="G769" s="2" t="s">
        <v>35</v>
      </c>
      <c r="H769" s="2" t="s">
        <v>29</v>
      </c>
      <c r="I769" s="2">
        <v>30</v>
      </c>
      <c r="J769" s="2">
        <v>60</v>
      </c>
      <c r="K769" s="2">
        <v>22739.09</v>
      </c>
      <c r="L769" s="2">
        <v>320.82</v>
      </c>
      <c r="M769" s="2">
        <v>173.14</v>
      </c>
      <c r="N769" s="2" t="s">
        <v>22</v>
      </c>
      <c r="O769" s="2">
        <v>1</v>
      </c>
    </row>
    <row r="770" spans="1:15" x14ac:dyDescent="0.3">
      <c r="A770" s="2" t="s">
        <v>827</v>
      </c>
      <c r="B770" s="1">
        <v>46018</v>
      </c>
      <c r="C770" s="2" t="s">
        <v>24</v>
      </c>
      <c r="D770" s="2" t="s">
        <v>86</v>
      </c>
      <c r="E770" s="2" t="s">
        <v>26</v>
      </c>
      <c r="F770" s="2" t="s">
        <v>34</v>
      </c>
      <c r="G770" s="2" t="s">
        <v>35</v>
      </c>
      <c r="H770" s="2" t="s">
        <v>56</v>
      </c>
      <c r="I770" s="2">
        <v>57</v>
      </c>
      <c r="J770" s="2">
        <v>81</v>
      </c>
      <c r="K770" s="2">
        <v>47054.61</v>
      </c>
      <c r="L770" s="2">
        <v>79.03</v>
      </c>
      <c r="M770" s="2">
        <v>187.25</v>
      </c>
      <c r="N770" s="2" t="s">
        <v>30</v>
      </c>
      <c r="O770" s="2">
        <v>4</v>
      </c>
    </row>
    <row r="771" spans="1:15" x14ac:dyDescent="0.3">
      <c r="A771" s="2" t="s">
        <v>828</v>
      </c>
      <c r="B771" s="1">
        <v>45999</v>
      </c>
      <c r="C771" s="2" t="s">
        <v>90</v>
      </c>
      <c r="D771" s="2" t="s">
        <v>44</v>
      </c>
      <c r="E771" s="2" t="s">
        <v>45</v>
      </c>
      <c r="F771" s="2" t="s">
        <v>27</v>
      </c>
      <c r="G771" s="2" t="s">
        <v>28</v>
      </c>
      <c r="H771" s="2" t="s">
        <v>21</v>
      </c>
      <c r="I771" s="2">
        <v>32</v>
      </c>
      <c r="J771" s="2">
        <v>97</v>
      </c>
      <c r="K771" s="2">
        <v>47665.3</v>
      </c>
      <c r="L771" s="2">
        <v>487.64</v>
      </c>
      <c r="M771" s="2">
        <v>173.34</v>
      </c>
      <c r="N771" s="2" t="s">
        <v>30</v>
      </c>
      <c r="O771" s="2">
        <v>5</v>
      </c>
    </row>
    <row r="772" spans="1:15" x14ac:dyDescent="0.3">
      <c r="A772" s="2" t="s">
        <v>829</v>
      </c>
      <c r="B772" s="1">
        <v>46035</v>
      </c>
      <c r="C772" s="2" t="s">
        <v>32</v>
      </c>
      <c r="D772" s="2" t="s">
        <v>62</v>
      </c>
      <c r="E772" s="2" t="s">
        <v>45</v>
      </c>
      <c r="F772" s="2" t="s">
        <v>39</v>
      </c>
      <c r="G772" s="2" t="s">
        <v>55</v>
      </c>
      <c r="H772" s="2" t="s">
        <v>52</v>
      </c>
      <c r="I772" s="2">
        <v>74</v>
      </c>
      <c r="J772" s="2">
        <v>74</v>
      </c>
      <c r="K772" s="2">
        <v>12346.95</v>
      </c>
      <c r="L772" s="2">
        <v>294.81</v>
      </c>
      <c r="M772" s="2">
        <v>196.52</v>
      </c>
      <c r="N772" s="2" t="s">
        <v>30</v>
      </c>
      <c r="O772" s="2">
        <v>3</v>
      </c>
    </row>
    <row r="773" spans="1:15" x14ac:dyDescent="0.3">
      <c r="A773" s="2" t="s">
        <v>830</v>
      </c>
      <c r="B773" s="1">
        <v>46181</v>
      </c>
      <c r="C773" s="2" t="s">
        <v>32</v>
      </c>
      <c r="D773" s="2" t="s">
        <v>49</v>
      </c>
      <c r="E773" s="2" t="s">
        <v>26</v>
      </c>
      <c r="F773" s="2" t="s">
        <v>39</v>
      </c>
      <c r="G773" s="2" t="s">
        <v>20</v>
      </c>
      <c r="H773" s="2" t="s">
        <v>56</v>
      </c>
      <c r="I773" s="2">
        <v>50</v>
      </c>
      <c r="J773" s="2">
        <v>115</v>
      </c>
      <c r="K773" s="2">
        <v>31393.61</v>
      </c>
      <c r="L773" s="2">
        <v>301.91000000000003</v>
      </c>
      <c r="M773" s="2">
        <v>105.57</v>
      </c>
      <c r="N773" s="2" t="s">
        <v>30</v>
      </c>
      <c r="O773" s="2">
        <v>1</v>
      </c>
    </row>
    <row r="774" spans="1:15" x14ac:dyDescent="0.3">
      <c r="A774" s="2" t="s">
        <v>831</v>
      </c>
      <c r="B774" s="1">
        <v>45892</v>
      </c>
      <c r="C774" s="2" t="s">
        <v>90</v>
      </c>
      <c r="D774" s="2" t="s">
        <v>62</v>
      </c>
      <c r="E774" s="2" t="s">
        <v>45</v>
      </c>
      <c r="F774" s="2" t="s">
        <v>39</v>
      </c>
      <c r="G774" s="2" t="s">
        <v>35</v>
      </c>
      <c r="H774" s="2" t="s">
        <v>56</v>
      </c>
      <c r="I774" s="2">
        <v>47</v>
      </c>
      <c r="J774" s="2">
        <v>63</v>
      </c>
      <c r="K774" s="2">
        <v>23966.78</v>
      </c>
      <c r="L774" s="2">
        <v>284.05</v>
      </c>
      <c r="M774" s="2">
        <v>157.59</v>
      </c>
      <c r="N774" s="2" t="s">
        <v>30</v>
      </c>
      <c r="O774" s="2">
        <v>5</v>
      </c>
    </row>
    <row r="775" spans="1:15" x14ac:dyDescent="0.3">
      <c r="A775" s="2" t="s">
        <v>832</v>
      </c>
      <c r="B775" s="1">
        <v>46099</v>
      </c>
      <c r="C775" s="2" t="s">
        <v>24</v>
      </c>
      <c r="D775" s="2" t="s">
        <v>47</v>
      </c>
      <c r="E775" s="2" t="s">
        <v>38</v>
      </c>
      <c r="F775" s="2" t="s">
        <v>27</v>
      </c>
      <c r="G775" s="2" t="s">
        <v>35</v>
      </c>
      <c r="H775" s="2" t="s">
        <v>56</v>
      </c>
      <c r="I775" s="2">
        <v>59</v>
      </c>
      <c r="J775" s="2">
        <v>111</v>
      </c>
      <c r="K775" s="2">
        <v>43846.41</v>
      </c>
      <c r="L775" s="2">
        <v>324.83</v>
      </c>
      <c r="M775" s="2">
        <v>168.08</v>
      </c>
      <c r="N775" s="2" t="s">
        <v>30</v>
      </c>
      <c r="O775" s="2">
        <v>5</v>
      </c>
    </row>
    <row r="776" spans="1:15" x14ac:dyDescent="0.3">
      <c r="A776" s="2" t="s">
        <v>833</v>
      </c>
      <c r="B776" s="1">
        <v>45973</v>
      </c>
      <c r="C776" s="2" t="s">
        <v>54</v>
      </c>
      <c r="D776" s="2" t="s">
        <v>49</v>
      </c>
      <c r="E776" s="2" t="s">
        <v>38</v>
      </c>
      <c r="F776" s="2" t="s">
        <v>39</v>
      </c>
      <c r="G776" s="2" t="s">
        <v>55</v>
      </c>
      <c r="H776" s="2" t="s">
        <v>29</v>
      </c>
      <c r="I776" s="2">
        <v>29</v>
      </c>
      <c r="J776" s="2">
        <v>42</v>
      </c>
      <c r="K776" s="2">
        <v>13935.83</v>
      </c>
      <c r="L776" s="2">
        <v>168.93</v>
      </c>
      <c r="M776" s="2">
        <v>194.42</v>
      </c>
      <c r="N776" s="2" t="s">
        <v>30</v>
      </c>
      <c r="O776" s="2">
        <v>3</v>
      </c>
    </row>
    <row r="777" spans="1:15" x14ac:dyDescent="0.3">
      <c r="A777" s="2" t="s">
        <v>834</v>
      </c>
      <c r="B777" s="1">
        <v>46181</v>
      </c>
      <c r="C777" s="2" t="s">
        <v>32</v>
      </c>
      <c r="D777" s="2" t="s">
        <v>51</v>
      </c>
      <c r="E777" s="2" t="s">
        <v>38</v>
      </c>
      <c r="F777" s="2" t="s">
        <v>27</v>
      </c>
      <c r="G777" s="2" t="s">
        <v>28</v>
      </c>
      <c r="H777" s="2" t="s">
        <v>52</v>
      </c>
      <c r="I777" s="2">
        <v>74</v>
      </c>
      <c r="J777" s="2">
        <v>51</v>
      </c>
      <c r="K777" s="2">
        <v>683.27</v>
      </c>
      <c r="L777" s="2">
        <v>179.26</v>
      </c>
      <c r="M777" s="2">
        <v>67.75</v>
      </c>
      <c r="N777" s="2" t="s">
        <v>22</v>
      </c>
      <c r="O777" s="2">
        <v>3</v>
      </c>
    </row>
    <row r="778" spans="1:15" x14ac:dyDescent="0.3">
      <c r="A778" s="2" t="s">
        <v>835</v>
      </c>
      <c r="B778" s="1">
        <v>46219</v>
      </c>
      <c r="C778" s="2" t="s">
        <v>90</v>
      </c>
      <c r="D778" s="2" t="s">
        <v>67</v>
      </c>
      <c r="E778" s="2" t="s">
        <v>58</v>
      </c>
      <c r="F778" s="2" t="s">
        <v>39</v>
      </c>
      <c r="G778" s="2" t="s">
        <v>20</v>
      </c>
      <c r="H778" s="2" t="s">
        <v>56</v>
      </c>
      <c r="I778" s="2">
        <v>41</v>
      </c>
      <c r="J778" s="2">
        <v>64</v>
      </c>
      <c r="K778" s="2">
        <v>8546.7800000000007</v>
      </c>
      <c r="L778" s="2">
        <v>280.10000000000002</v>
      </c>
      <c r="M778" s="2">
        <v>94</v>
      </c>
      <c r="N778" s="2" t="s">
        <v>22</v>
      </c>
      <c r="O778" s="2">
        <v>3</v>
      </c>
    </row>
    <row r="779" spans="1:15" x14ac:dyDescent="0.3">
      <c r="A779" s="2" t="s">
        <v>836</v>
      </c>
      <c r="B779" s="1">
        <v>45910</v>
      </c>
      <c r="C779" s="2" t="s">
        <v>43</v>
      </c>
      <c r="D779" s="2" t="s">
        <v>67</v>
      </c>
      <c r="E779" s="2" t="s">
        <v>26</v>
      </c>
      <c r="F779" s="2" t="s">
        <v>19</v>
      </c>
      <c r="G779" s="2" t="s">
        <v>28</v>
      </c>
      <c r="H779" s="2" t="s">
        <v>21</v>
      </c>
      <c r="I779" s="2">
        <v>32</v>
      </c>
      <c r="J779" s="2">
        <v>76</v>
      </c>
      <c r="K779" s="2">
        <v>17801.38</v>
      </c>
      <c r="L779" s="2">
        <v>413.01</v>
      </c>
      <c r="M779" s="2">
        <v>171.58</v>
      </c>
      <c r="N779" s="2" t="s">
        <v>30</v>
      </c>
      <c r="O779" s="2">
        <v>1</v>
      </c>
    </row>
    <row r="780" spans="1:15" x14ac:dyDescent="0.3">
      <c r="A780" s="2" t="s">
        <v>837</v>
      </c>
      <c r="B780" s="1">
        <v>45910</v>
      </c>
      <c r="C780" s="2" t="s">
        <v>43</v>
      </c>
      <c r="D780" s="2" t="s">
        <v>33</v>
      </c>
      <c r="E780" s="2" t="s">
        <v>58</v>
      </c>
      <c r="F780" s="2" t="s">
        <v>19</v>
      </c>
      <c r="G780" s="2" t="s">
        <v>28</v>
      </c>
      <c r="H780" s="2" t="s">
        <v>21</v>
      </c>
      <c r="I780" s="2">
        <v>49</v>
      </c>
      <c r="J780" s="2">
        <v>56</v>
      </c>
      <c r="K780" s="2">
        <v>16128.2</v>
      </c>
      <c r="L780" s="2">
        <v>72.44</v>
      </c>
      <c r="M780" s="2">
        <v>59.71</v>
      </c>
      <c r="N780" s="2" t="s">
        <v>30</v>
      </c>
      <c r="O780" s="2">
        <v>3</v>
      </c>
    </row>
    <row r="781" spans="1:15" x14ac:dyDescent="0.3">
      <c r="A781" s="2" t="s">
        <v>838</v>
      </c>
      <c r="B781" s="1">
        <v>46178</v>
      </c>
      <c r="C781" s="2" t="s">
        <v>41</v>
      </c>
      <c r="D781" s="2" t="s">
        <v>25</v>
      </c>
      <c r="E781" s="2" t="s">
        <v>45</v>
      </c>
      <c r="F781" s="2" t="s">
        <v>27</v>
      </c>
      <c r="G781" s="2" t="s">
        <v>20</v>
      </c>
      <c r="H781" s="2" t="s">
        <v>29</v>
      </c>
      <c r="I781" s="2">
        <v>53</v>
      </c>
      <c r="J781" s="2">
        <v>80</v>
      </c>
      <c r="K781" s="2">
        <v>39672.46</v>
      </c>
      <c r="L781" s="2">
        <v>321.52999999999997</v>
      </c>
      <c r="M781" s="2">
        <v>277.12</v>
      </c>
      <c r="N781" s="2" t="s">
        <v>30</v>
      </c>
      <c r="O781" s="2">
        <v>4</v>
      </c>
    </row>
    <row r="782" spans="1:15" x14ac:dyDescent="0.3">
      <c r="A782" s="2" t="s">
        <v>839</v>
      </c>
      <c r="B782" s="1">
        <v>46041</v>
      </c>
      <c r="C782" s="2" t="s">
        <v>90</v>
      </c>
      <c r="D782" s="2" t="s">
        <v>44</v>
      </c>
      <c r="E782" s="2" t="s">
        <v>58</v>
      </c>
      <c r="F782" s="2" t="s">
        <v>19</v>
      </c>
      <c r="G782" s="2" t="s">
        <v>20</v>
      </c>
      <c r="H782" s="2" t="s">
        <v>21</v>
      </c>
      <c r="I782" s="2">
        <v>63</v>
      </c>
      <c r="J782" s="2">
        <v>41</v>
      </c>
      <c r="K782" s="2">
        <v>34187.75</v>
      </c>
      <c r="L782" s="2">
        <v>413.05</v>
      </c>
      <c r="M782" s="2">
        <v>45.96</v>
      </c>
      <c r="N782" s="2" t="s">
        <v>22</v>
      </c>
      <c r="O782" s="2">
        <v>5</v>
      </c>
    </row>
    <row r="783" spans="1:15" x14ac:dyDescent="0.3">
      <c r="A783" s="2" t="s">
        <v>840</v>
      </c>
      <c r="B783" s="1">
        <v>46126</v>
      </c>
      <c r="C783" s="2" t="s">
        <v>41</v>
      </c>
      <c r="D783" s="2" t="s">
        <v>47</v>
      </c>
      <c r="E783" s="2" t="s">
        <v>45</v>
      </c>
      <c r="F783" s="2" t="s">
        <v>27</v>
      </c>
      <c r="G783" s="2" t="s">
        <v>35</v>
      </c>
      <c r="H783" s="2" t="s">
        <v>56</v>
      </c>
      <c r="I783" s="2">
        <v>73</v>
      </c>
      <c r="J783" s="2">
        <v>32</v>
      </c>
      <c r="K783" s="2">
        <v>15328.04</v>
      </c>
      <c r="L783" s="2">
        <v>120.61</v>
      </c>
      <c r="M783" s="2">
        <v>149.9</v>
      </c>
      <c r="N783" s="2" t="s">
        <v>30</v>
      </c>
      <c r="O783" s="2">
        <v>3</v>
      </c>
    </row>
    <row r="784" spans="1:15" x14ac:dyDescent="0.3">
      <c r="A784" s="2" t="s">
        <v>841</v>
      </c>
      <c r="B784" s="1">
        <v>46050</v>
      </c>
      <c r="C784" s="2" t="s">
        <v>43</v>
      </c>
      <c r="D784" s="2" t="s">
        <v>82</v>
      </c>
      <c r="E784" s="2" t="s">
        <v>45</v>
      </c>
      <c r="F784" s="2" t="s">
        <v>19</v>
      </c>
      <c r="G784" s="2" t="s">
        <v>35</v>
      </c>
      <c r="H784" s="2" t="s">
        <v>21</v>
      </c>
      <c r="I784" s="2">
        <v>35</v>
      </c>
      <c r="J784" s="2">
        <v>15</v>
      </c>
      <c r="K784" s="2">
        <v>23158.32</v>
      </c>
      <c r="L784" s="2">
        <v>56.76</v>
      </c>
      <c r="M784" s="2">
        <v>126.11</v>
      </c>
      <c r="N784" s="2" t="s">
        <v>30</v>
      </c>
      <c r="O784" s="2">
        <v>5</v>
      </c>
    </row>
    <row r="785" spans="1:15" x14ac:dyDescent="0.3">
      <c r="A785" s="2" t="s">
        <v>842</v>
      </c>
      <c r="B785" s="1">
        <v>46197</v>
      </c>
      <c r="C785" s="2" t="s">
        <v>24</v>
      </c>
      <c r="D785" s="2" t="s">
        <v>76</v>
      </c>
      <c r="E785" s="2" t="s">
        <v>18</v>
      </c>
      <c r="F785" s="2" t="s">
        <v>19</v>
      </c>
      <c r="G785" s="2" t="s">
        <v>20</v>
      </c>
      <c r="H785" s="2" t="s">
        <v>56</v>
      </c>
      <c r="I785" s="2">
        <v>22</v>
      </c>
      <c r="J785" s="2">
        <v>62</v>
      </c>
      <c r="K785" s="2">
        <v>5230.18</v>
      </c>
      <c r="L785" s="2">
        <v>190.72</v>
      </c>
      <c r="M785" s="2">
        <v>149.91999999999999</v>
      </c>
      <c r="N785" s="2" t="s">
        <v>30</v>
      </c>
      <c r="O785" s="2">
        <v>2</v>
      </c>
    </row>
    <row r="786" spans="1:15" x14ac:dyDescent="0.3">
      <c r="A786" s="2" t="s">
        <v>843</v>
      </c>
      <c r="B786" s="1">
        <v>45969</v>
      </c>
      <c r="C786" s="2" t="s">
        <v>54</v>
      </c>
      <c r="D786" s="2" t="s">
        <v>25</v>
      </c>
      <c r="E786" s="2" t="s">
        <v>38</v>
      </c>
      <c r="F786" s="2" t="s">
        <v>27</v>
      </c>
      <c r="G786" s="2" t="s">
        <v>64</v>
      </c>
      <c r="H786" s="2" t="s">
        <v>21</v>
      </c>
      <c r="I786" s="2">
        <v>72</v>
      </c>
      <c r="J786" s="2">
        <v>27</v>
      </c>
      <c r="K786" s="2">
        <v>44958.25</v>
      </c>
      <c r="L786" s="2">
        <v>314.66000000000003</v>
      </c>
      <c r="M786" s="2">
        <v>87.47</v>
      </c>
      <c r="N786" s="2" t="s">
        <v>22</v>
      </c>
      <c r="O786" s="2">
        <v>2</v>
      </c>
    </row>
    <row r="787" spans="1:15" x14ac:dyDescent="0.3">
      <c r="A787" s="2" t="s">
        <v>844</v>
      </c>
      <c r="B787" s="1">
        <v>45937</v>
      </c>
      <c r="C787" s="2" t="s">
        <v>90</v>
      </c>
      <c r="D787" s="2" t="s">
        <v>67</v>
      </c>
      <c r="E787" s="2" t="s">
        <v>45</v>
      </c>
      <c r="F787" s="2" t="s">
        <v>34</v>
      </c>
      <c r="G787" s="2" t="s">
        <v>35</v>
      </c>
      <c r="H787" s="2" t="s">
        <v>52</v>
      </c>
      <c r="I787" s="2">
        <v>59</v>
      </c>
      <c r="J787" s="2">
        <v>28</v>
      </c>
      <c r="K787" s="2">
        <v>46803.53</v>
      </c>
      <c r="L787" s="2">
        <v>112.23</v>
      </c>
      <c r="M787" s="2">
        <v>186.53</v>
      </c>
      <c r="N787" s="2" t="s">
        <v>30</v>
      </c>
      <c r="O787" s="2">
        <v>3</v>
      </c>
    </row>
    <row r="788" spans="1:15" x14ac:dyDescent="0.3">
      <c r="A788" s="2" t="s">
        <v>845</v>
      </c>
      <c r="B788" s="1">
        <v>46123</v>
      </c>
      <c r="C788" s="2" t="s">
        <v>16</v>
      </c>
      <c r="D788" s="2" t="s">
        <v>62</v>
      </c>
      <c r="E788" s="2" t="s">
        <v>18</v>
      </c>
      <c r="F788" s="2" t="s">
        <v>19</v>
      </c>
      <c r="G788" s="2" t="s">
        <v>64</v>
      </c>
      <c r="H788" s="2" t="s">
        <v>29</v>
      </c>
      <c r="I788" s="2">
        <v>73</v>
      </c>
      <c r="J788" s="2">
        <v>81</v>
      </c>
      <c r="K788" s="2">
        <v>49000.28</v>
      </c>
      <c r="L788" s="2">
        <v>241.76</v>
      </c>
      <c r="M788" s="2">
        <v>189.74</v>
      </c>
      <c r="N788" s="2" t="s">
        <v>22</v>
      </c>
      <c r="O788" s="2">
        <v>5</v>
      </c>
    </row>
    <row r="789" spans="1:15" x14ac:dyDescent="0.3">
      <c r="A789" s="2" t="s">
        <v>846</v>
      </c>
      <c r="B789" s="1">
        <v>46130</v>
      </c>
      <c r="C789" s="2" t="s">
        <v>43</v>
      </c>
      <c r="D789" s="2" t="s">
        <v>86</v>
      </c>
      <c r="E789" s="2" t="s">
        <v>38</v>
      </c>
      <c r="F789" s="2" t="s">
        <v>39</v>
      </c>
      <c r="G789" s="2" t="s">
        <v>20</v>
      </c>
      <c r="H789" s="2" t="s">
        <v>29</v>
      </c>
      <c r="I789" s="2">
        <v>64</v>
      </c>
      <c r="J789" s="2">
        <v>64</v>
      </c>
      <c r="K789" s="2">
        <v>43493.37</v>
      </c>
      <c r="L789" s="2">
        <v>298.54000000000002</v>
      </c>
      <c r="M789" s="2">
        <v>86.49</v>
      </c>
      <c r="N789" s="2" t="s">
        <v>30</v>
      </c>
      <c r="O789" s="2">
        <v>2</v>
      </c>
    </row>
    <row r="790" spans="1:15" x14ac:dyDescent="0.3">
      <c r="A790" s="2" t="s">
        <v>847</v>
      </c>
      <c r="B790" s="1">
        <v>46186</v>
      </c>
      <c r="C790" s="2" t="s">
        <v>43</v>
      </c>
      <c r="D790" s="2" t="s">
        <v>86</v>
      </c>
      <c r="E790" s="2" t="s">
        <v>45</v>
      </c>
      <c r="F790" s="2" t="s">
        <v>34</v>
      </c>
      <c r="G790" s="2" t="s">
        <v>35</v>
      </c>
      <c r="H790" s="2" t="s">
        <v>52</v>
      </c>
      <c r="I790" s="2">
        <v>74</v>
      </c>
      <c r="J790" s="2">
        <v>110</v>
      </c>
      <c r="K790" s="2">
        <v>9111.06</v>
      </c>
      <c r="L790" s="2">
        <v>319.5</v>
      </c>
      <c r="M790" s="2">
        <v>127.69</v>
      </c>
      <c r="N790" s="2" t="s">
        <v>30</v>
      </c>
      <c r="O790" s="2">
        <v>3</v>
      </c>
    </row>
    <row r="791" spans="1:15" x14ac:dyDescent="0.3">
      <c r="A791" s="2" t="s">
        <v>848</v>
      </c>
      <c r="B791" s="1">
        <v>46123</v>
      </c>
      <c r="C791" s="2" t="s">
        <v>16</v>
      </c>
      <c r="D791" s="2" t="s">
        <v>51</v>
      </c>
      <c r="E791" s="2" t="s">
        <v>45</v>
      </c>
      <c r="F791" s="2" t="s">
        <v>27</v>
      </c>
      <c r="G791" s="2" t="s">
        <v>28</v>
      </c>
      <c r="H791" s="2" t="s">
        <v>52</v>
      </c>
      <c r="I791" s="2">
        <v>38</v>
      </c>
      <c r="J791" s="2">
        <v>59</v>
      </c>
      <c r="K791" s="2">
        <v>2786.73</v>
      </c>
      <c r="L791" s="2">
        <v>173.49</v>
      </c>
      <c r="M791" s="2">
        <v>57.36</v>
      </c>
      <c r="N791" s="2" t="s">
        <v>30</v>
      </c>
      <c r="O791" s="2">
        <v>5</v>
      </c>
    </row>
    <row r="792" spans="1:15" x14ac:dyDescent="0.3">
      <c r="A792" s="2" t="s">
        <v>849</v>
      </c>
      <c r="B792" s="1">
        <v>45912</v>
      </c>
      <c r="C792" s="2" t="s">
        <v>74</v>
      </c>
      <c r="D792" s="2" t="s">
        <v>47</v>
      </c>
      <c r="E792" s="2" t="s">
        <v>58</v>
      </c>
      <c r="F792" s="2" t="s">
        <v>34</v>
      </c>
      <c r="G792" s="2" t="s">
        <v>20</v>
      </c>
      <c r="H792" s="2" t="s">
        <v>29</v>
      </c>
      <c r="I792" s="2">
        <v>23</v>
      </c>
      <c r="J792" s="2">
        <v>114</v>
      </c>
      <c r="K792" s="2">
        <v>29190.04</v>
      </c>
      <c r="L792" s="2">
        <v>230.01</v>
      </c>
      <c r="M792" s="2">
        <v>88.1</v>
      </c>
      <c r="N792" s="2" t="s">
        <v>30</v>
      </c>
      <c r="O792" s="2">
        <v>3</v>
      </c>
    </row>
    <row r="793" spans="1:15" x14ac:dyDescent="0.3">
      <c r="A793" s="2" t="s">
        <v>850</v>
      </c>
      <c r="B793" s="1">
        <v>46064</v>
      </c>
      <c r="C793" s="2" t="s">
        <v>43</v>
      </c>
      <c r="D793" s="2" t="s">
        <v>44</v>
      </c>
      <c r="E793" s="2" t="s">
        <v>58</v>
      </c>
      <c r="F793" s="2" t="s">
        <v>68</v>
      </c>
      <c r="G793" s="2" t="s">
        <v>55</v>
      </c>
      <c r="H793" s="2" t="s">
        <v>52</v>
      </c>
      <c r="I793" s="2">
        <v>27</v>
      </c>
      <c r="J793" s="2">
        <v>58</v>
      </c>
      <c r="K793" s="2">
        <v>45673.95</v>
      </c>
      <c r="L793" s="2">
        <v>400.25</v>
      </c>
      <c r="M793" s="2">
        <v>79.92</v>
      </c>
      <c r="N793" s="2" t="s">
        <v>30</v>
      </c>
      <c r="O793" s="2">
        <v>5</v>
      </c>
    </row>
    <row r="794" spans="1:15" x14ac:dyDescent="0.3">
      <c r="A794" s="2" t="s">
        <v>851</v>
      </c>
      <c r="B794" s="1">
        <v>46149</v>
      </c>
      <c r="C794" s="2" t="s">
        <v>32</v>
      </c>
      <c r="D794" s="2" t="s">
        <v>44</v>
      </c>
      <c r="E794" s="2" t="s">
        <v>38</v>
      </c>
      <c r="F794" s="2" t="s">
        <v>68</v>
      </c>
      <c r="G794" s="2" t="s">
        <v>64</v>
      </c>
      <c r="H794" s="2" t="s">
        <v>56</v>
      </c>
      <c r="I794" s="2">
        <v>63</v>
      </c>
      <c r="J794" s="2">
        <v>2</v>
      </c>
      <c r="K794" s="2">
        <v>9278.89</v>
      </c>
      <c r="L794" s="2">
        <v>473.55</v>
      </c>
      <c r="M794" s="2">
        <v>170.49</v>
      </c>
      <c r="N794" s="2" t="s">
        <v>30</v>
      </c>
      <c r="O794" s="2">
        <v>2</v>
      </c>
    </row>
    <row r="795" spans="1:15" x14ac:dyDescent="0.3">
      <c r="A795" s="2" t="s">
        <v>852</v>
      </c>
      <c r="B795" s="1">
        <v>46061</v>
      </c>
      <c r="C795" s="2" t="s">
        <v>24</v>
      </c>
      <c r="D795" s="2" t="s">
        <v>17</v>
      </c>
      <c r="E795" s="2" t="s">
        <v>45</v>
      </c>
      <c r="F795" s="2" t="s">
        <v>19</v>
      </c>
      <c r="G795" s="2" t="s">
        <v>20</v>
      </c>
      <c r="H795" s="2" t="s">
        <v>21</v>
      </c>
      <c r="I795" s="2">
        <v>38</v>
      </c>
      <c r="J795" s="2">
        <v>36</v>
      </c>
      <c r="K795" s="2">
        <v>848.62</v>
      </c>
      <c r="L795" s="2">
        <v>437.85</v>
      </c>
      <c r="M795" s="2">
        <v>100.06</v>
      </c>
      <c r="N795" s="2" t="s">
        <v>30</v>
      </c>
      <c r="O795" s="2">
        <v>3</v>
      </c>
    </row>
    <row r="796" spans="1:15" x14ac:dyDescent="0.3">
      <c r="A796" s="2" t="s">
        <v>853</v>
      </c>
      <c r="B796" s="1">
        <v>45978</v>
      </c>
      <c r="C796" s="2" t="s">
        <v>90</v>
      </c>
      <c r="D796" s="2" t="s">
        <v>60</v>
      </c>
      <c r="E796" s="2" t="s">
        <v>26</v>
      </c>
      <c r="F796" s="2" t="s">
        <v>19</v>
      </c>
      <c r="G796" s="2" t="s">
        <v>20</v>
      </c>
      <c r="H796" s="2" t="s">
        <v>29</v>
      </c>
      <c r="I796" s="2">
        <v>64</v>
      </c>
      <c r="J796" s="2">
        <v>114</v>
      </c>
      <c r="K796" s="2">
        <v>40372.050000000003</v>
      </c>
      <c r="L796" s="2">
        <v>303.93</v>
      </c>
      <c r="M796" s="2">
        <v>203.67</v>
      </c>
      <c r="N796" s="2" t="s">
        <v>30</v>
      </c>
      <c r="O796" s="2">
        <v>2</v>
      </c>
    </row>
    <row r="797" spans="1:15" x14ac:dyDescent="0.3">
      <c r="A797" s="2" t="s">
        <v>854</v>
      </c>
      <c r="B797" s="1">
        <v>46102</v>
      </c>
      <c r="C797" s="2" t="s">
        <v>16</v>
      </c>
      <c r="D797" s="2" t="s">
        <v>37</v>
      </c>
      <c r="E797" s="2" t="s">
        <v>58</v>
      </c>
      <c r="F797" s="2" t="s">
        <v>39</v>
      </c>
      <c r="G797" s="2" t="s">
        <v>35</v>
      </c>
      <c r="H797" s="2" t="s">
        <v>52</v>
      </c>
      <c r="I797" s="2">
        <v>58</v>
      </c>
      <c r="J797" s="2">
        <v>71</v>
      </c>
      <c r="K797" s="2">
        <v>4301.3900000000003</v>
      </c>
      <c r="L797" s="2">
        <v>234.63</v>
      </c>
      <c r="M797" s="2">
        <v>78.39</v>
      </c>
      <c r="N797" s="2" t="s">
        <v>30</v>
      </c>
      <c r="O797" s="2">
        <v>3</v>
      </c>
    </row>
    <row r="798" spans="1:15" x14ac:dyDescent="0.3">
      <c r="A798" s="2" t="s">
        <v>855</v>
      </c>
      <c r="B798" s="1">
        <v>45920</v>
      </c>
      <c r="C798" s="2" t="s">
        <v>32</v>
      </c>
      <c r="D798" s="2" t="s">
        <v>67</v>
      </c>
      <c r="E798" s="2" t="s">
        <v>38</v>
      </c>
      <c r="F798" s="2" t="s">
        <v>34</v>
      </c>
      <c r="G798" s="2" t="s">
        <v>35</v>
      </c>
      <c r="H798" s="2" t="s">
        <v>56</v>
      </c>
      <c r="I798" s="2">
        <v>57</v>
      </c>
      <c r="J798" s="2">
        <v>13</v>
      </c>
      <c r="K798" s="2">
        <v>20978.45</v>
      </c>
      <c r="L798" s="2">
        <v>199.83</v>
      </c>
      <c r="M798" s="2">
        <v>52.72</v>
      </c>
      <c r="N798" s="2" t="s">
        <v>22</v>
      </c>
      <c r="O798" s="2">
        <v>1</v>
      </c>
    </row>
    <row r="799" spans="1:15" x14ac:dyDescent="0.3">
      <c r="A799" s="2" t="s">
        <v>856</v>
      </c>
      <c r="B799" s="1">
        <v>46144</v>
      </c>
      <c r="C799" s="2" t="s">
        <v>16</v>
      </c>
      <c r="D799" s="2" t="s">
        <v>44</v>
      </c>
      <c r="E799" s="2" t="s">
        <v>45</v>
      </c>
      <c r="F799" s="2" t="s">
        <v>68</v>
      </c>
      <c r="G799" s="2" t="s">
        <v>35</v>
      </c>
      <c r="H799" s="2" t="s">
        <v>29</v>
      </c>
      <c r="I799" s="2">
        <v>53</v>
      </c>
      <c r="J799" s="2">
        <v>15</v>
      </c>
      <c r="K799" s="2">
        <v>34104.92</v>
      </c>
      <c r="L799" s="2">
        <v>106.23</v>
      </c>
      <c r="M799" s="2">
        <v>286.39999999999998</v>
      </c>
      <c r="N799" s="2" t="s">
        <v>30</v>
      </c>
      <c r="O799" s="2">
        <v>2</v>
      </c>
    </row>
    <row r="800" spans="1:15" x14ac:dyDescent="0.3">
      <c r="A800" s="2" t="s">
        <v>857</v>
      </c>
      <c r="B800" s="1">
        <v>46059</v>
      </c>
      <c r="C800" s="2" t="s">
        <v>90</v>
      </c>
      <c r="D800" s="2" t="s">
        <v>51</v>
      </c>
      <c r="E800" s="2" t="s">
        <v>45</v>
      </c>
      <c r="F800" s="2" t="s">
        <v>19</v>
      </c>
      <c r="G800" s="2" t="s">
        <v>55</v>
      </c>
      <c r="H800" s="2" t="s">
        <v>52</v>
      </c>
      <c r="I800" s="2">
        <v>64</v>
      </c>
      <c r="J800" s="2">
        <v>89</v>
      </c>
      <c r="K800" s="2">
        <v>12221.48</v>
      </c>
      <c r="L800" s="2">
        <v>97.95</v>
      </c>
      <c r="M800" s="2">
        <v>120.72</v>
      </c>
      <c r="N800" s="2" t="s">
        <v>30</v>
      </c>
      <c r="O800" s="2">
        <v>2</v>
      </c>
    </row>
    <row r="801" spans="1:15" x14ac:dyDescent="0.3">
      <c r="A801" s="2" t="s">
        <v>858</v>
      </c>
      <c r="B801" s="1">
        <v>46068</v>
      </c>
      <c r="C801" s="2" t="s">
        <v>41</v>
      </c>
      <c r="D801" s="2" t="s">
        <v>62</v>
      </c>
      <c r="E801" s="2" t="s">
        <v>26</v>
      </c>
      <c r="F801" s="2" t="s">
        <v>34</v>
      </c>
      <c r="G801" s="2" t="s">
        <v>35</v>
      </c>
      <c r="H801" s="2" t="s">
        <v>29</v>
      </c>
      <c r="I801" s="2">
        <v>51</v>
      </c>
      <c r="J801" s="2">
        <v>87</v>
      </c>
      <c r="K801" s="2">
        <v>4656.1499999999996</v>
      </c>
      <c r="L801" s="2">
        <v>359.76</v>
      </c>
      <c r="M801" s="2">
        <v>280.18</v>
      </c>
      <c r="N801" s="2" t="s">
        <v>30</v>
      </c>
      <c r="O801" s="2">
        <v>4</v>
      </c>
    </row>
    <row r="802" spans="1:15" x14ac:dyDescent="0.3">
      <c r="A802" s="2" t="s">
        <v>859</v>
      </c>
      <c r="B802" s="1">
        <v>45943</v>
      </c>
      <c r="C802" s="2" t="s">
        <v>90</v>
      </c>
      <c r="D802" s="2" t="s">
        <v>47</v>
      </c>
      <c r="E802" s="2" t="s">
        <v>38</v>
      </c>
      <c r="F802" s="2" t="s">
        <v>19</v>
      </c>
      <c r="G802" s="2" t="s">
        <v>20</v>
      </c>
      <c r="H802" s="2" t="s">
        <v>52</v>
      </c>
      <c r="I802" s="2">
        <v>31</v>
      </c>
      <c r="J802" s="2">
        <v>60</v>
      </c>
      <c r="K802" s="2">
        <v>38616.050000000003</v>
      </c>
      <c r="L802" s="2">
        <v>166.91</v>
      </c>
      <c r="M802" s="2">
        <v>40.68</v>
      </c>
      <c r="N802" s="2" t="s">
        <v>30</v>
      </c>
      <c r="O802" s="2">
        <v>2</v>
      </c>
    </row>
    <row r="803" spans="1:15" x14ac:dyDescent="0.3">
      <c r="A803" s="2" t="s">
        <v>860</v>
      </c>
      <c r="B803" s="1">
        <v>45966</v>
      </c>
      <c r="C803" s="2" t="s">
        <v>74</v>
      </c>
      <c r="D803" s="2" t="s">
        <v>76</v>
      </c>
      <c r="E803" s="2" t="s">
        <v>45</v>
      </c>
      <c r="F803" s="2" t="s">
        <v>19</v>
      </c>
      <c r="G803" s="2" t="s">
        <v>35</v>
      </c>
      <c r="H803" s="2" t="s">
        <v>29</v>
      </c>
      <c r="I803" s="2">
        <v>24</v>
      </c>
      <c r="J803" s="2">
        <v>22</v>
      </c>
      <c r="K803" s="2">
        <v>31693.67</v>
      </c>
      <c r="L803" s="2">
        <v>164.6</v>
      </c>
      <c r="M803" s="2">
        <v>44.07</v>
      </c>
      <c r="N803" s="2" t="s">
        <v>30</v>
      </c>
      <c r="O803" s="2">
        <v>5</v>
      </c>
    </row>
    <row r="804" spans="1:15" x14ac:dyDescent="0.3">
      <c r="A804" s="2" t="s">
        <v>861</v>
      </c>
      <c r="B804" s="1">
        <v>46182</v>
      </c>
      <c r="C804" s="2" t="s">
        <v>90</v>
      </c>
      <c r="D804" s="2" t="s">
        <v>17</v>
      </c>
      <c r="E804" s="2" t="s">
        <v>58</v>
      </c>
      <c r="F804" s="2" t="s">
        <v>68</v>
      </c>
      <c r="G804" s="2" t="s">
        <v>28</v>
      </c>
      <c r="H804" s="2" t="s">
        <v>56</v>
      </c>
      <c r="I804" s="2">
        <v>38</v>
      </c>
      <c r="J804" s="2">
        <v>63</v>
      </c>
      <c r="K804" s="2">
        <v>49430.28</v>
      </c>
      <c r="L804" s="2">
        <v>499.19</v>
      </c>
      <c r="M804" s="2">
        <v>171.16</v>
      </c>
      <c r="N804" s="2" t="s">
        <v>30</v>
      </c>
      <c r="O804" s="2">
        <v>3</v>
      </c>
    </row>
    <row r="805" spans="1:15" x14ac:dyDescent="0.3">
      <c r="A805" s="2" t="s">
        <v>862</v>
      </c>
      <c r="B805" s="1">
        <v>45899</v>
      </c>
      <c r="C805" s="2" t="s">
        <v>90</v>
      </c>
      <c r="D805" s="2" t="s">
        <v>51</v>
      </c>
      <c r="E805" s="2" t="s">
        <v>26</v>
      </c>
      <c r="F805" s="2" t="s">
        <v>68</v>
      </c>
      <c r="G805" s="2" t="s">
        <v>35</v>
      </c>
      <c r="H805" s="2" t="s">
        <v>56</v>
      </c>
      <c r="I805" s="2">
        <v>24</v>
      </c>
      <c r="J805" s="2">
        <v>90</v>
      </c>
      <c r="K805" s="2">
        <v>17543.25</v>
      </c>
      <c r="L805" s="2">
        <v>134.57</v>
      </c>
      <c r="M805" s="2">
        <v>136.18</v>
      </c>
      <c r="N805" s="2" t="s">
        <v>30</v>
      </c>
      <c r="O805" s="2">
        <v>1</v>
      </c>
    </row>
    <row r="806" spans="1:15" x14ac:dyDescent="0.3">
      <c r="A806" s="2" t="s">
        <v>863</v>
      </c>
      <c r="B806" s="1">
        <v>46173</v>
      </c>
      <c r="C806" s="2" t="s">
        <v>74</v>
      </c>
      <c r="D806" s="2" t="s">
        <v>78</v>
      </c>
      <c r="E806" s="2" t="s">
        <v>38</v>
      </c>
      <c r="F806" s="2" t="s">
        <v>19</v>
      </c>
      <c r="G806" s="2" t="s">
        <v>55</v>
      </c>
      <c r="H806" s="2" t="s">
        <v>21</v>
      </c>
      <c r="I806" s="2">
        <v>69</v>
      </c>
      <c r="J806" s="2">
        <v>97</v>
      </c>
      <c r="K806" s="2">
        <v>3557.24</v>
      </c>
      <c r="L806" s="2">
        <v>116.63</v>
      </c>
      <c r="M806" s="2">
        <v>37.32</v>
      </c>
      <c r="N806" s="2" t="s">
        <v>30</v>
      </c>
      <c r="O806" s="2">
        <v>5</v>
      </c>
    </row>
    <row r="807" spans="1:15" x14ac:dyDescent="0.3">
      <c r="A807" s="2" t="s">
        <v>864</v>
      </c>
      <c r="B807" s="1">
        <v>46058</v>
      </c>
      <c r="C807" s="2" t="s">
        <v>24</v>
      </c>
      <c r="D807" s="2" t="s">
        <v>33</v>
      </c>
      <c r="E807" s="2" t="s">
        <v>26</v>
      </c>
      <c r="F807" s="2" t="s">
        <v>27</v>
      </c>
      <c r="G807" s="2" t="s">
        <v>28</v>
      </c>
      <c r="H807" s="2" t="s">
        <v>29</v>
      </c>
      <c r="I807" s="2">
        <v>54</v>
      </c>
      <c r="J807" s="2">
        <v>75</v>
      </c>
      <c r="K807" s="2">
        <v>36850.33</v>
      </c>
      <c r="L807" s="2">
        <v>94.41</v>
      </c>
      <c r="M807" s="2">
        <v>80.8</v>
      </c>
      <c r="N807" s="2" t="s">
        <v>22</v>
      </c>
      <c r="O807" s="2">
        <v>5</v>
      </c>
    </row>
    <row r="808" spans="1:15" x14ac:dyDescent="0.3">
      <c r="A808" s="2" t="s">
        <v>865</v>
      </c>
      <c r="B808" s="1">
        <v>46215</v>
      </c>
      <c r="C808" s="2" t="s">
        <v>43</v>
      </c>
      <c r="D808" s="2" t="s">
        <v>76</v>
      </c>
      <c r="E808" s="2" t="s">
        <v>58</v>
      </c>
      <c r="F808" s="2" t="s">
        <v>19</v>
      </c>
      <c r="G808" s="2" t="s">
        <v>20</v>
      </c>
      <c r="H808" s="2" t="s">
        <v>21</v>
      </c>
      <c r="I808" s="2">
        <v>49</v>
      </c>
      <c r="J808" s="2">
        <v>74</v>
      </c>
      <c r="K808" s="2">
        <v>26325.8</v>
      </c>
      <c r="L808" s="2">
        <v>310.91000000000003</v>
      </c>
      <c r="M808" s="2">
        <v>160.13</v>
      </c>
      <c r="N808" s="2" t="s">
        <v>30</v>
      </c>
      <c r="O808" s="2">
        <v>5</v>
      </c>
    </row>
    <row r="809" spans="1:15" x14ac:dyDescent="0.3">
      <c r="A809" s="2" t="s">
        <v>866</v>
      </c>
      <c r="B809" s="1">
        <v>45972</v>
      </c>
      <c r="C809" s="2" t="s">
        <v>90</v>
      </c>
      <c r="D809" s="2" t="s">
        <v>60</v>
      </c>
      <c r="E809" s="2" t="s">
        <v>38</v>
      </c>
      <c r="F809" s="2" t="s">
        <v>19</v>
      </c>
      <c r="G809" s="2" t="s">
        <v>20</v>
      </c>
      <c r="H809" s="2" t="s">
        <v>29</v>
      </c>
      <c r="I809" s="2">
        <v>44</v>
      </c>
      <c r="J809" s="2">
        <v>25</v>
      </c>
      <c r="K809" s="2">
        <v>11053.59</v>
      </c>
      <c r="L809" s="2">
        <v>332.54</v>
      </c>
      <c r="M809" s="2">
        <v>136.16</v>
      </c>
      <c r="N809" s="2" t="s">
        <v>30</v>
      </c>
      <c r="O809" s="2">
        <v>5</v>
      </c>
    </row>
    <row r="810" spans="1:15" x14ac:dyDescent="0.3">
      <c r="A810" s="2" t="s">
        <v>867</v>
      </c>
      <c r="B810" s="1">
        <v>45896</v>
      </c>
      <c r="C810" s="2" t="s">
        <v>74</v>
      </c>
      <c r="D810" s="2" t="s">
        <v>78</v>
      </c>
      <c r="E810" s="2" t="s">
        <v>26</v>
      </c>
      <c r="F810" s="2" t="s">
        <v>39</v>
      </c>
      <c r="G810" s="2" t="s">
        <v>64</v>
      </c>
      <c r="H810" s="2" t="s">
        <v>52</v>
      </c>
      <c r="I810" s="2">
        <v>42</v>
      </c>
      <c r="J810" s="2">
        <v>101</v>
      </c>
      <c r="K810" s="2">
        <v>39195.58</v>
      </c>
      <c r="L810" s="2">
        <v>214.35</v>
      </c>
      <c r="M810" s="2">
        <v>134.11000000000001</v>
      </c>
      <c r="N810" s="2" t="s">
        <v>30</v>
      </c>
      <c r="O810" s="2">
        <v>1</v>
      </c>
    </row>
    <row r="811" spans="1:15" x14ac:dyDescent="0.3">
      <c r="A811" s="2" t="s">
        <v>868</v>
      </c>
      <c r="B811" s="1">
        <v>46183</v>
      </c>
      <c r="C811" s="2" t="s">
        <v>32</v>
      </c>
      <c r="D811" s="2" t="s">
        <v>82</v>
      </c>
      <c r="E811" s="2" t="s">
        <v>18</v>
      </c>
      <c r="F811" s="2" t="s">
        <v>39</v>
      </c>
      <c r="G811" s="2" t="s">
        <v>28</v>
      </c>
      <c r="H811" s="2" t="s">
        <v>52</v>
      </c>
      <c r="I811" s="2">
        <v>22</v>
      </c>
      <c r="J811" s="2">
        <v>48</v>
      </c>
      <c r="K811" s="2">
        <v>10585.9</v>
      </c>
      <c r="L811" s="2">
        <v>290.94</v>
      </c>
      <c r="M811" s="2">
        <v>63.67</v>
      </c>
      <c r="N811" s="2" t="s">
        <v>30</v>
      </c>
      <c r="O811" s="2">
        <v>4</v>
      </c>
    </row>
    <row r="812" spans="1:15" x14ac:dyDescent="0.3">
      <c r="A812" s="2" t="s">
        <v>869</v>
      </c>
      <c r="B812" s="1">
        <v>46007</v>
      </c>
      <c r="C812" s="2" t="s">
        <v>41</v>
      </c>
      <c r="D812" s="2" t="s">
        <v>60</v>
      </c>
      <c r="E812" s="2" t="s">
        <v>58</v>
      </c>
      <c r="F812" s="2" t="s">
        <v>39</v>
      </c>
      <c r="G812" s="2" t="s">
        <v>64</v>
      </c>
      <c r="H812" s="2" t="s">
        <v>21</v>
      </c>
      <c r="I812" s="2">
        <v>64</v>
      </c>
      <c r="J812" s="2">
        <v>43</v>
      </c>
      <c r="K812" s="2">
        <v>13402.75</v>
      </c>
      <c r="L812" s="2">
        <v>404.78</v>
      </c>
      <c r="M812" s="2">
        <v>76.25</v>
      </c>
      <c r="N812" s="2" t="s">
        <v>22</v>
      </c>
      <c r="O812" s="2">
        <v>2</v>
      </c>
    </row>
    <row r="813" spans="1:15" x14ac:dyDescent="0.3">
      <c r="A813" s="2" t="s">
        <v>870</v>
      </c>
      <c r="B813" s="1">
        <v>46054</v>
      </c>
      <c r="C813" s="2" t="s">
        <v>41</v>
      </c>
      <c r="D813" s="2" t="s">
        <v>86</v>
      </c>
      <c r="E813" s="2" t="s">
        <v>58</v>
      </c>
      <c r="F813" s="2" t="s">
        <v>27</v>
      </c>
      <c r="G813" s="2" t="s">
        <v>28</v>
      </c>
      <c r="H813" s="2" t="s">
        <v>29</v>
      </c>
      <c r="I813" s="2">
        <v>26</v>
      </c>
      <c r="J813" s="2">
        <v>117</v>
      </c>
      <c r="K813" s="2">
        <v>5080.16</v>
      </c>
      <c r="L813" s="2">
        <v>418.15</v>
      </c>
      <c r="M813" s="2">
        <v>297.20999999999998</v>
      </c>
      <c r="N813" s="2" t="s">
        <v>30</v>
      </c>
      <c r="O813" s="2">
        <v>5</v>
      </c>
    </row>
    <row r="814" spans="1:15" x14ac:dyDescent="0.3">
      <c r="A814" s="2" t="s">
        <v>871</v>
      </c>
      <c r="B814" s="1">
        <v>45992</v>
      </c>
      <c r="C814" s="2" t="s">
        <v>90</v>
      </c>
      <c r="D814" s="2" t="s">
        <v>33</v>
      </c>
      <c r="E814" s="2" t="s">
        <v>58</v>
      </c>
      <c r="F814" s="2" t="s">
        <v>27</v>
      </c>
      <c r="G814" s="2" t="s">
        <v>28</v>
      </c>
      <c r="H814" s="2" t="s">
        <v>21</v>
      </c>
      <c r="I814" s="2">
        <v>62</v>
      </c>
      <c r="J814" s="2">
        <v>38</v>
      </c>
      <c r="K814" s="2">
        <v>20271.900000000001</v>
      </c>
      <c r="L814" s="2">
        <v>481.06</v>
      </c>
      <c r="M814" s="2">
        <v>49.52</v>
      </c>
      <c r="N814" s="2" t="s">
        <v>30</v>
      </c>
      <c r="O814" s="2">
        <v>2</v>
      </c>
    </row>
    <row r="815" spans="1:15" x14ac:dyDescent="0.3">
      <c r="A815" s="2" t="s">
        <v>872</v>
      </c>
      <c r="B815" s="1">
        <v>45989</v>
      </c>
      <c r="C815" s="2" t="s">
        <v>24</v>
      </c>
      <c r="D815" s="2" t="s">
        <v>67</v>
      </c>
      <c r="E815" s="2" t="s">
        <v>18</v>
      </c>
      <c r="F815" s="2" t="s">
        <v>19</v>
      </c>
      <c r="G815" s="2" t="s">
        <v>55</v>
      </c>
      <c r="H815" s="2" t="s">
        <v>56</v>
      </c>
      <c r="I815" s="2">
        <v>45</v>
      </c>
      <c r="J815" s="2">
        <v>41</v>
      </c>
      <c r="K815" s="2">
        <v>21237</v>
      </c>
      <c r="L815" s="2">
        <v>420.92</v>
      </c>
      <c r="M815" s="2">
        <v>101.29</v>
      </c>
      <c r="N815" s="2" t="s">
        <v>30</v>
      </c>
      <c r="O815" s="2">
        <v>2</v>
      </c>
    </row>
    <row r="816" spans="1:15" x14ac:dyDescent="0.3">
      <c r="A816" s="2" t="s">
        <v>873</v>
      </c>
      <c r="B816" s="1">
        <v>45928</v>
      </c>
      <c r="C816" s="2" t="s">
        <v>24</v>
      </c>
      <c r="D816" s="2" t="s">
        <v>62</v>
      </c>
      <c r="E816" s="2" t="s">
        <v>18</v>
      </c>
      <c r="F816" s="2" t="s">
        <v>39</v>
      </c>
      <c r="G816" s="2" t="s">
        <v>64</v>
      </c>
      <c r="H816" s="2" t="s">
        <v>21</v>
      </c>
      <c r="I816" s="2">
        <v>41</v>
      </c>
      <c r="J816" s="2">
        <v>45</v>
      </c>
      <c r="K816" s="2">
        <v>25970.81</v>
      </c>
      <c r="L816" s="2">
        <v>304.18</v>
      </c>
      <c r="M816" s="2">
        <v>168.88</v>
      </c>
      <c r="N816" s="2" t="s">
        <v>30</v>
      </c>
      <c r="O816" s="2">
        <v>5</v>
      </c>
    </row>
    <row r="817" spans="1:15" x14ac:dyDescent="0.3">
      <c r="A817" s="2" t="s">
        <v>874</v>
      </c>
      <c r="B817" s="1">
        <v>45896</v>
      </c>
      <c r="C817" s="2" t="s">
        <v>32</v>
      </c>
      <c r="D817" s="2" t="s">
        <v>33</v>
      </c>
      <c r="E817" s="2" t="s">
        <v>45</v>
      </c>
      <c r="F817" s="2" t="s">
        <v>27</v>
      </c>
      <c r="G817" s="2" t="s">
        <v>55</v>
      </c>
      <c r="H817" s="2" t="s">
        <v>21</v>
      </c>
      <c r="I817" s="2">
        <v>36</v>
      </c>
      <c r="J817" s="2">
        <v>88</v>
      </c>
      <c r="K817" s="2">
        <v>35593.730000000003</v>
      </c>
      <c r="L817" s="2">
        <v>130.85</v>
      </c>
      <c r="M817" s="2">
        <v>47.84</v>
      </c>
      <c r="N817" s="2" t="s">
        <v>22</v>
      </c>
      <c r="O817" s="2">
        <v>4</v>
      </c>
    </row>
    <row r="818" spans="1:15" x14ac:dyDescent="0.3">
      <c r="A818" s="2" t="s">
        <v>875</v>
      </c>
      <c r="B818" s="1">
        <v>46007</v>
      </c>
      <c r="C818" s="2" t="s">
        <v>90</v>
      </c>
      <c r="D818" s="2" t="s">
        <v>60</v>
      </c>
      <c r="E818" s="2" t="s">
        <v>26</v>
      </c>
      <c r="F818" s="2" t="s">
        <v>68</v>
      </c>
      <c r="G818" s="2" t="s">
        <v>28</v>
      </c>
      <c r="H818" s="2" t="s">
        <v>52</v>
      </c>
      <c r="I818" s="2">
        <v>51</v>
      </c>
      <c r="J818" s="2">
        <v>40</v>
      </c>
      <c r="K818" s="2">
        <v>45352</v>
      </c>
      <c r="L818" s="2">
        <v>94.89</v>
      </c>
      <c r="M818" s="2">
        <v>83.04</v>
      </c>
      <c r="N818" s="2" t="s">
        <v>30</v>
      </c>
      <c r="O818" s="2">
        <v>2</v>
      </c>
    </row>
    <row r="819" spans="1:15" x14ac:dyDescent="0.3">
      <c r="A819" s="2" t="s">
        <v>876</v>
      </c>
      <c r="B819" s="1">
        <v>46068</v>
      </c>
      <c r="C819" s="2" t="s">
        <v>41</v>
      </c>
      <c r="D819" s="2" t="s">
        <v>37</v>
      </c>
      <c r="E819" s="2" t="s">
        <v>45</v>
      </c>
      <c r="F819" s="2" t="s">
        <v>19</v>
      </c>
      <c r="G819" s="2" t="s">
        <v>20</v>
      </c>
      <c r="H819" s="2" t="s">
        <v>21</v>
      </c>
      <c r="I819" s="2">
        <v>34</v>
      </c>
      <c r="J819" s="2">
        <v>110</v>
      </c>
      <c r="K819" s="2">
        <v>7317.84</v>
      </c>
      <c r="L819" s="2">
        <v>74.53</v>
      </c>
      <c r="M819" s="2">
        <v>123.02</v>
      </c>
      <c r="N819" s="2" t="s">
        <v>30</v>
      </c>
      <c r="O819" s="2">
        <v>3</v>
      </c>
    </row>
    <row r="820" spans="1:15" x14ac:dyDescent="0.3">
      <c r="A820" s="2" t="s">
        <v>877</v>
      </c>
      <c r="B820" s="1">
        <v>45926</v>
      </c>
      <c r="C820" s="2" t="s">
        <v>24</v>
      </c>
      <c r="D820" s="2" t="s">
        <v>78</v>
      </c>
      <c r="E820" s="2" t="s">
        <v>26</v>
      </c>
      <c r="F820" s="2" t="s">
        <v>34</v>
      </c>
      <c r="G820" s="2" t="s">
        <v>28</v>
      </c>
      <c r="H820" s="2" t="s">
        <v>29</v>
      </c>
      <c r="I820" s="2">
        <v>59</v>
      </c>
      <c r="J820" s="2">
        <v>97</v>
      </c>
      <c r="K820" s="2">
        <v>3190.23</v>
      </c>
      <c r="L820" s="2">
        <v>349.94</v>
      </c>
      <c r="M820" s="2">
        <v>144.36000000000001</v>
      </c>
      <c r="N820" s="2" t="s">
        <v>30</v>
      </c>
      <c r="O820" s="2">
        <v>2</v>
      </c>
    </row>
    <row r="821" spans="1:15" x14ac:dyDescent="0.3">
      <c r="A821" s="2" t="s">
        <v>878</v>
      </c>
      <c r="B821" s="1">
        <v>46068</v>
      </c>
      <c r="C821" s="2" t="s">
        <v>90</v>
      </c>
      <c r="D821" s="2" t="s">
        <v>67</v>
      </c>
      <c r="E821" s="2" t="s">
        <v>18</v>
      </c>
      <c r="F821" s="2" t="s">
        <v>19</v>
      </c>
      <c r="G821" s="2" t="s">
        <v>55</v>
      </c>
      <c r="H821" s="2" t="s">
        <v>52</v>
      </c>
      <c r="I821" s="2">
        <v>48</v>
      </c>
      <c r="J821" s="2">
        <v>17</v>
      </c>
      <c r="K821" s="2">
        <v>1417.3</v>
      </c>
      <c r="L821" s="2">
        <v>413.39</v>
      </c>
      <c r="M821" s="2">
        <v>91.9</v>
      </c>
      <c r="N821" s="2" t="s">
        <v>30</v>
      </c>
      <c r="O821" s="2">
        <v>5</v>
      </c>
    </row>
    <row r="822" spans="1:15" x14ac:dyDescent="0.3">
      <c r="A822" s="2" t="s">
        <v>879</v>
      </c>
      <c r="B822" s="1">
        <v>46073</v>
      </c>
      <c r="C822" s="2" t="s">
        <v>16</v>
      </c>
      <c r="D822" s="2" t="s">
        <v>49</v>
      </c>
      <c r="E822" s="2" t="s">
        <v>18</v>
      </c>
      <c r="F822" s="2" t="s">
        <v>34</v>
      </c>
      <c r="G822" s="2" t="s">
        <v>64</v>
      </c>
      <c r="H822" s="2" t="s">
        <v>21</v>
      </c>
      <c r="I822" s="2">
        <v>52</v>
      </c>
      <c r="J822" s="2">
        <v>88</v>
      </c>
      <c r="K822" s="2">
        <v>7609.26</v>
      </c>
      <c r="L822" s="2">
        <v>278.91000000000003</v>
      </c>
      <c r="M822" s="2">
        <v>72.5</v>
      </c>
      <c r="N822" s="2" t="s">
        <v>30</v>
      </c>
      <c r="O822" s="2">
        <v>1</v>
      </c>
    </row>
    <row r="823" spans="1:15" x14ac:dyDescent="0.3">
      <c r="A823" s="2" t="s">
        <v>880</v>
      </c>
      <c r="B823" s="1">
        <v>46103</v>
      </c>
      <c r="C823" s="2" t="s">
        <v>24</v>
      </c>
      <c r="D823" s="2" t="s">
        <v>37</v>
      </c>
      <c r="E823" s="2" t="s">
        <v>45</v>
      </c>
      <c r="F823" s="2" t="s">
        <v>39</v>
      </c>
      <c r="G823" s="2" t="s">
        <v>64</v>
      </c>
      <c r="H823" s="2" t="s">
        <v>56</v>
      </c>
      <c r="I823" s="2">
        <v>48</v>
      </c>
      <c r="J823" s="2">
        <v>101</v>
      </c>
      <c r="K823" s="2">
        <v>33068.5</v>
      </c>
      <c r="L823" s="2">
        <v>74.62</v>
      </c>
      <c r="M823" s="2">
        <v>117.33</v>
      </c>
      <c r="N823" s="2" t="s">
        <v>30</v>
      </c>
      <c r="O823" s="2">
        <v>2</v>
      </c>
    </row>
    <row r="824" spans="1:15" x14ac:dyDescent="0.3">
      <c r="A824" s="2" t="s">
        <v>881</v>
      </c>
      <c r="B824" s="1">
        <v>45905</v>
      </c>
      <c r="C824" s="2" t="s">
        <v>74</v>
      </c>
      <c r="D824" s="2" t="s">
        <v>86</v>
      </c>
      <c r="E824" s="2" t="s">
        <v>38</v>
      </c>
      <c r="F824" s="2" t="s">
        <v>34</v>
      </c>
      <c r="G824" s="2" t="s">
        <v>55</v>
      </c>
      <c r="H824" s="2" t="s">
        <v>21</v>
      </c>
      <c r="I824" s="2">
        <v>71</v>
      </c>
      <c r="J824" s="2">
        <v>57</v>
      </c>
      <c r="K824" s="2">
        <v>36510.120000000003</v>
      </c>
      <c r="L824" s="2">
        <v>290.95999999999998</v>
      </c>
      <c r="M824" s="2">
        <v>124.87</v>
      </c>
      <c r="N824" s="2" t="s">
        <v>22</v>
      </c>
      <c r="O824" s="2">
        <v>4</v>
      </c>
    </row>
    <row r="825" spans="1:15" x14ac:dyDescent="0.3">
      <c r="A825" s="2" t="s">
        <v>882</v>
      </c>
      <c r="B825" s="1">
        <v>45977</v>
      </c>
      <c r="C825" s="2" t="s">
        <v>16</v>
      </c>
      <c r="D825" s="2" t="s">
        <v>37</v>
      </c>
      <c r="E825" s="2" t="s">
        <v>45</v>
      </c>
      <c r="F825" s="2" t="s">
        <v>39</v>
      </c>
      <c r="G825" s="2" t="s">
        <v>64</v>
      </c>
      <c r="H825" s="2" t="s">
        <v>21</v>
      </c>
      <c r="I825" s="2">
        <v>69</v>
      </c>
      <c r="J825" s="2">
        <v>2</v>
      </c>
      <c r="K825" s="2">
        <v>39432.03</v>
      </c>
      <c r="L825" s="2">
        <v>471.09</v>
      </c>
      <c r="M825" s="2">
        <v>130.66</v>
      </c>
      <c r="N825" s="2" t="s">
        <v>30</v>
      </c>
      <c r="O825" s="2">
        <v>3</v>
      </c>
    </row>
    <row r="826" spans="1:15" x14ac:dyDescent="0.3">
      <c r="A826" s="2" t="s">
        <v>883</v>
      </c>
      <c r="B826" s="1">
        <v>45968</v>
      </c>
      <c r="C826" s="2" t="s">
        <v>43</v>
      </c>
      <c r="D826" s="2" t="s">
        <v>17</v>
      </c>
      <c r="E826" s="2" t="s">
        <v>26</v>
      </c>
      <c r="F826" s="2" t="s">
        <v>68</v>
      </c>
      <c r="G826" s="2" t="s">
        <v>35</v>
      </c>
      <c r="H826" s="2" t="s">
        <v>21</v>
      </c>
      <c r="I826" s="2">
        <v>29</v>
      </c>
      <c r="J826" s="2">
        <v>96</v>
      </c>
      <c r="K826" s="2">
        <v>12563.56</v>
      </c>
      <c r="L826" s="2">
        <v>318.93</v>
      </c>
      <c r="M826" s="2">
        <v>14.07</v>
      </c>
      <c r="N826" s="2" t="s">
        <v>30</v>
      </c>
      <c r="O826" s="2">
        <v>3</v>
      </c>
    </row>
    <row r="827" spans="1:15" x14ac:dyDescent="0.3">
      <c r="A827" s="2" t="s">
        <v>884</v>
      </c>
      <c r="B827" s="1">
        <v>45947</v>
      </c>
      <c r="C827" s="2" t="s">
        <v>24</v>
      </c>
      <c r="D827" s="2" t="s">
        <v>17</v>
      </c>
      <c r="E827" s="2" t="s">
        <v>45</v>
      </c>
      <c r="F827" s="2" t="s">
        <v>34</v>
      </c>
      <c r="G827" s="2" t="s">
        <v>20</v>
      </c>
      <c r="H827" s="2" t="s">
        <v>52</v>
      </c>
      <c r="I827" s="2">
        <v>65</v>
      </c>
      <c r="J827" s="2">
        <v>62</v>
      </c>
      <c r="K827" s="2">
        <v>15641.79</v>
      </c>
      <c r="L827" s="2">
        <v>414.24</v>
      </c>
      <c r="M827" s="2">
        <v>126.21</v>
      </c>
      <c r="N827" s="2" t="s">
        <v>30</v>
      </c>
      <c r="O827" s="2">
        <v>1</v>
      </c>
    </row>
    <row r="828" spans="1:15" x14ac:dyDescent="0.3">
      <c r="A828" s="2" t="s">
        <v>885</v>
      </c>
      <c r="B828" s="1">
        <v>45920</v>
      </c>
      <c r="C828" s="2" t="s">
        <v>41</v>
      </c>
      <c r="D828" s="2" t="s">
        <v>82</v>
      </c>
      <c r="E828" s="2" t="s">
        <v>58</v>
      </c>
      <c r="F828" s="2" t="s">
        <v>19</v>
      </c>
      <c r="G828" s="2" t="s">
        <v>20</v>
      </c>
      <c r="H828" s="2" t="s">
        <v>29</v>
      </c>
      <c r="I828" s="2">
        <v>42</v>
      </c>
      <c r="J828" s="2">
        <v>88</v>
      </c>
      <c r="K828" s="2">
        <v>24415.16</v>
      </c>
      <c r="L828" s="2">
        <v>410.07</v>
      </c>
      <c r="M828" s="2">
        <v>285.98</v>
      </c>
      <c r="N828" s="2" t="s">
        <v>30</v>
      </c>
      <c r="O828" s="2">
        <v>1</v>
      </c>
    </row>
    <row r="829" spans="1:15" x14ac:dyDescent="0.3">
      <c r="A829" s="2" t="s">
        <v>886</v>
      </c>
      <c r="B829" s="1">
        <v>45870</v>
      </c>
      <c r="C829" s="2" t="s">
        <v>54</v>
      </c>
      <c r="D829" s="2" t="s">
        <v>60</v>
      </c>
      <c r="E829" s="2" t="s">
        <v>26</v>
      </c>
      <c r="F829" s="2" t="s">
        <v>39</v>
      </c>
      <c r="G829" s="2" t="s">
        <v>20</v>
      </c>
      <c r="H829" s="2" t="s">
        <v>56</v>
      </c>
      <c r="I829" s="2">
        <v>52</v>
      </c>
      <c r="J829" s="2">
        <v>9</v>
      </c>
      <c r="K829" s="2">
        <v>3627.56</v>
      </c>
      <c r="L829" s="2">
        <v>469.46</v>
      </c>
      <c r="M829" s="2">
        <v>108.2</v>
      </c>
      <c r="N829" s="2" t="s">
        <v>30</v>
      </c>
      <c r="O829" s="2">
        <v>2</v>
      </c>
    </row>
    <row r="830" spans="1:15" x14ac:dyDescent="0.3">
      <c r="A830" s="2" t="s">
        <v>887</v>
      </c>
      <c r="B830" s="1">
        <v>46165</v>
      </c>
      <c r="C830" s="2" t="s">
        <v>16</v>
      </c>
      <c r="D830" s="2" t="s">
        <v>47</v>
      </c>
      <c r="E830" s="2" t="s">
        <v>26</v>
      </c>
      <c r="F830" s="2" t="s">
        <v>19</v>
      </c>
      <c r="G830" s="2" t="s">
        <v>64</v>
      </c>
      <c r="H830" s="2" t="s">
        <v>21</v>
      </c>
      <c r="I830" s="2">
        <v>25</v>
      </c>
      <c r="J830" s="2">
        <v>68</v>
      </c>
      <c r="K830" s="2">
        <v>30751.51</v>
      </c>
      <c r="L830" s="2">
        <v>396.6</v>
      </c>
      <c r="M830" s="2">
        <v>143.05000000000001</v>
      </c>
      <c r="N830" s="2" t="s">
        <v>22</v>
      </c>
      <c r="O830" s="2">
        <v>5</v>
      </c>
    </row>
    <row r="831" spans="1:15" x14ac:dyDescent="0.3">
      <c r="A831" s="2" t="s">
        <v>888</v>
      </c>
      <c r="B831" s="1">
        <v>46211</v>
      </c>
      <c r="C831" s="2" t="s">
        <v>43</v>
      </c>
      <c r="D831" s="2" t="s">
        <v>76</v>
      </c>
      <c r="E831" s="2" t="s">
        <v>38</v>
      </c>
      <c r="F831" s="2" t="s">
        <v>27</v>
      </c>
      <c r="G831" s="2" t="s">
        <v>64</v>
      </c>
      <c r="H831" s="2" t="s">
        <v>29</v>
      </c>
      <c r="I831" s="2">
        <v>43</v>
      </c>
      <c r="J831" s="2">
        <v>81</v>
      </c>
      <c r="K831" s="2">
        <v>49194.879999999997</v>
      </c>
      <c r="L831" s="2">
        <v>386.47</v>
      </c>
      <c r="M831" s="2">
        <v>167.02</v>
      </c>
      <c r="N831" s="2" t="s">
        <v>22</v>
      </c>
      <c r="O831" s="2">
        <v>4</v>
      </c>
    </row>
    <row r="832" spans="1:15" x14ac:dyDescent="0.3">
      <c r="A832" s="2" t="s">
        <v>889</v>
      </c>
      <c r="B832" s="1">
        <v>45883</v>
      </c>
      <c r="C832" s="2" t="s">
        <v>32</v>
      </c>
      <c r="D832" s="2" t="s">
        <v>76</v>
      </c>
      <c r="E832" s="2" t="s">
        <v>18</v>
      </c>
      <c r="F832" s="2" t="s">
        <v>39</v>
      </c>
      <c r="G832" s="2" t="s">
        <v>28</v>
      </c>
      <c r="H832" s="2" t="s">
        <v>29</v>
      </c>
      <c r="I832" s="2">
        <v>25</v>
      </c>
      <c r="J832" s="2">
        <v>17</v>
      </c>
      <c r="K832" s="2">
        <v>18359.91</v>
      </c>
      <c r="L832" s="2">
        <v>155.35</v>
      </c>
      <c r="M832" s="2">
        <v>256.42</v>
      </c>
      <c r="N832" s="2" t="s">
        <v>30</v>
      </c>
      <c r="O832" s="2">
        <v>3</v>
      </c>
    </row>
    <row r="833" spans="1:15" x14ac:dyDescent="0.3">
      <c r="A833" s="2" t="s">
        <v>890</v>
      </c>
      <c r="B833" s="1">
        <v>45974</v>
      </c>
      <c r="C833" s="2" t="s">
        <v>32</v>
      </c>
      <c r="D833" s="2" t="s">
        <v>49</v>
      </c>
      <c r="E833" s="2" t="s">
        <v>26</v>
      </c>
      <c r="F833" s="2" t="s">
        <v>34</v>
      </c>
      <c r="G833" s="2" t="s">
        <v>28</v>
      </c>
      <c r="H833" s="2" t="s">
        <v>52</v>
      </c>
      <c r="I833" s="2">
        <v>62</v>
      </c>
      <c r="J833" s="2">
        <v>117</v>
      </c>
      <c r="K833" s="2">
        <v>37765.949999999997</v>
      </c>
      <c r="L833" s="2">
        <v>76.97</v>
      </c>
      <c r="M833" s="2">
        <v>185.92</v>
      </c>
      <c r="N833" s="2" t="s">
        <v>30</v>
      </c>
      <c r="O833" s="2">
        <v>1</v>
      </c>
    </row>
    <row r="834" spans="1:15" x14ac:dyDescent="0.3">
      <c r="A834" s="2" t="s">
        <v>891</v>
      </c>
      <c r="B834" s="1">
        <v>46033</v>
      </c>
      <c r="C834" s="2" t="s">
        <v>41</v>
      </c>
      <c r="D834" s="2" t="s">
        <v>49</v>
      </c>
      <c r="E834" s="2" t="s">
        <v>18</v>
      </c>
      <c r="F834" s="2" t="s">
        <v>39</v>
      </c>
      <c r="G834" s="2" t="s">
        <v>20</v>
      </c>
      <c r="H834" s="2" t="s">
        <v>56</v>
      </c>
      <c r="I834" s="2">
        <v>73</v>
      </c>
      <c r="J834" s="2">
        <v>50</v>
      </c>
      <c r="K834" s="2">
        <v>25251.68</v>
      </c>
      <c r="L834" s="2">
        <v>282.92</v>
      </c>
      <c r="M834" s="2">
        <v>36.840000000000003</v>
      </c>
      <c r="N834" s="2" t="s">
        <v>30</v>
      </c>
      <c r="O834" s="2">
        <v>4</v>
      </c>
    </row>
    <row r="835" spans="1:15" x14ac:dyDescent="0.3">
      <c r="A835" s="2" t="s">
        <v>892</v>
      </c>
      <c r="B835" s="1">
        <v>46085</v>
      </c>
      <c r="C835" s="2" t="s">
        <v>24</v>
      </c>
      <c r="D835" s="2" t="s">
        <v>67</v>
      </c>
      <c r="E835" s="2" t="s">
        <v>45</v>
      </c>
      <c r="F835" s="2" t="s">
        <v>19</v>
      </c>
      <c r="G835" s="2" t="s">
        <v>35</v>
      </c>
      <c r="H835" s="2" t="s">
        <v>52</v>
      </c>
      <c r="I835" s="2">
        <v>52</v>
      </c>
      <c r="J835" s="2">
        <v>112</v>
      </c>
      <c r="K835" s="2">
        <v>6826.69</v>
      </c>
      <c r="L835" s="2">
        <v>106</v>
      </c>
      <c r="M835" s="2">
        <v>87.37</v>
      </c>
      <c r="N835" s="2" t="s">
        <v>30</v>
      </c>
      <c r="O835" s="2">
        <v>5</v>
      </c>
    </row>
    <row r="836" spans="1:15" x14ac:dyDescent="0.3">
      <c r="A836" s="2" t="s">
        <v>893</v>
      </c>
      <c r="B836" s="1">
        <v>45977</v>
      </c>
      <c r="C836" s="2" t="s">
        <v>90</v>
      </c>
      <c r="D836" s="2" t="s">
        <v>86</v>
      </c>
      <c r="E836" s="2" t="s">
        <v>58</v>
      </c>
      <c r="F836" s="2" t="s">
        <v>68</v>
      </c>
      <c r="G836" s="2" t="s">
        <v>28</v>
      </c>
      <c r="H836" s="2" t="s">
        <v>29</v>
      </c>
      <c r="I836" s="2">
        <v>30</v>
      </c>
      <c r="J836" s="2">
        <v>94</v>
      </c>
      <c r="K836" s="2">
        <v>29320.75</v>
      </c>
      <c r="L836" s="2">
        <v>482.99</v>
      </c>
      <c r="M836" s="2">
        <v>117.72</v>
      </c>
      <c r="N836" s="2" t="s">
        <v>22</v>
      </c>
      <c r="O836" s="2">
        <v>3</v>
      </c>
    </row>
    <row r="837" spans="1:15" x14ac:dyDescent="0.3">
      <c r="A837" s="2" t="s">
        <v>894</v>
      </c>
      <c r="B837" s="1">
        <v>46137</v>
      </c>
      <c r="C837" s="2" t="s">
        <v>24</v>
      </c>
      <c r="D837" s="2" t="s">
        <v>44</v>
      </c>
      <c r="E837" s="2" t="s">
        <v>38</v>
      </c>
      <c r="F837" s="2" t="s">
        <v>39</v>
      </c>
      <c r="G837" s="2" t="s">
        <v>28</v>
      </c>
      <c r="H837" s="2" t="s">
        <v>29</v>
      </c>
      <c r="I837" s="2">
        <v>59</v>
      </c>
      <c r="J837" s="2">
        <v>40</v>
      </c>
      <c r="K837" s="2">
        <v>15343.78</v>
      </c>
      <c r="L837" s="2">
        <v>180.47</v>
      </c>
      <c r="M837" s="2">
        <v>121.56</v>
      </c>
      <c r="N837" s="2" t="s">
        <v>30</v>
      </c>
      <c r="O837" s="2">
        <v>3</v>
      </c>
    </row>
    <row r="838" spans="1:15" x14ac:dyDescent="0.3">
      <c r="A838" s="2" t="s">
        <v>895</v>
      </c>
      <c r="B838" s="1">
        <v>45907</v>
      </c>
      <c r="C838" s="2" t="s">
        <v>41</v>
      </c>
      <c r="D838" s="2" t="s">
        <v>82</v>
      </c>
      <c r="E838" s="2" t="s">
        <v>18</v>
      </c>
      <c r="F838" s="2" t="s">
        <v>34</v>
      </c>
      <c r="G838" s="2" t="s">
        <v>64</v>
      </c>
      <c r="H838" s="2" t="s">
        <v>29</v>
      </c>
      <c r="I838" s="2">
        <v>35</v>
      </c>
      <c r="J838" s="2">
        <v>58</v>
      </c>
      <c r="K838" s="2">
        <v>2202.96</v>
      </c>
      <c r="L838" s="2">
        <v>433.82</v>
      </c>
      <c r="M838" s="2">
        <v>37.65</v>
      </c>
      <c r="N838" s="2" t="s">
        <v>30</v>
      </c>
      <c r="O838" s="2">
        <v>5</v>
      </c>
    </row>
    <row r="839" spans="1:15" x14ac:dyDescent="0.3">
      <c r="A839" s="2" t="s">
        <v>896</v>
      </c>
      <c r="B839" s="1">
        <v>46177</v>
      </c>
      <c r="C839" s="2" t="s">
        <v>32</v>
      </c>
      <c r="D839" s="2" t="s">
        <v>17</v>
      </c>
      <c r="E839" s="2" t="s">
        <v>26</v>
      </c>
      <c r="F839" s="2" t="s">
        <v>27</v>
      </c>
      <c r="G839" s="2" t="s">
        <v>35</v>
      </c>
      <c r="H839" s="2" t="s">
        <v>52</v>
      </c>
      <c r="I839" s="2">
        <v>27</v>
      </c>
      <c r="J839" s="2">
        <v>75</v>
      </c>
      <c r="K839" s="2">
        <v>31929.02</v>
      </c>
      <c r="L839" s="2">
        <v>224.43</v>
      </c>
      <c r="M839" s="2">
        <v>162.72</v>
      </c>
      <c r="N839" s="2" t="s">
        <v>22</v>
      </c>
      <c r="O839" s="2">
        <v>3</v>
      </c>
    </row>
    <row r="840" spans="1:15" x14ac:dyDescent="0.3">
      <c r="A840" s="2" t="s">
        <v>897</v>
      </c>
      <c r="B840" s="1">
        <v>46075</v>
      </c>
      <c r="C840" s="2" t="s">
        <v>24</v>
      </c>
      <c r="D840" s="2" t="s">
        <v>67</v>
      </c>
      <c r="E840" s="2" t="s">
        <v>18</v>
      </c>
      <c r="F840" s="2" t="s">
        <v>68</v>
      </c>
      <c r="G840" s="2" t="s">
        <v>20</v>
      </c>
      <c r="H840" s="2" t="s">
        <v>56</v>
      </c>
      <c r="I840" s="2">
        <v>49</v>
      </c>
      <c r="J840" s="2">
        <v>85</v>
      </c>
      <c r="K840" s="2">
        <v>43017.15</v>
      </c>
      <c r="L840" s="2">
        <v>195.44</v>
      </c>
      <c r="M840" s="2">
        <v>7.15</v>
      </c>
      <c r="N840" s="2" t="s">
        <v>30</v>
      </c>
      <c r="O840" s="2">
        <v>5</v>
      </c>
    </row>
    <row r="841" spans="1:15" x14ac:dyDescent="0.3">
      <c r="A841" s="2" t="s">
        <v>898</v>
      </c>
      <c r="B841" s="1">
        <v>46210</v>
      </c>
      <c r="C841" s="2" t="s">
        <v>32</v>
      </c>
      <c r="D841" s="2" t="s">
        <v>44</v>
      </c>
      <c r="E841" s="2" t="s">
        <v>26</v>
      </c>
      <c r="F841" s="2" t="s">
        <v>27</v>
      </c>
      <c r="G841" s="2" t="s">
        <v>28</v>
      </c>
      <c r="H841" s="2" t="s">
        <v>21</v>
      </c>
      <c r="I841" s="2">
        <v>67</v>
      </c>
      <c r="J841" s="2">
        <v>21</v>
      </c>
      <c r="K841" s="2">
        <v>17566.099999999999</v>
      </c>
      <c r="L841" s="2">
        <v>470.82</v>
      </c>
      <c r="M841" s="2">
        <v>105.65</v>
      </c>
      <c r="N841" s="2" t="s">
        <v>22</v>
      </c>
      <c r="O841" s="2">
        <v>3</v>
      </c>
    </row>
    <row r="842" spans="1:15" x14ac:dyDescent="0.3">
      <c r="A842" s="2" t="s">
        <v>899</v>
      </c>
      <c r="B842" s="1">
        <v>46037</v>
      </c>
      <c r="C842" s="2" t="s">
        <v>16</v>
      </c>
      <c r="D842" s="2" t="s">
        <v>76</v>
      </c>
      <c r="E842" s="2" t="s">
        <v>18</v>
      </c>
      <c r="F842" s="2" t="s">
        <v>39</v>
      </c>
      <c r="G842" s="2" t="s">
        <v>35</v>
      </c>
      <c r="H842" s="2" t="s">
        <v>52</v>
      </c>
      <c r="I842" s="2">
        <v>23</v>
      </c>
      <c r="J842" s="2">
        <v>18</v>
      </c>
      <c r="K842" s="2">
        <v>19819.63</v>
      </c>
      <c r="L842" s="2">
        <v>213.5</v>
      </c>
      <c r="M842" s="2">
        <v>132.38</v>
      </c>
      <c r="N842" s="2" t="s">
        <v>22</v>
      </c>
      <c r="O842" s="2">
        <v>2</v>
      </c>
    </row>
    <row r="843" spans="1:15" x14ac:dyDescent="0.3">
      <c r="A843" s="2" t="s">
        <v>900</v>
      </c>
      <c r="B843" s="1">
        <v>45994</v>
      </c>
      <c r="C843" s="2" t="s">
        <v>43</v>
      </c>
      <c r="D843" s="2" t="s">
        <v>47</v>
      </c>
      <c r="E843" s="2" t="s">
        <v>26</v>
      </c>
      <c r="F843" s="2" t="s">
        <v>19</v>
      </c>
      <c r="G843" s="2" t="s">
        <v>35</v>
      </c>
      <c r="H843" s="2" t="s">
        <v>29</v>
      </c>
      <c r="I843" s="2">
        <v>39</v>
      </c>
      <c r="J843" s="2">
        <v>55</v>
      </c>
      <c r="K843" s="2">
        <v>44605.57</v>
      </c>
      <c r="L843" s="2">
        <v>225.63</v>
      </c>
      <c r="M843" s="2">
        <v>62.24</v>
      </c>
      <c r="N843" s="2" t="s">
        <v>30</v>
      </c>
      <c r="O843" s="2">
        <v>5</v>
      </c>
    </row>
    <row r="844" spans="1:15" x14ac:dyDescent="0.3">
      <c r="A844" s="2" t="s">
        <v>901</v>
      </c>
      <c r="B844" s="1">
        <v>45959</v>
      </c>
      <c r="C844" s="2" t="s">
        <v>90</v>
      </c>
      <c r="D844" s="2" t="s">
        <v>37</v>
      </c>
      <c r="E844" s="2" t="s">
        <v>45</v>
      </c>
      <c r="F844" s="2" t="s">
        <v>19</v>
      </c>
      <c r="G844" s="2" t="s">
        <v>20</v>
      </c>
      <c r="H844" s="2" t="s">
        <v>52</v>
      </c>
      <c r="I844" s="2">
        <v>30</v>
      </c>
      <c r="J844" s="2">
        <v>29</v>
      </c>
      <c r="K844" s="2">
        <v>40773.64</v>
      </c>
      <c r="L844" s="2">
        <v>97.74</v>
      </c>
      <c r="M844" s="2">
        <v>181.17</v>
      </c>
      <c r="N844" s="2" t="s">
        <v>30</v>
      </c>
      <c r="O844" s="2">
        <v>4</v>
      </c>
    </row>
    <row r="845" spans="1:15" x14ac:dyDescent="0.3">
      <c r="A845" s="2" t="s">
        <v>902</v>
      </c>
      <c r="B845" s="1">
        <v>45965</v>
      </c>
      <c r="C845" s="2" t="s">
        <v>16</v>
      </c>
      <c r="D845" s="2" t="s">
        <v>17</v>
      </c>
      <c r="E845" s="2" t="s">
        <v>26</v>
      </c>
      <c r="F845" s="2" t="s">
        <v>34</v>
      </c>
      <c r="G845" s="2" t="s">
        <v>35</v>
      </c>
      <c r="H845" s="2" t="s">
        <v>29</v>
      </c>
      <c r="I845" s="2">
        <v>48</v>
      </c>
      <c r="J845" s="2">
        <v>24</v>
      </c>
      <c r="K845" s="2">
        <v>35890.160000000003</v>
      </c>
      <c r="L845" s="2">
        <v>351.7</v>
      </c>
      <c r="M845" s="2">
        <v>251.56</v>
      </c>
      <c r="N845" s="2" t="s">
        <v>22</v>
      </c>
      <c r="O845" s="2">
        <v>2</v>
      </c>
    </row>
    <row r="846" spans="1:15" x14ac:dyDescent="0.3">
      <c r="A846" s="2" t="s">
        <v>903</v>
      </c>
      <c r="B846" s="1">
        <v>46006</v>
      </c>
      <c r="C846" s="2" t="s">
        <v>32</v>
      </c>
      <c r="D846" s="2" t="s">
        <v>67</v>
      </c>
      <c r="E846" s="2" t="s">
        <v>26</v>
      </c>
      <c r="F846" s="2" t="s">
        <v>19</v>
      </c>
      <c r="G846" s="2" t="s">
        <v>35</v>
      </c>
      <c r="H846" s="2" t="s">
        <v>21</v>
      </c>
      <c r="I846" s="2">
        <v>49</v>
      </c>
      <c r="J846" s="2">
        <v>74</v>
      </c>
      <c r="K846" s="2">
        <v>12815.45</v>
      </c>
      <c r="L846" s="2">
        <v>179.98</v>
      </c>
      <c r="M846" s="2">
        <v>94.22</v>
      </c>
      <c r="N846" s="2" t="s">
        <v>22</v>
      </c>
      <c r="O846" s="2">
        <v>4</v>
      </c>
    </row>
    <row r="847" spans="1:15" x14ac:dyDescent="0.3">
      <c r="A847" s="2" t="s">
        <v>904</v>
      </c>
      <c r="B847" s="1">
        <v>45961</v>
      </c>
      <c r="C847" s="2" t="s">
        <v>32</v>
      </c>
      <c r="D847" s="2" t="s">
        <v>33</v>
      </c>
      <c r="E847" s="2" t="s">
        <v>58</v>
      </c>
      <c r="F847" s="2" t="s">
        <v>68</v>
      </c>
      <c r="G847" s="2" t="s">
        <v>35</v>
      </c>
      <c r="H847" s="2" t="s">
        <v>21</v>
      </c>
      <c r="I847" s="2">
        <v>35</v>
      </c>
      <c r="J847" s="2">
        <v>109</v>
      </c>
      <c r="K847" s="2">
        <v>45555.72</v>
      </c>
      <c r="L847" s="2">
        <v>313.52</v>
      </c>
      <c r="M847" s="2">
        <v>82.23</v>
      </c>
      <c r="N847" s="2" t="s">
        <v>30</v>
      </c>
      <c r="O847" s="2">
        <v>3</v>
      </c>
    </row>
    <row r="848" spans="1:15" x14ac:dyDescent="0.3">
      <c r="A848" s="2" t="s">
        <v>905</v>
      </c>
      <c r="B848" s="1">
        <v>45888</v>
      </c>
      <c r="C848" s="2" t="s">
        <v>54</v>
      </c>
      <c r="D848" s="2" t="s">
        <v>44</v>
      </c>
      <c r="E848" s="2" t="s">
        <v>26</v>
      </c>
      <c r="F848" s="2" t="s">
        <v>19</v>
      </c>
      <c r="G848" s="2" t="s">
        <v>28</v>
      </c>
      <c r="H848" s="2" t="s">
        <v>56</v>
      </c>
      <c r="I848" s="2">
        <v>55</v>
      </c>
      <c r="J848" s="2">
        <v>17</v>
      </c>
      <c r="K848" s="2">
        <v>8143.58</v>
      </c>
      <c r="L848" s="2">
        <v>316.11</v>
      </c>
      <c r="M848" s="2">
        <v>47.31</v>
      </c>
      <c r="N848" s="2" t="s">
        <v>30</v>
      </c>
      <c r="O848" s="2">
        <v>4</v>
      </c>
    </row>
    <row r="849" spans="1:15" x14ac:dyDescent="0.3">
      <c r="A849" s="2" t="s">
        <v>906</v>
      </c>
      <c r="B849" s="1">
        <v>46043</v>
      </c>
      <c r="C849" s="2" t="s">
        <v>54</v>
      </c>
      <c r="D849" s="2" t="s">
        <v>37</v>
      </c>
      <c r="E849" s="2" t="s">
        <v>58</v>
      </c>
      <c r="F849" s="2" t="s">
        <v>34</v>
      </c>
      <c r="G849" s="2" t="s">
        <v>20</v>
      </c>
      <c r="H849" s="2" t="s">
        <v>29</v>
      </c>
      <c r="I849" s="2">
        <v>26</v>
      </c>
      <c r="J849" s="2">
        <v>18</v>
      </c>
      <c r="K849" s="2">
        <v>31525.14</v>
      </c>
      <c r="L849" s="2">
        <v>373.64</v>
      </c>
      <c r="M849" s="2">
        <v>219</v>
      </c>
      <c r="N849" s="2" t="s">
        <v>30</v>
      </c>
      <c r="O849" s="2">
        <v>2</v>
      </c>
    </row>
    <row r="850" spans="1:15" x14ac:dyDescent="0.3">
      <c r="A850" s="2" t="s">
        <v>907</v>
      </c>
      <c r="B850" s="1">
        <v>46221</v>
      </c>
      <c r="C850" s="2" t="s">
        <v>16</v>
      </c>
      <c r="D850" s="2" t="s">
        <v>17</v>
      </c>
      <c r="E850" s="2" t="s">
        <v>38</v>
      </c>
      <c r="F850" s="2" t="s">
        <v>39</v>
      </c>
      <c r="G850" s="2" t="s">
        <v>35</v>
      </c>
      <c r="H850" s="2" t="s">
        <v>56</v>
      </c>
      <c r="I850" s="2">
        <v>32</v>
      </c>
      <c r="J850" s="2">
        <v>42</v>
      </c>
      <c r="K850" s="2">
        <v>1925.66</v>
      </c>
      <c r="L850" s="2">
        <v>385.36</v>
      </c>
      <c r="M850" s="2">
        <v>26.35</v>
      </c>
      <c r="N850" s="2" t="s">
        <v>30</v>
      </c>
      <c r="O850" s="2">
        <v>5</v>
      </c>
    </row>
    <row r="851" spans="1:15" x14ac:dyDescent="0.3">
      <c r="A851" s="2" t="s">
        <v>908</v>
      </c>
      <c r="B851" s="1">
        <v>45963</v>
      </c>
      <c r="C851" s="2" t="s">
        <v>74</v>
      </c>
      <c r="D851" s="2" t="s">
        <v>76</v>
      </c>
      <c r="E851" s="2" t="s">
        <v>58</v>
      </c>
      <c r="F851" s="2" t="s">
        <v>39</v>
      </c>
      <c r="G851" s="2" t="s">
        <v>35</v>
      </c>
      <c r="H851" s="2" t="s">
        <v>56</v>
      </c>
      <c r="I851" s="2">
        <v>67</v>
      </c>
      <c r="J851" s="2">
        <v>112</v>
      </c>
      <c r="K851" s="2">
        <v>32364.13</v>
      </c>
      <c r="L851" s="2">
        <v>281.5</v>
      </c>
      <c r="M851" s="2">
        <v>136.05000000000001</v>
      </c>
      <c r="N851" s="2" t="s">
        <v>30</v>
      </c>
      <c r="O851" s="2">
        <v>1</v>
      </c>
    </row>
    <row r="852" spans="1:15" x14ac:dyDescent="0.3">
      <c r="A852" s="2" t="s">
        <v>909</v>
      </c>
      <c r="B852" s="1">
        <v>46100</v>
      </c>
      <c r="C852" s="2" t="s">
        <v>16</v>
      </c>
      <c r="D852" s="2" t="s">
        <v>51</v>
      </c>
      <c r="E852" s="2" t="s">
        <v>45</v>
      </c>
      <c r="F852" s="2" t="s">
        <v>19</v>
      </c>
      <c r="G852" s="2" t="s">
        <v>28</v>
      </c>
      <c r="H852" s="2" t="s">
        <v>21</v>
      </c>
      <c r="I852" s="2">
        <v>58</v>
      </c>
      <c r="J852" s="2">
        <v>84</v>
      </c>
      <c r="K852" s="2">
        <v>14218.65</v>
      </c>
      <c r="L852" s="2">
        <v>198.95</v>
      </c>
      <c r="M852" s="2">
        <v>168.49</v>
      </c>
      <c r="N852" s="2" t="s">
        <v>30</v>
      </c>
      <c r="O852" s="2">
        <v>4</v>
      </c>
    </row>
    <row r="853" spans="1:15" x14ac:dyDescent="0.3">
      <c r="A853" s="2" t="s">
        <v>910</v>
      </c>
      <c r="B853" s="1">
        <v>46087</v>
      </c>
      <c r="C853" s="2" t="s">
        <v>54</v>
      </c>
      <c r="D853" s="2" t="s">
        <v>86</v>
      </c>
      <c r="E853" s="2" t="s">
        <v>58</v>
      </c>
      <c r="F853" s="2" t="s">
        <v>27</v>
      </c>
      <c r="G853" s="2" t="s">
        <v>20</v>
      </c>
      <c r="H853" s="2" t="s">
        <v>52</v>
      </c>
      <c r="I853" s="2">
        <v>33</v>
      </c>
      <c r="J853" s="2">
        <v>101</v>
      </c>
      <c r="K853" s="2">
        <v>22759.01</v>
      </c>
      <c r="L853" s="2">
        <v>426.85</v>
      </c>
      <c r="M853" s="2">
        <v>45.69</v>
      </c>
      <c r="N853" s="2" t="s">
        <v>30</v>
      </c>
      <c r="O853" s="2">
        <v>1</v>
      </c>
    </row>
    <row r="854" spans="1:15" x14ac:dyDescent="0.3">
      <c r="A854" s="2" t="s">
        <v>911</v>
      </c>
      <c r="B854" s="1">
        <v>45982</v>
      </c>
      <c r="C854" s="2" t="s">
        <v>32</v>
      </c>
      <c r="D854" s="2" t="s">
        <v>44</v>
      </c>
      <c r="E854" s="2" t="s">
        <v>38</v>
      </c>
      <c r="F854" s="2" t="s">
        <v>39</v>
      </c>
      <c r="G854" s="2" t="s">
        <v>64</v>
      </c>
      <c r="H854" s="2" t="s">
        <v>52</v>
      </c>
      <c r="I854" s="2">
        <v>49</v>
      </c>
      <c r="J854" s="2">
        <v>45</v>
      </c>
      <c r="K854" s="2">
        <v>17590.599999999999</v>
      </c>
      <c r="L854" s="2">
        <v>189.44</v>
      </c>
      <c r="M854" s="2">
        <v>173.29</v>
      </c>
      <c r="N854" s="2" t="s">
        <v>30</v>
      </c>
      <c r="O854" s="2">
        <v>4</v>
      </c>
    </row>
    <row r="855" spans="1:15" x14ac:dyDescent="0.3">
      <c r="A855" s="2" t="s">
        <v>912</v>
      </c>
      <c r="B855" s="1">
        <v>46178</v>
      </c>
      <c r="C855" s="2" t="s">
        <v>41</v>
      </c>
      <c r="D855" s="2" t="s">
        <v>76</v>
      </c>
      <c r="E855" s="2" t="s">
        <v>45</v>
      </c>
      <c r="F855" s="2" t="s">
        <v>19</v>
      </c>
      <c r="G855" s="2" t="s">
        <v>28</v>
      </c>
      <c r="H855" s="2" t="s">
        <v>56</v>
      </c>
      <c r="I855" s="2">
        <v>39</v>
      </c>
      <c r="J855" s="2">
        <v>82</v>
      </c>
      <c r="K855" s="2">
        <v>9051.4599999999991</v>
      </c>
      <c r="L855" s="2">
        <v>278.38</v>
      </c>
      <c r="M855" s="2">
        <v>6.66</v>
      </c>
      <c r="N855" s="2" t="s">
        <v>22</v>
      </c>
      <c r="O855" s="2">
        <v>4</v>
      </c>
    </row>
    <row r="856" spans="1:15" x14ac:dyDescent="0.3">
      <c r="A856" s="2" t="s">
        <v>913</v>
      </c>
      <c r="B856" s="1">
        <v>46141</v>
      </c>
      <c r="C856" s="2" t="s">
        <v>16</v>
      </c>
      <c r="D856" s="2" t="s">
        <v>17</v>
      </c>
      <c r="E856" s="2" t="s">
        <v>18</v>
      </c>
      <c r="F856" s="2" t="s">
        <v>34</v>
      </c>
      <c r="G856" s="2" t="s">
        <v>20</v>
      </c>
      <c r="H856" s="2" t="s">
        <v>21</v>
      </c>
      <c r="I856" s="2">
        <v>23</v>
      </c>
      <c r="J856" s="2">
        <v>17</v>
      </c>
      <c r="K856" s="2">
        <v>31288.05</v>
      </c>
      <c r="L856" s="2">
        <v>230.56</v>
      </c>
      <c r="M856" s="2">
        <v>182.56</v>
      </c>
      <c r="N856" s="2" t="s">
        <v>22</v>
      </c>
      <c r="O856" s="2">
        <v>5</v>
      </c>
    </row>
    <row r="857" spans="1:15" x14ac:dyDescent="0.3">
      <c r="A857" s="2" t="s">
        <v>914</v>
      </c>
      <c r="B857" s="1">
        <v>46209</v>
      </c>
      <c r="C857" s="2" t="s">
        <v>32</v>
      </c>
      <c r="D857" s="2" t="s">
        <v>44</v>
      </c>
      <c r="E857" s="2" t="s">
        <v>18</v>
      </c>
      <c r="F857" s="2" t="s">
        <v>19</v>
      </c>
      <c r="G857" s="2" t="s">
        <v>35</v>
      </c>
      <c r="H857" s="2" t="s">
        <v>29</v>
      </c>
      <c r="I857" s="2">
        <v>28</v>
      </c>
      <c r="J857" s="2">
        <v>73</v>
      </c>
      <c r="K857" s="2">
        <v>44157.79</v>
      </c>
      <c r="L857" s="2">
        <v>434.79</v>
      </c>
      <c r="M857" s="2">
        <v>35.51</v>
      </c>
      <c r="N857" s="2" t="s">
        <v>30</v>
      </c>
      <c r="O857" s="2">
        <v>3</v>
      </c>
    </row>
    <row r="858" spans="1:15" x14ac:dyDescent="0.3">
      <c r="A858" s="2" t="s">
        <v>915</v>
      </c>
      <c r="B858" s="1">
        <v>46006</v>
      </c>
      <c r="C858" s="2" t="s">
        <v>41</v>
      </c>
      <c r="D858" s="2" t="s">
        <v>82</v>
      </c>
      <c r="E858" s="2" t="s">
        <v>58</v>
      </c>
      <c r="F858" s="2" t="s">
        <v>39</v>
      </c>
      <c r="G858" s="2" t="s">
        <v>20</v>
      </c>
      <c r="H858" s="2" t="s">
        <v>52</v>
      </c>
      <c r="I858" s="2">
        <v>28</v>
      </c>
      <c r="J858" s="2">
        <v>14</v>
      </c>
      <c r="K858" s="2">
        <v>47974.67</v>
      </c>
      <c r="L858" s="2">
        <v>244.36</v>
      </c>
      <c r="M858" s="2">
        <v>129.15</v>
      </c>
      <c r="N858" s="2" t="s">
        <v>30</v>
      </c>
      <c r="O858" s="2">
        <v>2</v>
      </c>
    </row>
    <row r="859" spans="1:15" x14ac:dyDescent="0.3">
      <c r="A859" s="2" t="s">
        <v>916</v>
      </c>
      <c r="B859" s="1">
        <v>46186</v>
      </c>
      <c r="C859" s="2" t="s">
        <v>41</v>
      </c>
      <c r="D859" s="2" t="s">
        <v>37</v>
      </c>
      <c r="E859" s="2" t="s">
        <v>58</v>
      </c>
      <c r="F859" s="2" t="s">
        <v>34</v>
      </c>
      <c r="G859" s="2" t="s">
        <v>20</v>
      </c>
      <c r="H859" s="2" t="s">
        <v>56</v>
      </c>
      <c r="I859" s="2">
        <v>40</v>
      </c>
      <c r="J859" s="2">
        <v>49</v>
      </c>
      <c r="K859" s="2">
        <v>10021.14</v>
      </c>
      <c r="L859" s="2">
        <v>223.74</v>
      </c>
      <c r="M859" s="2">
        <v>50.02</v>
      </c>
      <c r="N859" s="2" t="s">
        <v>30</v>
      </c>
      <c r="O859" s="2">
        <v>2</v>
      </c>
    </row>
    <row r="860" spans="1:15" x14ac:dyDescent="0.3">
      <c r="A860" s="2" t="s">
        <v>917</v>
      </c>
      <c r="B860" s="1">
        <v>45909</v>
      </c>
      <c r="C860" s="2" t="s">
        <v>54</v>
      </c>
      <c r="D860" s="2" t="s">
        <v>25</v>
      </c>
      <c r="E860" s="2" t="s">
        <v>38</v>
      </c>
      <c r="F860" s="2" t="s">
        <v>19</v>
      </c>
      <c r="G860" s="2" t="s">
        <v>20</v>
      </c>
      <c r="H860" s="2" t="s">
        <v>52</v>
      </c>
      <c r="I860" s="2">
        <v>67</v>
      </c>
      <c r="J860" s="2">
        <v>29</v>
      </c>
      <c r="K860" s="2">
        <v>36009.949999999997</v>
      </c>
      <c r="L860" s="2">
        <v>360.42</v>
      </c>
      <c r="M860" s="2">
        <v>167.31</v>
      </c>
      <c r="N860" s="2" t="s">
        <v>30</v>
      </c>
      <c r="O860" s="2">
        <v>2</v>
      </c>
    </row>
    <row r="861" spans="1:15" x14ac:dyDescent="0.3">
      <c r="A861" s="2" t="s">
        <v>918</v>
      </c>
      <c r="B861" s="1">
        <v>46093</v>
      </c>
      <c r="C861" s="2" t="s">
        <v>16</v>
      </c>
      <c r="D861" s="2" t="s">
        <v>17</v>
      </c>
      <c r="E861" s="2" t="s">
        <v>38</v>
      </c>
      <c r="F861" s="2" t="s">
        <v>68</v>
      </c>
      <c r="G861" s="2" t="s">
        <v>64</v>
      </c>
      <c r="H861" s="2" t="s">
        <v>52</v>
      </c>
      <c r="I861" s="2">
        <v>24</v>
      </c>
      <c r="J861" s="2">
        <v>95</v>
      </c>
      <c r="K861" s="2">
        <v>33384.800000000003</v>
      </c>
      <c r="L861" s="2">
        <v>321.10000000000002</v>
      </c>
      <c r="M861" s="2">
        <v>102.46</v>
      </c>
      <c r="N861" s="2" t="s">
        <v>22</v>
      </c>
      <c r="O861" s="2">
        <v>3</v>
      </c>
    </row>
    <row r="862" spans="1:15" x14ac:dyDescent="0.3">
      <c r="A862" s="2" t="s">
        <v>919</v>
      </c>
      <c r="B862" s="1">
        <v>46030</v>
      </c>
      <c r="C862" s="2" t="s">
        <v>24</v>
      </c>
      <c r="D862" s="2" t="s">
        <v>82</v>
      </c>
      <c r="E862" s="2" t="s">
        <v>26</v>
      </c>
      <c r="F862" s="2" t="s">
        <v>34</v>
      </c>
      <c r="G862" s="2" t="s">
        <v>20</v>
      </c>
      <c r="H862" s="2" t="s">
        <v>29</v>
      </c>
      <c r="I862" s="2">
        <v>71</v>
      </c>
      <c r="J862" s="2">
        <v>4</v>
      </c>
      <c r="K862" s="2">
        <v>17497.2</v>
      </c>
      <c r="L862" s="2">
        <v>98.26</v>
      </c>
      <c r="M862" s="2">
        <v>40.58</v>
      </c>
      <c r="N862" s="2" t="s">
        <v>30</v>
      </c>
      <c r="O862" s="2">
        <v>1</v>
      </c>
    </row>
    <row r="863" spans="1:15" x14ac:dyDescent="0.3">
      <c r="A863" s="2" t="s">
        <v>920</v>
      </c>
      <c r="B863" s="1">
        <v>46083</v>
      </c>
      <c r="C863" s="2" t="s">
        <v>90</v>
      </c>
      <c r="D863" s="2" t="s">
        <v>78</v>
      </c>
      <c r="E863" s="2" t="s">
        <v>38</v>
      </c>
      <c r="F863" s="2" t="s">
        <v>68</v>
      </c>
      <c r="G863" s="2" t="s">
        <v>64</v>
      </c>
      <c r="H863" s="2" t="s">
        <v>21</v>
      </c>
      <c r="I863" s="2">
        <v>41</v>
      </c>
      <c r="J863" s="2">
        <v>82</v>
      </c>
      <c r="K863" s="2">
        <v>1445.41</v>
      </c>
      <c r="L863" s="2">
        <v>278.68</v>
      </c>
      <c r="M863" s="2">
        <v>114.2</v>
      </c>
      <c r="N863" s="2" t="s">
        <v>22</v>
      </c>
      <c r="O863" s="2">
        <v>2</v>
      </c>
    </row>
    <row r="864" spans="1:15" x14ac:dyDescent="0.3">
      <c r="A864" s="2" t="s">
        <v>921</v>
      </c>
      <c r="B864" s="1">
        <v>46135</v>
      </c>
      <c r="C864" s="2" t="s">
        <v>54</v>
      </c>
      <c r="D864" s="2" t="s">
        <v>67</v>
      </c>
      <c r="E864" s="2" t="s">
        <v>26</v>
      </c>
      <c r="F864" s="2" t="s">
        <v>27</v>
      </c>
      <c r="G864" s="2" t="s">
        <v>35</v>
      </c>
      <c r="H864" s="2" t="s">
        <v>29</v>
      </c>
      <c r="I864" s="2">
        <v>23</v>
      </c>
      <c r="J864" s="2">
        <v>20</v>
      </c>
      <c r="K864" s="2">
        <v>34644.67</v>
      </c>
      <c r="L864" s="2">
        <v>380.97</v>
      </c>
      <c r="M864" s="2">
        <v>122.37</v>
      </c>
      <c r="N864" s="2" t="s">
        <v>30</v>
      </c>
      <c r="O864" s="2">
        <v>1</v>
      </c>
    </row>
    <row r="865" spans="1:15" x14ac:dyDescent="0.3">
      <c r="A865" s="2" t="s">
        <v>922</v>
      </c>
      <c r="B865" s="1">
        <v>46135</v>
      </c>
      <c r="C865" s="2" t="s">
        <v>54</v>
      </c>
      <c r="D865" s="2" t="s">
        <v>51</v>
      </c>
      <c r="E865" s="2" t="s">
        <v>45</v>
      </c>
      <c r="F865" s="2" t="s">
        <v>34</v>
      </c>
      <c r="G865" s="2" t="s">
        <v>64</v>
      </c>
      <c r="H865" s="2" t="s">
        <v>21</v>
      </c>
      <c r="I865" s="2">
        <v>65</v>
      </c>
      <c r="J865" s="2">
        <v>47</v>
      </c>
      <c r="K865" s="2">
        <v>47302</v>
      </c>
      <c r="L865" s="2">
        <v>496.43</v>
      </c>
      <c r="M865" s="2">
        <v>132.29</v>
      </c>
      <c r="N865" s="2" t="s">
        <v>30</v>
      </c>
      <c r="O865" s="2">
        <v>3</v>
      </c>
    </row>
    <row r="866" spans="1:15" x14ac:dyDescent="0.3">
      <c r="A866" s="2" t="s">
        <v>923</v>
      </c>
      <c r="B866" s="1">
        <v>45928</v>
      </c>
      <c r="C866" s="2" t="s">
        <v>24</v>
      </c>
      <c r="D866" s="2" t="s">
        <v>49</v>
      </c>
      <c r="E866" s="2" t="s">
        <v>58</v>
      </c>
      <c r="F866" s="2" t="s">
        <v>68</v>
      </c>
      <c r="G866" s="2" t="s">
        <v>35</v>
      </c>
      <c r="H866" s="2" t="s">
        <v>52</v>
      </c>
      <c r="I866" s="2">
        <v>28</v>
      </c>
      <c r="J866" s="2">
        <v>107</v>
      </c>
      <c r="K866" s="2">
        <v>31789.95</v>
      </c>
      <c r="L866" s="2">
        <v>333.12</v>
      </c>
      <c r="M866" s="2">
        <v>176.38</v>
      </c>
      <c r="N866" s="2" t="s">
        <v>30</v>
      </c>
      <c r="O866" s="2">
        <v>3</v>
      </c>
    </row>
    <row r="867" spans="1:15" x14ac:dyDescent="0.3">
      <c r="A867" s="2" t="s">
        <v>924</v>
      </c>
      <c r="B867" s="1">
        <v>46120</v>
      </c>
      <c r="C867" s="2" t="s">
        <v>90</v>
      </c>
      <c r="D867" s="2" t="s">
        <v>37</v>
      </c>
      <c r="E867" s="2" t="s">
        <v>45</v>
      </c>
      <c r="F867" s="2" t="s">
        <v>39</v>
      </c>
      <c r="G867" s="2" t="s">
        <v>35</v>
      </c>
      <c r="H867" s="2" t="s">
        <v>56</v>
      </c>
      <c r="I867" s="2">
        <v>43</v>
      </c>
      <c r="J867" s="2">
        <v>108</v>
      </c>
      <c r="K867" s="2">
        <v>22046.99</v>
      </c>
      <c r="L867" s="2">
        <v>216.63</v>
      </c>
      <c r="M867" s="2">
        <v>81.88</v>
      </c>
      <c r="N867" s="2" t="s">
        <v>30</v>
      </c>
      <c r="O867" s="2">
        <v>5</v>
      </c>
    </row>
    <row r="868" spans="1:15" x14ac:dyDescent="0.3">
      <c r="A868" s="2" t="s">
        <v>925</v>
      </c>
      <c r="B868" s="1">
        <v>46156</v>
      </c>
      <c r="C868" s="2" t="s">
        <v>32</v>
      </c>
      <c r="D868" s="2" t="s">
        <v>44</v>
      </c>
      <c r="E868" s="2" t="s">
        <v>38</v>
      </c>
      <c r="F868" s="2" t="s">
        <v>39</v>
      </c>
      <c r="G868" s="2" t="s">
        <v>64</v>
      </c>
      <c r="H868" s="2" t="s">
        <v>29</v>
      </c>
      <c r="I868" s="2">
        <v>36</v>
      </c>
      <c r="J868" s="2">
        <v>9</v>
      </c>
      <c r="K868" s="2">
        <v>26495.119999999999</v>
      </c>
      <c r="L868" s="2">
        <v>151.77000000000001</v>
      </c>
      <c r="M868" s="2">
        <v>86.97</v>
      </c>
      <c r="N868" s="2" t="s">
        <v>30</v>
      </c>
      <c r="O868" s="2">
        <v>2</v>
      </c>
    </row>
    <row r="869" spans="1:15" x14ac:dyDescent="0.3">
      <c r="A869" s="2" t="s">
        <v>926</v>
      </c>
      <c r="B869" s="1">
        <v>46042</v>
      </c>
      <c r="C869" s="2" t="s">
        <v>74</v>
      </c>
      <c r="D869" s="2" t="s">
        <v>86</v>
      </c>
      <c r="E869" s="2" t="s">
        <v>45</v>
      </c>
      <c r="F869" s="2" t="s">
        <v>27</v>
      </c>
      <c r="G869" s="2" t="s">
        <v>28</v>
      </c>
      <c r="H869" s="2" t="s">
        <v>21</v>
      </c>
      <c r="I869" s="2">
        <v>33</v>
      </c>
      <c r="J869" s="2">
        <v>77</v>
      </c>
      <c r="K869" s="2">
        <v>10381.629999999999</v>
      </c>
      <c r="L869" s="2">
        <v>442.77</v>
      </c>
      <c r="M869" s="2">
        <v>2.9</v>
      </c>
      <c r="N869" s="2" t="s">
        <v>22</v>
      </c>
      <c r="O869" s="2">
        <v>5</v>
      </c>
    </row>
    <row r="870" spans="1:15" x14ac:dyDescent="0.3">
      <c r="A870" s="2" t="s">
        <v>927</v>
      </c>
      <c r="B870" s="1">
        <v>46136</v>
      </c>
      <c r="C870" s="2" t="s">
        <v>16</v>
      </c>
      <c r="D870" s="2" t="s">
        <v>76</v>
      </c>
      <c r="E870" s="2" t="s">
        <v>45</v>
      </c>
      <c r="F870" s="2" t="s">
        <v>34</v>
      </c>
      <c r="G870" s="2" t="s">
        <v>55</v>
      </c>
      <c r="H870" s="2" t="s">
        <v>52</v>
      </c>
      <c r="I870" s="2">
        <v>23</v>
      </c>
      <c r="J870" s="2">
        <v>79</v>
      </c>
      <c r="K870" s="2">
        <v>37651.94</v>
      </c>
      <c r="L870" s="2">
        <v>416.55</v>
      </c>
      <c r="M870" s="2">
        <v>114.97</v>
      </c>
      <c r="N870" s="2" t="s">
        <v>22</v>
      </c>
      <c r="O870" s="2">
        <v>2</v>
      </c>
    </row>
    <row r="871" spans="1:15" x14ac:dyDescent="0.3">
      <c r="A871" s="2" t="s">
        <v>928</v>
      </c>
      <c r="B871" s="1">
        <v>46089</v>
      </c>
      <c r="C871" s="2" t="s">
        <v>74</v>
      </c>
      <c r="D871" s="2" t="s">
        <v>49</v>
      </c>
      <c r="E871" s="2" t="s">
        <v>45</v>
      </c>
      <c r="F871" s="2" t="s">
        <v>34</v>
      </c>
      <c r="G871" s="2" t="s">
        <v>20</v>
      </c>
      <c r="H871" s="2" t="s">
        <v>21</v>
      </c>
      <c r="I871" s="2">
        <v>68</v>
      </c>
      <c r="J871" s="2">
        <v>27</v>
      </c>
      <c r="K871" s="2">
        <v>37447.78</v>
      </c>
      <c r="L871" s="2">
        <v>155.27000000000001</v>
      </c>
      <c r="M871" s="2">
        <v>80.45</v>
      </c>
      <c r="N871" s="2" t="s">
        <v>22</v>
      </c>
      <c r="O871" s="2">
        <v>3</v>
      </c>
    </row>
    <row r="872" spans="1:15" x14ac:dyDescent="0.3">
      <c r="A872" s="2" t="s">
        <v>929</v>
      </c>
      <c r="B872" s="1">
        <v>46199</v>
      </c>
      <c r="C872" s="2" t="s">
        <v>32</v>
      </c>
      <c r="D872" s="2" t="s">
        <v>33</v>
      </c>
      <c r="E872" s="2" t="s">
        <v>38</v>
      </c>
      <c r="F872" s="2" t="s">
        <v>34</v>
      </c>
      <c r="G872" s="2" t="s">
        <v>55</v>
      </c>
      <c r="H872" s="2" t="s">
        <v>21</v>
      </c>
      <c r="I872" s="2">
        <v>29</v>
      </c>
      <c r="J872" s="2">
        <v>15</v>
      </c>
      <c r="K872" s="2">
        <v>7703.11</v>
      </c>
      <c r="L872" s="2">
        <v>140.28</v>
      </c>
      <c r="M872" s="2">
        <v>74.930000000000007</v>
      </c>
      <c r="N872" s="2" t="s">
        <v>22</v>
      </c>
      <c r="O872" s="2">
        <v>3</v>
      </c>
    </row>
    <row r="873" spans="1:15" x14ac:dyDescent="0.3">
      <c r="A873" s="2" t="s">
        <v>930</v>
      </c>
      <c r="B873" s="1">
        <v>46038</v>
      </c>
      <c r="C873" s="2" t="s">
        <v>43</v>
      </c>
      <c r="D873" s="2" t="s">
        <v>76</v>
      </c>
      <c r="E873" s="2" t="s">
        <v>45</v>
      </c>
      <c r="F873" s="2" t="s">
        <v>27</v>
      </c>
      <c r="G873" s="2" t="s">
        <v>20</v>
      </c>
      <c r="H873" s="2" t="s">
        <v>21</v>
      </c>
      <c r="I873" s="2">
        <v>34</v>
      </c>
      <c r="J873" s="2">
        <v>92</v>
      </c>
      <c r="K873" s="2">
        <v>43959.93</v>
      </c>
      <c r="L873" s="2">
        <v>371.81</v>
      </c>
      <c r="M873" s="2">
        <v>36.590000000000003</v>
      </c>
      <c r="N873" s="2" t="s">
        <v>22</v>
      </c>
      <c r="O873" s="2">
        <v>4</v>
      </c>
    </row>
    <row r="874" spans="1:15" x14ac:dyDescent="0.3">
      <c r="A874" s="2" t="s">
        <v>931</v>
      </c>
      <c r="B874" s="1">
        <v>46185</v>
      </c>
      <c r="C874" s="2" t="s">
        <v>54</v>
      </c>
      <c r="D874" s="2" t="s">
        <v>44</v>
      </c>
      <c r="E874" s="2" t="s">
        <v>26</v>
      </c>
      <c r="F874" s="2" t="s">
        <v>34</v>
      </c>
      <c r="G874" s="2" t="s">
        <v>20</v>
      </c>
      <c r="H874" s="2" t="s">
        <v>52</v>
      </c>
      <c r="I874" s="2">
        <v>33</v>
      </c>
      <c r="J874" s="2">
        <v>101</v>
      </c>
      <c r="K874" s="2">
        <v>13824.89</v>
      </c>
      <c r="L874" s="2">
        <v>191.73</v>
      </c>
      <c r="M874" s="2">
        <v>86.01</v>
      </c>
      <c r="N874" s="2" t="s">
        <v>30</v>
      </c>
      <c r="O874" s="2">
        <v>4</v>
      </c>
    </row>
    <row r="875" spans="1:15" x14ac:dyDescent="0.3">
      <c r="A875" s="2" t="s">
        <v>932</v>
      </c>
      <c r="B875" s="1">
        <v>46012</v>
      </c>
      <c r="C875" s="2" t="s">
        <v>90</v>
      </c>
      <c r="D875" s="2" t="s">
        <v>51</v>
      </c>
      <c r="E875" s="2" t="s">
        <v>38</v>
      </c>
      <c r="F875" s="2" t="s">
        <v>39</v>
      </c>
      <c r="G875" s="2" t="s">
        <v>35</v>
      </c>
      <c r="H875" s="2" t="s">
        <v>56</v>
      </c>
      <c r="I875" s="2">
        <v>73</v>
      </c>
      <c r="J875" s="2">
        <v>119</v>
      </c>
      <c r="K875" s="2">
        <v>49121.68</v>
      </c>
      <c r="L875" s="2">
        <v>187.88</v>
      </c>
      <c r="M875" s="2">
        <v>196.89</v>
      </c>
      <c r="N875" s="2" t="s">
        <v>30</v>
      </c>
      <c r="O875" s="2">
        <v>3</v>
      </c>
    </row>
    <row r="876" spans="1:15" x14ac:dyDescent="0.3">
      <c r="A876" s="2" t="s">
        <v>933</v>
      </c>
      <c r="B876" s="1">
        <v>45976</v>
      </c>
      <c r="C876" s="2" t="s">
        <v>54</v>
      </c>
      <c r="D876" s="2" t="s">
        <v>60</v>
      </c>
      <c r="E876" s="2" t="s">
        <v>45</v>
      </c>
      <c r="F876" s="2" t="s">
        <v>68</v>
      </c>
      <c r="G876" s="2" t="s">
        <v>20</v>
      </c>
      <c r="H876" s="2" t="s">
        <v>56</v>
      </c>
      <c r="I876" s="2">
        <v>27</v>
      </c>
      <c r="J876" s="2">
        <v>19</v>
      </c>
      <c r="K876" s="2">
        <v>19453.7</v>
      </c>
      <c r="L876" s="2">
        <v>118.53</v>
      </c>
      <c r="M876" s="2">
        <v>59.55</v>
      </c>
      <c r="N876" s="2" t="s">
        <v>22</v>
      </c>
      <c r="O876" s="2">
        <v>3</v>
      </c>
    </row>
    <row r="877" spans="1:15" x14ac:dyDescent="0.3">
      <c r="A877" s="2" t="s">
        <v>934</v>
      </c>
      <c r="B877" s="1">
        <v>45895</v>
      </c>
      <c r="C877" s="2" t="s">
        <v>41</v>
      </c>
      <c r="D877" s="2" t="s">
        <v>76</v>
      </c>
      <c r="E877" s="2" t="s">
        <v>38</v>
      </c>
      <c r="F877" s="2" t="s">
        <v>39</v>
      </c>
      <c r="G877" s="2" t="s">
        <v>20</v>
      </c>
      <c r="H877" s="2" t="s">
        <v>56</v>
      </c>
      <c r="I877" s="2">
        <v>35</v>
      </c>
      <c r="J877" s="2">
        <v>90</v>
      </c>
      <c r="K877" s="2">
        <v>9305.26</v>
      </c>
      <c r="L877" s="2">
        <v>168.79</v>
      </c>
      <c r="M877" s="2">
        <v>119.94</v>
      </c>
      <c r="N877" s="2" t="s">
        <v>30</v>
      </c>
      <c r="O877" s="2">
        <v>1</v>
      </c>
    </row>
    <row r="878" spans="1:15" x14ac:dyDescent="0.3">
      <c r="A878" s="2" t="s">
        <v>935</v>
      </c>
      <c r="B878" s="1">
        <v>46099</v>
      </c>
      <c r="C878" s="2" t="s">
        <v>54</v>
      </c>
      <c r="D878" s="2" t="s">
        <v>60</v>
      </c>
      <c r="E878" s="2" t="s">
        <v>18</v>
      </c>
      <c r="F878" s="2" t="s">
        <v>39</v>
      </c>
      <c r="G878" s="2" t="s">
        <v>64</v>
      </c>
      <c r="H878" s="2" t="s">
        <v>21</v>
      </c>
      <c r="I878" s="2">
        <v>27</v>
      </c>
      <c r="J878" s="2">
        <v>52</v>
      </c>
      <c r="K878" s="2">
        <v>17910.150000000001</v>
      </c>
      <c r="L878" s="2">
        <v>242.38</v>
      </c>
      <c r="M878" s="2">
        <v>155.30000000000001</v>
      </c>
      <c r="N878" s="2" t="s">
        <v>22</v>
      </c>
      <c r="O878" s="2">
        <v>1</v>
      </c>
    </row>
    <row r="879" spans="1:15" x14ac:dyDescent="0.3">
      <c r="A879" s="2" t="s">
        <v>936</v>
      </c>
      <c r="B879" s="1">
        <v>46131</v>
      </c>
      <c r="C879" s="2" t="s">
        <v>54</v>
      </c>
      <c r="D879" s="2" t="s">
        <v>67</v>
      </c>
      <c r="E879" s="2" t="s">
        <v>26</v>
      </c>
      <c r="F879" s="2" t="s">
        <v>68</v>
      </c>
      <c r="G879" s="2" t="s">
        <v>55</v>
      </c>
      <c r="H879" s="2" t="s">
        <v>52</v>
      </c>
      <c r="I879" s="2">
        <v>58</v>
      </c>
      <c r="J879" s="2">
        <v>26</v>
      </c>
      <c r="K879" s="2">
        <v>22288.93</v>
      </c>
      <c r="L879" s="2">
        <v>379.78</v>
      </c>
      <c r="M879" s="2">
        <v>149.83000000000001</v>
      </c>
      <c r="N879" s="2" t="s">
        <v>30</v>
      </c>
      <c r="O879" s="2">
        <v>5</v>
      </c>
    </row>
    <row r="880" spans="1:15" x14ac:dyDescent="0.3">
      <c r="A880" s="2" t="s">
        <v>937</v>
      </c>
      <c r="B880" s="1">
        <v>45904</v>
      </c>
      <c r="C880" s="2" t="s">
        <v>32</v>
      </c>
      <c r="D880" s="2" t="s">
        <v>51</v>
      </c>
      <c r="E880" s="2" t="s">
        <v>45</v>
      </c>
      <c r="F880" s="2" t="s">
        <v>39</v>
      </c>
      <c r="G880" s="2" t="s">
        <v>64</v>
      </c>
      <c r="H880" s="2" t="s">
        <v>21</v>
      </c>
      <c r="I880" s="2">
        <v>54</v>
      </c>
      <c r="J880" s="2">
        <v>89</v>
      </c>
      <c r="K880" s="2">
        <v>3930.73</v>
      </c>
      <c r="L880" s="2">
        <v>201.34</v>
      </c>
      <c r="M880" s="2">
        <v>65.75</v>
      </c>
      <c r="N880" s="2" t="s">
        <v>30</v>
      </c>
      <c r="O880" s="2">
        <v>4</v>
      </c>
    </row>
    <row r="881" spans="1:15" x14ac:dyDescent="0.3">
      <c r="A881" s="2" t="s">
        <v>938</v>
      </c>
      <c r="B881" s="1">
        <v>46088</v>
      </c>
      <c r="C881" s="2" t="s">
        <v>32</v>
      </c>
      <c r="D881" s="2" t="s">
        <v>17</v>
      </c>
      <c r="E881" s="2" t="s">
        <v>18</v>
      </c>
      <c r="F881" s="2" t="s">
        <v>27</v>
      </c>
      <c r="G881" s="2" t="s">
        <v>20</v>
      </c>
      <c r="H881" s="2" t="s">
        <v>56</v>
      </c>
      <c r="I881" s="2">
        <v>61</v>
      </c>
      <c r="J881" s="2">
        <v>26</v>
      </c>
      <c r="K881" s="2">
        <v>29121.81</v>
      </c>
      <c r="L881" s="2">
        <v>197.87</v>
      </c>
      <c r="M881" s="2">
        <v>122.17</v>
      </c>
      <c r="N881" s="2" t="s">
        <v>22</v>
      </c>
      <c r="O881" s="2">
        <v>4</v>
      </c>
    </row>
    <row r="882" spans="1:15" x14ac:dyDescent="0.3">
      <c r="A882" s="2" t="s">
        <v>939</v>
      </c>
      <c r="B882" s="1">
        <v>45920</v>
      </c>
      <c r="C882" s="2" t="s">
        <v>32</v>
      </c>
      <c r="D882" s="2" t="s">
        <v>82</v>
      </c>
      <c r="E882" s="2" t="s">
        <v>18</v>
      </c>
      <c r="F882" s="2" t="s">
        <v>68</v>
      </c>
      <c r="G882" s="2" t="s">
        <v>35</v>
      </c>
      <c r="H882" s="2" t="s">
        <v>56</v>
      </c>
      <c r="I882" s="2">
        <v>42</v>
      </c>
      <c r="J882" s="2">
        <v>26</v>
      </c>
      <c r="K882" s="2">
        <v>30082.81</v>
      </c>
      <c r="L882" s="2">
        <v>178.21</v>
      </c>
      <c r="M882" s="2">
        <v>174.25</v>
      </c>
      <c r="N882" s="2" t="s">
        <v>30</v>
      </c>
      <c r="O882" s="2">
        <v>3</v>
      </c>
    </row>
    <row r="883" spans="1:15" x14ac:dyDescent="0.3">
      <c r="A883" s="2" t="s">
        <v>940</v>
      </c>
      <c r="B883" s="1">
        <v>46197</v>
      </c>
      <c r="C883" s="2" t="s">
        <v>74</v>
      </c>
      <c r="D883" s="2" t="s">
        <v>33</v>
      </c>
      <c r="E883" s="2" t="s">
        <v>38</v>
      </c>
      <c r="F883" s="2" t="s">
        <v>39</v>
      </c>
      <c r="G883" s="2" t="s">
        <v>64</v>
      </c>
      <c r="H883" s="2" t="s">
        <v>52</v>
      </c>
      <c r="I883" s="2">
        <v>44</v>
      </c>
      <c r="J883" s="2">
        <v>46</v>
      </c>
      <c r="K883" s="2">
        <v>37077.06</v>
      </c>
      <c r="L883" s="2">
        <v>265.23</v>
      </c>
      <c r="M883" s="2">
        <v>3.09</v>
      </c>
      <c r="N883" s="2" t="s">
        <v>30</v>
      </c>
      <c r="O883" s="2">
        <v>3</v>
      </c>
    </row>
    <row r="884" spans="1:15" x14ac:dyDescent="0.3">
      <c r="A884" s="2" t="s">
        <v>941</v>
      </c>
      <c r="B884" s="1">
        <v>45995</v>
      </c>
      <c r="C884" s="2" t="s">
        <v>41</v>
      </c>
      <c r="D884" s="2" t="s">
        <v>62</v>
      </c>
      <c r="E884" s="2" t="s">
        <v>18</v>
      </c>
      <c r="F884" s="2" t="s">
        <v>19</v>
      </c>
      <c r="G884" s="2" t="s">
        <v>64</v>
      </c>
      <c r="H884" s="2" t="s">
        <v>21</v>
      </c>
      <c r="I884" s="2">
        <v>69</v>
      </c>
      <c r="J884" s="2">
        <v>92</v>
      </c>
      <c r="K884" s="2">
        <v>1943.91</v>
      </c>
      <c r="L884" s="2">
        <v>131.29</v>
      </c>
      <c r="M884" s="2">
        <v>87.15</v>
      </c>
      <c r="N884" s="2" t="s">
        <v>22</v>
      </c>
      <c r="O884" s="2">
        <v>5</v>
      </c>
    </row>
    <row r="885" spans="1:15" x14ac:dyDescent="0.3">
      <c r="A885" s="2" t="s">
        <v>942</v>
      </c>
      <c r="B885" s="1">
        <v>46081</v>
      </c>
      <c r="C885" s="2" t="s">
        <v>43</v>
      </c>
      <c r="D885" s="2" t="s">
        <v>44</v>
      </c>
      <c r="E885" s="2" t="s">
        <v>26</v>
      </c>
      <c r="F885" s="2" t="s">
        <v>39</v>
      </c>
      <c r="G885" s="2" t="s">
        <v>28</v>
      </c>
      <c r="H885" s="2" t="s">
        <v>29</v>
      </c>
      <c r="I885" s="2">
        <v>57</v>
      </c>
      <c r="J885" s="2">
        <v>49</v>
      </c>
      <c r="K885" s="2">
        <v>27291.29</v>
      </c>
      <c r="L885" s="2">
        <v>268.52999999999997</v>
      </c>
      <c r="M885" s="2">
        <v>67.28</v>
      </c>
      <c r="N885" s="2" t="s">
        <v>22</v>
      </c>
      <c r="O885" s="2">
        <v>4</v>
      </c>
    </row>
    <row r="886" spans="1:15" x14ac:dyDescent="0.3">
      <c r="A886" s="2" t="s">
        <v>943</v>
      </c>
      <c r="B886" s="1">
        <v>46197</v>
      </c>
      <c r="C886" s="2" t="s">
        <v>43</v>
      </c>
      <c r="D886" s="2" t="s">
        <v>47</v>
      </c>
      <c r="E886" s="2" t="s">
        <v>26</v>
      </c>
      <c r="F886" s="2" t="s">
        <v>27</v>
      </c>
      <c r="G886" s="2" t="s">
        <v>20</v>
      </c>
      <c r="H886" s="2" t="s">
        <v>29</v>
      </c>
      <c r="I886" s="2">
        <v>64</v>
      </c>
      <c r="J886" s="2">
        <v>82</v>
      </c>
      <c r="K886" s="2">
        <v>3118.92</v>
      </c>
      <c r="L886" s="2">
        <v>366.88</v>
      </c>
      <c r="M886" s="2">
        <v>116.6</v>
      </c>
      <c r="N886" s="2" t="s">
        <v>30</v>
      </c>
      <c r="O886" s="2">
        <v>1</v>
      </c>
    </row>
    <row r="887" spans="1:15" x14ac:dyDescent="0.3">
      <c r="A887" s="2" t="s">
        <v>944</v>
      </c>
      <c r="B887" s="1">
        <v>45969</v>
      </c>
      <c r="C887" s="2" t="s">
        <v>32</v>
      </c>
      <c r="D887" s="2" t="s">
        <v>62</v>
      </c>
      <c r="E887" s="2" t="s">
        <v>58</v>
      </c>
      <c r="F887" s="2" t="s">
        <v>34</v>
      </c>
      <c r="G887" s="2" t="s">
        <v>35</v>
      </c>
      <c r="H887" s="2" t="s">
        <v>56</v>
      </c>
      <c r="I887" s="2">
        <v>21</v>
      </c>
      <c r="J887" s="2">
        <v>96</v>
      </c>
      <c r="K887" s="2">
        <v>35206.639999999999</v>
      </c>
      <c r="L887" s="2">
        <v>63.41</v>
      </c>
      <c r="M887" s="2">
        <v>83.2</v>
      </c>
      <c r="N887" s="2" t="s">
        <v>22</v>
      </c>
      <c r="O887" s="2">
        <v>2</v>
      </c>
    </row>
    <row r="888" spans="1:15" x14ac:dyDescent="0.3">
      <c r="A888" s="2" t="s">
        <v>945</v>
      </c>
      <c r="B888" s="1">
        <v>45991</v>
      </c>
      <c r="C888" s="2" t="s">
        <v>90</v>
      </c>
      <c r="D888" s="2" t="s">
        <v>76</v>
      </c>
      <c r="E888" s="2" t="s">
        <v>26</v>
      </c>
      <c r="F888" s="2" t="s">
        <v>39</v>
      </c>
      <c r="G888" s="2" t="s">
        <v>64</v>
      </c>
      <c r="H888" s="2" t="s">
        <v>52</v>
      </c>
      <c r="I888" s="2">
        <v>30</v>
      </c>
      <c r="J888" s="2">
        <v>53</v>
      </c>
      <c r="K888" s="2">
        <v>3258.54</v>
      </c>
      <c r="L888" s="2">
        <v>54.4</v>
      </c>
      <c r="M888" s="2">
        <v>149.33000000000001</v>
      </c>
      <c r="N888" s="2" t="s">
        <v>22</v>
      </c>
      <c r="O888" s="2">
        <v>5</v>
      </c>
    </row>
    <row r="889" spans="1:15" x14ac:dyDescent="0.3">
      <c r="A889" s="2" t="s">
        <v>946</v>
      </c>
      <c r="B889" s="1">
        <v>45950</v>
      </c>
      <c r="C889" s="2" t="s">
        <v>74</v>
      </c>
      <c r="D889" s="2" t="s">
        <v>49</v>
      </c>
      <c r="E889" s="2" t="s">
        <v>18</v>
      </c>
      <c r="F889" s="2" t="s">
        <v>34</v>
      </c>
      <c r="G889" s="2" t="s">
        <v>64</v>
      </c>
      <c r="H889" s="2" t="s">
        <v>21</v>
      </c>
      <c r="I889" s="2">
        <v>63</v>
      </c>
      <c r="J889" s="2">
        <v>3</v>
      </c>
      <c r="K889" s="2">
        <v>45630.53</v>
      </c>
      <c r="L889" s="2">
        <v>83.81</v>
      </c>
      <c r="M889" s="2">
        <v>18.760000000000002</v>
      </c>
      <c r="N889" s="2" t="s">
        <v>22</v>
      </c>
      <c r="O889" s="2">
        <v>2</v>
      </c>
    </row>
    <row r="890" spans="1:15" x14ac:dyDescent="0.3">
      <c r="A890" s="2" t="s">
        <v>947</v>
      </c>
      <c r="B890" s="1">
        <v>46130</v>
      </c>
      <c r="C890" s="2" t="s">
        <v>24</v>
      </c>
      <c r="D890" s="2" t="s">
        <v>44</v>
      </c>
      <c r="E890" s="2" t="s">
        <v>26</v>
      </c>
      <c r="F890" s="2" t="s">
        <v>19</v>
      </c>
      <c r="G890" s="2" t="s">
        <v>35</v>
      </c>
      <c r="H890" s="2" t="s">
        <v>21</v>
      </c>
      <c r="I890" s="2">
        <v>36</v>
      </c>
      <c r="J890" s="2">
        <v>66</v>
      </c>
      <c r="K890" s="2">
        <v>35253.089999999997</v>
      </c>
      <c r="L890" s="2">
        <v>291.05</v>
      </c>
      <c r="M890" s="2">
        <v>102.52</v>
      </c>
      <c r="N890" s="2" t="s">
        <v>22</v>
      </c>
      <c r="O890" s="2">
        <v>1</v>
      </c>
    </row>
    <row r="891" spans="1:15" x14ac:dyDescent="0.3">
      <c r="A891" s="2" t="s">
        <v>948</v>
      </c>
      <c r="B891" s="1">
        <v>46176</v>
      </c>
      <c r="C891" s="2" t="s">
        <v>90</v>
      </c>
      <c r="D891" s="2" t="s">
        <v>82</v>
      </c>
      <c r="E891" s="2" t="s">
        <v>38</v>
      </c>
      <c r="F891" s="2" t="s">
        <v>39</v>
      </c>
      <c r="G891" s="2" t="s">
        <v>20</v>
      </c>
      <c r="H891" s="2" t="s">
        <v>56</v>
      </c>
      <c r="I891" s="2">
        <v>66</v>
      </c>
      <c r="J891" s="2">
        <v>97</v>
      </c>
      <c r="K891" s="2">
        <v>25615.79</v>
      </c>
      <c r="L891" s="2">
        <v>434.5</v>
      </c>
      <c r="M891" s="2">
        <v>112.84</v>
      </c>
      <c r="N891" s="2" t="s">
        <v>30</v>
      </c>
      <c r="O891" s="2">
        <v>1</v>
      </c>
    </row>
    <row r="892" spans="1:15" x14ac:dyDescent="0.3">
      <c r="A892" s="2" t="s">
        <v>949</v>
      </c>
      <c r="B892" s="1">
        <v>46094</v>
      </c>
      <c r="C892" s="2" t="s">
        <v>16</v>
      </c>
      <c r="D892" s="2" t="s">
        <v>78</v>
      </c>
      <c r="E892" s="2" t="s">
        <v>58</v>
      </c>
      <c r="F892" s="2" t="s">
        <v>68</v>
      </c>
      <c r="G892" s="2" t="s">
        <v>28</v>
      </c>
      <c r="H892" s="2" t="s">
        <v>56</v>
      </c>
      <c r="I892" s="2">
        <v>28</v>
      </c>
      <c r="J892" s="2">
        <v>42</v>
      </c>
      <c r="K892" s="2">
        <v>22354.44</v>
      </c>
      <c r="L892" s="2">
        <v>52.2</v>
      </c>
      <c r="M892" s="2">
        <v>98.83</v>
      </c>
      <c r="N892" s="2" t="s">
        <v>30</v>
      </c>
      <c r="O892" s="2">
        <v>2</v>
      </c>
    </row>
    <row r="893" spans="1:15" x14ac:dyDescent="0.3">
      <c r="A893" s="2" t="s">
        <v>950</v>
      </c>
      <c r="B893" s="1">
        <v>46129</v>
      </c>
      <c r="C893" s="2" t="s">
        <v>16</v>
      </c>
      <c r="D893" s="2" t="s">
        <v>82</v>
      </c>
      <c r="E893" s="2" t="s">
        <v>18</v>
      </c>
      <c r="F893" s="2" t="s">
        <v>34</v>
      </c>
      <c r="G893" s="2" t="s">
        <v>64</v>
      </c>
      <c r="H893" s="2" t="s">
        <v>21</v>
      </c>
      <c r="I893" s="2">
        <v>69</v>
      </c>
      <c r="J893" s="2">
        <v>19</v>
      </c>
      <c r="K893" s="2">
        <v>6968.3</v>
      </c>
      <c r="L893" s="2">
        <v>471.5</v>
      </c>
      <c r="M893" s="2">
        <v>146.37</v>
      </c>
      <c r="N893" s="2" t="s">
        <v>30</v>
      </c>
      <c r="O893" s="2">
        <v>5</v>
      </c>
    </row>
    <row r="894" spans="1:15" x14ac:dyDescent="0.3">
      <c r="A894" s="2" t="s">
        <v>951</v>
      </c>
      <c r="B894" s="1">
        <v>46093</v>
      </c>
      <c r="C894" s="2" t="s">
        <v>90</v>
      </c>
      <c r="D894" s="2" t="s">
        <v>47</v>
      </c>
      <c r="E894" s="2" t="s">
        <v>58</v>
      </c>
      <c r="F894" s="2" t="s">
        <v>19</v>
      </c>
      <c r="G894" s="2" t="s">
        <v>28</v>
      </c>
      <c r="H894" s="2" t="s">
        <v>21</v>
      </c>
      <c r="I894" s="2">
        <v>45</v>
      </c>
      <c r="J894" s="2">
        <v>17</v>
      </c>
      <c r="K894" s="2">
        <v>14904.47</v>
      </c>
      <c r="L894" s="2">
        <v>97.83</v>
      </c>
      <c r="M894" s="2">
        <v>76.760000000000005</v>
      </c>
      <c r="N894" s="2" t="s">
        <v>30</v>
      </c>
      <c r="O894" s="2">
        <v>2</v>
      </c>
    </row>
    <row r="895" spans="1:15" x14ac:dyDescent="0.3">
      <c r="A895" s="2" t="s">
        <v>952</v>
      </c>
      <c r="B895" s="1">
        <v>46067</v>
      </c>
      <c r="C895" s="2" t="s">
        <v>32</v>
      </c>
      <c r="D895" s="2" t="s">
        <v>33</v>
      </c>
      <c r="E895" s="2" t="s">
        <v>18</v>
      </c>
      <c r="F895" s="2" t="s">
        <v>68</v>
      </c>
      <c r="G895" s="2" t="s">
        <v>55</v>
      </c>
      <c r="H895" s="2" t="s">
        <v>56</v>
      </c>
      <c r="I895" s="2">
        <v>70</v>
      </c>
      <c r="J895" s="2">
        <v>108</v>
      </c>
      <c r="K895" s="2">
        <v>43513.48</v>
      </c>
      <c r="L895" s="2">
        <v>428.89</v>
      </c>
      <c r="M895" s="2">
        <v>188.99</v>
      </c>
      <c r="N895" s="2" t="s">
        <v>30</v>
      </c>
      <c r="O895" s="2">
        <v>5</v>
      </c>
    </row>
    <row r="896" spans="1:15" x14ac:dyDescent="0.3">
      <c r="A896" s="2" t="s">
        <v>953</v>
      </c>
      <c r="B896" s="1">
        <v>46131</v>
      </c>
      <c r="C896" s="2" t="s">
        <v>24</v>
      </c>
      <c r="D896" s="2" t="s">
        <v>82</v>
      </c>
      <c r="E896" s="2" t="s">
        <v>38</v>
      </c>
      <c r="F896" s="2" t="s">
        <v>68</v>
      </c>
      <c r="G896" s="2" t="s">
        <v>20</v>
      </c>
      <c r="H896" s="2" t="s">
        <v>21</v>
      </c>
      <c r="I896" s="2">
        <v>32</v>
      </c>
      <c r="J896" s="2">
        <v>33</v>
      </c>
      <c r="K896" s="2">
        <v>45270.41</v>
      </c>
      <c r="L896" s="2">
        <v>267.27999999999997</v>
      </c>
      <c r="M896" s="2">
        <v>96.36</v>
      </c>
      <c r="N896" s="2" t="s">
        <v>30</v>
      </c>
      <c r="O896" s="2">
        <v>5</v>
      </c>
    </row>
    <row r="897" spans="1:15" x14ac:dyDescent="0.3">
      <c r="A897" s="2" t="s">
        <v>954</v>
      </c>
      <c r="B897" s="1">
        <v>45942</v>
      </c>
      <c r="C897" s="2" t="s">
        <v>24</v>
      </c>
      <c r="D897" s="2" t="s">
        <v>86</v>
      </c>
      <c r="E897" s="2" t="s">
        <v>58</v>
      </c>
      <c r="F897" s="2" t="s">
        <v>68</v>
      </c>
      <c r="G897" s="2" t="s">
        <v>55</v>
      </c>
      <c r="H897" s="2" t="s">
        <v>29</v>
      </c>
      <c r="I897" s="2">
        <v>45</v>
      </c>
      <c r="J897" s="2">
        <v>76</v>
      </c>
      <c r="K897" s="2">
        <v>537.01</v>
      </c>
      <c r="L897" s="2">
        <v>346.71</v>
      </c>
      <c r="M897" s="2">
        <v>171.36</v>
      </c>
      <c r="N897" s="2" t="s">
        <v>30</v>
      </c>
      <c r="O897" s="2">
        <v>3</v>
      </c>
    </row>
    <row r="898" spans="1:15" x14ac:dyDescent="0.3">
      <c r="A898" s="2" t="s">
        <v>955</v>
      </c>
      <c r="B898" s="1">
        <v>46098</v>
      </c>
      <c r="C898" s="2" t="s">
        <v>74</v>
      </c>
      <c r="D898" s="2" t="s">
        <v>78</v>
      </c>
      <c r="E898" s="2" t="s">
        <v>45</v>
      </c>
      <c r="F898" s="2" t="s">
        <v>68</v>
      </c>
      <c r="G898" s="2" t="s">
        <v>55</v>
      </c>
      <c r="H898" s="2" t="s">
        <v>56</v>
      </c>
      <c r="I898" s="2">
        <v>37</v>
      </c>
      <c r="J898" s="2">
        <v>49</v>
      </c>
      <c r="K898" s="2">
        <v>29909.75</v>
      </c>
      <c r="L898" s="2">
        <v>279.81</v>
      </c>
      <c r="M898" s="2">
        <v>165.11</v>
      </c>
      <c r="N898" s="2" t="s">
        <v>30</v>
      </c>
      <c r="O898" s="2">
        <v>4</v>
      </c>
    </row>
    <row r="899" spans="1:15" x14ac:dyDescent="0.3">
      <c r="A899" s="2" t="s">
        <v>956</v>
      </c>
      <c r="B899" s="1">
        <v>45875</v>
      </c>
      <c r="C899" s="2" t="s">
        <v>24</v>
      </c>
      <c r="D899" s="2" t="s">
        <v>62</v>
      </c>
      <c r="E899" s="2" t="s">
        <v>18</v>
      </c>
      <c r="F899" s="2" t="s">
        <v>39</v>
      </c>
      <c r="G899" s="2" t="s">
        <v>55</v>
      </c>
      <c r="H899" s="2" t="s">
        <v>21</v>
      </c>
      <c r="I899" s="2">
        <v>46</v>
      </c>
      <c r="J899" s="2">
        <v>56</v>
      </c>
      <c r="K899" s="2">
        <v>36105.379999999997</v>
      </c>
      <c r="L899" s="2">
        <v>264.67</v>
      </c>
      <c r="M899" s="2">
        <v>55.05</v>
      </c>
      <c r="N899" s="2" t="s">
        <v>30</v>
      </c>
      <c r="O899" s="2">
        <v>4</v>
      </c>
    </row>
    <row r="900" spans="1:15" x14ac:dyDescent="0.3">
      <c r="A900" s="2" t="s">
        <v>957</v>
      </c>
      <c r="B900" s="1">
        <v>45874</v>
      </c>
      <c r="C900" s="2" t="s">
        <v>16</v>
      </c>
      <c r="D900" s="2" t="s">
        <v>17</v>
      </c>
      <c r="E900" s="2" t="s">
        <v>45</v>
      </c>
      <c r="F900" s="2" t="s">
        <v>39</v>
      </c>
      <c r="G900" s="2" t="s">
        <v>20</v>
      </c>
      <c r="H900" s="2" t="s">
        <v>56</v>
      </c>
      <c r="I900" s="2">
        <v>66</v>
      </c>
      <c r="J900" s="2">
        <v>63</v>
      </c>
      <c r="K900" s="2">
        <v>31127.98</v>
      </c>
      <c r="L900" s="2">
        <v>425.7</v>
      </c>
      <c r="M900" s="2">
        <v>15.04</v>
      </c>
      <c r="N900" s="2" t="s">
        <v>22</v>
      </c>
      <c r="O900" s="2">
        <v>1</v>
      </c>
    </row>
    <row r="901" spans="1:15" x14ac:dyDescent="0.3">
      <c r="A901" s="2" t="s">
        <v>958</v>
      </c>
      <c r="B901" s="1">
        <v>45921</v>
      </c>
      <c r="C901" s="2" t="s">
        <v>41</v>
      </c>
      <c r="D901" s="2" t="s">
        <v>67</v>
      </c>
      <c r="E901" s="2" t="s">
        <v>58</v>
      </c>
      <c r="F901" s="2" t="s">
        <v>39</v>
      </c>
      <c r="G901" s="2" t="s">
        <v>20</v>
      </c>
      <c r="H901" s="2" t="s">
        <v>52</v>
      </c>
      <c r="I901" s="2">
        <v>68</v>
      </c>
      <c r="J901" s="2">
        <v>3</v>
      </c>
      <c r="K901" s="2">
        <v>4543.1499999999996</v>
      </c>
      <c r="L901" s="2">
        <v>390.15</v>
      </c>
      <c r="M901" s="2">
        <v>141.56</v>
      </c>
      <c r="N901" s="2" t="s">
        <v>30</v>
      </c>
      <c r="O901" s="2">
        <v>3</v>
      </c>
    </row>
    <row r="902" spans="1:15" x14ac:dyDescent="0.3">
      <c r="A902" s="2" t="s">
        <v>959</v>
      </c>
      <c r="B902" s="1">
        <v>46118</v>
      </c>
      <c r="C902" s="2" t="s">
        <v>32</v>
      </c>
      <c r="D902" s="2" t="s">
        <v>86</v>
      </c>
      <c r="E902" s="2" t="s">
        <v>45</v>
      </c>
      <c r="F902" s="2" t="s">
        <v>19</v>
      </c>
      <c r="G902" s="2" t="s">
        <v>35</v>
      </c>
      <c r="H902" s="2" t="s">
        <v>56</v>
      </c>
      <c r="I902" s="2">
        <v>34</v>
      </c>
      <c r="J902" s="2">
        <v>107</v>
      </c>
      <c r="K902" s="2">
        <v>11277.38</v>
      </c>
      <c r="L902" s="2">
        <v>267.52999999999997</v>
      </c>
      <c r="M902" s="2">
        <v>96.6</v>
      </c>
      <c r="N902" s="2" t="s">
        <v>30</v>
      </c>
      <c r="O902" s="2">
        <v>4</v>
      </c>
    </row>
    <row r="903" spans="1:15" x14ac:dyDescent="0.3">
      <c r="A903" s="2" t="s">
        <v>960</v>
      </c>
      <c r="B903" s="1">
        <v>46212</v>
      </c>
      <c r="C903" s="2" t="s">
        <v>24</v>
      </c>
      <c r="D903" s="2" t="s">
        <v>25</v>
      </c>
      <c r="E903" s="2" t="s">
        <v>45</v>
      </c>
      <c r="F903" s="2" t="s">
        <v>19</v>
      </c>
      <c r="G903" s="2" t="s">
        <v>28</v>
      </c>
      <c r="H903" s="2" t="s">
        <v>56</v>
      </c>
      <c r="I903" s="2">
        <v>61</v>
      </c>
      <c r="J903" s="2">
        <v>49</v>
      </c>
      <c r="K903" s="2">
        <v>12891.84</v>
      </c>
      <c r="L903" s="2">
        <v>100.24</v>
      </c>
      <c r="M903" s="2">
        <v>179.3</v>
      </c>
      <c r="N903" s="2" t="s">
        <v>30</v>
      </c>
      <c r="O903" s="2">
        <v>5</v>
      </c>
    </row>
    <row r="904" spans="1:15" x14ac:dyDescent="0.3">
      <c r="A904" s="2" t="s">
        <v>961</v>
      </c>
      <c r="B904" s="1">
        <v>45992</v>
      </c>
      <c r="C904" s="2" t="s">
        <v>74</v>
      </c>
      <c r="D904" s="2" t="s">
        <v>78</v>
      </c>
      <c r="E904" s="2" t="s">
        <v>58</v>
      </c>
      <c r="F904" s="2" t="s">
        <v>19</v>
      </c>
      <c r="G904" s="2" t="s">
        <v>28</v>
      </c>
      <c r="H904" s="2" t="s">
        <v>52</v>
      </c>
      <c r="I904" s="2">
        <v>56</v>
      </c>
      <c r="J904" s="2">
        <v>55</v>
      </c>
      <c r="K904" s="2">
        <v>41670.370000000003</v>
      </c>
      <c r="L904" s="2">
        <v>101.93</v>
      </c>
      <c r="M904" s="2">
        <v>196.54</v>
      </c>
      <c r="N904" s="2" t="s">
        <v>30</v>
      </c>
      <c r="O904" s="2">
        <v>5</v>
      </c>
    </row>
    <row r="905" spans="1:15" x14ac:dyDescent="0.3">
      <c r="A905" s="2" t="s">
        <v>962</v>
      </c>
      <c r="B905" s="1">
        <v>46011</v>
      </c>
      <c r="C905" s="2" t="s">
        <v>16</v>
      </c>
      <c r="D905" s="2" t="s">
        <v>17</v>
      </c>
      <c r="E905" s="2" t="s">
        <v>38</v>
      </c>
      <c r="F905" s="2" t="s">
        <v>27</v>
      </c>
      <c r="G905" s="2" t="s">
        <v>35</v>
      </c>
      <c r="H905" s="2" t="s">
        <v>29</v>
      </c>
      <c r="I905" s="2">
        <v>43</v>
      </c>
      <c r="J905" s="2">
        <v>26</v>
      </c>
      <c r="K905" s="2">
        <v>23428.37</v>
      </c>
      <c r="L905" s="2">
        <v>410.69</v>
      </c>
      <c r="M905" s="2">
        <v>119.73</v>
      </c>
      <c r="N905" s="2" t="s">
        <v>22</v>
      </c>
      <c r="O905" s="2">
        <v>2</v>
      </c>
    </row>
    <row r="906" spans="1:15" x14ac:dyDescent="0.3">
      <c r="A906" s="2" t="s">
        <v>963</v>
      </c>
      <c r="B906" s="1">
        <v>46190</v>
      </c>
      <c r="C906" s="2" t="s">
        <v>41</v>
      </c>
      <c r="D906" s="2" t="s">
        <v>17</v>
      </c>
      <c r="E906" s="2" t="s">
        <v>45</v>
      </c>
      <c r="F906" s="2" t="s">
        <v>19</v>
      </c>
      <c r="G906" s="2" t="s">
        <v>35</v>
      </c>
      <c r="H906" s="2" t="s">
        <v>21</v>
      </c>
      <c r="I906" s="2">
        <v>63</v>
      </c>
      <c r="J906" s="2">
        <v>99</v>
      </c>
      <c r="K906" s="2">
        <v>24598</v>
      </c>
      <c r="L906" s="2">
        <v>288.23</v>
      </c>
      <c r="M906" s="2">
        <v>83.09</v>
      </c>
      <c r="N906" s="2" t="s">
        <v>30</v>
      </c>
      <c r="O906" s="2">
        <v>2</v>
      </c>
    </row>
    <row r="907" spans="1:15" x14ac:dyDescent="0.3">
      <c r="A907" s="2" t="s">
        <v>964</v>
      </c>
      <c r="B907" s="1">
        <v>46105</v>
      </c>
      <c r="C907" s="2" t="s">
        <v>54</v>
      </c>
      <c r="D907" s="2" t="s">
        <v>44</v>
      </c>
      <c r="E907" s="2" t="s">
        <v>45</v>
      </c>
      <c r="F907" s="2" t="s">
        <v>39</v>
      </c>
      <c r="G907" s="2" t="s">
        <v>55</v>
      </c>
      <c r="H907" s="2" t="s">
        <v>52</v>
      </c>
      <c r="I907" s="2">
        <v>26</v>
      </c>
      <c r="J907" s="2">
        <v>72</v>
      </c>
      <c r="K907" s="2">
        <v>46777.21</v>
      </c>
      <c r="L907" s="2">
        <v>266.72000000000003</v>
      </c>
      <c r="M907" s="2">
        <v>81.59</v>
      </c>
      <c r="N907" s="2" t="s">
        <v>30</v>
      </c>
      <c r="O907" s="2">
        <v>5</v>
      </c>
    </row>
    <row r="908" spans="1:15" x14ac:dyDescent="0.3">
      <c r="A908" s="2" t="s">
        <v>965</v>
      </c>
      <c r="B908" s="1">
        <v>45914</v>
      </c>
      <c r="C908" s="2" t="s">
        <v>54</v>
      </c>
      <c r="D908" s="2" t="s">
        <v>78</v>
      </c>
      <c r="E908" s="2" t="s">
        <v>38</v>
      </c>
      <c r="F908" s="2" t="s">
        <v>39</v>
      </c>
      <c r="G908" s="2" t="s">
        <v>35</v>
      </c>
      <c r="H908" s="2" t="s">
        <v>56</v>
      </c>
      <c r="I908" s="2">
        <v>67</v>
      </c>
      <c r="J908" s="2">
        <v>52</v>
      </c>
      <c r="K908" s="2">
        <v>32035.75</v>
      </c>
      <c r="L908" s="2">
        <v>356.26</v>
      </c>
      <c r="M908" s="2">
        <v>64.91</v>
      </c>
      <c r="N908" s="2" t="s">
        <v>30</v>
      </c>
      <c r="O908" s="2">
        <v>5</v>
      </c>
    </row>
    <row r="909" spans="1:15" x14ac:dyDescent="0.3">
      <c r="A909" s="2" t="s">
        <v>966</v>
      </c>
      <c r="B909" s="1">
        <v>45872</v>
      </c>
      <c r="C909" s="2" t="s">
        <v>41</v>
      </c>
      <c r="D909" s="2" t="s">
        <v>33</v>
      </c>
      <c r="E909" s="2" t="s">
        <v>45</v>
      </c>
      <c r="F909" s="2" t="s">
        <v>27</v>
      </c>
      <c r="G909" s="2" t="s">
        <v>64</v>
      </c>
      <c r="H909" s="2" t="s">
        <v>21</v>
      </c>
      <c r="I909" s="2">
        <v>25</v>
      </c>
      <c r="J909" s="2">
        <v>100</v>
      </c>
      <c r="K909" s="2">
        <v>44984.05</v>
      </c>
      <c r="L909" s="2">
        <v>436.48</v>
      </c>
      <c r="M909" s="2">
        <v>156.34</v>
      </c>
      <c r="N909" s="2" t="s">
        <v>30</v>
      </c>
      <c r="O909" s="2">
        <v>2</v>
      </c>
    </row>
    <row r="910" spans="1:15" x14ac:dyDescent="0.3">
      <c r="A910" s="2" t="s">
        <v>967</v>
      </c>
      <c r="B910" s="1">
        <v>45917</v>
      </c>
      <c r="C910" s="2" t="s">
        <v>16</v>
      </c>
      <c r="D910" s="2" t="s">
        <v>76</v>
      </c>
      <c r="E910" s="2" t="s">
        <v>45</v>
      </c>
      <c r="F910" s="2" t="s">
        <v>27</v>
      </c>
      <c r="G910" s="2" t="s">
        <v>28</v>
      </c>
      <c r="H910" s="2" t="s">
        <v>52</v>
      </c>
      <c r="I910" s="2">
        <v>63</v>
      </c>
      <c r="J910" s="2">
        <v>117</v>
      </c>
      <c r="K910" s="2">
        <v>23097.19</v>
      </c>
      <c r="L910" s="2">
        <v>332.99</v>
      </c>
      <c r="M910" s="2">
        <v>151.80000000000001</v>
      </c>
      <c r="N910" s="2" t="s">
        <v>30</v>
      </c>
      <c r="O910" s="2">
        <v>4</v>
      </c>
    </row>
    <row r="911" spans="1:15" x14ac:dyDescent="0.3">
      <c r="A911" s="2" t="s">
        <v>968</v>
      </c>
      <c r="B911" s="1">
        <v>45989</v>
      </c>
      <c r="C911" s="2" t="s">
        <v>74</v>
      </c>
      <c r="D911" s="2" t="s">
        <v>47</v>
      </c>
      <c r="E911" s="2" t="s">
        <v>45</v>
      </c>
      <c r="F911" s="2" t="s">
        <v>19</v>
      </c>
      <c r="G911" s="2" t="s">
        <v>35</v>
      </c>
      <c r="H911" s="2" t="s">
        <v>21</v>
      </c>
      <c r="I911" s="2">
        <v>45</v>
      </c>
      <c r="J911" s="2">
        <v>118</v>
      </c>
      <c r="K911" s="2">
        <v>7897.09</v>
      </c>
      <c r="L911" s="2">
        <v>393.28</v>
      </c>
      <c r="M911" s="2">
        <v>95.73</v>
      </c>
      <c r="N911" s="2" t="s">
        <v>30</v>
      </c>
      <c r="O911" s="2">
        <v>1</v>
      </c>
    </row>
    <row r="912" spans="1:15" x14ac:dyDescent="0.3">
      <c r="A912" s="2" t="s">
        <v>969</v>
      </c>
      <c r="B912" s="1">
        <v>46119</v>
      </c>
      <c r="C912" s="2" t="s">
        <v>41</v>
      </c>
      <c r="D912" s="2" t="s">
        <v>25</v>
      </c>
      <c r="E912" s="2" t="s">
        <v>26</v>
      </c>
      <c r="F912" s="2" t="s">
        <v>34</v>
      </c>
      <c r="G912" s="2" t="s">
        <v>64</v>
      </c>
      <c r="H912" s="2" t="s">
        <v>21</v>
      </c>
      <c r="I912" s="2">
        <v>38</v>
      </c>
      <c r="J912" s="2">
        <v>7</v>
      </c>
      <c r="K912" s="2">
        <v>46531.81</v>
      </c>
      <c r="L912" s="2">
        <v>394.37</v>
      </c>
      <c r="M912" s="2">
        <v>8.93</v>
      </c>
      <c r="N912" s="2" t="s">
        <v>30</v>
      </c>
      <c r="O912" s="2">
        <v>2</v>
      </c>
    </row>
    <row r="913" spans="1:15" x14ac:dyDescent="0.3">
      <c r="A913" s="2" t="s">
        <v>970</v>
      </c>
      <c r="B913" s="1">
        <v>46005</v>
      </c>
      <c r="C913" s="2" t="s">
        <v>32</v>
      </c>
      <c r="D913" s="2" t="s">
        <v>47</v>
      </c>
      <c r="E913" s="2" t="s">
        <v>38</v>
      </c>
      <c r="F913" s="2" t="s">
        <v>27</v>
      </c>
      <c r="G913" s="2" t="s">
        <v>64</v>
      </c>
      <c r="H913" s="2" t="s">
        <v>52</v>
      </c>
      <c r="I913" s="2">
        <v>33</v>
      </c>
      <c r="J913" s="2">
        <v>46</v>
      </c>
      <c r="K913" s="2">
        <v>23205.9</v>
      </c>
      <c r="L913" s="2">
        <v>210.32</v>
      </c>
      <c r="M913" s="2">
        <v>61.91</v>
      </c>
      <c r="N913" s="2" t="s">
        <v>22</v>
      </c>
      <c r="O913" s="2">
        <v>4</v>
      </c>
    </row>
    <row r="914" spans="1:15" x14ac:dyDescent="0.3">
      <c r="A914" s="2" t="s">
        <v>971</v>
      </c>
      <c r="B914" s="1">
        <v>46113</v>
      </c>
      <c r="C914" s="2" t="s">
        <v>32</v>
      </c>
      <c r="D914" s="2" t="s">
        <v>62</v>
      </c>
      <c r="E914" s="2" t="s">
        <v>45</v>
      </c>
      <c r="F914" s="2" t="s">
        <v>68</v>
      </c>
      <c r="G914" s="2" t="s">
        <v>64</v>
      </c>
      <c r="H914" s="2" t="s">
        <v>21</v>
      </c>
      <c r="I914" s="2">
        <v>63</v>
      </c>
      <c r="J914" s="2">
        <v>46</v>
      </c>
      <c r="K914" s="2">
        <v>9490.76</v>
      </c>
      <c r="L914" s="2">
        <v>173.34</v>
      </c>
      <c r="M914" s="2">
        <v>58.46</v>
      </c>
      <c r="N914" s="2" t="s">
        <v>22</v>
      </c>
      <c r="O914" s="2">
        <v>4</v>
      </c>
    </row>
    <row r="915" spans="1:15" x14ac:dyDescent="0.3">
      <c r="A915" s="2" t="s">
        <v>972</v>
      </c>
      <c r="B915" s="1">
        <v>45872</v>
      </c>
      <c r="C915" s="2" t="s">
        <v>54</v>
      </c>
      <c r="D915" s="2" t="s">
        <v>62</v>
      </c>
      <c r="E915" s="2" t="s">
        <v>38</v>
      </c>
      <c r="F915" s="2" t="s">
        <v>39</v>
      </c>
      <c r="G915" s="2" t="s">
        <v>64</v>
      </c>
      <c r="H915" s="2" t="s">
        <v>29</v>
      </c>
      <c r="I915" s="2">
        <v>34</v>
      </c>
      <c r="J915" s="2">
        <v>100</v>
      </c>
      <c r="K915" s="2">
        <v>15468.59</v>
      </c>
      <c r="L915" s="2">
        <v>410.52</v>
      </c>
      <c r="M915" s="2">
        <v>243.33</v>
      </c>
      <c r="N915" s="2" t="s">
        <v>30</v>
      </c>
      <c r="O915" s="2">
        <v>4</v>
      </c>
    </row>
    <row r="916" spans="1:15" x14ac:dyDescent="0.3">
      <c r="A916" s="2" t="s">
        <v>973</v>
      </c>
      <c r="B916" s="1">
        <v>46235</v>
      </c>
      <c r="C916" s="2" t="s">
        <v>24</v>
      </c>
      <c r="D916" s="2" t="s">
        <v>47</v>
      </c>
      <c r="E916" s="2" t="s">
        <v>18</v>
      </c>
      <c r="F916" s="2" t="s">
        <v>68</v>
      </c>
      <c r="G916" s="2" t="s">
        <v>55</v>
      </c>
      <c r="H916" s="2" t="s">
        <v>52</v>
      </c>
      <c r="I916" s="2">
        <v>48</v>
      </c>
      <c r="J916" s="2">
        <v>16</v>
      </c>
      <c r="K916" s="2">
        <v>3014.73</v>
      </c>
      <c r="L916" s="2">
        <v>219.73</v>
      </c>
      <c r="M916" s="2">
        <v>17.52</v>
      </c>
      <c r="N916" s="2" t="s">
        <v>30</v>
      </c>
      <c r="O916" s="2">
        <v>3</v>
      </c>
    </row>
    <row r="917" spans="1:15" x14ac:dyDescent="0.3">
      <c r="A917" s="2" t="s">
        <v>974</v>
      </c>
      <c r="B917" s="1">
        <v>46129</v>
      </c>
      <c r="C917" s="2" t="s">
        <v>74</v>
      </c>
      <c r="D917" s="2" t="s">
        <v>82</v>
      </c>
      <c r="E917" s="2" t="s">
        <v>18</v>
      </c>
      <c r="F917" s="2" t="s">
        <v>39</v>
      </c>
      <c r="G917" s="2" t="s">
        <v>64</v>
      </c>
      <c r="H917" s="2" t="s">
        <v>29</v>
      </c>
      <c r="I917" s="2">
        <v>38</v>
      </c>
      <c r="J917" s="2">
        <v>24</v>
      </c>
      <c r="K917" s="2">
        <v>23680.880000000001</v>
      </c>
      <c r="L917" s="2">
        <v>456.5</v>
      </c>
      <c r="M917" s="2">
        <v>241.71</v>
      </c>
      <c r="N917" s="2" t="s">
        <v>30</v>
      </c>
      <c r="O917" s="2">
        <v>3</v>
      </c>
    </row>
    <row r="918" spans="1:15" x14ac:dyDescent="0.3">
      <c r="A918" s="2" t="s">
        <v>975</v>
      </c>
      <c r="B918" s="1">
        <v>45886</v>
      </c>
      <c r="C918" s="2" t="s">
        <v>54</v>
      </c>
      <c r="D918" s="2" t="s">
        <v>33</v>
      </c>
      <c r="E918" s="2" t="s">
        <v>45</v>
      </c>
      <c r="F918" s="2" t="s">
        <v>39</v>
      </c>
      <c r="G918" s="2" t="s">
        <v>55</v>
      </c>
      <c r="H918" s="2" t="s">
        <v>56</v>
      </c>
      <c r="I918" s="2">
        <v>48</v>
      </c>
      <c r="J918" s="2">
        <v>61</v>
      </c>
      <c r="K918" s="2">
        <v>42729.84</v>
      </c>
      <c r="L918" s="2">
        <v>81.36</v>
      </c>
      <c r="M918" s="2">
        <v>133.84</v>
      </c>
      <c r="N918" s="2" t="s">
        <v>30</v>
      </c>
      <c r="O918" s="2">
        <v>4</v>
      </c>
    </row>
    <row r="919" spans="1:15" x14ac:dyDescent="0.3">
      <c r="A919" s="2" t="s">
        <v>976</v>
      </c>
      <c r="B919" s="1">
        <v>45871</v>
      </c>
      <c r="C919" s="2" t="s">
        <v>24</v>
      </c>
      <c r="D919" s="2" t="s">
        <v>60</v>
      </c>
      <c r="E919" s="2" t="s">
        <v>38</v>
      </c>
      <c r="F919" s="2" t="s">
        <v>27</v>
      </c>
      <c r="G919" s="2" t="s">
        <v>55</v>
      </c>
      <c r="H919" s="2" t="s">
        <v>21</v>
      </c>
      <c r="I919" s="2">
        <v>71</v>
      </c>
      <c r="J919" s="2">
        <v>54</v>
      </c>
      <c r="K919" s="2">
        <v>46712.23</v>
      </c>
      <c r="L919" s="2">
        <v>76.2</v>
      </c>
      <c r="M919" s="2">
        <v>146.49</v>
      </c>
      <c r="N919" s="2" t="s">
        <v>30</v>
      </c>
      <c r="O919" s="2">
        <v>5</v>
      </c>
    </row>
    <row r="920" spans="1:15" x14ac:dyDescent="0.3">
      <c r="A920" s="2" t="s">
        <v>977</v>
      </c>
      <c r="B920" s="1">
        <v>45957</v>
      </c>
      <c r="C920" s="2" t="s">
        <v>24</v>
      </c>
      <c r="D920" s="2" t="s">
        <v>82</v>
      </c>
      <c r="E920" s="2" t="s">
        <v>38</v>
      </c>
      <c r="F920" s="2" t="s">
        <v>27</v>
      </c>
      <c r="G920" s="2" t="s">
        <v>64</v>
      </c>
      <c r="H920" s="2" t="s">
        <v>56</v>
      </c>
      <c r="I920" s="2">
        <v>47</v>
      </c>
      <c r="J920" s="2">
        <v>62</v>
      </c>
      <c r="K920" s="2">
        <v>46663.81</v>
      </c>
      <c r="L920" s="2">
        <v>467.15</v>
      </c>
      <c r="M920" s="2">
        <v>86.44</v>
      </c>
      <c r="N920" s="2" t="s">
        <v>22</v>
      </c>
      <c r="O920" s="2">
        <v>3</v>
      </c>
    </row>
    <row r="921" spans="1:15" x14ac:dyDescent="0.3">
      <c r="A921" s="2" t="s">
        <v>978</v>
      </c>
      <c r="B921" s="1">
        <v>46005</v>
      </c>
      <c r="C921" s="2" t="s">
        <v>43</v>
      </c>
      <c r="D921" s="2" t="s">
        <v>49</v>
      </c>
      <c r="E921" s="2" t="s">
        <v>38</v>
      </c>
      <c r="F921" s="2" t="s">
        <v>68</v>
      </c>
      <c r="G921" s="2" t="s">
        <v>28</v>
      </c>
      <c r="H921" s="2" t="s">
        <v>56</v>
      </c>
      <c r="I921" s="2">
        <v>52</v>
      </c>
      <c r="J921" s="2">
        <v>1</v>
      </c>
      <c r="K921" s="2">
        <v>6698.89</v>
      </c>
      <c r="L921" s="2">
        <v>341.8</v>
      </c>
      <c r="M921" s="2">
        <v>135.94999999999999</v>
      </c>
      <c r="N921" s="2" t="s">
        <v>30</v>
      </c>
      <c r="O921" s="2">
        <v>2</v>
      </c>
    </row>
    <row r="922" spans="1:15" x14ac:dyDescent="0.3">
      <c r="A922" s="2" t="s">
        <v>979</v>
      </c>
      <c r="B922" s="1">
        <v>46229</v>
      </c>
      <c r="C922" s="2" t="s">
        <v>32</v>
      </c>
      <c r="D922" s="2" t="s">
        <v>82</v>
      </c>
      <c r="E922" s="2" t="s">
        <v>26</v>
      </c>
      <c r="F922" s="2" t="s">
        <v>39</v>
      </c>
      <c r="G922" s="2" t="s">
        <v>64</v>
      </c>
      <c r="H922" s="2" t="s">
        <v>21</v>
      </c>
      <c r="I922" s="2">
        <v>67</v>
      </c>
      <c r="J922" s="2">
        <v>49</v>
      </c>
      <c r="K922" s="2">
        <v>19411.669999999998</v>
      </c>
      <c r="L922" s="2">
        <v>220.82</v>
      </c>
      <c r="M922" s="2">
        <v>121.81</v>
      </c>
      <c r="N922" s="2" t="s">
        <v>22</v>
      </c>
      <c r="O922" s="2">
        <v>3</v>
      </c>
    </row>
    <row r="923" spans="1:15" x14ac:dyDescent="0.3">
      <c r="A923" s="2" t="s">
        <v>980</v>
      </c>
      <c r="B923" s="1">
        <v>46087</v>
      </c>
      <c r="C923" s="2" t="s">
        <v>16</v>
      </c>
      <c r="D923" s="2" t="s">
        <v>67</v>
      </c>
      <c r="E923" s="2" t="s">
        <v>18</v>
      </c>
      <c r="F923" s="2" t="s">
        <v>68</v>
      </c>
      <c r="G923" s="2" t="s">
        <v>64</v>
      </c>
      <c r="H923" s="2" t="s">
        <v>52</v>
      </c>
      <c r="I923" s="2">
        <v>29</v>
      </c>
      <c r="J923" s="2">
        <v>25</v>
      </c>
      <c r="K923" s="2">
        <v>1897.32</v>
      </c>
      <c r="L923" s="2">
        <v>389.78</v>
      </c>
      <c r="M923" s="2">
        <v>153.80000000000001</v>
      </c>
      <c r="N923" s="2" t="s">
        <v>30</v>
      </c>
      <c r="O923" s="2">
        <v>5</v>
      </c>
    </row>
    <row r="924" spans="1:15" x14ac:dyDescent="0.3">
      <c r="A924" s="2" t="s">
        <v>981</v>
      </c>
      <c r="B924" s="1">
        <v>46224</v>
      </c>
      <c r="C924" s="2" t="s">
        <v>90</v>
      </c>
      <c r="D924" s="2" t="s">
        <v>37</v>
      </c>
      <c r="E924" s="2" t="s">
        <v>38</v>
      </c>
      <c r="F924" s="2" t="s">
        <v>34</v>
      </c>
      <c r="G924" s="2" t="s">
        <v>64</v>
      </c>
      <c r="H924" s="2" t="s">
        <v>21</v>
      </c>
      <c r="I924" s="2">
        <v>60</v>
      </c>
      <c r="J924" s="2">
        <v>10</v>
      </c>
      <c r="K924" s="2">
        <v>42830.68</v>
      </c>
      <c r="L924" s="2">
        <v>352.55</v>
      </c>
      <c r="M924" s="2">
        <v>89.35</v>
      </c>
      <c r="N924" s="2" t="s">
        <v>22</v>
      </c>
      <c r="O924" s="2">
        <v>1</v>
      </c>
    </row>
    <row r="925" spans="1:15" x14ac:dyDescent="0.3">
      <c r="A925" s="2" t="s">
        <v>982</v>
      </c>
      <c r="B925" s="1">
        <v>46164</v>
      </c>
      <c r="C925" s="2" t="s">
        <v>16</v>
      </c>
      <c r="D925" s="2" t="s">
        <v>76</v>
      </c>
      <c r="E925" s="2" t="s">
        <v>38</v>
      </c>
      <c r="F925" s="2" t="s">
        <v>68</v>
      </c>
      <c r="G925" s="2" t="s">
        <v>28</v>
      </c>
      <c r="H925" s="2" t="s">
        <v>56</v>
      </c>
      <c r="I925" s="2">
        <v>52</v>
      </c>
      <c r="J925" s="2">
        <v>118</v>
      </c>
      <c r="K925" s="2">
        <v>18258.41</v>
      </c>
      <c r="L925" s="2">
        <v>289.04000000000002</v>
      </c>
      <c r="M925" s="2">
        <v>94.57</v>
      </c>
      <c r="N925" s="2" t="s">
        <v>30</v>
      </c>
      <c r="O925" s="2">
        <v>3</v>
      </c>
    </row>
    <row r="926" spans="1:15" x14ac:dyDescent="0.3">
      <c r="A926" s="2" t="s">
        <v>983</v>
      </c>
      <c r="B926" s="1">
        <v>46053</v>
      </c>
      <c r="C926" s="2" t="s">
        <v>90</v>
      </c>
      <c r="D926" s="2" t="s">
        <v>67</v>
      </c>
      <c r="E926" s="2" t="s">
        <v>26</v>
      </c>
      <c r="F926" s="2" t="s">
        <v>19</v>
      </c>
      <c r="G926" s="2" t="s">
        <v>20</v>
      </c>
      <c r="H926" s="2" t="s">
        <v>56</v>
      </c>
      <c r="I926" s="2">
        <v>40</v>
      </c>
      <c r="J926" s="2">
        <v>80</v>
      </c>
      <c r="K926" s="2">
        <v>31740.29</v>
      </c>
      <c r="L926" s="2">
        <v>94.49</v>
      </c>
      <c r="M926" s="2">
        <v>128.72</v>
      </c>
      <c r="N926" s="2" t="s">
        <v>22</v>
      </c>
      <c r="O926" s="2">
        <v>4</v>
      </c>
    </row>
    <row r="927" spans="1:15" x14ac:dyDescent="0.3">
      <c r="A927" s="2" t="s">
        <v>984</v>
      </c>
      <c r="B927" s="1">
        <v>46017</v>
      </c>
      <c r="C927" s="2" t="s">
        <v>41</v>
      </c>
      <c r="D927" s="2" t="s">
        <v>44</v>
      </c>
      <c r="E927" s="2" t="s">
        <v>26</v>
      </c>
      <c r="F927" s="2" t="s">
        <v>68</v>
      </c>
      <c r="G927" s="2" t="s">
        <v>20</v>
      </c>
      <c r="H927" s="2" t="s">
        <v>52</v>
      </c>
      <c r="I927" s="2">
        <v>48</v>
      </c>
      <c r="J927" s="2">
        <v>16</v>
      </c>
      <c r="K927" s="2">
        <v>35887.47</v>
      </c>
      <c r="L927" s="2">
        <v>415.48</v>
      </c>
      <c r="M927" s="2">
        <v>21.62</v>
      </c>
      <c r="N927" s="2" t="s">
        <v>30</v>
      </c>
      <c r="O927" s="2">
        <v>4</v>
      </c>
    </row>
    <row r="928" spans="1:15" x14ac:dyDescent="0.3">
      <c r="A928" s="2" t="s">
        <v>985</v>
      </c>
      <c r="B928" s="1">
        <v>46235</v>
      </c>
      <c r="C928" s="2" t="s">
        <v>32</v>
      </c>
      <c r="D928" s="2" t="s">
        <v>37</v>
      </c>
      <c r="E928" s="2" t="s">
        <v>38</v>
      </c>
      <c r="F928" s="2" t="s">
        <v>19</v>
      </c>
      <c r="G928" s="2" t="s">
        <v>55</v>
      </c>
      <c r="H928" s="2" t="s">
        <v>21</v>
      </c>
      <c r="I928" s="2">
        <v>53</v>
      </c>
      <c r="J928" s="2">
        <v>58</v>
      </c>
      <c r="K928" s="2">
        <v>21777.31</v>
      </c>
      <c r="L928" s="2">
        <v>439.71</v>
      </c>
      <c r="M928" s="2">
        <v>87.25</v>
      </c>
      <c r="N928" s="2" t="s">
        <v>22</v>
      </c>
      <c r="O928" s="2">
        <v>4</v>
      </c>
    </row>
    <row r="929" spans="1:15" x14ac:dyDescent="0.3">
      <c r="A929" s="2" t="s">
        <v>986</v>
      </c>
      <c r="B929" s="1">
        <v>45891</v>
      </c>
      <c r="C929" s="2" t="s">
        <v>24</v>
      </c>
      <c r="D929" s="2" t="s">
        <v>37</v>
      </c>
      <c r="E929" s="2" t="s">
        <v>58</v>
      </c>
      <c r="F929" s="2" t="s">
        <v>19</v>
      </c>
      <c r="G929" s="2" t="s">
        <v>55</v>
      </c>
      <c r="H929" s="2" t="s">
        <v>56</v>
      </c>
      <c r="I929" s="2">
        <v>24</v>
      </c>
      <c r="J929" s="2">
        <v>72</v>
      </c>
      <c r="K929" s="2">
        <v>15668.9</v>
      </c>
      <c r="L929" s="2">
        <v>127.48</v>
      </c>
      <c r="M929" s="2">
        <v>194.39</v>
      </c>
      <c r="N929" s="2" t="s">
        <v>22</v>
      </c>
      <c r="O929" s="2">
        <v>1</v>
      </c>
    </row>
    <row r="930" spans="1:15" x14ac:dyDescent="0.3">
      <c r="A930" s="2" t="s">
        <v>987</v>
      </c>
      <c r="B930" s="1">
        <v>45915</v>
      </c>
      <c r="C930" s="2" t="s">
        <v>74</v>
      </c>
      <c r="D930" s="2" t="s">
        <v>78</v>
      </c>
      <c r="E930" s="2" t="s">
        <v>38</v>
      </c>
      <c r="F930" s="2" t="s">
        <v>19</v>
      </c>
      <c r="G930" s="2" t="s">
        <v>28</v>
      </c>
      <c r="H930" s="2" t="s">
        <v>29</v>
      </c>
      <c r="I930" s="2">
        <v>66</v>
      </c>
      <c r="J930" s="2">
        <v>29</v>
      </c>
      <c r="K930" s="2">
        <v>48129.54</v>
      </c>
      <c r="L930" s="2">
        <v>432.73</v>
      </c>
      <c r="M930" s="2">
        <v>11.26</v>
      </c>
      <c r="N930" s="2" t="s">
        <v>22</v>
      </c>
      <c r="O930" s="2">
        <v>5</v>
      </c>
    </row>
    <row r="931" spans="1:15" x14ac:dyDescent="0.3">
      <c r="A931" s="2" t="s">
        <v>988</v>
      </c>
      <c r="B931" s="1">
        <v>45940</v>
      </c>
      <c r="C931" s="2" t="s">
        <v>90</v>
      </c>
      <c r="D931" s="2" t="s">
        <v>33</v>
      </c>
      <c r="E931" s="2" t="s">
        <v>38</v>
      </c>
      <c r="F931" s="2" t="s">
        <v>34</v>
      </c>
      <c r="G931" s="2" t="s">
        <v>35</v>
      </c>
      <c r="H931" s="2" t="s">
        <v>56</v>
      </c>
      <c r="I931" s="2">
        <v>54</v>
      </c>
      <c r="J931" s="2">
        <v>103</v>
      </c>
      <c r="K931" s="2">
        <v>48242.17</v>
      </c>
      <c r="L931" s="2">
        <v>445.03</v>
      </c>
      <c r="M931" s="2">
        <v>63.2</v>
      </c>
      <c r="N931" s="2" t="s">
        <v>30</v>
      </c>
      <c r="O931" s="2">
        <v>2</v>
      </c>
    </row>
    <row r="932" spans="1:15" x14ac:dyDescent="0.3">
      <c r="A932" s="2" t="s">
        <v>989</v>
      </c>
      <c r="B932" s="1">
        <v>46138</v>
      </c>
      <c r="C932" s="2" t="s">
        <v>16</v>
      </c>
      <c r="D932" s="2" t="s">
        <v>33</v>
      </c>
      <c r="E932" s="2" t="s">
        <v>26</v>
      </c>
      <c r="F932" s="2" t="s">
        <v>68</v>
      </c>
      <c r="G932" s="2" t="s">
        <v>20</v>
      </c>
      <c r="H932" s="2" t="s">
        <v>56</v>
      </c>
      <c r="I932" s="2">
        <v>68</v>
      </c>
      <c r="J932" s="2">
        <v>92</v>
      </c>
      <c r="K932" s="2">
        <v>14827.1</v>
      </c>
      <c r="L932" s="2">
        <v>297.24</v>
      </c>
      <c r="M932" s="2">
        <v>62.82</v>
      </c>
      <c r="N932" s="2" t="s">
        <v>22</v>
      </c>
      <c r="O932" s="2">
        <v>5</v>
      </c>
    </row>
    <row r="933" spans="1:15" x14ac:dyDescent="0.3">
      <c r="A933" s="2" t="s">
        <v>990</v>
      </c>
      <c r="B933" s="1">
        <v>46185</v>
      </c>
      <c r="C933" s="2" t="s">
        <v>24</v>
      </c>
      <c r="D933" s="2" t="s">
        <v>37</v>
      </c>
      <c r="E933" s="2" t="s">
        <v>26</v>
      </c>
      <c r="F933" s="2" t="s">
        <v>68</v>
      </c>
      <c r="G933" s="2" t="s">
        <v>55</v>
      </c>
      <c r="H933" s="2" t="s">
        <v>52</v>
      </c>
      <c r="I933" s="2">
        <v>23</v>
      </c>
      <c r="J933" s="2">
        <v>6</v>
      </c>
      <c r="K933" s="2">
        <v>24241.439999999999</v>
      </c>
      <c r="L933" s="2">
        <v>345.28</v>
      </c>
      <c r="M933" s="2">
        <v>126.69</v>
      </c>
      <c r="N933" s="2" t="s">
        <v>30</v>
      </c>
      <c r="O933" s="2">
        <v>1</v>
      </c>
    </row>
    <row r="934" spans="1:15" x14ac:dyDescent="0.3">
      <c r="A934" s="2" t="s">
        <v>991</v>
      </c>
      <c r="B934" s="1">
        <v>45914</v>
      </c>
      <c r="C934" s="2" t="s">
        <v>90</v>
      </c>
      <c r="D934" s="2" t="s">
        <v>49</v>
      </c>
      <c r="E934" s="2" t="s">
        <v>38</v>
      </c>
      <c r="F934" s="2" t="s">
        <v>34</v>
      </c>
      <c r="G934" s="2" t="s">
        <v>20</v>
      </c>
      <c r="H934" s="2" t="s">
        <v>29</v>
      </c>
      <c r="I934" s="2">
        <v>46</v>
      </c>
      <c r="J934" s="2">
        <v>16</v>
      </c>
      <c r="K934" s="2">
        <v>48655.79</v>
      </c>
      <c r="L934" s="2">
        <v>222.01</v>
      </c>
      <c r="M934" s="2">
        <v>31.74</v>
      </c>
      <c r="N934" s="2" t="s">
        <v>30</v>
      </c>
      <c r="O934" s="2">
        <v>4</v>
      </c>
    </row>
    <row r="935" spans="1:15" x14ac:dyDescent="0.3">
      <c r="A935" s="2" t="s">
        <v>992</v>
      </c>
      <c r="B935" s="1">
        <v>45992</v>
      </c>
      <c r="C935" s="2" t="s">
        <v>90</v>
      </c>
      <c r="D935" s="2" t="s">
        <v>82</v>
      </c>
      <c r="E935" s="2" t="s">
        <v>38</v>
      </c>
      <c r="F935" s="2" t="s">
        <v>39</v>
      </c>
      <c r="G935" s="2" t="s">
        <v>28</v>
      </c>
      <c r="H935" s="2" t="s">
        <v>56</v>
      </c>
      <c r="I935" s="2">
        <v>28</v>
      </c>
      <c r="J935" s="2">
        <v>20</v>
      </c>
      <c r="K935" s="2">
        <v>740.99</v>
      </c>
      <c r="L935" s="2">
        <v>176.81</v>
      </c>
      <c r="M935" s="2">
        <v>125.71</v>
      </c>
      <c r="N935" s="2" t="s">
        <v>22</v>
      </c>
      <c r="O935" s="2">
        <v>5</v>
      </c>
    </row>
    <row r="936" spans="1:15" x14ac:dyDescent="0.3">
      <c r="A936" s="2" t="s">
        <v>993</v>
      </c>
      <c r="B936" s="1">
        <v>46002</v>
      </c>
      <c r="C936" s="2" t="s">
        <v>43</v>
      </c>
      <c r="D936" s="2" t="s">
        <v>78</v>
      </c>
      <c r="E936" s="2" t="s">
        <v>38</v>
      </c>
      <c r="F936" s="2" t="s">
        <v>27</v>
      </c>
      <c r="G936" s="2" t="s">
        <v>28</v>
      </c>
      <c r="H936" s="2" t="s">
        <v>56</v>
      </c>
      <c r="I936" s="2">
        <v>26</v>
      </c>
      <c r="J936" s="2">
        <v>80</v>
      </c>
      <c r="K936" s="2">
        <v>20927.57</v>
      </c>
      <c r="L936" s="2">
        <v>374.89</v>
      </c>
      <c r="M936" s="2">
        <v>19.010000000000002</v>
      </c>
      <c r="N936" s="2" t="s">
        <v>30</v>
      </c>
      <c r="O936" s="2">
        <v>2</v>
      </c>
    </row>
    <row r="937" spans="1:15" x14ac:dyDescent="0.3">
      <c r="A937" s="2" t="s">
        <v>994</v>
      </c>
      <c r="B937" s="1">
        <v>46065</v>
      </c>
      <c r="C937" s="2" t="s">
        <v>90</v>
      </c>
      <c r="D937" s="2" t="s">
        <v>76</v>
      </c>
      <c r="E937" s="2" t="s">
        <v>26</v>
      </c>
      <c r="F937" s="2" t="s">
        <v>68</v>
      </c>
      <c r="G937" s="2" t="s">
        <v>35</v>
      </c>
      <c r="H937" s="2" t="s">
        <v>29</v>
      </c>
      <c r="I937" s="2">
        <v>36</v>
      </c>
      <c r="J937" s="2">
        <v>71</v>
      </c>
      <c r="K937" s="2">
        <v>5472.65</v>
      </c>
      <c r="L937" s="2">
        <v>437.84</v>
      </c>
      <c r="M937" s="2">
        <v>28.48</v>
      </c>
      <c r="N937" s="2" t="s">
        <v>30</v>
      </c>
      <c r="O937" s="2">
        <v>4</v>
      </c>
    </row>
    <row r="938" spans="1:15" x14ac:dyDescent="0.3">
      <c r="A938" s="2" t="s">
        <v>995</v>
      </c>
      <c r="B938" s="1">
        <v>46216</v>
      </c>
      <c r="C938" s="2" t="s">
        <v>74</v>
      </c>
      <c r="D938" s="2" t="s">
        <v>37</v>
      </c>
      <c r="E938" s="2" t="s">
        <v>38</v>
      </c>
      <c r="F938" s="2" t="s">
        <v>27</v>
      </c>
      <c r="G938" s="2" t="s">
        <v>35</v>
      </c>
      <c r="H938" s="2" t="s">
        <v>21</v>
      </c>
      <c r="I938" s="2">
        <v>44</v>
      </c>
      <c r="J938" s="2">
        <v>105</v>
      </c>
      <c r="K938" s="2">
        <v>25703.32</v>
      </c>
      <c r="L938" s="2">
        <v>344.33</v>
      </c>
      <c r="M938" s="2">
        <v>145.63999999999999</v>
      </c>
      <c r="N938" s="2" t="s">
        <v>30</v>
      </c>
      <c r="O938" s="2">
        <v>2</v>
      </c>
    </row>
    <row r="939" spans="1:15" x14ac:dyDescent="0.3">
      <c r="A939" s="2" t="s">
        <v>996</v>
      </c>
      <c r="B939" s="1">
        <v>46111</v>
      </c>
      <c r="C939" s="2" t="s">
        <v>32</v>
      </c>
      <c r="D939" s="2" t="s">
        <v>86</v>
      </c>
      <c r="E939" s="2" t="s">
        <v>38</v>
      </c>
      <c r="F939" s="2" t="s">
        <v>34</v>
      </c>
      <c r="G939" s="2" t="s">
        <v>28</v>
      </c>
      <c r="H939" s="2" t="s">
        <v>21</v>
      </c>
      <c r="I939" s="2">
        <v>68</v>
      </c>
      <c r="J939" s="2">
        <v>78</v>
      </c>
      <c r="K939" s="2">
        <v>1721.16</v>
      </c>
      <c r="L939" s="2">
        <v>280.22000000000003</v>
      </c>
      <c r="M939" s="2">
        <v>64.83</v>
      </c>
      <c r="N939" s="2" t="s">
        <v>22</v>
      </c>
      <c r="O939" s="2">
        <v>3</v>
      </c>
    </row>
    <row r="940" spans="1:15" x14ac:dyDescent="0.3">
      <c r="A940" s="2" t="s">
        <v>997</v>
      </c>
      <c r="B940" s="1">
        <v>45903</v>
      </c>
      <c r="C940" s="2" t="s">
        <v>74</v>
      </c>
      <c r="D940" s="2" t="s">
        <v>62</v>
      </c>
      <c r="E940" s="2" t="s">
        <v>45</v>
      </c>
      <c r="F940" s="2" t="s">
        <v>39</v>
      </c>
      <c r="G940" s="2" t="s">
        <v>55</v>
      </c>
      <c r="H940" s="2" t="s">
        <v>56</v>
      </c>
      <c r="I940" s="2">
        <v>59</v>
      </c>
      <c r="J940" s="2">
        <v>43</v>
      </c>
      <c r="K940" s="2">
        <v>20641.47</v>
      </c>
      <c r="L940" s="2">
        <v>121.52</v>
      </c>
      <c r="M940" s="2">
        <v>195.48</v>
      </c>
      <c r="N940" s="2" t="s">
        <v>30</v>
      </c>
      <c r="O940" s="2">
        <v>2</v>
      </c>
    </row>
    <row r="941" spans="1:15" x14ac:dyDescent="0.3">
      <c r="A941" s="2" t="s">
        <v>998</v>
      </c>
      <c r="B941" s="1">
        <v>46212</v>
      </c>
      <c r="C941" s="2" t="s">
        <v>54</v>
      </c>
      <c r="D941" s="2" t="s">
        <v>62</v>
      </c>
      <c r="E941" s="2" t="s">
        <v>58</v>
      </c>
      <c r="F941" s="2" t="s">
        <v>39</v>
      </c>
      <c r="G941" s="2" t="s">
        <v>20</v>
      </c>
      <c r="H941" s="2" t="s">
        <v>56</v>
      </c>
      <c r="I941" s="2">
        <v>50</v>
      </c>
      <c r="J941" s="2">
        <v>26</v>
      </c>
      <c r="K941" s="2">
        <v>11424.6</v>
      </c>
      <c r="L941" s="2">
        <v>74.06</v>
      </c>
      <c r="M941" s="2">
        <v>7.47</v>
      </c>
      <c r="N941" s="2" t="s">
        <v>30</v>
      </c>
      <c r="O941" s="2">
        <v>4</v>
      </c>
    </row>
    <row r="942" spans="1:15" x14ac:dyDescent="0.3">
      <c r="A942" s="2" t="s">
        <v>999</v>
      </c>
      <c r="B942" s="1">
        <v>46208</v>
      </c>
      <c r="C942" s="2" t="s">
        <v>24</v>
      </c>
      <c r="D942" s="2" t="s">
        <v>67</v>
      </c>
      <c r="E942" s="2" t="s">
        <v>18</v>
      </c>
      <c r="F942" s="2" t="s">
        <v>39</v>
      </c>
      <c r="G942" s="2" t="s">
        <v>64</v>
      </c>
      <c r="H942" s="2" t="s">
        <v>21</v>
      </c>
      <c r="I942" s="2">
        <v>65</v>
      </c>
      <c r="J942" s="2">
        <v>90</v>
      </c>
      <c r="K942" s="2">
        <v>26898.76</v>
      </c>
      <c r="L942" s="2">
        <v>250.56</v>
      </c>
      <c r="M942" s="2">
        <v>89.02</v>
      </c>
      <c r="N942" s="2" t="s">
        <v>30</v>
      </c>
      <c r="O942" s="2">
        <v>3</v>
      </c>
    </row>
    <row r="943" spans="1:15" x14ac:dyDescent="0.3">
      <c r="A943" s="2" t="s">
        <v>1000</v>
      </c>
      <c r="B943" s="1">
        <v>45939</v>
      </c>
      <c r="C943" s="2" t="s">
        <v>32</v>
      </c>
      <c r="D943" s="2" t="s">
        <v>44</v>
      </c>
      <c r="E943" s="2" t="s">
        <v>58</v>
      </c>
      <c r="F943" s="2" t="s">
        <v>34</v>
      </c>
      <c r="G943" s="2" t="s">
        <v>35</v>
      </c>
      <c r="H943" s="2" t="s">
        <v>52</v>
      </c>
      <c r="I943" s="2">
        <v>33</v>
      </c>
      <c r="J943" s="2">
        <v>78</v>
      </c>
      <c r="K943" s="2">
        <v>49801.69</v>
      </c>
      <c r="L943" s="2">
        <v>72.209999999999994</v>
      </c>
      <c r="M943" s="2">
        <v>22.63</v>
      </c>
      <c r="N943" s="2" t="s">
        <v>22</v>
      </c>
      <c r="O943" s="2">
        <v>4</v>
      </c>
    </row>
    <row r="944" spans="1:15" x14ac:dyDescent="0.3">
      <c r="A944" s="2" t="s">
        <v>1001</v>
      </c>
      <c r="B944" s="1">
        <v>46081</v>
      </c>
      <c r="C944" s="2" t="s">
        <v>43</v>
      </c>
      <c r="D944" s="2" t="s">
        <v>51</v>
      </c>
      <c r="E944" s="2" t="s">
        <v>45</v>
      </c>
      <c r="F944" s="2" t="s">
        <v>19</v>
      </c>
      <c r="G944" s="2" t="s">
        <v>64</v>
      </c>
      <c r="H944" s="2" t="s">
        <v>29</v>
      </c>
      <c r="I944" s="2">
        <v>25</v>
      </c>
      <c r="J944" s="2">
        <v>71</v>
      </c>
      <c r="K944" s="2">
        <v>40126.54</v>
      </c>
      <c r="L944" s="2">
        <v>306.2</v>
      </c>
      <c r="M944" s="2">
        <v>105.42</v>
      </c>
      <c r="N944" s="2" t="s">
        <v>30</v>
      </c>
      <c r="O944" s="2">
        <v>4</v>
      </c>
    </row>
    <row r="945" spans="1:15" x14ac:dyDescent="0.3">
      <c r="A945" s="2" t="s">
        <v>1002</v>
      </c>
      <c r="B945" s="1">
        <v>46191</v>
      </c>
      <c r="C945" s="2" t="s">
        <v>32</v>
      </c>
      <c r="D945" s="2" t="s">
        <v>51</v>
      </c>
      <c r="E945" s="2" t="s">
        <v>18</v>
      </c>
      <c r="F945" s="2" t="s">
        <v>19</v>
      </c>
      <c r="G945" s="2" t="s">
        <v>55</v>
      </c>
      <c r="H945" s="2" t="s">
        <v>29</v>
      </c>
      <c r="I945" s="2">
        <v>45</v>
      </c>
      <c r="J945" s="2">
        <v>33</v>
      </c>
      <c r="K945" s="2">
        <v>42359.28</v>
      </c>
      <c r="L945" s="2">
        <v>222.23</v>
      </c>
      <c r="M945" s="2">
        <v>299.45999999999998</v>
      </c>
      <c r="N945" s="2" t="s">
        <v>22</v>
      </c>
      <c r="O945" s="2">
        <v>3</v>
      </c>
    </row>
    <row r="946" spans="1:15" x14ac:dyDescent="0.3">
      <c r="A946" s="2" t="s">
        <v>1003</v>
      </c>
      <c r="B946" s="1">
        <v>46203</v>
      </c>
      <c r="C946" s="2" t="s">
        <v>32</v>
      </c>
      <c r="D946" s="2" t="s">
        <v>62</v>
      </c>
      <c r="E946" s="2" t="s">
        <v>38</v>
      </c>
      <c r="F946" s="2" t="s">
        <v>27</v>
      </c>
      <c r="G946" s="2" t="s">
        <v>35</v>
      </c>
      <c r="H946" s="2" t="s">
        <v>52</v>
      </c>
      <c r="I946" s="2">
        <v>40</v>
      </c>
      <c r="J946" s="2">
        <v>26</v>
      </c>
      <c r="K946" s="2">
        <v>31945.62</v>
      </c>
      <c r="L946" s="2">
        <v>390.74</v>
      </c>
      <c r="M946" s="2">
        <v>177.77</v>
      </c>
      <c r="N946" s="2" t="s">
        <v>30</v>
      </c>
      <c r="O946" s="2">
        <v>2</v>
      </c>
    </row>
    <row r="947" spans="1:15" x14ac:dyDescent="0.3">
      <c r="A947" s="2" t="s">
        <v>1004</v>
      </c>
      <c r="B947" s="1">
        <v>45920</v>
      </c>
      <c r="C947" s="2" t="s">
        <v>16</v>
      </c>
      <c r="D947" s="2" t="s">
        <v>60</v>
      </c>
      <c r="E947" s="2" t="s">
        <v>45</v>
      </c>
      <c r="F947" s="2" t="s">
        <v>19</v>
      </c>
      <c r="G947" s="2" t="s">
        <v>64</v>
      </c>
      <c r="H947" s="2" t="s">
        <v>52</v>
      </c>
      <c r="I947" s="2">
        <v>74</v>
      </c>
      <c r="J947" s="2">
        <v>45</v>
      </c>
      <c r="K947" s="2">
        <v>2557.21</v>
      </c>
      <c r="L947" s="2">
        <v>187.54</v>
      </c>
      <c r="M947" s="2">
        <v>9.66</v>
      </c>
      <c r="N947" s="2" t="s">
        <v>22</v>
      </c>
      <c r="O947" s="2">
        <v>1</v>
      </c>
    </row>
    <row r="948" spans="1:15" x14ac:dyDescent="0.3">
      <c r="A948" s="2" t="s">
        <v>1005</v>
      </c>
      <c r="B948" s="1">
        <v>46148</v>
      </c>
      <c r="C948" s="2" t="s">
        <v>32</v>
      </c>
      <c r="D948" s="2" t="s">
        <v>17</v>
      </c>
      <c r="E948" s="2" t="s">
        <v>38</v>
      </c>
      <c r="F948" s="2" t="s">
        <v>19</v>
      </c>
      <c r="G948" s="2" t="s">
        <v>55</v>
      </c>
      <c r="H948" s="2" t="s">
        <v>52</v>
      </c>
      <c r="I948" s="2">
        <v>38</v>
      </c>
      <c r="J948" s="2">
        <v>84</v>
      </c>
      <c r="K948" s="2">
        <v>10736.48</v>
      </c>
      <c r="L948" s="2">
        <v>316.83999999999997</v>
      </c>
      <c r="M948" s="2">
        <v>112.65</v>
      </c>
      <c r="N948" s="2" t="s">
        <v>22</v>
      </c>
      <c r="O948" s="2">
        <v>1</v>
      </c>
    </row>
    <row r="949" spans="1:15" x14ac:dyDescent="0.3">
      <c r="A949" s="2" t="s">
        <v>1006</v>
      </c>
      <c r="B949" s="1">
        <v>46163</v>
      </c>
      <c r="C949" s="2" t="s">
        <v>43</v>
      </c>
      <c r="D949" s="2" t="s">
        <v>67</v>
      </c>
      <c r="E949" s="2" t="s">
        <v>26</v>
      </c>
      <c r="F949" s="2" t="s">
        <v>39</v>
      </c>
      <c r="G949" s="2" t="s">
        <v>20</v>
      </c>
      <c r="H949" s="2" t="s">
        <v>52</v>
      </c>
      <c r="I949" s="2">
        <v>67</v>
      </c>
      <c r="J949" s="2">
        <v>63</v>
      </c>
      <c r="K949" s="2">
        <v>46290.7</v>
      </c>
      <c r="L949" s="2">
        <v>291.95999999999998</v>
      </c>
      <c r="M949" s="2">
        <v>129.56</v>
      </c>
      <c r="N949" s="2" t="s">
        <v>30</v>
      </c>
      <c r="O949" s="2">
        <v>1</v>
      </c>
    </row>
    <row r="950" spans="1:15" x14ac:dyDescent="0.3">
      <c r="A950" s="2" t="s">
        <v>1007</v>
      </c>
      <c r="B950" s="1">
        <v>46122</v>
      </c>
      <c r="C950" s="2" t="s">
        <v>74</v>
      </c>
      <c r="D950" s="2" t="s">
        <v>51</v>
      </c>
      <c r="E950" s="2" t="s">
        <v>45</v>
      </c>
      <c r="F950" s="2" t="s">
        <v>39</v>
      </c>
      <c r="G950" s="2" t="s">
        <v>55</v>
      </c>
      <c r="H950" s="2" t="s">
        <v>52</v>
      </c>
      <c r="I950" s="2">
        <v>38</v>
      </c>
      <c r="J950" s="2">
        <v>67</v>
      </c>
      <c r="K950" s="2">
        <v>18622.599999999999</v>
      </c>
      <c r="L950" s="2">
        <v>52.12</v>
      </c>
      <c r="M950" s="2">
        <v>41.91</v>
      </c>
      <c r="N950" s="2" t="s">
        <v>30</v>
      </c>
      <c r="O950" s="2">
        <v>1</v>
      </c>
    </row>
    <row r="951" spans="1:15" x14ac:dyDescent="0.3">
      <c r="A951" s="2" t="s">
        <v>1008</v>
      </c>
      <c r="B951" s="1">
        <v>46065</v>
      </c>
      <c r="C951" s="2" t="s">
        <v>32</v>
      </c>
      <c r="D951" s="2" t="s">
        <v>62</v>
      </c>
      <c r="E951" s="2" t="s">
        <v>26</v>
      </c>
      <c r="F951" s="2" t="s">
        <v>27</v>
      </c>
      <c r="G951" s="2" t="s">
        <v>35</v>
      </c>
      <c r="H951" s="2" t="s">
        <v>52</v>
      </c>
      <c r="I951" s="2">
        <v>22</v>
      </c>
      <c r="J951" s="2">
        <v>52</v>
      </c>
      <c r="K951" s="2">
        <v>5630.02</v>
      </c>
      <c r="L951" s="2">
        <v>82.58</v>
      </c>
      <c r="M951" s="2">
        <v>29.02</v>
      </c>
      <c r="N951" s="2" t="s">
        <v>22</v>
      </c>
      <c r="O951" s="2">
        <v>5</v>
      </c>
    </row>
    <row r="952" spans="1:15" x14ac:dyDescent="0.3">
      <c r="A952" s="2" t="s">
        <v>1009</v>
      </c>
      <c r="B952" s="1">
        <v>45896</v>
      </c>
      <c r="C952" s="2" t="s">
        <v>41</v>
      </c>
      <c r="D952" s="2" t="s">
        <v>44</v>
      </c>
      <c r="E952" s="2" t="s">
        <v>45</v>
      </c>
      <c r="F952" s="2" t="s">
        <v>68</v>
      </c>
      <c r="G952" s="2" t="s">
        <v>28</v>
      </c>
      <c r="H952" s="2" t="s">
        <v>29</v>
      </c>
      <c r="I952" s="2">
        <v>30</v>
      </c>
      <c r="J952" s="2">
        <v>68</v>
      </c>
      <c r="K952" s="2">
        <v>35269.07</v>
      </c>
      <c r="L952" s="2">
        <v>180.67</v>
      </c>
      <c r="M952" s="2">
        <v>271.32</v>
      </c>
      <c r="N952" s="2" t="s">
        <v>30</v>
      </c>
      <c r="O952" s="2">
        <v>1</v>
      </c>
    </row>
    <row r="953" spans="1:15" x14ac:dyDescent="0.3">
      <c r="A953" s="2" t="s">
        <v>1010</v>
      </c>
      <c r="B953" s="1">
        <v>46001</v>
      </c>
      <c r="C953" s="2" t="s">
        <v>24</v>
      </c>
      <c r="D953" s="2" t="s">
        <v>51</v>
      </c>
      <c r="E953" s="2" t="s">
        <v>45</v>
      </c>
      <c r="F953" s="2" t="s">
        <v>27</v>
      </c>
      <c r="G953" s="2" t="s">
        <v>20</v>
      </c>
      <c r="H953" s="2" t="s">
        <v>52</v>
      </c>
      <c r="I953" s="2">
        <v>65</v>
      </c>
      <c r="J953" s="2">
        <v>26</v>
      </c>
      <c r="K953" s="2">
        <v>15323.16</v>
      </c>
      <c r="L953" s="2">
        <v>447.01</v>
      </c>
      <c r="M953" s="2">
        <v>193.76</v>
      </c>
      <c r="N953" s="2" t="s">
        <v>30</v>
      </c>
      <c r="O953" s="2">
        <v>3</v>
      </c>
    </row>
    <row r="954" spans="1:15" x14ac:dyDescent="0.3">
      <c r="A954" s="2" t="s">
        <v>1011</v>
      </c>
      <c r="B954" s="1">
        <v>46231</v>
      </c>
      <c r="C954" s="2" t="s">
        <v>32</v>
      </c>
      <c r="D954" s="2" t="s">
        <v>82</v>
      </c>
      <c r="E954" s="2" t="s">
        <v>26</v>
      </c>
      <c r="F954" s="2" t="s">
        <v>27</v>
      </c>
      <c r="G954" s="2" t="s">
        <v>64</v>
      </c>
      <c r="H954" s="2" t="s">
        <v>21</v>
      </c>
      <c r="I954" s="2">
        <v>70</v>
      </c>
      <c r="J954" s="2">
        <v>75</v>
      </c>
      <c r="K954" s="2">
        <v>13808.42</v>
      </c>
      <c r="L954" s="2">
        <v>116.16</v>
      </c>
      <c r="M954" s="2">
        <v>198.38</v>
      </c>
      <c r="N954" s="2" t="s">
        <v>22</v>
      </c>
      <c r="O954" s="2">
        <v>1</v>
      </c>
    </row>
    <row r="955" spans="1:15" x14ac:dyDescent="0.3">
      <c r="A955" s="2" t="s">
        <v>1012</v>
      </c>
      <c r="B955" s="1">
        <v>46206</v>
      </c>
      <c r="C955" s="2" t="s">
        <v>24</v>
      </c>
      <c r="D955" s="2" t="s">
        <v>82</v>
      </c>
      <c r="E955" s="2" t="s">
        <v>18</v>
      </c>
      <c r="F955" s="2" t="s">
        <v>34</v>
      </c>
      <c r="G955" s="2" t="s">
        <v>35</v>
      </c>
      <c r="H955" s="2" t="s">
        <v>52</v>
      </c>
      <c r="I955" s="2">
        <v>67</v>
      </c>
      <c r="J955" s="2">
        <v>2</v>
      </c>
      <c r="K955" s="2">
        <v>49899.88</v>
      </c>
      <c r="L955" s="2">
        <v>369.9</v>
      </c>
      <c r="M955" s="2">
        <v>157.94999999999999</v>
      </c>
      <c r="N955" s="2" t="s">
        <v>22</v>
      </c>
      <c r="O955" s="2">
        <v>4</v>
      </c>
    </row>
    <row r="956" spans="1:15" x14ac:dyDescent="0.3">
      <c r="A956" s="2" t="s">
        <v>1013</v>
      </c>
      <c r="B956" s="1">
        <v>46156</v>
      </c>
      <c r="C956" s="2" t="s">
        <v>41</v>
      </c>
      <c r="D956" s="2" t="s">
        <v>33</v>
      </c>
      <c r="E956" s="2" t="s">
        <v>58</v>
      </c>
      <c r="F956" s="2" t="s">
        <v>34</v>
      </c>
      <c r="G956" s="2" t="s">
        <v>28</v>
      </c>
      <c r="H956" s="2" t="s">
        <v>52</v>
      </c>
      <c r="I956" s="2">
        <v>32</v>
      </c>
      <c r="J956" s="2">
        <v>14</v>
      </c>
      <c r="K956" s="2">
        <v>42977.88</v>
      </c>
      <c r="L956" s="2">
        <v>488.01</v>
      </c>
      <c r="M956" s="2">
        <v>132.69999999999999</v>
      </c>
      <c r="N956" s="2" t="s">
        <v>30</v>
      </c>
      <c r="O956" s="2">
        <v>1</v>
      </c>
    </row>
    <row r="957" spans="1:15" x14ac:dyDescent="0.3">
      <c r="A957" s="2" t="s">
        <v>1014</v>
      </c>
      <c r="B957" s="1">
        <v>45895</v>
      </c>
      <c r="C957" s="2" t="s">
        <v>41</v>
      </c>
      <c r="D957" s="2" t="s">
        <v>49</v>
      </c>
      <c r="E957" s="2" t="s">
        <v>38</v>
      </c>
      <c r="F957" s="2" t="s">
        <v>27</v>
      </c>
      <c r="G957" s="2" t="s">
        <v>55</v>
      </c>
      <c r="H957" s="2" t="s">
        <v>29</v>
      </c>
      <c r="I957" s="2">
        <v>67</v>
      </c>
      <c r="J957" s="2">
        <v>108</v>
      </c>
      <c r="K957" s="2">
        <v>20692.919999999998</v>
      </c>
      <c r="L957" s="2">
        <v>405.76</v>
      </c>
      <c r="M957" s="2">
        <v>103.72</v>
      </c>
      <c r="N957" s="2" t="s">
        <v>30</v>
      </c>
      <c r="O957" s="2">
        <v>2</v>
      </c>
    </row>
    <row r="958" spans="1:15" x14ac:dyDescent="0.3">
      <c r="A958" s="2" t="s">
        <v>1015</v>
      </c>
      <c r="B958" s="1">
        <v>45901</v>
      </c>
      <c r="C958" s="2" t="s">
        <v>24</v>
      </c>
      <c r="D958" s="2" t="s">
        <v>33</v>
      </c>
      <c r="E958" s="2" t="s">
        <v>45</v>
      </c>
      <c r="F958" s="2" t="s">
        <v>27</v>
      </c>
      <c r="G958" s="2" t="s">
        <v>28</v>
      </c>
      <c r="H958" s="2" t="s">
        <v>29</v>
      </c>
      <c r="I958" s="2">
        <v>33</v>
      </c>
      <c r="J958" s="2">
        <v>30</v>
      </c>
      <c r="K958" s="2">
        <v>49022.93</v>
      </c>
      <c r="L958" s="2">
        <v>159.33000000000001</v>
      </c>
      <c r="M958" s="2">
        <v>51.42</v>
      </c>
      <c r="N958" s="2" t="s">
        <v>30</v>
      </c>
      <c r="O958" s="2">
        <v>3</v>
      </c>
    </row>
    <row r="959" spans="1:15" x14ac:dyDescent="0.3">
      <c r="A959" s="2" t="s">
        <v>1016</v>
      </c>
      <c r="B959" s="1">
        <v>45887</v>
      </c>
      <c r="C959" s="2" t="s">
        <v>90</v>
      </c>
      <c r="D959" s="2" t="s">
        <v>76</v>
      </c>
      <c r="E959" s="2" t="s">
        <v>38</v>
      </c>
      <c r="F959" s="2" t="s">
        <v>27</v>
      </c>
      <c r="G959" s="2" t="s">
        <v>35</v>
      </c>
      <c r="H959" s="2" t="s">
        <v>52</v>
      </c>
      <c r="I959" s="2">
        <v>70</v>
      </c>
      <c r="J959" s="2">
        <v>49</v>
      </c>
      <c r="K959" s="2">
        <v>32680.6</v>
      </c>
      <c r="L959" s="2">
        <v>458.76</v>
      </c>
      <c r="M959" s="2">
        <v>15.8</v>
      </c>
      <c r="N959" s="2" t="s">
        <v>30</v>
      </c>
      <c r="O959" s="2">
        <v>3</v>
      </c>
    </row>
    <row r="960" spans="1:15" x14ac:dyDescent="0.3">
      <c r="A960" s="2" t="s">
        <v>1017</v>
      </c>
      <c r="B960" s="1">
        <v>46059</v>
      </c>
      <c r="C960" s="2" t="s">
        <v>54</v>
      </c>
      <c r="D960" s="2" t="s">
        <v>37</v>
      </c>
      <c r="E960" s="2" t="s">
        <v>26</v>
      </c>
      <c r="F960" s="2" t="s">
        <v>19</v>
      </c>
      <c r="G960" s="2" t="s">
        <v>35</v>
      </c>
      <c r="H960" s="2" t="s">
        <v>29</v>
      </c>
      <c r="I960" s="2">
        <v>67</v>
      </c>
      <c r="J960" s="2">
        <v>12</v>
      </c>
      <c r="K960" s="2">
        <v>37230.11</v>
      </c>
      <c r="L960" s="2">
        <v>91.9</v>
      </c>
      <c r="M960" s="2">
        <v>207.99</v>
      </c>
      <c r="N960" s="2" t="s">
        <v>22</v>
      </c>
      <c r="O960" s="2">
        <v>5</v>
      </c>
    </row>
    <row r="961" spans="1:15" x14ac:dyDescent="0.3">
      <c r="A961" s="2" t="s">
        <v>1018</v>
      </c>
      <c r="B961" s="1">
        <v>46026</v>
      </c>
      <c r="C961" s="2" t="s">
        <v>16</v>
      </c>
      <c r="D961" s="2" t="s">
        <v>86</v>
      </c>
      <c r="E961" s="2" t="s">
        <v>38</v>
      </c>
      <c r="F961" s="2" t="s">
        <v>34</v>
      </c>
      <c r="G961" s="2" t="s">
        <v>28</v>
      </c>
      <c r="H961" s="2" t="s">
        <v>56</v>
      </c>
      <c r="I961" s="2">
        <v>31</v>
      </c>
      <c r="J961" s="2">
        <v>90</v>
      </c>
      <c r="K961" s="2">
        <v>2059.9</v>
      </c>
      <c r="L961" s="2">
        <v>260.66000000000003</v>
      </c>
      <c r="M961" s="2">
        <v>156.94</v>
      </c>
      <c r="N961" s="2" t="s">
        <v>22</v>
      </c>
      <c r="O961" s="2">
        <v>4</v>
      </c>
    </row>
    <row r="962" spans="1:15" x14ac:dyDescent="0.3">
      <c r="A962" s="2" t="s">
        <v>1019</v>
      </c>
      <c r="B962" s="1">
        <v>45922</v>
      </c>
      <c r="C962" s="2" t="s">
        <v>90</v>
      </c>
      <c r="D962" s="2" t="s">
        <v>33</v>
      </c>
      <c r="E962" s="2" t="s">
        <v>26</v>
      </c>
      <c r="F962" s="2" t="s">
        <v>27</v>
      </c>
      <c r="G962" s="2" t="s">
        <v>55</v>
      </c>
      <c r="H962" s="2" t="s">
        <v>29</v>
      </c>
      <c r="I962" s="2">
        <v>39</v>
      </c>
      <c r="J962" s="2">
        <v>44</v>
      </c>
      <c r="K962" s="2">
        <v>6519.46</v>
      </c>
      <c r="L962" s="2">
        <v>449.39</v>
      </c>
      <c r="M962" s="2">
        <v>247.94</v>
      </c>
      <c r="N962" s="2" t="s">
        <v>22</v>
      </c>
      <c r="O962" s="2">
        <v>3</v>
      </c>
    </row>
    <row r="963" spans="1:15" x14ac:dyDescent="0.3">
      <c r="A963" s="2" t="s">
        <v>1020</v>
      </c>
      <c r="B963" s="1">
        <v>46121</v>
      </c>
      <c r="C963" s="2" t="s">
        <v>90</v>
      </c>
      <c r="D963" s="2" t="s">
        <v>25</v>
      </c>
      <c r="E963" s="2" t="s">
        <v>38</v>
      </c>
      <c r="F963" s="2" t="s">
        <v>39</v>
      </c>
      <c r="G963" s="2" t="s">
        <v>28</v>
      </c>
      <c r="H963" s="2" t="s">
        <v>29</v>
      </c>
      <c r="I963" s="2">
        <v>55</v>
      </c>
      <c r="J963" s="2">
        <v>33</v>
      </c>
      <c r="K963" s="2">
        <v>31837.71</v>
      </c>
      <c r="L963" s="2">
        <v>338.57</v>
      </c>
      <c r="M963" s="2">
        <v>274.12</v>
      </c>
      <c r="N963" s="2" t="s">
        <v>30</v>
      </c>
      <c r="O963" s="2">
        <v>2</v>
      </c>
    </row>
    <row r="964" spans="1:15" x14ac:dyDescent="0.3">
      <c r="A964" s="2" t="s">
        <v>1021</v>
      </c>
      <c r="B964" s="1">
        <v>46089</v>
      </c>
      <c r="C964" s="2" t="s">
        <v>74</v>
      </c>
      <c r="D964" s="2" t="s">
        <v>51</v>
      </c>
      <c r="E964" s="2" t="s">
        <v>58</v>
      </c>
      <c r="F964" s="2" t="s">
        <v>39</v>
      </c>
      <c r="G964" s="2" t="s">
        <v>35</v>
      </c>
      <c r="H964" s="2" t="s">
        <v>29</v>
      </c>
      <c r="I964" s="2">
        <v>59</v>
      </c>
      <c r="J964" s="2">
        <v>13</v>
      </c>
      <c r="K964" s="2">
        <v>45001.69</v>
      </c>
      <c r="L964" s="2">
        <v>236.14</v>
      </c>
      <c r="M964" s="2">
        <v>263.98</v>
      </c>
      <c r="N964" s="2" t="s">
        <v>30</v>
      </c>
      <c r="O964" s="2">
        <v>1</v>
      </c>
    </row>
    <row r="965" spans="1:15" x14ac:dyDescent="0.3">
      <c r="A965" s="2" t="s">
        <v>1022</v>
      </c>
      <c r="B965" s="1">
        <v>46203</v>
      </c>
      <c r="C965" s="2" t="s">
        <v>16</v>
      </c>
      <c r="D965" s="2" t="s">
        <v>60</v>
      </c>
      <c r="E965" s="2" t="s">
        <v>58</v>
      </c>
      <c r="F965" s="2" t="s">
        <v>19</v>
      </c>
      <c r="G965" s="2" t="s">
        <v>35</v>
      </c>
      <c r="H965" s="2" t="s">
        <v>29</v>
      </c>
      <c r="I965" s="2">
        <v>73</v>
      </c>
      <c r="J965" s="2">
        <v>78</v>
      </c>
      <c r="K965" s="2">
        <v>31375.31</v>
      </c>
      <c r="L965" s="2">
        <v>181.77</v>
      </c>
      <c r="M965" s="2">
        <v>299.92</v>
      </c>
      <c r="N965" s="2" t="s">
        <v>30</v>
      </c>
      <c r="O965" s="2">
        <v>3</v>
      </c>
    </row>
    <row r="966" spans="1:15" x14ac:dyDescent="0.3">
      <c r="A966" s="2" t="s">
        <v>1023</v>
      </c>
      <c r="B966" s="1">
        <v>46064</v>
      </c>
      <c r="C966" s="2" t="s">
        <v>16</v>
      </c>
      <c r="D966" s="2" t="s">
        <v>78</v>
      </c>
      <c r="E966" s="2" t="s">
        <v>58</v>
      </c>
      <c r="F966" s="2" t="s">
        <v>19</v>
      </c>
      <c r="G966" s="2" t="s">
        <v>64</v>
      </c>
      <c r="H966" s="2" t="s">
        <v>21</v>
      </c>
      <c r="I966" s="2">
        <v>46</v>
      </c>
      <c r="J966" s="2">
        <v>88</v>
      </c>
      <c r="K966" s="2">
        <v>7134.23</v>
      </c>
      <c r="L966" s="2">
        <v>218.79</v>
      </c>
      <c r="M966" s="2">
        <v>48.81</v>
      </c>
      <c r="N966" s="2" t="s">
        <v>30</v>
      </c>
      <c r="O966" s="2">
        <v>2</v>
      </c>
    </row>
    <row r="967" spans="1:15" x14ac:dyDescent="0.3">
      <c r="A967" s="2" t="s">
        <v>1024</v>
      </c>
      <c r="B967" s="1">
        <v>45876</v>
      </c>
      <c r="C967" s="2" t="s">
        <v>90</v>
      </c>
      <c r="D967" s="2" t="s">
        <v>62</v>
      </c>
      <c r="E967" s="2" t="s">
        <v>58</v>
      </c>
      <c r="F967" s="2" t="s">
        <v>68</v>
      </c>
      <c r="G967" s="2" t="s">
        <v>64</v>
      </c>
      <c r="H967" s="2" t="s">
        <v>21</v>
      </c>
      <c r="I967" s="2">
        <v>66</v>
      </c>
      <c r="J967" s="2">
        <v>98</v>
      </c>
      <c r="K967" s="2">
        <v>6230.12</v>
      </c>
      <c r="L967" s="2">
        <v>279.02</v>
      </c>
      <c r="M967" s="2">
        <v>152.66</v>
      </c>
      <c r="N967" s="2" t="s">
        <v>22</v>
      </c>
      <c r="O967" s="2">
        <v>1</v>
      </c>
    </row>
    <row r="968" spans="1:15" x14ac:dyDescent="0.3">
      <c r="A968" s="2" t="s">
        <v>1025</v>
      </c>
      <c r="B968" s="1">
        <v>46076</v>
      </c>
      <c r="C968" s="2" t="s">
        <v>32</v>
      </c>
      <c r="D968" s="2" t="s">
        <v>78</v>
      </c>
      <c r="E968" s="2" t="s">
        <v>58</v>
      </c>
      <c r="F968" s="2" t="s">
        <v>68</v>
      </c>
      <c r="G968" s="2" t="s">
        <v>20</v>
      </c>
      <c r="H968" s="2" t="s">
        <v>21</v>
      </c>
      <c r="I968" s="2">
        <v>34</v>
      </c>
      <c r="J968" s="2">
        <v>108</v>
      </c>
      <c r="K968" s="2">
        <v>42287.199999999997</v>
      </c>
      <c r="L968" s="2">
        <v>193.57</v>
      </c>
      <c r="M968" s="2">
        <v>117.29</v>
      </c>
      <c r="N968" s="2" t="s">
        <v>30</v>
      </c>
      <c r="O968" s="2">
        <v>5</v>
      </c>
    </row>
    <row r="969" spans="1:15" x14ac:dyDescent="0.3">
      <c r="A969" s="2" t="s">
        <v>1026</v>
      </c>
      <c r="B969" s="1">
        <v>46138</v>
      </c>
      <c r="C969" s="2" t="s">
        <v>74</v>
      </c>
      <c r="D969" s="2" t="s">
        <v>25</v>
      </c>
      <c r="E969" s="2" t="s">
        <v>58</v>
      </c>
      <c r="F969" s="2" t="s">
        <v>68</v>
      </c>
      <c r="G969" s="2" t="s">
        <v>35</v>
      </c>
      <c r="H969" s="2" t="s">
        <v>52</v>
      </c>
      <c r="I969" s="2">
        <v>74</v>
      </c>
      <c r="J969" s="2">
        <v>26</v>
      </c>
      <c r="K969" s="2">
        <v>7395.47</v>
      </c>
      <c r="L969" s="2">
        <v>486.04</v>
      </c>
      <c r="M969" s="2">
        <v>52.25</v>
      </c>
      <c r="N969" s="2" t="s">
        <v>30</v>
      </c>
      <c r="O969" s="2">
        <v>3</v>
      </c>
    </row>
    <row r="970" spans="1:15" x14ac:dyDescent="0.3">
      <c r="A970" s="2" t="s">
        <v>1027</v>
      </c>
      <c r="B970" s="1">
        <v>45889</v>
      </c>
      <c r="C970" s="2" t="s">
        <v>74</v>
      </c>
      <c r="D970" s="2" t="s">
        <v>44</v>
      </c>
      <c r="E970" s="2" t="s">
        <v>26</v>
      </c>
      <c r="F970" s="2" t="s">
        <v>19</v>
      </c>
      <c r="G970" s="2" t="s">
        <v>64</v>
      </c>
      <c r="H970" s="2" t="s">
        <v>52</v>
      </c>
      <c r="I970" s="2">
        <v>65</v>
      </c>
      <c r="J970" s="2">
        <v>21</v>
      </c>
      <c r="K970" s="2">
        <v>26251.48</v>
      </c>
      <c r="L970" s="2">
        <v>469.88</v>
      </c>
      <c r="M970" s="2">
        <v>196.38</v>
      </c>
      <c r="N970" s="2" t="s">
        <v>22</v>
      </c>
      <c r="O970" s="2">
        <v>3</v>
      </c>
    </row>
    <row r="971" spans="1:15" x14ac:dyDescent="0.3">
      <c r="A971" s="2" t="s">
        <v>1028</v>
      </c>
      <c r="B971" s="1">
        <v>46112</v>
      </c>
      <c r="C971" s="2" t="s">
        <v>41</v>
      </c>
      <c r="D971" s="2" t="s">
        <v>33</v>
      </c>
      <c r="E971" s="2" t="s">
        <v>45</v>
      </c>
      <c r="F971" s="2" t="s">
        <v>19</v>
      </c>
      <c r="G971" s="2" t="s">
        <v>28</v>
      </c>
      <c r="H971" s="2" t="s">
        <v>56</v>
      </c>
      <c r="I971" s="2">
        <v>64</v>
      </c>
      <c r="J971" s="2">
        <v>28</v>
      </c>
      <c r="K971" s="2">
        <v>2337.11</v>
      </c>
      <c r="L971" s="2">
        <v>441.8</v>
      </c>
      <c r="M971" s="2">
        <v>179.58</v>
      </c>
      <c r="N971" s="2" t="s">
        <v>22</v>
      </c>
      <c r="O971" s="2">
        <v>2</v>
      </c>
    </row>
    <row r="972" spans="1:15" x14ac:dyDescent="0.3">
      <c r="A972" s="2" t="s">
        <v>1029</v>
      </c>
      <c r="B972" s="1">
        <v>45913</v>
      </c>
      <c r="C972" s="2" t="s">
        <v>43</v>
      </c>
      <c r="D972" s="2" t="s">
        <v>86</v>
      </c>
      <c r="E972" s="2" t="s">
        <v>38</v>
      </c>
      <c r="F972" s="2" t="s">
        <v>19</v>
      </c>
      <c r="G972" s="2" t="s">
        <v>55</v>
      </c>
      <c r="H972" s="2" t="s">
        <v>21</v>
      </c>
      <c r="I972" s="2">
        <v>44</v>
      </c>
      <c r="J972" s="2">
        <v>48</v>
      </c>
      <c r="K972" s="2">
        <v>4493.1499999999996</v>
      </c>
      <c r="L972" s="2">
        <v>239.82</v>
      </c>
      <c r="M972" s="2">
        <v>25.7</v>
      </c>
      <c r="N972" s="2" t="s">
        <v>22</v>
      </c>
      <c r="O972" s="2">
        <v>4</v>
      </c>
    </row>
    <row r="973" spans="1:15" x14ac:dyDescent="0.3">
      <c r="A973" s="2" t="s">
        <v>1030</v>
      </c>
      <c r="B973" s="1">
        <v>46096</v>
      </c>
      <c r="C973" s="2" t="s">
        <v>16</v>
      </c>
      <c r="D973" s="2" t="s">
        <v>44</v>
      </c>
      <c r="E973" s="2" t="s">
        <v>58</v>
      </c>
      <c r="F973" s="2" t="s">
        <v>39</v>
      </c>
      <c r="G973" s="2" t="s">
        <v>28</v>
      </c>
      <c r="H973" s="2" t="s">
        <v>52</v>
      </c>
      <c r="I973" s="2">
        <v>61</v>
      </c>
      <c r="J973" s="2">
        <v>100</v>
      </c>
      <c r="K973" s="2">
        <v>33781.24</v>
      </c>
      <c r="L973" s="2">
        <v>361.09</v>
      </c>
      <c r="M973" s="2">
        <v>5.23</v>
      </c>
      <c r="N973" s="2" t="s">
        <v>22</v>
      </c>
      <c r="O973" s="2">
        <v>5</v>
      </c>
    </row>
    <row r="974" spans="1:15" x14ac:dyDescent="0.3">
      <c r="A974" s="2" t="s">
        <v>1031</v>
      </c>
      <c r="B974" s="1">
        <v>46223</v>
      </c>
      <c r="C974" s="2" t="s">
        <v>90</v>
      </c>
      <c r="D974" s="2" t="s">
        <v>17</v>
      </c>
      <c r="E974" s="2" t="s">
        <v>26</v>
      </c>
      <c r="F974" s="2" t="s">
        <v>19</v>
      </c>
      <c r="G974" s="2" t="s">
        <v>55</v>
      </c>
      <c r="H974" s="2" t="s">
        <v>29</v>
      </c>
      <c r="I974" s="2">
        <v>21</v>
      </c>
      <c r="J974" s="2">
        <v>40</v>
      </c>
      <c r="K974" s="2">
        <v>34614.480000000003</v>
      </c>
      <c r="L974" s="2">
        <v>456.27</v>
      </c>
      <c r="M974" s="2">
        <v>206.5</v>
      </c>
      <c r="N974" s="2" t="s">
        <v>30</v>
      </c>
      <c r="O974" s="2">
        <v>4</v>
      </c>
    </row>
    <row r="975" spans="1:15" x14ac:dyDescent="0.3">
      <c r="A975" s="2" t="s">
        <v>1032</v>
      </c>
      <c r="B975" s="1">
        <v>46228</v>
      </c>
      <c r="C975" s="2" t="s">
        <v>41</v>
      </c>
      <c r="D975" s="2" t="s">
        <v>17</v>
      </c>
      <c r="E975" s="2" t="s">
        <v>26</v>
      </c>
      <c r="F975" s="2" t="s">
        <v>39</v>
      </c>
      <c r="G975" s="2" t="s">
        <v>64</v>
      </c>
      <c r="H975" s="2" t="s">
        <v>29</v>
      </c>
      <c r="I975" s="2">
        <v>71</v>
      </c>
      <c r="J975" s="2">
        <v>66</v>
      </c>
      <c r="K975" s="2">
        <v>17402.740000000002</v>
      </c>
      <c r="L975" s="2">
        <v>432.69</v>
      </c>
      <c r="M975" s="2">
        <v>181.24</v>
      </c>
      <c r="N975" s="2" t="s">
        <v>30</v>
      </c>
      <c r="O975" s="2">
        <v>3</v>
      </c>
    </row>
    <row r="976" spans="1:15" x14ac:dyDescent="0.3">
      <c r="A976" s="2" t="s">
        <v>1033</v>
      </c>
      <c r="B976" s="1">
        <v>46147</v>
      </c>
      <c r="C976" s="2" t="s">
        <v>24</v>
      </c>
      <c r="D976" s="2" t="s">
        <v>78</v>
      </c>
      <c r="E976" s="2" t="s">
        <v>26</v>
      </c>
      <c r="F976" s="2" t="s">
        <v>68</v>
      </c>
      <c r="G976" s="2" t="s">
        <v>20</v>
      </c>
      <c r="H976" s="2" t="s">
        <v>21</v>
      </c>
      <c r="I976" s="2">
        <v>63</v>
      </c>
      <c r="J976" s="2">
        <v>106</v>
      </c>
      <c r="K976" s="2">
        <v>11172.68</v>
      </c>
      <c r="L976" s="2">
        <v>236.45</v>
      </c>
      <c r="M976" s="2">
        <v>187.16</v>
      </c>
      <c r="N976" s="2" t="s">
        <v>30</v>
      </c>
      <c r="O976" s="2">
        <v>4</v>
      </c>
    </row>
    <row r="977" spans="1:15" x14ac:dyDescent="0.3">
      <c r="A977" s="2" t="s">
        <v>1034</v>
      </c>
      <c r="B977" s="1">
        <v>46105</v>
      </c>
      <c r="C977" s="2" t="s">
        <v>54</v>
      </c>
      <c r="D977" s="2" t="s">
        <v>37</v>
      </c>
      <c r="E977" s="2" t="s">
        <v>45</v>
      </c>
      <c r="F977" s="2" t="s">
        <v>68</v>
      </c>
      <c r="G977" s="2" t="s">
        <v>28</v>
      </c>
      <c r="H977" s="2" t="s">
        <v>56</v>
      </c>
      <c r="I977" s="2">
        <v>42</v>
      </c>
      <c r="J977" s="2">
        <v>73</v>
      </c>
      <c r="K977" s="2">
        <v>40778.660000000003</v>
      </c>
      <c r="L977" s="2">
        <v>100.57</v>
      </c>
      <c r="M977" s="2">
        <v>46.8</v>
      </c>
      <c r="N977" s="2" t="s">
        <v>30</v>
      </c>
      <c r="O977" s="2">
        <v>1</v>
      </c>
    </row>
    <row r="978" spans="1:15" x14ac:dyDescent="0.3">
      <c r="A978" s="2" t="s">
        <v>1035</v>
      </c>
      <c r="B978" s="1">
        <v>46219</v>
      </c>
      <c r="C978" s="2" t="s">
        <v>43</v>
      </c>
      <c r="D978" s="2" t="s">
        <v>67</v>
      </c>
      <c r="E978" s="2" t="s">
        <v>38</v>
      </c>
      <c r="F978" s="2" t="s">
        <v>68</v>
      </c>
      <c r="G978" s="2" t="s">
        <v>28</v>
      </c>
      <c r="H978" s="2" t="s">
        <v>56</v>
      </c>
      <c r="I978" s="2">
        <v>43</v>
      </c>
      <c r="J978" s="2">
        <v>87</v>
      </c>
      <c r="K978" s="2">
        <v>11246.61</v>
      </c>
      <c r="L978" s="2">
        <v>84.03</v>
      </c>
      <c r="M978" s="2">
        <v>16.88</v>
      </c>
      <c r="N978" s="2" t="s">
        <v>22</v>
      </c>
      <c r="O978" s="2">
        <v>5</v>
      </c>
    </row>
    <row r="979" spans="1:15" x14ac:dyDescent="0.3">
      <c r="A979" s="2" t="s">
        <v>1036</v>
      </c>
      <c r="B979" s="1">
        <v>46003</v>
      </c>
      <c r="C979" s="2" t="s">
        <v>43</v>
      </c>
      <c r="D979" s="2" t="s">
        <v>37</v>
      </c>
      <c r="E979" s="2" t="s">
        <v>45</v>
      </c>
      <c r="F979" s="2" t="s">
        <v>27</v>
      </c>
      <c r="G979" s="2" t="s">
        <v>28</v>
      </c>
      <c r="H979" s="2" t="s">
        <v>29</v>
      </c>
      <c r="I979" s="2">
        <v>74</v>
      </c>
      <c r="J979" s="2">
        <v>79</v>
      </c>
      <c r="K979" s="2">
        <v>27330.34</v>
      </c>
      <c r="L979" s="2">
        <v>309.68</v>
      </c>
      <c r="M979" s="2">
        <v>77.760000000000005</v>
      </c>
      <c r="N979" s="2" t="s">
        <v>30</v>
      </c>
      <c r="O979" s="2">
        <v>4</v>
      </c>
    </row>
    <row r="980" spans="1:15" x14ac:dyDescent="0.3">
      <c r="A980" s="2" t="s">
        <v>1037</v>
      </c>
      <c r="B980" s="1">
        <v>46092</v>
      </c>
      <c r="C980" s="2" t="s">
        <v>43</v>
      </c>
      <c r="D980" s="2" t="s">
        <v>51</v>
      </c>
      <c r="E980" s="2" t="s">
        <v>18</v>
      </c>
      <c r="F980" s="2" t="s">
        <v>27</v>
      </c>
      <c r="G980" s="2" t="s">
        <v>55</v>
      </c>
      <c r="H980" s="2" t="s">
        <v>56</v>
      </c>
      <c r="I980" s="2">
        <v>39</v>
      </c>
      <c r="J980" s="2">
        <v>77</v>
      </c>
      <c r="K980" s="2">
        <v>48426.34</v>
      </c>
      <c r="L980" s="2">
        <v>339.18</v>
      </c>
      <c r="M980" s="2">
        <v>3.79</v>
      </c>
      <c r="N980" s="2" t="s">
        <v>30</v>
      </c>
      <c r="O980" s="2">
        <v>1</v>
      </c>
    </row>
    <row r="981" spans="1:15" x14ac:dyDescent="0.3">
      <c r="A981" s="2" t="s">
        <v>1038</v>
      </c>
      <c r="B981" s="1">
        <v>45973</v>
      </c>
      <c r="C981" s="2" t="s">
        <v>74</v>
      </c>
      <c r="D981" s="2" t="s">
        <v>25</v>
      </c>
      <c r="E981" s="2" t="s">
        <v>26</v>
      </c>
      <c r="F981" s="2" t="s">
        <v>34</v>
      </c>
      <c r="G981" s="2" t="s">
        <v>64</v>
      </c>
      <c r="H981" s="2" t="s">
        <v>21</v>
      </c>
      <c r="I981" s="2">
        <v>38</v>
      </c>
      <c r="J981" s="2">
        <v>23</v>
      </c>
      <c r="K981" s="2">
        <v>7818.7</v>
      </c>
      <c r="L981" s="2">
        <v>432.43</v>
      </c>
      <c r="M981" s="2">
        <v>7.18</v>
      </c>
      <c r="N981" s="2" t="s">
        <v>30</v>
      </c>
      <c r="O981" s="2">
        <v>2</v>
      </c>
    </row>
    <row r="982" spans="1:15" x14ac:dyDescent="0.3">
      <c r="A982" s="2" t="s">
        <v>1039</v>
      </c>
      <c r="B982" s="1">
        <v>45957</v>
      </c>
      <c r="C982" s="2" t="s">
        <v>24</v>
      </c>
      <c r="D982" s="2" t="s">
        <v>82</v>
      </c>
      <c r="E982" s="2" t="s">
        <v>18</v>
      </c>
      <c r="F982" s="2" t="s">
        <v>34</v>
      </c>
      <c r="G982" s="2" t="s">
        <v>28</v>
      </c>
      <c r="H982" s="2" t="s">
        <v>29</v>
      </c>
      <c r="I982" s="2">
        <v>32</v>
      </c>
      <c r="J982" s="2">
        <v>81</v>
      </c>
      <c r="K982" s="2">
        <v>47073.38</v>
      </c>
      <c r="L982" s="2">
        <v>181.63</v>
      </c>
      <c r="M982" s="2">
        <v>274.45999999999998</v>
      </c>
      <c r="N982" s="2" t="s">
        <v>30</v>
      </c>
      <c r="O982" s="2">
        <v>4</v>
      </c>
    </row>
    <row r="983" spans="1:15" x14ac:dyDescent="0.3">
      <c r="A983" s="2" t="s">
        <v>1040</v>
      </c>
      <c r="B983" s="1">
        <v>46086</v>
      </c>
      <c r="C983" s="2" t="s">
        <v>43</v>
      </c>
      <c r="D983" s="2" t="s">
        <v>76</v>
      </c>
      <c r="E983" s="2" t="s">
        <v>58</v>
      </c>
      <c r="F983" s="2" t="s">
        <v>34</v>
      </c>
      <c r="G983" s="2" t="s">
        <v>28</v>
      </c>
      <c r="H983" s="2" t="s">
        <v>52</v>
      </c>
      <c r="I983" s="2">
        <v>48</v>
      </c>
      <c r="J983" s="2">
        <v>48</v>
      </c>
      <c r="K983" s="2">
        <v>9553.2099999999991</v>
      </c>
      <c r="L983" s="2">
        <v>125.36</v>
      </c>
      <c r="M983" s="2">
        <v>70.400000000000006</v>
      </c>
      <c r="N983" s="2" t="s">
        <v>22</v>
      </c>
      <c r="O983" s="2">
        <v>5</v>
      </c>
    </row>
    <row r="984" spans="1:15" x14ac:dyDescent="0.3">
      <c r="A984" s="2" t="s">
        <v>1041</v>
      </c>
      <c r="B984" s="1">
        <v>45968</v>
      </c>
      <c r="C984" s="2" t="s">
        <v>24</v>
      </c>
      <c r="D984" s="2" t="s">
        <v>37</v>
      </c>
      <c r="E984" s="2" t="s">
        <v>58</v>
      </c>
      <c r="F984" s="2" t="s">
        <v>27</v>
      </c>
      <c r="G984" s="2" t="s">
        <v>20</v>
      </c>
      <c r="H984" s="2" t="s">
        <v>52</v>
      </c>
      <c r="I984" s="2">
        <v>48</v>
      </c>
      <c r="J984" s="2">
        <v>2</v>
      </c>
      <c r="K984" s="2">
        <v>28588.44</v>
      </c>
      <c r="L984" s="2">
        <v>220.55</v>
      </c>
      <c r="M984" s="2">
        <v>82.16</v>
      </c>
      <c r="N984" s="2" t="s">
        <v>30</v>
      </c>
      <c r="O984" s="2">
        <v>1</v>
      </c>
    </row>
    <row r="985" spans="1:15" x14ac:dyDescent="0.3">
      <c r="A985" s="2" t="s">
        <v>1042</v>
      </c>
      <c r="B985" s="1">
        <v>46055</v>
      </c>
      <c r="C985" s="2" t="s">
        <v>32</v>
      </c>
      <c r="D985" s="2" t="s">
        <v>49</v>
      </c>
      <c r="E985" s="2" t="s">
        <v>45</v>
      </c>
      <c r="F985" s="2" t="s">
        <v>27</v>
      </c>
      <c r="G985" s="2" t="s">
        <v>20</v>
      </c>
      <c r="H985" s="2" t="s">
        <v>56</v>
      </c>
      <c r="I985" s="2">
        <v>53</v>
      </c>
      <c r="J985" s="2">
        <v>84</v>
      </c>
      <c r="K985" s="2">
        <v>19161.88</v>
      </c>
      <c r="L985" s="2">
        <v>209.11</v>
      </c>
      <c r="M985" s="2">
        <v>3.67</v>
      </c>
      <c r="N985" s="2" t="s">
        <v>22</v>
      </c>
      <c r="O985" s="2">
        <v>4</v>
      </c>
    </row>
    <row r="986" spans="1:15" x14ac:dyDescent="0.3">
      <c r="A986" s="2" t="s">
        <v>1043</v>
      </c>
      <c r="B986" s="1">
        <v>46235</v>
      </c>
      <c r="C986" s="2" t="s">
        <v>43</v>
      </c>
      <c r="D986" s="2" t="s">
        <v>76</v>
      </c>
      <c r="E986" s="2" t="s">
        <v>38</v>
      </c>
      <c r="F986" s="2" t="s">
        <v>34</v>
      </c>
      <c r="G986" s="2" t="s">
        <v>64</v>
      </c>
      <c r="H986" s="2" t="s">
        <v>29</v>
      </c>
      <c r="I986" s="2">
        <v>39</v>
      </c>
      <c r="J986" s="2">
        <v>20</v>
      </c>
      <c r="K986" s="2">
        <v>48263.97</v>
      </c>
      <c r="L986" s="2">
        <v>109.61</v>
      </c>
      <c r="M986" s="2">
        <v>81.150000000000006</v>
      </c>
      <c r="N986" s="2" t="s">
        <v>30</v>
      </c>
      <c r="O986" s="2">
        <v>2</v>
      </c>
    </row>
    <row r="987" spans="1:15" x14ac:dyDescent="0.3">
      <c r="A987" s="2" t="s">
        <v>1044</v>
      </c>
      <c r="B987" s="1">
        <v>46187</v>
      </c>
      <c r="C987" s="2" t="s">
        <v>54</v>
      </c>
      <c r="D987" s="2" t="s">
        <v>25</v>
      </c>
      <c r="E987" s="2" t="s">
        <v>18</v>
      </c>
      <c r="F987" s="2" t="s">
        <v>34</v>
      </c>
      <c r="G987" s="2" t="s">
        <v>64</v>
      </c>
      <c r="H987" s="2" t="s">
        <v>29</v>
      </c>
      <c r="I987" s="2">
        <v>48</v>
      </c>
      <c r="J987" s="2">
        <v>59</v>
      </c>
      <c r="K987" s="2">
        <v>14040.33</v>
      </c>
      <c r="L987" s="2">
        <v>352.53</v>
      </c>
      <c r="M987" s="2">
        <v>241.42</v>
      </c>
      <c r="N987" s="2" t="s">
        <v>30</v>
      </c>
      <c r="O987" s="2">
        <v>4</v>
      </c>
    </row>
    <row r="988" spans="1:15" x14ac:dyDescent="0.3">
      <c r="A988" s="2" t="s">
        <v>1045</v>
      </c>
      <c r="B988" s="1">
        <v>45926</v>
      </c>
      <c r="C988" s="2" t="s">
        <v>24</v>
      </c>
      <c r="D988" s="2" t="s">
        <v>76</v>
      </c>
      <c r="E988" s="2" t="s">
        <v>38</v>
      </c>
      <c r="F988" s="2" t="s">
        <v>19</v>
      </c>
      <c r="G988" s="2" t="s">
        <v>35</v>
      </c>
      <c r="H988" s="2" t="s">
        <v>52</v>
      </c>
      <c r="I988" s="2">
        <v>72</v>
      </c>
      <c r="J988" s="2">
        <v>46</v>
      </c>
      <c r="K988" s="2">
        <v>20283.07</v>
      </c>
      <c r="L988" s="2">
        <v>278.91000000000003</v>
      </c>
      <c r="M988" s="2">
        <v>123.1</v>
      </c>
      <c r="N988" s="2" t="s">
        <v>22</v>
      </c>
      <c r="O988" s="2">
        <v>1</v>
      </c>
    </row>
    <row r="989" spans="1:15" x14ac:dyDescent="0.3">
      <c r="A989" s="2" t="s">
        <v>1046</v>
      </c>
      <c r="B989" s="1">
        <v>46097</v>
      </c>
      <c r="C989" s="2" t="s">
        <v>24</v>
      </c>
      <c r="D989" s="2" t="s">
        <v>86</v>
      </c>
      <c r="E989" s="2" t="s">
        <v>45</v>
      </c>
      <c r="F989" s="2" t="s">
        <v>34</v>
      </c>
      <c r="G989" s="2" t="s">
        <v>20</v>
      </c>
      <c r="H989" s="2" t="s">
        <v>29</v>
      </c>
      <c r="I989" s="2">
        <v>69</v>
      </c>
      <c r="J989" s="2">
        <v>3</v>
      </c>
      <c r="K989" s="2">
        <v>49151.58</v>
      </c>
      <c r="L989" s="2">
        <v>374.51</v>
      </c>
      <c r="M989" s="2">
        <v>226.14</v>
      </c>
      <c r="N989" s="2" t="s">
        <v>22</v>
      </c>
      <c r="O989" s="2">
        <v>4</v>
      </c>
    </row>
    <row r="990" spans="1:15" x14ac:dyDescent="0.3">
      <c r="A990" s="2" t="s">
        <v>1047</v>
      </c>
      <c r="B990" s="1">
        <v>46058</v>
      </c>
      <c r="C990" s="2" t="s">
        <v>54</v>
      </c>
      <c r="D990" s="2" t="s">
        <v>33</v>
      </c>
      <c r="E990" s="2" t="s">
        <v>58</v>
      </c>
      <c r="F990" s="2" t="s">
        <v>19</v>
      </c>
      <c r="G990" s="2" t="s">
        <v>35</v>
      </c>
      <c r="H990" s="2" t="s">
        <v>29</v>
      </c>
      <c r="I990" s="2">
        <v>57</v>
      </c>
      <c r="J990" s="2">
        <v>55</v>
      </c>
      <c r="K990" s="2">
        <v>27055.279999999999</v>
      </c>
      <c r="L990" s="2">
        <v>208.71</v>
      </c>
      <c r="M990" s="2">
        <v>134.16</v>
      </c>
      <c r="N990" s="2" t="s">
        <v>30</v>
      </c>
      <c r="O990" s="2">
        <v>5</v>
      </c>
    </row>
    <row r="991" spans="1:15" x14ac:dyDescent="0.3">
      <c r="A991" s="2" t="s">
        <v>1048</v>
      </c>
      <c r="B991" s="1">
        <v>45970</v>
      </c>
      <c r="C991" s="2" t="s">
        <v>43</v>
      </c>
      <c r="D991" s="2" t="s">
        <v>86</v>
      </c>
      <c r="E991" s="2" t="s">
        <v>38</v>
      </c>
      <c r="F991" s="2" t="s">
        <v>39</v>
      </c>
      <c r="G991" s="2" t="s">
        <v>55</v>
      </c>
      <c r="H991" s="2" t="s">
        <v>29</v>
      </c>
      <c r="I991" s="2">
        <v>46</v>
      </c>
      <c r="J991" s="2">
        <v>12</v>
      </c>
      <c r="K991" s="2">
        <v>25380.19</v>
      </c>
      <c r="L991" s="2">
        <v>196.57</v>
      </c>
      <c r="M991" s="2">
        <v>92.93</v>
      </c>
      <c r="N991" s="2" t="s">
        <v>30</v>
      </c>
      <c r="O991" s="2">
        <v>3</v>
      </c>
    </row>
    <row r="992" spans="1:15" x14ac:dyDescent="0.3">
      <c r="A992" s="2" t="s">
        <v>1049</v>
      </c>
      <c r="B992" s="1">
        <v>45930</v>
      </c>
      <c r="C992" s="2" t="s">
        <v>54</v>
      </c>
      <c r="D992" s="2" t="s">
        <v>76</v>
      </c>
      <c r="E992" s="2" t="s">
        <v>38</v>
      </c>
      <c r="F992" s="2" t="s">
        <v>27</v>
      </c>
      <c r="G992" s="2" t="s">
        <v>35</v>
      </c>
      <c r="H992" s="2" t="s">
        <v>56</v>
      </c>
      <c r="I992" s="2">
        <v>55</v>
      </c>
      <c r="J992" s="2">
        <v>40</v>
      </c>
      <c r="K992" s="2">
        <v>13260.04</v>
      </c>
      <c r="L992" s="2">
        <v>262.66000000000003</v>
      </c>
      <c r="M992" s="2">
        <v>96.56</v>
      </c>
      <c r="N992" s="2" t="s">
        <v>30</v>
      </c>
      <c r="O992" s="2">
        <v>1</v>
      </c>
    </row>
    <row r="993" spans="1:15" x14ac:dyDescent="0.3">
      <c r="A993" s="2" t="s">
        <v>1050</v>
      </c>
      <c r="B993" s="1">
        <v>46049</v>
      </c>
      <c r="C993" s="2" t="s">
        <v>24</v>
      </c>
      <c r="D993" s="2" t="s">
        <v>44</v>
      </c>
      <c r="E993" s="2" t="s">
        <v>58</v>
      </c>
      <c r="F993" s="2" t="s">
        <v>34</v>
      </c>
      <c r="G993" s="2" t="s">
        <v>28</v>
      </c>
      <c r="H993" s="2" t="s">
        <v>29</v>
      </c>
      <c r="I993" s="2">
        <v>54</v>
      </c>
      <c r="J993" s="2">
        <v>66</v>
      </c>
      <c r="K993" s="2">
        <v>35217.5</v>
      </c>
      <c r="L993" s="2">
        <v>444.83</v>
      </c>
      <c r="M993" s="2">
        <v>96.92</v>
      </c>
      <c r="N993" s="2" t="s">
        <v>22</v>
      </c>
      <c r="O993" s="2">
        <v>1</v>
      </c>
    </row>
    <row r="994" spans="1:15" x14ac:dyDescent="0.3">
      <c r="A994" s="2" t="s">
        <v>1051</v>
      </c>
      <c r="B994" s="1">
        <v>46193</v>
      </c>
      <c r="C994" s="2" t="s">
        <v>54</v>
      </c>
      <c r="D994" s="2" t="s">
        <v>17</v>
      </c>
      <c r="E994" s="2" t="s">
        <v>18</v>
      </c>
      <c r="F994" s="2" t="s">
        <v>27</v>
      </c>
      <c r="G994" s="2" t="s">
        <v>35</v>
      </c>
      <c r="H994" s="2" t="s">
        <v>21</v>
      </c>
      <c r="I994" s="2">
        <v>55</v>
      </c>
      <c r="J994" s="2">
        <v>100</v>
      </c>
      <c r="K994" s="2">
        <v>1211.46</v>
      </c>
      <c r="L994" s="2">
        <v>68.13</v>
      </c>
      <c r="M994" s="2">
        <v>167.79</v>
      </c>
      <c r="N994" s="2" t="s">
        <v>22</v>
      </c>
      <c r="O994" s="2">
        <v>1</v>
      </c>
    </row>
    <row r="995" spans="1:15" x14ac:dyDescent="0.3">
      <c r="A995" s="2" t="s">
        <v>1052</v>
      </c>
      <c r="B995" s="1">
        <v>46139</v>
      </c>
      <c r="C995" s="2" t="s">
        <v>24</v>
      </c>
      <c r="D995" s="2" t="s">
        <v>76</v>
      </c>
      <c r="E995" s="2" t="s">
        <v>58</v>
      </c>
      <c r="F995" s="2" t="s">
        <v>27</v>
      </c>
      <c r="G995" s="2" t="s">
        <v>64</v>
      </c>
      <c r="H995" s="2" t="s">
        <v>56</v>
      </c>
      <c r="I995" s="2">
        <v>60</v>
      </c>
      <c r="J995" s="2">
        <v>78</v>
      </c>
      <c r="K995" s="2">
        <v>2950.88</v>
      </c>
      <c r="L995" s="2">
        <v>412.17</v>
      </c>
      <c r="M995" s="2">
        <v>59.53</v>
      </c>
      <c r="N995" s="2" t="s">
        <v>22</v>
      </c>
      <c r="O995" s="2">
        <v>1</v>
      </c>
    </row>
    <row r="996" spans="1:15" x14ac:dyDescent="0.3">
      <c r="A996" s="2" t="s">
        <v>1053</v>
      </c>
      <c r="B996" s="1">
        <v>46199</v>
      </c>
      <c r="C996" s="2" t="s">
        <v>24</v>
      </c>
      <c r="D996" s="2" t="s">
        <v>86</v>
      </c>
      <c r="E996" s="2" t="s">
        <v>38</v>
      </c>
      <c r="F996" s="2" t="s">
        <v>27</v>
      </c>
      <c r="G996" s="2" t="s">
        <v>55</v>
      </c>
      <c r="H996" s="2" t="s">
        <v>29</v>
      </c>
      <c r="I996" s="2">
        <v>36</v>
      </c>
      <c r="J996" s="2">
        <v>16</v>
      </c>
      <c r="K996" s="2">
        <v>30168.25</v>
      </c>
      <c r="L996" s="2">
        <v>216.04</v>
      </c>
      <c r="M996" s="2">
        <v>197.92</v>
      </c>
      <c r="N996" s="2" t="s">
        <v>30</v>
      </c>
      <c r="O996" s="2">
        <v>4</v>
      </c>
    </row>
    <row r="997" spans="1:15" x14ac:dyDescent="0.3">
      <c r="A997" s="2" t="s">
        <v>1054</v>
      </c>
      <c r="B997" s="1">
        <v>46115</v>
      </c>
      <c r="C997" s="2" t="s">
        <v>32</v>
      </c>
      <c r="D997" s="2" t="s">
        <v>60</v>
      </c>
      <c r="E997" s="2" t="s">
        <v>18</v>
      </c>
      <c r="F997" s="2" t="s">
        <v>39</v>
      </c>
      <c r="G997" s="2" t="s">
        <v>28</v>
      </c>
      <c r="H997" s="2" t="s">
        <v>29</v>
      </c>
      <c r="I997" s="2">
        <v>58</v>
      </c>
      <c r="J997" s="2">
        <v>83</v>
      </c>
      <c r="K997" s="2">
        <v>17412.89</v>
      </c>
      <c r="L997" s="2">
        <v>434.58</v>
      </c>
      <c r="M997" s="2">
        <v>41.1</v>
      </c>
      <c r="N997" s="2" t="s">
        <v>30</v>
      </c>
      <c r="O997" s="2">
        <v>5</v>
      </c>
    </row>
    <row r="998" spans="1:15" x14ac:dyDescent="0.3">
      <c r="A998" s="2" t="s">
        <v>1055</v>
      </c>
      <c r="B998" s="1">
        <v>46064</v>
      </c>
      <c r="C998" s="2" t="s">
        <v>90</v>
      </c>
      <c r="D998" s="2" t="s">
        <v>25</v>
      </c>
      <c r="E998" s="2" t="s">
        <v>18</v>
      </c>
      <c r="F998" s="2" t="s">
        <v>68</v>
      </c>
      <c r="G998" s="2" t="s">
        <v>35</v>
      </c>
      <c r="H998" s="2" t="s">
        <v>21</v>
      </c>
      <c r="I998" s="2">
        <v>33</v>
      </c>
      <c r="J998" s="2">
        <v>34</v>
      </c>
      <c r="K998" s="2">
        <v>47689.16</v>
      </c>
      <c r="L998" s="2">
        <v>410.99</v>
      </c>
      <c r="M998" s="2">
        <v>137.37</v>
      </c>
      <c r="N998" s="2" t="s">
        <v>30</v>
      </c>
      <c r="O998" s="2">
        <v>2</v>
      </c>
    </row>
    <row r="999" spans="1:15" x14ac:dyDescent="0.3">
      <c r="A999" s="2" t="s">
        <v>1056</v>
      </c>
      <c r="B999" s="1">
        <v>46157</v>
      </c>
      <c r="C999" s="2" t="s">
        <v>24</v>
      </c>
      <c r="D999" s="2" t="s">
        <v>44</v>
      </c>
      <c r="E999" s="2" t="s">
        <v>58</v>
      </c>
      <c r="F999" s="2" t="s">
        <v>34</v>
      </c>
      <c r="G999" s="2" t="s">
        <v>55</v>
      </c>
      <c r="H999" s="2" t="s">
        <v>56</v>
      </c>
      <c r="I999" s="2">
        <v>43</v>
      </c>
      <c r="J999" s="2">
        <v>44</v>
      </c>
      <c r="K999" s="2">
        <v>45207.94</v>
      </c>
      <c r="L999" s="2">
        <v>206.94</v>
      </c>
      <c r="M999" s="2">
        <v>182.66</v>
      </c>
      <c r="N999" s="2" t="s">
        <v>22</v>
      </c>
      <c r="O999" s="2">
        <v>5</v>
      </c>
    </row>
    <row r="1000" spans="1:15" x14ac:dyDescent="0.3">
      <c r="A1000" s="2" t="s">
        <v>1057</v>
      </c>
      <c r="B1000" s="1">
        <v>46226</v>
      </c>
      <c r="C1000" s="2" t="s">
        <v>43</v>
      </c>
      <c r="D1000" s="2" t="s">
        <v>86</v>
      </c>
      <c r="E1000" s="2" t="s">
        <v>38</v>
      </c>
      <c r="F1000" s="2" t="s">
        <v>68</v>
      </c>
      <c r="G1000" s="2" t="s">
        <v>55</v>
      </c>
      <c r="H1000" s="2" t="s">
        <v>52</v>
      </c>
      <c r="I1000" s="2">
        <v>74</v>
      </c>
      <c r="J1000" s="2">
        <v>110</v>
      </c>
      <c r="K1000" s="2">
        <v>35828.46</v>
      </c>
      <c r="L1000" s="2">
        <v>362.24</v>
      </c>
      <c r="M1000" s="2">
        <v>121.72</v>
      </c>
      <c r="N1000" s="2" t="s">
        <v>30</v>
      </c>
      <c r="O1000" s="2">
        <v>1</v>
      </c>
    </row>
    <row r="1001" spans="1:15" x14ac:dyDescent="0.3">
      <c r="A1001" s="2" t="s">
        <v>1058</v>
      </c>
      <c r="B1001" s="1">
        <v>46151</v>
      </c>
      <c r="C1001" s="2" t="s">
        <v>41</v>
      </c>
      <c r="D1001" s="2" t="s">
        <v>37</v>
      </c>
      <c r="E1001" s="2" t="s">
        <v>45</v>
      </c>
      <c r="F1001" s="2" t="s">
        <v>68</v>
      </c>
      <c r="G1001" s="2" t="s">
        <v>28</v>
      </c>
      <c r="H1001" s="2" t="s">
        <v>52</v>
      </c>
      <c r="I1001" s="2">
        <v>42</v>
      </c>
      <c r="J1001" s="2">
        <v>6</v>
      </c>
      <c r="K1001" s="2">
        <v>40998.21</v>
      </c>
      <c r="L1001" s="2">
        <v>121.83</v>
      </c>
      <c r="M1001" s="2">
        <v>111.97</v>
      </c>
      <c r="N1001" s="2" t="s">
        <v>30</v>
      </c>
      <c r="O1001" s="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F841A-7B7A-4B65-A4BD-0F8C3D57A8D1}">
  <dimension ref="A1:R1007"/>
  <sheetViews>
    <sheetView workbookViewId="0">
      <selection activeCell="B4" sqref="B4"/>
    </sheetView>
  </sheetViews>
  <sheetFormatPr defaultColWidth="21.77734375" defaultRowHeight="14.4" x14ac:dyDescent="0.3"/>
  <cols>
    <col min="1" max="1" width="19.21875" bestFit="1" customWidth="1"/>
    <col min="2" max="2" width="16.88671875" bestFit="1" customWidth="1"/>
    <col min="3" max="3" width="8.33203125" bestFit="1" customWidth="1"/>
    <col min="4" max="4" width="13.109375" bestFit="1" customWidth="1"/>
    <col min="5" max="5" width="16.88671875" bestFit="1" customWidth="1"/>
    <col min="6" max="6" width="18.33203125" bestFit="1" customWidth="1"/>
    <col min="7" max="7" width="16.33203125" bestFit="1" customWidth="1"/>
    <col min="8" max="8" width="25.33203125" bestFit="1" customWidth="1"/>
    <col min="9" max="9" width="19" bestFit="1" customWidth="1"/>
    <col min="10" max="10" width="31.5546875" bestFit="1" customWidth="1"/>
    <col min="11" max="11" width="25.33203125" bestFit="1" customWidth="1"/>
    <col min="12" max="12" width="19.88671875" bestFit="1" customWidth="1"/>
    <col min="13" max="13" width="31.5546875" bestFit="1" customWidth="1"/>
    <col min="14" max="14" width="21.6640625" bestFit="1" customWidth="1"/>
    <col min="15" max="15" width="19.88671875" bestFit="1" customWidth="1"/>
    <col min="16" max="16" width="22.6640625" bestFit="1" customWidth="1"/>
    <col min="17" max="17" width="21.6640625" bestFit="1" customWidth="1"/>
    <col min="18" max="18" width="15.21875" bestFit="1" customWidth="1"/>
  </cols>
  <sheetData>
    <row r="1" spans="1:18" x14ac:dyDescent="0.3">
      <c r="A1" s="19" t="s">
        <v>1059</v>
      </c>
      <c r="B1" s="19"/>
      <c r="C1" s="19"/>
      <c r="D1" s="19"/>
      <c r="E1" s="19"/>
      <c r="F1" s="19"/>
      <c r="G1" s="19"/>
    </row>
    <row r="2" spans="1:18" x14ac:dyDescent="0.3">
      <c r="A2" s="20"/>
      <c r="B2" s="20"/>
      <c r="C2" s="20"/>
      <c r="D2" s="20"/>
      <c r="E2" s="20"/>
      <c r="F2" s="20"/>
      <c r="G2" s="20"/>
    </row>
    <row r="3" spans="1:18" ht="21" x14ac:dyDescent="0.3">
      <c r="A3" s="3" t="s">
        <v>0</v>
      </c>
      <c r="B3" s="3" t="s">
        <v>3</v>
      </c>
      <c r="C3" s="8" t="s">
        <v>1</v>
      </c>
      <c r="D3" s="3" t="s">
        <v>2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</row>
    <row r="4" spans="1:18" x14ac:dyDescent="0.3">
      <c r="A4" s="2" t="s">
        <v>15</v>
      </c>
      <c r="B4" s="5" t="str">
        <f>VLOOKUP($A$4,A7:B1007,2,0)</f>
        <v>BR-006</v>
      </c>
      <c r="C4" s="1" cm="1">
        <f t="array" ref="C4:O4">VLOOKUP(VLOOKUP($A$4,A7:B1007,2,0),$E$7:$R$1007,{2,3,4,5,6,7,8,9,10,11,12,13,14},0)</f>
        <v>46088</v>
      </c>
      <c r="D4" s="2" t="str">
        <v>Jamie</v>
      </c>
      <c r="E4" s="2" t="str">
        <v>East</v>
      </c>
      <c r="F4" s="2" t="str">
        <v>Wealth Management</v>
      </c>
      <c r="G4" s="2" t="str">
        <v>Walk-in</v>
      </c>
      <c r="H4" s="2" t="str">
        <v>Retail</v>
      </c>
      <c r="I4" s="2">
        <v>74</v>
      </c>
      <c r="J4" s="2">
        <v>16</v>
      </c>
      <c r="K4" s="2">
        <v>25114.07</v>
      </c>
      <c r="L4" s="2">
        <v>350.3</v>
      </c>
      <c r="M4" s="2">
        <v>179.26</v>
      </c>
      <c r="N4" s="2" t="str">
        <v>No</v>
      </c>
      <c r="O4" s="2">
        <v>4</v>
      </c>
    </row>
    <row r="7" spans="1:18" ht="21" x14ac:dyDescent="0.3">
      <c r="A7" s="3" t="s">
        <v>0</v>
      </c>
      <c r="B7" s="3" t="s">
        <v>3</v>
      </c>
      <c r="E7" s="3" t="s">
        <v>3</v>
      </c>
      <c r="F7" s="8" t="s">
        <v>1</v>
      </c>
      <c r="G7" s="3" t="s">
        <v>2</v>
      </c>
      <c r="H7" s="3" t="s">
        <v>4</v>
      </c>
      <c r="I7" s="3" t="s">
        <v>5</v>
      </c>
      <c r="J7" s="3" t="s">
        <v>6</v>
      </c>
      <c r="K7" s="3" t="s">
        <v>7</v>
      </c>
      <c r="L7" s="3" t="s">
        <v>8</v>
      </c>
      <c r="M7" s="3" t="s">
        <v>9</v>
      </c>
      <c r="N7" s="3" t="s">
        <v>10</v>
      </c>
      <c r="O7" s="3" t="s">
        <v>11</v>
      </c>
      <c r="P7" s="3" t="s">
        <v>12</v>
      </c>
      <c r="Q7" s="3" t="s">
        <v>13</v>
      </c>
      <c r="R7" s="3" t="s">
        <v>14</v>
      </c>
    </row>
    <row r="8" spans="1:18" x14ac:dyDescent="0.3">
      <c r="A8" s="2" t="s">
        <v>15</v>
      </c>
      <c r="B8" s="2" t="s">
        <v>17</v>
      </c>
      <c r="E8" s="2" t="s">
        <v>17</v>
      </c>
      <c r="F8" s="1">
        <v>46088</v>
      </c>
      <c r="G8" s="2" t="s">
        <v>16</v>
      </c>
      <c r="H8" s="2" t="s">
        <v>18</v>
      </c>
      <c r="I8" s="2" t="s">
        <v>19</v>
      </c>
      <c r="J8" s="2" t="s">
        <v>20</v>
      </c>
      <c r="K8" s="2" t="s">
        <v>21</v>
      </c>
      <c r="L8" s="2">
        <v>74</v>
      </c>
      <c r="M8" s="2">
        <v>16</v>
      </c>
      <c r="N8" s="2">
        <v>25114.07</v>
      </c>
      <c r="O8" s="2">
        <v>350.3</v>
      </c>
      <c r="P8" s="2">
        <v>179.26</v>
      </c>
      <c r="Q8" s="2" t="s">
        <v>22</v>
      </c>
      <c r="R8" s="2">
        <v>4</v>
      </c>
    </row>
    <row r="9" spans="1:18" x14ac:dyDescent="0.3">
      <c r="A9" s="2" t="s">
        <v>23</v>
      </c>
      <c r="B9" s="2" t="s">
        <v>25</v>
      </c>
      <c r="E9" s="2" t="s">
        <v>25</v>
      </c>
      <c r="F9" s="1">
        <v>46007</v>
      </c>
      <c r="G9" s="2" t="s">
        <v>24</v>
      </c>
      <c r="H9" s="2" t="s">
        <v>26</v>
      </c>
      <c r="I9" s="2" t="s">
        <v>27</v>
      </c>
      <c r="J9" s="2" t="s">
        <v>28</v>
      </c>
      <c r="K9" s="2" t="s">
        <v>29</v>
      </c>
      <c r="L9" s="2">
        <v>28</v>
      </c>
      <c r="M9" s="2">
        <v>28</v>
      </c>
      <c r="N9" s="2">
        <v>9331.6</v>
      </c>
      <c r="O9" s="2">
        <v>106.51</v>
      </c>
      <c r="P9" s="2">
        <v>121.35</v>
      </c>
      <c r="Q9" s="2" t="s">
        <v>30</v>
      </c>
      <c r="R9" s="2">
        <v>5</v>
      </c>
    </row>
    <row r="10" spans="1:18" x14ac:dyDescent="0.3">
      <c r="A10" s="2" t="s">
        <v>31</v>
      </c>
      <c r="B10" s="2" t="s">
        <v>33</v>
      </c>
      <c r="E10" s="2" t="s">
        <v>33</v>
      </c>
      <c r="F10" s="1">
        <v>45886</v>
      </c>
      <c r="G10" s="2" t="s">
        <v>32</v>
      </c>
      <c r="H10" s="2" t="s">
        <v>18</v>
      </c>
      <c r="I10" s="2" t="s">
        <v>34</v>
      </c>
      <c r="J10" s="2" t="s">
        <v>35</v>
      </c>
      <c r="K10" s="2" t="s">
        <v>29</v>
      </c>
      <c r="L10" s="2">
        <v>44</v>
      </c>
      <c r="M10" s="2">
        <v>112</v>
      </c>
      <c r="N10" s="2">
        <v>5853.67</v>
      </c>
      <c r="O10" s="2">
        <v>394.49</v>
      </c>
      <c r="P10" s="2">
        <v>136.69999999999999</v>
      </c>
      <c r="Q10" s="2" t="s">
        <v>30</v>
      </c>
      <c r="R10" s="2">
        <v>5</v>
      </c>
    </row>
    <row r="11" spans="1:18" x14ac:dyDescent="0.3">
      <c r="A11" s="2" t="s">
        <v>36</v>
      </c>
      <c r="B11" s="2" t="s">
        <v>37</v>
      </c>
      <c r="E11" s="2" t="s">
        <v>37</v>
      </c>
      <c r="F11" s="1">
        <v>46015</v>
      </c>
      <c r="G11" s="2" t="s">
        <v>16</v>
      </c>
      <c r="H11" s="2" t="s">
        <v>38</v>
      </c>
      <c r="I11" s="2" t="s">
        <v>39</v>
      </c>
      <c r="J11" s="2" t="s">
        <v>28</v>
      </c>
      <c r="K11" s="2" t="s">
        <v>21</v>
      </c>
      <c r="L11" s="2">
        <v>35</v>
      </c>
      <c r="M11" s="2">
        <v>35</v>
      </c>
      <c r="N11" s="2">
        <v>42184.29</v>
      </c>
      <c r="O11" s="2">
        <v>144.59</v>
      </c>
      <c r="P11" s="2">
        <v>141.15</v>
      </c>
      <c r="Q11" s="2" t="s">
        <v>30</v>
      </c>
      <c r="R11" s="2">
        <v>5</v>
      </c>
    </row>
    <row r="12" spans="1:18" x14ac:dyDescent="0.3">
      <c r="A12" s="2" t="s">
        <v>40</v>
      </c>
      <c r="B12" s="2" t="s">
        <v>33</v>
      </c>
      <c r="E12" s="2" t="s">
        <v>33</v>
      </c>
      <c r="F12" s="1">
        <v>45980</v>
      </c>
      <c r="G12" s="2" t="s">
        <v>41</v>
      </c>
      <c r="H12" s="2" t="s">
        <v>26</v>
      </c>
      <c r="I12" s="2" t="s">
        <v>34</v>
      </c>
      <c r="J12" s="2" t="s">
        <v>28</v>
      </c>
      <c r="K12" s="2" t="s">
        <v>29</v>
      </c>
      <c r="L12" s="2">
        <v>63</v>
      </c>
      <c r="M12" s="2">
        <v>60</v>
      </c>
      <c r="N12" s="2">
        <v>30899.59</v>
      </c>
      <c r="O12" s="2">
        <v>195.55</v>
      </c>
      <c r="P12" s="2">
        <v>246.26</v>
      </c>
      <c r="Q12" s="2" t="s">
        <v>22</v>
      </c>
      <c r="R12" s="2">
        <v>1</v>
      </c>
    </row>
    <row r="13" spans="1:18" x14ac:dyDescent="0.3">
      <c r="A13" s="2" t="s">
        <v>42</v>
      </c>
      <c r="B13" s="2" t="s">
        <v>44</v>
      </c>
      <c r="E13" s="2" t="s">
        <v>44</v>
      </c>
      <c r="F13" s="1">
        <v>46170</v>
      </c>
      <c r="G13" s="2" t="s">
        <v>43</v>
      </c>
      <c r="H13" s="2" t="s">
        <v>45</v>
      </c>
      <c r="I13" s="2" t="s">
        <v>39</v>
      </c>
      <c r="J13" s="2" t="s">
        <v>20</v>
      </c>
      <c r="K13" s="2" t="s">
        <v>29</v>
      </c>
      <c r="L13" s="2">
        <v>51</v>
      </c>
      <c r="M13" s="2">
        <v>45</v>
      </c>
      <c r="N13" s="2">
        <v>16628.32</v>
      </c>
      <c r="O13" s="2">
        <v>418.66</v>
      </c>
      <c r="P13" s="2">
        <v>70.900000000000006</v>
      </c>
      <c r="Q13" s="2" t="s">
        <v>22</v>
      </c>
      <c r="R13" s="2">
        <v>5</v>
      </c>
    </row>
    <row r="14" spans="1:18" x14ac:dyDescent="0.3">
      <c r="A14" s="2" t="s">
        <v>46</v>
      </c>
      <c r="B14" s="2" t="s">
        <v>47</v>
      </c>
      <c r="E14" s="2" t="s">
        <v>47</v>
      </c>
      <c r="F14" s="1">
        <v>46132</v>
      </c>
      <c r="G14" s="2" t="s">
        <v>32</v>
      </c>
      <c r="H14" s="2" t="s">
        <v>18</v>
      </c>
      <c r="I14" s="2" t="s">
        <v>39</v>
      </c>
      <c r="J14" s="2" t="s">
        <v>28</v>
      </c>
      <c r="K14" s="2" t="s">
        <v>21</v>
      </c>
      <c r="L14" s="2">
        <v>29</v>
      </c>
      <c r="M14" s="2">
        <v>46</v>
      </c>
      <c r="N14" s="2">
        <v>9990.94</v>
      </c>
      <c r="O14" s="2">
        <v>291.44</v>
      </c>
      <c r="P14" s="2">
        <v>132.27000000000001</v>
      </c>
      <c r="Q14" s="2" t="s">
        <v>30</v>
      </c>
      <c r="R14" s="2">
        <v>4</v>
      </c>
    </row>
    <row r="15" spans="1:18" x14ac:dyDescent="0.3">
      <c r="A15" s="2" t="s">
        <v>48</v>
      </c>
      <c r="B15" s="2" t="s">
        <v>49</v>
      </c>
      <c r="E15" s="2" t="s">
        <v>49</v>
      </c>
      <c r="F15" s="1">
        <v>46226</v>
      </c>
      <c r="G15" s="2" t="s">
        <v>32</v>
      </c>
      <c r="H15" s="2" t="s">
        <v>26</v>
      </c>
      <c r="I15" s="2" t="s">
        <v>34</v>
      </c>
      <c r="J15" s="2" t="s">
        <v>20</v>
      </c>
      <c r="K15" s="2" t="s">
        <v>21</v>
      </c>
      <c r="L15" s="2">
        <v>59</v>
      </c>
      <c r="M15" s="2">
        <v>72</v>
      </c>
      <c r="N15" s="2">
        <v>27997.119999999999</v>
      </c>
      <c r="O15" s="2">
        <v>436.97</v>
      </c>
      <c r="P15" s="2">
        <v>78.400000000000006</v>
      </c>
      <c r="Q15" s="2" t="s">
        <v>30</v>
      </c>
      <c r="R15" s="2">
        <v>2</v>
      </c>
    </row>
    <row r="16" spans="1:18" x14ac:dyDescent="0.3">
      <c r="A16" s="2" t="s">
        <v>50</v>
      </c>
      <c r="B16" s="2" t="s">
        <v>51</v>
      </c>
      <c r="E16" s="2" t="s">
        <v>51</v>
      </c>
      <c r="F16" s="1">
        <v>46066</v>
      </c>
      <c r="G16" s="2" t="s">
        <v>16</v>
      </c>
      <c r="H16" s="2" t="s">
        <v>18</v>
      </c>
      <c r="I16" s="2" t="s">
        <v>39</v>
      </c>
      <c r="J16" s="2" t="s">
        <v>35</v>
      </c>
      <c r="K16" s="2" t="s">
        <v>52</v>
      </c>
      <c r="L16" s="2">
        <v>65</v>
      </c>
      <c r="M16" s="2">
        <v>108</v>
      </c>
      <c r="N16" s="2">
        <v>29404</v>
      </c>
      <c r="O16" s="2">
        <v>145.87</v>
      </c>
      <c r="P16" s="2">
        <v>73.739999999999995</v>
      </c>
      <c r="Q16" s="2" t="s">
        <v>22</v>
      </c>
      <c r="R16" s="2">
        <v>5</v>
      </c>
    </row>
    <row r="17" spans="1:18" x14ac:dyDescent="0.3">
      <c r="A17" s="2" t="s">
        <v>53</v>
      </c>
      <c r="B17" s="2" t="s">
        <v>49</v>
      </c>
      <c r="E17" s="2" t="s">
        <v>49</v>
      </c>
      <c r="F17" s="1">
        <v>46230</v>
      </c>
      <c r="G17" s="2" t="s">
        <v>54</v>
      </c>
      <c r="H17" s="2" t="s">
        <v>26</v>
      </c>
      <c r="I17" s="2" t="s">
        <v>39</v>
      </c>
      <c r="J17" s="2" t="s">
        <v>55</v>
      </c>
      <c r="K17" s="2" t="s">
        <v>56</v>
      </c>
      <c r="L17" s="2">
        <v>22</v>
      </c>
      <c r="M17" s="2">
        <v>55</v>
      </c>
      <c r="N17" s="2">
        <v>10746.18</v>
      </c>
      <c r="O17" s="2">
        <v>323.5</v>
      </c>
      <c r="P17" s="2">
        <v>138.01</v>
      </c>
      <c r="Q17" s="2" t="s">
        <v>30</v>
      </c>
      <c r="R17" s="2">
        <v>2</v>
      </c>
    </row>
    <row r="18" spans="1:18" x14ac:dyDescent="0.3">
      <c r="A18" s="2" t="s">
        <v>57</v>
      </c>
      <c r="B18" s="2" t="s">
        <v>49</v>
      </c>
      <c r="E18" s="2" t="s">
        <v>49</v>
      </c>
      <c r="F18" s="1">
        <v>45945</v>
      </c>
      <c r="G18" s="2" t="s">
        <v>41</v>
      </c>
      <c r="H18" s="2" t="s">
        <v>58</v>
      </c>
      <c r="I18" s="2" t="s">
        <v>27</v>
      </c>
      <c r="J18" s="2" t="s">
        <v>20</v>
      </c>
      <c r="K18" s="2" t="s">
        <v>56</v>
      </c>
      <c r="L18" s="2">
        <v>28</v>
      </c>
      <c r="M18" s="2">
        <v>119</v>
      </c>
      <c r="N18" s="2">
        <v>42644.58</v>
      </c>
      <c r="O18" s="2">
        <v>87.71</v>
      </c>
      <c r="P18" s="2">
        <v>77.44</v>
      </c>
      <c r="Q18" s="2" t="s">
        <v>30</v>
      </c>
      <c r="R18" s="2">
        <v>4</v>
      </c>
    </row>
    <row r="19" spans="1:18" x14ac:dyDescent="0.3">
      <c r="A19" s="2" t="s">
        <v>59</v>
      </c>
      <c r="B19" s="2" t="s">
        <v>60</v>
      </c>
      <c r="E19" s="2" t="s">
        <v>60</v>
      </c>
      <c r="F19" s="1">
        <v>46203</v>
      </c>
      <c r="G19" s="2" t="s">
        <v>16</v>
      </c>
      <c r="H19" s="2" t="s">
        <v>18</v>
      </c>
      <c r="I19" s="2" t="s">
        <v>19</v>
      </c>
      <c r="J19" s="2" t="s">
        <v>35</v>
      </c>
      <c r="K19" s="2" t="s">
        <v>21</v>
      </c>
      <c r="L19" s="2">
        <v>27</v>
      </c>
      <c r="M19" s="2">
        <v>86</v>
      </c>
      <c r="N19" s="2">
        <v>4671.09</v>
      </c>
      <c r="O19" s="2">
        <v>339.38</v>
      </c>
      <c r="P19" s="2">
        <v>69.22</v>
      </c>
      <c r="Q19" s="2" t="s">
        <v>30</v>
      </c>
      <c r="R19" s="2">
        <v>5</v>
      </c>
    </row>
    <row r="20" spans="1:18" x14ac:dyDescent="0.3">
      <c r="A20" s="2" t="s">
        <v>61</v>
      </c>
      <c r="B20" s="2" t="s">
        <v>62</v>
      </c>
      <c r="E20" s="2" t="s">
        <v>62</v>
      </c>
      <c r="F20" s="1">
        <v>46076</v>
      </c>
      <c r="G20" s="2" t="s">
        <v>41</v>
      </c>
      <c r="H20" s="2" t="s">
        <v>45</v>
      </c>
      <c r="I20" s="2" t="s">
        <v>19</v>
      </c>
      <c r="J20" s="2" t="s">
        <v>55</v>
      </c>
      <c r="K20" s="2" t="s">
        <v>21</v>
      </c>
      <c r="L20" s="2">
        <v>64</v>
      </c>
      <c r="M20" s="2">
        <v>85</v>
      </c>
      <c r="N20" s="2">
        <v>18126.61</v>
      </c>
      <c r="O20" s="2">
        <v>393.14</v>
      </c>
      <c r="P20" s="2">
        <v>167.18</v>
      </c>
      <c r="Q20" s="2" t="s">
        <v>22</v>
      </c>
      <c r="R20" s="2">
        <v>1</v>
      </c>
    </row>
    <row r="21" spans="1:18" x14ac:dyDescent="0.3">
      <c r="A21" s="2" t="s">
        <v>63</v>
      </c>
      <c r="B21" s="2" t="s">
        <v>49</v>
      </c>
      <c r="E21" s="2" t="s">
        <v>49</v>
      </c>
      <c r="F21" s="1">
        <v>45927</v>
      </c>
      <c r="G21" s="2" t="s">
        <v>41</v>
      </c>
      <c r="H21" s="2" t="s">
        <v>45</v>
      </c>
      <c r="I21" s="2" t="s">
        <v>27</v>
      </c>
      <c r="J21" s="2" t="s">
        <v>64</v>
      </c>
      <c r="K21" s="2" t="s">
        <v>29</v>
      </c>
      <c r="L21" s="2">
        <v>71</v>
      </c>
      <c r="M21" s="2">
        <v>26</v>
      </c>
      <c r="N21" s="2">
        <v>34179.03</v>
      </c>
      <c r="O21" s="2">
        <v>313.22000000000003</v>
      </c>
      <c r="P21" s="2">
        <v>30.39</v>
      </c>
      <c r="Q21" s="2" t="s">
        <v>30</v>
      </c>
      <c r="R21" s="2">
        <v>1</v>
      </c>
    </row>
    <row r="22" spans="1:18" x14ac:dyDescent="0.3">
      <c r="A22" s="2" t="s">
        <v>65</v>
      </c>
      <c r="B22" s="2" t="s">
        <v>17</v>
      </c>
      <c r="E22" s="2" t="s">
        <v>17</v>
      </c>
      <c r="F22" s="1">
        <v>46137</v>
      </c>
      <c r="G22" s="2" t="s">
        <v>43</v>
      </c>
      <c r="H22" s="2" t="s">
        <v>38</v>
      </c>
      <c r="I22" s="2" t="s">
        <v>34</v>
      </c>
      <c r="J22" s="2" t="s">
        <v>20</v>
      </c>
      <c r="K22" s="2" t="s">
        <v>52</v>
      </c>
      <c r="L22" s="2">
        <v>59</v>
      </c>
      <c r="M22" s="2">
        <v>104</v>
      </c>
      <c r="N22" s="2">
        <v>14068.96</v>
      </c>
      <c r="O22" s="2">
        <v>169.8</v>
      </c>
      <c r="P22" s="2">
        <v>135.18</v>
      </c>
      <c r="Q22" s="2" t="s">
        <v>22</v>
      </c>
      <c r="R22" s="2">
        <v>2</v>
      </c>
    </row>
    <row r="23" spans="1:18" x14ac:dyDescent="0.3">
      <c r="A23" s="2" t="s">
        <v>66</v>
      </c>
      <c r="B23" s="2" t="s">
        <v>67</v>
      </c>
      <c r="E23" s="2" t="s">
        <v>67</v>
      </c>
      <c r="F23" s="1">
        <v>46208</v>
      </c>
      <c r="G23" s="2" t="s">
        <v>32</v>
      </c>
      <c r="H23" s="2" t="s">
        <v>26</v>
      </c>
      <c r="I23" s="2" t="s">
        <v>68</v>
      </c>
      <c r="J23" s="2" t="s">
        <v>20</v>
      </c>
      <c r="K23" s="2" t="s">
        <v>52</v>
      </c>
      <c r="L23" s="2">
        <v>62</v>
      </c>
      <c r="M23" s="2">
        <v>85</v>
      </c>
      <c r="N23" s="2">
        <v>41469.919999999998</v>
      </c>
      <c r="O23" s="2">
        <v>64.099999999999994</v>
      </c>
      <c r="P23" s="2">
        <v>49.75</v>
      </c>
      <c r="Q23" s="2" t="s">
        <v>30</v>
      </c>
      <c r="R23" s="2">
        <v>1</v>
      </c>
    </row>
    <row r="24" spans="1:18" x14ac:dyDescent="0.3">
      <c r="A24" s="2" t="s">
        <v>69</v>
      </c>
      <c r="B24" s="2" t="s">
        <v>62</v>
      </c>
      <c r="E24" s="2" t="s">
        <v>62</v>
      </c>
      <c r="F24" s="1">
        <v>46029</v>
      </c>
      <c r="G24" s="2" t="s">
        <v>24</v>
      </c>
      <c r="H24" s="2" t="s">
        <v>18</v>
      </c>
      <c r="I24" s="2" t="s">
        <v>68</v>
      </c>
      <c r="J24" s="2" t="s">
        <v>64</v>
      </c>
      <c r="K24" s="2" t="s">
        <v>21</v>
      </c>
      <c r="L24" s="2">
        <v>36</v>
      </c>
      <c r="M24" s="2">
        <v>25</v>
      </c>
      <c r="N24" s="2">
        <v>37123.46</v>
      </c>
      <c r="O24" s="2">
        <v>103.75</v>
      </c>
      <c r="P24" s="2">
        <v>3.1</v>
      </c>
      <c r="Q24" s="2" t="s">
        <v>22</v>
      </c>
      <c r="R24" s="2">
        <v>1</v>
      </c>
    </row>
    <row r="25" spans="1:18" x14ac:dyDescent="0.3">
      <c r="A25" s="2" t="s">
        <v>70</v>
      </c>
      <c r="B25" s="2" t="s">
        <v>44</v>
      </c>
      <c r="E25" s="2" t="s">
        <v>44</v>
      </c>
      <c r="F25" s="1">
        <v>45988</v>
      </c>
      <c r="G25" s="2" t="s">
        <v>43</v>
      </c>
      <c r="H25" s="2" t="s">
        <v>38</v>
      </c>
      <c r="I25" s="2" t="s">
        <v>68</v>
      </c>
      <c r="J25" s="2" t="s">
        <v>64</v>
      </c>
      <c r="K25" s="2" t="s">
        <v>29</v>
      </c>
      <c r="L25" s="2">
        <v>55</v>
      </c>
      <c r="M25" s="2">
        <v>105</v>
      </c>
      <c r="N25" s="2">
        <v>39556.629999999997</v>
      </c>
      <c r="O25" s="2">
        <v>330.04</v>
      </c>
      <c r="P25" s="2">
        <v>50.03</v>
      </c>
      <c r="Q25" s="2" t="s">
        <v>22</v>
      </c>
      <c r="R25" s="2">
        <v>1</v>
      </c>
    </row>
    <row r="26" spans="1:18" x14ac:dyDescent="0.3">
      <c r="A26" s="2" t="s">
        <v>71</v>
      </c>
      <c r="B26" s="2" t="s">
        <v>25</v>
      </c>
      <c r="E26" s="2" t="s">
        <v>25</v>
      </c>
      <c r="F26" s="1">
        <v>46166</v>
      </c>
      <c r="G26" s="2" t="s">
        <v>43</v>
      </c>
      <c r="H26" s="2" t="s">
        <v>18</v>
      </c>
      <c r="I26" s="2" t="s">
        <v>27</v>
      </c>
      <c r="J26" s="2" t="s">
        <v>20</v>
      </c>
      <c r="K26" s="2" t="s">
        <v>29</v>
      </c>
      <c r="L26" s="2">
        <v>50</v>
      </c>
      <c r="M26" s="2">
        <v>65</v>
      </c>
      <c r="N26" s="2">
        <v>6395.77</v>
      </c>
      <c r="O26" s="2">
        <v>470.49</v>
      </c>
      <c r="P26" s="2">
        <v>182</v>
      </c>
      <c r="Q26" s="2" t="s">
        <v>30</v>
      </c>
      <c r="R26" s="2">
        <v>4</v>
      </c>
    </row>
    <row r="27" spans="1:18" x14ac:dyDescent="0.3">
      <c r="A27" s="2" t="s">
        <v>72</v>
      </c>
      <c r="B27" s="2" t="s">
        <v>37</v>
      </c>
      <c r="E27" s="2" t="s">
        <v>37</v>
      </c>
      <c r="F27" s="1">
        <v>46012</v>
      </c>
      <c r="G27" s="2" t="s">
        <v>41</v>
      </c>
      <c r="H27" s="2" t="s">
        <v>26</v>
      </c>
      <c r="I27" s="2" t="s">
        <v>27</v>
      </c>
      <c r="J27" s="2" t="s">
        <v>64</v>
      </c>
      <c r="K27" s="2" t="s">
        <v>56</v>
      </c>
      <c r="L27" s="2">
        <v>30</v>
      </c>
      <c r="M27" s="2">
        <v>6</v>
      </c>
      <c r="N27" s="2">
        <v>7457.08</v>
      </c>
      <c r="O27" s="2">
        <v>142.94</v>
      </c>
      <c r="P27" s="2">
        <v>141.83000000000001</v>
      </c>
      <c r="Q27" s="2" t="s">
        <v>30</v>
      </c>
      <c r="R27" s="2">
        <v>1</v>
      </c>
    </row>
    <row r="28" spans="1:18" x14ac:dyDescent="0.3">
      <c r="A28" s="2" t="s">
        <v>73</v>
      </c>
      <c r="B28" s="2" t="s">
        <v>67</v>
      </c>
      <c r="E28" s="2" t="s">
        <v>67</v>
      </c>
      <c r="F28" s="1">
        <v>46174</v>
      </c>
      <c r="G28" s="2" t="s">
        <v>74</v>
      </c>
      <c r="H28" s="2" t="s">
        <v>45</v>
      </c>
      <c r="I28" s="2" t="s">
        <v>39</v>
      </c>
      <c r="J28" s="2" t="s">
        <v>28</v>
      </c>
      <c r="K28" s="2" t="s">
        <v>56</v>
      </c>
      <c r="L28" s="2">
        <v>58</v>
      </c>
      <c r="M28" s="2">
        <v>23</v>
      </c>
      <c r="N28" s="2">
        <v>14680.45</v>
      </c>
      <c r="O28" s="2">
        <v>380.76</v>
      </c>
      <c r="P28" s="2">
        <v>4.21</v>
      </c>
      <c r="Q28" s="2" t="s">
        <v>30</v>
      </c>
      <c r="R28" s="2">
        <v>3</v>
      </c>
    </row>
    <row r="29" spans="1:18" x14ac:dyDescent="0.3">
      <c r="A29" s="2" t="s">
        <v>75</v>
      </c>
      <c r="B29" s="2" t="s">
        <v>76</v>
      </c>
      <c r="E29" s="2" t="s">
        <v>76</v>
      </c>
      <c r="F29" s="1">
        <v>46172</v>
      </c>
      <c r="G29" s="2" t="s">
        <v>32</v>
      </c>
      <c r="H29" s="2" t="s">
        <v>58</v>
      </c>
      <c r="I29" s="2" t="s">
        <v>68</v>
      </c>
      <c r="J29" s="2" t="s">
        <v>55</v>
      </c>
      <c r="K29" s="2" t="s">
        <v>29</v>
      </c>
      <c r="L29" s="2">
        <v>38</v>
      </c>
      <c r="M29" s="2">
        <v>115</v>
      </c>
      <c r="N29" s="2">
        <v>26144.82</v>
      </c>
      <c r="O29" s="2">
        <v>439.9</v>
      </c>
      <c r="P29" s="2">
        <v>10.94</v>
      </c>
      <c r="Q29" s="2" t="s">
        <v>30</v>
      </c>
      <c r="R29" s="2">
        <v>5</v>
      </c>
    </row>
    <row r="30" spans="1:18" x14ac:dyDescent="0.3">
      <c r="A30" s="2" t="s">
        <v>77</v>
      </c>
      <c r="B30" s="2" t="s">
        <v>78</v>
      </c>
      <c r="E30" s="2" t="s">
        <v>78</v>
      </c>
      <c r="F30" s="1">
        <v>46175</v>
      </c>
      <c r="G30" s="2" t="s">
        <v>54</v>
      </c>
      <c r="H30" s="2" t="s">
        <v>45</v>
      </c>
      <c r="I30" s="2" t="s">
        <v>34</v>
      </c>
      <c r="J30" s="2" t="s">
        <v>55</v>
      </c>
      <c r="K30" s="2" t="s">
        <v>56</v>
      </c>
      <c r="L30" s="2">
        <v>70</v>
      </c>
      <c r="M30" s="2">
        <v>64</v>
      </c>
      <c r="N30" s="2">
        <v>37526.800000000003</v>
      </c>
      <c r="O30" s="2">
        <v>284.39999999999998</v>
      </c>
      <c r="P30" s="2">
        <v>180.51</v>
      </c>
      <c r="Q30" s="2" t="s">
        <v>22</v>
      </c>
      <c r="R30" s="2">
        <v>1</v>
      </c>
    </row>
    <row r="31" spans="1:18" x14ac:dyDescent="0.3">
      <c r="A31" s="2" t="s">
        <v>79</v>
      </c>
      <c r="B31" s="2" t="s">
        <v>60</v>
      </c>
      <c r="E31" s="2" t="s">
        <v>60</v>
      </c>
      <c r="F31" s="1">
        <v>46015</v>
      </c>
      <c r="G31" s="2" t="s">
        <v>43</v>
      </c>
      <c r="H31" s="2" t="s">
        <v>38</v>
      </c>
      <c r="I31" s="2" t="s">
        <v>34</v>
      </c>
      <c r="J31" s="2" t="s">
        <v>55</v>
      </c>
      <c r="K31" s="2" t="s">
        <v>21</v>
      </c>
      <c r="L31" s="2">
        <v>25</v>
      </c>
      <c r="M31" s="2">
        <v>87</v>
      </c>
      <c r="N31" s="2">
        <v>41908.28</v>
      </c>
      <c r="O31" s="2">
        <v>351.17</v>
      </c>
      <c r="P31" s="2">
        <v>14.66</v>
      </c>
      <c r="Q31" s="2" t="s">
        <v>30</v>
      </c>
      <c r="R31" s="2">
        <v>1</v>
      </c>
    </row>
    <row r="32" spans="1:18" x14ac:dyDescent="0.3">
      <c r="A32" s="2" t="s">
        <v>80</v>
      </c>
      <c r="B32" s="2" t="s">
        <v>67</v>
      </c>
      <c r="E32" s="2" t="s">
        <v>67</v>
      </c>
      <c r="F32" s="1">
        <v>46124</v>
      </c>
      <c r="G32" s="2" t="s">
        <v>24</v>
      </c>
      <c r="H32" s="2" t="s">
        <v>58</v>
      </c>
      <c r="I32" s="2" t="s">
        <v>68</v>
      </c>
      <c r="J32" s="2" t="s">
        <v>28</v>
      </c>
      <c r="K32" s="2" t="s">
        <v>29</v>
      </c>
      <c r="L32" s="2">
        <v>73</v>
      </c>
      <c r="M32" s="2">
        <v>43</v>
      </c>
      <c r="N32" s="2">
        <v>35364.6</v>
      </c>
      <c r="O32" s="2">
        <v>416.76</v>
      </c>
      <c r="P32" s="2">
        <v>268.26</v>
      </c>
      <c r="Q32" s="2" t="s">
        <v>22</v>
      </c>
      <c r="R32" s="2">
        <v>1</v>
      </c>
    </row>
    <row r="33" spans="1:18" x14ac:dyDescent="0.3">
      <c r="A33" s="2" t="s">
        <v>81</v>
      </c>
      <c r="B33" s="2" t="s">
        <v>82</v>
      </c>
      <c r="E33" s="2" t="s">
        <v>82</v>
      </c>
      <c r="F33" s="1">
        <v>46133</v>
      </c>
      <c r="G33" s="2" t="s">
        <v>74</v>
      </c>
      <c r="H33" s="2" t="s">
        <v>38</v>
      </c>
      <c r="I33" s="2" t="s">
        <v>68</v>
      </c>
      <c r="J33" s="2" t="s">
        <v>64</v>
      </c>
      <c r="K33" s="2" t="s">
        <v>56</v>
      </c>
      <c r="L33" s="2">
        <v>49</v>
      </c>
      <c r="M33" s="2">
        <v>107</v>
      </c>
      <c r="N33" s="2">
        <v>46465.55</v>
      </c>
      <c r="O33" s="2">
        <v>167.3</v>
      </c>
      <c r="P33" s="2">
        <v>45.63</v>
      </c>
      <c r="Q33" s="2" t="s">
        <v>30</v>
      </c>
      <c r="R33" s="2">
        <v>3</v>
      </c>
    </row>
    <row r="34" spans="1:18" x14ac:dyDescent="0.3">
      <c r="A34" s="2" t="s">
        <v>83</v>
      </c>
      <c r="B34" s="2" t="s">
        <v>49</v>
      </c>
      <c r="E34" s="2" t="s">
        <v>49</v>
      </c>
      <c r="F34" s="1">
        <v>46209</v>
      </c>
      <c r="G34" s="2" t="s">
        <v>74</v>
      </c>
      <c r="H34" s="2" t="s">
        <v>26</v>
      </c>
      <c r="I34" s="2" t="s">
        <v>68</v>
      </c>
      <c r="J34" s="2" t="s">
        <v>35</v>
      </c>
      <c r="K34" s="2" t="s">
        <v>52</v>
      </c>
      <c r="L34" s="2">
        <v>59</v>
      </c>
      <c r="M34" s="2">
        <v>23</v>
      </c>
      <c r="N34" s="2">
        <v>37067.800000000003</v>
      </c>
      <c r="O34" s="2">
        <v>183.6</v>
      </c>
      <c r="P34" s="2">
        <v>148</v>
      </c>
      <c r="Q34" s="2" t="s">
        <v>30</v>
      </c>
      <c r="R34" s="2">
        <v>1</v>
      </c>
    </row>
    <row r="35" spans="1:18" x14ac:dyDescent="0.3">
      <c r="A35" s="2" t="s">
        <v>84</v>
      </c>
      <c r="B35" s="2" t="s">
        <v>44</v>
      </c>
      <c r="E35" s="2" t="s">
        <v>44</v>
      </c>
      <c r="F35" s="1">
        <v>45972</v>
      </c>
      <c r="G35" s="2" t="s">
        <v>54</v>
      </c>
      <c r="H35" s="2" t="s">
        <v>58</v>
      </c>
      <c r="I35" s="2" t="s">
        <v>27</v>
      </c>
      <c r="J35" s="2" t="s">
        <v>64</v>
      </c>
      <c r="K35" s="2" t="s">
        <v>29</v>
      </c>
      <c r="L35" s="2">
        <v>54</v>
      </c>
      <c r="M35" s="2">
        <v>96</v>
      </c>
      <c r="N35" s="2">
        <v>15660.26</v>
      </c>
      <c r="O35" s="2">
        <v>50.28</v>
      </c>
      <c r="P35" s="2">
        <v>92.93</v>
      </c>
      <c r="Q35" s="2" t="s">
        <v>30</v>
      </c>
      <c r="R35" s="2">
        <v>1</v>
      </c>
    </row>
    <row r="36" spans="1:18" x14ac:dyDescent="0.3">
      <c r="A36" s="2" t="s">
        <v>85</v>
      </c>
      <c r="B36" s="2" t="s">
        <v>86</v>
      </c>
      <c r="E36" s="2" t="s">
        <v>86</v>
      </c>
      <c r="F36" s="1">
        <v>46204</v>
      </c>
      <c r="G36" s="2" t="s">
        <v>43</v>
      </c>
      <c r="H36" s="2" t="s">
        <v>38</v>
      </c>
      <c r="I36" s="2" t="s">
        <v>27</v>
      </c>
      <c r="J36" s="2" t="s">
        <v>20</v>
      </c>
      <c r="K36" s="2" t="s">
        <v>29</v>
      </c>
      <c r="L36" s="2">
        <v>63</v>
      </c>
      <c r="M36" s="2">
        <v>30</v>
      </c>
      <c r="N36" s="2">
        <v>13621.52</v>
      </c>
      <c r="O36" s="2">
        <v>483.39</v>
      </c>
      <c r="P36" s="2">
        <v>257.62</v>
      </c>
      <c r="Q36" s="2" t="s">
        <v>30</v>
      </c>
      <c r="R36" s="2">
        <v>5</v>
      </c>
    </row>
    <row r="37" spans="1:18" x14ac:dyDescent="0.3">
      <c r="A37" s="2" t="s">
        <v>87</v>
      </c>
      <c r="B37" s="2" t="s">
        <v>78</v>
      </c>
      <c r="E37" s="2" t="s">
        <v>78</v>
      </c>
      <c r="F37" s="1">
        <v>46178</v>
      </c>
      <c r="G37" s="2" t="s">
        <v>24</v>
      </c>
      <c r="H37" s="2" t="s">
        <v>26</v>
      </c>
      <c r="I37" s="2" t="s">
        <v>27</v>
      </c>
      <c r="J37" s="2" t="s">
        <v>55</v>
      </c>
      <c r="K37" s="2" t="s">
        <v>52</v>
      </c>
      <c r="L37" s="2">
        <v>65</v>
      </c>
      <c r="M37" s="2">
        <v>77</v>
      </c>
      <c r="N37" s="2">
        <v>34961.53</v>
      </c>
      <c r="O37" s="2">
        <v>462.9</v>
      </c>
      <c r="P37" s="2">
        <v>140.09</v>
      </c>
      <c r="Q37" s="2" t="s">
        <v>30</v>
      </c>
      <c r="R37" s="2">
        <v>3</v>
      </c>
    </row>
    <row r="38" spans="1:18" x14ac:dyDescent="0.3">
      <c r="A38" s="2" t="s">
        <v>88</v>
      </c>
      <c r="B38" s="2" t="s">
        <v>33</v>
      </c>
      <c r="E38" s="2" t="s">
        <v>33</v>
      </c>
      <c r="F38" s="1">
        <v>46012</v>
      </c>
      <c r="G38" s="2" t="s">
        <v>32</v>
      </c>
      <c r="H38" s="2" t="s">
        <v>45</v>
      </c>
      <c r="I38" s="2" t="s">
        <v>19</v>
      </c>
      <c r="J38" s="2" t="s">
        <v>64</v>
      </c>
      <c r="K38" s="2" t="s">
        <v>21</v>
      </c>
      <c r="L38" s="2">
        <v>43</v>
      </c>
      <c r="M38" s="2">
        <v>107</v>
      </c>
      <c r="N38" s="2">
        <v>10047.09</v>
      </c>
      <c r="O38" s="2">
        <v>394.06</v>
      </c>
      <c r="P38" s="2">
        <v>80.36</v>
      </c>
      <c r="Q38" s="2" t="s">
        <v>22</v>
      </c>
      <c r="R38" s="2">
        <v>3</v>
      </c>
    </row>
    <row r="39" spans="1:18" x14ac:dyDescent="0.3">
      <c r="A39" s="2" t="s">
        <v>89</v>
      </c>
      <c r="B39" s="2" t="s">
        <v>17</v>
      </c>
      <c r="E39" s="2" t="s">
        <v>17</v>
      </c>
      <c r="F39" s="1">
        <v>46152</v>
      </c>
      <c r="G39" s="2" t="s">
        <v>90</v>
      </c>
      <c r="H39" s="2" t="s">
        <v>26</v>
      </c>
      <c r="I39" s="2" t="s">
        <v>34</v>
      </c>
      <c r="J39" s="2" t="s">
        <v>35</v>
      </c>
      <c r="K39" s="2" t="s">
        <v>52</v>
      </c>
      <c r="L39" s="2">
        <v>25</v>
      </c>
      <c r="M39" s="2">
        <v>18</v>
      </c>
      <c r="N39" s="2">
        <v>5089.38</v>
      </c>
      <c r="O39" s="2">
        <v>85.58</v>
      </c>
      <c r="P39" s="2">
        <v>15.26</v>
      </c>
      <c r="Q39" s="2" t="s">
        <v>30</v>
      </c>
      <c r="R39" s="2">
        <v>1</v>
      </c>
    </row>
    <row r="40" spans="1:18" x14ac:dyDescent="0.3">
      <c r="A40" s="2" t="s">
        <v>91</v>
      </c>
      <c r="B40" s="2" t="s">
        <v>33</v>
      </c>
      <c r="E40" s="2" t="s">
        <v>33</v>
      </c>
      <c r="F40" s="1">
        <v>46105</v>
      </c>
      <c r="G40" s="2" t="s">
        <v>24</v>
      </c>
      <c r="H40" s="2" t="s">
        <v>18</v>
      </c>
      <c r="I40" s="2" t="s">
        <v>34</v>
      </c>
      <c r="J40" s="2" t="s">
        <v>20</v>
      </c>
      <c r="K40" s="2" t="s">
        <v>29</v>
      </c>
      <c r="L40" s="2">
        <v>50</v>
      </c>
      <c r="M40" s="2">
        <v>87</v>
      </c>
      <c r="N40" s="2">
        <v>26845.03</v>
      </c>
      <c r="O40" s="2">
        <v>251.38</v>
      </c>
      <c r="P40" s="2">
        <v>219.81</v>
      </c>
      <c r="Q40" s="2" t="s">
        <v>30</v>
      </c>
      <c r="R40" s="2">
        <v>3</v>
      </c>
    </row>
    <row r="41" spans="1:18" x14ac:dyDescent="0.3">
      <c r="A41" s="2" t="s">
        <v>92</v>
      </c>
      <c r="B41" s="2" t="s">
        <v>67</v>
      </c>
      <c r="E41" s="2" t="s">
        <v>67</v>
      </c>
      <c r="F41" s="1">
        <v>46219</v>
      </c>
      <c r="G41" s="2" t="s">
        <v>54</v>
      </c>
      <c r="H41" s="2" t="s">
        <v>26</v>
      </c>
      <c r="I41" s="2" t="s">
        <v>39</v>
      </c>
      <c r="J41" s="2" t="s">
        <v>28</v>
      </c>
      <c r="K41" s="2" t="s">
        <v>21</v>
      </c>
      <c r="L41" s="2">
        <v>26</v>
      </c>
      <c r="M41" s="2">
        <v>79</v>
      </c>
      <c r="N41" s="2">
        <v>41171.26</v>
      </c>
      <c r="O41" s="2">
        <v>95.85</v>
      </c>
      <c r="P41" s="2">
        <v>123.38</v>
      </c>
      <c r="Q41" s="2" t="s">
        <v>22</v>
      </c>
      <c r="R41" s="2">
        <v>2</v>
      </c>
    </row>
    <row r="42" spans="1:18" x14ac:dyDescent="0.3">
      <c r="A42" s="2" t="s">
        <v>93</v>
      </c>
      <c r="B42" s="2" t="s">
        <v>25</v>
      </c>
      <c r="E42" s="2" t="s">
        <v>25</v>
      </c>
      <c r="F42" s="1">
        <v>45890</v>
      </c>
      <c r="G42" s="2" t="s">
        <v>74</v>
      </c>
      <c r="H42" s="2" t="s">
        <v>26</v>
      </c>
      <c r="I42" s="2" t="s">
        <v>27</v>
      </c>
      <c r="J42" s="2" t="s">
        <v>28</v>
      </c>
      <c r="K42" s="2" t="s">
        <v>56</v>
      </c>
      <c r="L42" s="2">
        <v>66</v>
      </c>
      <c r="M42" s="2">
        <v>97</v>
      </c>
      <c r="N42" s="2">
        <v>5518.3</v>
      </c>
      <c r="O42" s="2">
        <v>57.16</v>
      </c>
      <c r="P42" s="2">
        <v>0.57999999999999996</v>
      </c>
      <c r="Q42" s="2" t="s">
        <v>22</v>
      </c>
      <c r="R42" s="2">
        <v>3</v>
      </c>
    </row>
    <row r="43" spans="1:18" x14ac:dyDescent="0.3">
      <c r="A43" s="2" t="s">
        <v>94</v>
      </c>
      <c r="B43" s="2" t="s">
        <v>33</v>
      </c>
      <c r="E43" s="2" t="s">
        <v>33</v>
      </c>
      <c r="F43" s="1">
        <v>45974</v>
      </c>
      <c r="G43" s="2" t="s">
        <v>32</v>
      </c>
      <c r="H43" s="2" t="s">
        <v>18</v>
      </c>
      <c r="I43" s="2" t="s">
        <v>19</v>
      </c>
      <c r="J43" s="2" t="s">
        <v>35</v>
      </c>
      <c r="K43" s="2" t="s">
        <v>56</v>
      </c>
      <c r="L43" s="2">
        <v>64</v>
      </c>
      <c r="M43" s="2">
        <v>21</v>
      </c>
      <c r="N43" s="2">
        <v>39698.620000000003</v>
      </c>
      <c r="O43" s="2">
        <v>327.27999999999997</v>
      </c>
      <c r="P43" s="2">
        <v>1.88</v>
      </c>
      <c r="Q43" s="2" t="s">
        <v>30</v>
      </c>
      <c r="R43" s="2">
        <v>3</v>
      </c>
    </row>
    <row r="44" spans="1:18" x14ac:dyDescent="0.3">
      <c r="A44" s="2" t="s">
        <v>95</v>
      </c>
      <c r="B44" s="2" t="s">
        <v>82</v>
      </c>
      <c r="E44" s="2" t="s">
        <v>82</v>
      </c>
      <c r="F44" s="1">
        <v>45899</v>
      </c>
      <c r="G44" s="2" t="s">
        <v>24</v>
      </c>
      <c r="H44" s="2" t="s">
        <v>38</v>
      </c>
      <c r="I44" s="2" t="s">
        <v>19</v>
      </c>
      <c r="J44" s="2" t="s">
        <v>20</v>
      </c>
      <c r="K44" s="2" t="s">
        <v>56</v>
      </c>
      <c r="L44" s="2">
        <v>24</v>
      </c>
      <c r="M44" s="2">
        <v>57</v>
      </c>
      <c r="N44" s="2">
        <v>40672.81</v>
      </c>
      <c r="O44" s="2">
        <v>482.37</v>
      </c>
      <c r="P44" s="2">
        <v>161.76</v>
      </c>
      <c r="Q44" s="2" t="s">
        <v>30</v>
      </c>
      <c r="R44" s="2">
        <v>3</v>
      </c>
    </row>
    <row r="45" spans="1:18" x14ac:dyDescent="0.3">
      <c r="A45" s="2" t="s">
        <v>96</v>
      </c>
      <c r="B45" s="2" t="s">
        <v>44</v>
      </c>
      <c r="E45" s="2" t="s">
        <v>44</v>
      </c>
      <c r="F45" s="1">
        <v>46221</v>
      </c>
      <c r="G45" s="2" t="s">
        <v>90</v>
      </c>
      <c r="H45" s="2" t="s">
        <v>38</v>
      </c>
      <c r="I45" s="2" t="s">
        <v>34</v>
      </c>
      <c r="J45" s="2" t="s">
        <v>55</v>
      </c>
      <c r="K45" s="2" t="s">
        <v>29</v>
      </c>
      <c r="L45" s="2">
        <v>49</v>
      </c>
      <c r="M45" s="2">
        <v>103</v>
      </c>
      <c r="N45" s="2">
        <v>24372.560000000001</v>
      </c>
      <c r="O45" s="2">
        <v>456.29</v>
      </c>
      <c r="P45" s="2">
        <v>77.819999999999993</v>
      </c>
      <c r="Q45" s="2" t="s">
        <v>30</v>
      </c>
      <c r="R45" s="2">
        <v>4</v>
      </c>
    </row>
    <row r="46" spans="1:18" x14ac:dyDescent="0.3">
      <c r="A46" s="2" t="s">
        <v>97</v>
      </c>
      <c r="B46" s="2" t="s">
        <v>76</v>
      </c>
      <c r="E46" s="2" t="s">
        <v>76</v>
      </c>
      <c r="F46" s="1">
        <v>45890</v>
      </c>
      <c r="G46" s="2" t="s">
        <v>90</v>
      </c>
      <c r="H46" s="2" t="s">
        <v>26</v>
      </c>
      <c r="I46" s="2" t="s">
        <v>27</v>
      </c>
      <c r="J46" s="2" t="s">
        <v>64</v>
      </c>
      <c r="K46" s="2" t="s">
        <v>52</v>
      </c>
      <c r="L46" s="2">
        <v>43</v>
      </c>
      <c r="M46" s="2">
        <v>23</v>
      </c>
      <c r="N46" s="2">
        <v>3336.86</v>
      </c>
      <c r="O46" s="2">
        <v>363.54</v>
      </c>
      <c r="P46" s="2">
        <v>127.23</v>
      </c>
      <c r="Q46" s="2" t="s">
        <v>22</v>
      </c>
      <c r="R46" s="2">
        <v>4</v>
      </c>
    </row>
    <row r="47" spans="1:18" x14ac:dyDescent="0.3">
      <c r="A47" s="2" t="s">
        <v>98</v>
      </c>
      <c r="B47" s="2" t="s">
        <v>25</v>
      </c>
      <c r="E47" s="2" t="s">
        <v>25</v>
      </c>
      <c r="F47" s="1">
        <v>46134</v>
      </c>
      <c r="G47" s="2" t="s">
        <v>41</v>
      </c>
      <c r="H47" s="2" t="s">
        <v>18</v>
      </c>
      <c r="I47" s="2" t="s">
        <v>39</v>
      </c>
      <c r="J47" s="2" t="s">
        <v>20</v>
      </c>
      <c r="K47" s="2" t="s">
        <v>21</v>
      </c>
      <c r="L47" s="2">
        <v>26</v>
      </c>
      <c r="M47" s="2">
        <v>91</v>
      </c>
      <c r="N47" s="2">
        <v>9142.2000000000007</v>
      </c>
      <c r="O47" s="2">
        <v>93.49</v>
      </c>
      <c r="P47" s="2">
        <v>90.84</v>
      </c>
      <c r="Q47" s="2" t="s">
        <v>22</v>
      </c>
      <c r="R47" s="2">
        <v>4</v>
      </c>
    </row>
    <row r="48" spans="1:18" x14ac:dyDescent="0.3">
      <c r="A48" s="2" t="s">
        <v>99</v>
      </c>
      <c r="B48" s="2" t="s">
        <v>37</v>
      </c>
      <c r="E48" s="2" t="s">
        <v>37</v>
      </c>
      <c r="F48" s="1">
        <v>46126</v>
      </c>
      <c r="G48" s="2" t="s">
        <v>41</v>
      </c>
      <c r="H48" s="2" t="s">
        <v>18</v>
      </c>
      <c r="I48" s="2" t="s">
        <v>27</v>
      </c>
      <c r="J48" s="2" t="s">
        <v>28</v>
      </c>
      <c r="K48" s="2" t="s">
        <v>56</v>
      </c>
      <c r="L48" s="2">
        <v>52</v>
      </c>
      <c r="M48" s="2">
        <v>45</v>
      </c>
      <c r="N48" s="2">
        <v>35517.599999999999</v>
      </c>
      <c r="O48" s="2">
        <v>173.37</v>
      </c>
      <c r="P48" s="2">
        <v>172.69</v>
      </c>
      <c r="Q48" s="2" t="s">
        <v>22</v>
      </c>
      <c r="R48" s="2">
        <v>3</v>
      </c>
    </row>
    <row r="49" spans="1:18" x14ac:dyDescent="0.3">
      <c r="A49" s="2" t="s">
        <v>100</v>
      </c>
      <c r="B49" s="2" t="s">
        <v>17</v>
      </c>
      <c r="E49" s="2" t="s">
        <v>17</v>
      </c>
      <c r="F49" s="1">
        <v>46054</v>
      </c>
      <c r="G49" s="2" t="s">
        <v>16</v>
      </c>
      <c r="H49" s="2" t="s">
        <v>45</v>
      </c>
      <c r="I49" s="2" t="s">
        <v>68</v>
      </c>
      <c r="J49" s="2" t="s">
        <v>35</v>
      </c>
      <c r="K49" s="2" t="s">
        <v>21</v>
      </c>
      <c r="L49" s="2">
        <v>62</v>
      </c>
      <c r="M49" s="2">
        <v>44</v>
      </c>
      <c r="N49" s="2">
        <v>35733.01</v>
      </c>
      <c r="O49" s="2">
        <v>194.03</v>
      </c>
      <c r="P49" s="2">
        <v>183.39</v>
      </c>
      <c r="Q49" s="2" t="s">
        <v>22</v>
      </c>
      <c r="R49" s="2">
        <v>2</v>
      </c>
    </row>
    <row r="50" spans="1:18" x14ac:dyDescent="0.3">
      <c r="A50" s="2" t="s">
        <v>101</v>
      </c>
      <c r="B50" s="2" t="s">
        <v>82</v>
      </c>
      <c r="E50" s="2" t="s">
        <v>82</v>
      </c>
      <c r="F50" s="1">
        <v>46025</v>
      </c>
      <c r="G50" s="2" t="s">
        <v>54</v>
      </c>
      <c r="H50" s="2" t="s">
        <v>38</v>
      </c>
      <c r="I50" s="2" t="s">
        <v>27</v>
      </c>
      <c r="J50" s="2" t="s">
        <v>35</v>
      </c>
      <c r="K50" s="2" t="s">
        <v>29</v>
      </c>
      <c r="L50" s="2">
        <v>38</v>
      </c>
      <c r="M50" s="2">
        <v>82</v>
      </c>
      <c r="N50" s="2">
        <v>44968.59</v>
      </c>
      <c r="O50" s="2">
        <v>393.42</v>
      </c>
      <c r="P50" s="2">
        <v>299.04000000000002</v>
      </c>
      <c r="Q50" s="2" t="s">
        <v>30</v>
      </c>
      <c r="R50" s="2">
        <v>3</v>
      </c>
    </row>
    <row r="51" spans="1:18" x14ac:dyDescent="0.3">
      <c r="A51" s="2" t="s">
        <v>102</v>
      </c>
      <c r="B51" s="2" t="s">
        <v>82</v>
      </c>
      <c r="E51" s="2" t="s">
        <v>82</v>
      </c>
      <c r="F51" s="1">
        <v>46011</v>
      </c>
      <c r="G51" s="2" t="s">
        <v>43</v>
      </c>
      <c r="H51" s="2" t="s">
        <v>58</v>
      </c>
      <c r="I51" s="2" t="s">
        <v>68</v>
      </c>
      <c r="J51" s="2" t="s">
        <v>64</v>
      </c>
      <c r="K51" s="2" t="s">
        <v>56</v>
      </c>
      <c r="L51" s="2">
        <v>35</v>
      </c>
      <c r="M51" s="2">
        <v>88</v>
      </c>
      <c r="N51" s="2">
        <v>29342.959999999999</v>
      </c>
      <c r="O51" s="2">
        <v>411.01</v>
      </c>
      <c r="P51" s="2">
        <v>30.74</v>
      </c>
      <c r="Q51" s="2" t="s">
        <v>22</v>
      </c>
      <c r="R51" s="2">
        <v>1</v>
      </c>
    </row>
    <row r="52" spans="1:18" x14ac:dyDescent="0.3">
      <c r="A52" s="2" t="s">
        <v>103</v>
      </c>
      <c r="B52" s="2" t="s">
        <v>33</v>
      </c>
      <c r="E52" s="2" t="s">
        <v>33</v>
      </c>
      <c r="F52" s="1">
        <v>46101</v>
      </c>
      <c r="G52" s="2" t="s">
        <v>24</v>
      </c>
      <c r="H52" s="2" t="s">
        <v>38</v>
      </c>
      <c r="I52" s="2" t="s">
        <v>68</v>
      </c>
      <c r="J52" s="2" t="s">
        <v>35</v>
      </c>
      <c r="K52" s="2" t="s">
        <v>29</v>
      </c>
      <c r="L52" s="2">
        <v>60</v>
      </c>
      <c r="M52" s="2">
        <v>115</v>
      </c>
      <c r="N52" s="2">
        <v>6643.31</v>
      </c>
      <c r="O52" s="2">
        <v>223.3</v>
      </c>
      <c r="P52" s="2">
        <v>258.88</v>
      </c>
      <c r="Q52" s="2" t="s">
        <v>30</v>
      </c>
      <c r="R52" s="2">
        <v>2</v>
      </c>
    </row>
    <row r="53" spans="1:18" x14ac:dyDescent="0.3">
      <c r="A53" s="2" t="s">
        <v>104</v>
      </c>
      <c r="B53" s="2" t="s">
        <v>49</v>
      </c>
      <c r="E53" s="2" t="s">
        <v>49</v>
      </c>
      <c r="F53" s="1">
        <v>46081</v>
      </c>
      <c r="G53" s="2" t="s">
        <v>24</v>
      </c>
      <c r="H53" s="2" t="s">
        <v>38</v>
      </c>
      <c r="I53" s="2" t="s">
        <v>39</v>
      </c>
      <c r="J53" s="2" t="s">
        <v>35</v>
      </c>
      <c r="K53" s="2" t="s">
        <v>52</v>
      </c>
      <c r="L53" s="2">
        <v>52</v>
      </c>
      <c r="M53" s="2">
        <v>47</v>
      </c>
      <c r="N53" s="2">
        <v>6510.04</v>
      </c>
      <c r="O53" s="2">
        <v>238.05</v>
      </c>
      <c r="P53" s="2">
        <v>53.2</v>
      </c>
      <c r="Q53" s="2" t="s">
        <v>30</v>
      </c>
      <c r="R53" s="2">
        <v>4</v>
      </c>
    </row>
    <row r="54" spans="1:18" x14ac:dyDescent="0.3">
      <c r="A54" s="2" t="s">
        <v>105</v>
      </c>
      <c r="B54" s="2" t="s">
        <v>33</v>
      </c>
      <c r="E54" s="2" t="s">
        <v>33</v>
      </c>
      <c r="F54" s="1">
        <v>46054</v>
      </c>
      <c r="G54" s="2" t="s">
        <v>43</v>
      </c>
      <c r="H54" s="2" t="s">
        <v>45</v>
      </c>
      <c r="I54" s="2" t="s">
        <v>34</v>
      </c>
      <c r="J54" s="2" t="s">
        <v>20</v>
      </c>
      <c r="K54" s="2" t="s">
        <v>29</v>
      </c>
      <c r="L54" s="2">
        <v>29</v>
      </c>
      <c r="M54" s="2">
        <v>40</v>
      </c>
      <c r="N54" s="2">
        <v>36196.050000000003</v>
      </c>
      <c r="O54" s="2">
        <v>70.03</v>
      </c>
      <c r="P54" s="2">
        <v>177.24</v>
      </c>
      <c r="Q54" s="2" t="s">
        <v>30</v>
      </c>
      <c r="R54" s="2">
        <v>5</v>
      </c>
    </row>
    <row r="55" spans="1:18" x14ac:dyDescent="0.3">
      <c r="A55" s="2" t="s">
        <v>106</v>
      </c>
      <c r="B55" s="2" t="s">
        <v>67</v>
      </c>
      <c r="E55" s="2" t="s">
        <v>67</v>
      </c>
      <c r="F55" s="1">
        <v>46024</v>
      </c>
      <c r="G55" s="2" t="s">
        <v>16</v>
      </c>
      <c r="H55" s="2" t="s">
        <v>58</v>
      </c>
      <c r="I55" s="2" t="s">
        <v>27</v>
      </c>
      <c r="J55" s="2" t="s">
        <v>55</v>
      </c>
      <c r="K55" s="2" t="s">
        <v>29</v>
      </c>
      <c r="L55" s="2">
        <v>57</v>
      </c>
      <c r="M55" s="2">
        <v>51</v>
      </c>
      <c r="N55" s="2">
        <v>9597.34</v>
      </c>
      <c r="O55" s="2">
        <v>180.11</v>
      </c>
      <c r="P55" s="2">
        <v>151.72999999999999</v>
      </c>
      <c r="Q55" s="2" t="s">
        <v>22</v>
      </c>
      <c r="R55" s="2">
        <v>2</v>
      </c>
    </row>
    <row r="56" spans="1:18" x14ac:dyDescent="0.3">
      <c r="A56" s="2" t="s">
        <v>107</v>
      </c>
      <c r="B56" s="2" t="s">
        <v>37</v>
      </c>
      <c r="E56" s="2" t="s">
        <v>37</v>
      </c>
      <c r="F56" s="1">
        <v>46000</v>
      </c>
      <c r="G56" s="2" t="s">
        <v>74</v>
      </c>
      <c r="H56" s="2" t="s">
        <v>45</v>
      </c>
      <c r="I56" s="2" t="s">
        <v>68</v>
      </c>
      <c r="J56" s="2" t="s">
        <v>64</v>
      </c>
      <c r="K56" s="2" t="s">
        <v>52</v>
      </c>
      <c r="L56" s="2">
        <v>30</v>
      </c>
      <c r="M56" s="2">
        <v>42</v>
      </c>
      <c r="N56" s="2">
        <v>16755.080000000002</v>
      </c>
      <c r="O56" s="2">
        <v>253.08</v>
      </c>
      <c r="P56" s="2">
        <v>3.6</v>
      </c>
      <c r="Q56" s="2" t="s">
        <v>22</v>
      </c>
      <c r="R56" s="2">
        <v>4</v>
      </c>
    </row>
    <row r="57" spans="1:18" x14ac:dyDescent="0.3">
      <c r="A57" s="2" t="s">
        <v>108</v>
      </c>
      <c r="B57" s="2" t="s">
        <v>62</v>
      </c>
      <c r="E57" s="2" t="s">
        <v>62</v>
      </c>
      <c r="F57" s="1">
        <v>46155</v>
      </c>
      <c r="G57" s="2" t="s">
        <v>74</v>
      </c>
      <c r="H57" s="2" t="s">
        <v>58</v>
      </c>
      <c r="I57" s="2" t="s">
        <v>27</v>
      </c>
      <c r="J57" s="2" t="s">
        <v>20</v>
      </c>
      <c r="K57" s="2" t="s">
        <v>21</v>
      </c>
      <c r="L57" s="2">
        <v>40</v>
      </c>
      <c r="M57" s="2">
        <v>7</v>
      </c>
      <c r="N57" s="2">
        <v>24616.99</v>
      </c>
      <c r="O57" s="2">
        <v>102.64</v>
      </c>
      <c r="P57" s="2">
        <v>186.55</v>
      </c>
      <c r="Q57" s="2" t="s">
        <v>30</v>
      </c>
      <c r="R57" s="2">
        <v>2</v>
      </c>
    </row>
    <row r="58" spans="1:18" x14ac:dyDescent="0.3">
      <c r="A58" s="2" t="s">
        <v>109</v>
      </c>
      <c r="B58" s="2" t="s">
        <v>25</v>
      </c>
      <c r="E58" s="2" t="s">
        <v>25</v>
      </c>
      <c r="F58" s="1">
        <v>45990</v>
      </c>
      <c r="G58" s="2" t="s">
        <v>16</v>
      </c>
      <c r="H58" s="2" t="s">
        <v>26</v>
      </c>
      <c r="I58" s="2" t="s">
        <v>34</v>
      </c>
      <c r="J58" s="2" t="s">
        <v>55</v>
      </c>
      <c r="K58" s="2" t="s">
        <v>52</v>
      </c>
      <c r="L58" s="2">
        <v>26</v>
      </c>
      <c r="M58" s="2">
        <v>50</v>
      </c>
      <c r="N58" s="2">
        <v>1725.86</v>
      </c>
      <c r="O58" s="2">
        <v>253.97</v>
      </c>
      <c r="P58" s="2">
        <v>15.67</v>
      </c>
      <c r="Q58" s="2" t="s">
        <v>22</v>
      </c>
      <c r="R58" s="2">
        <v>2</v>
      </c>
    </row>
    <row r="59" spans="1:18" x14ac:dyDescent="0.3">
      <c r="A59" s="2" t="s">
        <v>110</v>
      </c>
      <c r="B59" s="2" t="s">
        <v>33</v>
      </c>
      <c r="E59" s="2" t="s">
        <v>33</v>
      </c>
      <c r="F59" s="1">
        <v>45914</v>
      </c>
      <c r="G59" s="2" t="s">
        <v>74</v>
      </c>
      <c r="H59" s="2" t="s">
        <v>58</v>
      </c>
      <c r="I59" s="2" t="s">
        <v>34</v>
      </c>
      <c r="J59" s="2" t="s">
        <v>20</v>
      </c>
      <c r="K59" s="2" t="s">
        <v>52</v>
      </c>
      <c r="L59" s="2">
        <v>68</v>
      </c>
      <c r="M59" s="2">
        <v>48</v>
      </c>
      <c r="N59" s="2">
        <v>12816.54</v>
      </c>
      <c r="O59" s="2">
        <v>433.93</v>
      </c>
      <c r="P59" s="2">
        <v>137.63999999999999</v>
      </c>
      <c r="Q59" s="2" t="s">
        <v>22</v>
      </c>
      <c r="R59" s="2">
        <v>3</v>
      </c>
    </row>
    <row r="60" spans="1:18" x14ac:dyDescent="0.3">
      <c r="A60" s="2" t="s">
        <v>111</v>
      </c>
      <c r="B60" s="2" t="s">
        <v>44</v>
      </c>
      <c r="E60" s="2" t="s">
        <v>44</v>
      </c>
      <c r="F60" s="1">
        <v>46086</v>
      </c>
      <c r="G60" s="2" t="s">
        <v>41</v>
      </c>
      <c r="H60" s="2" t="s">
        <v>45</v>
      </c>
      <c r="I60" s="2" t="s">
        <v>19</v>
      </c>
      <c r="J60" s="2" t="s">
        <v>20</v>
      </c>
      <c r="K60" s="2" t="s">
        <v>29</v>
      </c>
      <c r="L60" s="2">
        <v>23</v>
      </c>
      <c r="M60" s="2">
        <v>84</v>
      </c>
      <c r="N60" s="2">
        <v>20690.54</v>
      </c>
      <c r="O60" s="2">
        <v>311.58999999999997</v>
      </c>
      <c r="P60" s="2">
        <v>235.5</v>
      </c>
      <c r="Q60" s="2" t="s">
        <v>30</v>
      </c>
      <c r="R60" s="2">
        <v>1</v>
      </c>
    </row>
    <row r="61" spans="1:18" x14ac:dyDescent="0.3">
      <c r="A61" s="2" t="s">
        <v>112</v>
      </c>
      <c r="B61" s="2" t="s">
        <v>86</v>
      </c>
      <c r="E61" s="2" t="s">
        <v>86</v>
      </c>
      <c r="F61" s="1">
        <v>46149</v>
      </c>
      <c r="G61" s="2" t="s">
        <v>24</v>
      </c>
      <c r="H61" s="2" t="s">
        <v>38</v>
      </c>
      <c r="I61" s="2" t="s">
        <v>34</v>
      </c>
      <c r="J61" s="2" t="s">
        <v>35</v>
      </c>
      <c r="K61" s="2" t="s">
        <v>21</v>
      </c>
      <c r="L61" s="2">
        <v>62</v>
      </c>
      <c r="M61" s="2">
        <v>91</v>
      </c>
      <c r="N61" s="2">
        <v>14342</v>
      </c>
      <c r="O61" s="2">
        <v>85.52</v>
      </c>
      <c r="P61" s="2">
        <v>159.06</v>
      </c>
      <c r="Q61" s="2" t="s">
        <v>30</v>
      </c>
      <c r="R61" s="2">
        <v>5</v>
      </c>
    </row>
    <row r="62" spans="1:18" x14ac:dyDescent="0.3">
      <c r="A62" s="2" t="s">
        <v>113</v>
      </c>
      <c r="B62" s="2" t="s">
        <v>17</v>
      </c>
      <c r="E62" s="2" t="s">
        <v>17</v>
      </c>
      <c r="F62" s="1">
        <v>45904</v>
      </c>
      <c r="G62" s="2" t="s">
        <v>16</v>
      </c>
      <c r="H62" s="2" t="s">
        <v>58</v>
      </c>
      <c r="I62" s="2" t="s">
        <v>39</v>
      </c>
      <c r="J62" s="2" t="s">
        <v>55</v>
      </c>
      <c r="K62" s="2" t="s">
        <v>56</v>
      </c>
      <c r="L62" s="2">
        <v>31</v>
      </c>
      <c r="M62" s="2">
        <v>6</v>
      </c>
      <c r="N62" s="2">
        <v>7250.33</v>
      </c>
      <c r="O62" s="2">
        <v>136.25</v>
      </c>
      <c r="P62" s="2">
        <v>27.1</v>
      </c>
      <c r="Q62" s="2" t="s">
        <v>22</v>
      </c>
      <c r="R62" s="2">
        <v>4</v>
      </c>
    </row>
    <row r="63" spans="1:18" x14ac:dyDescent="0.3">
      <c r="A63" s="2" t="s">
        <v>114</v>
      </c>
      <c r="B63" s="2" t="s">
        <v>51</v>
      </c>
      <c r="E63" s="2" t="s">
        <v>51</v>
      </c>
      <c r="F63" s="1">
        <v>45942</v>
      </c>
      <c r="G63" s="2" t="s">
        <v>24</v>
      </c>
      <c r="H63" s="2" t="s">
        <v>58</v>
      </c>
      <c r="I63" s="2" t="s">
        <v>68</v>
      </c>
      <c r="J63" s="2" t="s">
        <v>64</v>
      </c>
      <c r="K63" s="2" t="s">
        <v>52</v>
      </c>
      <c r="L63" s="2">
        <v>63</v>
      </c>
      <c r="M63" s="2">
        <v>91</v>
      </c>
      <c r="N63" s="2">
        <v>36536.61</v>
      </c>
      <c r="O63" s="2">
        <v>263.54000000000002</v>
      </c>
      <c r="P63" s="2">
        <v>89.51</v>
      </c>
      <c r="Q63" s="2" t="s">
        <v>30</v>
      </c>
      <c r="R63" s="2">
        <v>2</v>
      </c>
    </row>
    <row r="64" spans="1:18" x14ac:dyDescent="0.3">
      <c r="A64" s="2" t="s">
        <v>115</v>
      </c>
      <c r="B64" s="2" t="s">
        <v>33</v>
      </c>
      <c r="E64" s="2" t="s">
        <v>33</v>
      </c>
      <c r="F64" s="1">
        <v>45882</v>
      </c>
      <c r="G64" s="2" t="s">
        <v>43</v>
      </c>
      <c r="H64" s="2" t="s">
        <v>18</v>
      </c>
      <c r="I64" s="2" t="s">
        <v>19</v>
      </c>
      <c r="J64" s="2" t="s">
        <v>64</v>
      </c>
      <c r="K64" s="2" t="s">
        <v>21</v>
      </c>
      <c r="L64" s="2">
        <v>37</v>
      </c>
      <c r="M64" s="2">
        <v>9</v>
      </c>
      <c r="N64" s="2">
        <v>40750.81</v>
      </c>
      <c r="O64" s="2">
        <v>212.67</v>
      </c>
      <c r="P64" s="2">
        <v>165.89</v>
      </c>
      <c r="Q64" s="2" t="s">
        <v>30</v>
      </c>
      <c r="R64" s="2">
        <v>5</v>
      </c>
    </row>
    <row r="65" spans="1:18" x14ac:dyDescent="0.3">
      <c r="A65" s="2" t="s">
        <v>116</v>
      </c>
      <c r="B65" s="2" t="s">
        <v>44</v>
      </c>
      <c r="E65" s="2" t="s">
        <v>44</v>
      </c>
      <c r="F65" s="1">
        <v>45871</v>
      </c>
      <c r="G65" s="2" t="s">
        <v>90</v>
      </c>
      <c r="H65" s="2" t="s">
        <v>38</v>
      </c>
      <c r="I65" s="2" t="s">
        <v>39</v>
      </c>
      <c r="J65" s="2" t="s">
        <v>55</v>
      </c>
      <c r="K65" s="2" t="s">
        <v>52</v>
      </c>
      <c r="L65" s="2">
        <v>52</v>
      </c>
      <c r="M65" s="2">
        <v>117</v>
      </c>
      <c r="N65" s="2">
        <v>13245.21</v>
      </c>
      <c r="O65" s="2">
        <v>211.43</v>
      </c>
      <c r="P65" s="2">
        <v>60.54</v>
      </c>
      <c r="Q65" s="2" t="s">
        <v>22</v>
      </c>
      <c r="R65" s="2">
        <v>2</v>
      </c>
    </row>
    <row r="66" spans="1:18" x14ac:dyDescent="0.3">
      <c r="A66" s="2" t="s">
        <v>117</v>
      </c>
      <c r="B66" s="2" t="s">
        <v>25</v>
      </c>
      <c r="E66" s="2" t="s">
        <v>25</v>
      </c>
      <c r="F66" s="1">
        <v>46221</v>
      </c>
      <c r="G66" s="2" t="s">
        <v>41</v>
      </c>
      <c r="H66" s="2" t="s">
        <v>26</v>
      </c>
      <c r="I66" s="2" t="s">
        <v>27</v>
      </c>
      <c r="J66" s="2" t="s">
        <v>35</v>
      </c>
      <c r="K66" s="2" t="s">
        <v>52</v>
      </c>
      <c r="L66" s="2">
        <v>24</v>
      </c>
      <c r="M66" s="2">
        <v>109</v>
      </c>
      <c r="N66" s="2">
        <v>38833.760000000002</v>
      </c>
      <c r="O66" s="2">
        <v>288.17</v>
      </c>
      <c r="P66" s="2">
        <v>93.55</v>
      </c>
      <c r="Q66" s="2" t="s">
        <v>22</v>
      </c>
      <c r="R66" s="2">
        <v>1</v>
      </c>
    </row>
    <row r="67" spans="1:18" x14ac:dyDescent="0.3">
      <c r="A67" s="2" t="s">
        <v>118</v>
      </c>
      <c r="B67" s="2" t="s">
        <v>44</v>
      </c>
      <c r="E67" s="2" t="s">
        <v>44</v>
      </c>
      <c r="F67" s="1">
        <v>45941</v>
      </c>
      <c r="G67" s="2" t="s">
        <v>32</v>
      </c>
      <c r="H67" s="2" t="s">
        <v>45</v>
      </c>
      <c r="I67" s="2" t="s">
        <v>68</v>
      </c>
      <c r="J67" s="2" t="s">
        <v>28</v>
      </c>
      <c r="K67" s="2" t="s">
        <v>52</v>
      </c>
      <c r="L67" s="2">
        <v>24</v>
      </c>
      <c r="M67" s="2">
        <v>57</v>
      </c>
      <c r="N67" s="2">
        <v>19584.900000000001</v>
      </c>
      <c r="O67" s="2">
        <v>312.98</v>
      </c>
      <c r="P67" s="2">
        <v>54.56</v>
      </c>
      <c r="Q67" s="2" t="s">
        <v>22</v>
      </c>
      <c r="R67" s="2">
        <v>5</v>
      </c>
    </row>
    <row r="68" spans="1:18" x14ac:dyDescent="0.3">
      <c r="A68" s="2" t="s">
        <v>119</v>
      </c>
      <c r="B68" s="2" t="s">
        <v>17</v>
      </c>
      <c r="E68" s="2" t="s">
        <v>17</v>
      </c>
      <c r="F68" s="1">
        <v>46214</v>
      </c>
      <c r="G68" s="2" t="s">
        <v>41</v>
      </c>
      <c r="H68" s="2" t="s">
        <v>26</v>
      </c>
      <c r="I68" s="2" t="s">
        <v>34</v>
      </c>
      <c r="J68" s="2" t="s">
        <v>20</v>
      </c>
      <c r="K68" s="2" t="s">
        <v>52</v>
      </c>
      <c r="L68" s="2">
        <v>37</v>
      </c>
      <c r="M68" s="2">
        <v>31</v>
      </c>
      <c r="N68" s="2">
        <v>25580.95</v>
      </c>
      <c r="O68" s="2">
        <v>408.59</v>
      </c>
      <c r="P68" s="2">
        <v>92.71</v>
      </c>
      <c r="Q68" s="2" t="s">
        <v>22</v>
      </c>
      <c r="R68" s="2">
        <v>4</v>
      </c>
    </row>
    <row r="69" spans="1:18" x14ac:dyDescent="0.3">
      <c r="A69" s="2" t="s">
        <v>120</v>
      </c>
      <c r="B69" s="2" t="s">
        <v>62</v>
      </c>
      <c r="E69" s="2" t="s">
        <v>62</v>
      </c>
      <c r="F69" s="1">
        <v>46084</v>
      </c>
      <c r="G69" s="2" t="s">
        <v>16</v>
      </c>
      <c r="H69" s="2" t="s">
        <v>38</v>
      </c>
      <c r="I69" s="2" t="s">
        <v>68</v>
      </c>
      <c r="J69" s="2" t="s">
        <v>35</v>
      </c>
      <c r="K69" s="2" t="s">
        <v>29</v>
      </c>
      <c r="L69" s="2">
        <v>61</v>
      </c>
      <c r="M69" s="2">
        <v>21</v>
      </c>
      <c r="N69" s="2">
        <v>42872.05</v>
      </c>
      <c r="O69" s="2">
        <v>203.43</v>
      </c>
      <c r="P69" s="2">
        <v>266.36</v>
      </c>
      <c r="Q69" s="2" t="s">
        <v>30</v>
      </c>
      <c r="R69" s="2">
        <v>2</v>
      </c>
    </row>
    <row r="70" spans="1:18" x14ac:dyDescent="0.3">
      <c r="A70" s="2" t="s">
        <v>121</v>
      </c>
      <c r="B70" s="2" t="s">
        <v>44</v>
      </c>
      <c r="E70" s="2" t="s">
        <v>44</v>
      </c>
      <c r="F70" s="1">
        <v>46225</v>
      </c>
      <c r="G70" s="2" t="s">
        <v>32</v>
      </c>
      <c r="H70" s="2" t="s">
        <v>58</v>
      </c>
      <c r="I70" s="2" t="s">
        <v>27</v>
      </c>
      <c r="J70" s="2" t="s">
        <v>55</v>
      </c>
      <c r="K70" s="2" t="s">
        <v>21</v>
      </c>
      <c r="L70" s="2">
        <v>39</v>
      </c>
      <c r="M70" s="2">
        <v>90</v>
      </c>
      <c r="N70" s="2">
        <v>37622.71</v>
      </c>
      <c r="O70" s="2">
        <v>412.46</v>
      </c>
      <c r="P70" s="2">
        <v>91.02</v>
      </c>
      <c r="Q70" s="2" t="s">
        <v>30</v>
      </c>
      <c r="R70" s="2">
        <v>1</v>
      </c>
    </row>
    <row r="71" spans="1:18" x14ac:dyDescent="0.3">
      <c r="A71" s="2" t="s">
        <v>122</v>
      </c>
      <c r="B71" s="2" t="s">
        <v>86</v>
      </c>
      <c r="E71" s="2" t="s">
        <v>86</v>
      </c>
      <c r="F71" s="1">
        <v>45947</v>
      </c>
      <c r="G71" s="2" t="s">
        <v>90</v>
      </c>
      <c r="H71" s="2" t="s">
        <v>58</v>
      </c>
      <c r="I71" s="2" t="s">
        <v>19</v>
      </c>
      <c r="J71" s="2" t="s">
        <v>20</v>
      </c>
      <c r="K71" s="2" t="s">
        <v>21</v>
      </c>
      <c r="L71" s="2">
        <v>25</v>
      </c>
      <c r="M71" s="2">
        <v>40</v>
      </c>
      <c r="N71" s="2">
        <v>40353.279999999999</v>
      </c>
      <c r="O71" s="2">
        <v>202.38</v>
      </c>
      <c r="P71" s="2">
        <v>111.18</v>
      </c>
      <c r="Q71" s="2" t="s">
        <v>30</v>
      </c>
      <c r="R71" s="2">
        <v>5</v>
      </c>
    </row>
    <row r="72" spans="1:18" x14ac:dyDescent="0.3">
      <c r="A72" s="2" t="s">
        <v>123</v>
      </c>
      <c r="B72" s="2" t="s">
        <v>44</v>
      </c>
      <c r="E72" s="2" t="s">
        <v>44</v>
      </c>
      <c r="F72" s="1">
        <v>46042</v>
      </c>
      <c r="G72" s="2" t="s">
        <v>16</v>
      </c>
      <c r="H72" s="2" t="s">
        <v>38</v>
      </c>
      <c r="I72" s="2" t="s">
        <v>19</v>
      </c>
      <c r="J72" s="2" t="s">
        <v>64</v>
      </c>
      <c r="K72" s="2" t="s">
        <v>21</v>
      </c>
      <c r="L72" s="2">
        <v>52</v>
      </c>
      <c r="M72" s="2">
        <v>112</v>
      </c>
      <c r="N72" s="2">
        <v>7273.84</v>
      </c>
      <c r="O72" s="2">
        <v>74.94</v>
      </c>
      <c r="P72" s="2">
        <v>80.8</v>
      </c>
      <c r="Q72" s="2" t="s">
        <v>30</v>
      </c>
      <c r="R72" s="2">
        <v>2</v>
      </c>
    </row>
    <row r="73" spans="1:18" x14ac:dyDescent="0.3">
      <c r="A73" s="2" t="s">
        <v>124</v>
      </c>
      <c r="B73" s="2" t="s">
        <v>44</v>
      </c>
      <c r="E73" s="2" t="s">
        <v>44</v>
      </c>
      <c r="F73" s="1">
        <v>46160</v>
      </c>
      <c r="G73" s="2" t="s">
        <v>54</v>
      </c>
      <c r="H73" s="2" t="s">
        <v>58</v>
      </c>
      <c r="I73" s="2" t="s">
        <v>19</v>
      </c>
      <c r="J73" s="2" t="s">
        <v>28</v>
      </c>
      <c r="K73" s="2" t="s">
        <v>52</v>
      </c>
      <c r="L73" s="2">
        <v>42</v>
      </c>
      <c r="M73" s="2">
        <v>45</v>
      </c>
      <c r="N73" s="2">
        <v>3951.11</v>
      </c>
      <c r="O73" s="2">
        <v>299.38</v>
      </c>
      <c r="P73" s="2">
        <v>92.02</v>
      </c>
      <c r="Q73" s="2" t="s">
        <v>22</v>
      </c>
      <c r="R73" s="2">
        <v>2</v>
      </c>
    </row>
    <row r="74" spans="1:18" x14ac:dyDescent="0.3">
      <c r="A74" s="2" t="s">
        <v>125</v>
      </c>
      <c r="B74" s="2" t="s">
        <v>44</v>
      </c>
      <c r="E74" s="2" t="s">
        <v>44</v>
      </c>
      <c r="F74" s="1">
        <v>46096</v>
      </c>
      <c r="G74" s="2" t="s">
        <v>24</v>
      </c>
      <c r="H74" s="2" t="s">
        <v>58</v>
      </c>
      <c r="I74" s="2" t="s">
        <v>34</v>
      </c>
      <c r="J74" s="2" t="s">
        <v>64</v>
      </c>
      <c r="K74" s="2" t="s">
        <v>29</v>
      </c>
      <c r="L74" s="2">
        <v>26</v>
      </c>
      <c r="M74" s="2">
        <v>77</v>
      </c>
      <c r="N74" s="2">
        <v>44723.53</v>
      </c>
      <c r="O74" s="2">
        <v>314.56</v>
      </c>
      <c r="P74" s="2">
        <v>4.54</v>
      </c>
      <c r="Q74" s="2" t="s">
        <v>30</v>
      </c>
      <c r="R74" s="2">
        <v>4</v>
      </c>
    </row>
    <row r="75" spans="1:18" x14ac:dyDescent="0.3">
      <c r="A75" s="2" t="s">
        <v>126</v>
      </c>
      <c r="B75" s="2" t="s">
        <v>76</v>
      </c>
      <c r="E75" s="2" t="s">
        <v>76</v>
      </c>
      <c r="F75" s="1">
        <v>46000</v>
      </c>
      <c r="G75" s="2" t="s">
        <v>90</v>
      </c>
      <c r="H75" s="2" t="s">
        <v>58</v>
      </c>
      <c r="I75" s="2" t="s">
        <v>39</v>
      </c>
      <c r="J75" s="2" t="s">
        <v>55</v>
      </c>
      <c r="K75" s="2" t="s">
        <v>52</v>
      </c>
      <c r="L75" s="2">
        <v>55</v>
      </c>
      <c r="M75" s="2">
        <v>49</v>
      </c>
      <c r="N75" s="2">
        <v>19697.8</v>
      </c>
      <c r="O75" s="2">
        <v>470.54</v>
      </c>
      <c r="P75" s="2">
        <v>56.75</v>
      </c>
      <c r="Q75" s="2" t="s">
        <v>30</v>
      </c>
      <c r="R75" s="2">
        <v>1</v>
      </c>
    </row>
    <row r="76" spans="1:18" x14ac:dyDescent="0.3">
      <c r="A76" s="2" t="s">
        <v>127</v>
      </c>
      <c r="B76" s="2" t="s">
        <v>76</v>
      </c>
      <c r="E76" s="2" t="s">
        <v>76</v>
      </c>
      <c r="F76" s="1">
        <v>46107</v>
      </c>
      <c r="G76" s="2" t="s">
        <v>24</v>
      </c>
      <c r="H76" s="2" t="s">
        <v>45</v>
      </c>
      <c r="I76" s="2" t="s">
        <v>39</v>
      </c>
      <c r="J76" s="2" t="s">
        <v>20</v>
      </c>
      <c r="K76" s="2" t="s">
        <v>52</v>
      </c>
      <c r="L76" s="2">
        <v>42</v>
      </c>
      <c r="M76" s="2">
        <v>87</v>
      </c>
      <c r="N76" s="2">
        <v>14750.04</v>
      </c>
      <c r="O76" s="2">
        <v>376.73</v>
      </c>
      <c r="P76" s="2">
        <v>87.32</v>
      </c>
      <c r="Q76" s="2" t="s">
        <v>30</v>
      </c>
      <c r="R76" s="2">
        <v>3</v>
      </c>
    </row>
    <row r="77" spans="1:18" x14ac:dyDescent="0.3">
      <c r="A77" s="2" t="s">
        <v>128</v>
      </c>
      <c r="B77" s="2" t="s">
        <v>62</v>
      </c>
      <c r="E77" s="2" t="s">
        <v>62</v>
      </c>
      <c r="F77" s="1">
        <v>46089</v>
      </c>
      <c r="G77" s="2" t="s">
        <v>74</v>
      </c>
      <c r="H77" s="2" t="s">
        <v>45</v>
      </c>
      <c r="I77" s="2" t="s">
        <v>68</v>
      </c>
      <c r="J77" s="2" t="s">
        <v>55</v>
      </c>
      <c r="K77" s="2" t="s">
        <v>21</v>
      </c>
      <c r="L77" s="2">
        <v>21</v>
      </c>
      <c r="M77" s="2">
        <v>20</v>
      </c>
      <c r="N77" s="2">
        <v>36372.46</v>
      </c>
      <c r="O77" s="2">
        <v>463</v>
      </c>
      <c r="P77" s="2">
        <v>126.76</v>
      </c>
      <c r="Q77" s="2" t="s">
        <v>22</v>
      </c>
      <c r="R77" s="2">
        <v>2</v>
      </c>
    </row>
    <row r="78" spans="1:18" x14ac:dyDescent="0.3">
      <c r="A78" s="2" t="s">
        <v>129</v>
      </c>
      <c r="B78" s="2" t="s">
        <v>33</v>
      </c>
      <c r="E78" s="2" t="s">
        <v>33</v>
      </c>
      <c r="F78" s="1">
        <v>46185</v>
      </c>
      <c r="G78" s="2" t="s">
        <v>54</v>
      </c>
      <c r="H78" s="2" t="s">
        <v>18</v>
      </c>
      <c r="I78" s="2" t="s">
        <v>34</v>
      </c>
      <c r="J78" s="2" t="s">
        <v>20</v>
      </c>
      <c r="K78" s="2" t="s">
        <v>52</v>
      </c>
      <c r="L78" s="2">
        <v>40</v>
      </c>
      <c r="M78" s="2">
        <v>101</v>
      </c>
      <c r="N78" s="2">
        <v>41902.57</v>
      </c>
      <c r="O78" s="2">
        <v>458.76</v>
      </c>
      <c r="P78" s="2">
        <v>90.01</v>
      </c>
      <c r="Q78" s="2" t="s">
        <v>30</v>
      </c>
      <c r="R78" s="2">
        <v>5</v>
      </c>
    </row>
    <row r="79" spans="1:18" x14ac:dyDescent="0.3">
      <c r="A79" s="2" t="s">
        <v>130</v>
      </c>
      <c r="B79" s="2" t="s">
        <v>44</v>
      </c>
      <c r="E79" s="2" t="s">
        <v>44</v>
      </c>
      <c r="F79" s="1">
        <v>45922</v>
      </c>
      <c r="G79" s="2" t="s">
        <v>54</v>
      </c>
      <c r="H79" s="2" t="s">
        <v>26</v>
      </c>
      <c r="I79" s="2" t="s">
        <v>19</v>
      </c>
      <c r="J79" s="2" t="s">
        <v>35</v>
      </c>
      <c r="K79" s="2" t="s">
        <v>56</v>
      </c>
      <c r="L79" s="2">
        <v>42</v>
      </c>
      <c r="M79" s="2">
        <v>118</v>
      </c>
      <c r="N79" s="2">
        <v>43193.24</v>
      </c>
      <c r="O79" s="2">
        <v>322.06</v>
      </c>
      <c r="P79" s="2">
        <v>67.56</v>
      </c>
      <c r="Q79" s="2" t="s">
        <v>30</v>
      </c>
      <c r="R79" s="2">
        <v>4</v>
      </c>
    </row>
    <row r="80" spans="1:18" x14ac:dyDescent="0.3">
      <c r="A80" s="2" t="s">
        <v>131</v>
      </c>
      <c r="B80" s="2" t="s">
        <v>60</v>
      </c>
      <c r="E80" s="2" t="s">
        <v>60</v>
      </c>
      <c r="F80" s="1">
        <v>46014</v>
      </c>
      <c r="G80" s="2" t="s">
        <v>90</v>
      </c>
      <c r="H80" s="2" t="s">
        <v>38</v>
      </c>
      <c r="I80" s="2" t="s">
        <v>19</v>
      </c>
      <c r="J80" s="2" t="s">
        <v>28</v>
      </c>
      <c r="K80" s="2" t="s">
        <v>52</v>
      </c>
      <c r="L80" s="2">
        <v>68</v>
      </c>
      <c r="M80" s="2">
        <v>117</v>
      </c>
      <c r="N80" s="2">
        <v>16141.86</v>
      </c>
      <c r="O80" s="2">
        <v>287.49</v>
      </c>
      <c r="P80" s="2">
        <v>77.62</v>
      </c>
      <c r="Q80" s="2" t="s">
        <v>30</v>
      </c>
      <c r="R80" s="2">
        <v>4</v>
      </c>
    </row>
    <row r="81" spans="1:18" x14ac:dyDescent="0.3">
      <c r="A81" s="2" t="s">
        <v>132</v>
      </c>
      <c r="B81" s="2" t="s">
        <v>37</v>
      </c>
      <c r="E81" s="2" t="s">
        <v>37</v>
      </c>
      <c r="F81" s="1">
        <v>46090</v>
      </c>
      <c r="G81" s="2" t="s">
        <v>54</v>
      </c>
      <c r="H81" s="2" t="s">
        <v>38</v>
      </c>
      <c r="I81" s="2" t="s">
        <v>27</v>
      </c>
      <c r="J81" s="2" t="s">
        <v>35</v>
      </c>
      <c r="K81" s="2" t="s">
        <v>56</v>
      </c>
      <c r="L81" s="2">
        <v>31</v>
      </c>
      <c r="M81" s="2">
        <v>92</v>
      </c>
      <c r="N81" s="2">
        <v>42684.51</v>
      </c>
      <c r="O81" s="2">
        <v>300.85000000000002</v>
      </c>
      <c r="P81" s="2">
        <v>48.46</v>
      </c>
      <c r="Q81" s="2" t="s">
        <v>22</v>
      </c>
      <c r="R81" s="2">
        <v>2</v>
      </c>
    </row>
    <row r="82" spans="1:18" x14ac:dyDescent="0.3">
      <c r="A82" s="2" t="s">
        <v>133</v>
      </c>
      <c r="B82" s="2" t="s">
        <v>60</v>
      </c>
      <c r="E82" s="2" t="s">
        <v>60</v>
      </c>
      <c r="F82" s="1">
        <v>45988</v>
      </c>
      <c r="G82" s="2" t="s">
        <v>32</v>
      </c>
      <c r="H82" s="2" t="s">
        <v>38</v>
      </c>
      <c r="I82" s="2" t="s">
        <v>27</v>
      </c>
      <c r="J82" s="2" t="s">
        <v>35</v>
      </c>
      <c r="K82" s="2" t="s">
        <v>52</v>
      </c>
      <c r="L82" s="2">
        <v>33</v>
      </c>
      <c r="M82" s="2">
        <v>17</v>
      </c>
      <c r="N82" s="2">
        <v>2526.23</v>
      </c>
      <c r="O82" s="2">
        <v>490.25</v>
      </c>
      <c r="P82" s="2">
        <v>184.9</v>
      </c>
      <c r="Q82" s="2" t="s">
        <v>30</v>
      </c>
      <c r="R82" s="2">
        <v>2</v>
      </c>
    </row>
    <row r="83" spans="1:18" x14ac:dyDescent="0.3">
      <c r="A83" s="2" t="s">
        <v>134</v>
      </c>
      <c r="B83" s="2" t="s">
        <v>33</v>
      </c>
      <c r="E83" s="2" t="s">
        <v>33</v>
      </c>
      <c r="F83" s="1">
        <v>46079</v>
      </c>
      <c r="G83" s="2" t="s">
        <v>54</v>
      </c>
      <c r="H83" s="2" t="s">
        <v>18</v>
      </c>
      <c r="I83" s="2" t="s">
        <v>19</v>
      </c>
      <c r="J83" s="2" t="s">
        <v>55</v>
      </c>
      <c r="K83" s="2" t="s">
        <v>29</v>
      </c>
      <c r="L83" s="2">
        <v>62</v>
      </c>
      <c r="M83" s="2">
        <v>28</v>
      </c>
      <c r="N83" s="2">
        <v>2958.24</v>
      </c>
      <c r="O83" s="2">
        <v>397.93</v>
      </c>
      <c r="P83" s="2">
        <v>156.52000000000001</v>
      </c>
      <c r="Q83" s="2" t="s">
        <v>30</v>
      </c>
      <c r="R83" s="2">
        <v>2</v>
      </c>
    </row>
    <row r="84" spans="1:18" x14ac:dyDescent="0.3">
      <c r="A84" s="2" t="s">
        <v>135</v>
      </c>
      <c r="B84" s="2" t="s">
        <v>62</v>
      </c>
      <c r="E84" s="2" t="s">
        <v>62</v>
      </c>
      <c r="F84" s="1">
        <v>46142</v>
      </c>
      <c r="G84" s="2" t="s">
        <v>24</v>
      </c>
      <c r="H84" s="2" t="s">
        <v>45</v>
      </c>
      <c r="I84" s="2" t="s">
        <v>19</v>
      </c>
      <c r="J84" s="2" t="s">
        <v>28</v>
      </c>
      <c r="K84" s="2" t="s">
        <v>29</v>
      </c>
      <c r="L84" s="2">
        <v>23</v>
      </c>
      <c r="M84" s="2">
        <v>41</v>
      </c>
      <c r="N84" s="2">
        <v>31364.2</v>
      </c>
      <c r="O84" s="2">
        <v>97.82</v>
      </c>
      <c r="P84" s="2">
        <v>4.0199999999999996</v>
      </c>
      <c r="Q84" s="2" t="s">
        <v>30</v>
      </c>
      <c r="R84" s="2">
        <v>3</v>
      </c>
    </row>
    <row r="85" spans="1:18" x14ac:dyDescent="0.3">
      <c r="A85" s="2" t="s">
        <v>136</v>
      </c>
      <c r="B85" s="2" t="s">
        <v>49</v>
      </c>
      <c r="E85" s="2" t="s">
        <v>49</v>
      </c>
      <c r="F85" s="1">
        <v>45879</v>
      </c>
      <c r="G85" s="2" t="s">
        <v>24</v>
      </c>
      <c r="H85" s="2" t="s">
        <v>18</v>
      </c>
      <c r="I85" s="2" t="s">
        <v>34</v>
      </c>
      <c r="J85" s="2" t="s">
        <v>20</v>
      </c>
      <c r="K85" s="2" t="s">
        <v>21</v>
      </c>
      <c r="L85" s="2">
        <v>29</v>
      </c>
      <c r="M85" s="2">
        <v>66</v>
      </c>
      <c r="N85" s="2">
        <v>3623.77</v>
      </c>
      <c r="O85" s="2">
        <v>400.29</v>
      </c>
      <c r="P85" s="2">
        <v>3.89</v>
      </c>
      <c r="Q85" s="2" t="s">
        <v>22</v>
      </c>
      <c r="R85" s="2">
        <v>2</v>
      </c>
    </row>
    <row r="86" spans="1:18" x14ac:dyDescent="0.3">
      <c r="A86" s="2" t="s">
        <v>137</v>
      </c>
      <c r="B86" s="2" t="s">
        <v>49</v>
      </c>
      <c r="E86" s="2" t="s">
        <v>49</v>
      </c>
      <c r="F86" s="1">
        <v>46147</v>
      </c>
      <c r="G86" s="2" t="s">
        <v>16</v>
      </c>
      <c r="H86" s="2" t="s">
        <v>38</v>
      </c>
      <c r="I86" s="2" t="s">
        <v>39</v>
      </c>
      <c r="J86" s="2" t="s">
        <v>20</v>
      </c>
      <c r="K86" s="2" t="s">
        <v>52</v>
      </c>
      <c r="L86" s="2">
        <v>32</v>
      </c>
      <c r="M86" s="2">
        <v>25</v>
      </c>
      <c r="N86" s="2">
        <v>16568.150000000001</v>
      </c>
      <c r="O86" s="2">
        <v>126.74</v>
      </c>
      <c r="P86" s="2">
        <v>194.59</v>
      </c>
      <c r="Q86" s="2" t="s">
        <v>30</v>
      </c>
      <c r="R86" s="2">
        <v>1</v>
      </c>
    </row>
    <row r="87" spans="1:18" x14ac:dyDescent="0.3">
      <c r="A87" s="2" t="s">
        <v>138</v>
      </c>
      <c r="B87" s="2" t="s">
        <v>47</v>
      </c>
      <c r="E87" s="2" t="s">
        <v>47</v>
      </c>
      <c r="F87" s="1">
        <v>46216</v>
      </c>
      <c r="G87" s="2" t="s">
        <v>24</v>
      </c>
      <c r="H87" s="2" t="s">
        <v>26</v>
      </c>
      <c r="I87" s="2" t="s">
        <v>27</v>
      </c>
      <c r="J87" s="2" t="s">
        <v>64</v>
      </c>
      <c r="K87" s="2" t="s">
        <v>56</v>
      </c>
      <c r="L87" s="2">
        <v>43</v>
      </c>
      <c r="M87" s="2">
        <v>58</v>
      </c>
      <c r="N87" s="2">
        <v>33801.42</v>
      </c>
      <c r="O87" s="2">
        <v>251.31</v>
      </c>
      <c r="P87" s="2">
        <v>44.29</v>
      </c>
      <c r="Q87" s="2" t="s">
        <v>30</v>
      </c>
      <c r="R87" s="2">
        <v>5</v>
      </c>
    </row>
    <row r="88" spans="1:18" x14ac:dyDescent="0.3">
      <c r="A88" s="2" t="s">
        <v>139</v>
      </c>
      <c r="B88" s="2" t="s">
        <v>60</v>
      </c>
      <c r="E88" s="2" t="s">
        <v>60</v>
      </c>
      <c r="F88" s="1">
        <v>46153</v>
      </c>
      <c r="G88" s="2" t="s">
        <v>16</v>
      </c>
      <c r="H88" s="2" t="s">
        <v>58</v>
      </c>
      <c r="I88" s="2" t="s">
        <v>39</v>
      </c>
      <c r="J88" s="2" t="s">
        <v>20</v>
      </c>
      <c r="K88" s="2" t="s">
        <v>56</v>
      </c>
      <c r="L88" s="2">
        <v>34</v>
      </c>
      <c r="M88" s="2">
        <v>114</v>
      </c>
      <c r="N88" s="2">
        <v>17194.71</v>
      </c>
      <c r="O88" s="2">
        <v>144.71</v>
      </c>
      <c r="P88" s="2">
        <v>161.12</v>
      </c>
      <c r="Q88" s="2" t="s">
        <v>30</v>
      </c>
      <c r="R88" s="2">
        <v>2</v>
      </c>
    </row>
    <row r="89" spans="1:18" x14ac:dyDescent="0.3">
      <c r="A89" s="2" t="s">
        <v>140</v>
      </c>
      <c r="B89" s="2" t="s">
        <v>33</v>
      </c>
      <c r="E89" s="2" t="s">
        <v>33</v>
      </c>
      <c r="F89" s="1">
        <v>46179</v>
      </c>
      <c r="G89" s="2" t="s">
        <v>24</v>
      </c>
      <c r="H89" s="2" t="s">
        <v>45</v>
      </c>
      <c r="I89" s="2" t="s">
        <v>34</v>
      </c>
      <c r="J89" s="2" t="s">
        <v>55</v>
      </c>
      <c r="K89" s="2" t="s">
        <v>52</v>
      </c>
      <c r="L89" s="2">
        <v>53</v>
      </c>
      <c r="M89" s="2">
        <v>41</v>
      </c>
      <c r="N89" s="2">
        <v>9390.19</v>
      </c>
      <c r="O89" s="2">
        <v>360.31</v>
      </c>
      <c r="P89" s="2">
        <v>11.66</v>
      </c>
      <c r="Q89" s="2" t="s">
        <v>30</v>
      </c>
      <c r="R89" s="2">
        <v>3</v>
      </c>
    </row>
    <row r="90" spans="1:18" x14ac:dyDescent="0.3">
      <c r="A90" s="2" t="s">
        <v>141</v>
      </c>
      <c r="B90" s="2" t="s">
        <v>33</v>
      </c>
      <c r="E90" s="2" t="s">
        <v>33</v>
      </c>
      <c r="F90" s="1">
        <v>46224</v>
      </c>
      <c r="G90" s="2" t="s">
        <v>32</v>
      </c>
      <c r="H90" s="2" t="s">
        <v>45</v>
      </c>
      <c r="I90" s="2" t="s">
        <v>19</v>
      </c>
      <c r="J90" s="2" t="s">
        <v>35</v>
      </c>
      <c r="K90" s="2" t="s">
        <v>56</v>
      </c>
      <c r="L90" s="2">
        <v>38</v>
      </c>
      <c r="M90" s="2">
        <v>6</v>
      </c>
      <c r="N90" s="2">
        <v>14426.86</v>
      </c>
      <c r="O90" s="2">
        <v>444.79</v>
      </c>
      <c r="P90" s="2">
        <v>184.23</v>
      </c>
      <c r="Q90" s="2" t="s">
        <v>22</v>
      </c>
      <c r="R90" s="2">
        <v>5</v>
      </c>
    </row>
    <row r="91" spans="1:18" x14ac:dyDescent="0.3">
      <c r="A91" s="2" t="s">
        <v>142</v>
      </c>
      <c r="B91" s="2" t="s">
        <v>78</v>
      </c>
      <c r="E91" s="2" t="s">
        <v>78</v>
      </c>
      <c r="F91" s="1">
        <v>46131</v>
      </c>
      <c r="G91" s="2" t="s">
        <v>43</v>
      </c>
      <c r="H91" s="2" t="s">
        <v>18</v>
      </c>
      <c r="I91" s="2" t="s">
        <v>39</v>
      </c>
      <c r="J91" s="2" t="s">
        <v>35</v>
      </c>
      <c r="K91" s="2" t="s">
        <v>29</v>
      </c>
      <c r="L91" s="2">
        <v>69</v>
      </c>
      <c r="M91" s="2">
        <v>75</v>
      </c>
      <c r="N91" s="2">
        <v>23149.98</v>
      </c>
      <c r="O91" s="2">
        <v>180.66</v>
      </c>
      <c r="P91" s="2">
        <v>262.32</v>
      </c>
      <c r="Q91" s="2" t="s">
        <v>30</v>
      </c>
      <c r="R91" s="2">
        <v>4</v>
      </c>
    </row>
    <row r="92" spans="1:18" x14ac:dyDescent="0.3">
      <c r="A92" s="2" t="s">
        <v>143</v>
      </c>
      <c r="B92" s="2" t="s">
        <v>67</v>
      </c>
      <c r="E92" s="2" t="s">
        <v>67</v>
      </c>
      <c r="F92" s="1">
        <v>46072</v>
      </c>
      <c r="G92" s="2" t="s">
        <v>16</v>
      </c>
      <c r="H92" s="2" t="s">
        <v>45</v>
      </c>
      <c r="I92" s="2" t="s">
        <v>19</v>
      </c>
      <c r="J92" s="2" t="s">
        <v>35</v>
      </c>
      <c r="K92" s="2" t="s">
        <v>56</v>
      </c>
      <c r="L92" s="2">
        <v>61</v>
      </c>
      <c r="M92" s="2">
        <v>38</v>
      </c>
      <c r="N92" s="2">
        <v>24031.599999999999</v>
      </c>
      <c r="O92" s="2">
        <v>86.9</v>
      </c>
      <c r="P92" s="2">
        <v>114.22</v>
      </c>
      <c r="Q92" s="2" t="s">
        <v>22</v>
      </c>
      <c r="R92" s="2">
        <v>2</v>
      </c>
    </row>
    <row r="93" spans="1:18" x14ac:dyDescent="0.3">
      <c r="A93" s="2" t="s">
        <v>144</v>
      </c>
      <c r="B93" s="2" t="s">
        <v>51</v>
      </c>
      <c r="E93" s="2" t="s">
        <v>51</v>
      </c>
      <c r="F93" s="1">
        <v>46120</v>
      </c>
      <c r="G93" s="2" t="s">
        <v>41</v>
      </c>
      <c r="H93" s="2" t="s">
        <v>38</v>
      </c>
      <c r="I93" s="2" t="s">
        <v>19</v>
      </c>
      <c r="J93" s="2" t="s">
        <v>28</v>
      </c>
      <c r="K93" s="2" t="s">
        <v>21</v>
      </c>
      <c r="L93" s="2">
        <v>29</v>
      </c>
      <c r="M93" s="2">
        <v>6</v>
      </c>
      <c r="N93" s="2">
        <v>39258.51</v>
      </c>
      <c r="O93" s="2">
        <v>184.32</v>
      </c>
      <c r="P93" s="2">
        <v>1.8</v>
      </c>
      <c r="Q93" s="2" t="s">
        <v>22</v>
      </c>
      <c r="R93" s="2">
        <v>5</v>
      </c>
    </row>
    <row r="94" spans="1:18" x14ac:dyDescent="0.3">
      <c r="A94" s="2" t="s">
        <v>145</v>
      </c>
      <c r="B94" s="2" t="s">
        <v>25</v>
      </c>
      <c r="E94" s="2" t="s">
        <v>25</v>
      </c>
      <c r="F94" s="1">
        <v>46127</v>
      </c>
      <c r="G94" s="2" t="s">
        <v>74</v>
      </c>
      <c r="H94" s="2" t="s">
        <v>38</v>
      </c>
      <c r="I94" s="2" t="s">
        <v>68</v>
      </c>
      <c r="J94" s="2" t="s">
        <v>20</v>
      </c>
      <c r="K94" s="2" t="s">
        <v>29</v>
      </c>
      <c r="L94" s="2">
        <v>43</v>
      </c>
      <c r="M94" s="2">
        <v>45</v>
      </c>
      <c r="N94" s="2">
        <v>37632.58</v>
      </c>
      <c r="O94" s="2">
        <v>352.56</v>
      </c>
      <c r="P94" s="2">
        <v>77.34</v>
      </c>
      <c r="Q94" s="2" t="s">
        <v>30</v>
      </c>
      <c r="R94" s="2">
        <v>4</v>
      </c>
    </row>
    <row r="95" spans="1:18" x14ac:dyDescent="0.3">
      <c r="A95" s="2" t="s">
        <v>146</v>
      </c>
      <c r="B95" s="2" t="s">
        <v>78</v>
      </c>
      <c r="E95" s="2" t="s">
        <v>78</v>
      </c>
      <c r="F95" s="1">
        <v>45953</v>
      </c>
      <c r="G95" s="2" t="s">
        <v>90</v>
      </c>
      <c r="H95" s="2" t="s">
        <v>18</v>
      </c>
      <c r="I95" s="2" t="s">
        <v>39</v>
      </c>
      <c r="J95" s="2" t="s">
        <v>55</v>
      </c>
      <c r="K95" s="2" t="s">
        <v>29</v>
      </c>
      <c r="L95" s="2">
        <v>30</v>
      </c>
      <c r="M95" s="2">
        <v>75</v>
      </c>
      <c r="N95" s="2">
        <v>23112.48</v>
      </c>
      <c r="O95" s="2">
        <v>197.94</v>
      </c>
      <c r="P95" s="2">
        <v>122.04</v>
      </c>
      <c r="Q95" s="2" t="s">
        <v>22</v>
      </c>
      <c r="R95" s="2">
        <v>3</v>
      </c>
    </row>
    <row r="96" spans="1:18" x14ac:dyDescent="0.3">
      <c r="A96" s="2" t="s">
        <v>147</v>
      </c>
      <c r="B96" s="2" t="s">
        <v>86</v>
      </c>
      <c r="E96" s="2" t="s">
        <v>86</v>
      </c>
      <c r="F96" s="1">
        <v>46154</v>
      </c>
      <c r="G96" s="2" t="s">
        <v>24</v>
      </c>
      <c r="H96" s="2" t="s">
        <v>38</v>
      </c>
      <c r="I96" s="2" t="s">
        <v>39</v>
      </c>
      <c r="J96" s="2" t="s">
        <v>28</v>
      </c>
      <c r="K96" s="2" t="s">
        <v>29</v>
      </c>
      <c r="L96" s="2">
        <v>39</v>
      </c>
      <c r="M96" s="2">
        <v>14</v>
      </c>
      <c r="N96" s="2">
        <v>42360.53</v>
      </c>
      <c r="O96" s="2">
        <v>175.15</v>
      </c>
      <c r="P96" s="2">
        <v>138.02000000000001</v>
      </c>
      <c r="Q96" s="2" t="s">
        <v>22</v>
      </c>
      <c r="R96" s="2">
        <v>1</v>
      </c>
    </row>
    <row r="97" spans="1:18" x14ac:dyDescent="0.3">
      <c r="A97" s="2" t="s">
        <v>148</v>
      </c>
      <c r="B97" s="2" t="s">
        <v>76</v>
      </c>
      <c r="E97" s="2" t="s">
        <v>76</v>
      </c>
      <c r="F97" s="1">
        <v>45958</v>
      </c>
      <c r="G97" s="2" t="s">
        <v>54</v>
      </c>
      <c r="H97" s="2" t="s">
        <v>26</v>
      </c>
      <c r="I97" s="2" t="s">
        <v>19</v>
      </c>
      <c r="J97" s="2" t="s">
        <v>64</v>
      </c>
      <c r="K97" s="2" t="s">
        <v>52</v>
      </c>
      <c r="L97" s="2">
        <v>67</v>
      </c>
      <c r="M97" s="2">
        <v>66</v>
      </c>
      <c r="N97" s="2">
        <v>6154.74</v>
      </c>
      <c r="O97" s="2">
        <v>133</v>
      </c>
      <c r="P97" s="2">
        <v>59.54</v>
      </c>
      <c r="Q97" s="2" t="s">
        <v>22</v>
      </c>
      <c r="R97" s="2">
        <v>2</v>
      </c>
    </row>
    <row r="98" spans="1:18" x14ac:dyDescent="0.3">
      <c r="A98" s="2" t="s">
        <v>149</v>
      </c>
      <c r="B98" s="2" t="s">
        <v>76</v>
      </c>
      <c r="E98" s="2" t="s">
        <v>76</v>
      </c>
      <c r="F98" s="1">
        <v>45956</v>
      </c>
      <c r="G98" s="2" t="s">
        <v>43</v>
      </c>
      <c r="H98" s="2" t="s">
        <v>18</v>
      </c>
      <c r="I98" s="2" t="s">
        <v>34</v>
      </c>
      <c r="J98" s="2" t="s">
        <v>55</v>
      </c>
      <c r="K98" s="2" t="s">
        <v>52</v>
      </c>
      <c r="L98" s="2">
        <v>25</v>
      </c>
      <c r="M98" s="2">
        <v>40</v>
      </c>
      <c r="N98" s="2">
        <v>13139.99</v>
      </c>
      <c r="O98" s="2">
        <v>273.88</v>
      </c>
      <c r="P98" s="2">
        <v>6.59</v>
      </c>
      <c r="Q98" s="2" t="s">
        <v>30</v>
      </c>
      <c r="R98" s="2">
        <v>1</v>
      </c>
    </row>
    <row r="99" spans="1:18" x14ac:dyDescent="0.3">
      <c r="A99" s="2" t="s">
        <v>150</v>
      </c>
      <c r="B99" s="2" t="s">
        <v>67</v>
      </c>
      <c r="E99" s="2" t="s">
        <v>67</v>
      </c>
      <c r="F99" s="1">
        <v>46148</v>
      </c>
      <c r="G99" s="2" t="s">
        <v>24</v>
      </c>
      <c r="H99" s="2" t="s">
        <v>26</v>
      </c>
      <c r="I99" s="2" t="s">
        <v>68</v>
      </c>
      <c r="J99" s="2" t="s">
        <v>55</v>
      </c>
      <c r="K99" s="2" t="s">
        <v>29</v>
      </c>
      <c r="L99" s="2">
        <v>67</v>
      </c>
      <c r="M99" s="2">
        <v>3</v>
      </c>
      <c r="N99" s="2">
        <v>41484.83</v>
      </c>
      <c r="O99" s="2">
        <v>174.18</v>
      </c>
      <c r="P99" s="2">
        <v>177.04</v>
      </c>
      <c r="Q99" s="2" t="s">
        <v>30</v>
      </c>
      <c r="R99" s="2">
        <v>3</v>
      </c>
    </row>
    <row r="100" spans="1:18" x14ac:dyDescent="0.3">
      <c r="A100" s="2" t="s">
        <v>151</v>
      </c>
      <c r="B100" s="2" t="s">
        <v>17</v>
      </c>
      <c r="E100" s="2" t="s">
        <v>17</v>
      </c>
      <c r="F100" s="1">
        <v>46031</v>
      </c>
      <c r="G100" s="2" t="s">
        <v>54</v>
      </c>
      <c r="H100" s="2" t="s">
        <v>58</v>
      </c>
      <c r="I100" s="2" t="s">
        <v>19</v>
      </c>
      <c r="J100" s="2" t="s">
        <v>55</v>
      </c>
      <c r="K100" s="2" t="s">
        <v>52</v>
      </c>
      <c r="L100" s="2">
        <v>72</v>
      </c>
      <c r="M100" s="2">
        <v>119</v>
      </c>
      <c r="N100" s="2">
        <v>19210.7</v>
      </c>
      <c r="O100" s="2">
        <v>378.95</v>
      </c>
      <c r="P100" s="2">
        <v>104.83</v>
      </c>
      <c r="Q100" s="2" t="s">
        <v>30</v>
      </c>
      <c r="R100" s="2">
        <v>5</v>
      </c>
    </row>
    <row r="101" spans="1:18" x14ac:dyDescent="0.3">
      <c r="A101" s="2" t="s">
        <v>152</v>
      </c>
      <c r="B101" s="2" t="s">
        <v>17</v>
      </c>
      <c r="E101" s="2" t="s">
        <v>17</v>
      </c>
      <c r="F101" s="1">
        <v>46032</v>
      </c>
      <c r="G101" s="2" t="s">
        <v>74</v>
      </c>
      <c r="H101" s="2" t="s">
        <v>26</v>
      </c>
      <c r="I101" s="2" t="s">
        <v>27</v>
      </c>
      <c r="J101" s="2" t="s">
        <v>35</v>
      </c>
      <c r="K101" s="2" t="s">
        <v>56</v>
      </c>
      <c r="L101" s="2">
        <v>43</v>
      </c>
      <c r="M101" s="2">
        <v>117</v>
      </c>
      <c r="N101" s="2">
        <v>49068.49</v>
      </c>
      <c r="O101" s="2">
        <v>84.48</v>
      </c>
      <c r="P101" s="2">
        <v>56.6</v>
      </c>
      <c r="Q101" s="2" t="s">
        <v>22</v>
      </c>
      <c r="R101" s="2">
        <v>5</v>
      </c>
    </row>
    <row r="102" spans="1:18" x14ac:dyDescent="0.3">
      <c r="A102" s="2" t="s">
        <v>153</v>
      </c>
      <c r="B102" s="2" t="s">
        <v>62</v>
      </c>
      <c r="E102" s="2" t="s">
        <v>62</v>
      </c>
      <c r="F102" s="1">
        <v>45919</v>
      </c>
      <c r="G102" s="2" t="s">
        <v>74</v>
      </c>
      <c r="H102" s="2" t="s">
        <v>58</v>
      </c>
      <c r="I102" s="2" t="s">
        <v>27</v>
      </c>
      <c r="J102" s="2" t="s">
        <v>55</v>
      </c>
      <c r="K102" s="2" t="s">
        <v>52</v>
      </c>
      <c r="L102" s="2">
        <v>50</v>
      </c>
      <c r="M102" s="2">
        <v>99</v>
      </c>
      <c r="N102" s="2">
        <v>23579.54</v>
      </c>
      <c r="O102" s="2">
        <v>348.81</v>
      </c>
      <c r="P102" s="2">
        <v>7.6</v>
      </c>
      <c r="Q102" s="2" t="s">
        <v>30</v>
      </c>
      <c r="R102" s="2">
        <v>3</v>
      </c>
    </row>
    <row r="103" spans="1:18" x14ac:dyDescent="0.3">
      <c r="A103" s="2" t="s">
        <v>154</v>
      </c>
      <c r="B103" s="2" t="s">
        <v>82</v>
      </c>
      <c r="E103" s="2" t="s">
        <v>82</v>
      </c>
      <c r="F103" s="1">
        <v>46031</v>
      </c>
      <c r="G103" s="2" t="s">
        <v>74</v>
      </c>
      <c r="H103" s="2" t="s">
        <v>58</v>
      </c>
      <c r="I103" s="2" t="s">
        <v>68</v>
      </c>
      <c r="J103" s="2" t="s">
        <v>20</v>
      </c>
      <c r="K103" s="2" t="s">
        <v>52</v>
      </c>
      <c r="L103" s="2">
        <v>45</v>
      </c>
      <c r="M103" s="2">
        <v>97</v>
      </c>
      <c r="N103" s="2">
        <v>39700.81</v>
      </c>
      <c r="O103" s="2">
        <v>156.9</v>
      </c>
      <c r="P103" s="2">
        <v>198.92</v>
      </c>
      <c r="Q103" s="2" t="s">
        <v>30</v>
      </c>
      <c r="R103" s="2">
        <v>3</v>
      </c>
    </row>
    <row r="104" spans="1:18" x14ac:dyDescent="0.3">
      <c r="A104" s="2" t="s">
        <v>155</v>
      </c>
      <c r="B104" s="2" t="s">
        <v>67</v>
      </c>
      <c r="E104" s="2" t="s">
        <v>67</v>
      </c>
      <c r="F104" s="1">
        <v>45971</v>
      </c>
      <c r="G104" s="2" t="s">
        <v>54</v>
      </c>
      <c r="H104" s="2" t="s">
        <v>26</v>
      </c>
      <c r="I104" s="2" t="s">
        <v>34</v>
      </c>
      <c r="J104" s="2" t="s">
        <v>55</v>
      </c>
      <c r="K104" s="2" t="s">
        <v>29</v>
      </c>
      <c r="L104" s="2">
        <v>48</v>
      </c>
      <c r="M104" s="2">
        <v>24</v>
      </c>
      <c r="N104" s="2">
        <v>20414.2</v>
      </c>
      <c r="O104" s="2">
        <v>270.18</v>
      </c>
      <c r="P104" s="2">
        <v>144.6</v>
      </c>
      <c r="Q104" s="2" t="s">
        <v>30</v>
      </c>
      <c r="R104" s="2">
        <v>2</v>
      </c>
    </row>
    <row r="105" spans="1:18" x14ac:dyDescent="0.3">
      <c r="A105" s="2" t="s">
        <v>156</v>
      </c>
      <c r="B105" s="2" t="s">
        <v>51</v>
      </c>
      <c r="E105" s="2" t="s">
        <v>51</v>
      </c>
      <c r="F105" s="1">
        <v>46038</v>
      </c>
      <c r="G105" s="2" t="s">
        <v>24</v>
      </c>
      <c r="H105" s="2" t="s">
        <v>18</v>
      </c>
      <c r="I105" s="2" t="s">
        <v>19</v>
      </c>
      <c r="J105" s="2" t="s">
        <v>35</v>
      </c>
      <c r="K105" s="2" t="s">
        <v>21</v>
      </c>
      <c r="L105" s="2">
        <v>54</v>
      </c>
      <c r="M105" s="2">
        <v>19</v>
      </c>
      <c r="N105" s="2">
        <v>21535.200000000001</v>
      </c>
      <c r="O105" s="2">
        <v>178.74</v>
      </c>
      <c r="P105" s="2">
        <v>151.19999999999999</v>
      </c>
      <c r="Q105" s="2" t="s">
        <v>30</v>
      </c>
      <c r="R105" s="2">
        <v>4</v>
      </c>
    </row>
    <row r="106" spans="1:18" x14ac:dyDescent="0.3">
      <c r="A106" s="2" t="s">
        <v>157</v>
      </c>
      <c r="B106" s="2" t="s">
        <v>33</v>
      </c>
      <c r="E106" s="2" t="s">
        <v>33</v>
      </c>
      <c r="F106" s="1">
        <v>46056</v>
      </c>
      <c r="G106" s="2" t="s">
        <v>74</v>
      </c>
      <c r="H106" s="2" t="s">
        <v>38</v>
      </c>
      <c r="I106" s="2" t="s">
        <v>39</v>
      </c>
      <c r="J106" s="2" t="s">
        <v>55</v>
      </c>
      <c r="K106" s="2" t="s">
        <v>21</v>
      </c>
      <c r="L106" s="2">
        <v>65</v>
      </c>
      <c r="M106" s="2">
        <v>18</v>
      </c>
      <c r="N106" s="2">
        <v>19452.72</v>
      </c>
      <c r="O106" s="2">
        <v>375.25</v>
      </c>
      <c r="P106" s="2">
        <v>90.46</v>
      </c>
      <c r="Q106" s="2" t="s">
        <v>30</v>
      </c>
      <c r="R106" s="2">
        <v>1</v>
      </c>
    </row>
    <row r="107" spans="1:18" x14ac:dyDescent="0.3">
      <c r="A107" s="2" t="s">
        <v>158</v>
      </c>
      <c r="B107" s="2" t="s">
        <v>17</v>
      </c>
      <c r="E107" s="2" t="s">
        <v>17</v>
      </c>
      <c r="F107" s="1">
        <v>45984</v>
      </c>
      <c r="G107" s="2" t="s">
        <v>32</v>
      </c>
      <c r="H107" s="2" t="s">
        <v>38</v>
      </c>
      <c r="I107" s="2" t="s">
        <v>68</v>
      </c>
      <c r="J107" s="2" t="s">
        <v>64</v>
      </c>
      <c r="K107" s="2" t="s">
        <v>21</v>
      </c>
      <c r="L107" s="2">
        <v>68</v>
      </c>
      <c r="M107" s="2">
        <v>64</v>
      </c>
      <c r="N107" s="2">
        <v>36094.239999999998</v>
      </c>
      <c r="O107" s="2">
        <v>475.39</v>
      </c>
      <c r="P107" s="2">
        <v>8.6300000000000008</v>
      </c>
      <c r="Q107" s="2" t="s">
        <v>30</v>
      </c>
      <c r="R107" s="2">
        <v>1</v>
      </c>
    </row>
    <row r="108" spans="1:18" x14ac:dyDescent="0.3">
      <c r="A108" s="2" t="s">
        <v>159</v>
      </c>
      <c r="B108" s="2" t="s">
        <v>51</v>
      </c>
      <c r="E108" s="2" t="s">
        <v>51</v>
      </c>
      <c r="F108" s="1">
        <v>46136</v>
      </c>
      <c r="G108" s="2" t="s">
        <v>16</v>
      </c>
      <c r="H108" s="2" t="s">
        <v>58</v>
      </c>
      <c r="I108" s="2" t="s">
        <v>34</v>
      </c>
      <c r="J108" s="2" t="s">
        <v>64</v>
      </c>
      <c r="K108" s="2" t="s">
        <v>56</v>
      </c>
      <c r="L108" s="2">
        <v>67</v>
      </c>
      <c r="M108" s="2">
        <v>113</v>
      </c>
      <c r="N108" s="2">
        <v>27602.14</v>
      </c>
      <c r="O108" s="2">
        <v>462.68</v>
      </c>
      <c r="P108" s="2">
        <v>61.92</v>
      </c>
      <c r="Q108" s="2" t="s">
        <v>30</v>
      </c>
      <c r="R108" s="2">
        <v>5</v>
      </c>
    </row>
    <row r="109" spans="1:18" x14ac:dyDescent="0.3">
      <c r="A109" s="2" t="s">
        <v>160</v>
      </c>
      <c r="B109" s="2" t="s">
        <v>44</v>
      </c>
      <c r="E109" s="2" t="s">
        <v>44</v>
      </c>
      <c r="F109" s="1">
        <v>46228</v>
      </c>
      <c r="G109" s="2" t="s">
        <v>54</v>
      </c>
      <c r="H109" s="2" t="s">
        <v>58</v>
      </c>
      <c r="I109" s="2" t="s">
        <v>39</v>
      </c>
      <c r="J109" s="2" t="s">
        <v>35</v>
      </c>
      <c r="K109" s="2" t="s">
        <v>52</v>
      </c>
      <c r="L109" s="2">
        <v>45</v>
      </c>
      <c r="M109" s="2">
        <v>116</v>
      </c>
      <c r="N109" s="2">
        <v>47217.02</v>
      </c>
      <c r="O109" s="2">
        <v>312.54000000000002</v>
      </c>
      <c r="P109" s="2">
        <v>64.02</v>
      </c>
      <c r="Q109" s="2" t="s">
        <v>22</v>
      </c>
      <c r="R109" s="2">
        <v>5</v>
      </c>
    </row>
    <row r="110" spans="1:18" x14ac:dyDescent="0.3">
      <c r="A110" s="2" t="s">
        <v>161</v>
      </c>
      <c r="B110" s="2" t="s">
        <v>60</v>
      </c>
      <c r="E110" s="2" t="s">
        <v>60</v>
      </c>
      <c r="F110" s="1">
        <v>46030</v>
      </c>
      <c r="G110" s="2" t="s">
        <v>54</v>
      </c>
      <c r="H110" s="2" t="s">
        <v>18</v>
      </c>
      <c r="I110" s="2" t="s">
        <v>27</v>
      </c>
      <c r="J110" s="2" t="s">
        <v>20</v>
      </c>
      <c r="K110" s="2" t="s">
        <v>21</v>
      </c>
      <c r="L110" s="2">
        <v>30</v>
      </c>
      <c r="M110" s="2">
        <v>88</v>
      </c>
      <c r="N110" s="2">
        <v>12919.07</v>
      </c>
      <c r="O110" s="2">
        <v>258.17</v>
      </c>
      <c r="P110" s="2">
        <v>167.67</v>
      </c>
      <c r="Q110" s="2" t="s">
        <v>30</v>
      </c>
      <c r="R110" s="2">
        <v>2</v>
      </c>
    </row>
    <row r="111" spans="1:18" x14ac:dyDescent="0.3">
      <c r="A111" s="2" t="s">
        <v>162</v>
      </c>
      <c r="B111" s="2" t="s">
        <v>60</v>
      </c>
      <c r="E111" s="2" t="s">
        <v>60</v>
      </c>
      <c r="F111" s="1">
        <v>46049</v>
      </c>
      <c r="G111" s="2" t="s">
        <v>24</v>
      </c>
      <c r="H111" s="2" t="s">
        <v>45</v>
      </c>
      <c r="I111" s="2" t="s">
        <v>27</v>
      </c>
      <c r="J111" s="2" t="s">
        <v>20</v>
      </c>
      <c r="K111" s="2" t="s">
        <v>29</v>
      </c>
      <c r="L111" s="2">
        <v>34</v>
      </c>
      <c r="M111" s="2">
        <v>109</v>
      </c>
      <c r="N111" s="2">
        <v>5477.86</v>
      </c>
      <c r="O111" s="2">
        <v>418.24</v>
      </c>
      <c r="P111" s="2">
        <v>196.27</v>
      </c>
      <c r="Q111" s="2" t="s">
        <v>22</v>
      </c>
      <c r="R111" s="2">
        <v>3</v>
      </c>
    </row>
    <row r="112" spans="1:18" x14ac:dyDescent="0.3">
      <c r="A112" s="2" t="s">
        <v>163</v>
      </c>
      <c r="B112" s="2" t="s">
        <v>82</v>
      </c>
      <c r="E112" s="2" t="s">
        <v>82</v>
      </c>
      <c r="F112" s="1">
        <v>46191</v>
      </c>
      <c r="G112" s="2" t="s">
        <v>54</v>
      </c>
      <c r="H112" s="2" t="s">
        <v>26</v>
      </c>
      <c r="I112" s="2" t="s">
        <v>39</v>
      </c>
      <c r="J112" s="2" t="s">
        <v>28</v>
      </c>
      <c r="K112" s="2" t="s">
        <v>21</v>
      </c>
      <c r="L112" s="2">
        <v>62</v>
      </c>
      <c r="M112" s="2">
        <v>35</v>
      </c>
      <c r="N112" s="2">
        <v>19966.439999999999</v>
      </c>
      <c r="O112" s="2">
        <v>357.5</v>
      </c>
      <c r="P112" s="2">
        <v>55.09</v>
      </c>
      <c r="Q112" s="2" t="s">
        <v>30</v>
      </c>
      <c r="R112" s="2">
        <v>1</v>
      </c>
    </row>
    <row r="113" spans="1:18" x14ac:dyDescent="0.3">
      <c r="A113" s="2" t="s">
        <v>164</v>
      </c>
      <c r="B113" s="2" t="s">
        <v>37</v>
      </c>
      <c r="E113" s="2" t="s">
        <v>37</v>
      </c>
      <c r="F113" s="1">
        <v>46005</v>
      </c>
      <c r="G113" s="2" t="s">
        <v>54</v>
      </c>
      <c r="H113" s="2" t="s">
        <v>58</v>
      </c>
      <c r="I113" s="2" t="s">
        <v>68</v>
      </c>
      <c r="J113" s="2" t="s">
        <v>35</v>
      </c>
      <c r="K113" s="2" t="s">
        <v>21</v>
      </c>
      <c r="L113" s="2">
        <v>66</v>
      </c>
      <c r="M113" s="2">
        <v>62</v>
      </c>
      <c r="N113" s="2">
        <v>31027.279999999999</v>
      </c>
      <c r="O113" s="2">
        <v>132.6</v>
      </c>
      <c r="P113" s="2">
        <v>193.55</v>
      </c>
      <c r="Q113" s="2" t="s">
        <v>30</v>
      </c>
      <c r="R113" s="2">
        <v>2</v>
      </c>
    </row>
    <row r="114" spans="1:18" x14ac:dyDescent="0.3">
      <c r="A114" s="2" t="s">
        <v>165</v>
      </c>
      <c r="B114" s="2" t="s">
        <v>33</v>
      </c>
      <c r="E114" s="2" t="s">
        <v>33</v>
      </c>
      <c r="F114" s="1">
        <v>45979</v>
      </c>
      <c r="G114" s="2" t="s">
        <v>74</v>
      </c>
      <c r="H114" s="2" t="s">
        <v>38</v>
      </c>
      <c r="I114" s="2" t="s">
        <v>27</v>
      </c>
      <c r="J114" s="2" t="s">
        <v>55</v>
      </c>
      <c r="K114" s="2" t="s">
        <v>52</v>
      </c>
      <c r="L114" s="2">
        <v>50</v>
      </c>
      <c r="M114" s="2">
        <v>1</v>
      </c>
      <c r="N114" s="2">
        <v>43109.55</v>
      </c>
      <c r="O114" s="2">
        <v>419.41</v>
      </c>
      <c r="P114" s="2">
        <v>64.31</v>
      </c>
      <c r="Q114" s="2" t="s">
        <v>22</v>
      </c>
      <c r="R114" s="2">
        <v>5</v>
      </c>
    </row>
    <row r="115" spans="1:18" x14ac:dyDescent="0.3">
      <c r="A115" s="2" t="s">
        <v>166</v>
      </c>
      <c r="B115" s="2" t="s">
        <v>25</v>
      </c>
      <c r="E115" s="2" t="s">
        <v>25</v>
      </c>
      <c r="F115" s="1">
        <v>46067</v>
      </c>
      <c r="G115" s="2" t="s">
        <v>24</v>
      </c>
      <c r="H115" s="2" t="s">
        <v>18</v>
      </c>
      <c r="I115" s="2" t="s">
        <v>19</v>
      </c>
      <c r="J115" s="2" t="s">
        <v>35</v>
      </c>
      <c r="K115" s="2" t="s">
        <v>52</v>
      </c>
      <c r="L115" s="2">
        <v>61</v>
      </c>
      <c r="M115" s="2">
        <v>100</v>
      </c>
      <c r="N115" s="2">
        <v>17636.75</v>
      </c>
      <c r="O115" s="2">
        <v>243</v>
      </c>
      <c r="P115" s="2">
        <v>199.65</v>
      </c>
      <c r="Q115" s="2" t="s">
        <v>22</v>
      </c>
      <c r="R115" s="2">
        <v>5</v>
      </c>
    </row>
    <row r="116" spans="1:18" x14ac:dyDescent="0.3">
      <c r="A116" s="2" t="s">
        <v>167</v>
      </c>
      <c r="B116" s="2" t="s">
        <v>25</v>
      </c>
      <c r="E116" s="2" t="s">
        <v>25</v>
      </c>
      <c r="F116" s="1">
        <v>45948</v>
      </c>
      <c r="G116" s="2" t="s">
        <v>74</v>
      </c>
      <c r="H116" s="2" t="s">
        <v>26</v>
      </c>
      <c r="I116" s="2" t="s">
        <v>39</v>
      </c>
      <c r="J116" s="2" t="s">
        <v>28</v>
      </c>
      <c r="K116" s="2" t="s">
        <v>52</v>
      </c>
      <c r="L116" s="2">
        <v>45</v>
      </c>
      <c r="M116" s="2">
        <v>25</v>
      </c>
      <c r="N116" s="2">
        <v>32862.44</v>
      </c>
      <c r="O116" s="2">
        <v>135.04</v>
      </c>
      <c r="P116" s="2">
        <v>199.23</v>
      </c>
      <c r="Q116" s="2" t="s">
        <v>30</v>
      </c>
      <c r="R116" s="2">
        <v>1</v>
      </c>
    </row>
    <row r="117" spans="1:18" x14ac:dyDescent="0.3">
      <c r="A117" s="2" t="s">
        <v>168</v>
      </c>
      <c r="B117" s="2" t="s">
        <v>86</v>
      </c>
      <c r="E117" s="2" t="s">
        <v>86</v>
      </c>
      <c r="F117" s="1">
        <v>45971</v>
      </c>
      <c r="G117" s="2" t="s">
        <v>16</v>
      </c>
      <c r="H117" s="2" t="s">
        <v>18</v>
      </c>
      <c r="I117" s="2" t="s">
        <v>39</v>
      </c>
      <c r="J117" s="2" t="s">
        <v>35</v>
      </c>
      <c r="K117" s="2" t="s">
        <v>56</v>
      </c>
      <c r="L117" s="2">
        <v>34</v>
      </c>
      <c r="M117" s="2">
        <v>45</v>
      </c>
      <c r="N117" s="2">
        <v>17834.830000000002</v>
      </c>
      <c r="O117" s="2">
        <v>176.81</v>
      </c>
      <c r="P117" s="2">
        <v>38.24</v>
      </c>
      <c r="Q117" s="2" t="s">
        <v>22</v>
      </c>
      <c r="R117" s="2">
        <v>5</v>
      </c>
    </row>
    <row r="118" spans="1:18" x14ac:dyDescent="0.3">
      <c r="A118" s="2" t="s">
        <v>169</v>
      </c>
      <c r="B118" s="2" t="s">
        <v>25</v>
      </c>
      <c r="E118" s="2" t="s">
        <v>25</v>
      </c>
      <c r="F118" s="1">
        <v>45910</v>
      </c>
      <c r="G118" s="2" t="s">
        <v>43</v>
      </c>
      <c r="H118" s="2" t="s">
        <v>26</v>
      </c>
      <c r="I118" s="2" t="s">
        <v>27</v>
      </c>
      <c r="J118" s="2" t="s">
        <v>35</v>
      </c>
      <c r="K118" s="2" t="s">
        <v>56</v>
      </c>
      <c r="L118" s="2">
        <v>55</v>
      </c>
      <c r="M118" s="2">
        <v>49</v>
      </c>
      <c r="N118" s="2">
        <v>31052.37</v>
      </c>
      <c r="O118" s="2">
        <v>170.39</v>
      </c>
      <c r="P118" s="2">
        <v>62.55</v>
      </c>
      <c r="Q118" s="2" t="s">
        <v>22</v>
      </c>
      <c r="R118" s="2">
        <v>5</v>
      </c>
    </row>
    <row r="119" spans="1:18" x14ac:dyDescent="0.3">
      <c r="A119" s="2" t="s">
        <v>170</v>
      </c>
      <c r="B119" s="2" t="s">
        <v>44</v>
      </c>
      <c r="E119" s="2" t="s">
        <v>44</v>
      </c>
      <c r="F119" s="1">
        <v>46133</v>
      </c>
      <c r="G119" s="2" t="s">
        <v>16</v>
      </c>
      <c r="H119" s="2" t="s">
        <v>26</v>
      </c>
      <c r="I119" s="2" t="s">
        <v>68</v>
      </c>
      <c r="J119" s="2" t="s">
        <v>28</v>
      </c>
      <c r="K119" s="2" t="s">
        <v>21</v>
      </c>
      <c r="L119" s="2">
        <v>72</v>
      </c>
      <c r="M119" s="2">
        <v>107</v>
      </c>
      <c r="N119" s="2">
        <v>44297.99</v>
      </c>
      <c r="O119" s="2">
        <v>283.64</v>
      </c>
      <c r="P119" s="2">
        <v>97.21</v>
      </c>
      <c r="Q119" s="2" t="s">
        <v>22</v>
      </c>
      <c r="R119" s="2">
        <v>4</v>
      </c>
    </row>
    <row r="120" spans="1:18" x14ac:dyDescent="0.3">
      <c r="A120" s="2" t="s">
        <v>171</v>
      </c>
      <c r="B120" s="2" t="s">
        <v>44</v>
      </c>
      <c r="E120" s="2" t="s">
        <v>44</v>
      </c>
      <c r="F120" s="1">
        <v>45995</v>
      </c>
      <c r="G120" s="2" t="s">
        <v>43</v>
      </c>
      <c r="H120" s="2" t="s">
        <v>58</v>
      </c>
      <c r="I120" s="2" t="s">
        <v>19</v>
      </c>
      <c r="J120" s="2" t="s">
        <v>20</v>
      </c>
      <c r="K120" s="2" t="s">
        <v>52</v>
      </c>
      <c r="L120" s="2">
        <v>68</v>
      </c>
      <c r="M120" s="2">
        <v>98</v>
      </c>
      <c r="N120" s="2">
        <v>11952.2</v>
      </c>
      <c r="O120" s="2">
        <v>155.47</v>
      </c>
      <c r="P120" s="2">
        <v>132.82</v>
      </c>
      <c r="Q120" s="2" t="s">
        <v>30</v>
      </c>
      <c r="R120" s="2">
        <v>3</v>
      </c>
    </row>
    <row r="121" spans="1:18" x14ac:dyDescent="0.3">
      <c r="A121" s="2" t="s">
        <v>172</v>
      </c>
      <c r="B121" s="2" t="s">
        <v>60</v>
      </c>
      <c r="E121" s="2" t="s">
        <v>60</v>
      </c>
      <c r="F121" s="1">
        <v>45966</v>
      </c>
      <c r="G121" s="2" t="s">
        <v>74</v>
      </c>
      <c r="H121" s="2" t="s">
        <v>18</v>
      </c>
      <c r="I121" s="2" t="s">
        <v>68</v>
      </c>
      <c r="J121" s="2" t="s">
        <v>55</v>
      </c>
      <c r="K121" s="2" t="s">
        <v>21</v>
      </c>
      <c r="L121" s="2">
        <v>54</v>
      </c>
      <c r="M121" s="2">
        <v>89</v>
      </c>
      <c r="N121" s="2">
        <v>20509.96</v>
      </c>
      <c r="O121" s="2">
        <v>105.6</v>
      </c>
      <c r="P121" s="2">
        <v>105.61</v>
      </c>
      <c r="Q121" s="2" t="s">
        <v>30</v>
      </c>
      <c r="R121" s="2">
        <v>5</v>
      </c>
    </row>
    <row r="122" spans="1:18" x14ac:dyDescent="0.3">
      <c r="A122" s="2" t="s">
        <v>173</v>
      </c>
      <c r="B122" s="2" t="s">
        <v>67</v>
      </c>
      <c r="E122" s="2" t="s">
        <v>67</v>
      </c>
      <c r="F122" s="1">
        <v>45950</v>
      </c>
      <c r="G122" s="2" t="s">
        <v>16</v>
      </c>
      <c r="H122" s="2" t="s">
        <v>18</v>
      </c>
      <c r="I122" s="2" t="s">
        <v>34</v>
      </c>
      <c r="J122" s="2" t="s">
        <v>28</v>
      </c>
      <c r="K122" s="2" t="s">
        <v>29</v>
      </c>
      <c r="L122" s="2">
        <v>30</v>
      </c>
      <c r="M122" s="2">
        <v>16</v>
      </c>
      <c r="N122" s="2">
        <v>49666.63</v>
      </c>
      <c r="O122" s="2">
        <v>105.66</v>
      </c>
      <c r="P122" s="2">
        <v>290.83</v>
      </c>
      <c r="Q122" s="2" t="s">
        <v>30</v>
      </c>
      <c r="R122" s="2">
        <v>4</v>
      </c>
    </row>
    <row r="123" spans="1:18" x14ac:dyDescent="0.3">
      <c r="A123" s="2" t="s">
        <v>174</v>
      </c>
      <c r="B123" s="2" t="s">
        <v>82</v>
      </c>
      <c r="E123" s="2" t="s">
        <v>82</v>
      </c>
      <c r="F123" s="1">
        <v>45941</v>
      </c>
      <c r="G123" s="2" t="s">
        <v>24</v>
      </c>
      <c r="H123" s="2" t="s">
        <v>38</v>
      </c>
      <c r="I123" s="2" t="s">
        <v>34</v>
      </c>
      <c r="J123" s="2" t="s">
        <v>64</v>
      </c>
      <c r="K123" s="2" t="s">
        <v>29</v>
      </c>
      <c r="L123" s="2">
        <v>55</v>
      </c>
      <c r="M123" s="2">
        <v>98</v>
      </c>
      <c r="N123" s="2">
        <v>43493.57</v>
      </c>
      <c r="O123" s="2">
        <v>312.47000000000003</v>
      </c>
      <c r="P123" s="2">
        <v>217.2</v>
      </c>
      <c r="Q123" s="2" t="s">
        <v>22</v>
      </c>
      <c r="R123" s="2">
        <v>2</v>
      </c>
    </row>
    <row r="124" spans="1:18" x14ac:dyDescent="0.3">
      <c r="A124" s="2" t="s">
        <v>175</v>
      </c>
      <c r="B124" s="2" t="s">
        <v>62</v>
      </c>
      <c r="E124" s="2" t="s">
        <v>62</v>
      </c>
      <c r="F124" s="1">
        <v>46192</v>
      </c>
      <c r="G124" s="2" t="s">
        <v>90</v>
      </c>
      <c r="H124" s="2" t="s">
        <v>38</v>
      </c>
      <c r="I124" s="2" t="s">
        <v>27</v>
      </c>
      <c r="J124" s="2" t="s">
        <v>20</v>
      </c>
      <c r="K124" s="2" t="s">
        <v>52</v>
      </c>
      <c r="L124" s="2">
        <v>31</v>
      </c>
      <c r="M124" s="2">
        <v>93</v>
      </c>
      <c r="N124" s="2">
        <v>28449.67</v>
      </c>
      <c r="O124" s="2">
        <v>380.64</v>
      </c>
      <c r="P124" s="2">
        <v>42.41</v>
      </c>
      <c r="Q124" s="2" t="s">
        <v>30</v>
      </c>
      <c r="R124" s="2">
        <v>5</v>
      </c>
    </row>
    <row r="125" spans="1:18" x14ac:dyDescent="0.3">
      <c r="A125" s="2" t="s">
        <v>176</v>
      </c>
      <c r="B125" s="2" t="s">
        <v>86</v>
      </c>
      <c r="E125" s="2" t="s">
        <v>86</v>
      </c>
      <c r="F125" s="1">
        <v>45970</v>
      </c>
      <c r="G125" s="2" t="s">
        <v>74</v>
      </c>
      <c r="H125" s="2" t="s">
        <v>58</v>
      </c>
      <c r="I125" s="2" t="s">
        <v>27</v>
      </c>
      <c r="J125" s="2" t="s">
        <v>64</v>
      </c>
      <c r="K125" s="2" t="s">
        <v>52</v>
      </c>
      <c r="L125" s="2">
        <v>31</v>
      </c>
      <c r="M125" s="2">
        <v>19</v>
      </c>
      <c r="N125" s="2">
        <v>26073.07</v>
      </c>
      <c r="O125" s="2">
        <v>194.69</v>
      </c>
      <c r="P125" s="2">
        <v>21.02</v>
      </c>
      <c r="Q125" s="2" t="s">
        <v>22</v>
      </c>
      <c r="R125" s="2">
        <v>2</v>
      </c>
    </row>
    <row r="126" spans="1:18" x14ac:dyDescent="0.3">
      <c r="A126" s="2" t="s">
        <v>177</v>
      </c>
      <c r="B126" s="2" t="s">
        <v>17</v>
      </c>
      <c r="E126" s="2" t="s">
        <v>17</v>
      </c>
      <c r="F126" s="1">
        <v>45994</v>
      </c>
      <c r="G126" s="2" t="s">
        <v>43</v>
      </c>
      <c r="H126" s="2" t="s">
        <v>58</v>
      </c>
      <c r="I126" s="2" t="s">
        <v>27</v>
      </c>
      <c r="J126" s="2" t="s">
        <v>20</v>
      </c>
      <c r="K126" s="2" t="s">
        <v>29</v>
      </c>
      <c r="L126" s="2">
        <v>41</v>
      </c>
      <c r="M126" s="2">
        <v>23</v>
      </c>
      <c r="N126" s="2">
        <v>14587.72</v>
      </c>
      <c r="O126" s="2">
        <v>65.59</v>
      </c>
      <c r="P126" s="2">
        <v>206.52</v>
      </c>
      <c r="Q126" s="2" t="s">
        <v>30</v>
      </c>
      <c r="R126" s="2">
        <v>5</v>
      </c>
    </row>
    <row r="127" spans="1:18" x14ac:dyDescent="0.3">
      <c r="A127" s="2" t="s">
        <v>178</v>
      </c>
      <c r="B127" s="2" t="s">
        <v>51</v>
      </c>
      <c r="E127" s="2" t="s">
        <v>51</v>
      </c>
      <c r="F127" s="1">
        <v>46002</v>
      </c>
      <c r="G127" s="2" t="s">
        <v>32</v>
      </c>
      <c r="H127" s="2" t="s">
        <v>45</v>
      </c>
      <c r="I127" s="2" t="s">
        <v>34</v>
      </c>
      <c r="J127" s="2" t="s">
        <v>55</v>
      </c>
      <c r="K127" s="2" t="s">
        <v>52</v>
      </c>
      <c r="L127" s="2">
        <v>41</v>
      </c>
      <c r="M127" s="2">
        <v>83</v>
      </c>
      <c r="N127" s="2">
        <v>26101.87</v>
      </c>
      <c r="O127" s="2">
        <v>107.25</v>
      </c>
      <c r="P127" s="2">
        <v>31.69</v>
      </c>
      <c r="Q127" s="2" t="s">
        <v>30</v>
      </c>
      <c r="R127" s="2">
        <v>1</v>
      </c>
    </row>
    <row r="128" spans="1:18" x14ac:dyDescent="0.3">
      <c r="A128" s="2" t="s">
        <v>179</v>
      </c>
      <c r="B128" s="2" t="s">
        <v>67</v>
      </c>
      <c r="E128" s="2" t="s">
        <v>67</v>
      </c>
      <c r="F128" s="1">
        <v>46107</v>
      </c>
      <c r="G128" s="2" t="s">
        <v>43</v>
      </c>
      <c r="H128" s="2" t="s">
        <v>38</v>
      </c>
      <c r="I128" s="2" t="s">
        <v>68</v>
      </c>
      <c r="J128" s="2" t="s">
        <v>55</v>
      </c>
      <c r="K128" s="2" t="s">
        <v>56</v>
      </c>
      <c r="L128" s="2">
        <v>42</v>
      </c>
      <c r="M128" s="2">
        <v>25</v>
      </c>
      <c r="N128" s="2">
        <v>42484.98</v>
      </c>
      <c r="O128" s="2">
        <v>461.61</v>
      </c>
      <c r="P128" s="2">
        <v>157.54</v>
      </c>
      <c r="Q128" s="2" t="s">
        <v>30</v>
      </c>
      <c r="R128" s="2">
        <v>4</v>
      </c>
    </row>
    <row r="129" spans="1:18" x14ac:dyDescent="0.3">
      <c r="A129" s="2" t="s">
        <v>180</v>
      </c>
      <c r="B129" s="2" t="s">
        <v>17</v>
      </c>
      <c r="E129" s="2" t="s">
        <v>17</v>
      </c>
      <c r="F129" s="1">
        <v>46012</v>
      </c>
      <c r="G129" s="2" t="s">
        <v>32</v>
      </c>
      <c r="H129" s="2" t="s">
        <v>26</v>
      </c>
      <c r="I129" s="2" t="s">
        <v>68</v>
      </c>
      <c r="J129" s="2" t="s">
        <v>35</v>
      </c>
      <c r="K129" s="2" t="s">
        <v>56</v>
      </c>
      <c r="L129" s="2">
        <v>65</v>
      </c>
      <c r="M129" s="2">
        <v>16</v>
      </c>
      <c r="N129" s="2">
        <v>34416.14</v>
      </c>
      <c r="O129" s="2">
        <v>272.08999999999997</v>
      </c>
      <c r="P129" s="2">
        <v>62.21</v>
      </c>
      <c r="Q129" s="2" t="s">
        <v>22</v>
      </c>
      <c r="R129" s="2">
        <v>4</v>
      </c>
    </row>
    <row r="130" spans="1:18" x14ac:dyDescent="0.3">
      <c r="A130" s="2" t="s">
        <v>181</v>
      </c>
      <c r="B130" s="2" t="s">
        <v>67</v>
      </c>
      <c r="E130" s="2" t="s">
        <v>67</v>
      </c>
      <c r="F130" s="1">
        <v>46194</v>
      </c>
      <c r="G130" s="2" t="s">
        <v>54</v>
      </c>
      <c r="H130" s="2" t="s">
        <v>18</v>
      </c>
      <c r="I130" s="2" t="s">
        <v>27</v>
      </c>
      <c r="J130" s="2" t="s">
        <v>64</v>
      </c>
      <c r="K130" s="2" t="s">
        <v>52</v>
      </c>
      <c r="L130" s="2">
        <v>27</v>
      </c>
      <c r="M130" s="2">
        <v>54</v>
      </c>
      <c r="N130" s="2">
        <v>14857.18</v>
      </c>
      <c r="O130" s="2">
        <v>254.11</v>
      </c>
      <c r="P130" s="2">
        <v>65.38</v>
      </c>
      <c r="Q130" s="2" t="s">
        <v>30</v>
      </c>
      <c r="R130" s="2">
        <v>1</v>
      </c>
    </row>
    <row r="131" spans="1:18" x14ac:dyDescent="0.3">
      <c r="A131" s="2" t="s">
        <v>182</v>
      </c>
      <c r="B131" s="2" t="s">
        <v>67</v>
      </c>
      <c r="E131" s="2" t="s">
        <v>67</v>
      </c>
      <c r="F131" s="1">
        <v>46208</v>
      </c>
      <c r="G131" s="2" t="s">
        <v>16</v>
      </c>
      <c r="H131" s="2" t="s">
        <v>58</v>
      </c>
      <c r="I131" s="2" t="s">
        <v>19</v>
      </c>
      <c r="J131" s="2" t="s">
        <v>20</v>
      </c>
      <c r="K131" s="2" t="s">
        <v>29</v>
      </c>
      <c r="L131" s="2">
        <v>37</v>
      </c>
      <c r="M131" s="2">
        <v>115</v>
      </c>
      <c r="N131" s="2">
        <v>10472.459999999999</v>
      </c>
      <c r="O131" s="2">
        <v>67.12</v>
      </c>
      <c r="P131" s="2">
        <v>3.24</v>
      </c>
      <c r="Q131" s="2" t="s">
        <v>22</v>
      </c>
      <c r="R131" s="2">
        <v>3</v>
      </c>
    </row>
    <row r="132" spans="1:18" x14ac:dyDescent="0.3">
      <c r="A132" s="2" t="s">
        <v>183</v>
      </c>
      <c r="B132" s="2" t="s">
        <v>67</v>
      </c>
      <c r="E132" s="2" t="s">
        <v>67</v>
      </c>
      <c r="F132" s="1">
        <v>45894</v>
      </c>
      <c r="G132" s="2" t="s">
        <v>32</v>
      </c>
      <c r="H132" s="2" t="s">
        <v>18</v>
      </c>
      <c r="I132" s="2" t="s">
        <v>68</v>
      </c>
      <c r="J132" s="2" t="s">
        <v>55</v>
      </c>
      <c r="K132" s="2" t="s">
        <v>21</v>
      </c>
      <c r="L132" s="2">
        <v>22</v>
      </c>
      <c r="M132" s="2">
        <v>73</v>
      </c>
      <c r="N132" s="2">
        <v>13627.82</v>
      </c>
      <c r="O132" s="2">
        <v>377.89</v>
      </c>
      <c r="P132" s="2">
        <v>140.19999999999999</v>
      </c>
      <c r="Q132" s="2" t="s">
        <v>30</v>
      </c>
      <c r="R132" s="2">
        <v>4</v>
      </c>
    </row>
    <row r="133" spans="1:18" x14ac:dyDescent="0.3">
      <c r="A133" s="2" t="s">
        <v>184</v>
      </c>
      <c r="B133" s="2" t="s">
        <v>60</v>
      </c>
      <c r="E133" s="2" t="s">
        <v>60</v>
      </c>
      <c r="F133" s="1">
        <v>45911</v>
      </c>
      <c r="G133" s="2" t="s">
        <v>43</v>
      </c>
      <c r="H133" s="2" t="s">
        <v>18</v>
      </c>
      <c r="I133" s="2" t="s">
        <v>34</v>
      </c>
      <c r="J133" s="2" t="s">
        <v>28</v>
      </c>
      <c r="K133" s="2" t="s">
        <v>52</v>
      </c>
      <c r="L133" s="2">
        <v>32</v>
      </c>
      <c r="M133" s="2">
        <v>1</v>
      </c>
      <c r="N133" s="2">
        <v>8903.08</v>
      </c>
      <c r="O133" s="2">
        <v>287.63</v>
      </c>
      <c r="P133" s="2">
        <v>22.65</v>
      </c>
      <c r="Q133" s="2" t="s">
        <v>22</v>
      </c>
      <c r="R133" s="2">
        <v>2</v>
      </c>
    </row>
    <row r="134" spans="1:18" x14ac:dyDescent="0.3">
      <c r="A134" s="2" t="s">
        <v>185</v>
      </c>
      <c r="B134" s="2" t="s">
        <v>25</v>
      </c>
      <c r="E134" s="2" t="s">
        <v>25</v>
      </c>
      <c r="F134" s="1">
        <v>46164</v>
      </c>
      <c r="G134" s="2" t="s">
        <v>54</v>
      </c>
      <c r="H134" s="2" t="s">
        <v>45</v>
      </c>
      <c r="I134" s="2" t="s">
        <v>39</v>
      </c>
      <c r="J134" s="2" t="s">
        <v>55</v>
      </c>
      <c r="K134" s="2" t="s">
        <v>52</v>
      </c>
      <c r="L134" s="2">
        <v>62</v>
      </c>
      <c r="M134" s="2">
        <v>42</v>
      </c>
      <c r="N134" s="2">
        <v>5234.21</v>
      </c>
      <c r="O134" s="2">
        <v>140.94</v>
      </c>
      <c r="P134" s="2">
        <v>154.58000000000001</v>
      </c>
      <c r="Q134" s="2" t="s">
        <v>22</v>
      </c>
      <c r="R134" s="2">
        <v>4</v>
      </c>
    </row>
    <row r="135" spans="1:18" x14ac:dyDescent="0.3">
      <c r="A135" s="2" t="s">
        <v>186</v>
      </c>
      <c r="B135" s="2" t="s">
        <v>82</v>
      </c>
      <c r="E135" s="2" t="s">
        <v>82</v>
      </c>
      <c r="F135" s="1">
        <v>46042</v>
      </c>
      <c r="G135" s="2" t="s">
        <v>90</v>
      </c>
      <c r="H135" s="2" t="s">
        <v>38</v>
      </c>
      <c r="I135" s="2" t="s">
        <v>39</v>
      </c>
      <c r="J135" s="2" t="s">
        <v>28</v>
      </c>
      <c r="K135" s="2" t="s">
        <v>21</v>
      </c>
      <c r="L135" s="2">
        <v>38</v>
      </c>
      <c r="M135" s="2">
        <v>19</v>
      </c>
      <c r="N135" s="2">
        <v>21247.24</v>
      </c>
      <c r="O135" s="2">
        <v>99.53</v>
      </c>
      <c r="P135" s="2">
        <v>98.37</v>
      </c>
      <c r="Q135" s="2" t="s">
        <v>22</v>
      </c>
      <c r="R135" s="2">
        <v>3</v>
      </c>
    </row>
    <row r="136" spans="1:18" x14ac:dyDescent="0.3">
      <c r="A136" s="2" t="s">
        <v>187</v>
      </c>
      <c r="B136" s="2" t="s">
        <v>62</v>
      </c>
      <c r="E136" s="2" t="s">
        <v>62</v>
      </c>
      <c r="F136" s="1">
        <v>46149</v>
      </c>
      <c r="G136" s="2" t="s">
        <v>24</v>
      </c>
      <c r="H136" s="2" t="s">
        <v>58</v>
      </c>
      <c r="I136" s="2" t="s">
        <v>39</v>
      </c>
      <c r="J136" s="2" t="s">
        <v>20</v>
      </c>
      <c r="K136" s="2" t="s">
        <v>52</v>
      </c>
      <c r="L136" s="2">
        <v>74</v>
      </c>
      <c r="M136" s="2">
        <v>97</v>
      </c>
      <c r="N136" s="2">
        <v>6108.33</v>
      </c>
      <c r="O136" s="2">
        <v>222.52</v>
      </c>
      <c r="P136" s="2">
        <v>156.86000000000001</v>
      </c>
      <c r="Q136" s="2" t="s">
        <v>22</v>
      </c>
      <c r="R136" s="2">
        <v>2</v>
      </c>
    </row>
    <row r="137" spans="1:18" x14ac:dyDescent="0.3">
      <c r="A137" s="2" t="s">
        <v>188</v>
      </c>
      <c r="B137" s="2" t="s">
        <v>25</v>
      </c>
      <c r="E137" s="2" t="s">
        <v>25</v>
      </c>
      <c r="F137" s="1">
        <v>45915</v>
      </c>
      <c r="G137" s="2" t="s">
        <v>24</v>
      </c>
      <c r="H137" s="2" t="s">
        <v>18</v>
      </c>
      <c r="I137" s="2" t="s">
        <v>19</v>
      </c>
      <c r="J137" s="2" t="s">
        <v>55</v>
      </c>
      <c r="K137" s="2" t="s">
        <v>21</v>
      </c>
      <c r="L137" s="2">
        <v>31</v>
      </c>
      <c r="M137" s="2">
        <v>34</v>
      </c>
      <c r="N137" s="2">
        <v>9009.67</v>
      </c>
      <c r="O137" s="2">
        <v>426.72</v>
      </c>
      <c r="P137" s="2">
        <v>116.79</v>
      </c>
      <c r="Q137" s="2" t="s">
        <v>30</v>
      </c>
      <c r="R137" s="2">
        <v>2</v>
      </c>
    </row>
    <row r="138" spans="1:18" x14ac:dyDescent="0.3">
      <c r="A138" s="2" t="s">
        <v>189</v>
      </c>
      <c r="B138" s="2" t="s">
        <v>67</v>
      </c>
      <c r="E138" s="2" t="s">
        <v>67</v>
      </c>
      <c r="F138" s="1">
        <v>46123</v>
      </c>
      <c r="G138" s="2" t="s">
        <v>24</v>
      </c>
      <c r="H138" s="2" t="s">
        <v>58</v>
      </c>
      <c r="I138" s="2" t="s">
        <v>27</v>
      </c>
      <c r="J138" s="2" t="s">
        <v>55</v>
      </c>
      <c r="K138" s="2" t="s">
        <v>29</v>
      </c>
      <c r="L138" s="2">
        <v>36</v>
      </c>
      <c r="M138" s="2">
        <v>80</v>
      </c>
      <c r="N138" s="2">
        <v>27592.57</v>
      </c>
      <c r="O138" s="2">
        <v>439.38</v>
      </c>
      <c r="P138" s="2">
        <v>24.74</v>
      </c>
      <c r="Q138" s="2" t="s">
        <v>30</v>
      </c>
      <c r="R138" s="2">
        <v>1</v>
      </c>
    </row>
    <row r="139" spans="1:18" x14ac:dyDescent="0.3">
      <c r="A139" s="2" t="s">
        <v>190</v>
      </c>
      <c r="B139" s="2" t="s">
        <v>47</v>
      </c>
      <c r="E139" s="2" t="s">
        <v>47</v>
      </c>
      <c r="F139" s="1">
        <v>45894</v>
      </c>
      <c r="G139" s="2" t="s">
        <v>32</v>
      </c>
      <c r="H139" s="2" t="s">
        <v>26</v>
      </c>
      <c r="I139" s="2" t="s">
        <v>34</v>
      </c>
      <c r="J139" s="2" t="s">
        <v>20</v>
      </c>
      <c r="K139" s="2" t="s">
        <v>56</v>
      </c>
      <c r="L139" s="2">
        <v>69</v>
      </c>
      <c r="M139" s="2">
        <v>108</v>
      </c>
      <c r="N139" s="2">
        <v>8647.66</v>
      </c>
      <c r="O139" s="2">
        <v>321.27999999999997</v>
      </c>
      <c r="P139" s="2">
        <v>153.13</v>
      </c>
      <c r="Q139" s="2" t="s">
        <v>30</v>
      </c>
      <c r="R139" s="2">
        <v>5</v>
      </c>
    </row>
    <row r="140" spans="1:18" x14ac:dyDescent="0.3">
      <c r="A140" s="2" t="s">
        <v>191</v>
      </c>
      <c r="B140" s="2" t="s">
        <v>37</v>
      </c>
      <c r="E140" s="2" t="s">
        <v>37</v>
      </c>
      <c r="F140" s="1">
        <v>45917</v>
      </c>
      <c r="G140" s="2" t="s">
        <v>90</v>
      </c>
      <c r="H140" s="2" t="s">
        <v>45</v>
      </c>
      <c r="I140" s="2" t="s">
        <v>19</v>
      </c>
      <c r="J140" s="2" t="s">
        <v>55</v>
      </c>
      <c r="K140" s="2" t="s">
        <v>29</v>
      </c>
      <c r="L140" s="2">
        <v>71</v>
      </c>
      <c r="M140" s="2">
        <v>104</v>
      </c>
      <c r="N140" s="2">
        <v>3662.05</v>
      </c>
      <c r="O140" s="2">
        <v>377.39</v>
      </c>
      <c r="P140" s="2">
        <v>20.94</v>
      </c>
      <c r="Q140" s="2" t="s">
        <v>30</v>
      </c>
      <c r="R140" s="2">
        <v>1</v>
      </c>
    </row>
    <row r="141" spans="1:18" x14ac:dyDescent="0.3">
      <c r="A141" s="2" t="s">
        <v>192</v>
      </c>
      <c r="B141" s="2" t="s">
        <v>17</v>
      </c>
      <c r="E141" s="2" t="s">
        <v>17</v>
      </c>
      <c r="F141" s="1">
        <v>45965</v>
      </c>
      <c r="G141" s="2" t="s">
        <v>32</v>
      </c>
      <c r="H141" s="2" t="s">
        <v>26</v>
      </c>
      <c r="I141" s="2" t="s">
        <v>34</v>
      </c>
      <c r="J141" s="2" t="s">
        <v>28</v>
      </c>
      <c r="K141" s="2" t="s">
        <v>56</v>
      </c>
      <c r="L141" s="2">
        <v>38</v>
      </c>
      <c r="M141" s="2">
        <v>55</v>
      </c>
      <c r="N141" s="2">
        <v>16210.75</v>
      </c>
      <c r="O141" s="2">
        <v>101.82</v>
      </c>
      <c r="P141" s="2">
        <v>95.74</v>
      </c>
      <c r="Q141" s="2" t="s">
        <v>22</v>
      </c>
      <c r="R141" s="2">
        <v>5</v>
      </c>
    </row>
    <row r="142" spans="1:18" x14ac:dyDescent="0.3">
      <c r="A142" s="2" t="s">
        <v>193</v>
      </c>
      <c r="B142" s="2" t="s">
        <v>33</v>
      </c>
      <c r="E142" s="2" t="s">
        <v>33</v>
      </c>
      <c r="F142" s="1">
        <v>46064</v>
      </c>
      <c r="G142" s="2" t="s">
        <v>16</v>
      </c>
      <c r="H142" s="2" t="s">
        <v>58</v>
      </c>
      <c r="I142" s="2" t="s">
        <v>34</v>
      </c>
      <c r="J142" s="2" t="s">
        <v>55</v>
      </c>
      <c r="K142" s="2" t="s">
        <v>21</v>
      </c>
      <c r="L142" s="2">
        <v>55</v>
      </c>
      <c r="M142" s="2">
        <v>18</v>
      </c>
      <c r="N142" s="2">
        <v>11405.8</v>
      </c>
      <c r="O142" s="2">
        <v>314.66000000000003</v>
      </c>
      <c r="P142" s="2">
        <v>34.47</v>
      </c>
      <c r="Q142" s="2" t="s">
        <v>30</v>
      </c>
      <c r="R142" s="2">
        <v>1</v>
      </c>
    </row>
    <row r="143" spans="1:18" x14ac:dyDescent="0.3">
      <c r="A143" s="2" t="s">
        <v>194</v>
      </c>
      <c r="B143" s="2" t="s">
        <v>78</v>
      </c>
      <c r="E143" s="2" t="s">
        <v>78</v>
      </c>
      <c r="F143" s="1">
        <v>45888</v>
      </c>
      <c r="G143" s="2" t="s">
        <v>32</v>
      </c>
      <c r="H143" s="2" t="s">
        <v>58</v>
      </c>
      <c r="I143" s="2" t="s">
        <v>27</v>
      </c>
      <c r="J143" s="2" t="s">
        <v>64</v>
      </c>
      <c r="K143" s="2" t="s">
        <v>56</v>
      </c>
      <c r="L143" s="2">
        <v>73</v>
      </c>
      <c r="M143" s="2">
        <v>34</v>
      </c>
      <c r="N143" s="2">
        <v>26007.61</v>
      </c>
      <c r="O143" s="2">
        <v>350.13</v>
      </c>
      <c r="P143" s="2">
        <v>150.47</v>
      </c>
      <c r="Q143" s="2" t="s">
        <v>30</v>
      </c>
      <c r="R143" s="2">
        <v>5</v>
      </c>
    </row>
    <row r="144" spans="1:18" x14ac:dyDescent="0.3">
      <c r="A144" s="2" t="s">
        <v>195</v>
      </c>
      <c r="B144" s="2" t="s">
        <v>25</v>
      </c>
      <c r="E144" s="2" t="s">
        <v>25</v>
      </c>
      <c r="F144" s="1">
        <v>45903</v>
      </c>
      <c r="G144" s="2" t="s">
        <v>90</v>
      </c>
      <c r="H144" s="2" t="s">
        <v>38</v>
      </c>
      <c r="I144" s="2" t="s">
        <v>39</v>
      </c>
      <c r="J144" s="2" t="s">
        <v>35</v>
      </c>
      <c r="K144" s="2" t="s">
        <v>29</v>
      </c>
      <c r="L144" s="2">
        <v>46</v>
      </c>
      <c r="M144" s="2">
        <v>89</v>
      </c>
      <c r="N144" s="2">
        <v>5567.17</v>
      </c>
      <c r="O144" s="2">
        <v>140.32</v>
      </c>
      <c r="P144" s="2">
        <v>273.48</v>
      </c>
      <c r="Q144" s="2" t="s">
        <v>30</v>
      </c>
      <c r="R144" s="2">
        <v>4</v>
      </c>
    </row>
    <row r="145" spans="1:18" x14ac:dyDescent="0.3">
      <c r="A145" s="2" t="s">
        <v>196</v>
      </c>
      <c r="B145" s="2" t="s">
        <v>51</v>
      </c>
      <c r="E145" s="2" t="s">
        <v>51</v>
      </c>
      <c r="F145" s="1">
        <v>45930</v>
      </c>
      <c r="G145" s="2" t="s">
        <v>90</v>
      </c>
      <c r="H145" s="2" t="s">
        <v>18</v>
      </c>
      <c r="I145" s="2" t="s">
        <v>27</v>
      </c>
      <c r="J145" s="2" t="s">
        <v>28</v>
      </c>
      <c r="K145" s="2" t="s">
        <v>56</v>
      </c>
      <c r="L145" s="2">
        <v>36</v>
      </c>
      <c r="M145" s="2">
        <v>45</v>
      </c>
      <c r="N145" s="2">
        <v>37712.65</v>
      </c>
      <c r="O145" s="2">
        <v>446.07</v>
      </c>
      <c r="P145" s="2">
        <v>110.83</v>
      </c>
      <c r="Q145" s="2" t="s">
        <v>30</v>
      </c>
      <c r="R145" s="2">
        <v>2</v>
      </c>
    </row>
    <row r="146" spans="1:18" x14ac:dyDescent="0.3">
      <c r="A146" s="2" t="s">
        <v>197</v>
      </c>
      <c r="B146" s="2" t="s">
        <v>60</v>
      </c>
      <c r="E146" s="2" t="s">
        <v>60</v>
      </c>
      <c r="F146" s="1">
        <v>46117</v>
      </c>
      <c r="G146" s="2" t="s">
        <v>16</v>
      </c>
      <c r="H146" s="2" t="s">
        <v>18</v>
      </c>
      <c r="I146" s="2" t="s">
        <v>19</v>
      </c>
      <c r="J146" s="2" t="s">
        <v>64</v>
      </c>
      <c r="K146" s="2" t="s">
        <v>21</v>
      </c>
      <c r="L146" s="2">
        <v>26</v>
      </c>
      <c r="M146" s="2">
        <v>6</v>
      </c>
      <c r="N146" s="2">
        <v>45358.559999999998</v>
      </c>
      <c r="O146" s="2">
        <v>137.75</v>
      </c>
      <c r="P146" s="2">
        <v>105.43</v>
      </c>
      <c r="Q146" s="2" t="s">
        <v>30</v>
      </c>
      <c r="R146" s="2">
        <v>5</v>
      </c>
    </row>
    <row r="147" spans="1:18" x14ac:dyDescent="0.3">
      <c r="A147" s="2" t="s">
        <v>198</v>
      </c>
      <c r="B147" s="2" t="s">
        <v>86</v>
      </c>
      <c r="E147" s="2" t="s">
        <v>86</v>
      </c>
      <c r="F147" s="1">
        <v>45944</v>
      </c>
      <c r="G147" s="2" t="s">
        <v>90</v>
      </c>
      <c r="H147" s="2" t="s">
        <v>26</v>
      </c>
      <c r="I147" s="2" t="s">
        <v>19</v>
      </c>
      <c r="J147" s="2" t="s">
        <v>20</v>
      </c>
      <c r="K147" s="2" t="s">
        <v>56</v>
      </c>
      <c r="L147" s="2">
        <v>64</v>
      </c>
      <c r="M147" s="2">
        <v>21</v>
      </c>
      <c r="N147" s="2">
        <v>37300.04</v>
      </c>
      <c r="O147" s="2">
        <v>191.06</v>
      </c>
      <c r="P147" s="2">
        <v>152.79</v>
      </c>
      <c r="Q147" s="2" t="s">
        <v>22</v>
      </c>
      <c r="R147" s="2">
        <v>4</v>
      </c>
    </row>
    <row r="148" spans="1:18" x14ac:dyDescent="0.3">
      <c r="A148" s="2" t="s">
        <v>199</v>
      </c>
      <c r="B148" s="2" t="s">
        <v>76</v>
      </c>
      <c r="E148" s="2" t="s">
        <v>76</v>
      </c>
      <c r="F148" s="1">
        <v>46225</v>
      </c>
      <c r="G148" s="2" t="s">
        <v>43</v>
      </c>
      <c r="H148" s="2" t="s">
        <v>45</v>
      </c>
      <c r="I148" s="2" t="s">
        <v>19</v>
      </c>
      <c r="J148" s="2" t="s">
        <v>28</v>
      </c>
      <c r="K148" s="2" t="s">
        <v>52</v>
      </c>
      <c r="L148" s="2">
        <v>63</v>
      </c>
      <c r="M148" s="2">
        <v>70</v>
      </c>
      <c r="N148" s="2">
        <v>26874.94</v>
      </c>
      <c r="O148" s="2">
        <v>329.25</v>
      </c>
      <c r="P148" s="2">
        <v>1.02</v>
      </c>
      <c r="Q148" s="2" t="s">
        <v>30</v>
      </c>
      <c r="R148" s="2">
        <v>3</v>
      </c>
    </row>
    <row r="149" spans="1:18" x14ac:dyDescent="0.3">
      <c r="A149" s="2" t="s">
        <v>200</v>
      </c>
      <c r="B149" s="2" t="s">
        <v>62</v>
      </c>
      <c r="E149" s="2" t="s">
        <v>62</v>
      </c>
      <c r="F149" s="1">
        <v>46055</v>
      </c>
      <c r="G149" s="2" t="s">
        <v>90</v>
      </c>
      <c r="H149" s="2" t="s">
        <v>18</v>
      </c>
      <c r="I149" s="2" t="s">
        <v>27</v>
      </c>
      <c r="J149" s="2" t="s">
        <v>35</v>
      </c>
      <c r="K149" s="2" t="s">
        <v>29</v>
      </c>
      <c r="L149" s="2">
        <v>67</v>
      </c>
      <c r="M149" s="2">
        <v>96</v>
      </c>
      <c r="N149" s="2">
        <v>43103.06</v>
      </c>
      <c r="O149" s="2">
        <v>337.26</v>
      </c>
      <c r="P149" s="2">
        <v>275.33</v>
      </c>
      <c r="Q149" s="2" t="s">
        <v>30</v>
      </c>
      <c r="R149" s="2">
        <v>1</v>
      </c>
    </row>
    <row r="150" spans="1:18" x14ac:dyDescent="0.3">
      <c r="A150" s="2" t="s">
        <v>201</v>
      </c>
      <c r="B150" s="2" t="s">
        <v>33</v>
      </c>
      <c r="E150" s="2" t="s">
        <v>33</v>
      </c>
      <c r="F150" s="1">
        <v>46161</v>
      </c>
      <c r="G150" s="2" t="s">
        <v>24</v>
      </c>
      <c r="H150" s="2" t="s">
        <v>38</v>
      </c>
      <c r="I150" s="2" t="s">
        <v>34</v>
      </c>
      <c r="J150" s="2" t="s">
        <v>35</v>
      </c>
      <c r="K150" s="2" t="s">
        <v>52</v>
      </c>
      <c r="L150" s="2">
        <v>67</v>
      </c>
      <c r="M150" s="2">
        <v>105</v>
      </c>
      <c r="N150" s="2">
        <v>34898.46</v>
      </c>
      <c r="O150" s="2">
        <v>364.72</v>
      </c>
      <c r="P150" s="2">
        <v>39.49</v>
      </c>
      <c r="Q150" s="2" t="s">
        <v>30</v>
      </c>
      <c r="R150" s="2">
        <v>3</v>
      </c>
    </row>
    <row r="151" spans="1:18" x14ac:dyDescent="0.3">
      <c r="A151" s="2" t="s">
        <v>202</v>
      </c>
      <c r="B151" s="2" t="s">
        <v>44</v>
      </c>
      <c r="E151" s="2" t="s">
        <v>44</v>
      </c>
      <c r="F151" s="1">
        <v>46064</v>
      </c>
      <c r="G151" s="2" t="s">
        <v>43</v>
      </c>
      <c r="H151" s="2" t="s">
        <v>26</v>
      </c>
      <c r="I151" s="2" t="s">
        <v>34</v>
      </c>
      <c r="J151" s="2" t="s">
        <v>20</v>
      </c>
      <c r="K151" s="2" t="s">
        <v>21</v>
      </c>
      <c r="L151" s="2">
        <v>68</v>
      </c>
      <c r="M151" s="2">
        <v>48</v>
      </c>
      <c r="N151" s="2">
        <v>1022.28</v>
      </c>
      <c r="O151" s="2">
        <v>100.41</v>
      </c>
      <c r="P151" s="2">
        <v>196.82</v>
      </c>
      <c r="Q151" s="2" t="s">
        <v>22</v>
      </c>
      <c r="R151" s="2">
        <v>4</v>
      </c>
    </row>
    <row r="152" spans="1:18" x14ac:dyDescent="0.3">
      <c r="A152" s="2" t="s">
        <v>203</v>
      </c>
      <c r="B152" s="2" t="s">
        <v>49</v>
      </c>
      <c r="E152" s="2" t="s">
        <v>49</v>
      </c>
      <c r="F152" s="1">
        <v>46014</v>
      </c>
      <c r="G152" s="2" t="s">
        <v>43</v>
      </c>
      <c r="H152" s="2" t="s">
        <v>26</v>
      </c>
      <c r="I152" s="2" t="s">
        <v>68</v>
      </c>
      <c r="J152" s="2" t="s">
        <v>20</v>
      </c>
      <c r="K152" s="2" t="s">
        <v>56</v>
      </c>
      <c r="L152" s="2">
        <v>62</v>
      </c>
      <c r="M152" s="2">
        <v>107</v>
      </c>
      <c r="N152" s="2">
        <v>20007.46</v>
      </c>
      <c r="O152" s="2">
        <v>432.26</v>
      </c>
      <c r="P152" s="2">
        <v>147.25</v>
      </c>
      <c r="Q152" s="2" t="s">
        <v>30</v>
      </c>
      <c r="R152" s="2">
        <v>3</v>
      </c>
    </row>
    <row r="153" spans="1:18" x14ac:dyDescent="0.3">
      <c r="A153" s="2" t="s">
        <v>204</v>
      </c>
      <c r="B153" s="2" t="s">
        <v>47</v>
      </c>
      <c r="E153" s="2" t="s">
        <v>47</v>
      </c>
      <c r="F153" s="1">
        <v>46131</v>
      </c>
      <c r="G153" s="2" t="s">
        <v>16</v>
      </c>
      <c r="H153" s="2" t="s">
        <v>38</v>
      </c>
      <c r="I153" s="2" t="s">
        <v>19</v>
      </c>
      <c r="J153" s="2" t="s">
        <v>28</v>
      </c>
      <c r="K153" s="2" t="s">
        <v>52</v>
      </c>
      <c r="L153" s="2">
        <v>32</v>
      </c>
      <c r="M153" s="2">
        <v>39</v>
      </c>
      <c r="N153" s="2">
        <v>42622.12</v>
      </c>
      <c r="O153" s="2">
        <v>289.77999999999997</v>
      </c>
      <c r="P153" s="2">
        <v>154.85</v>
      </c>
      <c r="Q153" s="2" t="s">
        <v>22</v>
      </c>
      <c r="R153" s="2">
        <v>3</v>
      </c>
    </row>
    <row r="154" spans="1:18" x14ac:dyDescent="0.3">
      <c r="A154" s="2" t="s">
        <v>205</v>
      </c>
      <c r="B154" s="2" t="s">
        <v>76</v>
      </c>
      <c r="E154" s="2" t="s">
        <v>76</v>
      </c>
      <c r="F154" s="1">
        <v>46132</v>
      </c>
      <c r="G154" s="2" t="s">
        <v>41</v>
      </c>
      <c r="H154" s="2" t="s">
        <v>45</v>
      </c>
      <c r="I154" s="2" t="s">
        <v>34</v>
      </c>
      <c r="J154" s="2" t="s">
        <v>55</v>
      </c>
      <c r="K154" s="2" t="s">
        <v>52</v>
      </c>
      <c r="L154" s="2">
        <v>33</v>
      </c>
      <c r="M154" s="2">
        <v>31</v>
      </c>
      <c r="N154" s="2">
        <v>17620.009999999998</v>
      </c>
      <c r="O154" s="2">
        <v>262.08999999999997</v>
      </c>
      <c r="P154" s="2">
        <v>131.24</v>
      </c>
      <c r="Q154" s="2" t="s">
        <v>30</v>
      </c>
      <c r="R154" s="2">
        <v>4</v>
      </c>
    </row>
    <row r="155" spans="1:18" x14ac:dyDescent="0.3">
      <c r="A155" s="2" t="s">
        <v>206</v>
      </c>
      <c r="B155" s="2" t="s">
        <v>78</v>
      </c>
      <c r="E155" s="2" t="s">
        <v>78</v>
      </c>
      <c r="F155" s="1">
        <v>45953</v>
      </c>
      <c r="G155" s="2" t="s">
        <v>41</v>
      </c>
      <c r="H155" s="2" t="s">
        <v>38</v>
      </c>
      <c r="I155" s="2" t="s">
        <v>68</v>
      </c>
      <c r="J155" s="2" t="s">
        <v>20</v>
      </c>
      <c r="K155" s="2" t="s">
        <v>56</v>
      </c>
      <c r="L155" s="2">
        <v>24</v>
      </c>
      <c r="M155" s="2">
        <v>106</v>
      </c>
      <c r="N155" s="2">
        <v>2243.15</v>
      </c>
      <c r="O155" s="2">
        <v>491.49</v>
      </c>
      <c r="P155" s="2">
        <v>94.33</v>
      </c>
      <c r="Q155" s="2" t="s">
        <v>30</v>
      </c>
      <c r="R155" s="2">
        <v>2</v>
      </c>
    </row>
    <row r="156" spans="1:18" x14ac:dyDescent="0.3">
      <c r="A156" s="2" t="s">
        <v>207</v>
      </c>
      <c r="B156" s="2" t="s">
        <v>33</v>
      </c>
      <c r="E156" s="2" t="s">
        <v>33</v>
      </c>
      <c r="F156" s="1">
        <v>46076</v>
      </c>
      <c r="G156" s="2" t="s">
        <v>90</v>
      </c>
      <c r="H156" s="2" t="s">
        <v>45</v>
      </c>
      <c r="I156" s="2" t="s">
        <v>34</v>
      </c>
      <c r="J156" s="2" t="s">
        <v>55</v>
      </c>
      <c r="K156" s="2" t="s">
        <v>56</v>
      </c>
      <c r="L156" s="2">
        <v>59</v>
      </c>
      <c r="M156" s="2">
        <v>10</v>
      </c>
      <c r="N156" s="2">
        <v>37435.89</v>
      </c>
      <c r="O156" s="2">
        <v>383.17</v>
      </c>
      <c r="P156" s="2">
        <v>114.33</v>
      </c>
      <c r="Q156" s="2" t="s">
        <v>30</v>
      </c>
      <c r="R156" s="2">
        <v>5</v>
      </c>
    </row>
    <row r="157" spans="1:18" x14ac:dyDescent="0.3">
      <c r="A157" s="2" t="s">
        <v>208</v>
      </c>
      <c r="B157" s="2" t="s">
        <v>76</v>
      </c>
      <c r="E157" s="2" t="s">
        <v>76</v>
      </c>
      <c r="F157" s="1">
        <v>46209</v>
      </c>
      <c r="G157" s="2" t="s">
        <v>43</v>
      </c>
      <c r="H157" s="2" t="s">
        <v>38</v>
      </c>
      <c r="I157" s="2" t="s">
        <v>19</v>
      </c>
      <c r="J157" s="2" t="s">
        <v>64</v>
      </c>
      <c r="K157" s="2" t="s">
        <v>29</v>
      </c>
      <c r="L157" s="2">
        <v>74</v>
      </c>
      <c r="M157" s="2">
        <v>30</v>
      </c>
      <c r="N157" s="2">
        <v>40200.89</v>
      </c>
      <c r="O157" s="2">
        <v>103.1</v>
      </c>
      <c r="P157" s="2">
        <v>13.92</v>
      </c>
      <c r="Q157" s="2" t="s">
        <v>30</v>
      </c>
      <c r="R157" s="2">
        <v>1</v>
      </c>
    </row>
    <row r="158" spans="1:18" x14ac:dyDescent="0.3">
      <c r="A158" s="2" t="s">
        <v>209</v>
      </c>
      <c r="B158" s="2" t="s">
        <v>33</v>
      </c>
      <c r="E158" s="2" t="s">
        <v>33</v>
      </c>
      <c r="F158" s="1">
        <v>46040</v>
      </c>
      <c r="G158" s="2" t="s">
        <v>41</v>
      </c>
      <c r="H158" s="2" t="s">
        <v>38</v>
      </c>
      <c r="I158" s="2" t="s">
        <v>39</v>
      </c>
      <c r="J158" s="2" t="s">
        <v>35</v>
      </c>
      <c r="K158" s="2" t="s">
        <v>52</v>
      </c>
      <c r="L158" s="2">
        <v>22</v>
      </c>
      <c r="M158" s="2">
        <v>116</v>
      </c>
      <c r="N158" s="2">
        <v>8449.39</v>
      </c>
      <c r="O158" s="2">
        <v>390.44</v>
      </c>
      <c r="P158" s="2">
        <v>124.79</v>
      </c>
      <c r="Q158" s="2" t="s">
        <v>22</v>
      </c>
      <c r="R158" s="2">
        <v>5</v>
      </c>
    </row>
    <row r="159" spans="1:18" x14ac:dyDescent="0.3">
      <c r="A159" s="2" t="s">
        <v>210</v>
      </c>
      <c r="B159" s="2" t="s">
        <v>51</v>
      </c>
      <c r="E159" s="2" t="s">
        <v>51</v>
      </c>
      <c r="F159" s="1">
        <v>46165</v>
      </c>
      <c r="G159" s="2" t="s">
        <v>41</v>
      </c>
      <c r="H159" s="2" t="s">
        <v>58</v>
      </c>
      <c r="I159" s="2" t="s">
        <v>19</v>
      </c>
      <c r="J159" s="2" t="s">
        <v>55</v>
      </c>
      <c r="K159" s="2" t="s">
        <v>52</v>
      </c>
      <c r="L159" s="2">
        <v>46</v>
      </c>
      <c r="M159" s="2">
        <v>18</v>
      </c>
      <c r="N159" s="2">
        <v>27098.35</v>
      </c>
      <c r="O159" s="2">
        <v>92.86</v>
      </c>
      <c r="P159" s="2">
        <v>125.22</v>
      </c>
      <c r="Q159" s="2" t="s">
        <v>30</v>
      </c>
      <c r="R159" s="2">
        <v>1</v>
      </c>
    </row>
    <row r="160" spans="1:18" x14ac:dyDescent="0.3">
      <c r="A160" s="2" t="s">
        <v>211</v>
      </c>
      <c r="B160" s="2" t="s">
        <v>47</v>
      </c>
      <c r="E160" s="2" t="s">
        <v>47</v>
      </c>
      <c r="F160" s="1">
        <v>45929</v>
      </c>
      <c r="G160" s="2" t="s">
        <v>90</v>
      </c>
      <c r="H160" s="2" t="s">
        <v>26</v>
      </c>
      <c r="I160" s="2" t="s">
        <v>27</v>
      </c>
      <c r="J160" s="2" t="s">
        <v>35</v>
      </c>
      <c r="K160" s="2" t="s">
        <v>21</v>
      </c>
      <c r="L160" s="2">
        <v>47</v>
      </c>
      <c r="M160" s="2">
        <v>60</v>
      </c>
      <c r="N160" s="2">
        <v>10001.790000000001</v>
      </c>
      <c r="O160" s="2">
        <v>62.36</v>
      </c>
      <c r="P160" s="2">
        <v>178.24</v>
      </c>
      <c r="Q160" s="2" t="s">
        <v>30</v>
      </c>
      <c r="R160" s="2">
        <v>5</v>
      </c>
    </row>
    <row r="161" spans="1:18" x14ac:dyDescent="0.3">
      <c r="A161" s="2" t="s">
        <v>212</v>
      </c>
      <c r="B161" s="2" t="s">
        <v>78</v>
      </c>
      <c r="E161" s="2" t="s">
        <v>78</v>
      </c>
      <c r="F161" s="1">
        <v>45920</v>
      </c>
      <c r="G161" s="2" t="s">
        <v>41</v>
      </c>
      <c r="H161" s="2" t="s">
        <v>38</v>
      </c>
      <c r="I161" s="2" t="s">
        <v>34</v>
      </c>
      <c r="J161" s="2" t="s">
        <v>55</v>
      </c>
      <c r="K161" s="2" t="s">
        <v>29</v>
      </c>
      <c r="L161" s="2">
        <v>47</v>
      </c>
      <c r="M161" s="2">
        <v>88</v>
      </c>
      <c r="N161" s="2">
        <v>36102.1</v>
      </c>
      <c r="O161" s="2">
        <v>231.63</v>
      </c>
      <c r="P161" s="2">
        <v>151.69999999999999</v>
      </c>
      <c r="Q161" s="2" t="s">
        <v>22</v>
      </c>
      <c r="R161" s="2">
        <v>3</v>
      </c>
    </row>
    <row r="162" spans="1:18" x14ac:dyDescent="0.3">
      <c r="A162" s="2" t="s">
        <v>213</v>
      </c>
      <c r="B162" s="2" t="s">
        <v>44</v>
      </c>
      <c r="E162" s="2" t="s">
        <v>44</v>
      </c>
      <c r="F162" s="1">
        <v>46190</v>
      </c>
      <c r="G162" s="2" t="s">
        <v>32</v>
      </c>
      <c r="H162" s="2" t="s">
        <v>38</v>
      </c>
      <c r="I162" s="2" t="s">
        <v>34</v>
      </c>
      <c r="J162" s="2" t="s">
        <v>64</v>
      </c>
      <c r="K162" s="2" t="s">
        <v>21</v>
      </c>
      <c r="L162" s="2">
        <v>35</v>
      </c>
      <c r="M162" s="2">
        <v>116</v>
      </c>
      <c r="N162" s="2">
        <v>13941.75</v>
      </c>
      <c r="O162" s="2">
        <v>497.11</v>
      </c>
      <c r="P162" s="2">
        <v>15.43</v>
      </c>
      <c r="Q162" s="2" t="s">
        <v>30</v>
      </c>
      <c r="R162" s="2">
        <v>2</v>
      </c>
    </row>
    <row r="163" spans="1:18" x14ac:dyDescent="0.3">
      <c r="A163" s="2" t="s">
        <v>214</v>
      </c>
      <c r="B163" s="2" t="s">
        <v>67</v>
      </c>
      <c r="E163" s="2" t="s">
        <v>67</v>
      </c>
      <c r="F163" s="1">
        <v>46043</v>
      </c>
      <c r="G163" s="2" t="s">
        <v>54</v>
      </c>
      <c r="H163" s="2" t="s">
        <v>18</v>
      </c>
      <c r="I163" s="2" t="s">
        <v>27</v>
      </c>
      <c r="J163" s="2" t="s">
        <v>20</v>
      </c>
      <c r="K163" s="2" t="s">
        <v>52</v>
      </c>
      <c r="L163" s="2">
        <v>28</v>
      </c>
      <c r="M163" s="2">
        <v>73</v>
      </c>
      <c r="N163" s="2">
        <v>16152.65</v>
      </c>
      <c r="O163" s="2">
        <v>128.69999999999999</v>
      </c>
      <c r="P163" s="2">
        <v>61.24</v>
      </c>
      <c r="Q163" s="2" t="s">
        <v>30</v>
      </c>
      <c r="R163" s="2">
        <v>3</v>
      </c>
    </row>
    <row r="164" spans="1:18" x14ac:dyDescent="0.3">
      <c r="A164" s="2" t="s">
        <v>215</v>
      </c>
      <c r="B164" s="2" t="s">
        <v>17</v>
      </c>
      <c r="E164" s="2" t="s">
        <v>17</v>
      </c>
      <c r="F164" s="1">
        <v>45915</v>
      </c>
      <c r="G164" s="2" t="s">
        <v>16</v>
      </c>
      <c r="H164" s="2" t="s">
        <v>26</v>
      </c>
      <c r="I164" s="2" t="s">
        <v>27</v>
      </c>
      <c r="J164" s="2" t="s">
        <v>64</v>
      </c>
      <c r="K164" s="2" t="s">
        <v>21</v>
      </c>
      <c r="L164" s="2">
        <v>27</v>
      </c>
      <c r="M164" s="2">
        <v>95</v>
      </c>
      <c r="N164" s="2">
        <v>42326.06</v>
      </c>
      <c r="O164" s="2">
        <v>352.69</v>
      </c>
      <c r="P164" s="2">
        <v>131.13</v>
      </c>
      <c r="Q164" s="2" t="s">
        <v>22</v>
      </c>
      <c r="R164" s="2">
        <v>2</v>
      </c>
    </row>
    <row r="165" spans="1:18" x14ac:dyDescent="0.3">
      <c r="A165" s="2" t="s">
        <v>216</v>
      </c>
      <c r="B165" s="2" t="s">
        <v>44</v>
      </c>
      <c r="E165" s="2" t="s">
        <v>44</v>
      </c>
      <c r="F165" s="1">
        <v>46031</v>
      </c>
      <c r="G165" s="2" t="s">
        <v>54</v>
      </c>
      <c r="H165" s="2" t="s">
        <v>18</v>
      </c>
      <c r="I165" s="2" t="s">
        <v>39</v>
      </c>
      <c r="J165" s="2" t="s">
        <v>20</v>
      </c>
      <c r="K165" s="2" t="s">
        <v>52</v>
      </c>
      <c r="L165" s="2">
        <v>67</v>
      </c>
      <c r="M165" s="2">
        <v>15</v>
      </c>
      <c r="N165" s="2">
        <v>24077.96</v>
      </c>
      <c r="O165" s="2">
        <v>128.03</v>
      </c>
      <c r="P165" s="2">
        <v>47.85</v>
      </c>
      <c r="Q165" s="2" t="s">
        <v>30</v>
      </c>
      <c r="R165" s="2">
        <v>4</v>
      </c>
    </row>
    <row r="166" spans="1:18" x14ac:dyDescent="0.3">
      <c r="A166" s="2" t="s">
        <v>217</v>
      </c>
      <c r="B166" s="2" t="s">
        <v>67</v>
      </c>
      <c r="E166" s="2" t="s">
        <v>67</v>
      </c>
      <c r="F166" s="1">
        <v>46007</v>
      </c>
      <c r="G166" s="2" t="s">
        <v>90</v>
      </c>
      <c r="H166" s="2" t="s">
        <v>26</v>
      </c>
      <c r="I166" s="2" t="s">
        <v>34</v>
      </c>
      <c r="J166" s="2" t="s">
        <v>20</v>
      </c>
      <c r="K166" s="2" t="s">
        <v>52</v>
      </c>
      <c r="L166" s="2">
        <v>66</v>
      </c>
      <c r="M166" s="2">
        <v>4</v>
      </c>
      <c r="N166" s="2">
        <v>33652.85</v>
      </c>
      <c r="O166" s="2">
        <v>376.15</v>
      </c>
      <c r="P166" s="2">
        <v>56.11</v>
      </c>
      <c r="Q166" s="2" t="s">
        <v>22</v>
      </c>
      <c r="R166" s="2">
        <v>1</v>
      </c>
    </row>
    <row r="167" spans="1:18" x14ac:dyDescent="0.3">
      <c r="A167" s="2" t="s">
        <v>218</v>
      </c>
      <c r="B167" s="2" t="s">
        <v>49</v>
      </c>
      <c r="E167" s="2" t="s">
        <v>49</v>
      </c>
      <c r="F167" s="1">
        <v>45957</v>
      </c>
      <c r="G167" s="2" t="s">
        <v>24</v>
      </c>
      <c r="H167" s="2" t="s">
        <v>18</v>
      </c>
      <c r="I167" s="2" t="s">
        <v>34</v>
      </c>
      <c r="J167" s="2" t="s">
        <v>35</v>
      </c>
      <c r="K167" s="2" t="s">
        <v>21</v>
      </c>
      <c r="L167" s="2">
        <v>60</v>
      </c>
      <c r="M167" s="2">
        <v>63</v>
      </c>
      <c r="N167" s="2">
        <v>20417.47</v>
      </c>
      <c r="O167" s="2">
        <v>277.41000000000003</v>
      </c>
      <c r="P167" s="2">
        <v>164.09</v>
      </c>
      <c r="Q167" s="2" t="s">
        <v>30</v>
      </c>
      <c r="R167" s="2">
        <v>1</v>
      </c>
    </row>
    <row r="168" spans="1:18" x14ac:dyDescent="0.3">
      <c r="A168" s="2" t="s">
        <v>219</v>
      </c>
      <c r="B168" s="2" t="s">
        <v>60</v>
      </c>
      <c r="E168" s="2" t="s">
        <v>60</v>
      </c>
      <c r="F168" s="1">
        <v>45929</v>
      </c>
      <c r="G168" s="2" t="s">
        <v>16</v>
      </c>
      <c r="H168" s="2" t="s">
        <v>38</v>
      </c>
      <c r="I168" s="2" t="s">
        <v>39</v>
      </c>
      <c r="J168" s="2" t="s">
        <v>64</v>
      </c>
      <c r="K168" s="2" t="s">
        <v>21</v>
      </c>
      <c r="L168" s="2">
        <v>32</v>
      </c>
      <c r="M168" s="2">
        <v>40</v>
      </c>
      <c r="N168" s="2">
        <v>15251.34</v>
      </c>
      <c r="O168" s="2">
        <v>355.99</v>
      </c>
      <c r="P168" s="2">
        <v>116.86</v>
      </c>
      <c r="Q168" s="2" t="s">
        <v>22</v>
      </c>
      <c r="R168" s="2">
        <v>4</v>
      </c>
    </row>
    <row r="169" spans="1:18" x14ac:dyDescent="0.3">
      <c r="A169" s="2" t="s">
        <v>220</v>
      </c>
      <c r="B169" s="2" t="s">
        <v>82</v>
      </c>
      <c r="E169" s="2" t="s">
        <v>82</v>
      </c>
      <c r="F169" s="1">
        <v>46186</v>
      </c>
      <c r="G169" s="2" t="s">
        <v>90</v>
      </c>
      <c r="H169" s="2" t="s">
        <v>38</v>
      </c>
      <c r="I169" s="2" t="s">
        <v>68</v>
      </c>
      <c r="J169" s="2" t="s">
        <v>55</v>
      </c>
      <c r="K169" s="2" t="s">
        <v>56</v>
      </c>
      <c r="L169" s="2">
        <v>33</v>
      </c>
      <c r="M169" s="2">
        <v>9</v>
      </c>
      <c r="N169" s="2">
        <v>31461.16</v>
      </c>
      <c r="O169" s="2">
        <v>141.29</v>
      </c>
      <c r="P169" s="2">
        <v>101.71</v>
      </c>
      <c r="Q169" s="2" t="s">
        <v>30</v>
      </c>
      <c r="R169" s="2">
        <v>5</v>
      </c>
    </row>
    <row r="170" spans="1:18" x14ac:dyDescent="0.3">
      <c r="A170" s="2" t="s">
        <v>221</v>
      </c>
      <c r="B170" s="2" t="s">
        <v>82</v>
      </c>
      <c r="E170" s="2" t="s">
        <v>82</v>
      </c>
      <c r="F170" s="1">
        <v>46049</v>
      </c>
      <c r="G170" s="2" t="s">
        <v>43</v>
      </c>
      <c r="H170" s="2" t="s">
        <v>58</v>
      </c>
      <c r="I170" s="2" t="s">
        <v>39</v>
      </c>
      <c r="J170" s="2" t="s">
        <v>64</v>
      </c>
      <c r="K170" s="2" t="s">
        <v>56</v>
      </c>
      <c r="L170" s="2">
        <v>63</v>
      </c>
      <c r="M170" s="2">
        <v>109</v>
      </c>
      <c r="N170" s="2">
        <v>8165.45</v>
      </c>
      <c r="O170" s="2">
        <v>385.53</v>
      </c>
      <c r="P170" s="2">
        <v>63.69</v>
      </c>
      <c r="Q170" s="2" t="s">
        <v>22</v>
      </c>
      <c r="R170" s="2">
        <v>4</v>
      </c>
    </row>
    <row r="171" spans="1:18" x14ac:dyDescent="0.3">
      <c r="A171" s="2" t="s">
        <v>222</v>
      </c>
      <c r="B171" s="2" t="s">
        <v>82</v>
      </c>
      <c r="E171" s="2" t="s">
        <v>82</v>
      </c>
      <c r="F171" s="1">
        <v>45887</v>
      </c>
      <c r="G171" s="2" t="s">
        <v>24</v>
      </c>
      <c r="H171" s="2" t="s">
        <v>18</v>
      </c>
      <c r="I171" s="2" t="s">
        <v>19</v>
      </c>
      <c r="J171" s="2" t="s">
        <v>35</v>
      </c>
      <c r="K171" s="2" t="s">
        <v>56</v>
      </c>
      <c r="L171" s="2">
        <v>37</v>
      </c>
      <c r="M171" s="2">
        <v>9</v>
      </c>
      <c r="N171" s="2">
        <v>18963.490000000002</v>
      </c>
      <c r="O171" s="2">
        <v>498.03</v>
      </c>
      <c r="P171" s="2">
        <v>146.19</v>
      </c>
      <c r="Q171" s="2" t="s">
        <v>30</v>
      </c>
      <c r="R171" s="2">
        <v>4</v>
      </c>
    </row>
    <row r="172" spans="1:18" x14ac:dyDescent="0.3">
      <c r="A172" s="2" t="s">
        <v>223</v>
      </c>
      <c r="B172" s="2" t="s">
        <v>62</v>
      </c>
      <c r="E172" s="2" t="s">
        <v>62</v>
      </c>
      <c r="F172" s="1">
        <v>45980</v>
      </c>
      <c r="G172" s="2" t="s">
        <v>54</v>
      </c>
      <c r="H172" s="2" t="s">
        <v>45</v>
      </c>
      <c r="I172" s="2" t="s">
        <v>34</v>
      </c>
      <c r="J172" s="2" t="s">
        <v>20</v>
      </c>
      <c r="K172" s="2" t="s">
        <v>52</v>
      </c>
      <c r="L172" s="2">
        <v>37</v>
      </c>
      <c r="M172" s="2">
        <v>26</v>
      </c>
      <c r="N172" s="2">
        <v>10847.33</v>
      </c>
      <c r="O172" s="2">
        <v>349.54</v>
      </c>
      <c r="P172" s="2">
        <v>57.54</v>
      </c>
      <c r="Q172" s="2" t="s">
        <v>22</v>
      </c>
      <c r="R172" s="2">
        <v>2</v>
      </c>
    </row>
    <row r="173" spans="1:18" x14ac:dyDescent="0.3">
      <c r="A173" s="2" t="s">
        <v>224</v>
      </c>
      <c r="B173" s="2" t="s">
        <v>25</v>
      </c>
      <c r="E173" s="2" t="s">
        <v>25</v>
      </c>
      <c r="F173" s="1">
        <v>46096</v>
      </c>
      <c r="G173" s="2" t="s">
        <v>90</v>
      </c>
      <c r="H173" s="2" t="s">
        <v>58</v>
      </c>
      <c r="I173" s="2" t="s">
        <v>27</v>
      </c>
      <c r="J173" s="2" t="s">
        <v>35</v>
      </c>
      <c r="K173" s="2" t="s">
        <v>21</v>
      </c>
      <c r="L173" s="2">
        <v>56</v>
      </c>
      <c r="M173" s="2">
        <v>4</v>
      </c>
      <c r="N173" s="2">
        <v>34941.85</v>
      </c>
      <c r="O173" s="2">
        <v>272.07</v>
      </c>
      <c r="P173" s="2">
        <v>147.41</v>
      </c>
      <c r="Q173" s="2" t="s">
        <v>30</v>
      </c>
      <c r="R173" s="2">
        <v>4</v>
      </c>
    </row>
    <row r="174" spans="1:18" x14ac:dyDescent="0.3">
      <c r="A174" s="2" t="s">
        <v>225</v>
      </c>
      <c r="B174" s="2" t="s">
        <v>37</v>
      </c>
      <c r="E174" s="2" t="s">
        <v>37</v>
      </c>
      <c r="F174" s="1">
        <v>46025</v>
      </c>
      <c r="G174" s="2" t="s">
        <v>43</v>
      </c>
      <c r="H174" s="2" t="s">
        <v>18</v>
      </c>
      <c r="I174" s="2" t="s">
        <v>19</v>
      </c>
      <c r="J174" s="2" t="s">
        <v>28</v>
      </c>
      <c r="K174" s="2" t="s">
        <v>29</v>
      </c>
      <c r="L174" s="2">
        <v>41</v>
      </c>
      <c r="M174" s="2">
        <v>81</v>
      </c>
      <c r="N174" s="2">
        <v>47238.34</v>
      </c>
      <c r="O174" s="2">
        <v>465.43</v>
      </c>
      <c r="P174" s="2">
        <v>21.03</v>
      </c>
      <c r="Q174" s="2" t="s">
        <v>30</v>
      </c>
      <c r="R174" s="2">
        <v>1</v>
      </c>
    </row>
    <row r="175" spans="1:18" x14ac:dyDescent="0.3">
      <c r="A175" s="2" t="s">
        <v>226</v>
      </c>
      <c r="B175" s="2" t="s">
        <v>86</v>
      </c>
      <c r="E175" s="2" t="s">
        <v>86</v>
      </c>
      <c r="F175" s="1">
        <v>46064</v>
      </c>
      <c r="G175" s="2" t="s">
        <v>16</v>
      </c>
      <c r="H175" s="2" t="s">
        <v>18</v>
      </c>
      <c r="I175" s="2" t="s">
        <v>34</v>
      </c>
      <c r="J175" s="2" t="s">
        <v>28</v>
      </c>
      <c r="K175" s="2" t="s">
        <v>52</v>
      </c>
      <c r="L175" s="2">
        <v>28</v>
      </c>
      <c r="M175" s="2">
        <v>16</v>
      </c>
      <c r="N175" s="2">
        <v>49777.79</v>
      </c>
      <c r="O175" s="2">
        <v>57.13</v>
      </c>
      <c r="P175" s="2">
        <v>172.91</v>
      </c>
      <c r="Q175" s="2" t="s">
        <v>30</v>
      </c>
      <c r="R175" s="2">
        <v>3</v>
      </c>
    </row>
    <row r="176" spans="1:18" x14ac:dyDescent="0.3">
      <c r="A176" s="2" t="s">
        <v>227</v>
      </c>
      <c r="B176" s="2" t="s">
        <v>86</v>
      </c>
      <c r="E176" s="2" t="s">
        <v>86</v>
      </c>
      <c r="F176" s="1">
        <v>46015</v>
      </c>
      <c r="G176" s="2" t="s">
        <v>16</v>
      </c>
      <c r="H176" s="2" t="s">
        <v>58</v>
      </c>
      <c r="I176" s="2" t="s">
        <v>39</v>
      </c>
      <c r="J176" s="2" t="s">
        <v>55</v>
      </c>
      <c r="K176" s="2" t="s">
        <v>29</v>
      </c>
      <c r="L176" s="2">
        <v>25</v>
      </c>
      <c r="M176" s="2">
        <v>15</v>
      </c>
      <c r="N176" s="2">
        <v>22788.7</v>
      </c>
      <c r="O176" s="2">
        <v>378.47</v>
      </c>
      <c r="P176" s="2">
        <v>149.86000000000001</v>
      </c>
      <c r="Q176" s="2" t="s">
        <v>22</v>
      </c>
      <c r="R176" s="2">
        <v>2</v>
      </c>
    </row>
    <row r="177" spans="1:18" x14ac:dyDescent="0.3">
      <c r="A177" s="2" t="s">
        <v>228</v>
      </c>
      <c r="B177" s="2" t="s">
        <v>25</v>
      </c>
      <c r="E177" s="2" t="s">
        <v>25</v>
      </c>
      <c r="F177" s="1">
        <v>45978</v>
      </c>
      <c r="G177" s="2" t="s">
        <v>74</v>
      </c>
      <c r="H177" s="2" t="s">
        <v>38</v>
      </c>
      <c r="I177" s="2" t="s">
        <v>19</v>
      </c>
      <c r="J177" s="2" t="s">
        <v>35</v>
      </c>
      <c r="K177" s="2" t="s">
        <v>21</v>
      </c>
      <c r="L177" s="2">
        <v>46</v>
      </c>
      <c r="M177" s="2">
        <v>99</v>
      </c>
      <c r="N177" s="2">
        <v>13000.25</v>
      </c>
      <c r="O177" s="2">
        <v>449.94</v>
      </c>
      <c r="P177" s="2">
        <v>87.7</v>
      </c>
      <c r="Q177" s="2" t="s">
        <v>22</v>
      </c>
      <c r="R177" s="2">
        <v>2</v>
      </c>
    </row>
    <row r="178" spans="1:18" x14ac:dyDescent="0.3">
      <c r="A178" s="2" t="s">
        <v>229</v>
      </c>
      <c r="B178" s="2" t="s">
        <v>82</v>
      </c>
      <c r="E178" s="2" t="s">
        <v>82</v>
      </c>
      <c r="F178" s="1">
        <v>46165</v>
      </c>
      <c r="G178" s="2" t="s">
        <v>43</v>
      </c>
      <c r="H178" s="2" t="s">
        <v>18</v>
      </c>
      <c r="I178" s="2" t="s">
        <v>34</v>
      </c>
      <c r="J178" s="2" t="s">
        <v>55</v>
      </c>
      <c r="K178" s="2" t="s">
        <v>52</v>
      </c>
      <c r="L178" s="2">
        <v>36</v>
      </c>
      <c r="M178" s="2">
        <v>52</v>
      </c>
      <c r="N178" s="2">
        <v>22420.05</v>
      </c>
      <c r="O178" s="2">
        <v>77.75</v>
      </c>
      <c r="P178" s="2">
        <v>122.2</v>
      </c>
      <c r="Q178" s="2" t="s">
        <v>30</v>
      </c>
      <c r="R178" s="2">
        <v>5</v>
      </c>
    </row>
    <row r="179" spans="1:18" x14ac:dyDescent="0.3">
      <c r="A179" s="2" t="s">
        <v>230</v>
      </c>
      <c r="B179" s="2" t="s">
        <v>17</v>
      </c>
      <c r="E179" s="2" t="s">
        <v>17</v>
      </c>
      <c r="F179" s="1">
        <v>46231</v>
      </c>
      <c r="G179" s="2" t="s">
        <v>32</v>
      </c>
      <c r="H179" s="2" t="s">
        <v>38</v>
      </c>
      <c r="I179" s="2" t="s">
        <v>68</v>
      </c>
      <c r="J179" s="2" t="s">
        <v>55</v>
      </c>
      <c r="K179" s="2" t="s">
        <v>29</v>
      </c>
      <c r="L179" s="2">
        <v>56</v>
      </c>
      <c r="M179" s="2">
        <v>69</v>
      </c>
      <c r="N179" s="2">
        <v>42439.839999999997</v>
      </c>
      <c r="O179" s="2">
        <v>252.53</v>
      </c>
      <c r="P179" s="2">
        <v>187.26</v>
      </c>
      <c r="Q179" s="2" t="s">
        <v>30</v>
      </c>
      <c r="R179" s="2">
        <v>3</v>
      </c>
    </row>
    <row r="180" spans="1:18" x14ac:dyDescent="0.3">
      <c r="A180" s="2" t="s">
        <v>231</v>
      </c>
      <c r="B180" s="2" t="s">
        <v>78</v>
      </c>
      <c r="E180" s="2" t="s">
        <v>78</v>
      </c>
      <c r="F180" s="1">
        <v>45959</v>
      </c>
      <c r="G180" s="2" t="s">
        <v>41</v>
      </c>
      <c r="H180" s="2" t="s">
        <v>58</v>
      </c>
      <c r="I180" s="2" t="s">
        <v>68</v>
      </c>
      <c r="J180" s="2" t="s">
        <v>28</v>
      </c>
      <c r="K180" s="2" t="s">
        <v>29</v>
      </c>
      <c r="L180" s="2">
        <v>48</v>
      </c>
      <c r="M180" s="2">
        <v>119</v>
      </c>
      <c r="N180" s="2">
        <v>10697.28</v>
      </c>
      <c r="O180" s="2">
        <v>142.12</v>
      </c>
      <c r="P180" s="2">
        <v>39.619999999999997</v>
      </c>
      <c r="Q180" s="2" t="s">
        <v>22</v>
      </c>
      <c r="R180" s="2">
        <v>2</v>
      </c>
    </row>
    <row r="181" spans="1:18" x14ac:dyDescent="0.3">
      <c r="A181" s="2" t="s">
        <v>232</v>
      </c>
      <c r="B181" s="2" t="s">
        <v>47</v>
      </c>
      <c r="E181" s="2" t="s">
        <v>47</v>
      </c>
      <c r="F181" s="1">
        <v>45918</v>
      </c>
      <c r="G181" s="2" t="s">
        <v>24</v>
      </c>
      <c r="H181" s="2" t="s">
        <v>38</v>
      </c>
      <c r="I181" s="2" t="s">
        <v>27</v>
      </c>
      <c r="J181" s="2" t="s">
        <v>55</v>
      </c>
      <c r="K181" s="2" t="s">
        <v>56</v>
      </c>
      <c r="L181" s="2">
        <v>74</v>
      </c>
      <c r="M181" s="2">
        <v>5</v>
      </c>
      <c r="N181" s="2">
        <v>47628.73</v>
      </c>
      <c r="O181" s="2">
        <v>304.93</v>
      </c>
      <c r="P181" s="2">
        <v>151.25</v>
      </c>
      <c r="Q181" s="2" t="s">
        <v>30</v>
      </c>
      <c r="R181" s="2">
        <v>4</v>
      </c>
    </row>
    <row r="182" spans="1:18" x14ac:dyDescent="0.3">
      <c r="A182" s="2" t="s">
        <v>233</v>
      </c>
      <c r="B182" s="2" t="s">
        <v>78</v>
      </c>
      <c r="E182" s="2" t="s">
        <v>78</v>
      </c>
      <c r="F182" s="1">
        <v>45992</v>
      </c>
      <c r="G182" s="2" t="s">
        <v>43</v>
      </c>
      <c r="H182" s="2" t="s">
        <v>26</v>
      </c>
      <c r="I182" s="2" t="s">
        <v>34</v>
      </c>
      <c r="J182" s="2" t="s">
        <v>28</v>
      </c>
      <c r="K182" s="2" t="s">
        <v>56</v>
      </c>
      <c r="L182" s="2">
        <v>49</v>
      </c>
      <c r="M182" s="2">
        <v>20</v>
      </c>
      <c r="N182" s="2">
        <v>17422.36</v>
      </c>
      <c r="O182" s="2">
        <v>342.29</v>
      </c>
      <c r="P182" s="2">
        <v>55.19</v>
      </c>
      <c r="Q182" s="2" t="s">
        <v>22</v>
      </c>
      <c r="R182" s="2">
        <v>2</v>
      </c>
    </row>
    <row r="183" spans="1:18" x14ac:dyDescent="0.3">
      <c r="A183" s="2" t="s">
        <v>234</v>
      </c>
      <c r="B183" s="2" t="s">
        <v>47</v>
      </c>
      <c r="E183" s="2" t="s">
        <v>47</v>
      </c>
      <c r="F183" s="1">
        <v>45902</v>
      </c>
      <c r="G183" s="2" t="s">
        <v>74</v>
      </c>
      <c r="H183" s="2" t="s">
        <v>45</v>
      </c>
      <c r="I183" s="2" t="s">
        <v>68</v>
      </c>
      <c r="J183" s="2" t="s">
        <v>20</v>
      </c>
      <c r="K183" s="2" t="s">
        <v>56</v>
      </c>
      <c r="L183" s="2">
        <v>67</v>
      </c>
      <c r="M183" s="2">
        <v>79</v>
      </c>
      <c r="N183" s="2">
        <v>49297.279999999999</v>
      </c>
      <c r="O183" s="2">
        <v>186.18</v>
      </c>
      <c r="P183" s="2">
        <v>180.99</v>
      </c>
      <c r="Q183" s="2" t="s">
        <v>30</v>
      </c>
      <c r="R183" s="2">
        <v>2</v>
      </c>
    </row>
    <row r="184" spans="1:18" x14ac:dyDescent="0.3">
      <c r="A184" s="2" t="s">
        <v>235</v>
      </c>
      <c r="B184" s="2" t="s">
        <v>78</v>
      </c>
      <c r="E184" s="2" t="s">
        <v>78</v>
      </c>
      <c r="F184" s="1">
        <v>46155</v>
      </c>
      <c r="G184" s="2" t="s">
        <v>41</v>
      </c>
      <c r="H184" s="2" t="s">
        <v>18</v>
      </c>
      <c r="I184" s="2" t="s">
        <v>39</v>
      </c>
      <c r="J184" s="2" t="s">
        <v>35</v>
      </c>
      <c r="K184" s="2" t="s">
        <v>52</v>
      </c>
      <c r="L184" s="2">
        <v>32</v>
      </c>
      <c r="M184" s="2">
        <v>18</v>
      </c>
      <c r="N184" s="2">
        <v>42011.14</v>
      </c>
      <c r="O184" s="2">
        <v>256.99</v>
      </c>
      <c r="P184" s="2">
        <v>163.57</v>
      </c>
      <c r="Q184" s="2" t="s">
        <v>22</v>
      </c>
      <c r="R184" s="2">
        <v>2</v>
      </c>
    </row>
    <row r="185" spans="1:18" x14ac:dyDescent="0.3">
      <c r="A185" s="2" t="s">
        <v>236</v>
      </c>
      <c r="B185" s="2" t="s">
        <v>37</v>
      </c>
      <c r="E185" s="2" t="s">
        <v>37</v>
      </c>
      <c r="F185" s="1">
        <v>45957</v>
      </c>
      <c r="G185" s="2" t="s">
        <v>41</v>
      </c>
      <c r="H185" s="2" t="s">
        <v>45</v>
      </c>
      <c r="I185" s="2" t="s">
        <v>34</v>
      </c>
      <c r="J185" s="2" t="s">
        <v>55</v>
      </c>
      <c r="K185" s="2" t="s">
        <v>21</v>
      </c>
      <c r="L185" s="2">
        <v>57</v>
      </c>
      <c r="M185" s="2">
        <v>111</v>
      </c>
      <c r="N185" s="2">
        <v>40524.239999999998</v>
      </c>
      <c r="O185" s="2">
        <v>175.7</v>
      </c>
      <c r="P185" s="2">
        <v>69.25</v>
      </c>
      <c r="Q185" s="2" t="s">
        <v>30</v>
      </c>
      <c r="R185" s="2">
        <v>5</v>
      </c>
    </row>
    <row r="186" spans="1:18" x14ac:dyDescent="0.3">
      <c r="A186" s="2" t="s">
        <v>237</v>
      </c>
      <c r="B186" s="2" t="s">
        <v>62</v>
      </c>
      <c r="E186" s="2" t="s">
        <v>62</v>
      </c>
      <c r="F186" s="1">
        <v>46190</v>
      </c>
      <c r="G186" s="2" t="s">
        <v>90</v>
      </c>
      <c r="H186" s="2" t="s">
        <v>38</v>
      </c>
      <c r="I186" s="2" t="s">
        <v>39</v>
      </c>
      <c r="J186" s="2" t="s">
        <v>28</v>
      </c>
      <c r="K186" s="2" t="s">
        <v>21</v>
      </c>
      <c r="L186" s="2">
        <v>50</v>
      </c>
      <c r="M186" s="2">
        <v>2</v>
      </c>
      <c r="N186" s="2">
        <v>16236.28</v>
      </c>
      <c r="O186" s="2">
        <v>216.23</v>
      </c>
      <c r="P186" s="2">
        <v>161.55000000000001</v>
      </c>
      <c r="Q186" s="2" t="s">
        <v>30</v>
      </c>
      <c r="R186" s="2">
        <v>2</v>
      </c>
    </row>
    <row r="187" spans="1:18" x14ac:dyDescent="0.3">
      <c r="A187" s="2" t="s">
        <v>238</v>
      </c>
      <c r="B187" s="2" t="s">
        <v>62</v>
      </c>
      <c r="E187" s="2" t="s">
        <v>62</v>
      </c>
      <c r="F187" s="1">
        <v>46065</v>
      </c>
      <c r="G187" s="2" t="s">
        <v>41</v>
      </c>
      <c r="H187" s="2" t="s">
        <v>18</v>
      </c>
      <c r="I187" s="2" t="s">
        <v>39</v>
      </c>
      <c r="J187" s="2" t="s">
        <v>64</v>
      </c>
      <c r="K187" s="2" t="s">
        <v>56</v>
      </c>
      <c r="L187" s="2">
        <v>43</v>
      </c>
      <c r="M187" s="2">
        <v>93</v>
      </c>
      <c r="N187" s="2">
        <v>934.47</v>
      </c>
      <c r="O187" s="2">
        <v>121.79</v>
      </c>
      <c r="P187" s="2">
        <v>71.28</v>
      </c>
      <c r="Q187" s="2" t="s">
        <v>22</v>
      </c>
      <c r="R187" s="2">
        <v>2</v>
      </c>
    </row>
    <row r="188" spans="1:18" x14ac:dyDescent="0.3">
      <c r="A188" s="2" t="s">
        <v>239</v>
      </c>
      <c r="B188" s="2" t="s">
        <v>82</v>
      </c>
      <c r="E188" s="2" t="s">
        <v>82</v>
      </c>
      <c r="F188" s="1">
        <v>45956</v>
      </c>
      <c r="G188" s="2" t="s">
        <v>32</v>
      </c>
      <c r="H188" s="2" t="s">
        <v>38</v>
      </c>
      <c r="I188" s="2" t="s">
        <v>68</v>
      </c>
      <c r="J188" s="2" t="s">
        <v>55</v>
      </c>
      <c r="K188" s="2" t="s">
        <v>56</v>
      </c>
      <c r="L188" s="2">
        <v>36</v>
      </c>
      <c r="M188" s="2">
        <v>13</v>
      </c>
      <c r="N188" s="2">
        <v>19415.580000000002</v>
      </c>
      <c r="O188" s="2">
        <v>448.5</v>
      </c>
      <c r="P188" s="2">
        <v>20.190000000000001</v>
      </c>
      <c r="Q188" s="2" t="s">
        <v>22</v>
      </c>
      <c r="R188" s="2">
        <v>5</v>
      </c>
    </row>
    <row r="189" spans="1:18" x14ac:dyDescent="0.3">
      <c r="A189" s="2" t="s">
        <v>240</v>
      </c>
      <c r="B189" s="2" t="s">
        <v>49</v>
      </c>
      <c r="E189" s="2" t="s">
        <v>49</v>
      </c>
      <c r="F189" s="1">
        <v>45891</v>
      </c>
      <c r="G189" s="2" t="s">
        <v>16</v>
      </c>
      <c r="H189" s="2" t="s">
        <v>26</v>
      </c>
      <c r="I189" s="2" t="s">
        <v>34</v>
      </c>
      <c r="J189" s="2" t="s">
        <v>20</v>
      </c>
      <c r="K189" s="2" t="s">
        <v>56</v>
      </c>
      <c r="L189" s="2">
        <v>34</v>
      </c>
      <c r="M189" s="2">
        <v>4</v>
      </c>
      <c r="N189" s="2">
        <v>15439.56</v>
      </c>
      <c r="O189" s="2">
        <v>54.5</v>
      </c>
      <c r="P189" s="2">
        <v>192.38</v>
      </c>
      <c r="Q189" s="2" t="s">
        <v>22</v>
      </c>
      <c r="R189" s="2">
        <v>3</v>
      </c>
    </row>
    <row r="190" spans="1:18" x14ac:dyDescent="0.3">
      <c r="A190" s="2" t="s">
        <v>241</v>
      </c>
      <c r="B190" s="2" t="s">
        <v>67</v>
      </c>
      <c r="E190" s="2" t="s">
        <v>67</v>
      </c>
      <c r="F190" s="1">
        <v>46165</v>
      </c>
      <c r="G190" s="2" t="s">
        <v>74</v>
      </c>
      <c r="H190" s="2" t="s">
        <v>58</v>
      </c>
      <c r="I190" s="2" t="s">
        <v>19</v>
      </c>
      <c r="J190" s="2" t="s">
        <v>20</v>
      </c>
      <c r="K190" s="2" t="s">
        <v>29</v>
      </c>
      <c r="L190" s="2">
        <v>30</v>
      </c>
      <c r="M190" s="2">
        <v>42</v>
      </c>
      <c r="N190" s="2">
        <v>2351.15</v>
      </c>
      <c r="O190" s="2">
        <v>447.08</v>
      </c>
      <c r="P190" s="2">
        <v>195.78</v>
      </c>
      <c r="Q190" s="2" t="s">
        <v>30</v>
      </c>
      <c r="R190" s="2">
        <v>1</v>
      </c>
    </row>
    <row r="191" spans="1:18" x14ac:dyDescent="0.3">
      <c r="A191" s="2" t="s">
        <v>242</v>
      </c>
      <c r="B191" s="2" t="s">
        <v>49</v>
      </c>
      <c r="E191" s="2" t="s">
        <v>49</v>
      </c>
      <c r="F191" s="1">
        <v>46128</v>
      </c>
      <c r="G191" s="2" t="s">
        <v>41</v>
      </c>
      <c r="H191" s="2" t="s">
        <v>18</v>
      </c>
      <c r="I191" s="2" t="s">
        <v>68</v>
      </c>
      <c r="J191" s="2" t="s">
        <v>64</v>
      </c>
      <c r="K191" s="2" t="s">
        <v>56</v>
      </c>
      <c r="L191" s="2">
        <v>27</v>
      </c>
      <c r="M191" s="2">
        <v>109</v>
      </c>
      <c r="N191" s="2">
        <v>25515.58</v>
      </c>
      <c r="O191" s="2">
        <v>307.26</v>
      </c>
      <c r="P191" s="2">
        <v>91.22</v>
      </c>
      <c r="Q191" s="2" t="s">
        <v>30</v>
      </c>
      <c r="R191" s="2">
        <v>5</v>
      </c>
    </row>
    <row r="192" spans="1:18" x14ac:dyDescent="0.3">
      <c r="A192" s="2" t="s">
        <v>243</v>
      </c>
      <c r="B192" s="2" t="s">
        <v>76</v>
      </c>
      <c r="E192" s="2" t="s">
        <v>76</v>
      </c>
      <c r="F192" s="1">
        <v>45950</v>
      </c>
      <c r="G192" s="2" t="s">
        <v>90</v>
      </c>
      <c r="H192" s="2" t="s">
        <v>26</v>
      </c>
      <c r="I192" s="2" t="s">
        <v>68</v>
      </c>
      <c r="J192" s="2" t="s">
        <v>28</v>
      </c>
      <c r="K192" s="2" t="s">
        <v>29</v>
      </c>
      <c r="L192" s="2">
        <v>65</v>
      </c>
      <c r="M192" s="2">
        <v>74</v>
      </c>
      <c r="N192" s="2">
        <v>20450.05</v>
      </c>
      <c r="O192" s="2">
        <v>199.25</v>
      </c>
      <c r="P192" s="2">
        <v>119.32</v>
      </c>
      <c r="Q192" s="2" t="s">
        <v>30</v>
      </c>
      <c r="R192" s="2">
        <v>5</v>
      </c>
    </row>
    <row r="193" spans="1:18" x14ac:dyDescent="0.3">
      <c r="A193" s="2" t="s">
        <v>244</v>
      </c>
      <c r="B193" s="2" t="s">
        <v>62</v>
      </c>
      <c r="E193" s="2" t="s">
        <v>62</v>
      </c>
      <c r="F193" s="1">
        <v>46234</v>
      </c>
      <c r="G193" s="2" t="s">
        <v>32</v>
      </c>
      <c r="H193" s="2" t="s">
        <v>26</v>
      </c>
      <c r="I193" s="2" t="s">
        <v>34</v>
      </c>
      <c r="J193" s="2" t="s">
        <v>55</v>
      </c>
      <c r="K193" s="2" t="s">
        <v>21</v>
      </c>
      <c r="L193" s="2">
        <v>72</v>
      </c>
      <c r="M193" s="2">
        <v>61</v>
      </c>
      <c r="N193" s="2">
        <v>31910.55</v>
      </c>
      <c r="O193" s="2">
        <v>375.38</v>
      </c>
      <c r="P193" s="2">
        <v>64.94</v>
      </c>
      <c r="Q193" s="2" t="s">
        <v>22</v>
      </c>
      <c r="R193" s="2">
        <v>2</v>
      </c>
    </row>
    <row r="194" spans="1:18" x14ac:dyDescent="0.3">
      <c r="A194" s="2" t="s">
        <v>245</v>
      </c>
      <c r="B194" s="2" t="s">
        <v>62</v>
      </c>
      <c r="E194" s="2" t="s">
        <v>62</v>
      </c>
      <c r="F194" s="1">
        <v>46219</v>
      </c>
      <c r="G194" s="2" t="s">
        <v>54</v>
      </c>
      <c r="H194" s="2" t="s">
        <v>18</v>
      </c>
      <c r="I194" s="2" t="s">
        <v>34</v>
      </c>
      <c r="J194" s="2" t="s">
        <v>28</v>
      </c>
      <c r="K194" s="2" t="s">
        <v>52</v>
      </c>
      <c r="L194" s="2">
        <v>57</v>
      </c>
      <c r="M194" s="2">
        <v>95</v>
      </c>
      <c r="N194" s="2">
        <v>31248.720000000001</v>
      </c>
      <c r="O194" s="2">
        <v>278.49</v>
      </c>
      <c r="P194" s="2">
        <v>196.29</v>
      </c>
      <c r="Q194" s="2" t="s">
        <v>30</v>
      </c>
      <c r="R194" s="2">
        <v>2</v>
      </c>
    </row>
    <row r="195" spans="1:18" x14ac:dyDescent="0.3">
      <c r="A195" s="2" t="s">
        <v>246</v>
      </c>
      <c r="B195" s="2" t="s">
        <v>44</v>
      </c>
      <c r="E195" s="2" t="s">
        <v>44</v>
      </c>
      <c r="F195" s="1">
        <v>46153</v>
      </c>
      <c r="G195" s="2" t="s">
        <v>16</v>
      </c>
      <c r="H195" s="2" t="s">
        <v>38</v>
      </c>
      <c r="I195" s="2" t="s">
        <v>39</v>
      </c>
      <c r="J195" s="2" t="s">
        <v>20</v>
      </c>
      <c r="K195" s="2" t="s">
        <v>52</v>
      </c>
      <c r="L195" s="2">
        <v>49</v>
      </c>
      <c r="M195" s="2">
        <v>105</v>
      </c>
      <c r="N195" s="2">
        <v>6476.96</v>
      </c>
      <c r="O195" s="2">
        <v>274.60000000000002</v>
      </c>
      <c r="P195" s="2">
        <v>26.95</v>
      </c>
      <c r="Q195" s="2" t="s">
        <v>30</v>
      </c>
      <c r="R195" s="2">
        <v>1</v>
      </c>
    </row>
    <row r="196" spans="1:18" x14ac:dyDescent="0.3">
      <c r="A196" s="2" t="s">
        <v>247</v>
      </c>
      <c r="B196" s="2" t="s">
        <v>44</v>
      </c>
      <c r="E196" s="2" t="s">
        <v>44</v>
      </c>
      <c r="F196" s="1">
        <v>46197</v>
      </c>
      <c r="G196" s="2" t="s">
        <v>16</v>
      </c>
      <c r="H196" s="2" t="s">
        <v>26</v>
      </c>
      <c r="I196" s="2" t="s">
        <v>34</v>
      </c>
      <c r="J196" s="2" t="s">
        <v>28</v>
      </c>
      <c r="K196" s="2" t="s">
        <v>52</v>
      </c>
      <c r="L196" s="2">
        <v>23</v>
      </c>
      <c r="M196" s="2">
        <v>8</v>
      </c>
      <c r="N196" s="2">
        <v>48859.79</v>
      </c>
      <c r="O196" s="2">
        <v>99.56</v>
      </c>
      <c r="P196" s="2">
        <v>62.96</v>
      </c>
      <c r="Q196" s="2" t="s">
        <v>30</v>
      </c>
      <c r="R196" s="2">
        <v>2</v>
      </c>
    </row>
    <row r="197" spans="1:18" x14ac:dyDescent="0.3">
      <c r="A197" s="2" t="s">
        <v>248</v>
      </c>
      <c r="B197" s="2" t="s">
        <v>67</v>
      </c>
      <c r="E197" s="2" t="s">
        <v>67</v>
      </c>
      <c r="F197" s="1">
        <v>45954</v>
      </c>
      <c r="G197" s="2" t="s">
        <v>74</v>
      </c>
      <c r="H197" s="2" t="s">
        <v>45</v>
      </c>
      <c r="I197" s="2" t="s">
        <v>39</v>
      </c>
      <c r="J197" s="2" t="s">
        <v>20</v>
      </c>
      <c r="K197" s="2" t="s">
        <v>52</v>
      </c>
      <c r="L197" s="2">
        <v>35</v>
      </c>
      <c r="M197" s="2">
        <v>67</v>
      </c>
      <c r="N197" s="2">
        <v>9753.11</v>
      </c>
      <c r="O197" s="2">
        <v>225.28</v>
      </c>
      <c r="P197" s="2">
        <v>97.1</v>
      </c>
      <c r="Q197" s="2" t="s">
        <v>30</v>
      </c>
      <c r="R197" s="2">
        <v>4</v>
      </c>
    </row>
    <row r="198" spans="1:18" x14ac:dyDescent="0.3">
      <c r="A198" s="2" t="s">
        <v>249</v>
      </c>
      <c r="B198" s="2" t="s">
        <v>51</v>
      </c>
      <c r="E198" s="2" t="s">
        <v>51</v>
      </c>
      <c r="F198" s="1">
        <v>45876</v>
      </c>
      <c r="G198" s="2" t="s">
        <v>16</v>
      </c>
      <c r="H198" s="2" t="s">
        <v>26</v>
      </c>
      <c r="I198" s="2" t="s">
        <v>68</v>
      </c>
      <c r="J198" s="2" t="s">
        <v>28</v>
      </c>
      <c r="K198" s="2" t="s">
        <v>29</v>
      </c>
      <c r="L198" s="2">
        <v>56</v>
      </c>
      <c r="M198" s="2">
        <v>112</v>
      </c>
      <c r="N198" s="2">
        <v>22541.06</v>
      </c>
      <c r="O198" s="2">
        <v>158.47999999999999</v>
      </c>
      <c r="P198" s="2">
        <v>143.4</v>
      </c>
      <c r="Q198" s="2" t="s">
        <v>22</v>
      </c>
      <c r="R198" s="2">
        <v>2</v>
      </c>
    </row>
    <row r="199" spans="1:18" x14ac:dyDescent="0.3">
      <c r="A199" s="2" t="s">
        <v>250</v>
      </c>
      <c r="B199" s="2" t="s">
        <v>76</v>
      </c>
      <c r="E199" s="2" t="s">
        <v>76</v>
      </c>
      <c r="F199" s="1">
        <v>45975</v>
      </c>
      <c r="G199" s="2" t="s">
        <v>41</v>
      </c>
      <c r="H199" s="2" t="s">
        <v>38</v>
      </c>
      <c r="I199" s="2" t="s">
        <v>27</v>
      </c>
      <c r="J199" s="2" t="s">
        <v>64</v>
      </c>
      <c r="K199" s="2" t="s">
        <v>29</v>
      </c>
      <c r="L199" s="2">
        <v>67</v>
      </c>
      <c r="M199" s="2">
        <v>63</v>
      </c>
      <c r="N199" s="2">
        <v>24661.82</v>
      </c>
      <c r="O199" s="2">
        <v>57.06</v>
      </c>
      <c r="P199" s="2">
        <v>141.4</v>
      </c>
      <c r="Q199" s="2" t="s">
        <v>30</v>
      </c>
      <c r="R199" s="2">
        <v>2</v>
      </c>
    </row>
    <row r="200" spans="1:18" x14ac:dyDescent="0.3">
      <c r="A200" s="2" t="s">
        <v>251</v>
      </c>
      <c r="B200" s="2" t="s">
        <v>49</v>
      </c>
      <c r="E200" s="2" t="s">
        <v>49</v>
      </c>
      <c r="F200" s="1">
        <v>46199</v>
      </c>
      <c r="G200" s="2" t="s">
        <v>90</v>
      </c>
      <c r="H200" s="2" t="s">
        <v>38</v>
      </c>
      <c r="I200" s="2" t="s">
        <v>19</v>
      </c>
      <c r="J200" s="2" t="s">
        <v>35</v>
      </c>
      <c r="K200" s="2" t="s">
        <v>56</v>
      </c>
      <c r="L200" s="2">
        <v>66</v>
      </c>
      <c r="M200" s="2">
        <v>110</v>
      </c>
      <c r="N200" s="2">
        <v>40746.61</v>
      </c>
      <c r="O200" s="2">
        <v>212.04</v>
      </c>
      <c r="P200" s="2">
        <v>35.159999999999997</v>
      </c>
      <c r="Q200" s="2" t="s">
        <v>30</v>
      </c>
      <c r="R200" s="2">
        <v>4</v>
      </c>
    </row>
    <row r="201" spans="1:18" x14ac:dyDescent="0.3">
      <c r="A201" s="2" t="s">
        <v>252</v>
      </c>
      <c r="B201" s="2" t="s">
        <v>17</v>
      </c>
      <c r="E201" s="2" t="s">
        <v>17</v>
      </c>
      <c r="F201" s="1">
        <v>45953</v>
      </c>
      <c r="G201" s="2" t="s">
        <v>16</v>
      </c>
      <c r="H201" s="2" t="s">
        <v>45</v>
      </c>
      <c r="I201" s="2" t="s">
        <v>68</v>
      </c>
      <c r="J201" s="2" t="s">
        <v>64</v>
      </c>
      <c r="K201" s="2" t="s">
        <v>29</v>
      </c>
      <c r="L201" s="2">
        <v>72</v>
      </c>
      <c r="M201" s="2">
        <v>9</v>
      </c>
      <c r="N201" s="2">
        <v>5411.87</v>
      </c>
      <c r="O201" s="2">
        <v>90.42</v>
      </c>
      <c r="P201" s="2">
        <v>43.48</v>
      </c>
      <c r="Q201" s="2" t="s">
        <v>30</v>
      </c>
      <c r="R201" s="2">
        <v>1</v>
      </c>
    </row>
    <row r="202" spans="1:18" x14ac:dyDescent="0.3">
      <c r="A202" s="2" t="s">
        <v>253</v>
      </c>
      <c r="B202" s="2" t="s">
        <v>44</v>
      </c>
      <c r="E202" s="2" t="s">
        <v>44</v>
      </c>
      <c r="F202" s="1">
        <v>46049</v>
      </c>
      <c r="G202" s="2" t="s">
        <v>16</v>
      </c>
      <c r="H202" s="2" t="s">
        <v>26</v>
      </c>
      <c r="I202" s="2" t="s">
        <v>34</v>
      </c>
      <c r="J202" s="2" t="s">
        <v>64</v>
      </c>
      <c r="K202" s="2" t="s">
        <v>56</v>
      </c>
      <c r="L202" s="2">
        <v>39</v>
      </c>
      <c r="M202" s="2">
        <v>94</v>
      </c>
      <c r="N202" s="2">
        <v>21717.89</v>
      </c>
      <c r="O202" s="2">
        <v>165.57</v>
      </c>
      <c r="P202" s="2">
        <v>50.95</v>
      </c>
      <c r="Q202" s="2" t="s">
        <v>30</v>
      </c>
      <c r="R202" s="2">
        <v>4</v>
      </c>
    </row>
    <row r="203" spans="1:18" x14ac:dyDescent="0.3">
      <c r="A203" s="2" t="s">
        <v>254</v>
      </c>
      <c r="B203" s="2" t="s">
        <v>17</v>
      </c>
      <c r="E203" s="2" t="s">
        <v>17</v>
      </c>
      <c r="F203" s="1">
        <v>45948</v>
      </c>
      <c r="G203" s="2" t="s">
        <v>54</v>
      </c>
      <c r="H203" s="2" t="s">
        <v>38</v>
      </c>
      <c r="I203" s="2" t="s">
        <v>19</v>
      </c>
      <c r="J203" s="2" t="s">
        <v>35</v>
      </c>
      <c r="K203" s="2" t="s">
        <v>56</v>
      </c>
      <c r="L203" s="2">
        <v>33</v>
      </c>
      <c r="M203" s="2">
        <v>117</v>
      </c>
      <c r="N203" s="2">
        <v>31610.86</v>
      </c>
      <c r="O203" s="2">
        <v>91.63</v>
      </c>
      <c r="P203" s="2">
        <v>182.91</v>
      </c>
      <c r="Q203" s="2" t="s">
        <v>30</v>
      </c>
      <c r="R203" s="2">
        <v>5</v>
      </c>
    </row>
    <row r="204" spans="1:18" x14ac:dyDescent="0.3">
      <c r="A204" s="2" t="s">
        <v>255</v>
      </c>
      <c r="B204" s="2" t="s">
        <v>33</v>
      </c>
      <c r="E204" s="2" t="s">
        <v>33</v>
      </c>
      <c r="F204" s="1">
        <v>46032</v>
      </c>
      <c r="G204" s="2" t="s">
        <v>54</v>
      </c>
      <c r="H204" s="2" t="s">
        <v>18</v>
      </c>
      <c r="I204" s="2" t="s">
        <v>27</v>
      </c>
      <c r="J204" s="2" t="s">
        <v>35</v>
      </c>
      <c r="K204" s="2" t="s">
        <v>52</v>
      </c>
      <c r="L204" s="2">
        <v>62</v>
      </c>
      <c r="M204" s="2">
        <v>11</v>
      </c>
      <c r="N204" s="2">
        <v>11150.2</v>
      </c>
      <c r="O204" s="2">
        <v>95.42</v>
      </c>
      <c r="P204" s="2">
        <v>22.61</v>
      </c>
      <c r="Q204" s="2" t="s">
        <v>30</v>
      </c>
      <c r="R204" s="2">
        <v>4</v>
      </c>
    </row>
    <row r="205" spans="1:18" x14ac:dyDescent="0.3">
      <c r="A205" s="2" t="s">
        <v>256</v>
      </c>
      <c r="B205" s="2" t="s">
        <v>44</v>
      </c>
      <c r="E205" s="2" t="s">
        <v>44</v>
      </c>
      <c r="F205" s="1">
        <v>46009</v>
      </c>
      <c r="G205" s="2" t="s">
        <v>24</v>
      </c>
      <c r="H205" s="2" t="s">
        <v>58</v>
      </c>
      <c r="I205" s="2" t="s">
        <v>27</v>
      </c>
      <c r="J205" s="2" t="s">
        <v>55</v>
      </c>
      <c r="K205" s="2" t="s">
        <v>29</v>
      </c>
      <c r="L205" s="2">
        <v>41</v>
      </c>
      <c r="M205" s="2">
        <v>99</v>
      </c>
      <c r="N205" s="2">
        <v>31559.66</v>
      </c>
      <c r="O205" s="2">
        <v>139.56</v>
      </c>
      <c r="P205" s="2">
        <v>227.24</v>
      </c>
      <c r="Q205" s="2" t="s">
        <v>22</v>
      </c>
      <c r="R205" s="2">
        <v>3</v>
      </c>
    </row>
    <row r="206" spans="1:18" x14ac:dyDescent="0.3">
      <c r="A206" s="2" t="s">
        <v>257</v>
      </c>
      <c r="B206" s="2" t="s">
        <v>37</v>
      </c>
      <c r="E206" s="2" t="s">
        <v>37</v>
      </c>
      <c r="F206" s="1">
        <v>46052</v>
      </c>
      <c r="G206" s="2" t="s">
        <v>32</v>
      </c>
      <c r="H206" s="2" t="s">
        <v>58</v>
      </c>
      <c r="I206" s="2" t="s">
        <v>39</v>
      </c>
      <c r="J206" s="2" t="s">
        <v>55</v>
      </c>
      <c r="K206" s="2" t="s">
        <v>29</v>
      </c>
      <c r="L206" s="2">
        <v>57</v>
      </c>
      <c r="M206" s="2">
        <v>101</v>
      </c>
      <c r="N206" s="2">
        <v>46221.41</v>
      </c>
      <c r="O206" s="2">
        <v>499.93</v>
      </c>
      <c r="P206" s="2">
        <v>227.26</v>
      </c>
      <c r="Q206" s="2" t="s">
        <v>30</v>
      </c>
      <c r="R206" s="2">
        <v>5</v>
      </c>
    </row>
    <row r="207" spans="1:18" x14ac:dyDescent="0.3">
      <c r="A207" s="2" t="s">
        <v>258</v>
      </c>
      <c r="B207" s="2" t="s">
        <v>51</v>
      </c>
      <c r="E207" s="2" t="s">
        <v>51</v>
      </c>
      <c r="F207" s="1">
        <v>46122</v>
      </c>
      <c r="G207" s="2" t="s">
        <v>41</v>
      </c>
      <c r="H207" s="2" t="s">
        <v>58</v>
      </c>
      <c r="I207" s="2" t="s">
        <v>19</v>
      </c>
      <c r="J207" s="2" t="s">
        <v>64</v>
      </c>
      <c r="K207" s="2" t="s">
        <v>56</v>
      </c>
      <c r="L207" s="2">
        <v>47</v>
      </c>
      <c r="M207" s="2">
        <v>42</v>
      </c>
      <c r="N207" s="2">
        <v>49877.15</v>
      </c>
      <c r="O207" s="2">
        <v>50.98</v>
      </c>
      <c r="P207" s="2">
        <v>161.94999999999999</v>
      </c>
      <c r="Q207" s="2" t="s">
        <v>30</v>
      </c>
      <c r="R207" s="2">
        <v>2</v>
      </c>
    </row>
    <row r="208" spans="1:18" x14ac:dyDescent="0.3">
      <c r="A208" s="2" t="s">
        <v>259</v>
      </c>
      <c r="B208" s="2" t="s">
        <v>76</v>
      </c>
      <c r="E208" s="2" t="s">
        <v>76</v>
      </c>
      <c r="F208" s="1">
        <v>45961</v>
      </c>
      <c r="G208" s="2" t="s">
        <v>16</v>
      </c>
      <c r="H208" s="2" t="s">
        <v>26</v>
      </c>
      <c r="I208" s="2" t="s">
        <v>39</v>
      </c>
      <c r="J208" s="2" t="s">
        <v>64</v>
      </c>
      <c r="K208" s="2" t="s">
        <v>56</v>
      </c>
      <c r="L208" s="2">
        <v>72</v>
      </c>
      <c r="M208" s="2">
        <v>13</v>
      </c>
      <c r="N208" s="2">
        <v>2106.33</v>
      </c>
      <c r="O208" s="2">
        <v>337.4</v>
      </c>
      <c r="P208" s="2">
        <v>177.32</v>
      </c>
      <c r="Q208" s="2" t="s">
        <v>30</v>
      </c>
      <c r="R208" s="2">
        <v>5</v>
      </c>
    </row>
    <row r="209" spans="1:18" x14ac:dyDescent="0.3">
      <c r="A209" s="2" t="s">
        <v>260</v>
      </c>
      <c r="B209" s="2" t="s">
        <v>60</v>
      </c>
      <c r="E209" s="2" t="s">
        <v>60</v>
      </c>
      <c r="F209" s="1">
        <v>46190</v>
      </c>
      <c r="G209" s="2" t="s">
        <v>43</v>
      </c>
      <c r="H209" s="2" t="s">
        <v>45</v>
      </c>
      <c r="I209" s="2" t="s">
        <v>68</v>
      </c>
      <c r="J209" s="2" t="s">
        <v>20</v>
      </c>
      <c r="K209" s="2" t="s">
        <v>21</v>
      </c>
      <c r="L209" s="2">
        <v>49</v>
      </c>
      <c r="M209" s="2">
        <v>36</v>
      </c>
      <c r="N209" s="2">
        <v>12161.62</v>
      </c>
      <c r="O209" s="2">
        <v>113.56</v>
      </c>
      <c r="P209" s="2">
        <v>52.61</v>
      </c>
      <c r="Q209" s="2" t="s">
        <v>22</v>
      </c>
      <c r="R209" s="2">
        <v>1</v>
      </c>
    </row>
    <row r="210" spans="1:18" x14ac:dyDescent="0.3">
      <c r="A210" s="2" t="s">
        <v>261</v>
      </c>
      <c r="B210" s="2" t="s">
        <v>67</v>
      </c>
      <c r="E210" s="2" t="s">
        <v>67</v>
      </c>
      <c r="F210" s="1">
        <v>46129</v>
      </c>
      <c r="G210" s="2" t="s">
        <v>16</v>
      </c>
      <c r="H210" s="2" t="s">
        <v>38</v>
      </c>
      <c r="I210" s="2" t="s">
        <v>19</v>
      </c>
      <c r="J210" s="2" t="s">
        <v>20</v>
      </c>
      <c r="K210" s="2" t="s">
        <v>21</v>
      </c>
      <c r="L210" s="2">
        <v>40</v>
      </c>
      <c r="M210" s="2">
        <v>13</v>
      </c>
      <c r="N210" s="2">
        <v>15860.2</v>
      </c>
      <c r="O210" s="2">
        <v>464.28</v>
      </c>
      <c r="P210" s="2">
        <v>44.91</v>
      </c>
      <c r="Q210" s="2" t="s">
        <v>30</v>
      </c>
      <c r="R210" s="2">
        <v>1</v>
      </c>
    </row>
    <row r="211" spans="1:18" x14ac:dyDescent="0.3">
      <c r="A211" s="2" t="s">
        <v>262</v>
      </c>
      <c r="B211" s="2" t="s">
        <v>33</v>
      </c>
      <c r="E211" s="2" t="s">
        <v>33</v>
      </c>
      <c r="F211" s="1">
        <v>46067</v>
      </c>
      <c r="G211" s="2" t="s">
        <v>90</v>
      </c>
      <c r="H211" s="2" t="s">
        <v>18</v>
      </c>
      <c r="I211" s="2" t="s">
        <v>68</v>
      </c>
      <c r="J211" s="2" t="s">
        <v>55</v>
      </c>
      <c r="K211" s="2" t="s">
        <v>56</v>
      </c>
      <c r="L211" s="2">
        <v>45</v>
      </c>
      <c r="M211" s="2">
        <v>12</v>
      </c>
      <c r="N211" s="2">
        <v>20256.740000000002</v>
      </c>
      <c r="O211" s="2">
        <v>92.13</v>
      </c>
      <c r="P211" s="2">
        <v>93.1</v>
      </c>
      <c r="Q211" s="2" t="s">
        <v>22</v>
      </c>
      <c r="R211" s="2">
        <v>4</v>
      </c>
    </row>
    <row r="212" spans="1:18" x14ac:dyDescent="0.3">
      <c r="A212" s="2" t="s">
        <v>263</v>
      </c>
      <c r="B212" s="2" t="s">
        <v>60</v>
      </c>
      <c r="E212" s="2" t="s">
        <v>60</v>
      </c>
      <c r="F212" s="1">
        <v>46135</v>
      </c>
      <c r="G212" s="2" t="s">
        <v>24</v>
      </c>
      <c r="H212" s="2" t="s">
        <v>18</v>
      </c>
      <c r="I212" s="2" t="s">
        <v>39</v>
      </c>
      <c r="J212" s="2" t="s">
        <v>55</v>
      </c>
      <c r="K212" s="2" t="s">
        <v>21</v>
      </c>
      <c r="L212" s="2">
        <v>26</v>
      </c>
      <c r="M212" s="2">
        <v>37</v>
      </c>
      <c r="N212" s="2">
        <v>12491.73</v>
      </c>
      <c r="O212" s="2">
        <v>479.78</v>
      </c>
      <c r="P212" s="2">
        <v>53.02</v>
      </c>
      <c r="Q212" s="2" t="s">
        <v>30</v>
      </c>
      <c r="R212" s="2">
        <v>5</v>
      </c>
    </row>
    <row r="213" spans="1:18" x14ac:dyDescent="0.3">
      <c r="A213" s="2" t="s">
        <v>264</v>
      </c>
      <c r="B213" s="2" t="s">
        <v>76</v>
      </c>
      <c r="E213" s="2" t="s">
        <v>76</v>
      </c>
      <c r="F213" s="1">
        <v>45933</v>
      </c>
      <c r="G213" s="2" t="s">
        <v>32</v>
      </c>
      <c r="H213" s="2" t="s">
        <v>26</v>
      </c>
      <c r="I213" s="2" t="s">
        <v>19</v>
      </c>
      <c r="J213" s="2" t="s">
        <v>20</v>
      </c>
      <c r="K213" s="2" t="s">
        <v>21</v>
      </c>
      <c r="L213" s="2">
        <v>56</v>
      </c>
      <c r="M213" s="2">
        <v>74</v>
      </c>
      <c r="N213" s="2">
        <v>10572.66</v>
      </c>
      <c r="O213" s="2">
        <v>324.92</v>
      </c>
      <c r="P213" s="2">
        <v>146.86000000000001</v>
      </c>
      <c r="Q213" s="2" t="s">
        <v>22</v>
      </c>
      <c r="R213" s="2">
        <v>2</v>
      </c>
    </row>
    <row r="214" spans="1:18" x14ac:dyDescent="0.3">
      <c r="A214" s="2" t="s">
        <v>265</v>
      </c>
      <c r="B214" s="2" t="s">
        <v>49</v>
      </c>
      <c r="E214" s="2" t="s">
        <v>49</v>
      </c>
      <c r="F214" s="1">
        <v>45988</v>
      </c>
      <c r="G214" s="2" t="s">
        <v>43</v>
      </c>
      <c r="H214" s="2" t="s">
        <v>58</v>
      </c>
      <c r="I214" s="2" t="s">
        <v>39</v>
      </c>
      <c r="J214" s="2" t="s">
        <v>20</v>
      </c>
      <c r="K214" s="2" t="s">
        <v>56</v>
      </c>
      <c r="L214" s="2">
        <v>22</v>
      </c>
      <c r="M214" s="2">
        <v>73</v>
      </c>
      <c r="N214" s="2">
        <v>47750.42</v>
      </c>
      <c r="O214" s="2">
        <v>50.57</v>
      </c>
      <c r="P214" s="2">
        <v>127.19</v>
      </c>
      <c r="Q214" s="2" t="s">
        <v>30</v>
      </c>
      <c r="R214" s="2">
        <v>1</v>
      </c>
    </row>
    <row r="215" spans="1:18" x14ac:dyDescent="0.3">
      <c r="A215" s="2" t="s">
        <v>266</v>
      </c>
      <c r="B215" s="2" t="s">
        <v>82</v>
      </c>
      <c r="E215" s="2" t="s">
        <v>82</v>
      </c>
      <c r="F215" s="1">
        <v>45895</v>
      </c>
      <c r="G215" s="2" t="s">
        <v>24</v>
      </c>
      <c r="H215" s="2" t="s">
        <v>26</v>
      </c>
      <c r="I215" s="2" t="s">
        <v>19</v>
      </c>
      <c r="J215" s="2" t="s">
        <v>28</v>
      </c>
      <c r="K215" s="2" t="s">
        <v>56</v>
      </c>
      <c r="L215" s="2">
        <v>42</v>
      </c>
      <c r="M215" s="2">
        <v>52</v>
      </c>
      <c r="N215" s="2">
        <v>45966.82</v>
      </c>
      <c r="O215" s="2">
        <v>452.3</v>
      </c>
      <c r="P215" s="2">
        <v>175</v>
      </c>
      <c r="Q215" s="2" t="s">
        <v>22</v>
      </c>
      <c r="R215" s="2">
        <v>2</v>
      </c>
    </row>
    <row r="216" spans="1:18" x14ac:dyDescent="0.3">
      <c r="A216" s="2" t="s">
        <v>267</v>
      </c>
      <c r="B216" s="2" t="s">
        <v>37</v>
      </c>
      <c r="E216" s="2" t="s">
        <v>37</v>
      </c>
      <c r="F216" s="1">
        <v>46046</v>
      </c>
      <c r="G216" s="2" t="s">
        <v>74</v>
      </c>
      <c r="H216" s="2" t="s">
        <v>45</v>
      </c>
      <c r="I216" s="2" t="s">
        <v>39</v>
      </c>
      <c r="J216" s="2" t="s">
        <v>28</v>
      </c>
      <c r="K216" s="2" t="s">
        <v>29</v>
      </c>
      <c r="L216" s="2">
        <v>52</v>
      </c>
      <c r="M216" s="2">
        <v>71</v>
      </c>
      <c r="N216" s="2">
        <v>2826.13</v>
      </c>
      <c r="O216" s="2">
        <v>284.77</v>
      </c>
      <c r="P216" s="2">
        <v>24.83</v>
      </c>
      <c r="Q216" s="2" t="s">
        <v>30</v>
      </c>
      <c r="R216" s="2">
        <v>3</v>
      </c>
    </row>
    <row r="217" spans="1:18" x14ac:dyDescent="0.3">
      <c r="A217" s="2" t="s">
        <v>268</v>
      </c>
      <c r="B217" s="2" t="s">
        <v>76</v>
      </c>
      <c r="E217" s="2" t="s">
        <v>76</v>
      </c>
      <c r="F217" s="1">
        <v>45946</v>
      </c>
      <c r="G217" s="2" t="s">
        <v>32</v>
      </c>
      <c r="H217" s="2" t="s">
        <v>45</v>
      </c>
      <c r="I217" s="2" t="s">
        <v>27</v>
      </c>
      <c r="J217" s="2" t="s">
        <v>20</v>
      </c>
      <c r="K217" s="2" t="s">
        <v>56</v>
      </c>
      <c r="L217" s="2">
        <v>36</v>
      </c>
      <c r="M217" s="2">
        <v>2</v>
      </c>
      <c r="N217" s="2">
        <v>17271.240000000002</v>
      </c>
      <c r="O217" s="2">
        <v>168.2</v>
      </c>
      <c r="P217" s="2">
        <v>183.02</v>
      </c>
      <c r="Q217" s="2" t="s">
        <v>30</v>
      </c>
      <c r="R217" s="2">
        <v>1</v>
      </c>
    </row>
    <row r="218" spans="1:18" x14ac:dyDescent="0.3">
      <c r="A218" s="2" t="s">
        <v>269</v>
      </c>
      <c r="B218" s="2" t="s">
        <v>37</v>
      </c>
      <c r="E218" s="2" t="s">
        <v>37</v>
      </c>
      <c r="F218" s="1">
        <v>45975</v>
      </c>
      <c r="G218" s="2" t="s">
        <v>16</v>
      </c>
      <c r="H218" s="2" t="s">
        <v>38</v>
      </c>
      <c r="I218" s="2" t="s">
        <v>39</v>
      </c>
      <c r="J218" s="2" t="s">
        <v>28</v>
      </c>
      <c r="K218" s="2" t="s">
        <v>56</v>
      </c>
      <c r="L218" s="2">
        <v>38</v>
      </c>
      <c r="M218" s="2">
        <v>118</v>
      </c>
      <c r="N218" s="2">
        <v>20554.849999999999</v>
      </c>
      <c r="O218" s="2">
        <v>395.28</v>
      </c>
      <c r="P218" s="2">
        <v>58.67</v>
      </c>
      <c r="Q218" s="2" t="s">
        <v>22</v>
      </c>
      <c r="R218" s="2">
        <v>4</v>
      </c>
    </row>
    <row r="219" spans="1:18" x14ac:dyDescent="0.3">
      <c r="A219" s="2" t="s">
        <v>270</v>
      </c>
      <c r="B219" s="2" t="s">
        <v>25</v>
      </c>
      <c r="E219" s="2" t="s">
        <v>25</v>
      </c>
      <c r="F219" s="1">
        <v>45998</v>
      </c>
      <c r="G219" s="2" t="s">
        <v>16</v>
      </c>
      <c r="H219" s="2" t="s">
        <v>38</v>
      </c>
      <c r="I219" s="2" t="s">
        <v>27</v>
      </c>
      <c r="J219" s="2" t="s">
        <v>35</v>
      </c>
      <c r="K219" s="2" t="s">
        <v>52</v>
      </c>
      <c r="L219" s="2">
        <v>25</v>
      </c>
      <c r="M219" s="2">
        <v>56</v>
      </c>
      <c r="N219" s="2">
        <v>12331.22</v>
      </c>
      <c r="O219" s="2">
        <v>467</v>
      </c>
      <c r="P219" s="2">
        <v>98.14</v>
      </c>
      <c r="Q219" s="2" t="s">
        <v>30</v>
      </c>
      <c r="R219" s="2">
        <v>3</v>
      </c>
    </row>
    <row r="220" spans="1:18" x14ac:dyDescent="0.3">
      <c r="A220" s="2" t="s">
        <v>271</v>
      </c>
      <c r="B220" s="2" t="s">
        <v>37</v>
      </c>
      <c r="E220" s="2" t="s">
        <v>37</v>
      </c>
      <c r="F220" s="1">
        <v>46226</v>
      </c>
      <c r="G220" s="2" t="s">
        <v>32</v>
      </c>
      <c r="H220" s="2" t="s">
        <v>45</v>
      </c>
      <c r="I220" s="2" t="s">
        <v>39</v>
      </c>
      <c r="J220" s="2" t="s">
        <v>55</v>
      </c>
      <c r="K220" s="2" t="s">
        <v>29</v>
      </c>
      <c r="L220" s="2">
        <v>74</v>
      </c>
      <c r="M220" s="2">
        <v>60</v>
      </c>
      <c r="N220" s="2">
        <v>31629.21</v>
      </c>
      <c r="O220" s="2">
        <v>267.66000000000003</v>
      </c>
      <c r="P220" s="2">
        <v>131.58000000000001</v>
      </c>
      <c r="Q220" s="2" t="s">
        <v>22</v>
      </c>
      <c r="R220" s="2">
        <v>5</v>
      </c>
    </row>
    <row r="221" spans="1:18" x14ac:dyDescent="0.3">
      <c r="A221" s="2" t="s">
        <v>272</v>
      </c>
      <c r="B221" s="2" t="s">
        <v>17</v>
      </c>
      <c r="E221" s="2" t="s">
        <v>17</v>
      </c>
      <c r="F221" s="1">
        <v>45947</v>
      </c>
      <c r="G221" s="2" t="s">
        <v>16</v>
      </c>
      <c r="H221" s="2" t="s">
        <v>45</v>
      </c>
      <c r="I221" s="2" t="s">
        <v>19</v>
      </c>
      <c r="J221" s="2" t="s">
        <v>55</v>
      </c>
      <c r="K221" s="2" t="s">
        <v>29</v>
      </c>
      <c r="L221" s="2">
        <v>56</v>
      </c>
      <c r="M221" s="2">
        <v>23</v>
      </c>
      <c r="N221" s="2">
        <v>32198.85</v>
      </c>
      <c r="O221" s="2">
        <v>192</v>
      </c>
      <c r="P221" s="2">
        <v>228.09</v>
      </c>
      <c r="Q221" s="2" t="s">
        <v>30</v>
      </c>
      <c r="R221" s="2">
        <v>2</v>
      </c>
    </row>
    <row r="222" spans="1:18" x14ac:dyDescent="0.3">
      <c r="A222" s="2" t="s">
        <v>273</v>
      </c>
      <c r="B222" s="2" t="s">
        <v>25</v>
      </c>
      <c r="E222" s="2" t="s">
        <v>25</v>
      </c>
      <c r="F222" s="1">
        <v>46101</v>
      </c>
      <c r="G222" s="2" t="s">
        <v>41</v>
      </c>
      <c r="H222" s="2" t="s">
        <v>45</v>
      </c>
      <c r="I222" s="2" t="s">
        <v>19</v>
      </c>
      <c r="J222" s="2" t="s">
        <v>20</v>
      </c>
      <c r="K222" s="2" t="s">
        <v>29</v>
      </c>
      <c r="L222" s="2">
        <v>50</v>
      </c>
      <c r="M222" s="2">
        <v>103</v>
      </c>
      <c r="N222" s="2">
        <v>42599.96</v>
      </c>
      <c r="O222" s="2">
        <v>405.03</v>
      </c>
      <c r="P222" s="2">
        <v>126.1</v>
      </c>
      <c r="Q222" s="2" t="s">
        <v>22</v>
      </c>
      <c r="R222" s="2">
        <v>1</v>
      </c>
    </row>
    <row r="223" spans="1:18" x14ac:dyDescent="0.3">
      <c r="A223" s="2" t="s">
        <v>274</v>
      </c>
      <c r="B223" s="2" t="s">
        <v>78</v>
      </c>
      <c r="E223" s="2" t="s">
        <v>78</v>
      </c>
      <c r="F223" s="1">
        <v>46084</v>
      </c>
      <c r="G223" s="2" t="s">
        <v>32</v>
      </c>
      <c r="H223" s="2" t="s">
        <v>26</v>
      </c>
      <c r="I223" s="2" t="s">
        <v>19</v>
      </c>
      <c r="J223" s="2" t="s">
        <v>64</v>
      </c>
      <c r="K223" s="2" t="s">
        <v>52</v>
      </c>
      <c r="L223" s="2">
        <v>65</v>
      </c>
      <c r="M223" s="2">
        <v>40</v>
      </c>
      <c r="N223" s="2">
        <v>37173.03</v>
      </c>
      <c r="O223" s="2">
        <v>356.8</v>
      </c>
      <c r="P223" s="2">
        <v>188.71</v>
      </c>
      <c r="Q223" s="2" t="s">
        <v>22</v>
      </c>
      <c r="R223" s="2">
        <v>3</v>
      </c>
    </row>
    <row r="224" spans="1:18" x14ac:dyDescent="0.3">
      <c r="A224" s="2" t="s">
        <v>275</v>
      </c>
      <c r="B224" s="2" t="s">
        <v>60</v>
      </c>
      <c r="E224" s="2" t="s">
        <v>60</v>
      </c>
      <c r="F224" s="1">
        <v>46156</v>
      </c>
      <c r="G224" s="2" t="s">
        <v>24</v>
      </c>
      <c r="H224" s="2" t="s">
        <v>45</v>
      </c>
      <c r="I224" s="2" t="s">
        <v>34</v>
      </c>
      <c r="J224" s="2" t="s">
        <v>20</v>
      </c>
      <c r="K224" s="2" t="s">
        <v>56</v>
      </c>
      <c r="L224" s="2">
        <v>39</v>
      </c>
      <c r="M224" s="2">
        <v>64</v>
      </c>
      <c r="N224" s="2">
        <v>27357.38</v>
      </c>
      <c r="O224" s="2">
        <v>449.94</v>
      </c>
      <c r="P224" s="2">
        <v>180.51</v>
      </c>
      <c r="Q224" s="2" t="s">
        <v>22</v>
      </c>
      <c r="R224" s="2">
        <v>3</v>
      </c>
    </row>
    <row r="225" spans="1:18" x14ac:dyDescent="0.3">
      <c r="A225" s="2" t="s">
        <v>276</v>
      </c>
      <c r="B225" s="2" t="s">
        <v>82</v>
      </c>
      <c r="E225" s="2" t="s">
        <v>82</v>
      </c>
      <c r="F225" s="1">
        <v>46091</v>
      </c>
      <c r="G225" s="2" t="s">
        <v>32</v>
      </c>
      <c r="H225" s="2" t="s">
        <v>18</v>
      </c>
      <c r="I225" s="2" t="s">
        <v>68</v>
      </c>
      <c r="J225" s="2" t="s">
        <v>28</v>
      </c>
      <c r="K225" s="2" t="s">
        <v>29</v>
      </c>
      <c r="L225" s="2">
        <v>43</v>
      </c>
      <c r="M225" s="2">
        <v>103</v>
      </c>
      <c r="N225" s="2">
        <v>32852.550000000003</v>
      </c>
      <c r="O225" s="2">
        <v>361.63</v>
      </c>
      <c r="P225" s="2">
        <v>261.64</v>
      </c>
      <c r="Q225" s="2" t="s">
        <v>22</v>
      </c>
      <c r="R225" s="2">
        <v>1</v>
      </c>
    </row>
    <row r="226" spans="1:18" x14ac:dyDescent="0.3">
      <c r="A226" s="2" t="s">
        <v>277</v>
      </c>
      <c r="B226" s="2" t="s">
        <v>25</v>
      </c>
      <c r="E226" s="2" t="s">
        <v>25</v>
      </c>
      <c r="F226" s="1">
        <v>45998</v>
      </c>
      <c r="G226" s="2" t="s">
        <v>43</v>
      </c>
      <c r="H226" s="2" t="s">
        <v>58</v>
      </c>
      <c r="I226" s="2" t="s">
        <v>19</v>
      </c>
      <c r="J226" s="2" t="s">
        <v>64</v>
      </c>
      <c r="K226" s="2" t="s">
        <v>29</v>
      </c>
      <c r="L226" s="2">
        <v>54</v>
      </c>
      <c r="M226" s="2">
        <v>85</v>
      </c>
      <c r="N226" s="2">
        <v>14062.44</v>
      </c>
      <c r="O226" s="2">
        <v>159.59</v>
      </c>
      <c r="P226" s="2">
        <v>21.38</v>
      </c>
      <c r="Q226" s="2" t="s">
        <v>22</v>
      </c>
      <c r="R226" s="2">
        <v>5</v>
      </c>
    </row>
    <row r="227" spans="1:18" x14ac:dyDescent="0.3">
      <c r="A227" s="2" t="s">
        <v>278</v>
      </c>
      <c r="B227" s="2" t="s">
        <v>49</v>
      </c>
      <c r="E227" s="2" t="s">
        <v>49</v>
      </c>
      <c r="F227" s="1">
        <v>46182</v>
      </c>
      <c r="G227" s="2" t="s">
        <v>16</v>
      </c>
      <c r="H227" s="2" t="s">
        <v>45</v>
      </c>
      <c r="I227" s="2" t="s">
        <v>27</v>
      </c>
      <c r="J227" s="2" t="s">
        <v>28</v>
      </c>
      <c r="K227" s="2" t="s">
        <v>21</v>
      </c>
      <c r="L227" s="2">
        <v>33</v>
      </c>
      <c r="M227" s="2">
        <v>23</v>
      </c>
      <c r="N227" s="2">
        <v>29856.28</v>
      </c>
      <c r="O227" s="2">
        <v>469.25</v>
      </c>
      <c r="P227" s="2">
        <v>170.85</v>
      </c>
      <c r="Q227" s="2" t="s">
        <v>22</v>
      </c>
      <c r="R227" s="2">
        <v>5</v>
      </c>
    </row>
    <row r="228" spans="1:18" x14ac:dyDescent="0.3">
      <c r="A228" s="2" t="s">
        <v>279</v>
      </c>
      <c r="B228" s="2" t="s">
        <v>33</v>
      </c>
      <c r="E228" s="2" t="s">
        <v>33</v>
      </c>
      <c r="F228" s="1">
        <v>46025</v>
      </c>
      <c r="G228" s="2" t="s">
        <v>41</v>
      </c>
      <c r="H228" s="2" t="s">
        <v>58</v>
      </c>
      <c r="I228" s="2" t="s">
        <v>19</v>
      </c>
      <c r="J228" s="2" t="s">
        <v>35</v>
      </c>
      <c r="K228" s="2" t="s">
        <v>29</v>
      </c>
      <c r="L228" s="2">
        <v>63</v>
      </c>
      <c r="M228" s="2">
        <v>29</v>
      </c>
      <c r="N228" s="2">
        <v>24716.75</v>
      </c>
      <c r="O228" s="2">
        <v>97.18</v>
      </c>
      <c r="P228" s="2">
        <v>234.5</v>
      </c>
      <c r="Q228" s="2" t="s">
        <v>30</v>
      </c>
      <c r="R228" s="2">
        <v>4</v>
      </c>
    </row>
    <row r="229" spans="1:18" x14ac:dyDescent="0.3">
      <c r="A229" s="2" t="s">
        <v>280</v>
      </c>
      <c r="B229" s="2" t="s">
        <v>76</v>
      </c>
      <c r="E229" s="2" t="s">
        <v>76</v>
      </c>
      <c r="F229" s="1">
        <v>45881</v>
      </c>
      <c r="G229" s="2" t="s">
        <v>41</v>
      </c>
      <c r="H229" s="2" t="s">
        <v>26</v>
      </c>
      <c r="I229" s="2" t="s">
        <v>34</v>
      </c>
      <c r="J229" s="2" t="s">
        <v>28</v>
      </c>
      <c r="K229" s="2" t="s">
        <v>56</v>
      </c>
      <c r="L229" s="2">
        <v>74</v>
      </c>
      <c r="M229" s="2">
        <v>78</v>
      </c>
      <c r="N229" s="2">
        <v>7100.55</v>
      </c>
      <c r="O229" s="2">
        <v>170.57</v>
      </c>
      <c r="P229" s="2">
        <v>20.7</v>
      </c>
      <c r="Q229" s="2" t="s">
        <v>30</v>
      </c>
      <c r="R229" s="2">
        <v>5</v>
      </c>
    </row>
    <row r="230" spans="1:18" x14ac:dyDescent="0.3">
      <c r="A230" s="2" t="s">
        <v>281</v>
      </c>
      <c r="B230" s="2" t="s">
        <v>47</v>
      </c>
      <c r="E230" s="2" t="s">
        <v>47</v>
      </c>
      <c r="F230" s="1">
        <v>46214</v>
      </c>
      <c r="G230" s="2" t="s">
        <v>74</v>
      </c>
      <c r="H230" s="2" t="s">
        <v>58</v>
      </c>
      <c r="I230" s="2" t="s">
        <v>27</v>
      </c>
      <c r="J230" s="2" t="s">
        <v>35</v>
      </c>
      <c r="K230" s="2" t="s">
        <v>56</v>
      </c>
      <c r="L230" s="2">
        <v>49</v>
      </c>
      <c r="M230" s="2">
        <v>90</v>
      </c>
      <c r="N230" s="2">
        <v>12505.94</v>
      </c>
      <c r="O230" s="2">
        <v>284.08999999999997</v>
      </c>
      <c r="P230" s="2">
        <v>21.48</v>
      </c>
      <c r="Q230" s="2" t="s">
        <v>22</v>
      </c>
      <c r="R230" s="2">
        <v>4</v>
      </c>
    </row>
    <row r="231" spans="1:18" x14ac:dyDescent="0.3">
      <c r="A231" s="2" t="s">
        <v>282</v>
      </c>
      <c r="B231" s="2" t="s">
        <v>33</v>
      </c>
      <c r="E231" s="2" t="s">
        <v>33</v>
      </c>
      <c r="F231" s="1">
        <v>45955</v>
      </c>
      <c r="G231" s="2" t="s">
        <v>24</v>
      </c>
      <c r="H231" s="2" t="s">
        <v>26</v>
      </c>
      <c r="I231" s="2" t="s">
        <v>34</v>
      </c>
      <c r="J231" s="2" t="s">
        <v>35</v>
      </c>
      <c r="K231" s="2" t="s">
        <v>21</v>
      </c>
      <c r="L231" s="2">
        <v>56</v>
      </c>
      <c r="M231" s="2">
        <v>51</v>
      </c>
      <c r="N231" s="2">
        <v>14938.83</v>
      </c>
      <c r="O231" s="2">
        <v>304.58</v>
      </c>
      <c r="P231" s="2">
        <v>20.23</v>
      </c>
      <c r="Q231" s="2" t="s">
        <v>22</v>
      </c>
      <c r="R231" s="2">
        <v>3</v>
      </c>
    </row>
    <row r="232" spans="1:18" x14ac:dyDescent="0.3">
      <c r="A232" s="2" t="s">
        <v>283</v>
      </c>
      <c r="B232" s="2" t="s">
        <v>78</v>
      </c>
      <c r="E232" s="2" t="s">
        <v>78</v>
      </c>
      <c r="F232" s="1">
        <v>46207</v>
      </c>
      <c r="G232" s="2" t="s">
        <v>54</v>
      </c>
      <c r="H232" s="2" t="s">
        <v>18</v>
      </c>
      <c r="I232" s="2" t="s">
        <v>27</v>
      </c>
      <c r="J232" s="2" t="s">
        <v>28</v>
      </c>
      <c r="K232" s="2" t="s">
        <v>29</v>
      </c>
      <c r="L232" s="2">
        <v>42</v>
      </c>
      <c r="M232" s="2">
        <v>69</v>
      </c>
      <c r="N232" s="2">
        <v>46253.32</v>
      </c>
      <c r="O232" s="2">
        <v>56.89</v>
      </c>
      <c r="P232" s="2">
        <v>3.4</v>
      </c>
      <c r="Q232" s="2" t="s">
        <v>22</v>
      </c>
      <c r="R232" s="2">
        <v>1</v>
      </c>
    </row>
    <row r="233" spans="1:18" x14ac:dyDescent="0.3">
      <c r="A233" s="2" t="s">
        <v>284</v>
      </c>
      <c r="B233" s="2" t="s">
        <v>33</v>
      </c>
      <c r="E233" s="2" t="s">
        <v>33</v>
      </c>
      <c r="F233" s="1">
        <v>46109</v>
      </c>
      <c r="G233" s="2" t="s">
        <v>54</v>
      </c>
      <c r="H233" s="2" t="s">
        <v>26</v>
      </c>
      <c r="I233" s="2" t="s">
        <v>39</v>
      </c>
      <c r="J233" s="2" t="s">
        <v>28</v>
      </c>
      <c r="K233" s="2" t="s">
        <v>29</v>
      </c>
      <c r="L233" s="2">
        <v>72</v>
      </c>
      <c r="M233" s="2">
        <v>119</v>
      </c>
      <c r="N233" s="2">
        <v>11904.14</v>
      </c>
      <c r="O233" s="2">
        <v>401.26</v>
      </c>
      <c r="P233" s="2">
        <v>164.6</v>
      </c>
      <c r="Q233" s="2" t="s">
        <v>22</v>
      </c>
      <c r="R233" s="2">
        <v>5</v>
      </c>
    </row>
    <row r="234" spans="1:18" x14ac:dyDescent="0.3">
      <c r="A234" s="2" t="s">
        <v>285</v>
      </c>
      <c r="B234" s="2" t="s">
        <v>62</v>
      </c>
      <c r="E234" s="2" t="s">
        <v>62</v>
      </c>
      <c r="F234" s="1">
        <v>46153</v>
      </c>
      <c r="G234" s="2" t="s">
        <v>32</v>
      </c>
      <c r="H234" s="2" t="s">
        <v>26</v>
      </c>
      <c r="I234" s="2" t="s">
        <v>68</v>
      </c>
      <c r="J234" s="2" t="s">
        <v>35</v>
      </c>
      <c r="K234" s="2" t="s">
        <v>29</v>
      </c>
      <c r="L234" s="2">
        <v>72</v>
      </c>
      <c r="M234" s="2">
        <v>95</v>
      </c>
      <c r="N234" s="2">
        <v>14817.57</v>
      </c>
      <c r="O234" s="2">
        <v>212.72</v>
      </c>
      <c r="P234" s="2">
        <v>292.02</v>
      </c>
      <c r="Q234" s="2" t="s">
        <v>22</v>
      </c>
      <c r="R234" s="2">
        <v>4</v>
      </c>
    </row>
    <row r="235" spans="1:18" x14ac:dyDescent="0.3">
      <c r="A235" s="2" t="s">
        <v>286</v>
      </c>
      <c r="B235" s="2" t="s">
        <v>49</v>
      </c>
      <c r="E235" s="2" t="s">
        <v>49</v>
      </c>
      <c r="F235" s="1">
        <v>46090</v>
      </c>
      <c r="G235" s="2" t="s">
        <v>74</v>
      </c>
      <c r="H235" s="2" t="s">
        <v>38</v>
      </c>
      <c r="I235" s="2" t="s">
        <v>68</v>
      </c>
      <c r="J235" s="2" t="s">
        <v>64</v>
      </c>
      <c r="K235" s="2" t="s">
        <v>52</v>
      </c>
      <c r="L235" s="2">
        <v>67</v>
      </c>
      <c r="M235" s="2">
        <v>89</v>
      </c>
      <c r="N235" s="2">
        <v>18783.03</v>
      </c>
      <c r="O235" s="2">
        <v>232.89</v>
      </c>
      <c r="P235" s="2">
        <v>87.74</v>
      </c>
      <c r="Q235" s="2" t="s">
        <v>30</v>
      </c>
      <c r="R235" s="2">
        <v>3</v>
      </c>
    </row>
    <row r="236" spans="1:18" x14ac:dyDescent="0.3">
      <c r="A236" s="2" t="s">
        <v>287</v>
      </c>
      <c r="B236" s="2" t="s">
        <v>47</v>
      </c>
      <c r="E236" s="2" t="s">
        <v>47</v>
      </c>
      <c r="F236" s="1">
        <v>46041</v>
      </c>
      <c r="G236" s="2" t="s">
        <v>90</v>
      </c>
      <c r="H236" s="2" t="s">
        <v>45</v>
      </c>
      <c r="I236" s="2" t="s">
        <v>34</v>
      </c>
      <c r="J236" s="2" t="s">
        <v>35</v>
      </c>
      <c r="K236" s="2" t="s">
        <v>29</v>
      </c>
      <c r="L236" s="2">
        <v>56</v>
      </c>
      <c r="M236" s="2">
        <v>31</v>
      </c>
      <c r="N236" s="2">
        <v>33355.269999999997</v>
      </c>
      <c r="O236" s="2">
        <v>414.22</v>
      </c>
      <c r="P236" s="2">
        <v>162.22999999999999</v>
      </c>
      <c r="Q236" s="2" t="s">
        <v>30</v>
      </c>
      <c r="R236" s="2">
        <v>5</v>
      </c>
    </row>
    <row r="237" spans="1:18" x14ac:dyDescent="0.3">
      <c r="A237" s="2" t="s">
        <v>288</v>
      </c>
      <c r="B237" s="2" t="s">
        <v>25</v>
      </c>
      <c r="E237" s="2" t="s">
        <v>25</v>
      </c>
      <c r="F237" s="1">
        <v>46101</v>
      </c>
      <c r="G237" s="2" t="s">
        <v>32</v>
      </c>
      <c r="H237" s="2" t="s">
        <v>45</v>
      </c>
      <c r="I237" s="2" t="s">
        <v>68</v>
      </c>
      <c r="J237" s="2" t="s">
        <v>55</v>
      </c>
      <c r="K237" s="2" t="s">
        <v>56</v>
      </c>
      <c r="L237" s="2">
        <v>29</v>
      </c>
      <c r="M237" s="2">
        <v>50</v>
      </c>
      <c r="N237" s="2">
        <v>6352.8</v>
      </c>
      <c r="O237" s="2">
        <v>220.68</v>
      </c>
      <c r="P237" s="2">
        <v>193.59</v>
      </c>
      <c r="Q237" s="2" t="s">
        <v>30</v>
      </c>
      <c r="R237" s="2">
        <v>2</v>
      </c>
    </row>
    <row r="238" spans="1:18" x14ac:dyDescent="0.3">
      <c r="A238" s="2" t="s">
        <v>289</v>
      </c>
      <c r="B238" s="2" t="s">
        <v>25</v>
      </c>
      <c r="E238" s="2" t="s">
        <v>25</v>
      </c>
      <c r="F238" s="1">
        <v>46142</v>
      </c>
      <c r="G238" s="2" t="s">
        <v>74</v>
      </c>
      <c r="H238" s="2" t="s">
        <v>18</v>
      </c>
      <c r="I238" s="2" t="s">
        <v>34</v>
      </c>
      <c r="J238" s="2" t="s">
        <v>35</v>
      </c>
      <c r="K238" s="2" t="s">
        <v>56</v>
      </c>
      <c r="L238" s="2">
        <v>59</v>
      </c>
      <c r="M238" s="2">
        <v>20</v>
      </c>
      <c r="N238" s="2">
        <v>47720.29</v>
      </c>
      <c r="O238" s="2">
        <v>71.25</v>
      </c>
      <c r="P238" s="2">
        <v>51.04</v>
      </c>
      <c r="Q238" s="2" t="s">
        <v>30</v>
      </c>
      <c r="R238" s="2">
        <v>3</v>
      </c>
    </row>
    <row r="239" spans="1:18" x14ac:dyDescent="0.3">
      <c r="A239" s="2" t="s">
        <v>290</v>
      </c>
      <c r="B239" s="2" t="s">
        <v>25</v>
      </c>
      <c r="E239" s="2" t="s">
        <v>25</v>
      </c>
      <c r="F239" s="1">
        <v>45913</v>
      </c>
      <c r="G239" s="2" t="s">
        <v>24</v>
      </c>
      <c r="H239" s="2" t="s">
        <v>18</v>
      </c>
      <c r="I239" s="2" t="s">
        <v>34</v>
      </c>
      <c r="J239" s="2" t="s">
        <v>64</v>
      </c>
      <c r="K239" s="2" t="s">
        <v>52</v>
      </c>
      <c r="L239" s="2">
        <v>71</v>
      </c>
      <c r="M239" s="2">
        <v>108</v>
      </c>
      <c r="N239" s="2">
        <v>43345.78</v>
      </c>
      <c r="O239" s="2">
        <v>129.4</v>
      </c>
      <c r="P239" s="2">
        <v>171.69</v>
      </c>
      <c r="Q239" s="2" t="s">
        <v>30</v>
      </c>
      <c r="R239" s="2">
        <v>5</v>
      </c>
    </row>
    <row r="240" spans="1:18" x14ac:dyDescent="0.3">
      <c r="A240" s="2" t="s">
        <v>291</v>
      </c>
      <c r="B240" s="2" t="s">
        <v>78</v>
      </c>
      <c r="E240" s="2" t="s">
        <v>78</v>
      </c>
      <c r="F240" s="1">
        <v>46224</v>
      </c>
      <c r="G240" s="2" t="s">
        <v>24</v>
      </c>
      <c r="H240" s="2" t="s">
        <v>45</v>
      </c>
      <c r="I240" s="2" t="s">
        <v>34</v>
      </c>
      <c r="J240" s="2" t="s">
        <v>55</v>
      </c>
      <c r="K240" s="2" t="s">
        <v>52</v>
      </c>
      <c r="L240" s="2">
        <v>39</v>
      </c>
      <c r="M240" s="2">
        <v>55</v>
      </c>
      <c r="N240" s="2">
        <v>29072.2</v>
      </c>
      <c r="O240" s="2">
        <v>480.16</v>
      </c>
      <c r="P240" s="2">
        <v>109.28</v>
      </c>
      <c r="Q240" s="2" t="s">
        <v>22</v>
      </c>
      <c r="R240" s="2">
        <v>3</v>
      </c>
    </row>
    <row r="241" spans="1:18" x14ac:dyDescent="0.3">
      <c r="A241" s="2" t="s">
        <v>292</v>
      </c>
      <c r="B241" s="2" t="s">
        <v>17</v>
      </c>
      <c r="E241" s="2" t="s">
        <v>17</v>
      </c>
      <c r="F241" s="1">
        <v>45994</v>
      </c>
      <c r="G241" s="2" t="s">
        <v>24</v>
      </c>
      <c r="H241" s="2" t="s">
        <v>38</v>
      </c>
      <c r="I241" s="2" t="s">
        <v>68</v>
      </c>
      <c r="J241" s="2" t="s">
        <v>20</v>
      </c>
      <c r="K241" s="2" t="s">
        <v>29</v>
      </c>
      <c r="L241" s="2">
        <v>58</v>
      </c>
      <c r="M241" s="2">
        <v>81</v>
      </c>
      <c r="N241" s="2">
        <v>33864.870000000003</v>
      </c>
      <c r="O241" s="2">
        <v>81.680000000000007</v>
      </c>
      <c r="P241" s="2">
        <v>170.85</v>
      </c>
      <c r="Q241" s="2" t="s">
        <v>22</v>
      </c>
      <c r="R241" s="2">
        <v>1</v>
      </c>
    </row>
    <row r="242" spans="1:18" x14ac:dyDescent="0.3">
      <c r="A242" s="2" t="s">
        <v>293</v>
      </c>
      <c r="B242" s="2" t="s">
        <v>60</v>
      </c>
      <c r="E242" s="2" t="s">
        <v>60</v>
      </c>
      <c r="F242" s="1">
        <v>46168</v>
      </c>
      <c r="G242" s="2" t="s">
        <v>24</v>
      </c>
      <c r="H242" s="2" t="s">
        <v>45</v>
      </c>
      <c r="I242" s="2" t="s">
        <v>34</v>
      </c>
      <c r="J242" s="2" t="s">
        <v>20</v>
      </c>
      <c r="K242" s="2" t="s">
        <v>21</v>
      </c>
      <c r="L242" s="2">
        <v>26</v>
      </c>
      <c r="M242" s="2">
        <v>109</v>
      </c>
      <c r="N242" s="2">
        <v>1324.69</v>
      </c>
      <c r="O242" s="2">
        <v>209.72</v>
      </c>
      <c r="P242" s="2">
        <v>68.63</v>
      </c>
      <c r="Q242" s="2" t="s">
        <v>30</v>
      </c>
      <c r="R242" s="2">
        <v>1</v>
      </c>
    </row>
    <row r="243" spans="1:18" x14ac:dyDescent="0.3">
      <c r="A243" s="2" t="s">
        <v>294</v>
      </c>
      <c r="B243" s="2" t="s">
        <v>76</v>
      </c>
      <c r="E243" s="2" t="s">
        <v>76</v>
      </c>
      <c r="F243" s="1">
        <v>46125</v>
      </c>
      <c r="G243" s="2" t="s">
        <v>24</v>
      </c>
      <c r="H243" s="2" t="s">
        <v>38</v>
      </c>
      <c r="I243" s="2" t="s">
        <v>68</v>
      </c>
      <c r="J243" s="2" t="s">
        <v>64</v>
      </c>
      <c r="K243" s="2" t="s">
        <v>52</v>
      </c>
      <c r="L243" s="2">
        <v>72</v>
      </c>
      <c r="M243" s="2">
        <v>2</v>
      </c>
      <c r="N243" s="2">
        <v>17277.77</v>
      </c>
      <c r="O243" s="2">
        <v>276.43</v>
      </c>
      <c r="P243" s="2">
        <v>112.32</v>
      </c>
      <c r="Q243" s="2" t="s">
        <v>30</v>
      </c>
      <c r="R243" s="2">
        <v>1</v>
      </c>
    </row>
    <row r="244" spans="1:18" x14ac:dyDescent="0.3">
      <c r="A244" s="2" t="s">
        <v>295</v>
      </c>
      <c r="B244" s="2" t="s">
        <v>51</v>
      </c>
      <c r="E244" s="2" t="s">
        <v>51</v>
      </c>
      <c r="F244" s="1">
        <v>46042</v>
      </c>
      <c r="G244" s="2" t="s">
        <v>74</v>
      </c>
      <c r="H244" s="2" t="s">
        <v>18</v>
      </c>
      <c r="I244" s="2" t="s">
        <v>34</v>
      </c>
      <c r="J244" s="2" t="s">
        <v>35</v>
      </c>
      <c r="K244" s="2" t="s">
        <v>52</v>
      </c>
      <c r="L244" s="2">
        <v>67</v>
      </c>
      <c r="M244" s="2">
        <v>25</v>
      </c>
      <c r="N244" s="2">
        <v>39885.18</v>
      </c>
      <c r="O244" s="2">
        <v>271.98</v>
      </c>
      <c r="P244" s="2">
        <v>14.63</v>
      </c>
      <c r="Q244" s="2" t="s">
        <v>30</v>
      </c>
      <c r="R244" s="2">
        <v>2</v>
      </c>
    </row>
    <row r="245" spans="1:18" x14ac:dyDescent="0.3">
      <c r="A245" s="2" t="s">
        <v>296</v>
      </c>
      <c r="B245" s="2" t="s">
        <v>86</v>
      </c>
      <c r="E245" s="2" t="s">
        <v>86</v>
      </c>
      <c r="F245" s="1">
        <v>46021</v>
      </c>
      <c r="G245" s="2" t="s">
        <v>74</v>
      </c>
      <c r="H245" s="2" t="s">
        <v>58</v>
      </c>
      <c r="I245" s="2" t="s">
        <v>19</v>
      </c>
      <c r="J245" s="2" t="s">
        <v>28</v>
      </c>
      <c r="K245" s="2" t="s">
        <v>29</v>
      </c>
      <c r="L245" s="2">
        <v>35</v>
      </c>
      <c r="M245" s="2">
        <v>13</v>
      </c>
      <c r="N245" s="2">
        <v>4335.41</v>
      </c>
      <c r="O245" s="2">
        <v>51.78</v>
      </c>
      <c r="P245" s="2">
        <v>229.4</v>
      </c>
      <c r="Q245" s="2" t="s">
        <v>30</v>
      </c>
      <c r="R245" s="2">
        <v>1</v>
      </c>
    </row>
    <row r="246" spans="1:18" x14ac:dyDescent="0.3">
      <c r="A246" s="2" t="s">
        <v>297</v>
      </c>
      <c r="B246" s="2" t="s">
        <v>60</v>
      </c>
      <c r="E246" s="2" t="s">
        <v>60</v>
      </c>
      <c r="F246" s="1">
        <v>46101</v>
      </c>
      <c r="G246" s="2" t="s">
        <v>41</v>
      </c>
      <c r="H246" s="2" t="s">
        <v>18</v>
      </c>
      <c r="I246" s="2" t="s">
        <v>34</v>
      </c>
      <c r="J246" s="2" t="s">
        <v>64</v>
      </c>
      <c r="K246" s="2" t="s">
        <v>29</v>
      </c>
      <c r="L246" s="2">
        <v>40</v>
      </c>
      <c r="M246" s="2">
        <v>103</v>
      </c>
      <c r="N246" s="2">
        <v>14474.53</v>
      </c>
      <c r="O246" s="2">
        <v>275.52</v>
      </c>
      <c r="P246" s="2">
        <v>85.41</v>
      </c>
      <c r="Q246" s="2" t="s">
        <v>30</v>
      </c>
      <c r="R246" s="2">
        <v>2</v>
      </c>
    </row>
    <row r="247" spans="1:18" x14ac:dyDescent="0.3">
      <c r="A247" s="2" t="s">
        <v>298</v>
      </c>
      <c r="B247" s="2" t="s">
        <v>78</v>
      </c>
      <c r="E247" s="2" t="s">
        <v>78</v>
      </c>
      <c r="F247" s="1">
        <v>46116</v>
      </c>
      <c r="G247" s="2" t="s">
        <v>43</v>
      </c>
      <c r="H247" s="2" t="s">
        <v>18</v>
      </c>
      <c r="I247" s="2" t="s">
        <v>27</v>
      </c>
      <c r="J247" s="2" t="s">
        <v>55</v>
      </c>
      <c r="K247" s="2" t="s">
        <v>52</v>
      </c>
      <c r="L247" s="2">
        <v>29</v>
      </c>
      <c r="M247" s="2">
        <v>92</v>
      </c>
      <c r="N247" s="2">
        <v>29472.19</v>
      </c>
      <c r="O247" s="2">
        <v>222.7</v>
      </c>
      <c r="P247" s="2">
        <v>177.52</v>
      </c>
      <c r="Q247" s="2" t="s">
        <v>30</v>
      </c>
      <c r="R247" s="2">
        <v>1</v>
      </c>
    </row>
    <row r="248" spans="1:18" x14ac:dyDescent="0.3">
      <c r="A248" s="2" t="s">
        <v>299</v>
      </c>
      <c r="B248" s="2" t="s">
        <v>67</v>
      </c>
      <c r="E248" s="2" t="s">
        <v>67</v>
      </c>
      <c r="F248" s="1">
        <v>46211</v>
      </c>
      <c r="G248" s="2" t="s">
        <v>54</v>
      </c>
      <c r="H248" s="2" t="s">
        <v>26</v>
      </c>
      <c r="I248" s="2" t="s">
        <v>34</v>
      </c>
      <c r="J248" s="2" t="s">
        <v>55</v>
      </c>
      <c r="K248" s="2" t="s">
        <v>21</v>
      </c>
      <c r="L248" s="2">
        <v>52</v>
      </c>
      <c r="M248" s="2">
        <v>106</v>
      </c>
      <c r="N248" s="2">
        <v>13192.44</v>
      </c>
      <c r="O248" s="2">
        <v>487.44</v>
      </c>
      <c r="P248" s="2">
        <v>73.569999999999993</v>
      </c>
      <c r="Q248" s="2" t="s">
        <v>30</v>
      </c>
      <c r="R248" s="2">
        <v>3</v>
      </c>
    </row>
    <row r="249" spans="1:18" x14ac:dyDescent="0.3">
      <c r="A249" s="2" t="s">
        <v>300</v>
      </c>
      <c r="B249" s="2" t="s">
        <v>49</v>
      </c>
      <c r="E249" s="2" t="s">
        <v>49</v>
      </c>
      <c r="F249" s="1">
        <v>45925</v>
      </c>
      <c r="G249" s="2" t="s">
        <v>16</v>
      </c>
      <c r="H249" s="2" t="s">
        <v>26</v>
      </c>
      <c r="I249" s="2" t="s">
        <v>39</v>
      </c>
      <c r="J249" s="2" t="s">
        <v>20</v>
      </c>
      <c r="K249" s="2" t="s">
        <v>52</v>
      </c>
      <c r="L249" s="2">
        <v>24</v>
      </c>
      <c r="M249" s="2">
        <v>119</v>
      </c>
      <c r="N249" s="2">
        <v>46731.91</v>
      </c>
      <c r="O249" s="2">
        <v>121.62</v>
      </c>
      <c r="P249" s="2">
        <v>28.56</v>
      </c>
      <c r="Q249" s="2" t="s">
        <v>30</v>
      </c>
      <c r="R249" s="2">
        <v>5</v>
      </c>
    </row>
    <row r="250" spans="1:18" x14ac:dyDescent="0.3">
      <c r="A250" s="2" t="s">
        <v>301</v>
      </c>
      <c r="B250" s="2" t="s">
        <v>76</v>
      </c>
      <c r="E250" s="2" t="s">
        <v>76</v>
      </c>
      <c r="F250" s="1">
        <v>46063</v>
      </c>
      <c r="G250" s="2" t="s">
        <v>24</v>
      </c>
      <c r="H250" s="2" t="s">
        <v>26</v>
      </c>
      <c r="I250" s="2" t="s">
        <v>34</v>
      </c>
      <c r="J250" s="2" t="s">
        <v>55</v>
      </c>
      <c r="K250" s="2" t="s">
        <v>29</v>
      </c>
      <c r="L250" s="2">
        <v>70</v>
      </c>
      <c r="M250" s="2">
        <v>70</v>
      </c>
      <c r="N250" s="2">
        <v>6987.4</v>
      </c>
      <c r="O250" s="2">
        <v>209.37</v>
      </c>
      <c r="P250" s="2">
        <v>208.77</v>
      </c>
      <c r="Q250" s="2" t="s">
        <v>22</v>
      </c>
      <c r="R250" s="2">
        <v>5</v>
      </c>
    </row>
    <row r="251" spans="1:18" x14ac:dyDescent="0.3">
      <c r="A251" s="2" t="s">
        <v>302</v>
      </c>
      <c r="B251" s="2" t="s">
        <v>60</v>
      </c>
      <c r="E251" s="2" t="s">
        <v>60</v>
      </c>
      <c r="F251" s="1">
        <v>46161</v>
      </c>
      <c r="G251" s="2" t="s">
        <v>90</v>
      </c>
      <c r="H251" s="2" t="s">
        <v>26</v>
      </c>
      <c r="I251" s="2" t="s">
        <v>27</v>
      </c>
      <c r="J251" s="2" t="s">
        <v>64</v>
      </c>
      <c r="K251" s="2" t="s">
        <v>29</v>
      </c>
      <c r="L251" s="2">
        <v>38</v>
      </c>
      <c r="M251" s="2">
        <v>67</v>
      </c>
      <c r="N251" s="2">
        <v>39971.019999999997</v>
      </c>
      <c r="O251" s="2">
        <v>238.77</v>
      </c>
      <c r="P251" s="2">
        <v>49.38</v>
      </c>
      <c r="Q251" s="2" t="s">
        <v>30</v>
      </c>
      <c r="R251" s="2">
        <v>1</v>
      </c>
    </row>
    <row r="252" spans="1:18" x14ac:dyDescent="0.3">
      <c r="A252" s="2" t="s">
        <v>303</v>
      </c>
      <c r="B252" s="2" t="s">
        <v>82</v>
      </c>
      <c r="E252" s="2" t="s">
        <v>82</v>
      </c>
      <c r="F252" s="1">
        <v>46188</v>
      </c>
      <c r="G252" s="2" t="s">
        <v>16</v>
      </c>
      <c r="H252" s="2" t="s">
        <v>38</v>
      </c>
      <c r="I252" s="2" t="s">
        <v>27</v>
      </c>
      <c r="J252" s="2" t="s">
        <v>55</v>
      </c>
      <c r="K252" s="2" t="s">
        <v>52</v>
      </c>
      <c r="L252" s="2">
        <v>25</v>
      </c>
      <c r="M252" s="2">
        <v>58</v>
      </c>
      <c r="N252" s="2">
        <v>25643.46</v>
      </c>
      <c r="O252" s="2">
        <v>225.81</v>
      </c>
      <c r="P252" s="2">
        <v>150.74</v>
      </c>
      <c r="Q252" s="2" t="s">
        <v>30</v>
      </c>
      <c r="R252" s="2">
        <v>5</v>
      </c>
    </row>
    <row r="253" spans="1:18" x14ac:dyDescent="0.3">
      <c r="A253" s="2" t="s">
        <v>304</v>
      </c>
      <c r="B253" s="2" t="s">
        <v>78</v>
      </c>
      <c r="E253" s="2" t="s">
        <v>78</v>
      </c>
      <c r="F253" s="1">
        <v>46011</v>
      </c>
      <c r="G253" s="2" t="s">
        <v>74</v>
      </c>
      <c r="H253" s="2" t="s">
        <v>45</v>
      </c>
      <c r="I253" s="2" t="s">
        <v>68</v>
      </c>
      <c r="J253" s="2" t="s">
        <v>64</v>
      </c>
      <c r="K253" s="2" t="s">
        <v>21</v>
      </c>
      <c r="L253" s="2">
        <v>40</v>
      </c>
      <c r="M253" s="2">
        <v>99</v>
      </c>
      <c r="N253" s="2">
        <v>37641.370000000003</v>
      </c>
      <c r="O253" s="2">
        <v>349.62</v>
      </c>
      <c r="P253" s="2">
        <v>193.62</v>
      </c>
      <c r="Q253" s="2" t="s">
        <v>30</v>
      </c>
      <c r="R253" s="2">
        <v>1</v>
      </c>
    </row>
    <row r="254" spans="1:18" x14ac:dyDescent="0.3">
      <c r="A254" s="2" t="s">
        <v>305</v>
      </c>
      <c r="B254" s="2" t="s">
        <v>62</v>
      </c>
      <c r="E254" s="2" t="s">
        <v>62</v>
      </c>
      <c r="F254" s="1">
        <v>46182</v>
      </c>
      <c r="G254" s="2" t="s">
        <v>90</v>
      </c>
      <c r="H254" s="2" t="s">
        <v>58</v>
      </c>
      <c r="I254" s="2" t="s">
        <v>19</v>
      </c>
      <c r="J254" s="2" t="s">
        <v>28</v>
      </c>
      <c r="K254" s="2" t="s">
        <v>52</v>
      </c>
      <c r="L254" s="2">
        <v>43</v>
      </c>
      <c r="M254" s="2">
        <v>82</v>
      </c>
      <c r="N254" s="2">
        <v>15880.41</v>
      </c>
      <c r="O254" s="2">
        <v>146.97999999999999</v>
      </c>
      <c r="P254" s="2">
        <v>155.91</v>
      </c>
      <c r="Q254" s="2" t="s">
        <v>30</v>
      </c>
      <c r="R254" s="2">
        <v>1</v>
      </c>
    </row>
    <row r="255" spans="1:18" x14ac:dyDescent="0.3">
      <c r="A255" s="2" t="s">
        <v>306</v>
      </c>
      <c r="B255" s="2" t="s">
        <v>86</v>
      </c>
      <c r="E255" s="2" t="s">
        <v>86</v>
      </c>
      <c r="F255" s="1">
        <v>45936</v>
      </c>
      <c r="G255" s="2" t="s">
        <v>90</v>
      </c>
      <c r="H255" s="2" t="s">
        <v>18</v>
      </c>
      <c r="I255" s="2" t="s">
        <v>34</v>
      </c>
      <c r="J255" s="2" t="s">
        <v>20</v>
      </c>
      <c r="K255" s="2" t="s">
        <v>52</v>
      </c>
      <c r="L255" s="2">
        <v>31</v>
      </c>
      <c r="M255" s="2">
        <v>75</v>
      </c>
      <c r="N255" s="2">
        <v>25967.24</v>
      </c>
      <c r="O255" s="2">
        <v>149.47999999999999</v>
      </c>
      <c r="P255" s="2">
        <v>4.49</v>
      </c>
      <c r="Q255" s="2" t="s">
        <v>22</v>
      </c>
      <c r="R255" s="2">
        <v>4</v>
      </c>
    </row>
    <row r="256" spans="1:18" x14ac:dyDescent="0.3">
      <c r="A256" s="2" t="s">
        <v>307</v>
      </c>
      <c r="B256" s="2" t="s">
        <v>62</v>
      </c>
      <c r="E256" s="2" t="s">
        <v>62</v>
      </c>
      <c r="F256" s="1">
        <v>46090</v>
      </c>
      <c r="G256" s="2" t="s">
        <v>90</v>
      </c>
      <c r="H256" s="2" t="s">
        <v>38</v>
      </c>
      <c r="I256" s="2" t="s">
        <v>68</v>
      </c>
      <c r="J256" s="2" t="s">
        <v>55</v>
      </c>
      <c r="K256" s="2" t="s">
        <v>29</v>
      </c>
      <c r="L256" s="2">
        <v>57</v>
      </c>
      <c r="M256" s="2">
        <v>118</v>
      </c>
      <c r="N256" s="2">
        <v>42913.35</v>
      </c>
      <c r="O256" s="2">
        <v>378.14</v>
      </c>
      <c r="P256" s="2">
        <v>179.97</v>
      </c>
      <c r="Q256" s="2" t="s">
        <v>22</v>
      </c>
      <c r="R256" s="2">
        <v>4</v>
      </c>
    </row>
    <row r="257" spans="1:18" x14ac:dyDescent="0.3">
      <c r="A257" s="2" t="s">
        <v>308</v>
      </c>
      <c r="B257" s="2" t="s">
        <v>25</v>
      </c>
      <c r="E257" s="2" t="s">
        <v>25</v>
      </c>
      <c r="F257" s="1">
        <v>45898</v>
      </c>
      <c r="G257" s="2" t="s">
        <v>41</v>
      </c>
      <c r="H257" s="2" t="s">
        <v>58</v>
      </c>
      <c r="I257" s="2" t="s">
        <v>19</v>
      </c>
      <c r="J257" s="2" t="s">
        <v>64</v>
      </c>
      <c r="K257" s="2" t="s">
        <v>21</v>
      </c>
      <c r="L257" s="2">
        <v>42</v>
      </c>
      <c r="M257" s="2">
        <v>84</v>
      </c>
      <c r="N257" s="2">
        <v>23610.47</v>
      </c>
      <c r="O257" s="2">
        <v>275.13</v>
      </c>
      <c r="P257" s="2">
        <v>139.08000000000001</v>
      </c>
      <c r="Q257" s="2" t="s">
        <v>30</v>
      </c>
      <c r="R257" s="2">
        <v>4</v>
      </c>
    </row>
    <row r="258" spans="1:18" x14ac:dyDescent="0.3">
      <c r="A258" s="2" t="s">
        <v>309</v>
      </c>
      <c r="B258" s="2" t="s">
        <v>86</v>
      </c>
      <c r="E258" s="2" t="s">
        <v>86</v>
      </c>
      <c r="F258" s="1">
        <v>46118</v>
      </c>
      <c r="G258" s="2" t="s">
        <v>74</v>
      </c>
      <c r="H258" s="2" t="s">
        <v>38</v>
      </c>
      <c r="I258" s="2" t="s">
        <v>34</v>
      </c>
      <c r="J258" s="2" t="s">
        <v>35</v>
      </c>
      <c r="K258" s="2" t="s">
        <v>56</v>
      </c>
      <c r="L258" s="2">
        <v>24</v>
      </c>
      <c r="M258" s="2">
        <v>64</v>
      </c>
      <c r="N258" s="2">
        <v>18306.13</v>
      </c>
      <c r="O258" s="2">
        <v>236.82</v>
      </c>
      <c r="P258" s="2">
        <v>165.09</v>
      </c>
      <c r="Q258" s="2" t="s">
        <v>22</v>
      </c>
      <c r="R258" s="2">
        <v>2</v>
      </c>
    </row>
    <row r="259" spans="1:18" x14ac:dyDescent="0.3">
      <c r="A259" s="2" t="s">
        <v>310</v>
      </c>
      <c r="B259" s="2" t="s">
        <v>60</v>
      </c>
      <c r="E259" s="2" t="s">
        <v>60</v>
      </c>
      <c r="F259" s="1">
        <v>46192</v>
      </c>
      <c r="G259" s="2" t="s">
        <v>90</v>
      </c>
      <c r="H259" s="2" t="s">
        <v>38</v>
      </c>
      <c r="I259" s="2" t="s">
        <v>39</v>
      </c>
      <c r="J259" s="2" t="s">
        <v>20</v>
      </c>
      <c r="K259" s="2" t="s">
        <v>21</v>
      </c>
      <c r="L259" s="2">
        <v>49</v>
      </c>
      <c r="M259" s="2">
        <v>69</v>
      </c>
      <c r="N259" s="2">
        <v>27039.69</v>
      </c>
      <c r="O259" s="2">
        <v>126.14</v>
      </c>
      <c r="P259" s="2">
        <v>11.2</v>
      </c>
      <c r="Q259" s="2" t="s">
        <v>30</v>
      </c>
      <c r="R259" s="2">
        <v>4</v>
      </c>
    </row>
    <row r="260" spans="1:18" x14ac:dyDescent="0.3">
      <c r="A260" s="2" t="s">
        <v>311</v>
      </c>
      <c r="B260" s="2" t="s">
        <v>82</v>
      </c>
      <c r="E260" s="2" t="s">
        <v>82</v>
      </c>
      <c r="F260" s="1">
        <v>46167</v>
      </c>
      <c r="G260" s="2" t="s">
        <v>24</v>
      </c>
      <c r="H260" s="2" t="s">
        <v>18</v>
      </c>
      <c r="I260" s="2" t="s">
        <v>34</v>
      </c>
      <c r="J260" s="2" t="s">
        <v>28</v>
      </c>
      <c r="K260" s="2" t="s">
        <v>52</v>
      </c>
      <c r="L260" s="2">
        <v>64</v>
      </c>
      <c r="M260" s="2">
        <v>83</v>
      </c>
      <c r="N260" s="2">
        <v>36009.46</v>
      </c>
      <c r="O260" s="2">
        <v>134.38999999999999</v>
      </c>
      <c r="P260" s="2">
        <v>96.02</v>
      </c>
      <c r="Q260" s="2" t="s">
        <v>22</v>
      </c>
      <c r="R260" s="2">
        <v>1</v>
      </c>
    </row>
    <row r="261" spans="1:18" x14ac:dyDescent="0.3">
      <c r="A261" s="2" t="s">
        <v>312</v>
      </c>
      <c r="B261" s="2" t="s">
        <v>25</v>
      </c>
      <c r="E261" s="2" t="s">
        <v>25</v>
      </c>
      <c r="F261" s="1">
        <v>45931</v>
      </c>
      <c r="G261" s="2" t="s">
        <v>32</v>
      </c>
      <c r="H261" s="2" t="s">
        <v>45</v>
      </c>
      <c r="I261" s="2" t="s">
        <v>27</v>
      </c>
      <c r="J261" s="2" t="s">
        <v>64</v>
      </c>
      <c r="K261" s="2" t="s">
        <v>52</v>
      </c>
      <c r="L261" s="2">
        <v>54</v>
      </c>
      <c r="M261" s="2">
        <v>86</v>
      </c>
      <c r="N261" s="2">
        <v>22456.39</v>
      </c>
      <c r="O261" s="2">
        <v>54.75</v>
      </c>
      <c r="P261" s="2">
        <v>107.07</v>
      </c>
      <c r="Q261" s="2" t="s">
        <v>30</v>
      </c>
      <c r="R261" s="2">
        <v>3</v>
      </c>
    </row>
    <row r="262" spans="1:18" x14ac:dyDescent="0.3">
      <c r="A262" s="2" t="s">
        <v>313</v>
      </c>
      <c r="B262" s="2" t="s">
        <v>51</v>
      </c>
      <c r="E262" s="2" t="s">
        <v>51</v>
      </c>
      <c r="F262" s="1">
        <v>45966</v>
      </c>
      <c r="G262" s="2" t="s">
        <v>90</v>
      </c>
      <c r="H262" s="2" t="s">
        <v>26</v>
      </c>
      <c r="I262" s="2" t="s">
        <v>27</v>
      </c>
      <c r="J262" s="2" t="s">
        <v>28</v>
      </c>
      <c r="K262" s="2" t="s">
        <v>52</v>
      </c>
      <c r="L262" s="2">
        <v>33</v>
      </c>
      <c r="M262" s="2">
        <v>59</v>
      </c>
      <c r="N262" s="2">
        <v>46974.41</v>
      </c>
      <c r="O262" s="2">
        <v>91.14</v>
      </c>
      <c r="P262" s="2">
        <v>33.82</v>
      </c>
      <c r="Q262" s="2" t="s">
        <v>30</v>
      </c>
      <c r="R262" s="2">
        <v>4</v>
      </c>
    </row>
    <row r="263" spans="1:18" x14ac:dyDescent="0.3">
      <c r="A263" s="2" t="s">
        <v>314</v>
      </c>
      <c r="B263" s="2" t="s">
        <v>49</v>
      </c>
      <c r="E263" s="2" t="s">
        <v>49</v>
      </c>
      <c r="F263" s="1">
        <v>46131</v>
      </c>
      <c r="G263" s="2" t="s">
        <v>41</v>
      </c>
      <c r="H263" s="2" t="s">
        <v>45</v>
      </c>
      <c r="I263" s="2" t="s">
        <v>39</v>
      </c>
      <c r="J263" s="2" t="s">
        <v>28</v>
      </c>
      <c r="K263" s="2" t="s">
        <v>21</v>
      </c>
      <c r="L263" s="2">
        <v>62</v>
      </c>
      <c r="M263" s="2">
        <v>60</v>
      </c>
      <c r="N263" s="2">
        <v>15099.82</v>
      </c>
      <c r="O263" s="2">
        <v>300.58</v>
      </c>
      <c r="P263" s="2">
        <v>64.489999999999995</v>
      </c>
      <c r="Q263" s="2" t="s">
        <v>22</v>
      </c>
      <c r="R263" s="2">
        <v>4</v>
      </c>
    </row>
    <row r="264" spans="1:18" x14ac:dyDescent="0.3">
      <c r="A264" s="2" t="s">
        <v>315</v>
      </c>
      <c r="B264" s="2" t="s">
        <v>67</v>
      </c>
      <c r="E264" s="2" t="s">
        <v>67</v>
      </c>
      <c r="F264" s="1">
        <v>46172</v>
      </c>
      <c r="G264" s="2" t="s">
        <v>16</v>
      </c>
      <c r="H264" s="2" t="s">
        <v>18</v>
      </c>
      <c r="I264" s="2" t="s">
        <v>68</v>
      </c>
      <c r="J264" s="2" t="s">
        <v>55</v>
      </c>
      <c r="K264" s="2" t="s">
        <v>29</v>
      </c>
      <c r="L264" s="2">
        <v>29</v>
      </c>
      <c r="M264" s="2">
        <v>83</v>
      </c>
      <c r="N264" s="2">
        <v>24035.45</v>
      </c>
      <c r="O264" s="2">
        <v>451.34</v>
      </c>
      <c r="P264" s="2">
        <v>132.06</v>
      </c>
      <c r="Q264" s="2" t="s">
        <v>22</v>
      </c>
      <c r="R264" s="2">
        <v>3</v>
      </c>
    </row>
    <row r="265" spans="1:18" x14ac:dyDescent="0.3">
      <c r="A265" s="2" t="s">
        <v>316</v>
      </c>
      <c r="B265" s="2" t="s">
        <v>76</v>
      </c>
      <c r="E265" s="2" t="s">
        <v>76</v>
      </c>
      <c r="F265" s="1">
        <v>46122</v>
      </c>
      <c r="G265" s="2" t="s">
        <v>74</v>
      </c>
      <c r="H265" s="2" t="s">
        <v>18</v>
      </c>
      <c r="I265" s="2" t="s">
        <v>19</v>
      </c>
      <c r="J265" s="2" t="s">
        <v>55</v>
      </c>
      <c r="K265" s="2" t="s">
        <v>52</v>
      </c>
      <c r="L265" s="2">
        <v>62</v>
      </c>
      <c r="M265" s="2">
        <v>111</v>
      </c>
      <c r="N265" s="2">
        <v>37967.919999999998</v>
      </c>
      <c r="O265" s="2">
        <v>179.22</v>
      </c>
      <c r="P265" s="2">
        <v>166.64</v>
      </c>
      <c r="Q265" s="2" t="s">
        <v>22</v>
      </c>
      <c r="R265" s="2">
        <v>1</v>
      </c>
    </row>
    <row r="266" spans="1:18" x14ac:dyDescent="0.3">
      <c r="A266" s="2" t="s">
        <v>317</v>
      </c>
      <c r="B266" s="2" t="s">
        <v>17</v>
      </c>
      <c r="E266" s="2" t="s">
        <v>17</v>
      </c>
      <c r="F266" s="1">
        <v>46081</v>
      </c>
      <c r="G266" s="2" t="s">
        <v>43</v>
      </c>
      <c r="H266" s="2" t="s">
        <v>18</v>
      </c>
      <c r="I266" s="2" t="s">
        <v>34</v>
      </c>
      <c r="J266" s="2" t="s">
        <v>64</v>
      </c>
      <c r="K266" s="2" t="s">
        <v>52</v>
      </c>
      <c r="L266" s="2">
        <v>51</v>
      </c>
      <c r="M266" s="2">
        <v>62</v>
      </c>
      <c r="N266" s="2">
        <v>34611.49</v>
      </c>
      <c r="O266" s="2">
        <v>197.49</v>
      </c>
      <c r="P266" s="2">
        <v>185.88</v>
      </c>
      <c r="Q266" s="2" t="s">
        <v>30</v>
      </c>
      <c r="R266" s="2">
        <v>2</v>
      </c>
    </row>
    <row r="267" spans="1:18" x14ac:dyDescent="0.3">
      <c r="A267" s="2" t="s">
        <v>318</v>
      </c>
      <c r="B267" s="2" t="s">
        <v>62</v>
      </c>
      <c r="E267" s="2" t="s">
        <v>62</v>
      </c>
      <c r="F267" s="1">
        <v>46200</v>
      </c>
      <c r="G267" s="2" t="s">
        <v>41</v>
      </c>
      <c r="H267" s="2" t="s">
        <v>58</v>
      </c>
      <c r="I267" s="2" t="s">
        <v>27</v>
      </c>
      <c r="J267" s="2" t="s">
        <v>35</v>
      </c>
      <c r="K267" s="2" t="s">
        <v>21</v>
      </c>
      <c r="L267" s="2">
        <v>27</v>
      </c>
      <c r="M267" s="2">
        <v>16</v>
      </c>
      <c r="N267" s="2">
        <v>43250.23</v>
      </c>
      <c r="O267" s="2">
        <v>102.02</v>
      </c>
      <c r="P267" s="2">
        <v>125.68</v>
      </c>
      <c r="Q267" s="2" t="s">
        <v>30</v>
      </c>
      <c r="R267" s="2">
        <v>4</v>
      </c>
    </row>
    <row r="268" spans="1:18" x14ac:dyDescent="0.3">
      <c r="A268" s="2" t="s">
        <v>319</v>
      </c>
      <c r="B268" s="2" t="s">
        <v>62</v>
      </c>
      <c r="E268" s="2" t="s">
        <v>62</v>
      </c>
      <c r="F268" s="1">
        <v>46112</v>
      </c>
      <c r="G268" s="2" t="s">
        <v>90</v>
      </c>
      <c r="H268" s="2" t="s">
        <v>45</v>
      </c>
      <c r="I268" s="2" t="s">
        <v>68</v>
      </c>
      <c r="J268" s="2" t="s">
        <v>64</v>
      </c>
      <c r="K268" s="2" t="s">
        <v>56</v>
      </c>
      <c r="L268" s="2">
        <v>24</v>
      </c>
      <c r="M268" s="2">
        <v>88</v>
      </c>
      <c r="N268" s="2">
        <v>49842.05</v>
      </c>
      <c r="O268" s="2">
        <v>224.88</v>
      </c>
      <c r="P268" s="2">
        <v>78.989999999999995</v>
      </c>
      <c r="Q268" s="2" t="s">
        <v>22</v>
      </c>
      <c r="R268" s="2">
        <v>3</v>
      </c>
    </row>
    <row r="269" spans="1:18" x14ac:dyDescent="0.3">
      <c r="A269" s="2" t="s">
        <v>320</v>
      </c>
      <c r="B269" s="2" t="s">
        <v>25</v>
      </c>
      <c r="E269" s="2" t="s">
        <v>25</v>
      </c>
      <c r="F269" s="1">
        <v>46041</v>
      </c>
      <c r="G269" s="2" t="s">
        <v>74</v>
      </c>
      <c r="H269" s="2" t="s">
        <v>45</v>
      </c>
      <c r="I269" s="2" t="s">
        <v>39</v>
      </c>
      <c r="J269" s="2" t="s">
        <v>35</v>
      </c>
      <c r="K269" s="2" t="s">
        <v>56</v>
      </c>
      <c r="L269" s="2">
        <v>39</v>
      </c>
      <c r="M269" s="2">
        <v>105</v>
      </c>
      <c r="N269" s="2">
        <v>21629.49</v>
      </c>
      <c r="O269" s="2">
        <v>66.75</v>
      </c>
      <c r="P269" s="2">
        <v>50.81</v>
      </c>
      <c r="Q269" s="2" t="s">
        <v>30</v>
      </c>
      <c r="R269" s="2">
        <v>1</v>
      </c>
    </row>
    <row r="270" spans="1:18" x14ac:dyDescent="0.3">
      <c r="A270" s="2" t="s">
        <v>321</v>
      </c>
      <c r="B270" s="2" t="s">
        <v>37</v>
      </c>
      <c r="E270" s="2" t="s">
        <v>37</v>
      </c>
      <c r="F270" s="1">
        <v>46012</v>
      </c>
      <c r="G270" s="2" t="s">
        <v>32</v>
      </c>
      <c r="H270" s="2" t="s">
        <v>38</v>
      </c>
      <c r="I270" s="2" t="s">
        <v>27</v>
      </c>
      <c r="J270" s="2" t="s">
        <v>28</v>
      </c>
      <c r="K270" s="2" t="s">
        <v>29</v>
      </c>
      <c r="L270" s="2">
        <v>62</v>
      </c>
      <c r="M270" s="2">
        <v>68</v>
      </c>
      <c r="N270" s="2">
        <v>6001.97</v>
      </c>
      <c r="O270" s="2">
        <v>462.92</v>
      </c>
      <c r="P270" s="2">
        <v>294.64</v>
      </c>
      <c r="Q270" s="2" t="s">
        <v>30</v>
      </c>
      <c r="R270" s="2">
        <v>5</v>
      </c>
    </row>
    <row r="271" spans="1:18" x14ac:dyDescent="0.3">
      <c r="A271" s="2" t="s">
        <v>322</v>
      </c>
      <c r="B271" s="2" t="s">
        <v>86</v>
      </c>
      <c r="E271" s="2" t="s">
        <v>86</v>
      </c>
      <c r="F271" s="1">
        <v>45937</v>
      </c>
      <c r="G271" s="2" t="s">
        <v>90</v>
      </c>
      <c r="H271" s="2" t="s">
        <v>38</v>
      </c>
      <c r="I271" s="2" t="s">
        <v>39</v>
      </c>
      <c r="J271" s="2" t="s">
        <v>20</v>
      </c>
      <c r="K271" s="2" t="s">
        <v>29</v>
      </c>
      <c r="L271" s="2">
        <v>50</v>
      </c>
      <c r="M271" s="2">
        <v>15</v>
      </c>
      <c r="N271" s="2">
        <v>2005.59</v>
      </c>
      <c r="O271" s="2">
        <v>352.9</v>
      </c>
      <c r="P271" s="2">
        <v>294.89999999999998</v>
      </c>
      <c r="Q271" s="2" t="s">
        <v>30</v>
      </c>
      <c r="R271" s="2">
        <v>2</v>
      </c>
    </row>
    <row r="272" spans="1:18" x14ac:dyDescent="0.3">
      <c r="A272" s="2" t="s">
        <v>323</v>
      </c>
      <c r="B272" s="2" t="s">
        <v>44</v>
      </c>
      <c r="E272" s="2" t="s">
        <v>44</v>
      </c>
      <c r="F272" s="1">
        <v>45898</v>
      </c>
      <c r="G272" s="2" t="s">
        <v>41</v>
      </c>
      <c r="H272" s="2" t="s">
        <v>38</v>
      </c>
      <c r="I272" s="2" t="s">
        <v>34</v>
      </c>
      <c r="J272" s="2" t="s">
        <v>64</v>
      </c>
      <c r="K272" s="2" t="s">
        <v>52</v>
      </c>
      <c r="L272" s="2">
        <v>51</v>
      </c>
      <c r="M272" s="2">
        <v>89</v>
      </c>
      <c r="N272" s="2">
        <v>36480.410000000003</v>
      </c>
      <c r="O272" s="2">
        <v>495.84</v>
      </c>
      <c r="P272" s="2">
        <v>185</v>
      </c>
      <c r="Q272" s="2" t="s">
        <v>30</v>
      </c>
      <c r="R272" s="2">
        <v>3</v>
      </c>
    </row>
    <row r="273" spans="1:18" x14ac:dyDescent="0.3">
      <c r="A273" s="2" t="s">
        <v>324</v>
      </c>
      <c r="B273" s="2" t="s">
        <v>51</v>
      </c>
      <c r="E273" s="2" t="s">
        <v>51</v>
      </c>
      <c r="F273" s="1">
        <v>45896</v>
      </c>
      <c r="G273" s="2" t="s">
        <v>54</v>
      </c>
      <c r="H273" s="2" t="s">
        <v>18</v>
      </c>
      <c r="I273" s="2" t="s">
        <v>19</v>
      </c>
      <c r="J273" s="2" t="s">
        <v>64</v>
      </c>
      <c r="K273" s="2" t="s">
        <v>21</v>
      </c>
      <c r="L273" s="2">
        <v>55</v>
      </c>
      <c r="M273" s="2">
        <v>108</v>
      </c>
      <c r="N273" s="2">
        <v>43763.68</v>
      </c>
      <c r="O273" s="2">
        <v>447.27</v>
      </c>
      <c r="P273" s="2">
        <v>157.13</v>
      </c>
      <c r="Q273" s="2" t="s">
        <v>30</v>
      </c>
      <c r="R273" s="2">
        <v>3</v>
      </c>
    </row>
    <row r="274" spans="1:18" x14ac:dyDescent="0.3">
      <c r="A274" s="2" t="s">
        <v>325</v>
      </c>
      <c r="B274" s="2" t="s">
        <v>76</v>
      </c>
      <c r="E274" s="2" t="s">
        <v>76</v>
      </c>
      <c r="F274" s="1">
        <v>46026</v>
      </c>
      <c r="G274" s="2" t="s">
        <v>24</v>
      </c>
      <c r="H274" s="2" t="s">
        <v>45</v>
      </c>
      <c r="I274" s="2" t="s">
        <v>27</v>
      </c>
      <c r="J274" s="2" t="s">
        <v>35</v>
      </c>
      <c r="K274" s="2" t="s">
        <v>52</v>
      </c>
      <c r="L274" s="2">
        <v>41</v>
      </c>
      <c r="M274" s="2">
        <v>55</v>
      </c>
      <c r="N274" s="2">
        <v>11425.27</v>
      </c>
      <c r="O274" s="2">
        <v>262.85000000000002</v>
      </c>
      <c r="P274" s="2">
        <v>65.16</v>
      </c>
      <c r="Q274" s="2" t="s">
        <v>30</v>
      </c>
      <c r="R274" s="2">
        <v>3</v>
      </c>
    </row>
    <row r="275" spans="1:18" x14ac:dyDescent="0.3">
      <c r="A275" s="2" t="s">
        <v>326</v>
      </c>
      <c r="B275" s="2" t="s">
        <v>86</v>
      </c>
      <c r="E275" s="2" t="s">
        <v>86</v>
      </c>
      <c r="F275" s="1">
        <v>45888</v>
      </c>
      <c r="G275" s="2" t="s">
        <v>43</v>
      </c>
      <c r="H275" s="2" t="s">
        <v>18</v>
      </c>
      <c r="I275" s="2" t="s">
        <v>27</v>
      </c>
      <c r="J275" s="2" t="s">
        <v>28</v>
      </c>
      <c r="K275" s="2" t="s">
        <v>29</v>
      </c>
      <c r="L275" s="2">
        <v>51</v>
      </c>
      <c r="M275" s="2">
        <v>35</v>
      </c>
      <c r="N275" s="2">
        <v>8343.18</v>
      </c>
      <c r="O275" s="2">
        <v>283.86</v>
      </c>
      <c r="P275" s="2">
        <v>245.1</v>
      </c>
      <c r="Q275" s="2" t="s">
        <v>30</v>
      </c>
      <c r="R275" s="2">
        <v>4</v>
      </c>
    </row>
    <row r="276" spans="1:18" x14ac:dyDescent="0.3">
      <c r="A276" s="2" t="s">
        <v>327</v>
      </c>
      <c r="B276" s="2" t="s">
        <v>37</v>
      </c>
      <c r="E276" s="2" t="s">
        <v>37</v>
      </c>
      <c r="F276" s="1">
        <v>46028</v>
      </c>
      <c r="G276" s="2" t="s">
        <v>16</v>
      </c>
      <c r="H276" s="2" t="s">
        <v>58</v>
      </c>
      <c r="I276" s="2" t="s">
        <v>34</v>
      </c>
      <c r="J276" s="2" t="s">
        <v>28</v>
      </c>
      <c r="K276" s="2" t="s">
        <v>21</v>
      </c>
      <c r="L276" s="2">
        <v>39</v>
      </c>
      <c r="M276" s="2">
        <v>55</v>
      </c>
      <c r="N276" s="2">
        <v>3579.15</v>
      </c>
      <c r="O276" s="2">
        <v>135.76</v>
      </c>
      <c r="P276" s="2">
        <v>81.760000000000005</v>
      </c>
      <c r="Q276" s="2" t="s">
        <v>22</v>
      </c>
      <c r="R276" s="2">
        <v>5</v>
      </c>
    </row>
    <row r="277" spans="1:18" x14ac:dyDescent="0.3">
      <c r="A277" s="2" t="s">
        <v>328</v>
      </c>
      <c r="B277" s="2" t="s">
        <v>33</v>
      </c>
      <c r="E277" s="2" t="s">
        <v>33</v>
      </c>
      <c r="F277" s="1">
        <v>45980</v>
      </c>
      <c r="G277" s="2" t="s">
        <v>41</v>
      </c>
      <c r="H277" s="2" t="s">
        <v>38</v>
      </c>
      <c r="I277" s="2" t="s">
        <v>68</v>
      </c>
      <c r="J277" s="2" t="s">
        <v>35</v>
      </c>
      <c r="K277" s="2" t="s">
        <v>21</v>
      </c>
      <c r="L277" s="2">
        <v>51</v>
      </c>
      <c r="M277" s="2">
        <v>14</v>
      </c>
      <c r="N277" s="2">
        <v>41223.79</v>
      </c>
      <c r="O277" s="2">
        <v>257.92</v>
      </c>
      <c r="P277" s="2">
        <v>65.349999999999994</v>
      </c>
      <c r="Q277" s="2" t="s">
        <v>30</v>
      </c>
      <c r="R277" s="2">
        <v>2</v>
      </c>
    </row>
    <row r="278" spans="1:18" x14ac:dyDescent="0.3">
      <c r="A278" s="2" t="s">
        <v>329</v>
      </c>
      <c r="B278" s="2" t="s">
        <v>86</v>
      </c>
      <c r="E278" s="2" t="s">
        <v>86</v>
      </c>
      <c r="F278" s="1">
        <v>45908</v>
      </c>
      <c r="G278" s="2" t="s">
        <v>74</v>
      </c>
      <c r="H278" s="2" t="s">
        <v>18</v>
      </c>
      <c r="I278" s="2" t="s">
        <v>19</v>
      </c>
      <c r="J278" s="2" t="s">
        <v>28</v>
      </c>
      <c r="K278" s="2" t="s">
        <v>29</v>
      </c>
      <c r="L278" s="2">
        <v>73</v>
      </c>
      <c r="M278" s="2">
        <v>49</v>
      </c>
      <c r="N278" s="2">
        <v>15913.41</v>
      </c>
      <c r="O278" s="2">
        <v>456.36</v>
      </c>
      <c r="P278" s="2">
        <v>223.46</v>
      </c>
      <c r="Q278" s="2" t="s">
        <v>30</v>
      </c>
      <c r="R278" s="2">
        <v>1</v>
      </c>
    </row>
    <row r="279" spans="1:18" x14ac:dyDescent="0.3">
      <c r="A279" s="2" t="s">
        <v>330</v>
      </c>
      <c r="B279" s="2" t="s">
        <v>17</v>
      </c>
      <c r="E279" s="2" t="s">
        <v>17</v>
      </c>
      <c r="F279" s="1">
        <v>46150</v>
      </c>
      <c r="G279" s="2" t="s">
        <v>43</v>
      </c>
      <c r="H279" s="2" t="s">
        <v>18</v>
      </c>
      <c r="I279" s="2" t="s">
        <v>27</v>
      </c>
      <c r="J279" s="2" t="s">
        <v>55</v>
      </c>
      <c r="K279" s="2" t="s">
        <v>56</v>
      </c>
      <c r="L279" s="2">
        <v>52</v>
      </c>
      <c r="M279" s="2">
        <v>83</v>
      </c>
      <c r="N279" s="2">
        <v>20384</v>
      </c>
      <c r="O279" s="2">
        <v>72.88</v>
      </c>
      <c r="P279" s="2">
        <v>15.93</v>
      </c>
      <c r="Q279" s="2" t="s">
        <v>30</v>
      </c>
      <c r="R279" s="2">
        <v>1</v>
      </c>
    </row>
    <row r="280" spans="1:18" x14ac:dyDescent="0.3">
      <c r="A280" s="2" t="s">
        <v>331</v>
      </c>
      <c r="B280" s="2" t="s">
        <v>76</v>
      </c>
      <c r="E280" s="2" t="s">
        <v>76</v>
      </c>
      <c r="F280" s="1">
        <v>45988</v>
      </c>
      <c r="G280" s="2" t="s">
        <v>43</v>
      </c>
      <c r="H280" s="2" t="s">
        <v>58</v>
      </c>
      <c r="I280" s="2" t="s">
        <v>19</v>
      </c>
      <c r="J280" s="2" t="s">
        <v>20</v>
      </c>
      <c r="K280" s="2" t="s">
        <v>56</v>
      </c>
      <c r="L280" s="2">
        <v>22</v>
      </c>
      <c r="M280" s="2">
        <v>102</v>
      </c>
      <c r="N280" s="2">
        <v>25386.13</v>
      </c>
      <c r="O280" s="2">
        <v>438.6</v>
      </c>
      <c r="P280" s="2">
        <v>9.7100000000000009</v>
      </c>
      <c r="Q280" s="2" t="s">
        <v>30</v>
      </c>
      <c r="R280" s="2">
        <v>5</v>
      </c>
    </row>
    <row r="281" spans="1:18" x14ac:dyDescent="0.3">
      <c r="A281" s="2" t="s">
        <v>332</v>
      </c>
      <c r="B281" s="2" t="s">
        <v>60</v>
      </c>
      <c r="E281" s="2" t="s">
        <v>60</v>
      </c>
      <c r="F281" s="1">
        <v>46041</v>
      </c>
      <c r="G281" s="2" t="s">
        <v>43</v>
      </c>
      <c r="H281" s="2" t="s">
        <v>26</v>
      </c>
      <c r="I281" s="2" t="s">
        <v>27</v>
      </c>
      <c r="J281" s="2" t="s">
        <v>64</v>
      </c>
      <c r="K281" s="2" t="s">
        <v>21</v>
      </c>
      <c r="L281" s="2">
        <v>72</v>
      </c>
      <c r="M281" s="2">
        <v>100</v>
      </c>
      <c r="N281" s="2">
        <v>42052.94</v>
      </c>
      <c r="O281" s="2">
        <v>203.43</v>
      </c>
      <c r="P281" s="2">
        <v>89.59</v>
      </c>
      <c r="Q281" s="2" t="s">
        <v>30</v>
      </c>
      <c r="R281" s="2">
        <v>3</v>
      </c>
    </row>
    <row r="282" spans="1:18" x14ac:dyDescent="0.3">
      <c r="A282" s="2" t="s">
        <v>333</v>
      </c>
      <c r="B282" s="2" t="s">
        <v>51</v>
      </c>
      <c r="E282" s="2" t="s">
        <v>51</v>
      </c>
      <c r="F282" s="1">
        <v>46108</v>
      </c>
      <c r="G282" s="2" t="s">
        <v>90</v>
      </c>
      <c r="H282" s="2" t="s">
        <v>45</v>
      </c>
      <c r="I282" s="2" t="s">
        <v>19</v>
      </c>
      <c r="J282" s="2" t="s">
        <v>20</v>
      </c>
      <c r="K282" s="2" t="s">
        <v>52</v>
      </c>
      <c r="L282" s="2">
        <v>30</v>
      </c>
      <c r="M282" s="2">
        <v>7</v>
      </c>
      <c r="N282" s="2">
        <v>32716.240000000002</v>
      </c>
      <c r="O282" s="2">
        <v>454.78</v>
      </c>
      <c r="P282" s="2">
        <v>89.13</v>
      </c>
      <c r="Q282" s="2" t="s">
        <v>22</v>
      </c>
      <c r="R282" s="2">
        <v>3</v>
      </c>
    </row>
    <row r="283" spans="1:18" x14ac:dyDescent="0.3">
      <c r="A283" s="2" t="s">
        <v>334</v>
      </c>
      <c r="B283" s="2" t="s">
        <v>37</v>
      </c>
      <c r="E283" s="2" t="s">
        <v>37</v>
      </c>
      <c r="F283" s="1">
        <v>46128</v>
      </c>
      <c r="G283" s="2" t="s">
        <v>24</v>
      </c>
      <c r="H283" s="2" t="s">
        <v>26</v>
      </c>
      <c r="I283" s="2" t="s">
        <v>39</v>
      </c>
      <c r="J283" s="2" t="s">
        <v>64</v>
      </c>
      <c r="K283" s="2" t="s">
        <v>56</v>
      </c>
      <c r="L283" s="2">
        <v>22</v>
      </c>
      <c r="M283" s="2">
        <v>30</v>
      </c>
      <c r="N283" s="2">
        <v>30945.7</v>
      </c>
      <c r="O283" s="2">
        <v>473.4</v>
      </c>
      <c r="P283" s="2">
        <v>179.13</v>
      </c>
      <c r="Q283" s="2" t="s">
        <v>30</v>
      </c>
      <c r="R283" s="2">
        <v>3</v>
      </c>
    </row>
    <row r="284" spans="1:18" x14ac:dyDescent="0.3">
      <c r="A284" s="2" t="s">
        <v>335</v>
      </c>
      <c r="B284" s="2" t="s">
        <v>33</v>
      </c>
      <c r="E284" s="2" t="s">
        <v>33</v>
      </c>
      <c r="F284" s="1">
        <v>46111</v>
      </c>
      <c r="G284" s="2" t="s">
        <v>90</v>
      </c>
      <c r="H284" s="2" t="s">
        <v>38</v>
      </c>
      <c r="I284" s="2" t="s">
        <v>27</v>
      </c>
      <c r="J284" s="2" t="s">
        <v>55</v>
      </c>
      <c r="K284" s="2" t="s">
        <v>52</v>
      </c>
      <c r="L284" s="2">
        <v>22</v>
      </c>
      <c r="M284" s="2">
        <v>83</v>
      </c>
      <c r="N284" s="2">
        <v>9195.77</v>
      </c>
      <c r="O284" s="2">
        <v>351.89</v>
      </c>
      <c r="P284" s="2">
        <v>25.23</v>
      </c>
      <c r="Q284" s="2" t="s">
        <v>22</v>
      </c>
      <c r="R284" s="2">
        <v>3</v>
      </c>
    </row>
    <row r="285" spans="1:18" x14ac:dyDescent="0.3">
      <c r="A285" s="2" t="s">
        <v>336</v>
      </c>
      <c r="B285" s="2" t="s">
        <v>49</v>
      </c>
      <c r="E285" s="2" t="s">
        <v>49</v>
      </c>
      <c r="F285" s="1">
        <v>45922</v>
      </c>
      <c r="G285" s="2" t="s">
        <v>74</v>
      </c>
      <c r="H285" s="2" t="s">
        <v>18</v>
      </c>
      <c r="I285" s="2" t="s">
        <v>19</v>
      </c>
      <c r="J285" s="2" t="s">
        <v>28</v>
      </c>
      <c r="K285" s="2" t="s">
        <v>56</v>
      </c>
      <c r="L285" s="2">
        <v>44</v>
      </c>
      <c r="M285" s="2">
        <v>49</v>
      </c>
      <c r="N285" s="2">
        <v>25902.9</v>
      </c>
      <c r="O285" s="2">
        <v>348.99</v>
      </c>
      <c r="P285" s="2">
        <v>24.66</v>
      </c>
      <c r="Q285" s="2" t="s">
        <v>30</v>
      </c>
      <c r="R285" s="2">
        <v>3</v>
      </c>
    </row>
    <row r="286" spans="1:18" x14ac:dyDescent="0.3">
      <c r="A286" s="2" t="s">
        <v>337</v>
      </c>
      <c r="B286" s="2" t="s">
        <v>47</v>
      </c>
      <c r="E286" s="2" t="s">
        <v>47</v>
      </c>
      <c r="F286" s="1">
        <v>46019</v>
      </c>
      <c r="G286" s="2" t="s">
        <v>90</v>
      </c>
      <c r="H286" s="2" t="s">
        <v>58</v>
      </c>
      <c r="I286" s="2" t="s">
        <v>68</v>
      </c>
      <c r="J286" s="2" t="s">
        <v>35</v>
      </c>
      <c r="K286" s="2" t="s">
        <v>56</v>
      </c>
      <c r="L286" s="2">
        <v>37</v>
      </c>
      <c r="M286" s="2">
        <v>89</v>
      </c>
      <c r="N286" s="2">
        <v>35911.360000000001</v>
      </c>
      <c r="O286" s="2">
        <v>253.74</v>
      </c>
      <c r="P286" s="2">
        <v>29.49</v>
      </c>
      <c r="Q286" s="2" t="s">
        <v>30</v>
      </c>
      <c r="R286" s="2">
        <v>5</v>
      </c>
    </row>
    <row r="287" spans="1:18" x14ac:dyDescent="0.3">
      <c r="A287" s="2" t="s">
        <v>338</v>
      </c>
      <c r="B287" s="2" t="s">
        <v>37</v>
      </c>
      <c r="E287" s="2" t="s">
        <v>37</v>
      </c>
      <c r="F287" s="1">
        <v>45938</v>
      </c>
      <c r="G287" s="2" t="s">
        <v>54</v>
      </c>
      <c r="H287" s="2" t="s">
        <v>58</v>
      </c>
      <c r="I287" s="2" t="s">
        <v>39</v>
      </c>
      <c r="J287" s="2" t="s">
        <v>55</v>
      </c>
      <c r="K287" s="2" t="s">
        <v>52</v>
      </c>
      <c r="L287" s="2">
        <v>52</v>
      </c>
      <c r="M287" s="2">
        <v>16</v>
      </c>
      <c r="N287" s="2">
        <v>48676.41</v>
      </c>
      <c r="O287" s="2">
        <v>425.99</v>
      </c>
      <c r="P287" s="2">
        <v>5.95</v>
      </c>
      <c r="Q287" s="2" t="s">
        <v>22</v>
      </c>
      <c r="R287" s="2">
        <v>4</v>
      </c>
    </row>
    <row r="288" spans="1:18" x14ac:dyDescent="0.3">
      <c r="A288" s="2" t="s">
        <v>339</v>
      </c>
      <c r="B288" s="2" t="s">
        <v>47</v>
      </c>
      <c r="E288" s="2" t="s">
        <v>47</v>
      </c>
      <c r="F288" s="1">
        <v>45949</v>
      </c>
      <c r="G288" s="2" t="s">
        <v>24</v>
      </c>
      <c r="H288" s="2" t="s">
        <v>45</v>
      </c>
      <c r="I288" s="2" t="s">
        <v>39</v>
      </c>
      <c r="J288" s="2" t="s">
        <v>20</v>
      </c>
      <c r="K288" s="2" t="s">
        <v>29</v>
      </c>
      <c r="L288" s="2">
        <v>36</v>
      </c>
      <c r="M288" s="2">
        <v>111</v>
      </c>
      <c r="N288" s="2">
        <v>10469.61</v>
      </c>
      <c r="O288" s="2">
        <v>482.73</v>
      </c>
      <c r="P288" s="2">
        <v>21.52</v>
      </c>
      <c r="Q288" s="2" t="s">
        <v>30</v>
      </c>
      <c r="R288" s="2">
        <v>2</v>
      </c>
    </row>
    <row r="289" spans="1:18" x14ac:dyDescent="0.3">
      <c r="A289" s="2" t="s">
        <v>340</v>
      </c>
      <c r="B289" s="2" t="s">
        <v>76</v>
      </c>
      <c r="E289" s="2" t="s">
        <v>76</v>
      </c>
      <c r="F289" s="1">
        <v>45932</v>
      </c>
      <c r="G289" s="2" t="s">
        <v>24</v>
      </c>
      <c r="H289" s="2" t="s">
        <v>26</v>
      </c>
      <c r="I289" s="2" t="s">
        <v>68</v>
      </c>
      <c r="J289" s="2" t="s">
        <v>35</v>
      </c>
      <c r="K289" s="2" t="s">
        <v>56</v>
      </c>
      <c r="L289" s="2">
        <v>36</v>
      </c>
      <c r="M289" s="2">
        <v>118</v>
      </c>
      <c r="N289" s="2">
        <v>972.4</v>
      </c>
      <c r="O289" s="2">
        <v>398.79</v>
      </c>
      <c r="P289" s="2">
        <v>131.97</v>
      </c>
      <c r="Q289" s="2" t="s">
        <v>30</v>
      </c>
      <c r="R289" s="2">
        <v>3</v>
      </c>
    </row>
    <row r="290" spans="1:18" x14ac:dyDescent="0.3">
      <c r="A290" s="2" t="s">
        <v>341</v>
      </c>
      <c r="B290" s="2" t="s">
        <v>62</v>
      </c>
      <c r="E290" s="2" t="s">
        <v>62</v>
      </c>
      <c r="F290" s="1">
        <v>46115</v>
      </c>
      <c r="G290" s="2" t="s">
        <v>74</v>
      </c>
      <c r="H290" s="2" t="s">
        <v>45</v>
      </c>
      <c r="I290" s="2" t="s">
        <v>19</v>
      </c>
      <c r="J290" s="2" t="s">
        <v>28</v>
      </c>
      <c r="K290" s="2" t="s">
        <v>56</v>
      </c>
      <c r="L290" s="2">
        <v>66</v>
      </c>
      <c r="M290" s="2">
        <v>104</v>
      </c>
      <c r="N290" s="2">
        <v>4227.42</v>
      </c>
      <c r="O290" s="2">
        <v>329.87</v>
      </c>
      <c r="P290" s="2">
        <v>86.32</v>
      </c>
      <c r="Q290" s="2" t="s">
        <v>30</v>
      </c>
      <c r="R290" s="2">
        <v>4</v>
      </c>
    </row>
    <row r="291" spans="1:18" x14ac:dyDescent="0.3">
      <c r="A291" s="2" t="s">
        <v>342</v>
      </c>
      <c r="B291" s="2" t="s">
        <v>37</v>
      </c>
      <c r="E291" s="2" t="s">
        <v>37</v>
      </c>
      <c r="F291" s="1">
        <v>45900</v>
      </c>
      <c r="G291" s="2" t="s">
        <v>16</v>
      </c>
      <c r="H291" s="2" t="s">
        <v>18</v>
      </c>
      <c r="I291" s="2" t="s">
        <v>34</v>
      </c>
      <c r="J291" s="2" t="s">
        <v>55</v>
      </c>
      <c r="K291" s="2" t="s">
        <v>52</v>
      </c>
      <c r="L291" s="2">
        <v>59</v>
      </c>
      <c r="M291" s="2">
        <v>51</v>
      </c>
      <c r="N291" s="2">
        <v>19104.7</v>
      </c>
      <c r="O291" s="2">
        <v>323.06</v>
      </c>
      <c r="P291" s="2">
        <v>152.72</v>
      </c>
      <c r="Q291" s="2" t="s">
        <v>30</v>
      </c>
      <c r="R291" s="2">
        <v>1</v>
      </c>
    </row>
    <row r="292" spans="1:18" x14ac:dyDescent="0.3">
      <c r="A292" s="2" t="s">
        <v>343</v>
      </c>
      <c r="B292" s="2" t="s">
        <v>49</v>
      </c>
      <c r="E292" s="2" t="s">
        <v>49</v>
      </c>
      <c r="F292" s="1">
        <v>46228</v>
      </c>
      <c r="G292" s="2" t="s">
        <v>54</v>
      </c>
      <c r="H292" s="2" t="s">
        <v>45</v>
      </c>
      <c r="I292" s="2" t="s">
        <v>68</v>
      </c>
      <c r="J292" s="2" t="s">
        <v>35</v>
      </c>
      <c r="K292" s="2" t="s">
        <v>29</v>
      </c>
      <c r="L292" s="2">
        <v>73</v>
      </c>
      <c r="M292" s="2">
        <v>72</v>
      </c>
      <c r="N292" s="2">
        <v>41116.959999999999</v>
      </c>
      <c r="O292" s="2">
        <v>432.26</v>
      </c>
      <c r="P292" s="2">
        <v>297.77999999999997</v>
      </c>
      <c r="Q292" s="2" t="s">
        <v>30</v>
      </c>
      <c r="R292" s="2">
        <v>5</v>
      </c>
    </row>
    <row r="293" spans="1:18" x14ac:dyDescent="0.3">
      <c r="A293" s="2" t="s">
        <v>344</v>
      </c>
      <c r="B293" s="2" t="s">
        <v>67</v>
      </c>
      <c r="E293" s="2" t="s">
        <v>67</v>
      </c>
      <c r="F293" s="1">
        <v>46097</v>
      </c>
      <c r="G293" s="2" t="s">
        <v>41</v>
      </c>
      <c r="H293" s="2" t="s">
        <v>58</v>
      </c>
      <c r="I293" s="2" t="s">
        <v>19</v>
      </c>
      <c r="J293" s="2" t="s">
        <v>55</v>
      </c>
      <c r="K293" s="2" t="s">
        <v>56</v>
      </c>
      <c r="L293" s="2">
        <v>51</v>
      </c>
      <c r="M293" s="2">
        <v>82</v>
      </c>
      <c r="N293" s="2">
        <v>853.53</v>
      </c>
      <c r="O293" s="2">
        <v>293.54000000000002</v>
      </c>
      <c r="P293" s="2">
        <v>131.81</v>
      </c>
      <c r="Q293" s="2" t="s">
        <v>30</v>
      </c>
      <c r="R293" s="2">
        <v>4</v>
      </c>
    </row>
    <row r="294" spans="1:18" x14ac:dyDescent="0.3">
      <c r="A294" s="2" t="s">
        <v>345</v>
      </c>
      <c r="B294" s="2" t="s">
        <v>25</v>
      </c>
      <c r="E294" s="2" t="s">
        <v>25</v>
      </c>
      <c r="F294" s="1">
        <v>46098</v>
      </c>
      <c r="G294" s="2" t="s">
        <v>90</v>
      </c>
      <c r="H294" s="2" t="s">
        <v>58</v>
      </c>
      <c r="I294" s="2" t="s">
        <v>68</v>
      </c>
      <c r="J294" s="2" t="s">
        <v>55</v>
      </c>
      <c r="K294" s="2" t="s">
        <v>56</v>
      </c>
      <c r="L294" s="2">
        <v>63</v>
      </c>
      <c r="M294" s="2">
        <v>92</v>
      </c>
      <c r="N294" s="2">
        <v>23108.16</v>
      </c>
      <c r="O294" s="2">
        <v>411.74</v>
      </c>
      <c r="P294" s="2">
        <v>10.09</v>
      </c>
      <c r="Q294" s="2" t="s">
        <v>30</v>
      </c>
      <c r="R294" s="2">
        <v>3</v>
      </c>
    </row>
    <row r="295" spans="1:18" x14ac:dyDescent="0.3">
      <c r="A295" s="2" t="s">
        <v>346</v>
      </c>
      <c r="B295" s="2" t="s">
        <v>47</v>
      </c>
      <c r="E295" s="2" t="s">
        <v>47</v>
      </c>
      <c r="F295" s="1">
        <v>45944</v>
      </c>
      <c r="G295" s="2" t="s">
        <v>32</v>
      </c>
      <c r="H295" s="2" t="s">
        <v>38</v>
      </c>
      <c r="I295" s="2" t="s">
        <v>68</v>
      </c>
      <c r="J295" s="2" t="s">
        <v>28</v>
      </c>
      <c r="K295" s="2" t="s">
        <v>29</v>
      </c>
      <c r="L295" s="2">
        <v>44</v>
      </c>
      <c r="M295" s="2">
        <v>80</v>
      </c>
      <c r="N295" s="2">
        <v>16796.919999999998</v>
      </c>
      <c r="O295" s="2">
        <v>279</v>
      </c>
      <c r="P295" s="2">
        <v>31.36</v>
      </c>
      <c r="Q295" s="2" t="s">
        <v>30</v>
      </c>
      <c r="R295" s="2">
        <v>3</v>
      </c>
    </row>
    <row r="296" spans="1:18" x14ac:dyDescent="0.3">
      <c r="A296" s="2" t="s">
        <v>347</v>
      </c>
      <c r="B296" s="2" t="s">
        <v>25</v>
      </c>
      <c r="E296" s="2" t="s">
        <v>25</v>
      </c>
      <c r="F296" s="1">
        <v>46227</v>
      </c>
      <c r="G296" s="2" t="s">
        <v>90</v>
      </c>
      <c r="H296" s="2" t="s">
        <v>38</v>
      </c>
      <c r="I296" s="2" t="s">
        <v>27</v>
      </c>
      <c r="J296" s="2" t="s">
        <v>64</v>
      </c>
      <c r="K296" s="2" t="s">
        <v>56</v>
      </c>
      <c r="L296" s="2">
        <v>21</v>
      </c>
      <c r="M296" s="2">
        <v>116</v>
      </c>
      <c r="N296" s="2">
        <v>3097.84</v>
      </c>
      <c r="O296" s="2">
        <v>78.099999999999994</v>
      </c>
      <c r="P296" s="2">
        <v>176.2</v>
      </c>
      <c r="Q296" s="2" t="s">
        <v>22</v>
      </c>
      <c r="R296" s="2">
        <v>3</v>
      </c>
    </row>
    <row r="297" spans="1:18" x14ac:dyDescent="0.3">
      <c r="A297" s="2" t="s">
        <v>348</v>
      </c>
      <c r="B297" s="2" t="s">
        <v>17</v>
      </c>
      <c r="E297" s="2" t="s">
        <v>17</v>
      </c>
      <c r="F297" s="1">
        <v>45927</v>
      </c>
      <c r="G297" s="2" t="s">
        <v>43</v>
      </c>
      <c r="H297" s="2" t="s">
        <v>18</v>
      </c>
      <c r="I297" s="2" t="s">
        <v>19</v>
      </c>
      <c r="J297" s="2" t="s">
        <v>35</v>
      </c>
      <c r="K297" s="2" t="s">
        <v>29</v>
      </c>
      <c r="L297" s="2">
        <v>31</v>
      </c>
      <c r="M297" s="2">
        <v>83</v>
      </c>
      <c r="N297" s="2">
        <v>22786.7</v>
      </c>
      <c r="O297" s="2">
        <v>222.78</v>
      </c>
      <c r="P297" s="2">
        <v>158.25</v>
      </c>
      <c r="Q297" s="2" t="s">
        <v>22</v>
      </c>
      <c r="R297" s="2">
        <v>4</v>
      </c>
    </row>
    <row r="298" spans="1:18" x14ac:dyDescent="0.3">
      <c r="A298" s="2" t="s">
        <v>349</v>
      </c>
      <c r="B298" s="2" t="s">
        <v>67</v>
      </c>
      <c r="E298" s="2" t="s">
        <v>67</v>
      </c>
      <c r="F298" s="1">
        <v>46048</v>
      </c>
      <c r="G298" s="2" t="s">
        <v>90</v>
      </c>
      <c r="H298" s="2" t="s">
        <v>26</v>
      </c>
      <c r="I298" s="2" t="s">
        <v>34</v>
      </c>
      <c r="J298" s="2" t="s">
        <v>28</v>
      </c>
      <c r="K298" s="2" t="s">
        <v>29</v>
      </c>
      <c r="L298" s="2">
        <v>41</v>
      </c>
      <c r="M298" s="2">
        <v>42</v>
      </c>
      <c r="N298" s="2">
        <v>13110.06</v>
      </c>
      <c r="O298" s="2">
        <v>250</v>
      </c>
      <c r="P298" s="2">
        <v>247.46</v>
      </c>
      <c r="Q298" s="2" t="s">
        <v>22</v>
      </c>
      <c r="R298" s="2">
        <v>3</v>
      </c>
    </row>
    <row r="299" spans="1:18" x14ac:dyDescent="0.3">
      <c r="A299" s="2" t="s">
        <v>350</v>
      </c>
      <c r="B299" s="2" t="s">
        <v>25</v>
      </c>
      <c r="E299" s="2" t="s">
        <v>25</v>
      </c>
      <c r="F299" s="1">
        <v>46063</v>
      </c>
      <c r="G299" s="2" t="s">
        <v>41</v>
      </c>
      <c r="H299" s="2" t="s">
        <v>45</v>
      </c>
      <c r="I299" s="2" t="s">
        <v>27</v>
      </c>
      <c r="J299" s="2" t="s">
        <v>55</v>
      </c>
      <c r="K299" s="2" t="s">
        <v>52</v>
      </c>
      <c r="L299" s="2">
        <v>24</v>
      </c>
      <c r="M299" s="2">
        <v>17</v>
      </c>
      <c r="N299" s="2">
        <v>17918.3</v>
      </c>
      <c r="O299" s="2">
        <v>113.73</v>
      </c>
      <c r="P299" s="2">
        <v>171.32</v>
      </c>
      <c r="Q299" s="2" t="s">
        <v>30</v>
      </c>
      <c r="R299" s="2">
        <v>4</v>
      </c>
    </row>
    <row r="300" spans="1:18" x14ac:dyDescent="0.3">
      <c r="A300" s="2" t="s">
        <v>351</v>
      </c>
      <c r="B300" s="2" t="s">
        <v>78</v>
      </c>
      <c r="E300" s="2" t="s">
        <v>78</v>
      </c>
      <c r="F300" s="1">
        <v>46160</v>
      </c>
      <c r="G300" s="2" t="s">
        <v>90</v>
      </c>
      <c r="H300" s="2" t="s">
        <v>18</v>
      </c>
      <c r="I300" s="2" t="s">
        <v>68</v>
      </c>
      <c r="J300" s="2" t="s">
        <v>28</v>
      </c>
      <c r="K300" s="2" t="s">
        <v>21</v>
      </c>
      <c r="L300" s="2">
        <v>27</v>
      </c>
      <c r="M300" s="2">
        <v>63</v>
      </c>
      <c r="N300" s="2">
        <v>35427.96</v>
      </c>
      <c r="O300" s="2">
        <v>96.12</v>
      </c>
      <c r="P300" s="2">
        <v>185.53</v>
      </c>
      <c r="Q300" s="2" t="s">
        <v>22</v>
      </c>
      <c r="R300" s="2">
        <v>3</v>
      </c>
    </row>
    <row r="301" spans="1:18" x14ac:dyDescent="0.3">
      <c r="A301" s="2" t="s">
        <v>352</v>
      </c>
      <c r="B301" s="2" t="s">
        <v>78</v>
      </c>
      <c r="E301" s="2" t="s">
        <v>78</v>
      </c>
      <c r="F301" s="1">
        <v>46107</v>
      </c>
      <c r="G301" s="2" t="s">
        <v>54</v>
      </c>
      <c r="H301" s="2" t="s">
        <v>38</v>
      </c>
      <c r="I301" s="2" t="s">
        <v>68</v>
      </c>
      <c r="J301" s="2" t="s">
        <v>64</v>
      </c>
      <c r="K301" s="2" t="s">
        <v>29</v>
      </c>
      <c r="L301" s="2">
        <v>46</v>
      </c>
      <c r="M301" s="2">
        <v>45</v>
      </c>
      <c r="N301" s="2">
        <v>26316.77</v>
      </c>
      <c r="O301" s="2">
        <v>290.95999999999998</v>
      </c>
      <c r="P301" s="2">
        <v>284.95999999999998</v>
      </c>
      <c r="Q301" s="2" t="s">
        <v>22</v>
      </c>
      <c r="R301" s="2">
        <v>1</v>
      </c>
    </row>
    <row r="302" spans="1:18" x14ac:dyDescent="0.3">
      <c r="A302" s="2" t="s">
        <v>353</v>
      </c>
      <c r="B302" s="2" t="s">
        <v>33</v>
      </c>
      <c r="E302" s="2" t="s">
        <v>33</v>
      </c>
      <c r="F302" s="1">
        <v>45957</v>
      </c>
      <c r="G302" s="2" t="s">
        <v>54</v>
      </c>
      <c r="H302" s="2" t="s">
        <v>45</v>
      </c>
      <c r="I302" s="2" t="s">
        <v>68</v>
      </c>
      <c r="J302" s="2" t="s">
        <v>35</v>
      </c>
      <c r="K302" s="2" t="s">
        <v>52</v>
      </c>
      <c r="L302" s="2">
        <v>67</v>
      </c>
      <c r="M302" s="2">
        <v>77</v>
      </c>
      <c r="N302" s="2">
        <v>6670.05</v>
      </c>
      <c r="O302" s="2">
        <v>88.31</v>
      </c>
      <c r="P302" s="2">
        <v>110.97</v>
      </c>
      <c r="Q302" s="2" t="s">
        <v>22</v>
      </c>
      <c r="R302" s="2">
        <v>1</v>
      </c>
    </row>
    <row r="303" spans="1:18" x14ac:dyDescent="0.3">
      <c r="A303" s="2" t="s">
        <v>354</v>
      </c>
      <c r="B303" s="2" t="s">
        <v>51</v>
      </c>
      <c r="E303" s="2" t="s">
        <v>51</v>
      </c>
      <c r="F303" s="1">
        <v>45901</v>
      </c>
      <c r="G303" s="2" t="s">
        <v>24</v>
      </c>
      <c r="H303" s="2" t="s">
        <v>38</v>
      </c>
      <c r="I303" s="2" t="s">
        <v>19</v>
      </c>
      <c r="J303" s="2" t="s">
        <v>64</v>
      </c>
      <c r="K303" s="2" t="s">
        <v>21</v>
      </c>
      <c r="L303" s="2">
        <v>70</v>
      </c>
      <c r="M303" s="2">
        <v>7</v>
      </c>
      <c r="N303" s="2">
        <v>48090.02</v>
      </c>
      <c r="O303" s="2">
        <v>186.33</v>
      </c>
      <c r="P303" s="2">
        <v>68.2</v>
      </c>
      <c r="Q303" s="2" t="s">
        <v>30</v>
      </c>
      <c r="R303" s="2">
        <v>2</v>
      </c>
    </row>
    <row r="304" spans="1:18" x14ac:dyDescent="0.3">
      <c r="A304" s="2" t="s">
        <v>355</v>
      </c>
      <c r="B304" s="2" t="s">
        <v>62</v>
      </c>
      <c r="E304" s="2" t="s">
        <v>62</v>
      </c>
      <c r="F304" s="1">
        <v>46000</v>
      </c>
      <c r="G304" s="2" t="s">
        <v>74</v>
      </c>
      <c r="H304" s="2" t="s">
        <v>45</v>
      </c>
      <c r="I304" s="2" t="s">
        <v>19</v>
      </c>
      <c r="J304" s="2" t="s">
        <v>20</v>
      </c>
      <c r="K304" s="2" t="s">
        <v>56</v>
      </c>
      <c r="L304" s="2">
        <v>32</v>
      </c>
      <c r="M304" s="2">
        <v>27</v>
      </c>
      <c r="N304" s="2">
        <v>31977.58</v>
      </c>
      <c r="O304" s="2">
        <v>385.07</v>
      </c>
      <c r="P304" s="2">
        <v>192.37</v>
      </c>
      <c r="Q304" s="2" t="s">
        <v>30</v>
      </c>
      <c r="R304" s="2">
        <v>3</v>
      </c>
    </row>
    <row r="305" spans="1:18" x14ac:dyDescent="0.3">
      <c r="A305" s="2" t="s">
        <v>356</v>
      </c>
      <c r="B305" s="2" t="s">
        <v>76</v>
      </c>
      <c r="E305" s="2" t="s">
        <v>76</v>
      </c>
      <c r="F305" s="1">
        <v>45963</v>
      </c>
      <c r="G305" s="2" t="s">
        <v>16</v>
      </c>
      <c r="H305" s="2" t="s">
        <v>26</v>
      </c>
      <c r="I305" s="2" t="s">
        <v>27</v>
      </c>
      <c r="J305" s="2" t="s">
        <v>35</v>
      </c>
      <c r="K305" s="2" t="s">
        <v>21</v>
      </c>
      <c r="L305" s="2">
        <v>51</v>
      </c>
      <c r="M305" s="2">
        <v>10</v>
      </c>
      <c r="N305" s="2">
        <v>38410.49</v>
      </c>
      <c r="O305" s="2">
        <v>483.99</v>
      </c>
      <c r="P305" s="2">
        <v>109.48</v>
      </c>
      <c r="Q305" s="2" t="s">
        <v>22</v>
      </c>
      <c r="R305" s="2">
        <v>3</v>
      </c>
    </row>
    <row r="306" spans="1:18" x14ac:dyDescent="0.3">
      <c r="A306" s="2" t="s">
        <v>357</v>
      </c>
      <c r="B306" s="2" t="s">
        <v>37</v>
      </c>
      <c r="E306" s="2" t="s">
        <v>37</v>
      </c>
      <c r="F306" s="1">
        <v>46001</v>
      </c>
      <c r="G306" s="2" t="s">
        <v>32</v>
      </c>
      <c r="H306" s="2" t="s">
        <v>18</v>
      </c>
      <c r="I306" s="2" t="s">
        <v>34</v>
      </c>
      <c r="J306" s="2" t="s">
        <v>64</v>
      </c>
      <c r="K306" s="2" t="s">
        <v>29</v>
      </c>
      <c r="L306" s="2">
        <v>37</v>
      </c>
      <c r="M306" s="2">
        <v>34</v>
      </c>
      <c r="N306" s="2">
        <v>4421.05</v>
      </c>
      <c r="O306" s="2">
        <v>373.04</v>
      </c>
      <c r="P306" s="2">
        <v>19.27</v>
      </c>
      <c r="Q306" s="2" t="s">
        <v>30</v>
      </c>
      <c r="R306" s="2">
        <v>4</v>
      </c>
    </row>
    <row r="307" spans="1:18" x14ac:dyDescent="0.3">
      <c r="A307" s="2" t="s">
        <v>358</v>
      </c>
      <c r="B307" s="2" t="s">
        <v>44</v>
      </c>
      <c r="E307" s="2" t="s">
        <v>44</v>
      </c>
      <c r="F307" s="1">
        <v>46088</v>
      </c>
      <c r="G307" s="2" t="s">
        <v>43</v>
      </c>
      <c r="H307" s="2" t="s">
        <v>45</v>
      </c>
      <c r="I307" s="2" t="s">
        <v>27</v>
      </c>
      <c r="J307" s="2" t="s">
        <v>55</v>
      </c>
      <c r="K307" s="2" t="s">
        <v>29</v>
      </c>
      <c r="L307" s="2">
        <v>53</v>
      </c>
      <c r="M307" s="2">
        <v>36</v>
      </c>
      <c r="N307" s="2">
        <v>2829.39</v>
      </c>
      <c r="O307" s="2">
        <v>496.68</v>
      </c>
      <c r="P307" s="2">
        <v>192.84</v>
      </c>
      <c r="Q307" s="2" t="s">
        <v>30</v>
      </c>
      <c r="R307" s="2">
        <v>4</v>
      </c>
    </row>
    <row r="308" spans="1:18" x14ac:dyDescent="0.3">
      <c r="A308" s="2" t="s">
        <v>359</v>
      </c>
      <c r="B308" s="2" t="s">
        <v>17</v>
      </c>
      <c r="E308" s="2" t="s">
        <v>17</v>
      </c>
      <c r="F308" s="1">
        <v>46215</v>
      </c>
      <c r="G308" s="2" t="s">
        <v>90</v>
      </c>
      <c r="H308" s="2" t="s">
        <v>58</v>
      </c>
      <c r="I308" s="2" t="s">
        <v>39</v>
      </c>
      <c r="J308" s="2" t="s">
        <v>35</v>
      </c>
      <c r="K308" s="2" t="s">
        <v>29</v>
      </c>
      <c r="L308" s="2">
        <v>31</v>
      </c>
      <c r="M308" s="2">
        <v>25</v>
      </c>
      <c r="N308" s="2">
        <v>1462.68</v>
      </c>
      <c r="O308" s="2">
        <v>364.25</v>
      </c>
      <c r="P308" s="2">
        <v>176.31</v>
      </c>
      <c r="Q308" s="2" t="s">
        <v>22</v>
      </c>
      <c r="R308" s="2">
        <v>3</v>
      </c>
    </row>
    <row r="309" spans="1:18" x14ac:dyDescent="0.3">
      <c r="A309" s="2" t="s">
        <v>360</v>
      </c>
      <c r="B309" s="2" t="s">
        <v>47</v>
      </c>
      <c r="E309" s="2" t="s">
        <v>47</v>
      </c>
      <c r="F309" s="1">
        <v>45890</v>
      </c>
      <c r="G309" s="2" t="s">
        <v>90</v>
      </c>
      <c r="H309" s="2" t="s">
        <v>58</v>
      </c>
      <c r="I309" s="2" t="s">
        <v>68</v>
      </c>
      <c r="J309" s="2" t="s">
        <v>35</v>
      </c>
      <c r="K309" s="2" t="s">
        <v>29</v>
      </c>
      <c r="L309" s="2">
        <v>48</v>
      </c>
      <c r="M309" s="2">
        <v>6</v>
      </c>
      <c r="N309" s="2">
        <v>9845.2999999999993</v>
      </c>
      <c r="O309" s="2">
        <v>182.21</v>
      </c>
      <c r="P309" s="2">
        <v>268.74</v>
      </c>
      <c r="Q309" s="2" t="s">
        <v>22</v>
      </c>
      <c r="R309" s="2">
        <v>2</v>
      </c>
    </row>
    <row r="310" spans="1:18" x14ac:dyDescent="0.3">
      <c r="A310" s="2" t="s">
        <v>361</v>
      </c>
      <c r="B310" s="2" t="s">
        <v>76</v>
      </c>
      <c r="E310" s="2" t="s">
        <v>76</v>
      </c>
      <c r="F310" s="1">
        <v>46031</v>
      </c>
      <c r="G310" s="2" t="s">
        <v>41</v>
      </c>
      <c r="H310" s="2" t="s">
        <v>45</v>
      </c>
      <c r="I310" s="2" t="s">
        <v>68</v>
      </c>
      <c r="J310" s="2" t="s">
        <v>28</v>
      </c>
      <c r="K310" s="2" t="s">
        <v>29</v>
      </c>
      <c r="L310" s="2">
        <v>52</v>
      </c>
      <c r="M310" s="2">
        <v>24</v>
      </c>
      <c r="N310" s="2">
        <v>21013.22</v>
      </c>
      <c r="O310" s="2">
        <v>352.42</v>
      </c>
      <c r="P310" s="2">
        <v>195.96</v>
      </c>
      <c r="Q310" s="2" t="s">
        <v>22</v>
      </c>
      <c r="R310" s="2">
        <v>3</v>
      </c>
    </row>
    <row r="311" spans="1:18" x14ac:dyDescent="0.3">
      <c r="A311" s="2" t="s">
        <v>362</v>
      </c>
      <c r="B311" s="2" t="s">
        <v>67</v>
      </c>
      <c r="E311" s="2" t="s">
        <v>67</v>
      </c>
      <c r="F311" s="1">
        <v>45983</v>
      </c>
      <c r="G311" s="2" t="s">
        <v>74</v>
      </c>
      <c r="H311" s="2" t="s">
        <v>45</v>
      </c>
      <c r="I311" s="2" t="s">
        <v>68</v>
      </c>
      <c r="J311" s="2" t="s">
        <v>55</v>
      </c>
      <c r="K311" s="2" t="s">
        <v>52</v>
      </c>
      <c r="L311" s="2">
        <v>21</v>
      </c>
      <c r="M311" s="2">
        <v>18</v>
      </c>
      <c r="N311" s="2">
        <v>46823.39</v>
      </c>
      <c r="O311" s="2">
        <v>365.97</v>
      </c>
      <c r="P311" s="2">
        <v>69.81</v>
      </c>
      <c r="Q311" s="2" t="s">
        <v>22</v>
      </c>
      <c r="R311" s="2">
        <v>4</v>
      </c>
    </row>
    <row r="312" spans="1:18" x14ac:dyDescent="0.3">
      <c r="A312" s="2" t="s">
        <v>363</v>
      </c>
      <c r="B312" s="2" t="s">
        <v>82</v>
      </c>
      <c r="E312" s="2" t="s">
        <v>82</v>
      </c>
      <c r="F312" s="1">
        <v>46130</v>
      </c>
      <c r="G312" s="2" t="s">
        <v>54</v>
      </c>
      <c r="H312" s="2" t="s">
        <v>45</v>
      </c>
      <c r="I312" s="2" t="s">
        <v>27</v>
      </c>
      <c r="J312" s="2" t="s">
        <v>20</v>
      </c>
      <c r="K312" s="2" t="s">
        <v>29</v>
      </c>
      <c r="L312" s="2">
        <v>67</v>
      </c>
      <c r="M312" s="2">
        <v>87</v>
      </c>
      <c r="N312" s="2">
        <v>23124.45</v>
      </c>
      <c r="O312" s="2">
        <v>217.28</v>
      </c>
      <c r="P312" s="2">
        <v>289.88</v>
      </c>
      <c r="Q312" s="2" t="s">
        <v>30</v>
      </c>
      <c r="R312" s="2">
        <v>3</v>
      </c>
    </row>
    <row r="313" spans="1:18" x14ac:dyDescent="0.3">
      <c r="A313" s="2" t="s">
        <v>364</v>
      </c>
      <c r="B313" s="2" t="s">
        <v>78</v>
      </c>
      <c r="E313" s="2" t="s">
        <v>78</v>
      </c>
      <c r="F313" s="1">
        <v>45876</v>
      </c>
      <c r="G313" s="2" t="s">
        <v>32</v>
      </c>
      <c r="H313" s="2" t="s">
        <v>58</v>
      </c>
      <c r="I313" s="2" t="s">
        <v>27</v>
      </c>
      <c r="J313" s="2" t="s">
        <v>64</v>
      </c>
      <c r="K313" s="2" t="s">
        <v>52</v>
      </c>
      <c r="L313" s="2">
        <v>48</v>
      </c>
      <c r="M313" s="2">
        <v>6</v>
      </c>
      <c r="N313" s="2">
        <v>14867.63</v>
      </c>
      <c r="O313" s="2">
        <v>57.97</v>
      </c>
      <c r="P313" s="2">
        <v>160.32</v>
      </c>
      <c r="Q313" s="2" t="s">
        <v>30</v>
      </c>
      <c r="R313" s="2">
        <v>4</v>
      </c>
    </row>
    <row r="314" spans="1:18" x14ac:dyDescent="0.3">
      <c r="A314" s="2" t="s">
        <v>365</v>
      </c>
      <c r="B314" s="2" t="s">
        <v>82</v>
      </c>
      <c r="E314" s="2" t="s">
        <v>82</v>
      </c>
      <c r="F314" s="1">
        <v>45946</v>
      </c>
      <c r="G314" s="2" t="s">
        <v>24</v>
      </c>
      <c r="H314" s="2" t="s">
        <v>58</v>
      </c>
      <c r="I314" s="2" t="s">
        <v>68</v>
      </c>
      <c r="J314" s="2" t="s">
        <v>28</v>
      </c>
      <c r="K314" s="2" t="s">
        <v>56</v>
      </c>
      <c r="L314" s="2">
        <v>73</v>
      </c>
      <c r="M314" s="2">
        <v>29</v>
      </c>
      <c r="N314" s="2">
        <v>28315.8</v>
      </c>
      <c r="O314" s="2">
        <v>366.44</v>
      </c>
      <c r="P314" s="2">
        <v>126.08</v>
      </c>
      <c r="Q314" s="2" t="s">
        <v>30</v>
      </c>
      <c r="R314" s="2">
        <v>3</v>
      </c>
    </row>
    <row r="315" spans="1:18" x14ac:dyDescent="0.3">
      <c r="A315" s="2" t="s">
        <v>366</v>
      </c>
      <c r="B315" s="2" t="s">
        <v>49</v>
      </c>
      <c r="E315" s="2" t="s">
        <v>49</v>
      </c>
      <c r="F315" s="1">
        <v>46024</v>
      </c>
      <c r="G315" s="2" t="s">
        <v>54</v>
      </c>
      <c r="H315" s="2" t="s">
        <v>45</v>
      </c>
      <c r="I315" s="2" t="s">
        <v>27</v>
      </c>
      <c r="J315" s="2" t="s">
        <v>64</v>
      </c>
      <c r="K315" s="2" t="s">
        <v>29</v>
      </c>
      <c r="L315" s="2">
        <v>62</v>
      </c>
      <c r="M315" s="2">
        <v>25</v>
      </c>
      <c r="N315" s="2">
        <v>6040.76</v>
      </c>
      <c r="O315" s="2">
        <v>59.77</v>
      </c>
      <c r="P315" s="2">
        <v>87.88</v>
      </c>
      <c r="Q315" s="2" t="s">
        <v>30</v>
      </c>
      <c r="R315" s="2">
        <v>5</v>
      </c>
    </row>
    <row r="316" spans="1:18" x14ac:dyDescent="0.3">
      <c r="A316" s="2" t="s">
        <v>367</v>
      </c>
      <c r="B316" s="2" t="s">
        <v>17</v>
      </c>
      <c r="E316" s="2" t="s">
        <v>17</v>
      </c>
      <c r="F316" s="1">
        <v>46119</v>
      </c>
      <c r="G316" s="2" t="s">
        <v>43</v>
      </c>
      <c r="H316" s="2" t="s">
        <v>38</v>
      </c>
      <c r="I316" s="2" t="s">
        <v>19</v>
      </c>
      <c r="J316" s="2" t="s">
        <v>20</v>
      </c>
      <c r="K316" s="2" t="s">
        <v>29</v>
      </c>
      <c r="L316" s="2">
        <v>27</v>
      </c>
      <c r="M316" s="2">
        <v>55</v>
      </c>
      <c r="N316" s="2">
        <v>30670.54</v>
      </c>
      <c r="O316" s="2">
        <v>334.03</v>
      </c>
      <c r="P316" s="2">
        <v>112.06</v>
      </c>
      <c r="Q316" s="2" t="s">
        <v>30</v>
      </c>
      <c r="R316" s="2">
        <v>4</v>
      </c>
    </row>
    <row r="317" spans="1:18" x14ac:dyDescent="0.3">
      <c r="A317" s="2" t="s">
        <v>368</v>
      </c>
      <c r="B317" s="2" t="s">
        <v>44</v>
      </c>
      <c r="E317" s="2" t="s">
        <v>44</v>
      </c>
      <c r="F317" s="1">
        <v>46226</v>
      </c>
      <c r="G317" s="2" t="s">
        <v>74</v>
      </c>
      <c r="H317" s="2" t="s">
        <v>38</v>
      </c>
      <c r="I317" s="2" t="s">
        <v>19</v>
      </c>
      <c r="J317" s="2" t="s">
        <v>20</v>
      </c>
      <c r="K317" s="2" t="s">
        <v>21</v>
      </c>
      <c r="L317" s="2">
        <v>22</v>
      </c>
      <c r="M317" s="2">
        <v>81</v>
      </c>
      <c r="N317" s="2">
        <v>28637.38</v>
      </c>
      <c r="O317" s="2">
        <v>123.63</v>
      </c>
      <c r="P317" s="2">
        <v>133.99</v>
      </c>
      <c r="Q317" s="2" t="s">
        <v>30</v>
      </c>
      <c r="R317" s="2">
        <v>2</v>
      </c>
    </row>
    <row r="318" spans="1:18" x14ac:dyDescent="0.3">
      <c r="A318" s="2" t="s">
        <v>369</v>
      </c>
      <c r="B318" s="2" t="s">
        <v>37</v>
      </c>
      <c r="E318" s="2" t="s">
        <v>37</v>
      </c>
      <c r="F318" s="1">
        <v>46230</v>
      </c>
      <c r="G318" s="2" t="s">
        <v>43</v>
      </c>
      <c r="H318" s="2" t="s">
        <v>26</v>
      </c>
      <c r="I318" s="2" t="s">
        <v>27</v>
      </c>
      <c r="J318" s="2" t="s">
        <v>35</v>
      </c>
      <c r="K318" s="2" t="s">
        <v>56</v>
      </c>
      <c r="L318" s="2">
        <v>62</v>
      </c>
      <c r="M318" s="2">
        <v>46</v>
      </c>
      <c r="N318" s="2">
        <v>39703.660000000003</v>
      </c>
      <c r="O318" s="2">
        <v>304.52</v>
      </c>
      <c r="P318" s="2">
        <v>14.4</v>
      </c>
      <c r="Q318" s="2" t="s">
        <v>30</v>
      </c>
      <c r="R318" s="2">
        <v>5</v>
      </c>
    </row>
    <row r="319" spans="1:18" x14ac:dyDescent="0.3">
      <c r="A319" s="2" t="s">
        <v>370</v>
      </c>
      <c r="B319" s="2" t="s">
        <v>33</v>
      </c>
      <c r="E319" s="2" t="s">
        <v>33</v>
      </c>
      <c r="F319" s="1">
        <v>46007</v>
      </c>
      <c r="G319" s="2" t="s">
        <v>16</v>
      </c>
      <c r="H319" s="2" t="s">
        <v>18</v>
      </c>
      <c r="I319" s="2" t="s">
        <v>68</v>
      </c>
      <c r="J319" s="2" t="s">
        <v>20</v>
      </c>
      <c r="K319" s="2" t="s">
        <v>29</v>
      </c>
      <c r="L319" s="2">
        <v>44</v>
      </c>
      <c r="M319" s="2">
        <v>24</v>
      </c>
      <c r="N319" s="2">
        <v>49341.04</v>
      </c>
      <c r="O319" s="2">
        <v>276.76</v>
      </c>
      <c r="P319" s="2">
        <v>77.010000000000005</v>
      </c>
      <c r="Q319" s="2" t="s">
        <v>22</v>
      </c>
      <c r="R319" s="2">
        <v>3</v>
      </c>
    </row>
    <row r="320" spans="1:18" x14ac:dyDescent="0.3">
      <c r="A320" s="2" t="s">
        <v>371</v>
      </c>
      <c r="B320" s="2" t="s">
        <v>44</v>
      </c>
      <c r="E320" s="2" t="s">
        <v>44</v>
      </c>
      <c r="F320" s="1">
        <v>45963</v>
      </c>
      <c r="G320" s="2" t="s">
        <v>24</v>
      </c>
      <c r="H320" s="2" t="s">
        <v>38</v>
      </c>
      <c r="I320" s="2" t="s">
        <v>27</v>
      </c>
      <c r="J320" s="2" t="s">
        <v>64</v>
      </c>
      <c r="K320" s="2" t="s">
        <v>29</v>
      </c>
      <c r="L320" s="2">
        <v>24</v>
      </c>
      <c r="M320" s="2">
        <v>75</v>
      </c>
      <c r="N320" s="2">
        <v>12918.24</v>
      </c>
      <c r="O320" s="2">
        <v>56.08</v>
      </c>
      <c r="P320" s="2">
        <v>214.17</v>
      </c>
      <c r="Q320" s="2" t="s">
        <v>22</v>
      </c>
      <c r="R320" s="2">
        <v>4</v>
      </c>
    </row>
    <row r="321" spans="1:18" x14ac:dyDescent="0.3">
      <c r="A321" s="2" t="s">
        <v>372</v>
      </c>
      <c r="B321" s="2" t="s">
        <v>17</v>
      </c>
      <c r="E321" s="2" t="s">
        <v>17</v>
      </c>
      <c r="F321" s="1">
        <v>46090</v>
      </c>
      <c r="G321" s="2" t="s">
        <v>16</v>
      </c>
      <c r="H321" s="2" t="s">
        <v>58</v>
      </c>
      <c r="I321" s="2" t="s">
        <v>27</v>
      </c>
      <c r="J321" s="2" t="s">
        <v>55</v>
      </c>
      <c r="K321" s="2" t="s">
        <v>56</v>
      </c>
      <c r="L321" s="2">
        <v>64</v>
      </c>
      <c r="M321" s="2">
        <v>26</v>
      </c>
      <c r="N321" s="2">
        <v>25727.99</v>
      </c>
      <c r="O321" s="2">
        <v>213.29</v>
      </c>
      <c r="P321" s="2">
        <v>96</v>
      </c>
      <c r="Q321" s="2" t="s">
        <v>22</v>
      </c>
      <c r="R321" s="2">
        <v>5</v>
      </c>
    </row>
    <row r="322" spans="1:18" x14ac:dyDescent="0.3">
      <c r="A322" s="2" t="s">
        <v>373</v>
      </c>
      <c r="B322" s="2" t="s">
        <v>44</v>
      </c>
      <c r="E322" s="2" t="s">
        <v>44</v>
      </c>
      <c r="F322" s="1">
        <v>45950</v>
      </c>
      <c r="G322" s="2" t="s">
        <v>41</v>
      </c>
      <c r="H322" s="2" t="s">
        <v>38</v>
      </c>
      <c r="I322" s="2" t="s">
        <v>27</v>
      </c>
      <c r="J322" s="2" t="s">
        <v>55</v>
      </c>
      <c r="K322" s="2" t="s">
        <v>52</v>
      </c>
      <c r="L322" s="2">
        <v>39</v>
      </c>
      <c r="M322" s="2">
        <v>115</v>
      </c>
      <c r="N322" s="2">
        <v>45488.84</v>
      </c>
      <c r="O322" s="2">
        <v>320.49</v>
      </c>
      <c r="P322" s="2">
        <v>80.48</v>
      </c>
      <c r="Q322" s="2" t="s">
        <v>22</v>
      </c>
      <c r="R322" s="2">
        <v>2</v>
      </c>
    </row>
    <row r="323" spans="1:18" x14ac:dyDescent="0.3">
      <c r="A323" s="2" t="s">
        <v>374</v>
      </c>
      <c r="B323" s="2" t="s">
        <v>17</v>
      </c>
      <c r="E323" s="2" t="s">
        <v>17</v>
      </c>
      <c r="F323" s="1">
        <v>46063</v>
      </c>
      <c r="G323" s="2" t="s">
        <v>43</v>
      </c>
      <c r="H323" s="2" t="s">
        <v>26</v>
      </c>
      <c r="I323" s="2" t="s">
        <v>39</v>
      </c>
      <c r="J323" s="2" t="s">
        <v>35</v>
      </c>
      <c r="K323" s="2" t="s">
        <v>29</v>
      </c>
      <c r="L323" s="2">
        <v>46</v>
      </c>
      <c r="M323" s="2">
        <v>98</v>
      </c>
      <c r="N323" s="2">
        <v>39366.9</v>
      </c>
      <c r="O323" s="2">
        <v>431.87</v>
      </c>
      <c r="P323" s="2">
        <v>45.44</v>
      </c>
      <c r="Q323" s="2" t="s">
        <v>30</v>
      </c>
      <c r="R323" s="2">
        <v>4</v>
      </c>
    </row>
    <row r="324" spans="1:18" x14ac:dyDescent="0.3">
      <c r="A324" s="2" t="s">
        <v>375</v>
      </c>
      <c r="B324" s="2" t="s">
        <v>17</v>
      </c>
      <c r="E324" s="2" t="s">
        <v>17</v>
      </c>
      <c r="F324" s="1">
        <v>46026</v>
      </c>
      <c r="G324" s="2" t="s">
        <v>41</v>
      </c>
      <c r="H324" s="2" t="s">
        <v>26</v>
      </c>
      <c r="I324" s="2" t="s">
        <v>19</v>
      </c>
      <c r="J324" s="2" t="s">
        <v>64</v>
      </c>
      <c r="K324" s="2" t="s">
        <v>21</v>
      </c>
      <c r="L324" s="2">
        <v>31</v>
      </c>
      <c r="M324" s="2">
        <v>28</v>
      </c>
      <c r="N324" s="2">
        <v>24626.61</v>
      </c>
      <c r="O324" s="2">
        <v>449.89</v>
      </c>
      <c r="P324" s="2">
        <v>88.37</v>
      </c>
      <c r="Q324" s="2" t="s">
        <v>22</v>
      </c>
      <c r="R324" s="2">
        <v>5</v>
      </c>
    </row>
    <row r="325" spans="1:18" x14ac:dyDescent="0.3">
      <c r="A325" s="2" t="s">
        <v>376</v>
      </c>
      <c r="B325" s="2" t="s">
        <v>86</v>
      </c>
      <c r="E325" s="2" t="s">
        <v>86</v>
      </c>
      <c r="F325" s="1">
        <v>45930</v>
      </c>
      <c r="G325" s="2" t="s">
        <v>90</v>
      </c>
      <c r="H325" s="2" t="s">
        <v>18</v>
      </c>
      <c r="I325" s="2" t="s">
        <v>34</v>
      </c>
      <c r="J325" s="2" t="s">
        <v>64</v>
      </c>
      <c r="K325" s="2" t="s">
        <v>29</v>
      </c>
      <c r="L325" s="2">
        <v>60</v>
      </c>
      <c r="M325" s="2">
        <v>3</v>
      </c>
      <c r="N325" s="2">
        <v>47295.9</v>
      </c>
      <c r="O325" s="2">
        <v>267.73</v>
      </c>
      <c r="P325" s="2">
        <v>231.21</v>
      </c>
      <c r="Q325" s="2" t="s">
        <v>30</v>
      </c>
      <c r="R325" s="2">
        <v>5</v>
      </c>
    </row>
    <row r="326" spans="1:18" x14ac:dyDescent="0.3">
      <c r="A326" s="2" t="s">
        <v>377</v>
      </c>
      <c r="B326" s="2" t="s">
        <v>47</v>
      </c>
      <c r="E326" s="2" t="s">
        <v>47</v>
      </c>
      <c r="F326" s="1">
        <v>46151</v>
      </c>
      <c r="G326" s="2" t="s">
        <v>16</v>
      </c>
      <c r="H326" s="2" t="s">
        <v>38</v>
      </c>
      <c r="I326" s="2" t="s">
        <v>34</v>
      </c>
      <c r="J326" s="2" t="s">
        <v>20</v>
      </c>
      <c r="K326" s="2" t="s">
        <v>21</v>
      </c>
      <c r="L326" s="2">
        <v>70</v>
      </c>
      <c r="M326" s="2">
        <v>75</v>
      </c>
      <c r="N326" s="2">
        <v>3333.22</v>
      </c>
      <c r="O326" s="2">
        <v>377.79</v>
      </c>
      <c r="P326" s="2">
        <v>52.8</v>
      </c>
      <c r="Q326" s="2" t="s">
        <v>22</v>
      </c>
      <c r="R326" s="2">
        <v>5</v>
      </c>
    </row>
    <row r="327" spans="1:18" x14ac:dyDescent="0.3">
      <c r="A327" s="2" t="s">
        <v>378</v>
      </c>
      <c r="B327" s="2" t="s">
        <v>60</v>
      </c>
      <c r="E327" s="2" t="s">
        <v>60</v>
      </c>
      <c r="F327" s="1">
        <v>45925</v>
      </c>
      <c r="G327" s="2" t="s">
        <v>74</v>
      </c>
      <c r="H327" s="2" t="s">
        <v>58</v>
      </c>
      <c r="I327" s="2" t="s">
        <v>39</v>
      </c>
      <c r="J327" s="2" t="s">
        <v>64</v>
      </c>
      <c r="K327" s="2" t="s">
        <v>21</v>
      </c>
      <c r="L327" s="2">
        <v>63</v>
      </c>
      <c r="M327" s="2">
        <v>38</v>
      </c>
      <c r="N327" s="2">
        <v>46584.43</v>
      </c>
      <c r="O327" s="2">
        <v>192.4</v>
      </c>
      <c r="P327" s="2">
        <v>1.08</v>
      </c>
      <c r="Q327" s="2" t="s">
        <v>22</v>
      </c>
      <c r="R327" s="2">
        <v>1</v>
      </c>
    </row>
    <row r="328" spans="1:18" x14ac:dyDescent="0.3">
      <c r="A328" s="2" t="s">
        <v>379</v>
      </c>
      <c r="B328" s="2" t="s">
        <v>82</v>
      </c>
      <c r="E328" s="2" t="s">
        <v>82</v>
      </c>
      <c r="F328" s="1">
        <v>46045</v>
      </c>
      <c r="G328" s="2" t="s">
        <v>43</v>
      </c>
      <c r="H328" s="2" t="s">
        <v>58</v>
      </c>
      <c r="I328" s="2" t="s">
        <v>27</v>
      </c>
      <c r="J328" s="2" t="s">
        <v>28</v>
      </c>
      <c r="K328" s="2" t="s">
        <v>29</v>
      </c>
      <c r="L328" s="2">
        <v>31</v>
      </c>
      <c r="M328" s="2">
        <v>61</v>
      </c>
      <c r="N328" s="2">
        <v>3000.12</v>
      </c>
      <c r="O328" s="2">
        <v>203.98</v>
      </c>
      <c r="P328" s="2">
        <v>200.55</v>
      </c>
      <c r="Q328" s="2" t="s">
        <v>22</v>
      </c>
      <c r="R328" s="2">
        <v>3</v>
      </c>
    </row>
    <row r="329" spans="1:18" x14ac:dyDescent="0.3">
      <c r="A329" s="2" t="s">
        <v>380</v>
      </c>
      <c r="B329" s="2" t="s">
        <v>60</v>
      </c>
      <c r="E329" s="2" t="s">
        <v>60</v>
      </c>
      <c r="F329" s="1">
        <v>45970</v>
      </c>
      <c r="G329" s="2" t="s">
        <v>32</v>
      </c>
      <c r="H329" s="2" t="s">
        <v>45</v>
      </c>
      <c r="I329" s="2" t="s">
        <v>39</v>
      </c>
      <c r="J329" s="2" t="s">
        <v>20</v>
      </c>
      <c r="K329" s="2" t="s">
        <v>29</v>
      </c>
      <c r="L329" s="2">
        <v>65</v>
      </c>
      <c r="M329" s="2">
        <v>78</v>
      </c>
      <c r="N329" s="2">
        <v>27591.58</v>
      </c>
      <c r="O329" s="2">
        <v>137.51</v>
      </c>
      <c r="P329" s="2">
        <v>291.8</v>
      </c>
      <c r="Q329" s="2" t="s">
        <v>30</v>
      </c>
      <c r="R329" s="2">
        <v>4</v>
      </c>
    </row>
    <row r="330" spans="1:18" x14ac:dyDescent="0.3">
      <c r="A330" s="2" t="s">
        <v>381</v>
      </c>
      <c r="B330" s="2" t="s">
        <v>60</v>
      </c>
      <c r="E330" s="2" t="s">
        <v>60</v>
      </c>
      <c r="F330" s="1">
        <v>46140</v>
      </c>
      <c r="G330" s="2" t="s">
        <v>24</v>
      </c>
      <c r="H330" s="2" t="s">
        <v>58</v>
      </c>
      <c r="I330" s="2" t="s">
        <v>39</v>
      </c>
      <c r="J330" s="2" t="s">
        <v>28</v>
      </c>
      <c r="K330" s="2" t="s">
        <v>21</v>
      </c>
      <c r="L330" s="2">
        <v>23</v>
      </c>
      <c r="M330" s="2">
        <v>51</v>
      </c>
      <c r="N330" s="2">
        <v>44576.83</v>
      </c>
      <c r="O330" s="2">
        <v>302.88</v>
      </c>
      <c r="P330" s="2">
        <v>121.37</v>
      </c>
      <c r="Q330" s="2" t="s">
        <v>30</v>
      </c>
      <c r="R330" s="2">
        <v>4</v>
      </c>
    </row>
    <row r="331" spans="1:18" x14ac:dyDescent="0.3">
      <c r="A331" s="2" t="s">
        <v>382</v>
      </c>
      <c r="B331" s="2" t="s">
        <v>60</v>
      </c>
      <c r="E331" s="2" t="s">
        <v>60</v>
      </c>
      <c r="F331" s="1">
        <v>46135</v>
      </c>
      <c r="G331" s="2" t="s">
        <v>54</v>
      </c>
      <c r="H331" s="2" t="s">
        <v>18</v>
      </c>
      <c r="I331" s="2" t="s">
        <v>68</v>
      </c>
      <c r="J331" s="2" t="s">
        <v>35</v>
      </c>
      <c r="K331" s="2" t="s">
        <v>56</v>
      </c>
      <c r="L331" s="2">
        <v>32</v>
      </c>
      <c r="M331" s="2">
        <v>90</v>
      </c>
      <c r="N331" s="2">
        <v>13504.69</v>
      </c>
      <c r="O331" s="2">
        <v>191.55</v>
      </c>
      <c r="P331" s="2">
        <v>23.98</v>
      </c>
      <c r="Q331" s="2" t="s">
        <v>30</v>
      </c>
      <c r="R331" s="2">
        <v>4</v>
      </c>
    </row>
    <row r="332" spans="1:18" x14ac:dyDescent="0.3">
      <c r="A332" s="2" t="s">
        <v>383</v>
      </c>
      <c r="B332" s="2" t="s">
        <v>25</v>
      </c>
      <c r="E332" s="2" t="s">
        <v>25</v>
      </c>
      <c r="F332" s="1">
        <v>46141</v>
      </c>
      <c r="G332" s="2" t="s">
        <v>74</v>
      </c>
      <c r="H332" s="2" t="s">
        <v>18</v>
      </c>
      <c r="I332" s="2" t="s">
        <v>19</v>
      </c>
      <c r="J332" s="2" t="s">
        <v>55</v>
      </c>
      <c r="K332" s="2" t="s">
        <v>56</v>
      </c>
      <c r="L332" s="2">
        <v>23</v>
      </c>
      <c r="M332" s="2">
        <v>48</v>
      </c>
      <c r="N332" s="2">
        <v>23876.3</v>
      </c>
      <c r="O332" s="2">
        <v>87.97</v>
      </c>
      <c r="P332" s="2">
        <v>64.150000000000006</v>
      </c>
      <c r="Q332" s="2" t="s">
        <v>30</v>
      </c>
      <c r="R332" s="2">
        <v>5</v>
      </c>
    </row>
    <row r="333" spans="1:18" x14ac:dyDescent="0.3">
      <c r="A333" s="2" t="s">
        <v>384</v>
      </c>
      <c r="B333" s="2" t="s">
        <v>78</v>
      </c>
      <c r="E333" s="2" t="s">
        <v>78</v>
      </c>
      <c r="F333" s="1">
        <v>46166</v>
      </c>
      <c r="G333" s="2" t="s">
        <v>74</v>
      </c>
      <c r="H333" s="2" t="s">
        <v>58</v>
      </c>
      <c r="I333" s="2" t="s">
        <v>34</v>
      </c>
      <c r="J333" s="2" t="s">
        <v>35</v>
      </c>
      <c r="K333" s="2" t="s">
        <v>29</v>
      </c>
      <c r="L333" s="2">
        <v>62</v>
      </c>
      <c r="M333" s="2">
        <v>21</v>
      </c>
      <c r="N333" s="2">
        <v>16554.28</v>
      </c>
      <c r="O333" s="2">
        <v>358.25</v>
      </c>
      <c r="P333" s="2">
        <v>260.3</v>
      </c>
      <c r="Q333" s="2" t="s">
        <v>30</v>
      </c>
      <c r="R333" s="2">
        <v>3</v>
      </c>
    </row>
    <row r="334" spans="1:18" x14ac:dyDescent="0.3">
      <c r="A334" s="2" t="s">
        <v>385</v>
      </c>
      <c r="B334" s="2" t="s">
        <v>86</v>
      </c>
      <c r="E334" s="2" t="s">
        <v>86</v>
      </c>
      <c r="F334" s="1">
        <v>46061</v>
      </c>
      <c r="G334" s="2" t="s">
        <v>41</v>
      </c>
      <c r="H334" s="2" t="s">
        <v>58</v>
      </c>
      <c r="I334" s="2" t="s">
        <v>27</v>
      </c>
      <c r="J334" s="2" t="s">
        <v>55</v>
      </c>
      <c r="K334" s="2" t="s">
        <v>52</v>
      </c>
      <c r="L334" s="2">
        <v>47</v>
      </c>
      <c r="M334" s="2">
        <v>54</v>
      </c>
      <c r="N334" s="2">
        <v>47631.12</v>
      </c>
      <c r="O334" s="2">
        <v>368.49</v>
      </c>
      <c r="P334" s="2">
        <v>46.51</v>
      </c>
      <c r="Q334" s="2" t="s">
        <v>30</v>
      </c>
      <c r="R334" s="2">
        <v>2</v>
      </c>
    </row>
    <row r="335" spans="1:18" x14ac:dyDescent="0.3">
      <c r="A335" s="2" t="s">
        <v>386</v>
      </c>
      <c r="B335" s="2" t="s">
        <v>37</v>
      </c>
      <c r="E335" s="2" t="s">
        <v>37</v>
      </c>
      <c r="F335" s="1">
        <v>46161</v>
      </c>
      <c r="G335" s="2" t="s">
        <v>16</v>
      </c>
      <c r="H335" s="2" t="s">
        <v>45</v>
      </c>
      <c r="I335" s="2" t="s">
        <v>34</v>
      </c>
      <c r="J335" s="2" t="s">
        <v>35</v>
      </c>
      <c r="K335" s="2" t="s">
        <v>56</v>
      </c>
      <c r="L335" s="2">
        <v>69</v>
      </c>
      <c r="M335" s="2">
        <v>56</v>
      </c>
      <c r="N335" s="2">
        <v>41270.46</v>
      </c>
      <c r="O335" s="2">
        <v>212</v>
      </c>
      <c r="P335" s="2">
        <v>121.54</v>
      </c>
      <c r="Q335" s="2" t="s">
        <v>30</v>
      </c>
      <c r="R335" s="2">
        <v>4</v>
      </c>
    </row>
    <row r="336" spans="1:18" x14ac:dyDescent="0.3">
      <c r="A336" s="2" t="s">
        <v>387</v>
      </c>
      <c r="B336" s="2" t="s">
        <v>86</v>
      </c>
      <c r="E336" s="2" t="s">
        <v>86</v>
      </c>
      <c r="F336" s="1">
        <v>46089</v>
      </c>
      <c r="G336" s="2" t="s">
        <v>43</v>
      </c>
      <c r="H336" s="2" t="s">
        <v>58</v>
      </c>
      <c r="I336" s="2" t="s">
        <v>34</v>
      </c>
      <c r="J336" s="2" t="s">
        <v>64</v>
      </c>
      <c r="K336" s="2" t="s">
        <v>29</v>
      </c>
      <c r="L336" s="2">
        <v>74</v>
      </c>
      <c r="M336" s="2">
        <v>103</v>
      </c>
      <c r="N336" s="2">
        <v>35595.57</v>
      </c>
      <c r="O336" s="2">
        <v>84.53</v>
      </c>
      <c r="P336" s="2">
        <v>120.8</v>
      </c>
      <c r="Q336" s="2" t="s">
        <v>30</v>
      </c>
      <c r="R336" s="2">
        <v>3</v>
      </c>
    </row>
    <row r="337" spans="1:18" x14ac:dyDescent="0.3">
      <c r="A337" s="2" t="s">
        <v>388</v>
      </c>
      <c r="B337" s="2" t="s">
        <v>62</v>
      </c>
      <c r="E337" s="2" t="s">
        <v>62</v>
      </c>
      <c r="F337" s="1">
        <v>46050</v>
      </c>
      <c r="G337" s="2" t="s">
        <v>43</v>
      </c>
      <c r="H337" s="2" t="s">
        <v>45</v>
      </c>
      <c r="I337" s="2" t="s">
        <v>19</v>
      </c>
      <c r="J337" s="2" t="s">
        <v>28</v>
      </c>
      <c r="K337" s="2" t="s">
        <v>56</v>
      </c>
      <c r="L337" s="2">
        <v>22</v>
      </c>
      <c r="M337" s="2">
        <v>94</v>
      </c>
      <c r="N337" s="2">
        <v>29587.54</v>
      </c>
      <c r="O337" s="2">
        <v>241.83</v>
      </c>
      <c r="P337" s="2">
        <v>41.57</v>
      </c>
      <c r="Q337" s="2" t="s">
        <v>22</v>
      </c>
      <c r="R337" s="2">
        <v>3</v>
      </c>
    </row>
    <row r="338" spans="1:18" x14ac:dyDescent="0.3">
      <c r="A338" s="2" t="s">
        <v>389</v>
      </c>
      <c r="B338" s="2" t="s">
        <v>62</v>
      </c>
      <c r="E338" s="2" t="s">
        <v>62</v>
      </c>
      <c r="F338" s="1">
        <v>46124</v>
      </c>
      <c r="G338" s="2" t="s">
        <v>90</v>
      </c>
      <c r="H338" s="2" t="s">
        <v>45</v>
      </c>
      <c r="I338" s="2" t="s">
        <v>34</v>
      </c>
      <c r="J338" s="2" t="s">
        <v>55</v>
      </c>
      <c r="K338" s="2" t="s">
        <v>52</v>
      </c>
      <c r="L338" s="2">
        <v>69</v>
      </c>
      <c r="M338" s="2">
        <v>59</v>
      </c>
      <c r="N338" s="2">
        <v>41119.29</v>
      </c>
      <c r="O338" s="2">
        <v>249.05</v>
      </c>
      <c r="P338" s="2">
        <v>162.68</v>
      </c>
      <c r="Q338" s="2" t="s">
        <v>30</v>
      </c>
      <c r="R338" s="2">
        <v>1</v>
      </c>
    </row>
    <row r="339" spans="1:18" x14ac:dyDescent="0.3">
      <c r="A339" s="2" t="s">
        <v>390</v>
      </c>
      <c r="B339" s="2" t="s">
        <v>25</v>
      </c>
      <c r="E339" s="2" t="s">
        <v>25</v>
      </c>
      <c r="F339" s="1">
        <v>45901</v>
      </c>
      <c r="G339" s="2" t="s">
        <v>90</v>
      </c>
      <c r="H339" s="2" t="s">
        <v>58</v>
      </c>
      <c r="I339" s="2" t="s">
        <v>34</v>
      </c>
      <c r="J339" s="2" t="s">
        <v>20</v>
      </c>
      <c r="K339" s="2" t="s">
        <v>29</v>
      </c>
      <c r="L339" s="2">
        <v>36</v>
      </c>
      <c r="M339" s="2">
        <v>72</v>
      </c>
      <c r="N339" s="2">
        <v>19917.22</v>
      </c>
      <c r="O339" s="2">
        <v>350.9</v>
      </c>
      <c r="P339" s="2">
        <v>222.86</v>
      </c>
      <c r="Q339" s="2" t="s">
        <v>22</v>
      </c>
      <c r="R339" s="2">
        <v>4</v>
      </c>
    </row>
    <row r="340" spans="1:18" x14ac:dyDescent="0.3">
      <c r="A340" s="2" t="s">
        <v>391</v>
      </c>
      <c r="B340" s="2" t="s">
        <v>78</v>
      </c>
      <c r="E340" s="2" t="s">
        <v>78</v>
      </c>
      <c r="F340" s="1">
        <v>45917</v>
      </c>
      <c r="G340" s="2" t="s">
        <v>24</v>
      </c>
      <c r="H340" s="2" t="s">
        <v>26</v>
      </c>
      <c r="I340" s="2" t="s">
        <v>39</v>
      </c>
      <c r="J340" s="2" t="s">
        <v>28</v>
      </c>
      <c r="K340" s="2" t="s">
        <v>52</v>
      </c>
      <c r="L340" s="2">
        <v>22</v>
      </c>
      <c r="M340" s="2">
        <v>51</v>
      </c>
      <c r="N340" s="2">
        <v>22653.82</v>
      </c>
      <c r="O340" s="2">
        <v>191.94</v>
      </c>
      <c r="P340" s="2">
        <v>132.32</v>
      </c>
      <c r="Q340" s="2" t="s">
        <v>22</v>
      </c>
      <c r="R340" s="2">
        <v>5</v>
      </c>
    </row>
    <row r="341" spans="1:18" x14ac:dyDescent="0.3">
      <c r="A341" s="2" t="s">
        <v>392</v>
      </c>
      <c r="B341" s="2" t="s">
        <v>44</v>
      </c>
      <c r="E341" s="2" t="s">
        <v>44</v>
      </c>
      <c r="F341" s="1">
        <v>46045</v>
      </c>
      <c r="G341" s="2" t="s">
        <v>41</v>
      </c>
      <c r="H341" s="2" t="s">
        <v>26</v>
      </c>
      <c r="I341" s="2" t="s">
        <v>19</v>
      </c>
      <c r="J341" s="2" t="s">
        <v>20</v>
      </c>
      <c r="K341" s="2" t="s">
        <v>29</v>
      </c>
      <c r="L341" s="2">
        <v>74</v>
      </c>
      <c r="M341" s="2">
        <v>20</v>
      </c>
      <c r="N341" s="2">
        <v>36635.089999999997</v>
      </c>
      <c r="O341" s="2">
        <v>357.17</v>
      </c>
      <c r="P341" s="2">
        <v>70.900000000000006</v>
      </c>
      <c r="Q341" s="2" t="s">
        <v>30</v>
      </c>
      <c r="R341" s="2">
        <v>3</v>
      </c>
    </row>
    <row r="342" spans="1:18" x14ac:dyDescent="0.3">
      <c r="A342" s="2" t="s">
        <v>393</v>
      </c>
      <c r="B342" s="2" t="s">
        <v>47</v>
      </c>
      <c r="E342" s="2" t="s">
        <v>47</v>
      </c>
      <c r="F342" s="1">
        <v>45905</v>
      </c>
      <c r="G342" s="2" t="s">
        <v>74</v>
      </c>
      <c r="H342" s="2" t="s">
        <v>45</v>
      </c>
      <c r="I342" s="2" t="s">
        <v>68</v>
      </c>
      <c r="J342" s="2" t="s">
        <v>28</v>
      </c>
      <c r="K342" s="2" t="s">
        <v>52</v>
      </c>
      <c r="L342" s="2">
        <v>50</v>
      </c>
      <c r="M342" s="2">
        <v>112</v>
      </c>
      <c r="N342" s="2">
        <v>18208.86</v>
      </c>
      <c r="O342" s="2">
        <v>442.17</v>
      </c>
      <c r="P342" s="2">
        <v>19.57</v>
      </c>
      <c r="Q342" s="2" t="s">
        <v>22</v>
      </c>
      <c r="R342" s="2">
        <v>3</v>
      </c>
    </row>
    <row r="343" spans="1:18" x14ac:dyDescent="0.3">
      <c r="A343" s="2" t="s">
        <v>394</v>
      </c>
      <c r="B343" s="2" t="s">
        <v>78</v>
      </c>
      <c r="E343" s="2" t="s">
        <v>78</v>
      </c>
      <c r="F343" s="1">
        <v>46106</v>
      </c>
      <c r="G343" s="2" t="s">
        <v>43</v>
      </c>
      <c r="H343" s="2" t="s">
        <v>58</v>
      </c>
      <c r="I343" s="2" t="s">
        <v>27</v>
      </c>
      <c r="J343" s="2" t="s">
        <v>28</v>
      </c>
      <c r="K343" s="2" t="s">
        <v>56</v>
      </c>
      <c r="L343" s="2">
        <v>40</v>
      </c>
      <c r="M343" s="2">
        <v>96</v>
      </c>
      <c r="N343" s="2">
        <v>3663.1</v>
      </c>
      <c r="O343" s="2">
        <v>156.87</v>
      </c>
      <c r="P343" s="2">
        <v>115.23</v>
      </c>
      <c r="Q343" s="2" t="s">
        <v>30</v>
      </c>
      <c r="R343" s="2">
        <v>2</v>
      </c>
    </row>
    <row r="344" spans="1:18" x14ac:dyDescent="0.3">
      <c r="A344" s="2" t="s">
        <v>395</v>
      </c>
      <c r="B344" s="2" t="s">
        <v>25</v>
      </c>
      <c r="E344" s="2" t="s">
        <v>25</v>
      </c>
      <c r="F344" s="1">
        <v>46177</v>
      </c>
      <c r="G344" s="2" t="s">
        <v>32</v>
      </c>
      <c r="H344" s="2" t="s">
        <v>26</v>
      </c>
      <c r="I344" s="2" t="s">
        <v>34</v>
      </c>
      <c r="J344" s="2" t="s">
        <v>35</v>
      </c>
      <c r="K344" s="2" t="s">
        <v>56</v>
      </c>
      <c r="L344" s="2">
        <v>58</v>
      </c>
      <c r="M344" s="2">
        <v>86</v>
      </c>
      <c r="N344" s="2">
        <v>4179.5600000000004</v>
      </c>
      <c r="O344" s="2">
        <v>490.51</v>
      </c>
      <c r="P344" s="2">
        <v>110.74</v>
      </c>
      <c r="Q344" s="2" t="s">
        <v>30</v>
      </c>
      <c r="R344" s="2">
        <v>1</v>
      </c>
    </row>
    <row r="345" spans="1:18" x14ac:dyDescent="0.3">
      <c r="A345" s="2" t="s">
        <v>396</v>
      </c>
      <c r="B345" s="2" t="s">
        <v>17</v>
      </c>
      <c r="E345" s="2" t="s">
        <v>17</v>
      </c>
      <c r="F345" s="1">
        <v>46140</v>
      </c>
      <c r="G345" s="2" t="s">
        <v>41</v>
      </c>
      <c r="H345" s="2" t="s">
        <v>58</v>
      </c>
      <c r="I345" s="2" t="s">
        <v>27</v>
      </c>
      <c r="J345" s="2" t="s">
        <v>55</v>
      </c>
      <c r="K345" s="2" t="s">
        <v>52</v>
      </c>
      <c r="L345" s="2">
        <v>48</v>
      </c>
      <c r="M345" s="2">
        <v>59</v>
      </c>
      <c r="N345" s="2">
        <v>6210.46</v>
      </c>
      <c r="O345" s="2">
        <v>223.87</v>
      </c>
      <c r="P345" s="2">
        <v>37.68</v>
      </c>
      <c r="Q345" s="2" t="s">
        <v>30</v>
      </c>
      <c r="R345" s="2">
        <v>3</v>
      </c>
    </row>
    <row r="346" spans="1:18" x14ac:dyDescent="0.3">
      <c r="A346" s="2" t="s">
        <v>397</v>
      </c>
      <c r="B346" s="2" t="s">
        <v>67</v>
      </c>
      <c r="E346" s="2" t="s">
        <v>67</v>
      </c>
      <c r="F346" s="1">
        <v>45920</v>
      </c>
      <c r="G346" s="2" t="s">
        <v>24</v>
      </c>
      <c r="H346" s="2" t="s">
        <v>58</v>
      </c>
      <c r="I346" s="2" t="s">
        <v>68</v>
      </c>
      <c r="J346" s="2" t="s">
        <v>55</v>
      </c>
      <c r="K346" s="2" t="s">
        <v>52</v>
      </c>
      <c r="L346" s="2">
        <v>45</v>
      </c>
      <c r="M346" s="2">
        <v>71</v>
      </c>
      <c r="N346" s="2">
        <v>43549.23</v>
      </c>
      <c r="O346" s="2">
        <v>170.27</v>
      </c>
      <c r="P346" s="2">
        <v>11.25</v>
      </c>
      <c r="Q346" s="2" t="s">
        <v>30</v>
      </c>
      <c r="R346" s="2">
        <v>3</v>
      </c>
    </row>
    <row r="347" spans="1:18" x14ac:dyDescent="0.3">
      <c r="A347" s="2" t="s">
        <v>398</v>
      </c>
      <c r="B347" s="2" t="s">
        <v>47</v>
      </c>
      <c r="E347" s="2" t="s">
        <v>47</v>
      </c>
      <c r="F347" s="1">
        <v>46212</v>
      </c>
      <c r="G347" s="2" t="s">
        <v>24</v>
      </c>
      <c r="H347" s="2" t="s">
        <v>58</v>
      </c>
      <c r="I347" s="2" t="s">
        <v>27</v>
      </c>
      <c r="J347" s="2" t="s">
        <v>28</v>
      </c>
      <c r="K347" s="2" t="s">
        <v>52</v>
      </c>
      <c r="L347" s="2">
        <v>52</v>
      </c>
      <c r="M347" s="2">
        <v>9</v>
      </c>
      <c r="N347" s="2">
        <v>23875.21</v>
      </c>
      <c r="O347" s="2">
        <v>239.68</v>
      </c>
      <c r="P347" s="2">
        <v>16.14</v>
      </c>
      <c r="Q347" s="2" t="s">
        <v>30</v>
      </c>
      <c r="R347" s="2">
        <v>5</v>
      </c>
    </row>
    <row r="348" spans="1:18" x14ac:dyDescent="0.3">
      <c r="A348" s="2" t="s">
        <v>399</v>
      </c>
      <c r="B348" s="2" t="s">
        <v>51</v>
      </c>
      <c r="E348" s="2" t="s">
        <v>51</v>
      </c>
      <c r="F348" s="1">
        <v>46064</v>
      </c>
      <c r="G348" s="2" t="s">
        <v>41</v>
      </c>
      <c r="H348" s="2" t="s">
        <v>38</v>
      </c>
      <c r="I348" s="2" t="s">
        <v>68</v>
      </c>
      <c r="J348" s="2" t="s">
        <v>64</v>
      </c>
      <c r="K348" s="2" t="s">
        <v>29</v>
      </c>
      <c r="L348" s="2">
        <v>30</v>
      </c>
      <c r="M348" s="2">
        <v>109</v>
      </c>
      <c r="N348" s="2">
        <v>35787.68</v>
      </c>
      <c r="O348" s="2">
        <v>92.48</v>
      </c>
      <c r="P348" s="2">
        <v>297.83</v>
      </c>
      <c r="Q348" s="2" t="s">
        <v>30</v>
      </c>
      <c r="R348" s="2">
        <v>5</v>
      </c>
    </row>
    <row r="349" spans="1:18" x14ac:dyDescent="0.3">
      <c r="A349" s="2" t="s">
        <v>400</v>
      </c>
      <c r="B349" s="2" t="s">
        <v>82</v>
      </c>
      <c r="E349" s="2" t="s">
        <v>82</v>
      </c>
      <c r="F349" s="1">
        <v>45913</v>
      </c>
      <c r="G349" s="2" t="s">
        <v>24</v>
      </c>
      <c r="H349" s="2" t="s">
        <v>58</v>
      </c>
      <c r="I349" s="2" t="s">
        <v>39</v>
      </c>
      <c r="J349" s="2" t="s">
        <v>64</v>
      </c>
      <c r="K349" s="2" t="s">
        <v>56</v>
      </c>
      <c r="L349" s="2">
        <v>62</v>
      </c>
      <c r="M349" s="2">
        <v>1</v>
      </c>
      <c r="N349" s="2">
        <v>19949.009999999998</v>
      </c>
      <c r="O349" s="2">
        <v>106.57</v>
      </c>
      <c r="P349" s="2">
        <v>156.72</v>
      </c>
      <c r="Q349" s="2" t="s">
        <v>30</v>
      </c>
      <c r="R349" s="2">
        <v>2</v>
      </c>
    </row>
    <row r="350" spans="1:18" x14ac:dyDescent="0.3">
      <c r="A350" s="2" t="s">
        <v>401</v>
      </c>
      <c r="B350" s="2" t="s">
        <v>47</v>
      </c>
      <c r="E350" s="2" t="s">
        <v>47</v>
      </c>
      <c r="F350" s="1">
        <v>45935</v>
      </c>
      <c r="G350" s="2" t="s">
        <v>41</v>
      </c>
      <c r="H350" s="2" t="s">
        <v>38</v>
      </c>
      <c r="I350" s="2" t="s">
        <v>34</v>
      </c>
      <c r="J350" s="2" t="s">
        <v>20</v>
      </c>
      <c r="K350" s="2" t="s">
        <v>29</v>
      </c>
      <c r="L350" s="2">
        <v>60</v>
      </c>
      <c r="M350" s="2">
        <v>29</v>
      </c>
      <c r="N350" s="2">
        <v>13306.19</v>
      </c>
      <c r="O350" s="2">
        <v>236.5</v>
      </c>
      <c r="P350" s="2">
        <v>276.60000000000002</v>
      </c>
      <c r="Q350" s="2" t="s">
        <v>30</v>
      </c>
      <c r="R350" s="2">
        <v>2</v>
      </c>
    </row>
    <row r="351" spans="1:18" x14ac:dyDescent="0.3">
      <c r="A351" s="2" t="s">
        <v>402</v>
      </c>
      <c r="B351" s="2" t="s">
        <v>25</v>
      </c>
      <c r="E351" s="2" t="s">
        <v>25</v>
      </c>
      <c r="F351" s="1">
        <v>46206</v>
      </c>
      <c r="G351" s="2" t="s">
        <v>54</v>
      </c>
      <c r="H351" s="2" t="s">
        <v>45</v>
      </c>
      <c r="I351" s="2" t="s">
        <v>68</v>
      </c>
      <c r="J351" s="2" t="s">
        <v>20</v>
      </c>
      <c r="K351" s="2" t="s">
        <v>56</v>
      </c>
      <c r="L351" s="2">
        <v>53</v>
      </c>
      <c r="M351" s="2">
        <v>63</v>
      </c>
      <c r="N351" s="2">
        <v>17686.009999999998</v>
      </c>
      <c r="O351" s="2">
        <v>393.1</v>
      </c>
      <c r="P351" s="2">
        <v>39.01</v>
      </c>
      <c r="Q351" s="2" t="s">
        <v>30</v>
      </c>
      <c r="R351" s="2">
        <v>2</v>
      </c>
    </row>
    <row r="352" spans="1:18" x14ac:dyDescent="0.3">
      <c r="A352" s="2" t="s">
        <v>403</v>
      </c>
      <c r="B352" s="2" t="s">
        <v>17</v>
      </c>
      <c r="E352" s="2" t="s">
        <v>17</v>
      </c>
      <c r="F352" s="1">
        <v>45882</v>
      </c>
      <c r="G352" s="2" t="s">
        <v>41</v>
      </c>
      <c r="H352" s="2" t="s">
        <v>26</v>
      </c>
      <c r="I352" s="2" t="s">
        <v>27</v>
      </c>
      <c r="J352" s="2" t="s">
        <v>35</v>
      </c>
      <c r="K352" s="2" t="s">
        <v>21</v>
      </c>
      <c r="L352" s="2">
        <v>33</v>
      </c>
      <c r="M352" s="2">
        <v>72</v>
      </c>
      <c r="N352" s="2">
        <v>39812.03</v>
      </c>
      <c r="O352" s="2">
        <v>455.14</v>
      </c>
      <c r="P352" s="2">
        <v>192.11</v>
      </c>
      <c r="Q352" s="2" t="s">
        <v>30</v>
      </c>
      <c r="R352" s="2">
        <v>5</v>
      </c>
    </row>
    <row r="353" spans="1:18" x14ac:dyDescent="0.3">
      <c r="A353" s="2" t="s">
        <v>404</v>
      </c>
      <c r="B353" s="2" t="s">
        <v>17</v>
      </c>
      <c r="E353" s="2" t="s">
        <v>17</v>
      </c>
      <c r="F353" s="1">
        <v>45999</v>
      </c>
      <c r="G353" s="2" t="s">
        <v>16</v>
      </c>
      <c r="H353" s="2" t="s">
        <v>26</v>
      </c>
      <c r="I353" s="2" t="s">
        <v>34</v>
      </c>
      <c r="J353" s="2" t="s">
        <v>28</v>
      </c>
      <c r="K353" s="2" t="s">
        <v>29</v>
      </c>
      <c r="L353" s="2">
        <v>61</v>
      </c>
      <c r="M353" s="2">
        <v>56</v>
      </c>
      <c r="N353" s="2">
        <v>31448.2</v>
      </c>
      <c r="O353" s="2">
        <v>349.17</v>
      </c>
      <c r="P353" s="2">
        <v>42.8</v>
      </c>
      <c r="Q353" s="2" t="s">
        <v>30</v>
      </c>
      <c r="R353" s="2">
        <v>5</v>
      </c>
    </row>
    <row r="354" spans="1:18" x14ac:dyDescent="0.3">
      <c r="A354" s="2" t="s">
        <v>405</v>
      </c>
      <c r="B354" s="2" t="s">
        <v>33</v>
      </c>
      <c r="E354" s="2" t="s">
        <v>33</v>
      </c>
      <c r="F354" s="1">
        <v>46010</v>
      </c>
      <c r="G354" s="2" t="s">
        <v>41</v>
      </c>
      <c r="H354" s="2" t="s">
        <v>26</v>
      </c>
      <c r="I354" s="2" t="s">
        <v>39</v>
      </c>
      <c r="J354" s="2" t="s">
        <v>20</v>
      </c>
      <c r="K354" s="2" t="s">
        <v>56</v>
      </c>
      <c r="L354" s="2">
        <v>74</v>
      </c>
      <c r="M354" s="2">
        <v>118</v>
      </c>
      <c r="N354" s="2">
        <v>46913.17</v>
      </c>
      <c r="O354" s="2">
        <v>97.35</v>
      </c>
      <c r="P354" s="2">
        <v>101.82</v>
      </c>
      <c r="Q354" s="2" t="s">
        <v>30</v>
      </c>
      <c r="R354" s="2">
        <v>1</v>
      </c>
    </row>
    <row r="355" spans="1:18" x14ac:dyDescent="0.3">
      <c r="A355" s="2" t="s">
        <v>406</v>
      </c>
      <c r="B355" s="2" t="s">
        <v>60</v>
      </c>
      <c r="E355" s="2" t="s">
        <v>60</v>
      </c>
      <c r="F355" s="1">
        <v>45887</v>
      </c>
      <c r="G355" s="2" t="s">
        <v>24</v>
      </c>
      <c r="H355" s="2" t="s">
        <v>26</v>
      </c>
      <c r="I355" s="2" t="s">
        <v>34</v>
      </c>
      <c r="J355" s="2" t="s">
        <v>20</v>
      </c>
      <c r="K355" s="2" t="s">
        <v>56</v>
      </c>
      <c r="L355" s="2">
        <v>62</v>
      </c>
      <c r="M355" s="2">
        <v>68</v>
      </c>
      <c r="N355" s="2">
        <v>34145.39</v>
      </c>
      <c r="O355" s="2">
        <v>352.41</v>
      </c>
      <c r="P355" s="2">
        <v>165.94</v>
      </c>
      <c r="Q355" s="2" t="s">
        <v>30</v>
      </c>
      <c r="R355" s="2">
        <v>4</v>
      </c>
    </row>
    <row r="356" spans="1:18" x14ac:dyDescent="0.3">
      <c r="A356" s="2" t="s">
        <v>407</v>
      </c>
      <c r="B356" s="2" t="s">
        <v>78</v>
      </c>
      <c r="E356" s="2" t="s">
        <v>78</v>
      </c>
      <c r="F356" s="1">
        <v>46203</v>
      </c>
      <c r="G356" s="2" t="s">
        <v>43</v>
      </c>
      <c r="H356" s="2" t="s">
        <v>26</v>
      </c>
      <c r="I356" s="2" t="s">
        <v>68</v>
      </c>
      <c r="J356" s="2" t="s">
        <v>28</v>
      </c>
      <c r="K356" s="2" t="s">
        <v>29</v>
      </c>
      <c r="L356" s="2">
        <v>67</v>
      </c>
      <c r="M356" s="2">
        <v>35</v>
      </c>
      <c r="N356" s="2">
        <v>28723.99</v>
      </c>
      <c r="O356" s="2">
        <v>335.94</v>
      </c>
      <c r="P356" s="2">
        <v>104.94</v>
      </c>
      <c r="Q356" s="2" t="s">
        <v>30</v>
      </c>
      <c r="R356" s="2">
        <v>4</v>
      </c>
    </row>
    <row r="357" spans="1:18" x14ac:dyDescent="0.3">
      <c r="A357" s="2" t="s">
        <v>408</v>
      </c>
      <c r="B357" s="2" t="s">
        <v>17</v>
      </c>
      <c r="E357" s="2" t="s">
        <v>17</v>
      </c>
      <c r="F357" s="1">
        <v>46019</v>
      </c>
      <c r="G357" s="2" t="s">
        <v>16</v>
      </c>
      <c r="H357" s="2" t="s">
        <v>26</v>
      </c>
      <c r="I357" s="2" t="s">
        <v>39</v>
      </c>
      <c r="J357" s="2" t="s">
        <v>35</v>
      </c>
      <c r="K357" s="2" t="s">
        <v>29</v>
      </c>
      <c r="L357" s="2">
        <v>57</v>
      </c>
      <c r="M357" s="2">
        <v>3</v>
      </c>
      <c r="N357" s="2">
        <v>30704.7</v>
      </c>
      <c r="O357" s="2">
        <v>412.59</v>
      </c>
      <c r="P357" s="2">
        <v>127.46</v>
      </c>
      <c r="Q357" s="2" t="s">
        <v>30</v>
      </c>
      <c r="R357" s="2">
        <v>1</v>
      </c>
    </row>
    <row r="358" spans="1:18" x14ac:dyDescent="0.3">
      <c r="A358" s="2" t="s">
        <v>409</v>
      </c>
      <c r="B358" s="2" t="s">
        <v>62</v>
      </c>
      <c r="E358" s="2" t="s">
        <v>62</v>
      </c>
      <c r="F358" s="1">
        <v>45931</v>
      </c>
      <c r="G358" s="2" t="s">
        <v>24</v>
      </c>
      <c r="H358" s="2" t="s">
        <v>26</v>
      </c>
      <c r="I358" s="2" t="s">
        <v>27</v>
      </c>
      <c r="J358" s="2" t="s">
        <v>20</v>
      </c>
      <c r="K358" s="2" t="s">
        <v>56</v>
      </c>
      <c r="L358" s="2">
        <v>74</v>
      </c>
      <c r="M358" s="2">
        <v>118</v>
      </c>
      <c r="N358" s="2">
        <v>47147.39</v>
      </c>
      <c r="O358" s="2">
        <v>421.36</v>
      </c>
      <c r="P358" s="2">
        <v>25.64</v>
      </c>
      <c r="Q358" s="2" t="s">
        <v>22</v>
      </c>
      <c r="R358" s="2">
        <v>4</v>
      </c>
    </row>
    <row r="359" spans="1:18" x14ac:dyDescent="0.3">
      <c r="A359" s="2" t="s">
        <v>410</v>
      </c>
      <c r="B359" s="2" t="s">
        <v>60</v>
      </c>
      <c r="E359" s="2" t="s">
        <v>60</v>
      </c>
      <c r="F359" s="1">
        <v>45996</v>
      </c>
      <c r="G359" s="2" t="s">
        <v>90</v>
      </c>
      <c r="H359" s="2" t="s">
        <v>45</v>
      </c>
      <c r="I359" s="2" t="s">
        <v>39</v>
      </c>
      <c r="J359" s="2" t="s">
        <v>35</v>
      </c>
      <c r="K359" s="2" t="s">
        <v>29</v>
      </c>
      <c r="L359" s="2">
        <v>36</v>
      </c>
      <c r="M359" s="2">
        <v>109</v>
      </c>
      <c r="N359" s="2">
        <v>39515.949999999997</v>
      </c>
      <c r="O359" s="2">
        <v>440.69</v>
      </c>
      <c r="P359" s="2">
        <v>36.869999999999997</v>
      </c>
      <c r="Q359" s="2" t="s">
        <v>30</v>
      </c>
      <c r="R359" s="2">
        <v>5</v>
      </c>
    </row>
    <row r="360" spans="1:18" x14ac:dyDescent="0.3">
      <c r="A360" s="2" t="s">
        <v>411</v>
      </c>
      <c r="B360" s="2" t="s">
        <v>37</v>
      </c>
      <c r="E360" s="2" t="s">
        <v>37</v>
      </c>
      <c r="F360" s="1">
        <v>46139</v>
      </c>
      <c r="G360" s="2" t="s">
        <v>90</v>
      </c>
      <c r="H360" s="2" t="s">
        <v>58</v>
      </c>
      <c r="I360" s="2" t="s">
        <v>39</v>
      </c>
      <c r="J360" s="2" t="s">
        <v>55</v>
      </c>
      <c r="K360" s="2" t="s">
        <v>52</v>
      </c>
      <c r="L360" s="2">
        <v>65</v>
      </c>
      <c r="M360" s="2">
        <v>104</v>
      </c>
      <c r="N360" s="2">
        <v>1690.04</v>
      </c>
      <c r="O360" s="2">
        <v>236.36</v>
      </c>
      <c r="P360" s="2">
        <v>123.91</v>
      </c>
      <c r="Q360" s="2" t="s">
        <v>22</v>
      </c>
      <c r="R360" s="2">
        <v>4</v>
      </c>
    </row>
    <row r="361" spans="1:18" x14ac:dyDescent="0.3">
      <c r="A361" s="2" t="s">
        <v>412</v>
      </c>
      <c r="B361" s="2" t="s">
        <v>67</v>
      </c>
      <c r="E361" s="2" t="s">
        <v>67</v>
      </c>
      <c r="F361" s="1">
        <v>46144</v>
      </c>
      <c r="G361" s="2" t="s">
        <v>43</v>
      </c>
      <c r="H361" s="2" t="s">
        <v>18</v>
      </c>
      <c r="I361" s="2" t="s">
        <v>19</v>
      </c>
      <c r="J361" s="2" t="s">
        <v>35</v>
      </c>
      <c r="K361" s="2" t="s">
        <v>29</v>
      </c>
      <c r="L361" s="2">
        <v>42</v>
      </c>
      <c r="M361" s="2">
        <v>7</v>
      </c>
      <c r="N361" s="2">
        <v>26939.91</v>
      </c>
      <c r="O361" s="2">
        <v>364.04</v>
      </c>
      <c r="P361" s="2">
        <v>202.67</v>
      </c>
      <c r="Q361" s="2" t="s">
        <v>22</v>
      </c>
      <c r="R361" s="2">
        <v>5</v>
      </c>
    </row>
    <row r="362" spans="1:18" x14ac:dyDescent="0.3">
      <c r="A362" s="2" t="s">
        <v>413</v>
      </c>
      <c r="B362" s="2" t="s">
        <v>25</v>
      </c>
      <c r="E362" s="2" t="s">
        <v>25</v>
      </c>
      <c r="F362" s="1">
        <v>46173</v>
      </c>
      <c r="G362" s="2" t="s">
        <v>43</v>
      </c>
      <c r="H362" s="2" t="s">
        <v>38</v>
      </c>
      <c r="I362" s="2" t="s">
        <v>39</v>
      </c>
      <c r="J362" s="2" t="s">
        <v>64</v>
      </c>
      <c r="K362" s="2" t="s">
        <v>29</v>
      </c>
      <c r="L362" s="2">
        <v>40</v>
      </c>
      <c r="M362" s="2">
        <v>27</v>
      </c>
      <c r="N362" s="2">
        <v>34572.75</v>
      </c>
      <c r="O362" s="2">
        <v>170.71</v>
      </c>
      <c r="P362" s="2">
        <v>233.2</v>
      </c>
      <c r="Q362" s="2" t="s">
        <v>30</v>
      </c>
      <c r="R362" s="2">
        <v>1</v>
      </c>
    </row>
    <row r="363" spans="1:18" x14ac:dyDescent="0.3">
      <c r="A363" s="2" t="s">
        <v>414</v>
      </c>
      <c r="B363" s="2" t="s">
        <v>82</v>
      </c>
      <c r="E363" s="2" t="s">
        <v>82</v>
      </c>
      <c r="F363" s="1">
        <v>45914</v>
      </c>
      <c r="G363" s="2" t="s">
        <v>16</v>
      </c>
      <c r="H363" s="2" t="s">
        <v>18</v>
      </c>
      <c r="I363" s="2" t="s">
        <v>39</v>
      </c>
      <c r="J363" s="2" t="s">
        <v>64</v>
      </c>
      <c r="K363" s="2" t="s">
        <v>29</v>
      </c>
      <c r="L363" s="2">
        <v>70</v>
      </c>
      <c r="M363" s="2">
        <v>1</v>
      </c>
      <c r="N363" s="2">
        <v>37560.57</v>
      </c>
      <c r="O363" s="2">
        <v>499.7</v>
      </c>
      <c r="P363" s="2">
        <v>167.01</v>
      </c>
      <c r="Q363" s="2" t="s">
        <v>30</v>
      </c>
      <c r="R363" s="2">
        <v>2</v>
      </c>
    </row>
    <row r="364" spans="1:18" x14ac:dyDescent="0.3">
      <c r="A364" s="2" t="s">
        <v>415</v>
      </c>
      <c r="B364" s="2" t="s">
        <v>78</v>
      </c>
      <c r="E364" s="2" t="s">
        <v>78</v>
      </c>
      <c r="F364" s="1">
        <v>46076</v>
      </c>
      <c r="G364" s="2" t="s">
        <v>54</v>
      </c>
      <c r="H364" s="2" t="s">
        <v>18</v>
      </c>
      <c r="I364" s="2" t="s">
        <v>34</v>
      </c>
      <c r="J364" s="2" t="s">
        <v>35</v>
      </c>
      <c r="K364" s="2" t="s">
        <v>56</v>
      </c>
      <c r="L364" s="2">
        <v>63</v>
      </c>
      <c r="M364" s="2">
        <v>91</v>
      </c>
      <c r="N364" s="2">
        <v>11050.53</v>
      </c>
      <c r="O364" s="2">
        <v>128.9</v>
      </c>
      <c r="P364" s="2">
        <v>129.15</v>
      </c>
      <c r="Q364" s="2" t="s">
        <v>22</v>
      </c>
      <c r="R364" s="2">
        <v>1</v>
      </c>
    </row>
    <row r="365" spans="1:18" x14ac:dyDescent="0.3">
      <c r="A365" s="2" t="s">
        <v>416</v>
      </c>
      <c r="B365" s="2" t="s">
        <v>76</v>
      </c>
      <c r="E365" s="2" t="s">
        <v>76</v>
      </c>
      <c r="F365" s="1">
        <v>45979</v>
      </c>
      <c r="G365" s="2" t="s">
        <v>43</v>
      </c>
      <c r="H365" s="2" t="s">
        <v>58</v>
      </c>
      <c r="I365" s="2" t="s">
        <v>27</v>
      </c>
      <c r="J365" s="2" t="s">
        <v>64</v>
      </c>
      <c r="K365" s="2" t="s">
        <v>52</v>
      </c>
      <c r="L365" s="2">
        <v>47</v>
      </c>
      <c r="M365" s="2">
        <v>80</v>
      </c>
      <c r="N365" s="2">
        <v>43425.279999999999</v>
      </c>
      <c r="O365" s="2">
        <v>54.55</v>
      </c>
      <c r="P365" s="2">
        <v>2.7</v>
      </c>
      <c r="Q365" s="2" t="s">
        <v>22</v>
      </c>
      <c r="R365" s="2">
        <v>4</v>
      </c>
    </row>
    <row r="366" spans="1:18" x14ac:dyDescent="0.3">
      <c r="A366" s="2" t="s">
        <v>417</v>
      </c>
      <c r="B366" s="2" t="s">
        <v>62</v>
      </c>
      <c r="E366" s="2" t="s">
        <v>62</v>
      </c>
      <c r="F366" s="1">
        <v>45938</v>
      </c>
      <c r="G366" s="2" t="s">
        <v>90</v>
      </c>
      <c r="H366" s="2" t="s">
        <v>58</v>
      </c>
      <c r="I366" s="2" t="s">
        <v>34</v>
      </c>
      <c r="J366" s="2" t="s">
        <v>55</v>
      </c>
      <c r="K366" s="2" t="s">
        <v>21</v>
      </c>
      <c r="L366" s="2">
        <v>61</v>
      </c>
      <c r="M366" s="2">
        <v>102</v>
      </c>
      <c r="N366" s="2">
        <v>47814.239999999998</v>
      </c>
      <c r="O366" s="2">
        <v>116.96</v>
      </c>
      <c r="P366" s="2">
        <v>32.43</v>
      </c>
      <c r="Q366" s="2" t="s">
        <v>30</v>
      </c>
      <c r="R366" s="2">
        <v>5</v>
      </c>
    </row>
    <row r="367" spans="1:18" x14ac:dyDescent="0.3">
      <c r="A367" s="2" t="s">
        <v>418</v>
      </c>
      <c r="B367" s="2" t="s">
        <v>49</v>
      </c>
      <c r="E367" s="2" t="s">
        <v>49</v>
      </c>
      <c r="F367" s="1">
        <v>45981</v>
      </c>
      <c r="G367" s="2" t="s">
        <v>41</v>
      </c>
      <c r="H367" s="2" t="s">
        <v>58</v>
      </c>
      <c r="I367" s="2" t="s">
        <v>34</v>
      </c>
      <c r="J367" s="2" t="s">
        <v>28</v>
      </c>
      <c r="K367" s="2" t="s">
        <v>21</v>
      </c>
      <c r="L367" s="2">
        <v>36</v>
      </c>
      <c r="M367" s="2">
        <v>71</v>
      </c>
      <c r="N367" s="2">
        <v>12217.41</v>
      </c>
      <c r="O367" s="2">
        <v>399.14</v>
      </c>
      <c r="P367" s="2">
        <v>196.98</v>
      </c>
      <c r="Q367" s="2" t="s">
        <v>22</v>
      </c>
      <c r="R367" s="2">
        <v>4</v>
      </c>
    </row>
    <row r="368" spans="1:18" x14ac:dyDescent="0.3">
      <c r="A368" s="2" t="s">
        <v>419</v>
      </c>
      <c r="B368" s="2" t="s">
        <v>51</v>
      </c>
      <c r="E368" s="2" t="s">
        <v>51</v>
      </c>
      <c r="F368" s="1">
        <v>45903</v>
      </c>
      <c r="G368" s="2" t="s">
        <v>24</v>
      </c>
      <c r="H368" s="2" t="s">
        <v>26</v>
      </c>
      <c r="I368" s="2" t="s">
        <v>68</v>
      </c>
      <c r="J368" s="2" t="s">
        <v>64</v>
      </c>
      <c r="K368" s="2" t="s">
        <v>52</v>
      </c>
      <c r="L368" s="2">
        <v>54</v>
      </c>
      <c r="M368" s="2">
        <v>44</v>
      </c>
      <c r="N368" s="2">
        <v>44189.47</v>
      </c>
      <c r="O368" s="2">
        <v>251.05</v>
      </c>
      <c r="P368" s="2">
        <v>15.2</v>
      </c>
      <c r="Q368" s="2" t="s">
        <v>22</v>
      </c>
      <c r="R368" s="2">
        <v>4</v>
      </c>
    </row>
    <row r="369" spans="1:18" x14ac:dyDescent="0.3">
      <c r="A369" s="2" t="s">
        <v>420</v>
      </c>
      <c r="B369" s="2" t="s">
        <v>44</v>
      </c>
      <c r="E369" s="2" t="s">
        <v>44</v>
      </c>
      <c r="F369" s="1">
        <v>46145</v>
      </c>
      <c r="G369" s="2" t="s">
        <v>90</v>
      </c>
      <c r="H369" s="2" t="s">
        <v>45</v>
      </c>
      <c r="I369" s="2" t="s">
        <v>34</v>
      </c>
      <c r="J369" s="2" t="s">
        <v>64</v>
      </c>
      <c r="K369" s="2" t="s">
        <v>52</v>
      </c>
      <c r="L369" s="2">
        <v>52</v>
      </c>
      <c r="M369" s="2">
        <v>87</v>
      </c>
      <c r="N369" s="2">
        <v>5300.45</v>
      </c>
      <c r="O369" s="2">
        <v>251.38</v>
      </c>
      <c r="P369" s="2">
        <v>135.76</v>
      </c>
      <c r="Q369" s="2" t="s">
        <v>30</v>
      </c>
      <c r="R369" s="2">
        <v>2</v>
      </c>
    </row>
    <row r="370" spans="1:18" x14ac:dyDescent="0.3">
      <c r="A370" s="2" t="s">
        <v>421</v>
      </c>
      <c r="B370" s="2" t="s">
        <v>17</v>
      </c>
      <c r="E370" s="2" t="s">
        <v>17</v>
      </c>
      <c r="F370" s="1">
        <v>46109</v>
      </c>
      <c r="G370" s="2" t="s">
        <v>90</v>
      </c>
      <c r="H370" s="2" t="s">
        <v>26</v>
      </c>
      <c r="I370" s="2" t="s">
        <v>19</v>
      </c>
      <c r="J370" s="2" t="s">
        <v>35</v>
      </c>
      <c r="K370" s="2" t="s">
        <v>52</v>
      </c>
      <c r="L370" s="2">
        <v>46</v>
      </c>
      <c r="M370" s="2">
        <v>41</v>
      </c>
      <c r="N370" s="2">
        <v>3257.49</v>
      </c>
      <c r="O370" s="2">
        <v>479.76</v>
      </c>
      <c r="P370" s="2">
        <v>35.22</v>
      </c>
      <c r="Q370" s="2" t="s">
        <v>22</v>
      </c>
      <c r="R370" s="2">
        <v>4</v>
      </c>
    </row>
    <row r="371" spans="1:18" x14ac:dyDescent="0.3">
      <c r="A371" s="2" t="s">
        <v>422</v>
      </c>
      <c r="B371" s="2" t="s">
        <v>76</v>
      </c>
      <c r="E371" s="2" t="s">
        <v>76</v>
      </c>
      <c r="F371" s="1">
        <v>46170</v>
      </c>
      <c r="G371" s="2" t="s">
        <v>54</v>
      </c>
      <c r="H371" s="2" t="s">
        <v>45</v>
      </c>
      <c r="I371" s="2" t="s">
        <v>19</v>
      </c>
      <c r="J371" s="2" t="s">
        <v>55</v>
      </c>
      <c r="K371" s="2" t="s">
        <v>56</v>
      </c>
      <c r="L371" s="2">
        <v>45</v>
      </c>
      <c r="M371" s="2">
        <v>75</v>
      </c>
      <c r="N371" s="2">
        <v>6896.58</v>
      </c>
      <c r="O371" s="2">
        <v>463.84</v>
      </c>
      <c r="P371" s="2">
        <v>143.34</v>
      </c>
      <c r="Q371" s="2" t="s">
        <v>30</v>
      </c>
      <c r="R371" s="2">
        <v>2</v>
      </c>
    </row>
    <row r="372" spans="1:18" x14ac:dyDescent="0.3">
      <c r="A372" s="2" t="s">
        <v>423</v>
      </c>
      <c r="B372" s="2" t="s">
        <v>17</v>
      </c>
      <c r="E372" s="2" t="s">
        <v>17</v>
      </c>
      <c r="F372" s="1">
        <v>46068</v>
      </c>
      <c r="G372" s="2" t="s">
        <v>16</v>
      </c>
      <c r="H372" s="2" t="s">
        <v>45</v>
      </c>
      <c r="I372" s="2" t="s">
        <v>68</v>
      </c>
      <c r="J372" s="2" t="s">
        <v>28</v>
      </c>
      <c r="K372" s="2" t="s">
        <v>21</v>
      </c>
      <c r="L372" s="2">
        <v>22</v>
      </c>
      <c r="M372" s="2">
        <v>42</v>
      </c>
      <c r="N372" s="2">
        <v>3358.18</v>
      </c>
      <c r="O372" s="2">
        <v>190.04</v>
      </c>
      <c r="P372" s="2">
        <v>141.19999999999999</v>
      </c>
      <c r="Q372" s="2" t="s">
        <v>30</v>
      </c>
      <c r="R372" s="2">
        <v>5</v>
      </c>
    </row>
    <row r="373" spans="1:18" x14ac:dyDescent="0.3">
      <c r="A373" s="2" t="s">
        <v>424</v>
      </c>
      <c r="B373" s="2" t="s">
        <v>47</v>
      </c>
      <c r="E373" s="2" t="s">
        <v>47</v>
      </c>
      <c r="F373" s="1">
        <v>46083</v>
      </c>
      <c r="G373" s="2" t="s">
        <v>16</v>
      </c>
      <c r="H373" s="2" t="s">
        <v>18</v>
      </c>
      <c r="I373" s="2" t="s">
        <v>27</v>
      </c>
      <c r="J373" s="2" t="s">
        <v>35</v>
      </c>
      <c r="K373" s="2" t="s">
        <v>52</v>
      </c>
      <c r="L373" s="2">
        <v>32</v>
      </c>
      <c r="M373" s="2">
        <v>117</v>
      </c>
      <c r="N373" s="2">
        <v>42328.11</v>
      </c>
      <c r="O373" s="2">
        <v>144.08000000000001</v>
      </c>
      <c r="P373" s="2">
        <v>46.84</v>
      </c>
      <c r="Q373" s="2" t="s">
        <v>22</v>
      </c>
      <c r="R373" s="2">
        <v>5</v>
      </c>
    </row>
    <row r="374" spans="1:18" x14ac:dyDescent="0.3">
      <c r="A374" s="2" t="s">
        <v>425</v>
      </c>
      <c r="B374" s="2" t="s">
        <v>62</v>
      </c>
      <c r="E374" s="2" t="s">
        <v>62</v>
      </c>
      <c r="F374" s="1">
        <v>46161</v>
      </c>
      <c r="G374" s="2" t="s">
        <v>74</v>
      </c>
      <c r="H374" s="2" t="s">
        <v>18</v>
      </c>
      <c r="I374" s="2" t="s">
        <v>27</v>
      </c>
      <c r="J374" s="2" t="s">
        <v>35</v>
      </c>
      <c r="K374" s="2" t="s">
        <v>56</v>
      </c>
      <c r="L374" s="2">
        <v>60</v>
      </c>
      <c r="M374" s="2">
        <v>33</v>
      </c>
      <c r="N374" s="2">
        <v>3422.98</v>
      </c>
      <c r="O374" s="2">
        <v>431.82</v>
      </c>
      <c r="P374" s="2">
        <v>53.93</v>
      </c>
      <c r="Q374" s="2" t="s">
        <v>22</v>
      </c>
      <c r="R374" s="2">
        <v>2</v>
      </c>
    </row>
    <row r="375" spans="1:18" x14ac:dyDescent="0.3">
      <c r="A375" s="2" t="s">
        <v>426</v>
      </c>
      <c r="B375" s="2" t="s">
        <v>47</v>
      </c>
      <c r="E375" s="2" t="s">
        <v>47</v>
      </c>
      <c r="F375" s="1">
        <v>45915</v>
      </c>
      <c r="G375" s="2" t="s">
        <v>54</v>
      </c>
      <c r="H375" s="2" t="s">
        <v>45</v>
      </c>
      <c r="I375" s="2" t="s">
        <v>34</v>
      </c>
      <c r="J375" s="2" t="s">
        <v>55</v>
      </c>
      <c r="K375" s="2" t="s">
        <v>21</v>
      </c>
      <c r="L375" s="2">
        <v>29</v>
      </c>
      <c r="M375" s="2">
        <v>50</v>
      </c>
      <c r="N375" s="2">
        <v>13947.38</v>
      </c>
      <c r="O375" s="2">
        <v>457.71</v>
      </c>
      <c r="P375" s="2">
        <v>130.94999999999999</v>
      </c>
      <c r="Q375" s="2" t="s">
        <v>30</v>
      </c>
      <c r="R375" s="2">
        <v>1</v>
      </c>
    </row>
    <row r="376" spans="1:18" x14ac:dyDescent="0.3">
      <c r="A376" s="2" t="s">
        <v>427</v>
      </c>
      <c r="B376" s="2" t="s">
        <v>33</v>
      </c>
      <c r="E376" s="2" t="s">
        <v>33</v>
      </c>
      <c r="F376" s="1">
        <v>45954</v>
      </c>
      <c r="G376" s="2" t="s">
        <v>41</v>
      </c>
      <c r="H376" s="2" t="s">
        <v>45</v>
      </c>
      <c r="I376" s="2" t="s">
        <v>34</v>
      </c>
      <c r="J376" s="2" t="s">
        <v>28</v>
      </c>
      <c r="K376" s="2" t="s">
        <v>29</v>
      </c>
      <c r="L376" s="2">
        <v>32</v>
      </c>
      <c r="M376" s="2">
        <v>63</v>
      </c>
      <c r="N376" s="2">
        <v>5635.94</v>
      </c>
      <c r="O376" s="2">
        <v>293.72000000000003</v>
      </c>
      <c r="P376" s="2">
        <v>117.03</v>
      </c>
      <c r="Q376" s="2" t="s">
        <v>30</v>
      </c>
      <c r="R376" s="2">
        <v>5</v>
      </c>
    </row>
    <row r="377" spans="1:18" x14ac:dyDescent="0.3">
      <c r="A377" s="2" t="s">
        <v>428</v>
      </c>
      <c r="B377" s="2" t="s">
        <v>47</v>
      </c>
      <c r="E377" s="2" t="s">
        <v>47</v>
      </c>
      <c r="F377" s="1">
        <v>46185</v>
      </c>
      <c r="G377" s="2" t="s">
        <v>16</v>
      </c>
      <c r="H377" s="2" t="s">
        <v>26</v>
      </c>
      <c r="I377" s="2" t="s">
        <v>34</v>
      </c>
      <c r="J377" s="2" t="s">
        <v>55</v>
      </c>
      <c r="K377" s="2" t="s">
        <v>56</v>
      </c>
      <c r="L377" s="2">
        <v>46</v>
      </c>
      <c r="M377" s="2">
        <v>100</v>
      </c>
      <c r="N377" s="2">
        <v>15123.39</v>
      </c>
      <c r="O377" s="2">
        <v>333.24</v>
      </c>
      <c r="P377" s="2">
        <v>38.909999999999997</v>
      </c>
      <c r="Q377" s="2" t="s">
        <v>30</v>
      </c>
      <c r="R377" s="2">
        <v>1</v>
      </c>
    </row>
    <row r="378" spans="1:18" x14ac:dyDescent="0.3">
      <c r="A378" s="2" t="s">
        <v>429</v>
      </c>
      <c r="B378" s="2" t="s">
        <v>33</v>
      </c>
      <c r="E378" s="2" t="s">
        <v>33</v>
      </c>
      <c r="F378" s="1">
        <v>46055</v>
      </c>
      <c r="G378" s="2" t="s">
        <v>24</v>
      </c>
      <c r="H378" s="2" t="s">
        <v>26</v>
      </c>
      <c r="I378" s="2" t="s">
        <v>27</v>
      </c>
      <c r="J378" s="2" t="s">
        <v>28</v>
      </c>
      <c r="K378" s="2" t="s">
        <v>21</v>
      </c>
      <c r="L378" s="2">
        <v>29</v>
      </c>
      <c r="M378" s="2">
        <v>37</v>
      </c>
      <c r="N378" s="2">
        <v>4982.6899999999996</v>
      </c>
      <c r="O378" s="2">
        <v>165.61</v>
      </c>
      <c r="P378" s="2">
        <v>146.34</v>
      </c>
      <c r="Q378" s="2" t="s">
        <v>22</v>
      </c>
      <c r="R378" s="2">
        <v>5</v>
      </c>
    </row>
    <row r="379" spans="1:18" x14ac:dyDescent="0.3">
      <c r="A379" s="2" t="s">
        <v>430</v>
      </c>
      <c r="B379" s="2" t="s">
        <v>51</v>
      </c>
      <c r="E379" s="2" t="s">
        <v>51</v>
      </c>
      <c r="F379" s="1">
        <v>46061</v>
      </c>
      <c r="G379" s="2" t="s">
        <v>43</v>
      </c>
      <c r="H379" s="2" t="s">
        <v>18</v>
      </c>
      <c r="I379" s="2" t="s">
        <v>39</v>
      </c>
      <c r="J379" s="2" t="s">
        <v>55</v>
      </c>
      <c r="K379" s="2" t="s">
        <v>56</v>
      </c>
      <c r="L379" s="2">
        <v>30</v>
      </c>
      <c r="M379" s="2">
        <v>105</v>
      </c>
      <c r="N379" s="2">
        <v>33566.160000000003</v>
      </c>
      <c r="O379" s="2">
        <v>410.36</v>
      </c>
      <c r="P379" s="2">
        <v>30.83</v>
      </c>
      <c r="Q379" s="2" t="s">
        <v>22</v>
      </c>
      <c r="R379" s="2">
        <v>5</v>
      </c>
    </row>
    <row r="380" spans="1:18" x14ac:dyDescent="0.3">
      <c r="A380" s="2" t="s">
        <v>431</v>
      </c>
      <c r="B380" s="2" t="s">
        <v>25</v>
      </c>
      <c r="E380" s="2" t="s">
        <v>25</v>
      </c>
      <c r="F380" s="1">
        <v>45982</v>
      </c>
      <c r="G380" s="2" t="s">
        <v>54</v>
      </c>
      <c r="H380" s="2" t="s">
        <v>58</v>
      </c>
      <c r="I380" s="2" t="s">
        <v>19</v>
      </c>
      <c r="J380" s="2" t="s">
        <v>35</v>
      </c>
      <c r="K380" s="2" t="s">
        <v>21</v>
      </c>
      <c r="L380" s="2">
        <v>52</v>
      </c>
      <c r="M380" s="2">
        <v>59</v>
      </c>
      <c r="N380" s="2">
        <v>7099.68</v>
      </c>
      <c r="O380" s="2">
        <v>334.46</v>
      </c>
      <c r="P380" s="2">
        <v>171.13</v>
      </c>
      <c r="Q380" s="2" t="s">
        <v>22</v>
      </c>
      <c r="R380" s="2">
        <v>3</v>
      </c>
    </row>
    <row r="381" spans="1:18" x14ac:dyDescent="0.3">
      <c r="A381" s="2" t="s">
        <v>432</v>
      </c>
      <c r="B381" s="2" t="s">
        <v>33</v>
      </c>
      <c r="E381" s="2" t="s">
        <v>33</v>
      </c>
      <c r="F381" s="1">
        <v>46121</v>
      </c>
      <c r="G381" s="2" t="s">
        <v>43</v>
      </c>
      <c r="H381" s="2" t="s">
        <v>45</v>
      </c>
      <c r="I381" s="2" t="s">
        <v>39</v>
      </c>
      <c r="J381" s="2" t="s">
        <v>35</v>
      </c>
      <c r="K381" s="2" t="s">
        <v>21</v>
      </c>
      <c r="L381" s="2">
        <v>54</v>
      </c>
      <c r="M381" s="2">
        <v>81</v>
      </c>
      <c r="N381" s="2">
        <v>42666.37</v>
      </c>
      <c r="O381" s="2">
        <v>276.58</v>
      </c>
      <c r="P381" s="2">
        <v>102.93</v>
      </c>
      <c r="Q381" s="2" t="s">
        <v>22</v>
      </c>
      <c r="R381" s="2">
        <v>4</v>
      </c>
    </row>
    <row r="382" spans="1:18" x14ac:dyDescent="0.3">
      <c r="A382" s="2" t="s">
        <v>433</v>
      </c>
      <c r="B382" s="2" t="s">
        <v>76</v>
      </c>
      <c r="E382" s="2" t="s">
        <v>76</v>
      </c>
      <c r="F382" s="1">
        <v>45955</v>
      </c>
      <c r="G382" s="2" t="s">
        <v>90</v>
      </c>
      <c r="H382" s="2" t="s">
        <v>26</v>
      </c>
      <c r="I382" s="2" t="s">
        <v>39</v>
      </c>
      <c r="J382" s="2" t="s">
        <v>20</v>
      </c>
      <c r="K382" s="2" t="s">
        <v>29</v>
      </c>
      <c r="L382" s="2">
        <v>68</v>
      </c>
      <c r="M382" s="2">
        <v>99</v>
      </c>
      <c r="N382" s="2">
        <v>40950.959999999999</v>
      </c>
      <c r="O382" s="2">
        <v>77.05</v>
      </c>
      <c r="P382" s="2">
        <v>31.71</v>
      </c>
      <c r="Q382" s="2" t="s">
        <v>30</v>
      </c>
      <c r="R382" s="2">
        <v>4</v>
      </c>
    </row>
    <row r="383" spans="1:18" x14ac:dyDescent="0.3">
      <c r="A383" s="2" t="s">
        <v>434</v>
      </c>
      <c r="B383" s="2" t="s">
        <v>60</v>
      </c>
      <c r="E383" s="2" t="s">
        <v>60</v>
      </c>
      <c r="F383" s="1">
        <v>46110</v>
      </c>
      <c r="G383" s="2" t="s">
        <v>24</v>
      </c>
      <c r="H383" s="2" t="s">
        <v>18</v>
      </c>
      <c r="I383" s="2" t="s">
        <v>27</v>
      </c>
      <c r="J383" s="2" t="s">
        <v>64</v>
      </c>
      <c r="K383" s="2" t="s">
        <v>56</v>
      </c>
      <c r="L383" s="2">
        <v>40</v>
      </c>
      <c r="M383" s="2">
        <v>48</v>
      </c>
      <c r="N383" s="2">
        <v>1176.25</v>
      </c>
      <c r="O383" s="2">
        <v>462.17</v>
      </c>
      <c r="P383" s="2">
        <v>138.81</v>
      </c>
      <c r="Q383" s="2" t="s">
        <v>30</v>
      </c>
      <c r="R383" s="2">
        <v>1</v>
      </c>
    </row>
    <row r="384" spans="1:18" x14ac:dyDescent="0.3">
      <c r="A384" s="2" t="s">
        <v>435</v>
      </c>
      <c r="B384" s="2" t="s">
        <v>17</v>
      </c>
      <c r="E384" s="2" t="s">
        <v>17</v>
      </c>
      <c r="F384" s="1">
        <v>46034</v>
      </c>
      <c r="G384" s="2" t="s">
        <v>24</v>
      </c>
      <c r="H384" s="2" t="s">
        <v>26</v>
      </c>
      <c r="I384" s="2" t="s">
        <v>39</v>
      </c>
      <c r="J384" s="2" t="s">
        <v>55</v>
      </c>
      <c r="K384" s="2" t="s">
        <v>52</v>
      </c>
      <c r="L384" s="2">
        <v>59</v>
      </c>
      <c r="M384" s="2">
        <v>5</v>
      </c>
      <c r="N384" s="2">
        <v>44838.45</v>
      </c>
      <c r="O384" s="2">
        <v>326.95</v>
      </c>
      <c r="P384" s="2">
        <v>103.83</v>
      </c>
      <c r="Q384" s="2" t="s">
        <v>30</v>
      </c>
      <c r="R384" s="2">
        <v>4</v>
      </c>
    </row>
    <row r="385" spans="1:18" x14ac:dyDescent="0.3">
      <c r="A385" s="2" t="s">
        <v>436</v>
      </c>
      <c r="B385" s="2" t="s">
        <v>44</v>
      </c>
      <c r="E385" s="2" t="s">
        <v>44</v>
      </c>
      <c r="F385" s="1">
        <v>46025</v>
      </c>
      <c r="G385" s="2" t="s">
        <v>90</v>
      </c>
      <c r="H385" s="2" t="s">
        <v>45</v>
      </c>
      <c r="I385" s="2" t="s">
        <v>68</v>
      </c>
      <c r="J385" s="2" t="s">
        <v>20</v>
      </c>
      <c r="K385" s="2" t="s">
        <v>29</v>
      </c>
      <c r="L385" s="2">
        <v>22</v>
      </c>
      <c r="M385" s="2">
        <v>48</v>
      </c>
      <c r="N385" s="2">
        <v>1932.74</v>
      </c>
      <c r="O385" s="2">
        <v>136.71</v>
      </c>
      <c r="P385" s="2">
        <v>89.42</v>
      </c>
      <c r="Q385" s="2" t="s">
        <v>22</v>
      </c>
      <c r="R385" s="2">
        <v>1</v>
      </c>
    </row>
    <row r="386" spans="1:18" x14ac:dyDescent="0.3">
      <c r="A386" s="2" t="s">
        <v>437</v>
      </c>
      <c r="B386" s="2" t="s">
        <v>60</v>
      </c>
      <c r="E386" s="2" t="s">
        <v>60</v>
      </c>
      <c r="F386" s="1">
        <v>46086</v>
      </c>
      <c r="G386" s="2" t="s">
        <v>54</v>
      </c>
      <c r="H386" s="2" t="s">
        <v>45</v>
      </c>
      <c r="I386" s="2" t="s">
        <v>34</v>
      </c>
      <c r="J386" s="2" t="s">
        <v>64</v>
      </c>
      <c r="K386" s="2" t="s">
        <v>29</v>
      </c>
      <c r="L386" s="2">
        <v>21</v>
      </c>
      <c r="M386" s="2">
        <v>96</v>
      </c>
      <c r="N386" s="2">
        <v>12362.47</v>
      </c>
      <c r="O386" s="2">
        <v>322.87</v>
      </c>
      <c r="P386" s="2">
        <v>126.77</v>
      </c>
      <c r="Q386" s="2" t="s">
        <v>30</v>
      </c>
      <c r="R386" s="2">
        <v>5</v>
      </c>
    </row>
    <row r="387" spans="1:18" x14ac:dyDescent="0.3">
      <c r="A387" s="2" t="s">
        <v>438</v>
      </c>
      <c r="B387" s="2" t="s">
        <v>82</v>
      </c>
      <c r="E387" s="2" t="s">
        <v>82</v>
      </c>
      <c r="F387" s="1">
        <v>46206</v>
      </c>
      <c r="G387" s="2" t="s">
        <v>90</v>
      </c>
      <c r="H387" s="2" t="s">
        <v>38</v>
      </c>
      <c r="I387" s="2" t="s">
        <v>68</v>
      </c>
      <c r="J387" s="2" t="s">
        <v>55</v>
      </c>
      <c r="K387" s="2" t="s">
        <v>21</v>
      </c>
      <c r="L387" s="2">
        <v>71</v>
      </c>
      <c r="M387" s="2">
        <v>3</v>
      </c>
      <c r="N387" s="2">
        <v>2103.2600000000002</v>
      </c>
      <c r="O387" s="2">
        <v>354.86</v>
      </c>
      <c r="P387" s="2">
        <v>59.67</v>
      </c>
      <c r="Q387" s="2" t="s">
        <v>30</v>
      </c>
      <c r="R387" s="2">
        <v>3</v>
      </c>
    </row>
    <row r="388" spans="1:18" x14ac:dyDescent="0.3">
      <c r="A388" s="2" t="s">
        <v>439</v>
      </c>
      <c r="B388" s="2" t="s">
        <v>25</v>
      </c>
      <c r="E388" s="2" t="s">
        <v>25</v>
      </c>
      <c r="F388" s="1">
        <v>46082</v>
      </c>
      <c r="G388" s="2" t="s">
        <v>43</v>
      </c>
      <c r="H388" s="2" t="s">
        <v>58</v>
      </c>
      <c r="I388" s="2" t="s">
        <v>19</v>
      </c>
      <c r="J388" s="2" t="s">
        <v>28</v>
      </c>
      <c r="K388" s="2" t="s">
        <v>52</v>
      </c>
      <c r="L388" s="2">
        <v>56</v>
      </c>
      <c r="M388" s="2">
        <v>116</v>
      </c>
      <c r="N388" s="2">
        <v>17124.25</v>
      </c>
      <c r="O388" s="2">
        <v>286.60000000000002</v>
      </c>
      <c r="P388" s="2">
        <v>52.61</v>
      </c>
      <c r="Q388" s="2" t="s">
        <v>30</v>
      </c>
      <c r="R388" s="2">
        <v>3</v>
      </c>
    </row>
    <row r="389" spans="1:18" x14ac:dyDescent="0.3">
      <c r="A389" s="2" t="s">
        <v>440</v>
      </c>
      <c r="B389" s="2" t="s">
        <v>47</v>
      </c>
      <c r="E389" s="2" t="s">
        <v>47</v>
      </c>
      <c r="F389" s="1">
        <v>46077</v>
      </c>
      <c r="G389" s="2" t="s">
        <v>74</v>
      </c>
      <c r="H389" s="2" t="s">
        <v>38</v>
      </c>
      <c r="I389" s="2" t="s">
        <v>34</v>
      </c>
      <c r="J389" s="2" t="s">
        <v>64</v>
      </c>
      <c r="K389" s="2" t="s">
        <v>56</v>
      </c>
      <c r="L389" s="2">
        <v>44</v>
      </c>
      <c r="M389" s="2">
        <v>47</v>
      </c>
      <c r="N389" s="2">
        <v>25936.39</v>
      </c>
      <c r="O389" s="2">
        <v>373.15</v>
      </c>
      <c r="P389" s="2">
        <v>32.72</v>
      </c>
      <c r="Q389" s="2" t="s">
        <v>30</v>
      </c>
      <c r="R389" s="2">
        <v>5</v>
      </c>
    </row>
    <row r="390" spans="1:18" x14ac:dyDescent="0.3">
      <c r="A390" s="2" t="s">
        <v>441</v>
      </c>
      <c r="B390" s="2" t="s">
        <v>49</v>
      </c>
      <c r="E390" s="2" t="s">
        <v>49</v>
      </c>
      <c r="F390" s="1">
        <v>45929</v>
      </c>
      <c r="G390" s="2" t="s">
        <v>24</v>
      </c>
      <c r="H390" s="2" t="s">
        <v>18</v>
      </c>
      <c r="I390" s="2" t="s">
        <v>39</v>
      </c>
      <c r="J390" s="2" t="s">
        <v>35</v>
      </c>
      <c r="K390" s="2" t="s">
        <v>52</v>
      </c>
      <c r="L390" s="2">
        <v>74</v>
      </c>
      <c r="M390" s="2">
        <v>62</v>
      </c>
      <c r="N390" s="2">
        <v>39933.919999999998</v>
      </c>
      <c r="O390" s="2">
        <v>311.64999999999998</v>
      </c>
      <c r="P390" s="2">
        <v>72.55</v>
      </c>
      <c r="Q390" s="2" t="s">
        <v>30</v>
      </c>
      <c r="R390" s="2">
        <v>2</v>
      </c>
    </row>
    <row r="391" spans="1:18" x14ac:dyDescent="0.3">
      <c r="A391" s="2" t="s">
        <v>442</v>
      </c>
      <c r="B391" s="2" t="s">
        <v>82</v>
      </c>
      <c r="E391" s="2" t="s">
        <v>82</v>
      </c>
      <c r="F391" s="1">
        <v>46064</v>
      </c>
      <c r="G391" s="2" t="s">
        <v>32</v>
      </c>
      <c r="H391" s="2" t="s">
        <v>26</v>
      </c>
      <c r="I391" s="2" t="s">
        <v>19</v>
      </c>
      <c r="J391" s="2" t="s">
        <v>20</v>
      </c>
      <c r="K391" s="2" t="s">
        <v>52</v>
      </c>
      <c r="L391" s="2">
        <v>47</v>
      </c>
      <c r="M391" s="2">
        <v>99</v>
      </c>
      <c r="N391" s="2">
        <v>17230.09</v>
      </c>
      <c r="O391" s="2">
        <v>476.5</v>
      </c>
      <c r="P391" s="2">
        <v>50.2</v>
      </c>
      <c r="Q391" s="2" t="s">
        <v>30</v>
      </c>
      <c r="R391" s="2">
        <v>2</v>
      </c>
    </row>
    <row r="392" spans="1:18" x14ac:dyDescent="0.3">
      <c r="A392" s="2" t="s">
        <v>443</v>
      </c>
      <c r="B392" s="2" t="s">
        <v>62</v>
      </c>
      <c r="E392" s="2" t="s">
        <v>62</v>
      </c>
      <c r="F392" s="1">
        <v>46200</v>
      </c>
      <c r="G392" s="2" t="s">
        <v>32</v>
      </c>
      <c r="H392" s="2" t="s">
        <v>18</v>
      </c>
      <c r="I392" s="2" t="s">
        <v>34</v>
      </c>
      <c r="J392" s="2" t="s">
        <v>64</v>
      </c>
      <c r="K392" s="2" t="s">
        <v>52</v>
      </c>
      <c r="L392" s="2">
        <v>22</v>
      </c>
      <c r="M392" s="2">
        <v>116</v>
      </c>
      <c r="N392" s="2">
        <v>35421.760000000002</v>
      </c>
      <c r="O392" s="2">
        <v>74.16</v>
      </c>
      <c r="P392" s="2">
        <v>136.69</v>
      </c>
      <c r="Q392" s="2" t="s">
        <v>30</v>
      </c>
      <c r="R392" s="2">
        <v>4</v>
      </c>
    </row>
    <row r="393" spans="1:18" x14ac:dyDescent="0.3">
      <c r="A393" s="2" t="s">
        <v>444</v>
      </c>
      <c r="B393" s="2" t="s">
        <v>33</v>
      </c>
      <c r="E393" s="2" t="s">
        <v>33</v>
      </c>
      <c r="F393" s="1">
        <v>46023</v>
      </c>
      <c r="G393" s="2" t="s">
        <v>43</v>
      </c>
      <c r="H393" s="2" t="s">
        <v>45</v>
      </c>
      <c r="I393" s="2" t="s">
        <v>39</v>
      </c>
      <c r="J393" s="2" t="s">
        <v>64</v>
      </c>
      <c r="K393" s="2" t="s">
        <v>52</v>
      </c>
      <c r="L393" s="2">
        <v>51</v>
      </c>
      <c r="M393" s="2">
        <v>14</v>
      </c>
      <c r="N393" s="2">
        <v>9781.4699999999993</v>
      </c>
      <c r="O393" s="2">
        <v>97.81</v>
      </c>
      <c r="P393" s="2">
        <v>136.78</v>
      </c>
      <c r="Q393" s="2" t="s">
        <v>30</v>
      </c>
      <c r="R393" s="2">
        <v>1</v>
      </c>
    </row>
    <row r="394" spans="1:18" x14ac:dyDescent="0.3">
      <c r="A394" s="2" t="s">
        <v>445</v>
      </c>
      <c r="B394" s="2" t="s">
        <v>17</v>
      </c>
      <c r="E394" s="2" t="s">
        <v>17</v>
      </c>
      <c r="F394" s="1">
        <v>45879</v>
      </c>
      <c r="G394" s="2" t="s">
        <v>41</v>
      </c>
      <c r="H394" s="2" t="s">
        <v>38</v>
      </c>
      <c r="I394" s="2" t="s">
        <v>68</v>
      </c>
      <c r="J394" s="2" t="s">
        <v>35</v>
      </c>
      <c r="K394" s="2" t="s">
        <v>52</v>
      </c>
      <c r="L394" s="2">
        <v>34</v>
      </c>
      <c r="M394" s="2">
        <v>63</v>
      </c>
      <c r="N394" s="2">
        <v>37654.620000000003</v>
      </c>
      <c r="O394" s="2">
        <v>128.15</v>
      </c>
      <c r="P394" s="2">
        <v>100.37</v>
      </c>
      <c r="Q394" s="2" t="s">
        <v>30</v>
      </c>
      <c r="R394" s="2">
        <v>3</v>
      </c>
    </row>
    <row r="395" spans="1:18" x14ac:dyDescent="0.3">
      <c r="A395" s="2" t="s">
        <v>446</v>
      </c>
      <c r="B395" s="2" t="s">
        <v>67</v>
      </c>
      <c r="E395" s="2" t="s">
        <v>67</v>
      </c>
      <c r="F395" s="1">
        <v>46167</v>
      </c>
      <c r="G395" s="2" t="s">
        <v>16</v>
      </c>
      <c r="H395" s="2" t="s">
        <v>38</v>
      </c>
      <c r="I395" s="2" t="s">
        <v>34</v>
      </c>
      <c r="J395" s="2" t="s">
        <v>55</v>
      </c>
      <c r="K395" s="2" t="s">
        <v>21</v>
      </c>
      <c r="L395" s="2">
        <v>22</v>
      </c>
      <c r="M395" s="2">
        <v>112</v>
      </c>
      <c r="N395" s="2">
        <v>12181.83</v>
      </c>
      <c r="O395" s="2">
        <v>360.58</v>
      </c>
      <c r="P395" s="2">
        <v>155.59</v>
      </c>
      <c r="Q395" s="2" t="s">
        <v>30</v>
      </c>
      <c r="R395" s="2">
        <v>4</v>
      </c>
    </row>
    <row r="396" spans="1:18" x14ac:dyDescent="0.3">
      <c r="A396" s="2" t="s">
        <v>447</v>
      </c>
      <c r="B396" s="2" t="s">
        <v>78</v>
      </c>
      <c r="E396" s="2" t="s">
        <v>78</v>
      </c>
      <c r="F396" s="1">
        <v>46029</v>
      </c>
      <c r="G396" s="2" t="s">
        <v>90</v>
      </c>
      <c r="H396" s="2" t="s">
        <v>38</v>
      </c>
      <c r="I396" s="2" t="s">
        <v>39</v>
      </c>
      <c r="J396" s="2" t="s">
        <v>28</v>
      </c>
      <c r="K396" s="2" t="s">
        <v>21</v>
      </c>
      <c r="L396" s="2">
        <v>49</v>
      </c>
      <c r="M396" s="2">
        <v>61</v>
      </c>
      <c r="N396" s="2">
        <v>7605.47</v>
      </c>
      <c r="O396" s="2">
        <v>340.52</v>
      </c>
      <c r="P396" s="2">
        <v>168.27</v>
      </c>
      <c r="Q396" s="2" t="s">
        <v>30</v>
      </c>
      <c r="R396" s="2">
        <v>5</v>
      </c>
    </row>
    <row r="397" spans="1:18" x14ac:dyDescent="0.3">
      <c r="A397" s="2" t="s">
        <v>448</v>
      </c>
      <c r="B397" s="2" t="s">
        <v>76</v>
      </c>
      <c r="E397" s="2" t="s">
        <v>76</v>
      </c>
      <c r="F397" s="1">
        <v>46138</v>
      </c>
      <c r="G397" s="2" t="s">
        <v>90</v>
      </c>
      <c r="H397" s="2" t="s">
        <v>18</v>
      </c>
      <c r="I397" s="2" t="s">
        <v>68</v>
      </c>
      <c r="J397" s="2" t="s">
        <v>35</v>
      </c>
      <c r="K397" s="2" t="s">
        <v>29</v>
      </c>
      <c r="L397" s="2">
        <v>35</v>
      </c>
      <c r="M397" s="2">
        <v>31</v>
      </c>
      <c r="N397" s="2">
        <v>9677.74</v>
      </c>
      <c r="O397" s="2">
        <v>451.43</v>
      </c>
      <c r="P397" s="2">
        <v>173.92</v>
      </c>
      <c r="Q397" s="2" t="s">
        <v>22</v>
      </c>
      <c r="R397" s="2">
        <v>3</v>
      </c>
    </row>
    <row r="398" spans="1:18" x14ac:dyDescent="0.3">
      <c r="A398" s="2" t="s">
        <v>449</v>
      </c>
      <c r="B398" s="2" t="s">
        <v>44</v>
      </c>
      <c r="E398" s="2" t="s">
        <v>44</v>
      </c>
      <c r="F398" s="1">
        <v>46156</v>
      </c>
      <c r="G398" s="2" t="s">
        <v>41</v>
      </c>
      <c r="H398" s="2" t="s">
        <v>45</v>
      </c>
      <c r="I398" s="2" t="s">
        <v>19</v>
      </c>
      <c r="J398" s="2" t="s">
        <v>28</v>
      </c>
      <c r="K398" s="2" t="s">
        <v>21</v>
      </c>
      <c r="L398" s="2">
        <v>32</v>
      </c>
      <c r="M398" s="2">
        <v>95</v>
      </c>
      <c r="N398" s="2">
        <v>9512.1200000000008</v>
      </c>
      <c r="O398" s="2">
        <v>379.79</v>
      </c>
      <c r="P398" s="2">
        <v>123.79</v>
      </c>
      <c r="Q398" s="2" t="s">
        <v>30</v>
      </c>
      <c r="R398" s="2">
        <v>1</v>
      </c>
    </row>
    <row r="399" spans="1:18" x14ac:dyDescent="0.3">
      <c r="A399" s="2" t="s">
        <v>450</v>
      </c>
      <c r="B399" s="2" t="s">
        <v>86</v>
      </c>
      <c r="E399" s="2" t="s">
        <v>86</v>
      </c>
      <c r="F399" s="1">
        <v>45989</v>
      </c>
      <c r="G399" s="2" t="s">
        <v>41</v>
      </c>
      <c r="H399" s="2" t="s">
        <v>26</v>
      </c>
      <c r="I399" s="2" t="s">
        <v>19</v>
      </c>
      <c r="J399" s="2" t="s">
        <v>55</v>
      </c>
      <c r="K399" s="2" t="s">
        <v>29</v>
      </c>
      <c r="L399" s="2">
        <v>57</v>
      </c>
      <c r="M399" s="2">
        <v>17</v>
      </c>
      <c r="N399" s="2">
        <v>25886.71</v>
      </c>
      <c r="O399" s="2">
        <v>278.76</v>
      </c>
      <c r="P399" s="2">
        <v>84.87</v>
      </c>
      <c r="Q399" s="2" t="s">
        <v>22</v>
      </c>
      <c r="R399" s="2">
        <v>1</v>
      </c>
    </row>
    <row r="400" spans="1:18" x14ac:dyDescent="0.3">
      <c r="A400" s="2" t="s">
        <v>451</v>
      </c>
      <c r="B400" s="2" t="s">
        <v>76</v>
      </c>
      <c r="E400" s="2" t="s">
        <v>76</v>
      </c>
      <c r="F400" s="1">
        <v>45870</v>
      </c>
      <c r="G400" s="2" t="s">
        <v>43</v>
      </c>
      <c r="H400" s="2" t="s">
        <v>26</v>
      </c>
      <c r="I400" s="2" t="s">
        <v>19</v>
      </c>
      <c r="J400" s="2" t="s">
        <v>64</v>
      </c>
      <c r="K400" s="2" t="s">
        <v>29</v>
      </c>
      <c r="L400" s="2">
        <v>48</v>
      </c>
      <c r="M400" s="2">
        <v>24</v>
      </c>
      <c r="N400" s="2">
        <v>42317.48</v>
      </c>
      <c r="O400" s="2">
        <v>496.32</v>
      </c>
      <c r="P400" s="2">
        <v>268.45999999999998</v>
      </c>
      <c r="Q400" s="2" t="s">
        <v>22</v>
      </c>
      <c r="R400" s="2">
        <v>2</v>
      </c>
    </row>
    <row r="401" spans="1:18" x14ac:dyDescent="0.3">
      <c r="A401" s="2" t="s">
        <v>452</v>
      </c>
      <c r="B401" s="2" t="s">
        <v>51</v>
      </c>
      <c r="E401" s="2" t="s">
        <v>51</v>
      </c>
      <c r="F401" s="1">
        <v>46144</v>
      </c>
      <c r="G401" s="2" t="s">
        <v>43</v>
      </c>
      <c r="H401" s="2" t="s">
        <v>18</v>
      </c>
      <c r="I401" s="2" t="s">
        <v>19</v>
      </c>
      <c r="J401" s="2" t="s">
        <v>28</v>
      </c>
      <c r="K401" s="2" t="s">
        <v>56</v>
      </c>
      <c r="L401" s="2">
        <v>40</v>
      </c>
      <c r="M401" s="2">
        <v>116</v>
      </c>
      <c r="N401" s="2">
        <v>4440.45</v>
      </c>
      <c r="O401" s="2">
        <v>169.75</v>
      </c>
      <c r="P401" s="2">
        <v>4.84</v>
      </c>
      <c r="Q401" s="2" t="s">
        <v>30</v>
      </c>
      <c r="R401" s="2">
        <v>4</v>
      </c>
    </row>
    <row r="402" spans="1:18" x14ac:dyDescent="0.3">
      <c r="A402" s="2" t="s">
        <v>453</v>
      </c>
      <c r="B402" s="2" t="s">
        <v>67</v>
      </c>
      <c r="E402" s="2" t="s">
        <v>67</v>
      </c>
      <c r="F402" s="1">
        <v>46231</v>
      </c>
      <c r="G402" s="2" t="s">
        <v>41</v>
      </c>
      <c r="H402" s="2" t="s">
        <v>38</v>
      </c>
      <c r="I402" s="2" t="s">
        <v>27</v>
      </c>
      <c r="J402" s="2" t="s">
        <v>20</v>
      </c>
      <c r="K402" s="2" t="s">
        <v>52</v>
      </c>
      <c r="L402" s="2">
        <v>59</v>
      </c>
      <c r="M402" s="2">
        <v>23</v>
      </c>
      <c r="N402" s="2">
        <v>35494.339999999997</v>
      </c>
      <c r="O402" s="2">
        <v>424.94</v>
      </c>
      <c r="P402" s="2">
        <v>69.72</v>
      </c>
      <c r="Q402" s="2" t="s">
        <v>30</v>
      </c>
      <c r="R402" s="2">
        <v>5</v>
      </c>
    </row>
    <row r="403" spans="1:18" x14ac:dyDescent="0.3">
      <c r="A403" s="2" t="s">
        <v>454</v>
      </c>
      <c r="B403" s="2" t="s">
        <v>49</v>
      </c>
      <c r="E403" s="2" t="s">
        <v>49</v>
      </c>
      <c r="F403" s="1">
        <v>45958</v>
      </c>
      <c r="G403" s="2" t="s">
        <v>24</v>
      </c>
      <c r="H403" s="2" t="s">
        <v>58</v>
      </c>
      <c r="I403" s="2" t="s">
        <v>34</v>
      </c>
      <c r="J403" s="2" t="s">
        <v>20</v>
      </c>
      <c r="K403" s="2" t="s">
        <v>21</v>
      </c>
      <c r="L403" s="2">
        <v>44</v>
      </c>
      <c r="M403" s="2">
        <v>82</v>
      </c>
      <c r="N403" s="2">
        <v>32890.15</v>
      </c>
      <c r="O403" s="2">
        <v>242.06</v>
      </c>
      <c r="P403" s="2">
        <v>144.36000000000001</v>
      </c>
      <c r="Q403" s="2" t="s">
        <v>22</v>
      </c>
      <c r="R403" s="2">
        <v>3</v>
      </c>
    </row>
    <row r="404" spans="1:18" x14ac:dyDescent="0.3">
      <c r="A404" s="2" t="s">
        <v>455</v>
      </c>
      <c r="B404" s="2" t="s">
        <v>78</v>
      </c>
      <c r="E404" s="2" t="s">
        <v>78</v>
      </c>
      <c r="F404" s="1">
        <v>46111</v>
      </c>
      <c r="G404" s="2" t="s">
        <v>43</v>
      </c>
      <c r="H404" s="2" t="s">
        <v>18</v>
      </c>
      <c r="I404" s="2" t="s">
        <v>34</v>
      </c>
      <c r="J404" s="2" t="s">
        <v>35</v>
      </c>
      <c r="K404" s="2" t="s">
        <v>56</v>
      </c>
      <c r="L404" s="2">
        <v>41</v>
      </c>
      <c r="M404" s="2">
        <v>50</v>
      </c>
      <c r="N404" s="2">
        <v>43689.74</v>
      </c>
      <c r="O404" s="2">
        <v>341.93</v>
      </c>
      <c r="P404" s="2">
        <v>16.02</v>
      </c>
      <c r="Q404" s="2" t="s">
        <v>22</v>
      </c>
      <c r="R404" s="2">
        <v>1</v>
      </c>
    </row>
    <row r="405" spans="1:18" x14ac:dyDescent="0.3">
      <c r="A405" s="2" t="s">
        <v>456</v>
      </c>
      <c r="B405" s="2" t="s">
        <v>67</v>
      </c>
      <c r="E405" s="2" t="s">
        <v>67</v>
      </c>
      <c r="F405" s="1">
        <v>46219</v>
      </c>
      <c r="G405" s="2" t="s">
        <v>74</v>
      </c>
      <c r="H405" s="2" t="s">
        <v>18</v>
      </c>
      <c r="I405" s="2" t="s">
        <v>27</v>
      </c>
      <c r="J405" s="2" t="s">
        <v>55</v>
      </c>
      <c r="K405" s="2" t="s">
        <v>21</v>
      </c>
      <c r="L405" s="2">
        <v>30</v>
      </c>
      <c r="M405" s="2">
        <v>118</v>
      </c>
      <c r="N405" s="2">
        <v>12585.3</v>
      </c>
      <c r="O405" s="2">
        <v>377.27</v>
      </c>
      <c r="P405" s="2">
        <v>36.630000000000003</v>
      </c>
      <c r="Q405" s="2" t="s">
        <v>22</v>
      </c>
      <c r="R405" s="2">
        <v>3</v>
      </c>
    </row>
    <row r="406" spans="1:18" x14ac:dyDescent="0.3">
      <c r="A406" s="2" t="s">
        <v>457</v>
      </c>
      <c r="B406" s="2" t="s">
        <v>47</v>
      </c>
      <c r="E406" s="2" t="s">
        <v>47</v>
      </c>
      <c r="F406" s="1">
        <v>45913</v>
      </c>
      <c r="G406" s="2" t="s">
        <v>43</v>
      </c>
      <c r="H406" s="2" t="s">
        <v>45</v>
      </c>
      <c r="I406" s="2" t="s">
        <v>39</v>
      </c>
      <c r="J406" s="2" t="s">
        <v>35</v>
      </c>
      <c r="K406" s="2" t="s">
        <v>29</v>
      </c>
      <c r="L406" s="2">
        <v>66</v>
      </c>
      <c r="M406" s="2">
        <v>78</v>
      </c>
      <c r="N406" s="2">
        <v>22780.44</v>
      </c>
      <c r="O406" s="2">
        <v>335.19</v>
      </c>
      <c r="P406" s="2">
        <v>176.79</v>
      </c>
      <c r="Q406" s="2" t="s">
        <v>22</v>
      </c>
      <c r="R406" s="2">
        <v>5</v>
      </c>
    </row>
    <row r="407" spans="1:18" x14ac:dyDescent="0.3">
      <c r="A407" s="2" t="s">
        <v>458</v>
      </c>
      <c r="B407" s="2" t="s">
        <v>33</v>
      </c>
      <c r="E407" s="2" t="s">
        <v>33</v>
      </c>
      <c r="F407" s="1">
        <v>46092</v>
      </c>
      <c r="G407" s="2" t="s">
        <v>90</v>
      </c>
      <c r="H407" s="2" t="s">
        <v>26</v>
      </c>
      <c r="I407" s="2" t="s">
        <v>39</v>
      </c>
      <c r="J407" s="2" t="s">
        <v>35</v>
      </c>
      <c r="K407" s="2" t="s">
        <v>21</v>
      </c>
      <c r="L407" s="2">
        <v>34</v>
      </c>
      <c r="M407" s="2">
        <v>114</v>
      </c>
      <c r="N407" s="2">
        <v>46328.46</v>
      </c>
      <c r="O407" s="2">
        <v>113.23</v>
      </c>
      <c r="P407" s="2">
        <v>112</v>
      </c>
      <c r="Q407" s="2" t="s">
        <v>30</v>
      </c>
      <c r="R407" s="2">
        <v>3</v>
      </c>
    </row>
    <row r="408" spans="1:18" x14ac:dyDescent="0.3">
      <c r="A408" s="2" t="s">
        <v>459</v>
      </c>
      <c r="B408" s="2" t="s">
        <v>25</v>
      </c>
      <c r="E408" s="2" t="s">
        <v>25</v>
      </c>
      <c r="F408" s="1">
        <v>46163</v>
      </c>
      <c r="G408" s="2" t="s">
        <v>43</v>
      </c>
      <c r="H408" s="2" t="s">
        <v>18</v>
      </c>
      <c r="I408" s="2" t="s">
        <v>19</v>
      </c>
      <c r="J408" s="2" t="s">
        <v>35</v>
      </c>
      <c r="K408" s="2" t="s">
        <v>52</v>
      </c>
      <c r="L408" s="2">
        <v>57</v>
      </c>
      <c r="M408" s="2">
        <v>79</v>
      </c>
      <c r="N408" s="2">
        <v>33169.68</v>
      </c>
      <c r="O408" s="2">
        <v>249.33</v>
      </c>
      <c r="P408" s="2">
        <v>147.79</v>
      </c>
      <c r="Q408" s="2" t="s">
        <v>30</v>
      </c>
      <c r="R408" s="2">
        <v>4</v>
      </c>
    </row>
    <row r="409" spans="1:18" x14ac:dyDescent="0.3">
      <c r="A409" s="2" t="s">
        <v>460</v>
      </c>
      <c r="B409" s="2" t="s">
        <v>44</v>
      </c>
      <c r="E409" s="2" t="s">
        <v>44</v>
      </c>
      <c r="F409" s="1">
        <v>46038</v>
      </c>
      <c r="G409" s="2" t="s">
        <v>24</v>
      </c>
      <c r="H409" s="2" t="s">
        <v>18</v>
      </c>
      <c r="I409" s="2" t="s">
        <v>68</v>
      </c>
      <c r="J409" s="2" t="s">
        <v>20</v>
      </c>
      <c r="K409" s="2" t="s">
        <v>29</v>
      </c>
      <c r="L409" s="2">
        <v>38</v>
      </c>
      <c r="M409" s="2">
        <v>79</v>
      </c>
      <c r="N409" s="2">
        <v>19744.04</v>
      </c>
      <c r="O409" s="2">
        <v>302.64999999999998</v>
      </c>
      <c r="P409" s="2">
        <v>243.78</v>
      </c>
      <c r="Q409" s="2" t="s">
        <v>30</v>
      </c>
      <c r="R409" s="2">
        <v>2</v>
      </c>
    </row>
    <row r="410" spans="1:18" x14ac:dyDescent="0.3">
      <c r="A410" s="2" t="s">
        <v>461</v>
      </c>
      <c r="B410" s="2" t="s">
        <v>37</v>
      </c>
      <c r="E410" s="2" t="s">
        <v>37</v>
      </c>
      <c r="F410" s="1">
        <v>45919</v>
      </c>
      <c r="G410" s="2" t="s">
        <v>41</v>
      </c>
      <c r="H410" s="2" t="s">
        <v>38</v>
      </c>
      <c r="I410" s="2" t="s">
        <v>39</v>
      </c>
      <c r="J410" s="2" t="s">
        <v>20</v>
      </c>
      <c r="K410" s="2" t="s">
        <v>29</v>
      </c>
      <c r="L410" s="2">
        <v>44</v>
      </c>
      <c r="M410" s="2">
        <v>70</v>
      </c>
      <c r="N410" s="2">
        <v>7004.91</v>
      </c>
      <c r="O410" s="2">
        <v>432.07</v>
      </c>
      <c r="P410" s="2">
        <v>38.58</v>
      </c>
      <c r="Q410" s="2" t="s">
        <v>30</v>
      </c>
      <c r="R410" s="2">
        <v>3</v>
      </c>
    </row>
    <row r="411" spans="1:18" x14ac:dyDescent="0.3">
      <c r="A411" s="2" t="s">
        <v>462</v>
      </c>
      <c r="B411" s="2" t="s">
        <v>33</v>
      </c>
      <c r="E411" s="2" t="s">
        <v>33</v>
      </c>
      <c r="F411" s="1">
        <v>46221</v>
      </c>
      <c r="G411" s="2" t="s">
        <v>90</v>
      </c>
      <c r="H411" s="2" t="s">
        <v>38</v>
      </c>
      <c r="I411" s="2" t="s">
        <v>68</v>
      </c>
      <c r="J411" s="2" t="s">
        <v>35</v>
      </c>
      <c r="K411" s="2" t="s">
        <v>56</v>
      </c>
      <c r="L411" s="2">
        <v>34</v>
      </c>
      <c r="M411" s="2">
        <v>27</v>
      </c>
      <c r="N411" s="2">
        <v>13493.01</v>
      </c>
      <c r="O411" s="2">
        <v>249.64</v>
      </c>
      <c r="P411" s="2">
        <v>3.68</v>
      </c>
      <c r="Q411" s="2" t="s">
        <v>30</v>
      </c>
      <c r="R411" s="2">
        <v>2</v>
      </c>
    </row>
    <row r="412" spans="1:18" x14ac:dyDescent="0.3">
      <c r="A412" s="2" t="s">
        <v>463</v>
      </c>
      <c r="B412" s="2" t="s">
        <v>37</v>
      </c>
      <c r="E412" s="2" t="s">
        <v>37</v>
      </c>
      <c r="F412" s="1">
        <v>46130</v>
      </c>
      <c r="G412" s="2" t="s">
        <v>43</v>
      </c>
      <c r="H412" s="2" t="s">
        <v>58</v>
      </c>
      <c r="I412" s="2" t="s">
        <v>34</v>
      </c>
      <c r="J412" s="2" t="s">
        <v>20</v>
      </c>
      <c r="K412" s="2" t="s">
        <v>52</v>
      </c>
      <c r="L412" s="2">
        <v>54</v>
      </c>
      <c r="M412" s="2">
        <v>15</v>
      </c>
      <c r="N412" s="2">
        <v>29270.17</v>
      </c>
      <c r="O412" s="2">
        <v>463.44</v>
      </c>
      <c r="P412" s="2">
        <v>137.93</v>
      </c>
      <c r="Q412" s="2" t="s">
        <v>22</v>
      </c>
      <c r="R412" s="2">
        <v>5</v>
      </c>
    </row>
    <row r="413" spans="1:18" x14ac:dyDescent="0.3">
      <c r="A413" s="2" t="s">
        <v>464</v>
      </c>
      <c r="B413" s="2" t="s">
        <v>82</v>
      </c>
      <c r="E413" s="2" t="s">
        <v>82</v>
      </c>
      <c r="F413" s="1">
        <v>46107</v>
      </c>
      <c r="G413" s="2" t="s">
        <v>24</v>
      </c>
      <c r="H413" s="2" t="s">
        <v>45</v>
      </c>
      <c r="I413" s="2" t="s">
        <v>68</v>
      </c>
      <c r="J413" s="2" t="s">
        <v>55</v>
      </c>
      <c r="K413" s="2" t="s">
        <v>29</v>
      </c>
      <c r="L413" s="2">
        <v>32</v>
      </c>
      <c r="M413" s="2">
        <v>50</v>
      </c>
      <c r="N413" s="2">
        <v>36049.31</v>
      </c>
      <c r="O413" s="2">
        <v>248.17</v>
      </c>
      <c r="P413" s="2">
        <v>90.42</v>
      </c>
      <c r="Q413" s="2" t="s">
        <v>30</v>
      </c>
      <c r="R413" s="2">
        <v>2</v>
      </c>
    </row>
    <row r="414" spans="1:18" x14ac:dyDescent="0.3">
      <c r="A414" s="2" t="s">
        <v>465</v>
      </c>
      <c r="B414" s="2" t="s">
        <v>25</v>
      </c>
      <c r="E414" s="2" t="s">
        <v>25</v>
      </c>
      <c r="F414" s="1">
        <v>46056</v>
      </c>
      <c r="G414" s="2" t="s">
        <v>74</v>
      </c>
      <c r="H414" s="2" t="s">
        <v>58</v>
      </c>
      <c r="I414" s="2" t="s">
        <v>34</v>
      </c>
      <c r="J414" s="2" t="s">
        <v>35</v>
      </c>
      <c r="K414" s="2" t="s">
        <v>52</v>
      </c>
      <c r="L414" s="2">
        <v>42</v>
      </c>
      <c r="M414" s="2">
        <v>36</v>
      </c>
      <c r="N414" s="2">
        <v>6658.88</v>
      </c>
      <c r="O414" s="2">
        <v>296.95</v>
      </c>
      <c r="P414" s="2">
        <v>125.2</v>
      </c>
      <c r="Q414" s="2" t="s">
        <v>30</v>
      </c>
      <c r="R414" s="2">
        <v>3</v>
      </c>
    </row>
    <row r="415" spans="1:18" x14ac:dyDescent="0.3">
      <c r="A415" s="2" t="s">
        <v>466</v>
      </c>
      <c r="B415" s="2" t="s">
        <v>78</v>
      </c>
      <c r="E415" s="2" t="s">
        <v>78</v>
      </c>
      <c r="F415" s="1">
        <v>46161</v>
      </c>
      <c r="G415" s="2" t="s">
        <v>43</v>
      </c>
      <c r="H415" s="2" t="s">
        <v>38</v>
      </c>
      <c r="I415" s="2" t="s">
        <v>27</v>
      </c>
      <c r="J415" s="2" t="s">
        <v>20</v>
      </c>
      <c r="K415" s="2" t="s">
        <v>21</v>
      </c>
      <c r="L415" s="2">
        <v>26</v>
      </c>
      <c r="M415" s="2">
        <v>119</v>
      </c>
      <c r="N415" s="2">
        <v>30180.06</v>
      </c>
      <c r="O415" s="2">
        <v>408.33</v>
      </c>
      <c r="P415" s="2">
        <v>30.11</v>
      </c>
      <c r="Q415" s="2" t="s">
        <v>22</v>
      </c>
      <c r="R415" s="2">
        <v>3</v>
      </c>
    </row>
    <row r="416" spans="1:18" x14ac:dyDescent="0.3">
      <c r="A416" s="2" t="s">
        <v>467</v>
      </c>
      <c r="B416" s="2" t="s">
        <v>17</v>
      </c>
      <c r="E416" s="2" t="s">
        <v>17</v>
      </c>
      <c r="F416" s="1">
        <v>46196</v>
      </c>
      <c r="G416" s="2" t="s">
        <v>24</v>
      </c>
      <c r="H416" s="2" t="s">
        <v>26</v>
      </c>
      <c r="I416" s="2" t="s">
        <v>27</v>
      </c>
      <c r="J416" s="2" t="s">
        <v>28</v>
      </c>
      <c r="K416" s="2" t="s">
        <v>52</v>
      </c>
      <c r="L416" s="2">
        <v>56</v>
      </c>
      <c r="M416" s="2">
        <v>8</v>
      </c>
      <c r="N416" s="2">
        <v>27742.39</v>
      </c>
      <c r="O416" s="2">
        <v>312.38</v>
      </c>
      <c r="P416" s="2">
        <v>93.81</v>
      </c>
      <c r="Q416" s="2" t="s">
        <v>22</v>
      </c>
      <c r="R416" s="2">
        <v>1</v>
      </c>
    </row>
    <row r="417" spans="1:18" x14ac:dyDescent="0.3">
      <c r="A417" s="2" t="s">
        <v>468</v>
      </c>
      <c r="B417" s="2" t="s">
        <v>86</v>
      </c>
      <c r="E417" s="2" t="s">
        <v>86</v>
      </c>
      <c r="F417" s="1">
        <v>46092</v>
      </c>
      <c r="G417" s="2" t="s">
        <v>74</v>
      </c>
      <c r="H417" s="2" t="s">
        <v>38</v>
      </c>
      <c r="I417" s="2" t="s">
        <v>19</v>
      </c>
      <c r="J417" s="2" t="s">
        <v>35</v>
      </c>
      <c r="K417" s="2" t="s">
        <v>29</v>
      </c>
      <c r="L417" s="2">
        <v>65</v>
      </c>
      <c r="M417" s="2">
        <v>79</v>
      </c>
      <c r="N417" s="2">
        <v>25940.79</v>
      </c>
      <c r="O417" s="2">
        <v>482.1</v>
      </c>
      <c r="P417" s="2">
        <v>151.32</v>
      </c>
      <c r="Q417" s="2" t="s">
        <v>30</v>
      </c>
      <c r="R417" s="2">
        <v>3</v>
      </c>
    </row>
    <row r="418" spans="1:18" x14ac:dyDescent="0.3">
      <c r="A418" s="2" t="s">
        <v>469</v>
      </c>
      <c r="B418" s="2" t="s">
        <v>62</v>
      </c>
      <c r="E418" s="2" t="s">
        <v>62</v>
      </c>
      <c r="F418" s="1">
        <v>46047</v>
      </c>
      <c r="G418" s="2" t="s">
        <v>41</v>
      </c>
      <c r="H418" s="2" t="s">
        <v>45</v>
      </c>
      <c r="I418" s="2" t="s">
        <v>39</v>
      </c>
      <c r="J418" s="2" t="s">
        <v>35</v>
      </c>
      <c r="K418" s="2" t="s">
        <v>56</v>
      </c>
      <c r="L418" s="2">
        <v>56</v>
      </c>
      <c r="M418" s="2">
        <v>3</v>
      </c>
      <c r="N418" s="2">
        <v>34661.089999999997</v>
      </c>
      <c r="O418" s="2">
        <v>347.15</v>
      </c>
      <c r="P418" s="2">
        <v>117.02</v>
      </c>
      <c r="Q418" s="2" t="s">
        <v>22</v>
      </c>
      <c r="R418" s="2">
        <v>2</v>
      </c>
    </row>
    <row r="419" spans="1:18" x14ac:dyDescent="0.3">
      <c r="A419" s="2" t="s">
        <v>470</v>
      </c>
      <c r="B419" s="2" t="s">
        <v>60</v>
      </c>
      <c r="E419" s="2" t="s">
        <v>60</v>
      </c>
      <c r="F419" s="1">
        <v>46165</v>
      </c>
      <c r="G419" s="2" t="s">
        <v>43</v>
      </c>
      <c r="H419" s="2" t="s">
        <v>38</v>
      </c>
      <c r="I419" s="2" t="s">
        <v>19</v>
      </c>
      <c r="J419" s="2" t="s">
        <v>55</v>
      </c>
      <c r="K419" s="2" t="s">
        <v>29</v>
      </c>
      <c r="L419" s="2">
        <v>42</v>
      </c>
      <c r="M419" s="2">
        <v>62</v>
      </c>
      <c r="N419" s="2">
        <v>41953.75</v>
      </c>
      <c r="O419" s="2">
        <v>285.22000000000003</v>
      </c>
      <c r="P419" s="2">
        <v>153.94</v>
      </c>
      <c r="Q419" s="2" t="s">
        <v>22</v>
      </c>
      <c r="R419" s="2">
        <v>1</v>
      </c>
    </row>
    <row r="420" spans="1:18" x14ac:dyDescent="0.3">
      <c r="A420" s="2" t="s">
        <v>471</v>
      </c>
      <c r="B420" s="2" t="s">
        <v>25</v>
      </c>
      <c r="E420" s="2" t="s">
        <v>25</v>
      </c>
      <c r="F420" s="1">
        <v>46013</v>
      </c>
      <c r="G420" s="2" t="s">
        <v>74</v>
      </c>
      <c r="H420" s="2" t="s">
        <v>45</v>
      </c>
      <c r="I420" s="2" t="s">
        <v>34</v>
      </c>
      <c r="J420" s="2" t="s">
        <v>64</v>
      </c>
      <c r="K420" s="2" t="s">
        <v>52</v>
      </c>
      <c r="L420" s="2">
        <v>34</v>
      </c>
      <c r="M420" s="2">
        <v>47</v>
      </c>
      <c r="N420" s="2">
        <v>16487.990000000002</v>
      </c>
      <c r="O420" s="2">
        <v>60.62</v>
      </c>
      <c r="P420" s="2">
        <v>99.14</v>
      </c>
      <c r="Q420" s="2" t="s">
        <v>30</v>
      </c>
      <c r="R420" s="2">
        <v>3</v>
      </c>
    </row>
    <row r="421" spans="1:18" x14ac:dyDescent="0.3">
      <c r="A421" s="2" t="s">
        <v>472</v>
      </c>
      <c r="B421" s="2" t="s">
        <v>33</v>
      </c>
      <c r="E421" s="2" t="s">
        <v>33</v>
      </c>
      <c r="F421" s="1">
        <v>46116</v>
      </c>
      <c r="G421" s="2" t="s">
        <v>90</v>
      </c>
      <c r="H421" s="2" t="s">
        <v>45</v>
      </c>
      <c r="I421" s="2" t="s">
        <v>19</v>
      </c>
      <c r="J421" s="2" t="s">
        <v>64</v>
      </c>
      <c r="K421" s="2" t="s">
        <v>52</v>
      </c>
      <c r="L421" s="2">
        <v>36</v>
      </c>
      <c r="M421" s="2">
        <v>77</v>
      </c>
      <c r="N421" s="2">
        <v>44506.1</v>
      </c>
      <c r="O421" s="2">
        <v>236.18</v>
      </c>
      <c r="P421" s="2">
        <v>66.55</v>
      </c>
      <c r="Q421" s="2" t="s">
        <v>30</v>
      </c>
      <c r="R421" s="2">
        <v>3</v>
      </c>
    </row>
    <row r="422" spans="1:18" x14ac:dyDescent="0.3">
      <c r="A422" s="2" t="s">
        <v>473</v>
      </c>
      <c r="B422" s="2" t="s">
        <v>44</v>
      </c>
      <c r="E422" s="2" t="s">
        <v>44</v>
      </c>
      <c r="F422" s="1">
        <v>46152</v>
      </c>
      <c r="G422" s="2" t="s">
        <v>41</v>
      </c>
      <c r="H422" s="2" t="s">
        <v>45</v>
      </c>
      <c r="I422" s="2" t="s">
        <v>68</v>
      </c>
      <c r="J422" s="2" t="s">
        <v>55</v>
      </c>
      <c r="K422" s="2" t="s">
        <v>29</v>
      </c>
      <c r="L422" s="2">
        <v>56</v>
      </c>
      <c r="M422" s="2">
        <v>105</v>
      </c>
      <c r="N422" s="2">
        <v>8451.36</v>
      </c>
      <c r="O422" s="2">
        <v>184.66</v>
      </c>
      <c r="P422" s="2">
        <v>21.36</v>
      </c>
      <c r="Q422" s="2" t="s">
        <v>30</v>
      </c>
      <c r="R422" s="2">
        <v>5</v>
      </c>
    </row>
    <row r="423" spans="1:18" x14ac:dyDescent="0.3">
      <c r="A423" s="2" t="s">
        <v>474</v>
      </c>
      <c r="B423" s="2" t="s">
        <v>60</v>
      </c>
      <c r="E423" s="2" t="s">
        <v>60</v>
      </c>
      <c r="F423" s="1">
        <v>45905</v>
      </c>
      <c r="G423" s="2" t="s">
        <v>90</v>
      </c>
      <c r="H423" s="2" t="s">
        <v>45</v>
      </c>
      <c r="I423" s="2" t="s">
        <v>34</v>
      </c>
      <c r="J423" s="2" t="s">
        <v>55</v>
      </c>
      <c r="K423" s="2" t="s">
        <v>52</v>
      </c>
      <c r="L423" s="2">
        <v>45</v>
      </c>
      <c r="M423" s="2">
        <v>98</v>
      </c>
      <c r="N423" s="2">
        <v>9064.68</v>
      </c>
      <c r="O423" s="2">
        <v>386.65</v>
      </c>
      <c r="P423" s="2">
        <v>17.899999999999999</v>
      </c>
      <c r="Q423" s="2" t="s">
        <v>30</v>
      </c>
      <c r="R423" s="2">
        <v>1</v>
      </c>
    </row>
    <row r="424" spans="1:18" x14ac:dyDescent="0.3">
      <c r="A424" s="2" t="s">
        <v>475</v>
      </c>
      <c r="B424" s="2" t="s">
        <v>51</v>
      </c>
      <c r="E424" s="2" t="s">
        <v>51</v>
      </c>
      <c r="F424" s="1">
        <v>45907</v>
      </c>
      <c r="G424" s="2" t="s">
        <v>32</v>
      </c>
      <c r="H424" s="2" t="s">
        <v>45</v>
      </c>
      <c r="I424" s="2" t="s">
        <v>27</v>
      </c>
      <c r="J424" s="2" t="s">
        <v>55</v>
      </c>
      <c r="K424" s="2" t="s">
        <v>21</v>
      </c>
      <c r="L424" s="2">
        <v>52</v>
      </c>
      <c r="M424" s="2">
        <v>88</v>
      </c>
      <c r="N424" s="2">
        <v>13705.22</v>
      </c>
      <c r="O424" s="2">
        <v>143.72</v>
      </c>
      <c r="P424" s="2">
        <v>86.76</v>
      </c>
      <c r="Q424" s="2" t="s">
        <v>30</v>
      </c>
      <c r="R424" s="2">
        <v>5</v>
      </c>
    </row>
    <row r="425" spans="1:18" x14ac:dyDescent="0.3">
      <c r="A425" s="2" t="s">
        <v>476</v>
      </c>
      <c r="B425" s="2" t="s">
        <v>51</v>
      </c>
      <c r="E425" s="2" t="s">
        <v>51</v>
      </c>
      <c r="F425" s="1">
        <v>45958</v>
      </c>
      <c r="G425" s="2" t="s">
        <v>54</v>
      </c>
      <c r="H425" s="2" t="s">
        <v>26</v>
      </c>
      <c r="I425" s="2" t="s">
        <v>39</v>
      </c>
      <c r="J425" s="2" t="s">
        <v>64</v>
      </c>
      <c r="K425" s="2" t="s">
        <v>29</v>
      </c>
      <c r="L425" s="2">
        <v>53</v>
      </c>
      <c r="M425" s="2">
        <v>104</v>
      </c>
      <c r="N425" s="2">
        <v>6416.78</v>
      </c>
      <c r="O425" s="2">
        <v>142.35</v>
      </c>
      <c r="P425" s="2">
        <v>106.74</v>
      </c>
      <c r="Q425" s="2" t="s">
        <v>22</v>
      </c>
      <c r="R425" s="2">
        <v>5</v>
      </c>
    </row>
    <row r="426" spans="1:18" x14ac:dyDescent="0.3">
      <c r="A426" s="2" t="s">
        <v>477</v>
      </c>
      <c r="B426" s="2" t="s">
        <v>67</v>
      </c>
      <c r="E426" s="2" t="s">
        <v>67</v>
      </c>
      <c r="F426" s="1">
        <v>45894</v>
      </c>
      <c r="G426" s="2" t="s">
        <v>43</v>
      </c>
      <c r="H426" s="2" t="s">
        <v>58</v>
      </c>
      <c r="I426" s="2" t="s">
        <v>34</v>
      </c>
      <c r="J426" s="2" t="s">
        <v>55</v>
      </c>
      <c r="K426" s="2" t="s">
        <v>56</v>
      </c>
      <c r="L426" s="2">
        <v>65</v>
      </c>
      <c r="M426" s="2">
        <v>96</v>
      </c>
      <c r="N426" s="2">
        <v>11900.8</v>
      </c>
      <c r="O426" s="2">
        <v>135.28</v>
      </c>
      <c r="P426" s="2">
        <v>103.23</v>
      </c>
      <c r="Q426" s="2" t="s">
        <v>22</v>
      </c>
      <c r="R426" s="2">
        <v>5</v>
      </c>
    </row>
    <row r="427" spans="1:18" x14ac:dyDescent="0.3">
      <c r="A427" s="2" t="s">
        <v>478</v>
      </c>
      <c r="B427" s="2" t="s">
        <v>60</v>
      </c>
      <c r="E427" s="2" t="s">
        <v>60</v>
      </c>
      <c r="F427" s="1">
        <v>45957</v>
      </c>
      <c r="G427" s="2" t="s">
        <v>74</v>
      </c>
      <c r="H427" s="2" t="s">
        <v>18</v>
      </c>
      <c r="I427" s="2" t="s">
        <v>34</v>
      </c>
      <c r="J427" s="2" t="s">
        <v>20</v>
      </c>
      <c r="K427" s="2" t="s">
        <v>29</v>
      </c>
      <c r="L427" s="2">
        <v>56</v>
      </c>
      <c r="M427" s="2">
        <v>61</v>
      </c>
      <c r="N427" s="2">
        <v>5767.38</v>
      </c>
      <c r="O427" s="2">
        <v>106.53</v>
      </c>
      <c r="P427" s="2">
        <v>91.46</v>
      </c>
      <c r="Q427" s="2" t="s">
        <v>22</v>
      </c>
      <c r="R427" s="2">
        <v>4</v>
      </c>
    </row>
    <row r="428" spans="1:18" x14ac:dyDescent="0.3">
      <c r="A428" s="2" t="s">
        <v>479</v>
      </c>
      <c r="B428" s="2" t="s">
        <v>44</v>
      </c>
      <c r="E428" s="2" t="s">
        <v>44</v>
      </c>
      <c r="F428" s="1">
        <v>45999</v>
      </c>
      <c r="G428" s="2" t="s">
        <v>54</v>
      </c>
      <c r="H428" s="2" t="s">
        <v>58</v>
      </c>
      <c r="I428" s="2" t="s">
        <v>68</v>
      </c>
      <c r="J428" s="2" t="s">
        <v>35</v>
      </c>
      <c r="K428" s="2" t="s">
        <v>21</v>
      </c>
      <c r="L428" s="2">
        <v>40</v>
      </c>
      <c r="M428" s="2">
        <v>32</v>
      </c>
      <c r="N428" s="2">
        <v>41176.74</v>
      </c>
      <c r="O428" s="2">
        <v>189.95</v>
      </c>
      <c r="P428" s="2">
        <v>137.58000000000001</v>
      </c>
      <c r="Q428" s="2" t="s">
        <v>22</v>
      </c>
      <c r="R428" s="2">
        <v>5</v>
      </c>
    </row>
    <row r="429" spans="1:18" x14ac:dyDescent="0.3">
      <c r="A429" s="2" t="s">
        <v>480</v>
      </c>
      <c r="B429" s="2" t="s">
        <v>78</v>
      </c>
      <c r="E429" s="2" t="s">
        <v>78</v>
      </c>
      <c r="F429" s="1">
        <v>45955</v>
      </c>
      <c r="G429" s="2" t="s">
        <v>54</v>
      </c>
      <c r="H429" s="2" t="s">
        <v>45</v>
      </c>
      <c r="I429" s="2" t="s">
        <v>39</v>
      </c>
      <c r="J429" s="2" t="s">
        <v>35</v>
      </c>
      <c r="K429" s="2" t="s">
        <v>21</v>
      </c>
      <c r="L429" s="2">
        <v>38</v>
      </c>
      <c r="M429" s="2">
        <v>94</v>
      </c>
      <c r="N429" s="2">
        <v>7378.97</v>
      </c>
      <c r="O429" s="2">
        <v>448.66</v>
      </c>
      <c r="P429" s="2">
        <v>172.79</v>
      </c>
      <c r="Q429" s="2" t="s">
        <v>22</v>
      </c>
      <c r="R429" s="2">
        <v>2</v>
      </c>
    </row>
    <row r="430" spans="1:18" x14ac:dyDescent="0.3">
      <c r="A430" s="2" t="s">
        <v>481</v>
      </c>
      <c r="B430" s="2" t="s">
        <v>82</v>
      </c>
      <c r="E430" s="2" t="s">
        <v>82</v>
      </c>
      <c r="F430" s="1">
        <v>46218</v>
      </c>
      <c r="G430" s="2" t="s">
        <v>74</v>
      </c>
      <c r="H430" s="2" t="s">
        <v>26</v>
      </c>
      <c r="I430" s="2" t="s">
        <v>27</v>
      </c>
      <c r="J430" s="2" t="s">
        <v>28</v>
      </c>
      <c r="K430" s="2" t="s">
        <v>21</v>
      </c>
      <c r="L430" s="2">
        <v>58</v>
      </c>
      <c r="M430" s="2">
        <v>116</v>
      </c>
      <c r="N430" s="2">
        <v>37491.230000000003</v>
      </c>
      <c r="O430" s="2">
        <v>398.72</v>
      </c>
      <c r="P430" s="2">
        <v>59.77</v>
      </c>
      <c r="Q430" s="2" t="s">
        <v>30</v>
      </c>
      <c r="R430" s="2">
        <v>3</v>
      </c>
    </row>
    <row r="431" spans="1:18" x14ac:dyDescent="0.3">
      <c r="A431" s="2" t="s">
        <v>482</v>
      </c>
      <c r="B431" s="2" t="s">
        <v>37</v>
      </c>
      <c r="E431" s="2" t="s">
        <v>37</v>
      </c>
      <c r="F431" s="1">
        <v>46065</v>
      </c>
      <c r="G431" s="2" t="s">
        <v>41</v>
      </c>
      <c r="H431" s="2" t="s">
        <v>38</v>
      </c>
      <c r="I431" s="2" t="s">
        <v>34</v>
      </c>
      <c r="J431" s="2" t="s">
        <v>28</v>
      </c>
      <c r="K431" s="2" t="s">
        <v>21</v>
      </c>
      <c r="L431" s="2">
        <v>23</v>
      </c>
      <c r="M431" s="2">
        <v>113</v>
      </c>
      <c r="N431" s="2">
        <v>2871.74</v>
      </c>
      <c r="O431" s="2">
        <v>380.86</v>
      </c>
      <c r="P431" s="2">
        <v>38.6</v>
      </c>
      <c r="Q431" s="2" t="s">
        <v>30</v>
      </c>
      <c r="R431" s="2">
        <v>4</v>
      </c>
    </row>
    <row r="432" spans="1:18" x14ac:dyDescent="0.3">
      <c r="A432" s="2" t="s">
        <v>483</v>
      </c>
      <c r="B432" s="2" t="s">
        <v>67</v>
      </c>
      <c r="E432" s="2" t="s">
        <v>67</v>
      </c>
      <c r="F432" s="1">
        <v>45988</v>
      </c>
      <c r="G432" s="2" t="s">
        <v>43</v>
      </c>
      <c r="H432" s="2" t="s">
        <v>26</v>
      </c>
      <c r="I432" s="2" t="s">
        <v>34</v>
      </c>
      <c r="J432" s="2" t="s">
        <v>35</v>
      </c>
      <c r="K432" s="2" t="s">
        <v>21</v>
      </c>
      <c r="L432" s="2">
        <v>43</v>
      </c>
      <c r="M432" s="2">
        <v>13</v>
      </c>
      <c r="N432" s="2">
        <v>47451.76</v>
      </c>
      <c r="O432" s="2">
        <v>408.8</v>
      </c>
      <c r="P432" s="2">
        <v>23.24</v>
      </c>
      <c r="Q432" s="2" t="s">
        <v>22</v>
      </c>
      <c r="R432" s="2">
        <v>5</v>
      </c>
    </row>
    <row r="433" spans="1:18" x14ac:dyDescent="0.3">
      <c r="A433" s="2" t="s">
        <v>484</v>
      </c>
      <c r="B433" s="2" t="s">
        <v>51</v>
      </c>
      <c r="E433" s="2" t="s">
        <v>51</v>
      </c>
      <c r="F433" s="1">
        <v>45876</v>
      </c>
      <c r="G433" s="2" t="s">
        <v>32</v>
      </c>
      <c r="H433" s="2" t="s">
        <v>45</v>
      </c>
      <c r="I433" s="2" t="s">
        <v>68</v>
      </c>
      <c r="J433" s="2" t="s">
        <v>20</v>
      </c>
      <c r="K433" s="2" t="s">
        <v>56</v>
      </c>
      <c r="L433" s="2">
        <v>52</v>
      </c>
      <c r="M433" s="2">
        <v>1</v>
      </c>
      <c r="N433" s="2">
        <v>35702.42</v>
      </c>
      <c r="O433" s="2">
        <v>171.24</v>
      </c>
      <c r="P433" s="2">
        <v>123.25</v>
      </c>
      <c r="Q433" s="2" t="s">
        <v>30</v>
      </c>
      <c r="R433" s="2">
        <v>3</v>
      </c>
    </row>
    <row r="434" spans="1:18" x14ac:dyDescent="0.3">
      <c r="A434" s="2" t="s">
        <v>485</v>
      </c>
      <c r="B434" s="2" t="s">
        <v>62</v>
      </c>
      <c r="E434" s="2" t="s">
        <v>62</v>
      </c>
      <c r="F434" s="1">
        <v>46151</v>
      </c>
      <c r="G434" s="2" t="s">
        <v>90</v>
      </c>
      <c r="H434" s="2" t="s">
        <v>26</v>
      </c>
      <c r="I434" s="2" t="s">
        <v>19</v>
      </c>
      <c r="J434" s="2" t="s">
        <v>64</v>
      </c>
      <c r="K434" s="2" t="s">
        <v>52</v>
      </c>
      <c r="L434" s="2">
        <v>65</v>
      </c>
      <c r="M434" s="2">
        <v>34</v>
      </c>
      <c r="N434" s="2">
        <v>836.43</v>
      </c>
      <c r="O434" s="2">
        <v>449.35</v>
      </c>
      <c r="P434" s="2">
        <v>88.77</v>
      </c>
      <c r="Q434" s="2" t="s">
        <v>30</v>
      </c>
      <c r="R434" s="2">
        <v>1</v>
      </c>
    </row>
    <row r="435" spans="1:18" x14ac:dyDescent="0.3">
      <c r="A435" s="2" t="s">
        <v>486</v>
      </c>
      <c r="B435" s="2" t="s">
        <v>62</v>
      </c>
      <c r="E435" s="2" t="s">
        <v>62</v>
      </c>
      <c r="F435" s="1">
        <v>46133</v>
      </c>
      <c r="G435" s="2" t="s">
        <v>24</v>
      </c>
      <c r="H435" s="2" t="s">
        <v>26</v>
      </c>
      <c r="I435" s="2" t="s">
        <v>27</v>
      </c>
      <c r="J435" s="2" t="s">
        <v>64</v>
      </c>
      <c r="K435" s="2" t="s">
        <v>21</v>
      </c>
      <c r="L435" s="2">
        <v>36</v>
      </c>
      <c r="M435" s="2">
        <v>62</v>
      </c>
      <c r="N435" s="2">
        <v>38310.9</v>
      </c>
      <c r="O435" s="2">
        <v>111.79</v>
      </c>
      <c r="P435" s="2">
        <v>37.6</v>
      </c>
      <c r="Q435" s="2" t="s">
        <v>30</v>
      </c>
      <c r="R435" s="2">
        <v>1</v>
      </c>
    </row>
    <row r="436" spans="1:18" x14ac:dyDescent="0.3">
      <c r="A436" s="2" t="s">
        <v>487</v>
      </c>
      <c r="B436" s="2" t="s">
        <v>33</v>
      </c>
      <c r="E436" s="2" t="s">
        <v>33</v>
      </c>
      <c r="F436" s="1">
        <v>46056</v>
      </c>
      <c r="G436" s="2" t="s">
        <v>90</v>
      </c>
      <c r="H436" s="2" t="s">
        <v>45</v>
      </c>
      <c r="I436" s="2" t="s">
        <v>39</v>
      </c>
      <c r="J436" s="2" t="s">
        <v>20</v>
      </c>
      <c r="K436" s="2" t="s">
        <v>21</v>
      </c>
      <c r="L436" s="2">
        <v>25</v>
      </c>
      <c r="M436" s="2">
        <v>79</v>
      </c>
      <c r="N436" s="2">
        <v>25947.06</v>
      </c>
      <c r="O436" s="2">
        <v>201.36</v>
      </c>
      <c r="P436" s="2">
        <v>130.63</v>
      </c>
      <c r="Q436" s="2" t="s">
        <v>22</v>
      </c>
      <c r="R436" s="2">
        <v>3</v>
      </c>
    </row>
    <row r="437" spans="1:18" x14ac:dyDescent="0.3">
      <c r="A437" s="2" t="s">
        <v>488</v>
      </c>
      <c r="B437" s="2" t="s">
        <v>78</v>
      </c>
      <c r="E437" s="2" t="s">
        <v>78</v>
      </c>
      <c r="F437" s="1">
        <v>46081</v>
      </c>
      <c r="G437" s="2" t="s">
        <v>24</v>
      </c>
      <c r="H437" s="2" t="s">
        <v>26</v>
      </c>
      <c r="I437" s="2" t="s">
        <v>34</v>
      </c>
      <c r="J437" s="2" t="s">
        <v>64</v>
      </c>
      <c r="K437" s="2" t="s">
        <v>29</v>
      </c>
      <c r="L437" s="2">
        <v>24</v>
      </c>
      <c r="M437" s="2">
        <v>108</v>
      </c>
      <c r="N437" s="2">
        <v>39078.58</v>
      </c>
      <c r="O437" s="2">
        <v>314.04000000000002</v>
      </c>
      <c r="P437" s="2">
        <v>44.55</v>
      </c>
      <c r="Q437" s="2" t="s">
        <v>30</v>
      </c>
      <c r="R437" s="2">
        <v>2</v>
      </c>
    </row>
    <row r="438" spans="1:18" x14ac:dyDescent="0.3">
      <c r="A438" s="2" t="s">
        <v>489</v>
      </c>
      <c r="B438" s="2" t="s">
        <v>17</v>
      </c>
      <c r="E438" s="2" t="s">
        <v>17</v>
      </c>
      <c r="F438" s="1">
        <v>46116</v>
      </c>
      <c r="G438" s="2" t="s">
        <v>90</v>
      </c>
      <c r="H438" s="2" t="s">
        <v>18</v>
      </c>
      <c r="I438" s="2" t="s">
        <v>34</v>
      </c>
      <c r="J438" s="2" t="s">
        <v>55</v>
      </c>
      <c r="K438" s="2" t="s">
        <v>56</v>
      </c>
      <c r="L438" s="2">
        <v>41</v>
      </c>
      <c r="M438" s="2">
        <v>78</v>
      </c>
      <c r="N438" s="2">
        <v>26363.59</v>
      </c>
      <c r="O438" s="2">
        <v>96.31</v>
      </c>
      <c r="P438" s="2">
        <v>110.86</v>
      </c>
      <c r="Q438" s="2" t="s">
        <v>22</v>
      </c>
      <c r="R438" s="2">
        <v>3</v>
      </c>
    </row>
    <row r="439" spans="1:18" x14ac:dyDescent="0.3">
      <c r="A439" s="2" t="s">
        <v>490</v>
      </c>
      <c r="B439" s="2" t="s">
        <v>51</v>
      </c>
      <c r="E439" s="2" t="s">
        <v>51</v>
      </c>
      <c r="F439" s="1">
        <v>45884</v>
      </c>
      <c r="G439" s="2" t="s">
        <v>74</v>
      </c>
      <c r="H439" s="2" t="s">
        <v>18</v>
      </c>
      <c r="I439" s="2" t="s">
        <v>27</v>
      </c>
      <c r="J439" s="2" t="s">
        <v>35</v>
      </c>
      <c r="K439" s="2" t="s">
        <v>56</v>
      </c>
      <c r="L439" s="2">
        <v>60</v>
      </c>
      <c r="M439" s="2">
        <v>93</v>
      </c>
      <c r="N439" s="2">
        <v>32230.73</v>
      </c>
      <c r="O439" s="2">
        <v>378.56</v>
      </c>
      <c r="P439" s="2">
        <v>105.43</v>
      </c>
      <c r="Q439" s="2" t="s">
        <v>30</v>
      </c>
      <c r="R439" s="2">
        <v>3</v>
      </c>
    </row>
    <row r="440" spans="1:18" x14ac:dyDescent="0.3">
      <c r="A440" s="2" t="s">
        <v>491</v>
      </c>
      <c r="B440" s="2" t="s">
        <v>49</v>
      </c>
      <c r="E440" s="2" t="s">
        <v>49</v>
      </c>
      <c r="F440" s="1">
        <v>46109</v>
      </c>
      <c r="G440" s="2" t="s">
        <v>32</v>
      </c>
      <c r="H440" s="2" t="s">
        <v>26</v>
      </c>
      <c r="I440" s="2" t="s">
        <v>19</v>
      </c>
      <c r="J440" s="2" t="s">
        <v>35</v>
      </c>
      <c r="K440" s="2" t="s">
        <v>52</v>
      </c>
      <c r="L440" s="2">
        <v>71</v>
      </c>
      <c r="M440" s="2">
        <v>98</v>
      </c>
      <c r="N440" s="2">
        <v>39423.42</v>
      </c>
      <c r="O440" s="2">
        <v>224.26</v>
      </c>
      <c r="P440" s="2">
        <v>146.85</v>
      </c>
      <c r="Q440" s="2" t="s">
        <v>22</v>
      </c>
      <c r="R440" s="2">
        <v>4</v>
      </c>
    </row>
    <row r="441" spans="1:18" x14ac:dyDescent="0.3">
      <c r="A441" s="2" t="s">
        <v>492</v>
      </c>
      <c r="B441" s="2" t="s">
        <v>78</v>
      </c>
      <c r="E441" s="2" t="s">
        <v>78</v>
      </c>
      <c r="F441" s="1">
        <v>46128</v>
      </c>
      <c r="G441" s="2" t="s">
        <v>43</v>
      </c>
      <c r="H441" s="2" t="s">
        <v>38</v>
      </c>
      <c r="I441" s="2" t="s">
        <v>34</v>
      </c>
      <c r="J441" s="2" t="s">
        <v>20</v>
      </c>
      <c r="K441" s="2" t="s">
        <v>56</v>
      </c>
      <c r="L441" s="2">
        <v>34</v>
      </c>
      <c r="M441" s="2">
        <v>82</v>
      </c>
      <c r="N441" s="2">
        <v>20552.849999999999</v>
      </c>
      <c r="O441" s="2">
        <v>402.98</v>
      </c>
      <c r="P441" s="2">
        <v>11.02</v>
      </c>
      <c r="Q441" s="2" t="s">
        <v>30</v>
      </c>
      <c r="R441" s="2">
        <v>1</v>
      </c>
    </row>
    <row r="442" spans="1:18" x14ac:dyDescent="0.3">
      <c r="A442" s="2" t="s">
        <v>493</v>
      </c>
      <c r="B442" s="2" t="s">
        <v>82</v>
      </c>
      <c r="E442" s="2" t="s">
        <v>82</v>
      </c>
      <c r="F442" s="1">
        <v>46052</v>
      </c>
      <c r="G442" s="2" t="s">
        <v>24</v>
      </c>
      <c r="H442" s="2" t="s">
        <v>45</v>
      </c>
      <c r="I442" s="2" t="s">
        <v>27</v>
      </c>
      <c r="J442" s="2" t="s">
        <v>64</v>
      </c>
      <c r="K442" s="2" t="s">
        <v>29</v>
      </c>
      <c r="L442" s="2">
        <v>59</v>
      </c>
      <c r="M442" s="2">
        <v>118</v>
      </c>
      <c r="N442" s="2">
        <v>634.04999999999995</v>
      </c>
      <c r="O442" s="2">
        <v>271.8</v>
      </c>
      <c r="P442" s="2">
        <v>266.36</v>
      </c>
      <c r="Q442" s="2" t="s">
        <v>22</v>
      </c>
      <c r="R442" s="2">
        <v>1</v>
      </c>
    </row>
    <row r="443" spans="1:18" x14ac:dyDescent="0.3">
      <c r="A443" s="2" t="s">
        <v>494</v>
      </c>
      <c r="B443" s="2" t="s">
        <v>37</v>
      </c>
      <c r="E443" s="2" t="s">
        <v>37</v>
      </c>
      <c r="F443" s="1">
        <v>46224</v>
      </c>
      <c r="G443" s="2" t="s">
        <v>43</v>
      </c>
      <c r="H443" s="2" t="s">
        <v>18</v>
      </c>
      <c r="I443" s="2" t="s">
        <v>68</v>
      </c>
      <c r="J443" s="2" t="s">
        <v>28</v>
      </c>
      <c r="K443" s="2" t="s">
        <v>29</v>
      </c>
      <c r="L443" s="2">
        <v>51</v>
      </c>
      <c r="M443" s="2">
        <v>71</v>
      </c>
      <c r="N443" s="2">
        <v>42572.35</v>
      </c>
      <c r="O443" s="2">
        <v>131.38999999999999</v>
      </c>
      <c r="P443" s="2">
        <v>210.9</v>
      </c>
      <c r="Q443" s="2" t="s">
        <v>30</v>
      </c>
      <c r="R443" s="2">
        <v>5</v>
      </c>
    </row>
    <row r="444" spans="1:18" x14ac:dyDescent="0.3">
      <c r="A444" s="2" t="s">
        <v>495</v>
      </c>
      <c r="B444" s="2" t="s">
        <v>44</v>
      </c>
      <c r="E444" s="2" t="s">
        <v>44</v>
      </c>
      <c r="F444" s="1">
        <v>46008</v>
      </c>
      <c r="G444" s="2" t="s">
        <v>43</v>
      </c>
      <c r="H444" s="2" t="s">
        <v>38</v>
      </c>
      <c r="I444" s="2" t="s">
        <v>19</v>
      </c>
      <c r="J444" s="2" t="s">
        <v>28</v>
      </c>
      <c r="K444" s="2" t="s">
        <v>52</v>
      </c>
      <c r="L444" s="2">
        <v>34</v>
      </c>
      <c r="M444" s="2">
        <v>93</v>
      </c>
      <c r="N444" s="2">
        <v>19354.07</v>
      </c>
      <c r="O444" s="2">
        <v>380.64</v>
      </c>
      <c r="P444" s="2">
        <v>43.23</v>
      </c>
      <c r="Q444" s="2" t="s">
        <v>22</v>
      </c>
      <c r="R444" s="2">
        <v>3</v>
      </c>
    </row>
    <row r="445" spans="1:18" x14ac:dyDescent="0.3">
      <c r="A445" s="2" t="s">
        <v>496</v>
      </c>
      <c r="B445" s="2" t="s">
        <v>60</v>
      </c>
      <c r="E445" s="2" t="s">
        <v>60</v>
      </c>
      <c r="F445" s="1">
        <v>46091</v>
      </c>
      <c r="G445" s="2" t="s">
        <v>43</v>
      </c>
      <c r="H445" s="2" t="s">
        <v>26</v>
      </c>
      <c r="I445" s="2" t="s">
        <v>39</v>
      </c>
      <c r="J445" s="2" t="s">
        <v>64</v>
      </c>
      <c r="K445" s="2" t="s">
        <v>29</v>
      </c>
      <c r="L445" s="2">
        <v>26</v>
      </c>
      <c r="M445" s="2">
        <v>119</v>
      </c>
      <c r="N445" s="2">
        <v>25054.11</v>
      </c>
      <c r="O445" s="2">
        <v>163.46</v>
      </c>
      <c r="P445" s="2">
        <v>55.02</v>
      </c>
      <c r="Q445" s="2" t="s">
        <v>30</v>
      </c>
      <c r="R445" s="2">
        <v>3</v>
      </c>
    </row>
    <row r="446" spans="1:18" x14ac:dyDescent="0.3">
      <c r="A446" s="2" t="s">
        <v>497</v>
      </c>
      <c r="B446" s="2" t="s">
        <v>51</v>
      </c>
      <c r="E446" s="2" t="s">
        <v>51</v>
      </c>
      <c r="F446" s="1">
        <v>46144</v>
      </c>
      <c r="G446" s="2" t="s">
        <v>16</v>
      </c>
      <c r="H446" s="2" t="s">
        <v>38</v>
      </c>
      <c r="I446" s="2" t="s">
        <v>34</v>
      </c>
      <c r="J446" s="2" t="s">
        <v>28</v>
      </c>
      <c r="K446" s="2" t="s">
        <v>21</v>
      </c>
      <c r="L446" s="2">
        <v>32</v>
      </c>
      <c r="M446" s="2">
        <v>31</v>
      </c>
      <c r="N446" s="2">
        <v>884.45</v>
      </c>
      <c r="O446" s="2">
        <v>270.86</v>
      </c>
      <c r="P446" s="2">
        <v>86.33</v>
      </c>
      <c r="Q446" s="2" t="s">
        <v>30</v>
      </c>
      <c r="R446" s="2">
        <v>2</v>
      </c>
    </row>
    <row r="447" spans="1:18" x14ac:dyDescent="0.3">
      <c r="A447" s="2" t="s">
        <v>498</v>
      </c>
      <c r="B447" s="2" t="s">
        <v>60</v>
      </c>
      <c r="E447" s="2" t="s">
        <v>60</v>
      </c>
      <c r="F447" s="1">
        <v>46056</v>
      </c>
      <c r="G447" s="2" t="s">
        <v>41</v>
      </c>
      <c r="H447" s="2" t="s">
        <v>58</v>
      </c>
      <c r="I447" s="2" t="s">
        <v>27</v>
      </c>
      <c r="J447" s="2" t="s">
        <v>20</v>
      </c>
      <c r="K447" s="2" t="s">
        <v>21</v>
      </c>
      <c r="L447" s="2">
        <v>36</v>
      </c>
      <c r="M447" s="2">
        <v>64</v>
      </c>
      <c r="N447" s="2">
        <v>24858.55</v>
      </c>
      <c r="O447" s="2">
        <v>83.99</v>
      </c>
      <c r="P447" s="2">
        <v>163.51</v>
      </c>
      <c r="Q447" s="2" t="s">
        <v>30</v>
      </c>
      <c r="R447" s="2">
        <v>1</v>
      </c>
    </row>
    <row r="448" spans="1:18" x14ac:dyDescent="0.3">
      <c r="A448" s="2" t="s">
        <v>499</v>
      </c>
      <c r="B448" s="2" t="s">
        <v>62</v>
      </c>
      <c r="E448" s="2" t="s">
        <v>62</v>
      </c>
      <c r="F448" s="1">
        <v>45944</v>
      </c>
      <c r="G448" s="2" t="s">
        <v>90</v>
      </c>
      <c r="H448" s="2" t="s">
        <v>18</v>
      </c>
      <c r="I448" s="2" t="s">
        <v>68</v>
      </c>
      <c r="J448" s="2" t="s">
        <v>20</v>
      </c>
      <c r="K448" s="2" t="s">
        <v>29</v>
      </c>
      <c r="L448" s="2">
        <v>37</v>
      </c>
      <c r="M448" s="2">
        <v>25</v>
      </c>
      <c r="N448" s="2">
        <v>49331.13</v>
      </c>
      <c r="O448" s="2">
        <v>328.04</v>
      </c>
      <c r="P448" s="2">
        <v>252.88</v>
      </c>
      <c r="Q448" s="2" t="s">
        <v>30</v>
      </c>
      <c r="R448" s="2">
        <v>2</v>
      </c>
    </row>
    <row r="449" spans="1:18" x14ac:dyDescent="0.3">
      <c r="A449" s="2" t="s">
        <v>500</v>
      </c>
      <c r="B449" s="2" t="s">
        <v>44</v>
      </c>
      <c r="E449" s="2" t="s">
        <v>44</v>
      </c>
      <c r="F449" s="1">
        <v>46231</v>
      </c>
      <c r="G449" s="2" t="s">
        <v>43</v>
      </c>
      <c r="H449" s="2" t="s">
        <v>26</v>
      </c>
      <c r="I449" s="2" t="s">
        <v>39</v>
      </c>
      <c r="J449" s="2" t="s">
        <v>64</v>
      </c>
      <c r="K449" s="2" t="s">
        <v>52</v>
      </c>
      <c r="L449" s="2">
        <v>65</v>
      </c>
      <c r="M449" s="2">
        <v>38</v>
      </c>
      <c r="N449" s="2">
        <v>14274.25</v>
      </c>
      <c r="O449" s="2">
        <v>349.64</v>
      </c>
      <c r="P449" s="2">
        <v>104.09</v>
      </c>
      <c r="Q449" s="2" t="s">
        <v>30</v>
      </c>
      <c r="R449" s="2">
        <v>4</v>
      </c>
    </row>
    <row r="450" spans="1:18" x14ac:dyDescent="0.3">
      <c r="A450" s="2" t="s">
        <v>501</v>
      </c>
      <c r="B450" s="2" t="s">
        <v>44</v>
      </c>
      <c r="E450" s="2" t="s">
        <v>44</v>
      </c>
      <c r="F450" s="1">
        <v>46079</v>
      </c>
      <c r="G450" s="2" t="s">
        <v>90</v>
      </c>
      <c r="H450" s="2" t="s">
        <v>45</v>
      </c>
      <c r="I450" s="2" t="s">
        <v>27</v>
      </c>
      <c r="J450" s="2" t="s">
        <v>28</v>
      </c>
      <c r="K450" s="2" t="s">
        <v>56</v>
      </c>
      <c r="L450" s="2">
        <v>43</v>
      </c>
      <c r="M450" s="2">
        <v>14</v>
      </c>
      <c r="N450" s="2">
        <v>20073.2</v>
      </c>
      <c r="O450" s="2">
        <v>220.4</v>
      </c>
      <c r="P450" s="2">
        <v>172.16</v>
      </c>
      <c r="Q450" s="2" t="s">
        <v>30</v>
      </c>
      <c r="R450" s="2">
        <v>5</v>
      </c>
    </row>
    <row r="451" spans="1:18" x14ac:dyDescent="0.3">
      <c r="A451" s="2" t="s">
        <v>502</v>
      </c>
      <c r="B451" s="2" t="s">
        <v>44</v>
      </c>
      <c r="E451" s="2" t="s">
        <v>44</v>
      </c>
      <c r="F451" s="1">
        <v>45944</v>
      </c>
      <c r="G451" s="2" t="s">
        <v>43</v>
      </c>
      <c r="H451" s="2" t="s">
        <v>26</v>
      </c>
      <c r="I451" s="2" t="s">
        <v>27</v>
      </c>
      <c r="J451" s="2" t="s">
        <v>20</v>
      </c>
      <c r="K451" s="2" t="s">
        <v>52</v>
      </c>
      <c r="L451" s="2">
        <v>34</v>
      </c>
      <c r="M451" s="2">
        <v>8</v>
      </c>
      <c r="N451" s="2">
        <v>34515.9</v>
      </c>
      <c r="O451" s="2">
        <v>479.49</v>
      </c>
      <c r="P451" s="2">
        <v>1.0900000000000001</v>
      </c>
      <c r="Q451" s="2" t="s">
        <v>22</v>
      </c>
      <c r="R451" s="2">
        <v>2</v>
      </c>
    </row>
    <row r="452" spans="1:18" x14ac:dyDescent="0.3">
      <c r="A452" s="2" t="s">
        <v>503</v>
      </c>
      <c r="B452" s="2" t="s">
        <v>62</v>
      </c>
      <c r="E452" s="2" t="s">
        <v>62</v>
      </c>
      <c r="F452" s="1">
        <v>46016</v>
      </c>
      <c r="G452" s="2" t="s">
        <v>24</v>
      </c>
      <c r="H452" s="2" t="s">
        <v>45</v>
      </c>
      <c r="I452" s="2" t="s">
        <v>39</v>
      </c>
      <c r="J452" s="2" t="s">
        <v>20</v>
      </c>
      <c r="K452" s="2" t="s">
        <v>56</v>
      </c>
      <c r="L452" s="2">
        <v>27</v>
      </c>
      <c r="M452" s="2">
        <v>91</v>
      </c>
      <c r="N452" s="2">
        <v>40832.29</v>
      </c>
      <c r="O452" s="2">
        <v>443.38</v>
      </c>
      <c r="P452" s="2">
        <v>7.03</v>
      </c>
      <c r="Q452" s="2" t="s">
        <v>22</v>
      </c>
      <c r="R452" s="2">
        <v>1</v>
      </c>
    </row>
    <row r="453" spans="1:18" x14ac:dyDescent="0.3">
      <c r="A453" s="2" t="s">
        <v>504</v>
      </c>
      <c r="B453" s="2" t="s">
        <v>82</v>
      </c>
      <c r="E453" s="2" t="s">
        <v>82</v>
      </c>
      <c r="F453" s="1">
        <v>46126</v>
      </c>
      <c r="G453" s="2" t="s">
        <v>41</v>
      </c>
      <c r="H453" s="2" t="s">
        <v>26</v>
      </c>
      <c r="I453" s="2" t="s">
        <v>68</v>
      </c>
      <c r="J453" s="2" t="s">
        <v>55</v>
      </c>
      <c r="K453" s="2" t="s">
        <v>29</v>
      </c>
      <c r="L453" s="2">
        <v>66</v>
      </c>
      <c r="M453" s="2">
        <v>54</v>
      </c>
      <c r="N453" s="2">
        <v>21160.89</v>
      </c>
      <c r="O453" s="2">
        <v>368.57</v>
      </c>
      <c r="P453" s="2">
        <v>273.54000000000002</v>
      </c>
      <c r="Q453" s="2" t="s">
        <v>30</v>
      </c>
      <c r="R453" s="2">
        <v>4</v>
      </c>
    </row>
    <row r="454" spans="1:18" x14ac:dyDescent="0.3">
      <c r="A454" s="2" t="s">
        <v>505</v>
      </c>
      <c r="B454" s="2" t="s">
        <v>60</v>
      </c>
      <c r="E454" s="2" t="s">
        <v>60</v>
      </c>
      <c r="F454" s="1">
        <v>46232</v>
      </c>
      <c r="G454" s="2" t="s">
        <v>41</v>
      </c>
      <c r="H454" s="2" t="s">
        <v>38</v>
      </c>
      <c r="I454" s="2" t="s">
        <v>68</v>
      </c>
      <c r="J454" s="2" t="s">
        <v>55</v>
      </c>
      <c r="K454" s="2" t="s">
        <v>29</v>
      </c>
      <c r="L454" s="2">
        <v>52</v>
      </c>
      <c r="M454" s="2">
        <v>2</v>
      </c>
      <c r="N454" s="2">
        <v>15828.61</v>
      </c>
      <c r="O454" s="2">
        <v>371.14</v>
      </c>
      <c r="P454" s="2">
        <v>232.6</v>
      </c>
      <c r="Q454" s="2" t="s">
        <v>22</v>
      </c>
      <c r="R454" s="2">
        <v>3</v>
      </c>
    </row>
    <row r="455" spans="1:18" x14ac:dyDescent="0.3">
      <c r="A455" s="2" t="s">
        <v>506</v>
      </c>
      <c r="B455" s="2" t="s">
        <v>76</v>
      </c>
      <c r="E455" s="2" t="s">
        <v>76</v>
      </c>
      <c r="F455" s="1">
        <v>46225</v>
      </c>
      <c r="G455" s="2" t="s">
        <v>74</v>
      </c>
      <c r="H455" s="2" t="s">
        <v>38</v>
      </c>
      <c r="I455" s="2" t="s">
        <v>19</v>
      </c>
      <c r="J455" s="2" t="s">
        <v>20</v>
      </c>
      <c r="K455" s="2" t="s">
        <v>21</v>
      </c>
      <c r="L455" s="2">
        <v>35</v>
      </c>
      <c r="M455" s="2">
        <v>81</v>
      </c>
      <c r="N455" s="2">
        <v>46922.38</v>
      </c>
      <c r="O455" s="2">
        <v>163.58000000000001</v>
      </c>
      <c r="P455" s="2">
        <v>90.14</v>
      </c>
      <c r="Q455" s="2" t="s">
        <v>30</v>
      </c>
      <c r="R455" s="2">
        <v>4</v>
      </c>
    </row>
    <row r="456" spans="1:18" x14ac:dyDescent="0.3">
      <c r="A456" s="2" t="s">
        <v>507</v>
      </c>
      <c r="B456" s="2" t="s">
        <v>60</v>
      </c>
      <c r="E456" s="2" t="s">
        <v>60</v>
      </c>
      <c r="F456" s="1">
        <v>46208</v>
      </c>
      <c r="G456" s="2" t="s">
        <v>16</v>
      </c>
      <c r="H456" s="2" t="s">
        <v>38</v>
      </c>
      <c r="I456" s="2" t="s">
        <v>34</v>
      </c>
      <c r="J456" s="2" t="s">
        <v>64</v>
      </c>
      <c r="K456" s="2" t="s">
        <v>56</v>
      </c>
      <c r="L456" s="2">
        <v>64</v>
      </c>
      <c r="M456" s="2">
        <v>101</v>
      </c>
      <c r="N456" s="2">
        <v>34018.68</v>
      </c>
      <c r="O456" s="2">
        <v>345.57</v>
      </c>
      <c r="P456" s="2">
        <v>150.72</v>
      </c>
      <c r="Q456" s="2" t="s">
        <v>30</v>
      </c>
      <c r="R456" s="2">
        <v>2</v>
      </c>
    </row>
    <row r="457" spans="1:18" x14ac:dyDescent="0.3">
      <c r="A457" s="2" t="s">
        <v>508</v>
      </c>
      <c r="B457" s="2" t="s">
        <v>47</v>
      </c>
      <c r="E457" s="2" t="s">
        <v>47</v>
      </c>
      <c r="F457" s="1">
        <v>45983</v>
      </c>
      <c r="G457" s="2" t="s">
        <v>74</v>
      </c>
      <c r="H457" s="2" t="s">
        <v>58</v>
      </c>
      <c r="I457" s="2" t="s">
        <v>39</v>
      </c>
      <c r="J457" s="2" t="s">
        <v>35</v>
      </c>
      <c r="K457" s="2" t="s">
        <v>52</v>
      </c>
      <c r="L457" s="2">
        <v>37</v>
      </c>
      <c r="M457" s="2">
        <v>78</v>
      </c>
      <c r="N457" s="2">
        <v>6391.55</v>
      </c>
      <c r="O457" s="2">
        <v>139.19</v>
      </c>
      <c r="P457" s="2">
        <v>191.13</v>
      </c>
      <c r="Q457" s="2" t="s">
        <v>30</v>
      </c>
      <c r="R457" s="2">
        <v>1</v>
      </c>
    </row>
    <row r="458" spans="1:18" x14ac:dyDescent="0.3">
      <c r="A458" s="2" t="s">
        <v>509</v>
      </c>
      <c r="B458" s="2" t="s">
        <v>37</v>
      </c>
      <c r="E458" s="2" t="s">
        <v>37</v>
      </c>
      <c r="F458" s="1">
        <v>46024</v>
      </c>
      <c r="G458" s="2" t="s">
        <v>74</v>
      </c>
      <c r="H458" s="2" t="s">
        <v>45</v>
      </c>
      <c r="I458" s="2" t="s">
        <v>39</v>
      </c>
      <c r="J458" s="2" t="s">
        <v>35</v>
      </c>
      <c r="K458" s="2" t="s">
        <v>29</v>
      </c>
      <c r="L458" s="2">
        <v>61</v>
      </c>
      <c r="M458" s="2">
        <v>89</v>
      </c>
      <c r="N458" s="2">
        <v>3911.93</v>
      </c>
      <c r="O458" s="2">
        <v>114.8</v>
      </c>
      <c r="P458" s="2">
        <v>231.63</v>
      </c>
      <c r="Q458" s="2" t="s">
        <v>30</v>
      </c>
      <c r="R458" s="2">
        <v>2</v>
      </c>
    </row>
    <row r="459" spans="1:18" x14ac:dyDescent="0.3">
      <c r="A459" s="2" t="s">
        <v>510</v>
      </c>
      <c r="B459" s="2" t="s">
        <v>49</v>
      </c>
      <c r="E459" s="2" t="s">
        <v>49</v>
      </c>
      <c r="F459" s="1">
        <v>46216</v>
      </c>
      <c r="G459" s="2" t="s">
        <v>74</v>
      </c>
      <c r="H459" s="2" t="s">
        <v>38</v>
      </c>
      <c r="I459" s="2" t="s">
        <v>39</v>
      </c>
      <c r="J459" s="2" t="s">
        <v>20</v>
      </c>
      <c r="K459" s="2" t="s">
        <v>52</v>
      </c>
      <c r="L459" s="2">
        <v>74</v>
      </c>
      <c r="M459" s="2">
        <v>56</v>
      </c>
      <c r="N459" s="2">
        <v>24435.72</v>
      </c>
      <c r="O459" s="2">
        <v>499.76</v>
      </c>
      <c r="P459" s="2">
        <v>168.47</v>
      </c>
      <c r="Q459" s="2" t="s">
        <v>30</v>
      </c>
      <c r="R459" s="2">
        <v>3</v>
      </c>
    </row>
    <row r="460" spans="1:18" x14ac:dyDescent="0.3">
      <c r="A460" s="2" t="s">
        <v>511</v>
      </c>
      <c r="B460" s="2" t="s">
        <v>76</v>
      </c>
      <c r="E460" s="2" t="s">
        <v>76</v>
      </c>
      <c r="F460" s="1">
        <v>45983</v>
      </c>
      <c r="G460" s="2" t="s">
        <v>74</v>
      </c>
      <c r="H460" s="2" t="s">
        <v>58</v>
      </c>
      <c r="I460" s="2" t="s">
        <v>68</v>
      </c>
      <c r="J460" s="2" t="s">
        <v>20</v>
      </c>
      <c r="K460" s="2" t="s">
        <v>21</v>
      </c>
      <c r="L460" s="2">
        <v>67</v>
      </c>
      <c r="M460" s="2">
        <v>94</v>
      </c>
      <c r="N460" s="2">
        <v>11394.46</v>
      </c>
      <c r="O460" s="2">
        <v>330.07</v>
      </c>
      <c r="P460" s="2">
        <v>152.12</v>
      </c>
      <c r="Q460" s="2" t="s">
        <v>22</v>
      </c>
      <c r="R460" s="2">
        <v>3</v>
      </c>
    </row>
    <row r="461" spans="1:18" x14ac:dyDescent="0.3">
      <c r="A461" s="2" t="s">
        <v>512</v>
      </c>
      <c r="B461" s="2" t="s">
        <v>37</v>
      </c>
      <c r="E461" s="2" t="s">
        <v>37</v>
      </c>
      <c r="F461" s="1">
        <v>46111</v>
      </c>
      <c r="G461" s="2" t="s">
        <v>74</v>
      </c>
      <c r="H461" s="2" t="s">
        <v>45</v>
      </c>
      <c r="I461" s="2" t="s">
        <v>34</v>
      </c>
      <c r="J461" s="2" t="s">
        <v>20</v>
      </c>
      <c r="K461" s="2" t="s">
        <v>56</v>
      </c>
      <c r="L461" s="2">
        <v>64</v>
      </c>
      <c r="M461" s="2">
        <v>93</v>
      </c>
      <c r="N461" s="2">
        <v>13072.25</v>
      </c>
      <c r="O461" s="2">
        <v>243.94</v>
      </c>
      <c r="P461" s="2">
        <v>33.64</v>
      </c>
      <c r="Q461" s="2" t="s">
        <v>30</v>
      </c>
      <c r="R461" s="2">
        <v>1</v>
      </c>
    </row>
    <row r="462" spans="1:18" x14ac:dyDescent="0.3">
      <c r="A462" s="2" t="s">
        <v>513</v>
      </c>
      <c r="B462" s="2" t="s">
        <v>67</v>
      </c>
      <c r="E462" s="2" t="s">
        <v>67</v>
      </c>
      <c r="F462" s="1">
        <v>46003</v>
      </c>
      <c r="G462" s="2" t="s">
        <v>32</v>
      </c>
      <c r="H462" s="2" t="s">
        <v>26</v>
      </c>
      <c r="I462" s="2" t="s">
        <v>19</v>
      </c>
      <c r="J462" s="2" t="s">
        <v>64</v>
      </c>
      <c r="K462" s="2" t="s">
        <v>56</v>
      </c>
      <c r="L462" s="2">
        <v>54</v>
      </c>
      <c r="M462" s="2">
        <v>84</v>
      </c>
      <c r="N462" s="2">
        <v>43945.760000000002</v>
      </c>
      <c r="O462" s="2">
        <v>179.67</v>
      </c>
      <c r="P462" s="2">
        <v>166.71</v>
      </c>
      <c r="Q462" s="2" t="s">
        <v>30</v>
      </c>
      <c r="R462" s="2">
        <v>5</v>
      </c>
    </row>
    <row r="463" spans="1:18" x14ac:dyDescent="0.3">
      <c r="A463" s="2" t="s">
        <v>514</v>
      </c>
      <c r="B463" s="2" t="s">
        <v>78</v>
      </c>
      <c r="E463" s="2" t="s">
        <v>78</v>
      </c>
      <c r="F463" s="1">
        <v>46169</v>
      </c>
      <c r="G463" s="2" t="s">
        <v>41</v>
      </c>
      <c r="H463" s="2" t="s">
        <v>58</v>
      </c>
      <c r="I463" s="2" t="s">
        <v>27</v>
      </c>
      <c r="J463" s="2" t="s">
        <v>55</v>
      </c>
      <c r="K463" s="2" t="s">
        <v>29</v>
      </c>
      <c r="L463" s="2">
        <v>25</v>
      </c>
      <c r="M463" s="2">
        <v>85</v>
      </c>
      <c r="N463" s="2">
        <v>4933.5200000000004</v>
      </c>
      <c r="O463" s="2">
        <v>321.76</v>
      </c>
      <c r="P463" s="2">
        <v>58.53</v>
      </c>
      <c r="Q463" s="2" t="s">
        <v>30</v>
      </c>
      <c r="R463" s="2">
        <v>4</v>
      </c>
    </row>
    <row r="464" spans="1:18" x14ac:dyDescent="0.3">
      <c r="A464" s="2" t="s">
        <v>515</v>
      </c>
      <c r="B464" s="2" t="s">
        <v>78</v>
      </c>
      <c r="E464" s="2" t="s">
        <v>78</v>
      </c>
      <c r="F464" s="1">
        <v>45957</v>
      </c>
      <c r="G464" s="2" t="s">
        <v>74</v>
      </c>
      <c r="H464" s="2" t="s">
        <v>18</v>
      </c>
      <c r="I464" s="2" t="s">
        <v>27</v>
      </c>
      <c r="J464" s="2" t="s">
        <v>20</v>
      </c>
      <c r="K464" s="2" t="s">
        <v>56</v>
      </c>
      <c r="L464" s="2">
        <v>65</v>
      </c>
      <c r="M464" s="2">
        <v>61</v>
      </c>
      <c r="N464" s="2">
        <v>35910.519999999997</v>
      </c>
      <c r="O464" s="2">
        <v>72.319999999999993</v>
      </c>
      <c r="P464" s="2">
        <v>178.52</v>
      </c>
      <c r="Q464" s="2" t="s">
        <v>22</v>
      </c>
      <c r="R464" s="2">
        <v>4</v>
      </c>
    </row>
    <row r="465" spans="1:18" x14ac:dyDescent="0.3">
      <c r="A465" s="2" t="s">
        <v>516</v>
      </c>
      <c r="B465" s="2" t="s">
        <v>86</v>
      </c>
      <c r="E465" s="2" t="s">
        <v>86</v>
      </c>
      <c r="F465" s="1">
        <v>45933</v>
      </c>
      <c r="G465" s="2" t="s">
        <v>43</v>
      </c>
      <c r="H465" s="2" t="s">
        <v>58</v>
      </c>
      <c r="I465" s="2" t="s">
        <v>39</v>
      </c>
      <c r="J465" s="2" t="s">
        <v>20</v>
      </c>
      <c r="K465" s="2" t="s">
        <v>29</v>
      </c>
      <c r="L465" s="2">
        <v>47</v>
      </c>
      <c r="M465" s="2">
        <v>117</v>
      </c>
      <c r="N465" s="2">
        <v>13921.54</v>
      </c>
      <c r="O465" s="2">
        <v>92.61</v>
      </c>
      <c r="P465" s="2">
        <v>137.6</v>
      </c>
      <c r="Q465" s="2" t="s">
        <v>30</v>
      </c>
      <c r="R465" s="2">
        <v>3</v>
      </c>
    </row>
    <row r="466" spans="1:18" x14ac:dyDescent="0.3">
      <c r="A466" s="2" t="s">
        <v>517</v>
      </c>
      <c r="B466" s="2" t="s">
        <v>78</v>
      </c>
      <c r="E466" s="2" t="s">
        <v>78</v>
      </c>
      <c r="F466" s="1">
        <v>46080</v>
      </c>
      <c r="G466" s="2" t="s">
        <v>41</v>
      </c>
      <c r="H466" s="2" t="s">
        <v>58</v>
      </c>
      <c r="I466" s="2" t="s">
        <v>34</v>
      </c>
      <c r="J466" s="2" t="s">
        <v>28</v>
      </c>
      <c r="K466" s="2" t="s">
        <v>21</v>
      </c>
      <c r="L466" s="2">
        <v>72</v>
      </c>
      <c r="M466" s="2">
        <v>22</v>
      </c>
      <c r="N466" s="2">
        <v>38136.25</v>
      </c>
      <c r="O466" s="2">
        <v>64.790000000000006</v>
      </c>
      <c r="P466" s="2">
        <v>135.4</v>
      </c>
      <c r="Q466" s="2" t="s">
        <v>22</v>
      </c>
      <c r="R466" s="2">
        <v>2</v>
      </c>
    </row>
    <row r="467" spans="1:18" x14ac:dyDescent="0.3">
      <c r="A467" s="2" t="s">
        <v>518</v>
      </c>
      <c r="B467" s="2" t="s">
        <v>60</v>
      </c>
      <c r="E467" s="2" t="s">
        <v>60</v>
      </c>
      <c r="F467" s="1">
        <v>46086</v>
      </c>
      <c r="G467" s="2" t="s">
        <v>41</v>
      </c>
      <c r="H467" s="2" t="s">
        <v>45</v>
      </c>
      <c r="I467" s="2" t="s">
        <v>68</v>
      </c>
      <c r="J467" s="2" t="s">
        <v>64</v>
      </c>
      <c r="K467" s="2" t="s">
        <v>56</v>
      </c>
      <c r="L467" s="2">
        <v>43</v>
      </c>
      <c r="M467" s="2">
        <v>35</v>
      </c>
      <c r="N467" s="2">
        <v>36259.360000000001</v>
      </c>
      <c r="O467" s="2">
        <v>274.63</v>
      </c>
      <c r="P467" s="2">
        <v>99.45</v>
      </c>
      <c r="Q467" s="2" t="s">
        <v>22</v>
      </c>
      <c r="R467" s="2">
        <v>2</v>
      </c>
    </row>
    <row r="468" spans="1:18" x14ac:dyDescent="0.3">
      <c r="A468" s="2" t="s">
        <v>519</v>
      </c>
      <c r="B468" s="2" t="s">
        <v>62</v>
      </c>
      <c r="E468" s="2" t="s">
        <v>62</v>
      </c>
      <c r="F468" s="1">
        <v>45918</v>
      </c>
      <c r="G468" s="2" t="s">
        <v>54</v>
      </c>
      <c r="H468" s="2" t="s">
        <v>26</v>
      </c>
      <c r="I468" s="2" t="s">
        <v>34</v>
      </c>
      <c r="J468" s="2" t="s">
        <v>20</v>
      </c>
      <c r="K468" s="2" t="s">
        <v>29</v>
      </c>
      <c r="L468" s="2">
        <v>60</v>
      </c>
      <c r="M468" s="2">
        <v>101</v>
      </c>
      <c r="N468" s="2">
        <v>865.9</v>
      </c>
      <c r="O468" s="2">
        <v>320.27</v>
      </c>
      <c r="P468" s="2">
        <v>28.2</v>
      </c>
      <c r="Q468" s="2" t="s">
        <v>22</v>
      </c>
      <c r="R468" s="2">
        <v>5</v>
      </c>
    </row>
    <row r="469" spans="1:18" x14ac:dyDescent="0.3">
      <c r="A469" s="2" t="s">
        <v>520</v>
      </c>
      <c r="B469" s="2" t="s">
        <v>49</v>
      </c>
      <c r="E469" s="2" t="s">
        <v>49</v>
      </c>
      <c r="F469" s="1">
        <v>46180</v>
      </c>
      <c r="G469" s="2" t="s">
        <v>32</v>
      </c>
      <c r="H469" s="2" t="s">
        <v>18</v>
      </c>
      <c r="I469" s="2" t="s">
        <v>34</v>
      </c>
      <c r="J469" s="2" t="s">
        <v>28</v>
      </c>
      <c r="K469" s="2" t="s">
        <v>52</v>
      </c>
      <c r="L469" s="2">
        <v>34</v>
      </c>
      <c r="M469" s="2">
        <v>16</v>
      </c>
      <c r="N469" s="2">
        <v>25702.2</v>
      </c>
      <c r="O469" s="2">
        <v>78.12</v>
      </c>
      <c r="P469" s="2">
        <v>58.14</v>
      </c>
      <c r="Q469" s="2" t="s">
        <v>22</v>
      </c>
      <c r="R469" s="2">
        <v>2</v>
      </c>
    </row>
    <row r="470" spans="1:18" x14ac:dyDescent="0.3">
      <c r="A470" s="2" t="s">
        <v>521</v>
      </c>
      <c r="B470" s="2" t="s">
        <v>17</v>
      </c>
      <c r="E470" s="2" t="s">
        <v>17</v>
      </c>
      <c r="F470" s="1">
        <v>46057</v>
      </c>
      <c r="G470" s="2" t="s">
        <v>74</v>
      </c>
      <c r="H470" s="2" t="s">
        <v>38</v>
      </c>
      <c r="I470" s="2" t="s">
        <v>68</v>
      </c>
      <c r="J470" s="2" t="s">
        <v>35</v>
      </c>
      <c r="K470" s="2" t="s">
        <v>29</v>
      </c>
      <c r="L470" s="2">
        <v>35</v>
      </c>
      <c r="M470" s="2">
        <v>50</v>
      </c>
      <c r="N470" s="2">
        <v>7396.31</v>
      </c>
      <c r="O470" s="2">
        <v>374.55</v>
      </c>
      <c r="P470" s="2">
        <v>295.12</v>
      </c>
      <c r="Q470" s="2" t="s">
        <v>30</v>
      </c>
      <c r="R470" s="2">
        <v>4</v>
      </c>
    </row>
    <row r="471" spans="1:18" x14ac:dyDescent="0.3">
      <c r="A471" s="2" t="s">
        <v>522</v>
      </c>
      <c r="B471" s="2" t="s">
        <v>33</v>
      </c>
      <c r="E471" s="2" t="s">
        <v>33</v>
      </c>
      <c r="F471" s="1">
        <v>45943</v>
      </c>
      <c r="G471" s="2" t="s">
        <v>90</v>
      </c>
      <c r="H471" s="2" t="s">
        <v>38</v>
      </c>
      <c r="I471" s="2" t="s">
        <v>39</v>
      </c>
      <c r="J471" s="2" t="s">
        <v>20</v>
      </c>
      <c r="K471" s="2" t="s">
        <v>56</v>
      </c>
      <c r="L471" s="2">
        <v>63</v>
      </c>
      <c r="M471" s="2">
        <v>113</v>
      </c>
      <c r="N471" s="2">
        <v>43378.239999999998</v>
      </c>
      <c r="O471" s="2">
        <v>153.68</v>
      </c>
      <c r="P471" s="2">
        <v>192.14</v>
      </c>
      <c r="Q471" s="2" t="s">
        <v>22</v>
      </c>
      <c r="R471" s="2">
        <v>2</v>
      </c>
    </row>
    <row r="472" spans="1:18" x14ac:dyDescent="0.3">
      <c r="A472" s="2" t="s">
        <v>523</v>
      </c>
      <c r="B472" s="2" t="s">
        <v>86</v>
      </c>
      <c r="E472" s="2" t="s">
        <v>86</v>
      </c>
      <c r="F472" s="1">
        <v>45875</v>
      </c>
      <c r="G472" s="2" t="s">
        <v>24</v>
      </c>
      <c r="H472" s="2" t="s">
        <v>58</v>
      </c>
      <c r="I472" s="2" t="s">
        <v>34</v>
      </c>
      <c r="J472" s="2" t="s">
        <v>20</v>
      </c>
      <c r="K472" s="2" t="s">
        <v>21</v>
      </c>
      <c r="L472" s="2">
        <v>53</v>
      </c>
      <c r="M472" s="2">
        <v>43</v>
      </c>
      <c r="N472" s="2">
        <v>43643.5</v>
      </c>
      <c r="O472" s="2">
        <v>358.34</v>
      </c>
      <c r="P472" s="2">
        <v>64.099999999999994</v>
      </c>
      <c r="Q472" s="2" t="s">
        <v>30</v>
      </c>
      <c r="R472" s="2">
        <v>5</v>
      </c>
    </row>
    <row r="473" spans="1:18" x14ac:dyDescent="0.3">
      <c r="A473" s="2" t="s">
        <v>524</v>
      </c>
      <c r="B473" s="2" t="s">
        <v>25</v>
      </c>
      <c r="E473" s="2" t="s">
        <v>25</v>
      </c>
      <c r="F473" s="1">
        <v>46165</v>
      </c>
      <c r="G473" s="2" t="s">
        <v>16</v>
      </c>
      <c r="H473" s="2" t="s">
        <v>45</v>
      </c>
      <c r="I473" s="2" t="s">
        <v>27</v>
      </c>
      <c r="J473" s="2" t="s">
        <v>28</v>
      </c>
      <c r="K473" s="2" t="s">
        <v>56</v>
      </c>
      <c r="L473" s="2">
        <v>73</v>
      </c>
      <c r="M473" s="2">
        <v>17</v>
      </c>
      <c r="N473" s="2">
        <v>21208.12</v>
      </c>
      <c r="O473" s="2">
        <v>491.85</v>
      </c>
      <c r="P473" s="2">
        <v>199.26</v>
      </c>
      <c r="Q473" s="2" t="s">
        <v>22</v>
      </c>
      <c r="R473" s="2">
        <v>4</v>
      </c>
    </row>
    <row r="474" spans="1:18" x14ac:dyDescent="0.3">
      <c r="A474" s="2" t="s">
        <v>525</v>
      </c>
      <c r="B474" s="2" t="s">
        <v>25</v>
      </c>
      <c r="E474" s="2" t="s">
        <v>25</v>
      </c>
      <c r="F474" s="1">
        <v>46206</v>
      </c>
      <c r="G474" s="2" t="s">
        <v>43</v>
      </c>
      <c r="H474" s="2" t="s">
        <v>45</v>
      </c>
      <c r="I474" s="2" t="s">
        <v>68</v>
      </c>
      <c r="J474" s="2" t="s">
        <v>64</v>
      </c>
      <c r="K474" s="2" t="s">
        <v>56</v>
      </c>
      <c r="L474" s="2">
        <v>51</v>
      </c>
      <c r="M474" s="2">
        <v>80</v>
      </c>
      <c r="N474" s="2">
        <v>22497.58</v>
      </c>
      <c r="O474" s="2">
        <v>361</v>
      </c>
      <c r="P474" s="2">
        <v>169.11</v>
      </c>
      <c r="Q474" s="2" t="s">
        <v>22</v>
      </c>
      <c r="R474" s="2">
        <v>2</v>
      </c>
    </row>
    <row r="475" spans="1:18" x14ac:dyDescent="0.3">
      <c r="A475" s="2" t="s">
        <v>526</v>
      </c>
      <c r="B475" s="2" t="s">
        <v>33</v>
      </c>
      <c r="E475" s="2" t="s">
        <v>33</v>
      </c>
      <c r="F475" s="1">
        <v>46225</v>
      </c>
      <c r="G475" s="2" t="s">
        <v>90</v>
      </c>
      <c r="H475" s="2" t="s">
        <v>38</v>
      </c>
      <c r="I475" s="2" t="s">
        <v>19</v>
      </c>
      <c r="J475" s="2" t="s">
        <v>20</v>
      </c>
      <c r="K475" s="2" t="s">
        <v>29</v>
      </c>
      <c r="L475" s="2">
        <v>55</v>
      </c>
      <c r="M475" s="2">
        <v>58</v>
      </c>
      <c r="N475" s="2">
        <v>15512.51</v>
      </c>
      <c r="O475" s="2">
        <v>447.44</v>
      </c>
      <c r="P475" s="2">
        <v>183.28</v>
      </c>
      <c r="Q475" s="2" t="s">
        <v>22</v>
      </c>
      <c r="R475" s="2">
        <v>4</v>
      </c>
    </row>
    <row r="476" spans="1:18" x14ac:dyDescent="0.3">
      <c r="A476" s="2" t="s">
        <v>527</v>
      </c>
      <c r="B476" s="2" t="s">
        <v>37</v>
      </c>
      <c r="E476" s="2" t="s">
        <v>37</v>
      </c>
      <c r="F476" s="1">
        <v>45896</v>
      </c>
      <c r="G476" s="2" t="s">
        <v>32</v>
      </c>
      <c r="H476" s="2" t="s">
        <v>18</v>
      </c>
      <c r="I476" s="2" t="s">
        <v>39</v>
      </c>
      <c r="J476" s="2" t="s">
        <v>35</v>
      </c>
      <c r="K476" s="2" t="s">
        <v>52</v>
      </c>
      <c r="L476" s="2">
        <v>37</v>
      </c>
      <c r="M476" s="2">
        <v>119</v>
      </c>
      <c r="N476" s="2">
        <v>35972.01</v>
      </c>
      <c r="O476" s="2">
        <v>476.69</v>
      </c>
      <c r="P476" s="2">
        <v>8.02</v>
      </c>
      <c r="Q476" s="2" t="s">
        <v>30</v>
      </c>
      <c r="R476" s="2">
        <v>3</v>
      </c>
    </row>
    <row r="477" spans="1:18" x14ac:dyDescent="0.3">
      <c r="A477" s="2" t="s">
        <v>528</v>
      </c>
      <c r="B477" s="2" t="s">
        <v>33</v>
      </c>
      <c r="E477" s="2" t="s">
        <v>33</v>
      </c>
      <c r="F477" s="1">
        <v>45931</v>
      </c>
      <c r="G477" s="2" t="s">
        <v>24</v>
      </c>
      <c r="H477" s="2" t="s">
        <v>26</v>
      </c>
      <c r="I477" s="2" t="s">
        <v>68</v>
      </c>
      <c r="J477" s="2" t="s">
        <v>20</v>
      </c>
      <c r="K477" s="2" t="s">
        <v>56</v>
      </c>
      <c r="L477" s="2">
        <v>48</v>
      </c>
      <c r="M477" s="2">
        <v>2</v>
      </c>
      <c r="N477" s="2">
        <v>18253.740000000002</v>
      </c>
      <c r="O477" s="2">
        <v>269.04000000000002</v>
      </c>
      <c r="P477" s="2">
        <v>180.29</v>
      </c>
      <c r="Q477" s="2" t="s">
        <v>30</v>
      </c>
      <c r="R477" s="2">
        <v>3</v>
      </c>
    </row>
    <row r="478" spans="1:18" x14ac:dyDescent="0.3">
      <c r="A478" s="2" t="s">
        <v>529</v>
      </c>
      <c r="B478" s="2" t="s">
        <v>33</v>
      </c>
      <c r="E478" s="2" t="s">
        <v>33</v>
      </c>
      <c r="F478" s="1">
        <v>46194</v>
      </c>
      <c r="G478" s="2" t="s">
        <v>32</v>
      </c>
      <c r="H478" s="2" t="s">
        <v>18</v>
      </c>
      <c r="I478" s="2" t="s">
        <v>19</v>
      </c>
      <c r="J478" s="2" t="s">
        <v>35</v>
      </c>
      <c r="K478" s="2" t="s">
        <v>52</v>
      </c>
      <c r="L478" s="2">
        <v>39</v>
      </c>
      <c r="M478" s="2">
        <v>4</v>
      </c>
      <c r="N478" s="2">
        <v>13755.73</v>
      </c>
      <c r="O478" s="2">
        <v>366.05</v>
      </c>
      <c r="P478" s="2">
        <v>111.49</v>
      </c>
      <c r="Q478" s="2" t="s">
        <v>22</v>
      </c>
      <c r="R478" s="2">
        <v>3</v>
      </c>
    </row>
    <row r="479" spans="1:18" x14ac:dyDescent="0.3">
      <c r="A479" s="2" t="s">
        <v>530</v>
      </c>
      <c r="B479" s="2" t="s">
        <v>25</v>
      </c>
      <c r="E479" s="2" t="s">
        <v>25</v>
      </c>
      <c r="F479" s="1">
        <v>46005</v>
      </c>
      <c r="G479" s="2" t="s">
        <v>43</v>
      </c>
      <c r="H479" s="2" t="s">
        <v>26</v>
      </c>
      <c r="I479" s="2" t="s">
        <v>19</v>
      </c>
      <c r="J479" s="2" t="s">
        <v>55</v>
      </c>
      <c r="K479" s="2" t="s">
        <v>29</v>
      </c>
      <c r="L479" s="2">
        <v>66</v>
      </c>
      <c r="M479" s="2">
        <v>85</v>
      </c>
      <c r="N479" s="2">
        <v>21895.439999999999</v>
      </c>
      <c r="O479" s="2">
        <v>433.39</v>
      </c>
      <c r="P479" s="2">
        <v>260.55</v>
      </c>
      <c r="Q479" s="2" t="s">
        <v>30</v>
      </c>
      <c r="R479" s="2">
        <v>2</v>
      </c>
    </row>
    <row r="480" spans="1:18" x14ac:dyDescent="0.3">
      <c r="A480" s="2" t="s">
        <v>531</v>
      </c>
      <c r="B480" s="2" t="s">
        <v>86</v>
      </c>
      <c r="E480" s="2" t="s">
        <v>86</v>
      </c>
      <c r="F480" s="1">
        <v>45889</v>
      </c>
      <c r="G480" s="2" t="s">
        <v>41</v>
      </c>
      <c r="H480" s="2" t="s">
        <v>38</v>
      </c>
      <c r="I480" s="2" t="s">
        <v>34</v>
      </c>
      <c r="J480" s="2" t="s">
        <v>55</v>
      </c>
      <c r="K480" s="2" t="s">
        <v>52</v>
      </c>
      <c r="L480" s="2">
        <v>74</v>
      </c>
      <c r="M480" s="2">
        <v>39</v>
      </c>
      <c r="N480" s="2">
        <v>5028.63</v>
      </c>
      <c r="O480" s="2">
        <v>210.47</v>
      </c>
      <c r="P480" s="2">
        <v>166.89</v>
      </c>
      <c r="Q480" s="2" t="s">
        <v>30</v>
      </c>
      <c r="R480" s="2">
        <v>5</v>
      </c>
    </row>
    <row r="481" spans="1:18" x14ac:dyDescent="0.3">
      <c r="A481" s="2" t="s">
        <v>532</v>
      </c>
      <c r="B481" s="2" t="s">
        <v>67</v>
      </c>
      <c r="E481" s="2" t="s">
        <v>67</v>
      </c>
      <c r="F481" s="1">
        <v>46005</v>
      </c>
      <c r="G481" s="2" t="s">
        <v>24</v>
      </c>
      <c r="H481" s="2" t="s">
        <v>26</v>
      </c>
      <c r="I481" s="2" t="s">
        <v>34</v>
      </c>
      <c r="J481" s="2" t="s">
        <v>35</v>
      </c>
      <c r="K481" s="2" t="s">
        <v>29</v>
      </c>
      <c r="L481" s="2">
        <v>43</v>
      </c>
      <c r="M481" s="2">
        <v>98</v>
      </c>
      <c r="N481" s="2">
        <v>37456.86</v>
      </c>
      <c r="O481" s="2">
        <v>167.63</v>
      </c>
      <c r="P481" s="2">
        <v>249.9</v>
      </c>
      <c r="Q481" s="2" t="s">
        <v>30</v>
      </c>
      <c r="R481" s="2">
        <v>4</v>
      </c>
    </row>
    <row r="482" spans="1:18" x14ac:dyDescent="0.3">
      <c r="A482" s="2" t="s">
        <v>533</v>
      </c>
      <c r="B482" s="2" t="s">
        <v>60</v>
      </c>
      <c r="E482" s="2" t="s">
        <v>60</v>
      </c>
      <c r="F482" s="1">
        <v>46052</v>
      </c>
      <c r="G482" s="2" t="s">
        <v>41</v>
      </c>
      <c r="H482" s="2" t="s">
        <v>45</v>
      </c>
      <c r="I482" s="2" t="s">
        <v>34</v>
      </c>
      <c r="J482" s="2" t="s">
        <v>64</v>
      </c>
      <c r="K482" s="2" t="s">
        <v>21</v>
      </c>
      <c r="L482" s="2">
        <v>52</v>
      </c>
      <c r="M482" s="2">
        <v>94</v>
      </c>
      <c r="N482" s="2">
        <v>1123.52</v>
      </c>
      <c r="O482" s="2">
        <v>475.97</v>
      </c>
      <c r="P482" s="2">
        <v>139.63</v>
      </c>
      <c r="Q482" s="2" t="s">
        <v>22</v>
      </c>
      <c r="R482" s="2">
        <v>1</v>
      </c>
    </row>
    <row r="483" spans="1:18" x14ac:dyDescent="0.3">
      <c r="A483" s="2" t="s">
        <v>534</v>
      </c>
      <c r="B483" s="2" t="s">
        <v>44</v>
      </c>
      <c r="E483" s="2" t="s">
        <v>44</v>
      </c>
      <c r="F483" s="1">
        <v>46163</v>
      </c>
      <c r="G483" s="2" t="s">
        <v>43</v>
      </c>
      <c r="H483" s="2" t="s">
        <v>58</v>
      </c>
      <c r="I483" s="2" t="s">
        <v>68</v>
      </c>
      <c r="J483" s="2" t="s">
        <v>20</v>
      </c>
      <c r="K483" s="2" t="s">
        <v>52</v>
      </c>
      <c r="L483" s="2">
        <v>60</v>
      </c>
      <c r="M483" s="2">
        <v>6</v>
      </c>
      <c r="N483" s="2">
        <v>32402.01</v>
      </c>
      <c r="O483" s="2">
        <v>376.84</v>
      </c>
      <c r="P483" s="2">
        <v>58.28</v>
      </c>
      <c r="Q483" s="2" t="s">
        <v>30</v>
      </c>
      <c r="R483" s="2">
        <v>3</v>
      </c>
    </row>
    <row r="484" spans="1:18" x14ac:dyDescent="0.3">
      <c r="A484" s="2" t="s">
        <v>535</v>
      </c>
      <c r="B484" s="2" t="s">
        <v>78</v>
      </c>
      <c r="E484" s="2" t="s">
        <v>78</v>
      </c>
      <c r="F484" s="1">
        <v>46009</v>
      </c>
      <c r="G484" s="2" t="s">
        <v>90</v>
      </c>
      <c r="H484" s="2" t="s">
        <v>58</v>
      </c>
      <c r="I484" s="2" t="s">
        <v>68</v>
      </c>
      <c r="J484" s="2" t="s">
        <v>20</v>
      </c>
      <c r="K484" s="2" t="s">
        <v>52</v>
      </c>
      <c r="L484" s="2">
        <v>33</v>
      </c>
      <c r="M484" s="2">
        <v>81</v>
      </c>
      <c r="N484" s="2">
        <v>9551.7900000000009</v>
      </c>
      <c r="O484" s="2">
        <v>148.86000000000001</v>
      </c>
      <c r="P484" s="2">
        <v>67.23</v>
      </c>
      <c r="Q484" s="2" t="s">
        <v>30</v>
      </c>
      <c r="R484" s="2">
        <v>3</v>
      </c>
    </row>
    <row r="485" spans="1:18" x14ac:dyDescent="0.3">
      <c r="A485" s="2" t="s">
        <v>536</v>
      </c>
      <c r="B485" s="2" t="s">
        <v>78</v>
      </c>
      <c r="E485" s="2" t="s">
        <v>78</v>
      </c>
      <c r="F485" s="1">
        <v>45923</v>
      </c>
      <c r="G485" s="2" t="s">
        <v>43</v>
      </c>
      <c r="H485" s="2" t="s">
        <v>38</v>
      </c>
      <c r="I485" s="2" t="s">
        <v>39</v>
      </c>
      <c r="J485" s="2" t="s">
        <v>55</v>
      </c>
      <c r="K485" s="2" t="s">
        <v>21</v>
      </c>
      <c r="L485" s="2">
        <v>40</v>
      </c>
      <c r="M485" s="2">
        <v>103</v>
      </c>
      <c r="N485" s="2">
        <v>12004</v>
      </c>
      <c r="O485" s="2">
        <v>252.09</v>
      </c>
      <c r="P485" s="2">
        <v>61.69</v>
      </c>
      <c r="Q485" s="2" t="s">
        <v>30</v>
      </c>
      <c r="R485" s="2">
        <v>1</v>
      </c>
    </row>
    <row r="486" spans="1:18" x14ac:dyDescent="0.3">
      <c r="A486" s="2" t="s">
        <v>537</v>
      </c>
      <c r="B486" s="2" t="s">
        <v>62</v>
      </c>
      <c r="E486" s="2" t="s">
        <v>62</v>
      </c>
      <c r="F486" s="1">
        <v>46192</v>
      </c>
      <c r="G486" s="2" t="s">
        <v>90</v>
      </c>
      <c r="H486" s="2" t="s">
        <v>45</v>
      </c>
      <c r="I486" s="2" t="s">
        <v>34</v>
      </c>
      <c r="J486" s="2" t="s">
        <v>35</v>
      </c>
      <c r="K486" s="2" t="s">
        <v>52</v>
      </c>
      <c r="L486" s="2">
        <v>55</v>
      </c>
      <c r="M486" s="2">
        <v>89</v>
      </c>
      <c r="N486" s="2">
        <v>31963.78</v>
      </c>
      <c r="O486" s="2">
        <v>408.4</v>
      </c>
      <c r="P486" s="2">
        <v>4.01</v>
      </c>
      <c r="Q486" s="2" t="s">
        <v>30</v>
      </c>
      <c r="R486" s="2">
        <v>1</v>
      </c>
    </row>
    <row r="487" spans="1:18" x14ac:dyDescent="0.3">
      <c r="A487" s="2" t="s">
        <v>538</v>
      </c>
      <c r="B487" s="2" t="s">
        <v>86</v>
      </c>
      <c r="E487" s="2" t="s">
        <v>86</v>
      </c>
      <c r="F487" s="1">
        <v>46153</v>
      </c>
      <c r="G487" s="2" t="s">
        <v>24</v>
      </c>
      <c r="H487" s="2" t="s">
        <v>18</v>
      </c>
      <c r="I487" s="2" t="s">
        <v>19</v>
      </c>
      <c r="J487" s="2" t="s">
        <v>20</v>
      </c>
      <c r="K487" s="2" t="s">
        <v>21</v>
      </c>
      <c r="L487" s="2">
        <v>25</v>
      </c>
      <c r="M487" s="2">
        <v>69</v>
      </c>
      <c r="N487" s="2">
        <v>49650.7</v>
      </c>
      <c r="O487" s="2">
        <v>296.18</v>
      </c>
      <c r="P487" s="2">
        <v>116.51</v>
      </c>
      <c r="Q487" s="2" t="s">
        <v>22</v>
      </c>
      <c r="R487" s="2">
        <v>2</v>
      </c>
    </row>
    <row r="488" spans="1:18" x14ac:dyDescent="0.3">
      <c r="A488" s="2" t="s">
        <v>539</v>
      </c>
      <c r="B488" s="2" t="s">
        <v>62</v>
      </c>
      <c r="E488" s="2" t="s">
        <v>62</v>
      </c>
      <c r="F488" s="1">
        <v>45910</v>
      </c>
      <c r="G488" s="2" t="s">
        <v>24</v>
      </c>
      <c r="H488" s="2" t="s">
        <v>45</v>
      </c>
      <c r="I488" s="2" t="s">
        <v>27</v>
      </c>
      <c r="J488" s="2" t="s">
        <v>20</v>
      </c>
      <c r="K488" s="2" t="s">
        <v>56</v>
      </c>
      <c r="L488" s="2">
        <v>29</v>
      </c>
      <c r="M488" s="2">
        <v>69</v>
      </c>
      <c r="N488" s="2">
        <v>38997.019999999997</v>
      </c>
      <c r="O488" s="2">
        <v>342.48</v>
      </c>
      <c r="P488" s="2">
        <v>139.77000000000001</v>
      </c>
      <c r="Q488" s="2" t="s">
        <v>22</v>
      </c>
      <c r="R488" s="2">
        <v>4</v>
      </c>
    </row>
    <row r="489" spans="1:18" x14ac:dyDescent="0.3">
      <c r="A489" s="2" t="s">
        <v>540</v>
      </c>
      <c r="B489" s="2" t="s">
        <v>17</v>
      </c>
      <c r="E489" s="2" t="s">
        <v>17</v>
      </c>
      <c r="F489" s="1">
        <v>45902</v>
      </c>
      <c r="G489" s="2" t="s">
        <v>74</v>
      </c>
      <c r="H489" s="2" t="s">
        <v>58</v>
      </c>
      <c r="I489" s="2" t="s">
        <v>39</v>
      </c>
      <c r="J489" s="2" t="s">
        <v>64</v>
      </c>
      <c r="K489" s="2" t="s">
        <v>29</v>
      </c>
      <c r="L489" s="2">
        <v>49</v>
      </c>
      <c r="M489" s="2">
        <v>20</v>
      </c>
      <c r="N489" s="2">
        <v>11679.06</v>
      </c>
      <c r="O489" s="2">
        <v>389.2</v>
      </c>
      <c r="P489" s="2">
        <v>256.16000000000003</v>
      </c>
      <c r="Q489" s="2" t="s">
        <v>22</v>
      </c>
      <c r="R489" s="2">
        <v>3</v>
      </c>
    </row>
    <row r="490" spans="1:18" x14ac:dyDescent="0.3">
      <c r="A490" s="2" t="s">
        <v>541</v>
      </c>
      <c r="B490" s="2" t="s">
        <v>17</v>
      </c>
      <c r="E490" s="2" t="s">
        <v>17</v>
      </c>
      <c r="F490" s="1">
        <v>45993</v>
      </c>
      <c r="G490" s="2" t="s">
        <v>32</v>
      </c>
      <c r="H490" s="2" t="s">
        <v>58</v>
      </c>
      <c r="I490" s="2" t="s">
        <v>68</v>
      </c>
      <c r="J490" s="2" t="s">
        <v>28</v>
      </c>
      <c r="K490" s="2" t="s">
        <v>21</v>
      </c>
      <c r="L490" s="2">
        <v>26</v>
      </c>
      <c r="M490" s="2">
        <v>64</v>
      </c>
      <c r="N490" s="2">
        <v>9213.23</v>
      </c>
      <c r="O490" s="2">
        <v>329.9</v>
      </c>
      <c r="P490" s="2">
        <v>28.03</v>
      </c>
      <c r="Q490" s="2" t="s">
        <v>30</v>
      </c>
      <c r="R490" s="2">
        <v>5</v>
      </c>
    </row>
    <row r="491" spans="1:18" x14ac:dyDescent="0.3">
      <c r="A491" s="2" t="s">
        <v>542</v>
      </c>
      <c r="B491" s="2" t="s">
        <v>62</v>
      </c>
      <c r="E491" s="2" t="s">
        <v>62</v>
      </c>
      <c r="F491" s="1">
        <v>45937</v>
      </c>
      <c r="G491" s="2" t="s">
        <v>74</v>
      </c>
      <c r="H491" s="2" t="s">
        <v>45</v>
      </c>
      <c r="I491" s="2" t="s">
        <v>39</v>
      </c>
      <c r="J491" s="2" t="s">
        <v>55</v>
      </c>
      <c r="K491" s="2" t="s">
        <v>52</v>
      </c>
      <c r="L491" s="2">
        <v>45</v>
      </c>
      <c r="M491" s="2">
        <v>16</v>
      </c>
      <c r="N491" s="2">
        <v>43378.53</v>
      </c>
      <c r="O491" s="2">
        <v>293.04000000000002</v>
      </c>
      <c r="P491" s="2">
        <v>108.84</v>
      </c>
      <c r="Q491" s="2" t="s">
        <v>22</v>
      </c>
      <c r="R491" s="2">
        <v>2</v>
      </c>
    </row>
    <row r="492" spans="1:18" x14ac:dyDescent="0.3">
      <c r="A492" s="2" t="s">
        <v>543</v>
      </c>
      <c r="B492" s="2" t="s">
        <v>86</v>
      </c>
      <c r="E492" s="2" t="s">
        <v>86</v>
      </c>
      <c r="F492" s="1">
        <v>46118</v>
      </c>
      <c r="G492" s="2" t="s">
        <v>32</v>
      </c>
      <c r="H492" s="2" t="s">
        <v>45</v>
      </c>
      <c r="I492" s="2" t="s">
        <v>39</v>
      </c>
      <c r="J492" s="2" t="s">
        <v>55</v>
      </c>
      <c r="K492" s="2" t="s">
        <v>21</v>
      </c>
      <c r="L492" s="2">
        <v>51</v>
      </c>
      <c r="M492" s="2">
        <v>51</v>
      </c>
      <c r="N492" s="2">
        <v>22487.11</v>
      </c>
      <c r="O492" s="2">
        <v>387.33</v>
      </c>
      <c r="P492" s="2">
        <v>1.6</v>
      </c>
      <c r="Q492" s="2" t="s">
        <v>30</v>
      </c>
      <c r="R492" s="2">
        <v>2</v>
      </c>
    </row>
    <row r="493" spans="1:18" x14ac:dyDescent="0.3">
      <c r="A493" s="2" t="s">
        <v>544</v>
      </c>
      <c r="B493" s="2" t="s">
        <v>62</v>
      </c>
      <c r="E493" s="2" t="s">
        <v>62</v>
      </c>
      <c r="F493" s="1">
        <v>46209</v>
      </c>
      <c r="G493" s="2" t="s">
        <v>74</v>
      </c>
      <c r="H493" s="2" t="s">
        <v>58</v>
      </c>
      <c r="I493" s="2" t="s">
        <v>39</v>
      </c>
      <c r="J493" s="2" t="s">
        <v>28</v>
      </c>
      <c r="K493" s="2" t="s">
        <v>52</v>
      </c>
      <c r="L493" s="2">
        <v>42</v>
      </c>
      <c r="M493" s="2">
        <v>105</v>
      </c>
      <c r="N493" s="2">
        <v>7284.11</v>
      </c>
      <c r="O493" s="2">
        <v>377.4</v>
      </c>
      <c r="P493" s="2">
        <v>19.02</v>
      </c>
      <c r="Q493" s="2" t="s">
        <v>30</v>
      </c>
      <c r="R493" s="2">
        <v>5</v>
      </c>
    </row>
    <row r="494" spans="1:18" x14ac:dyDescent="0.3">
      <c r="A494" s="2" t="s">
        <v>545</v>
      </c>
      <c r="B494" s="2" t="s">
        <v>78</v>
      </c>
      <c r="E494" s="2" t="s">
        <v>78</v>
      </c>
      <c r="F494" s="1">
        <v>46183</v>
      </c>
      <c r="G494" s="2" t="s">
        <v>41</v>
      </c>
      <c r="H494" s="2" t="s">
        <v>18</v>
      </c>
      <c r="I494" s="2" t="s">
        <v>39</v>
      </c>
      <c r="J494" s="2" t="s">
        <v>20</v>
      </c>
      <c r="K494" s="2" t="s">
        <v>56</v>
      </c>
      <c r="L494" s="2">
        <v>22</v>
      </c>
      <c r="M494" s="2">
        <v>37</v>
      </c>
      <c r="N494" s="2">
        <v>43179.47</v>
      </c>
      <c r="O494" s="2">
        <v>333.44</v>
      </c>
      <c r="P494" s="2">
        <v>10.84</v>
      </c>
      <c r="Q494" s="2" t="s">
        <v>30</v>
      </c>
      <c r="R494" s="2">
        <v>5</v>
      </c>
    </row>
    <row r="495" spans="1:18" x14ac:dyDescent="0.3">
      <c r="A495" s="2" t="s">
        <v>546</v>
      </c>
      <c r="B495" s="2" t="s">
        <v>76</v>
      </c>
      <c r="E495" s="2" t="s">
        <v>76</v>
      </c>
      <c r="F495" s="1">
        <v>45872</v>
      </c>
      <c r="G495" s="2" t="s">
        <v>24</v>
      </c>
      <c r="H495" s="2" t="s">
        <v>38</v>
      </c>
      <c r="I495" s="2" t="s">
        <v>27</v>
      </c>
      <c r="J495" s="2" t="s">
        <v>64</v>
      </c>
      <c r="K495" s="2" t="s">
        <v>21</v>
      </c>
      <c r="L495" s="2">
        <v>65</v>
      </c>
      <c r="M495" s="2">
        <v>104</v>
      </c>
      <c r="N495" s="2">
        <v>40896.57</v>
      </c>
      <c r="O495" s="2">
        <v>211.91</v>
      </c>
      <c r="P495" s="2">
        <v>145.1</v>
      </c>
      <c r="Q495" s="2" t="s">
        <v>30</v>
      </c>
      <c r="R495" s="2">
        <v>5</v>
      </c>
    </row>
    <row r="496" spans="1:18" x14ac:dyDescent="0.3">
      <c r="A496" s="2" t="s">
        <v>547</v>
      </c>
      <c r="B496" s="2" t="s">
        <v>47</v>
      </c>
      <c r="E496" s="2" t="s">
        <v>47</v>
      </c>
      <c r="F496" s="1">
        <v>46185</v>
      </c>
      <c r="G496" s="2" t="s">
        <v>90</v>
      </c>
      <c r="H496" s="2" t="s">
        <v>38</v>
      </c>
      <c r="I496" s="2" t="s">
        <v>34</v>
      </c>
      <c r="J496" s="2" t="s">
        <v>64</v>
      </c>
      <c r="K496" s="2" t="s">
        <v>56</v>
      </c>
      <c r="L496" s="2">
        <v>25</v>
      </c>
      <c r="M496" s="2">
        <v>73</v>
      </c>
      <c r="N496" s="2">
        <v>49203.37</v>
      </c>
      <c r="O496" s="2">
        <v>232.62</v>
      </c>
      <c r="P496" s="2">
        <v>16.21</v>
      </c>
      <c r="Q496" s="2" t="s">
        <v>30</v>
      </c>
      <c r="R496" s="2">
        <v>1</v>
      </c>
    </row>
    <row r="497" spans="1:18" x14ac:dyDescent="0.3">
      <c r="A497" s="2" t="s">
        <v>548</v>
      </c>
      <c r="B497" s="2" t="s">
        <v>25</v>
      </c>
      <c r="E497" s="2" t="s">
        <v>25</v>
      </c>
      <c r="F497" s="1">
        <v>46136</v>
      </c>
      <c r="G497" s="2" t="s">
        <v>32</v>
      </c>
      <c r="H497" s="2" t="s">
        <v>45</v>
      </c>
      <c r="I497" s="2" t="s">
        <v>19</v>
      </c>
      <c r="J497" s="2" t="s">
        <v>55</v>
      </c>
      <c r="K497" s="2" t="s">
        <v>29</v>
      </c>
      <c r="L497" s="2">
        <v>47</v>
      </c>
      <c r="M497" s="2">
        <v>69</v>
      </c>
      <c r="N497" s="2">
        <v>45532.31</v>
      </c>
      <c r="O497" s="2">
        <v>486.7</v>
      </c>
      <c r="P497" s="2">
        <v>214.94</v>
      </c>
      <c r="Q497" s="2" t="s">
        <v>30</v>
      </c>
      <c r="R497" s="2">
        <v>3</v>
      </c>
    </row>
    <row r="498" spans="1:18" x14ac:dyDescent="0.3">
      <c r="A498" s="2" t="s">
        <v>549</v>
      </c>
      <c r="B498" s="2" t="s">
        <v>25</v>
      </c>
      <c r="E498" s="2" t="s">
        <v>25</v>
      </c>
      <c r="F498" s="1">
        <v>46110</v>
      </c>
      <c r="G498" s="2" t="s">
        <v>43</v>
      </c>
      <c r="H498" s="2" t="s">
        <v>38</v>
      </c>
      <c r="I498" s="2" t="s">
        <v>39</v>
      </c>
      <c r="J498" s="2" t="s">
        <v>64</v>
      </c>
      <c r="K498" s="2" t="s">
        <v>52</v>
      </c>
      <c r="L498" s="2">
        <v>45</v>
      </c>
      <c r="M498" s="2">
        <v>42</v>
      </c>
      <c r="N498" s="2">
        <v>42663.62</v>
      </c>
      <c r="O498" s="2">
        <v>100.57</v>
      </c>
      <c r="P498" s="2">
        <v>49.92</v>
      </c>
      <c r="Q498" s="2" t="s">
        <v>30</v>
      </c>
      <c r="R498" s="2">
        <v>1</v>
      </c>
    </row>
    <row r="499" spans="1:18" x14ac:dyDescent="0.3">
      <c r="A499" s="2" t="s">
        <v>550</v>
      </c>
      <c r="B499" s="2" t="s">
        <v>49</v>
      </c>
      <c r="E499" s="2" t="s">
        <v>49</v>
      </c>
      <c r="F499" s="1">
        <v>46230</v>
      </c>
      <c r="G499" s="2" t="s">
        <v>32</v>
      </c>
      <c r="H499" s="2" t="s">
        <v>58</v>
      </c>
      <c r="I499" s="2" t="s">
        <v>39</v>
      </c>
      <c r="J499" s="2" t="s">
        <v>28</v>
      </c>
      <c r="K499" s="2" t="s">
        <v>52</v>
      </c>
      <c r="L499" s="2">
        <v>28</v>
      </c>
      <c r="M499" s="2">
        <v>57</v>
      </c>
      <c r="N499" s="2">
        <v>3102.43</v>
      </c>
      <c r="O499" s="2">
        <v>170.83</v>
      </c>
      <c r="P499" s="2">
        <v>175.54</v>
      </c>
      <c r="Q499" s="2" t="s">
        <v>30</v>
      </c>
      <c r="R499" s="2">
        <v>3</v>
      </c>
    </row>
    <row r="500" spans="1:18" x14ac:dyDescent="0.3">
      <c r="A500" s="2" t="s">
        <v>551</v>
      </c>
      <c r="B500" s="2" t="s">
        <v>33</v>
      </c>
      <c r="E500" s="2" t="s">
        <v>33</v>
      </c>
      <c r="F500" s="1">
        <v>46205</v>
      </c>
      <c r="G500" s="2" t="s">
        <v>90</v>
      </c>
      <c r="H500" s="2" t="s">
        <v>58</v>
      </c>
      <c r="I500" s="2" t="s">
        <v>39</v>
      </c>
      <c r="J500" s="2" t="s">
        <v>20</v>
      </c>
      <c r="K500" s="2" t="s">
        <v>56</v>
      </c>
      <c r="L500" s="2">
        <v>21</v>
      </c>
      <c r="M500" s="2">
        <v>66</v>
      </c>
      <c r="N500" s="2">
        <v>5668.56</v>
      </c>
      <c r="O500" s="2">
        <v>271.58</v>
      </c>
      <c r="P500" s="2">
        <v>162.63</v>
      </c>
      <c r="Q500" s="2" t="s">
        <v>22</v>
      </c>
      <c r="R500" s="2">
        <v>1</v>
      </c>
    </row>
    <row r="501" spans="1:18" x14ac:dyDescent="0.3">
      <c r="A501" s="2" t="s">
        <v>552</v>
      </c>
      <c r="B501" s="2" t="s">
        <v>47</v>
      </c>
      <c r="E501" s="2" t="s">
        <v>47</v>
      </c>
      <c r="F501" s="1">
        <v>46210</v>
      </c>
      <c r="G501" s="2" t="s">
        <v>74</v>
      </c>
      <c r="H501" s="2" t="s">
        <v>45</v>
      </c>
      <c r="I501" s="2" t="s">
        <v>34</v>
      </c>
      <c r="J501" s="2" t="s">
        <v>28</v>
      </c>
      <c r="K501" s="2" t="s">
        <v>29</v>
      </c>
      <c r="L501" s="2">
        <v>40</v>
      </c>
      <c r="M501" s="2">
        <v>9</v>
      </c>
      <c r="N501" s="2">
        <v>28664.67</v>
      </c>
      <c r="O501" s="2">
        <v>426.53</v>
      </c>
      <c r="P501" s="2">
        <v>287.36</v>
      </c>
      <c r="Q501" s="2" t="s">
        <v>30</v>
      </c>
      <c r="R501" s="2">
        <v>4</v>
      </c>
    </row>
    <row r="502" spans="1:18" x14ac:dyDescent="0.3">
      <c r="A502" s="2" t="s">
        <v>553</v>
      </c>
      <c r="B502" s="2" t="s">
        <v>60</v>
      </c>
      <c r="E502" s="2" t="s">
        <v>60</v>
      </c>
      <c r="F502" s="1">
        <v>46039</v>
      </c>
      <c r="G502" s="2" t="s">
        <v>32</v>
      </c>
      <c r="H502" s="2" t="s">
        <v>45</v>
      </c>
      <c r="I502" s="2" t="s">
        <v>68</v>
      </c>
      <c r="J502" s="2" t="s">
        <v>35</v>
      </c>
      <c r="K502" s="2" t="s">
        <v>21</v>
      </c>
      <c r="L502" s="2">
        <v>64</v>
      </c>
      <c r="M502" s="2">
        <v>107</v>
      </c>
      <c r="N502" s="2">
        <v>26808.22</v>
      </c>
      <c r="O502" s="2">
        <v>123.65</v>
      </c>
      <c r="P502" s="2">
        <v>176.75</v>
      </c>
      <c r="Q502" s="2" t="s">
        <v>22</v>
      </c>
      <c r="R502" s="2">
        <v>3</v>
      </c>
    </row>
    <row r="503" spans="1:18" x14ac:dyDescent="0.3">
      <c r="A503" s="2" t="s">
        <v>554</v>
      </c>
      <c r="B503" s="2" t="s">
        <v>86</v>
      </c>
      <c r="E503" s="2" t="s">
        <v>86</v>
      </c>
      <c r="F503" s="1">
        <v>45951</v>
      </c>
      <c r="G503" s="2" t="s">
        <v>16</v>
      </c>
      <c r="H503" s="2" t="s">
        <v>45</v>
      </c>
      <c r="I503" s="2" t="s">
        <v>68</v>
      </c>
      <c r="J503" s="2" t="s">
        <v>55</v>
      </c>
      <c r="K503" s="2" t="s">
        <v>21</v>
      </c>
      <c r="L503" s="2">
        <v>43</v>
      </c>
      <c r="M503" s="2">
        <v>100</v>
      </c>
      <c r="N503" s="2">
        <v>23169.18</v>
      </c>
      <c r="O503" s="2">
        <v>174.63</v>
      </c>
      <c r="P503" s="2">
        <v>186.67</v>
      </c>
      <c r="Q503" s="2" t="s">
        <v>30</v>
      </c>
      <c r="R503" s="2">
        <v>2</v>
      </c>
    </row>
    <row r="504" spans="1:18" x14ac:dyDescent="0.3">
      <c r="A504" s="2" t="s">
        <v>555</v>
      </c>
      <c r="B504" s="2" t="s">
        <v>82</v>
      </c>
      <c r="E504" s="2" t="s">
        <v>82</v>
      </c>
      <c r="F504" s="1">
        <v>45932</v>
      </c>
      <c r="G504" s="2" t="s">
        <v>41</v>
      </c>
      <c r="H504" s="2" t="s">
        <v>18</v>
      </c>
      <c r="I504" s="2" t="s">
        <v>27</v>
      </c>
      <c r="J504" s="2" t="s">
        <v>64</v>
      </c>
      <c r="K504" s="2" t="s">
        <v>52</v>
      </c>
      <c r="L504" s="2">
        <v>52</v>
      </c>
      <c r="M504" s="2">
        <v>86</v>
      </c>
      <c r="N504" s="2">
        <v>20141.07</v>
      </c>
      <c r="O504" s="2">
        <v>79.61</v>
      </c>
      <c r="P504" s="2">
        <v>171.75</v>
      </c>
      <c r="Q504" s="2" t="s">
        <v>22</v>
      </c>
      <c r="R504" s="2">
        <v>3</v>
      </c>
    </row>
    <row r="505" spans="1:18" x14ac:dyDescent="0.3">
      <c r="A505" s="2" t="s">
        <v>556</v>
      </c>
      <c r="B505" s="2" t="s">
        <v>47</v>
      </c>
      <c r="E505" s="2" t="s">
        <v>47</v>
      </c>
      <c r="F505" s="1">
        <v>45953</v>
      </c>
      <c r="G505" s="2" t="s">
        <v>24</v>
      </c>
      <c r="H505" s="2" t="s">
        <v>38</v>
      </c>
      <c r="I505" s="2" t="s">
        <v>68</v>
      </c>
      <c r="J505" s="2" t="s">
        <v>35</v>
      </c>
      <c r="K505" s="2" t="s">
        <v>56</v>
      </c>
      <c r="L505" s="2">
        <v>31</v>
      </c>
      <c r="M505" s="2">
        <v>64</v>
      </c>
      <c r="N505" s="2">
        <v>21844.92</v>
      </c>
      <c r="O505" s="2">
        <v>367.69</v>
      </c>
      <c r="P505" s="2">
        <v>138.68</v>
      </c>
      <c r="Q505" s="2" t="s">
        <v>22</v>
      </c>
      <c r="R505" s="2">
        <v>3</v>
      </c>
    </row>
    <row r="506" spans="1:18" x14ac:dyDescent="0.3">
      <c r="A506" s="2" t="s">
        <v>557</v>
      </c>
      <c r="B506" s="2" t="s">
        <v>49</v>
      </c>
      <c r="E506" s="2" t="s">
        <v>49</v>
      </c>
      <c r="F506" s="1">
        <v>46042</v>
      </c>
      <c r="G506" s="2" t="s">
        <v>90</v>
      </c>
      <c r="H506" s="2" t="s">
        <v>45</v>
      </c>
      <c r="I506" s="2" t="s">
        <v>39</v>
      </c>
      <c r="J506" s="2" t="s">
        <v>64</v>
      </c>
      <c r="K506" s="2" t="s">
        <v>56</v>
      </c>
      <c r="L506" s="2">
        <v>59</v>
      </c>
      <c r="M506" s="2">
        <v>86</v>
      </c>
      <c r="N506" s="2">
        <v>28680.25</v>
      </c>
      <c r="O506" s="2">
        <v>157.19</v>
      </c>
      <c r="P506" s="2">
        <v>34.049999999999997</v>
      </c>
      <c r="Q506" s="2" t="s">
        <v>22</v>
      </c>
      <c r="R506" s="2">
        <v>3</v>
      </c>
    </row>
    <row r="507" spans="1:18" x14ac:dyDescent="0.3">
      <c r="A507" s="2" t="s">
        <v>558</v>
      </c>
      <c r="B507" s="2" t="s">
        <v>17</v>
      </c>
      <c r="E507" s="2" t="s">
        <v>17</v>
      </c>
      <c r="F507" s="1">
        <v>46234</v>
      </c>
      <c r="G507" s="2" t="s">
        <v>24</v>
      </c>
      <c r="H507" s="2" t="s">
        <v>26</v>
      </c>
      <c r="I507" s="2" t="s">
        <v>39</v>
      </c>
      <c r="J507" s="2" t="s">
        <v>20</v>
      </c>
      <c r="K507" s="2" t="s">
        <v>21</v>
      </c>
      <c r="L507" s="2">
        <v>67</v>
      </c>
      <c r="M507" s="2">
        <v>22</v>
      </c>
      <c r="N507" s="2">
        <v>602.79</v>
      </c>
      <c r="O507" s="2">
        <v>224.9</v>
      </c>
      <c r="P507" s="2">
        <v>54.34</v>
      </c>
      <c r="Q507" s="2" t="s">
        <v>22</v>
      </c>
      <c r="R507" s="2">
        <v>4</v>
      </c>
    </row>
    <row r="508" spans="1:18" x14ac:dyDescent="0.3">
      <c r="A508" s="2" t="s">
        <v>559</v>
      </c>
      <c r="B508" s="2" t="s">
        <v>37</v>
      </c>
      <c r="E508" s="2" t="s">
        <v>37</v>
      </c>
      <c r="F508" s="1">
        <v>46162</v>
      </c>
      <c r="G508" s="2" t="s">
        <v>16</v>
      </c>
      <c r="H508" s="2" t="s">
        <v>26</v>
      </c>
      <c r="I508" s="2" t="s">
        <v>39</v>
      </c>
      <c r="J508" s="2" t="s">
        <v>20</v>
      </c>
      <c r="K508" s="2" t="s">
        <v>29</v>
      </c>
      <c r="L508" s="2">
        <v>74</v>
      </c>
      <c r="M508" s="2">
        <v>34</v>
      </c>
      <c r="N508" s="2">
        <v>13405.08</v>
      </c>
      <c r="O508" s="2">
        <v>249.67</v>
      </c>
      <c r="P508" s="2">
        <v>63.82</v>
      </c>
      <c r="Q508" s="2" t="s">
        <v>30</v>
      </c>
      <c r="R508" s="2">
        <v>1</v>
      </c>
    </row>
    <row r="509" spans="1:18" x14ac:dyDescent="0.3">
      <c r="A509" s="2" t="s">
        <v>560</v>
      </c>
      <c r="B509" s="2" t="s">
        <v>33</v>
      </c>
      <c r="E509" s="2" t="s">
        <v>33</v>
      </c>
      <c r="F509" s="1">
        <v>45911</v>
      </c>
      <c r="G509" s="2" t="s">
        <v>32</v>
      </c>
      <c r="H509" s="2" t="s">
        <v>58</v>
      </c>
      <c r="I509" s="2" t="s">
        <v>27</v>
      </c>
      <c r="J509" s="2" t="s">
        <v>20</v>
      </c>
      <c r="K509" s="2" t="s">
        <v>29</v>
      </c>
      <c r="L509" s="2">
        <v>44</v>
      </c>
      <c r="M509" s="2">
        <v>55</v>
      </c>
      <c r="N509" s="2">
        <v>26154.85</v>
      </c>
      <c r="O509" s="2">
        <v>451.09</v>
      </c>
      <c r="P509" s="2">
        <v>181.08</v>
      </c>
      <c r="Q509" s="2" t="s">
        <v>30</v>
      </c>
      <c r="R509" s="2">
        <v>2</v>
      </c>
    </row>
    <row r="510" spans="1:18" x14ac:dyDescent="0.3">
      <c r="A510" s="2" t="s">
        <v>561</v>
      </c>
      <c r="B510" s="2" t="s">
        <v>49</v>
      </c>
      <c r="E510" s="2" t="s">
        <v>49</v>
      </c>
      <c r="F510" s="1">
        <v>45960</v>
      </c>
      <c r="G510" s="2" t="s">
        <v>32</v>
      </c>
      <c r="H510" s="2" t="s">
        <v>38</v>
      </c>
      <c r="I510" s="2" t="s">
        <v>39</v>
      </c>
      <c r="J510" s="2" t="s">
        <v>64</v>
      </c>
      <c r="K510" s="2" t="s">
        <v>21</v>
      </c>
      <c r="L510" s="2">
        <v>31</v>
      </c>
      <c r="M510" s="2">
        <v>29</v>
      </c>
      <c r="N510" s="2">
        <v>36249.699999999997</v>
      </c>
      <c r="O510" s="2">
        <v>235.1</v>
      </c>
      <c r="P510" s="2">
        <v>100.72</v>
      </c>
      <c r="Q510" s="2" t="s">
        <v>30</v>
      </c>
      <c r="R510" s="2">
        <v>1</v>
      </c>
    </row>
    <row r="511" spans="1:18" x14ac:dyDescent="0.3">
      <c r="A511" s="2" t="s">
        <v>562</v>
      </c>
      <c r="B511" s="2" t="s">
        <v>44</v>
      </c>
      <c r="E511" s="2" t="s">
        <v>44</v>
      </c>
      <c r="F511" s="1">
        <v>45910</v>
      </c>
      <c r="G511" s="2" t="s">
        <v>43</v>
      </c>
      <c r="H511" s="2" t="s">
        <v>45</v>
      </c>
      <c r="I511" s="2" t="s">
        <v>68</v>
      </c>
      <c r="J511" s="2" t="s">
        <v>35</v>
      </c>
      <c r="K511" s="2" t="s">
        <v>21</v>
      </c>
      <c r="L511" s="2">
        <v>49</v>
      </c>
      <c r="M511" s="2">
        <v>38</v>
      </c>
      <c r="N511" s="2">
        <v>9120.76</v>
      </c>
      <c r="O511" s="2">
        <v>115.35</v>
      </c>
      <c r="P511" s="2">
        <v>173.42</v>
      </c>
      <c r="Q511" s="2" t="s">
        <v>30</v>
      </c>
      <c r="R511" s="2">
        <v>1</v>
      </c>
    </row>
    <row r="512" spans="1:18" x14ac:dyDescent="0.3">
      <c r="A512" s="2" t="s">
        <v>563</v>
      </c>
      <c r="B512" s="2" t="s">
        <v>82</v>
      </c>
      <c r="E512" s="2" t="s">
        <v>82</v>
      </c>
      <c r="F512" s="1">
        <v>45925</v>
      </c>
      <c r="G512" s="2" t="s">
        <v>16</v>
      </c>
      <c r="H512" s="2" t="s">
        <v>26</v>
      </c>
      <c r="I512" s="2" t="s">
        <v>34</v>
      </c>
      <c r="J512" s="2" t="s">
        <v>20</v>
      </c>
      <c r="K512" s="2" t="s">
        <v>56</v>
      </c>
      <c r="L512" s="2">
        <v>74</v>
      </c>
      <c r="M512" s="2">
        <v>110</v>
      </c>
      <c r="N512" s="2">
        <v>27570.62</v>
      </c>
      <c r="O512" s="2">
        <v>285.94</v>
      </c>
      <c r="P512" s="2">
        <v>190.53</v>
      </c>
      <c r="Q512" s="2" t="s">
        <v>30</v>
      </c>
      <c r="R512" s="2">
        <v>5</v>
      </c>
    </row>
    <row r="513" spans="1:18" x14ac:dyDescent="0.3">
      <c r="A513" s="2" t="s">
        <v>564</v>
      </c>
      <c r="B513" s="2" t="s">
        <v>86</v>
      </c>
      <c r="E513" s="2" t="s">
        <v>86</v>
      </c>
      <c r="F513" s="1">
        <v>46215</v>
      </c>
      <c r="G513" s="2" t="s">
        <v>90</v>
      </c>
      <c r="H513" s="2" t="s">
        <v>38</v>
      </c>
      <c r="I513" s="2" t="s">
        <v>34</v>
      </c>
      <c r="J513" s="2" t="s">
        <v>35</v>
      </c>
      <c r="K513" s="2" t="s">
        <v>29</v>
      </c>
      <c r="L513" s="2">
        <v>46</v>
      </c>
      <c r="M513" s="2">
        <v>97</v>
      </c>
      <c r="N513" s="2">
        <v>35865.75</v>
      </c>
      <c r="O513" s="2">
        <v>483.33</v>
      </c>
      <c r="P513" s="2">
        <v>121.46</v>
      </c>
      <c r="Q513" s="2" t="s">
        <v>22</v>
      </c>
      <c r="R513" s="2">
        <v>4</v>
      </c>
    </row>
    <row r="514" spans="1:18" x14ac:dyDescent="0.3">
      <c r="A514" s="2" t="s">
        <v>565</v>
      </c>
      <c r="B514" s="2" t="s">
        <v>33</v>
      </c>
      <c r="E514" s="2" t="s">
        <v>33</v>
      </c>
      <c r="F514" s="1">
        <v>46084</v>
      </c>
      <c r="G514" s="2" t="s">
        <v>43</v>
      </c>
      <c r="H514" s="2" t="s">
        <v>58</v>
      </c>
      <c r="I514" s="2" t="s">
        <v>19</v>
      </c>
      <c r="J514" s="2" t="s">
        <v>64</v>
      </c>
      <c r="K514" s="2" t="s">
        <v>21</v>
      </c>
      <c r="L514" s="2">
        <v>36</v>
      </c>
      <c r="M514" s="2">
        <v>18</v>
      </c>
      <c r="N514" s="2">
        <v>22509.07</v>
      </c>
      <c r="O514" s="2">
        <v>323.45999999999998</v>
      </c>
      <c r="P514" s="2">
        <v>101.27</v>
      </c>
      <c r="Q514" s="2" t="s">
        <v>30</v>
      </c>
      <c r="R514" s="2">
        <v>5</v>
      </c>
    </row>
    <row r="515" spans="1:18" x14ac:dyDescent="0.3">
      <c r="A515" s="2" t="s">
        <v>566</v>
      </c>
      <c r="B515" s="2" t="s">
        <v>60</v>
      </c>
      <c r="E515" s="2" t="s">
        <v>60</v>
      </c>
      <c r="F515" s="1">
        <v>46235</v>
      </c>
      <c r="G515" s="2" t="s">
        <v>41</v>
      </c>
      <c r="H515" s="2" t="s">
        <v>18</v>
      </c>
      <c r="I515" s="2" t="s">
        <v>68</v>
      </c>
      <c r="J515" s="2" t="s">
        <v>35</v>
      </c>
      <c r="K515" s="2" t="s">
        <v>21</v>
      </c>
      <c r="L515" s="2">
        <v>55</v>
      </c>
      <c r="M515" s="2">
        <v>71</v>
      </c>
      <c r="N515" s="2">
        <v>1840.52</v>
      </c>
      <c r="O515" s="2">
        <v>492.52</v>
      </c>
      <c r="P515" s="2">
        <v>194.3</v>
      </c>
      <c r="Q515" s="2" t="s">
        <v>30</v>
      </c>
      <c r="R515" s="2">
        <v>4</v>
      </c>
    </row>
    <row r="516" spans="1:18" x14ac:dyDescent="0.3">
      <c r="A516" s="2" t="s">
        <v>567</v>
      </c>
      <c r="B516" s="2" t="s">
        <v>47</v>
      </c>
      <c r="E516" s="2" t="s">
        <v>47</v>
      </c>
      <c r="F516" s="1">
        <v>45939</v>
      </c>
      <c r="G516" s="2" t="s">
        <v>43</v>
      </c>
      <c r="H516" s="2" t="s">
        <v>38</v>
      </c>
      <c r="I516" s="2" t="s">
        <v>39</v>
      </c>
      <c r="J516" s="2" t="s">
        <v>64</v>
      </c>
      <c r="K516" s="2" t="s">
        <v>52</v>
      </c>
      <c r="L516" s="2">
        <v>40</v>
      </c>
      <c r="M516" s="2">
        <v>65</v>
      </c>
      <c r="N516" s="2">
        <v>22738.77</v>
      </c>
      <c r="O516" s="2">
        <v>428.5</v>
      </c>
      <c r="P516" s="2">
        <v>55.25</v>
      </c>
      <c r="Q516" s="2" t="s">
        <v>22</v>
      </c>
      <c r="R516" s="2">
        <v>1</v>
      </c>
    </row>
    <row r="517" spans="1:18" x14ac:dyDescent="0.3">
      <c r="A517" s="2" t="s">
        <v>568</v>
      </c>
      <c r="B517" s="2" t="s">
        <v>17</v>
      </c>
      <c r="E517" s="2" t="s">
        <v>17</v>
      </c>
      <c r="F517" s="1">
        <v>46024</v>
      </c>
      <c r="G517" s="2" t="s">
        <v>54</v>
      </c>
      <c r="H517" s="2" t="s">
        <v>38</v>
      </c>
      <c r="I517" s="2" t="s">
        <v>34</v>
      </c>
      <c r="J517" s="2" t="s">
        <v>64</v>
      </c>
      <c r="K517" s="2" t="s">
        <v>21</v>
      </c>
      <c r="L517" s="2">
        <v>66</v>
      </c>
      <c r="M517" s="2">
        <v>97</v>
      </c>
      <c r="N517" s="2">
        <v>15174.02</v>
      </c>
      <c r="O517" s="2">
        <v>66.180000000000007</v>
      </c>
      <c r="P517" s="2">
        <v>158.47999999999999</v>
      </c>
      <c r="Q517" s="2" t="s">
        <v>22</v>
      </c>
      <c r="R517" s="2">
        <v>1</v>
      </c>
    </row>
    <row r="518" spans="1:18" x14ac:dyDescent="0.3">
      <c r="A518" s="2" t="s">
        <v>569</v>
      </c>
      <c r="B518" s="2" t="s">
        <v>67</v>
      </c>
      <c r="E518" s="2" t="s">
        <v>67</v>
      </c>
      <c r="F518" s="1">
        <v>46000</v>
      </c>
      <c r="G518" s="2" t="s">
        <v>90</v>
      </c>
      <c r="H518" s="2" t="s">
        <v>18</v>
      </c>
      <c r="I518" s="2" t="s">
        <v>68</v>
      </c>
      <c r="J518" s="2" t="s">
        <v>55</v>
      </c>
      <c r="K518" s="2" t="s">
        <v>21</v>
      </c>
      <c r="L518" s="2">
        <v>23</v>
      </c>
      <c r="M518" s="2">
        <v>1</v>
      </c>
      <c r="N518" s="2">
        <v>46517.66</v>
      </c>
      <c r="O518" s="2">
        <v>346.28</v>
      </c>
      <c r="P518" s="2">
        <v>45.05</v>
      </c>
      <c r="Q518" s="2" t="s">
        <v>22</v>
      </c>
      <c r="R518" s="2">
        <v>4</v>
      </c>
    </row>
    <row r="519" spans="1:18" x14ac:dyDescent="0.3">
      <c r="A519" s="2" t="s">
        <v>570</v>
      </c>
      <c r="B519" s="2" t="s">
        <v>76</v>
      </c>
      <c r="E519" s="2" t="s">
        <v>76</v>
      </c>
      <c r="F519" s="1">
        <v>46139</v>
      </c>
      <c r="G519" s="2" t="s">
        <v>54</v>
      </c>
      <c r="H519" s="2" t="s">
        <v>38</v>
      </c>
      <c r="I519" s="2" t="s">
        <v>34</v>
      </c>
      <c r="J519" s="2" t="s">
        <v>64</v>
      </c>
      <c r="K519" s="2" t="s">
        <v>29</v>
      </c>
      <c r="L519" s="2">
        <v>21</v>
      </c>
      <c r="M519" s="2">
        <v>88</v>
      </c>
      <c r="N519" s="2">
        <v>6668.36</v>
      </c>
      <c r="O519" s="2">
        <v>179.05</v>
      </c>
      <c r="P519" s="2">
        <v>204.44</v>
      </c>
      <c r="Q519" s="2" t="s">
        <v>22</v>
      </c>
      <c r="R519" s="2">
        <v>1</v>
      </c>
    </row>
    <row r="520" spans="1:18" x14ac:dyDescent="0.3">
      <c r="A520" s="2" t="s">
        <v>571</v>
      </c>
      <c r="B520" s="2" t="s">
        <v>44</v>
      </c>
      <c r="E520" s="2" t="s">
        <v>44</v>
      </c>
      <c r="F520" s="1">
        <v>46046</v>
      </c>
      <c r="G520" s="2" t="s">
        <v>16</v>
      </c>
      <c r="H520" s="2" t="s">
        <v>58</v>
      </c>
      <c r="I520" s="2" t="s">
        <v>39</v>
      </c>
      <c r="J520" s="2" t="s">
        <v>64</v>
      </c>
      <c r="K520" s="2" t="s">
        <v>56</v>
      </c>
      <c r="L520" s="2">
        <v>73</v>
      </c>
      <c r="M520" s="2">
        <v>4</v>
      </c>
      <c r="N520" s="2">
        <v>32797.56</v>
      </c>
      <c r="O520" s="2">
        <v>301.83</v>
      </c>
      <c r="P520" s="2">
        <v>50.72</v>
      </c>
      <c r="Q520" s="2" t="s">
        <v>30</v>
      </c>
      <c r="R520" s="2">
        <v>1</v>
      </c>
    </row>
    <row r="521" spans="1:18" x14ac:dyDescent="0.3">
      <c r="A521" s="2" t="s">
        <v>572</v>
      </c>
      <c r="B521" s="2" t="s">
        <v>82</v>
      </c>
      <c r="E521" s="2" t="s">
        <v>82</v>
      </c>
      <c r="F521" s="1">
        <v>46184</v>
      </c>
      <c r="G521" s="2" t="s">
        <v>74</v>
      </c>
      <c r="H521" s="2" t="s">
        <v>58</v>
      </c>
      <c r="I521" s="2" t="s">
        <v>34</v>
      </c>
      <c r="J521" s="2" t="s">
        <v>28</v>
      </c>
      <c r="K521" s="2" t="s">
        <v>29</v>
      </c>
      <c r="L521" s="2">
        <v>67</v>
      </c>
      <c r="M521" s="2">
        <v>4</v>
      </c>
      <c r="N521" s="2">
        <v>3109.63</v>
      </c>
      <c r="O521" s="2">
        <v>175.71</v>
      </c>
      <c r="P521" s="2">
        <v>265.12</v>
      </c>
      <c r="Q521" s="2" t="s">
        <v>30</v>
      </c>
      <c r="R521" s="2">
        <v>2</v>
      </c>
    </row>
    <row r="522" spans="1:18" x14ac:dyDescent="0.3">
      <c r="A522" s="2" t="s">
        <v>573</v>
      </c>
      <c r="B522" s="2" t="s">
        <v>76</v>
      </c>
      <c r="E522" s="2" t="s">
        <v>76</v>
      </c>
      <c r="F522" s="1">
        <v>46212</v>
      </c>
      <c r="G522" s="2" t="s">
        <v>54</v>
      </c>
      <c r="H522" s="2" t="s">
        <v>18</v>
      </c>
      <c r="I522" s="2" t="s">
        <v>19</v>
      </c>
      <c r="J522" s="2" t="s">
        <v>20</v>
      </c>
      <c r="K522" s="2" t="s">
        <v>56</v>
      </c>
      <c r="L522" s="2">
        <v>21</v>
      </c>
      <c r="M522" s="2">
        <v>82</v>
      </c>
      <c r="N522" s="2">
        <v>22585.439999999999</v>
      </c>
      <c r="O522" s="2">
        <v>206.99</v>
      </c>
      <c r="P522" s="2">
        <v>112.3</v>
      </c>
      <c r="Q522" s="2" t="s">
        <v>22</v>
      </c>
      <c r="R522" s="2">
        <v>5</v>
      </c>
    </row>
    <row r="523" spans="1:18" x14ac:dyDescent="0.3">
      <c r="A523" s="2" t="s">
        <v>574</v>
      </c>
      <c r="B523" s="2" t="s">
        <v>33</v>
      </c>
      <c r="E523" s="2" t="s">
        <v>33</v>
      </c>
      <c r="F523" s="1">
        <v>46053</v>
      </c>
      <c r="G523" s="2" t="s">
        <v>41</v>
      </c>
      <c r="H523" s="2" t="s">
        <v>45</v>
      </c>
      <c r="I523" s="2" t="s">
        <v>19</v>
      </c>
      <c r="J523" s="2" t="s">
        <v>55</v>
      </c>
      <c r="K523" s="2" t="s">
        <v>52</v>
      </c>
      <c r="L523" s="2">
        <v>37</v>
      </c>
      <c r="M523" s="2">
        <v>27</v>
      </c>
      <c r="N523" s="2">
        <v>27921.98</v>
      </c>
      <c r="O523" s="2">
        <v>465.43</v>
      </c>
      <c r="P523" s="2">
        <v>37.19</v>
      </c>
      <c r="Q523" s="2" t="s">
        <v>22</v>
      </c>
      <c r="R523" s="2">
        <v>5</v>
      </c>
    </row>
    <row r="524" spans="1:18" x14ac:dyDescent="0.3">
      <c r="A524" s="2" t="s">
        <v>575</v>
      </c>
      <c r="B524" s="2" t="s">
        <v>17</v>
      </c>
      <c r="E524" s="2" t="s">
        <v>17</v>
      </c>
      <c r="F524" s="1">
        <v>46007</v>
      </c>
      <c r="G524" s="2" t="s">
        <v>43</v>
      </c>
      <c r="H524" s="2" t="s">
        <v>26</v>
      </c>
      <c r="I524" s="2" t="s">
        <v>34</v>
      </c>
      <c r="J524" s="2" t="s">
        <v>55</v>
      </c>
      <c r="K524" s="2" t="s">
        <v>21</v>
      </c>
      <c r="L524" s="2">
        <v>22</v>
      </c>
      <c r="M524" s="2">
        <v>43</v>
      </c>
      <c r="N524" s="2">
        <v>15248.77</v>
      </c>
      <c r="O524" s="2">
        <v>142.99</v>
      </c>
      <c r="P524" s="2">
        <v>44.87</v>
      </c>
      <c r="Q524" s="2" t="s">
        <v>22</v>
      </c>
      <c r="R524" s="2">
        <v>5</v>
      </c>
    </row>
    <row r="525" spans="1:18" x14ac:dyDescent="0.3">
      <c r="A525" s="2" t="s">
        <v>576</v>
      </c>
      <c r="B525" s="2" t="s">
        <v>17</v>
      </c>
      <c r="E525" s="2" t="s">
        <v>17</v>
      </c>
      <c r="F525" s="1">
        <v>46062</v>
      </c>
      <c r="G525" s="2" t="s">
        <v>74</v>
      </c>
      <c r="H525" s="2" t="s">
        <v>45</v>
      </c>
      <c r="I525" s="2" t="s">
        <v>68</v>
      </c>
      <c r="J525" s="2" t="s">
        <v>55</v>
      </c>
      <c r="K525" s="2" t="s">
        <v>52</v>
      </c>
      <c r="L525" s="2">
        <v>49</v>
      </c>
      <c r="M525" s="2">
        <v>59</v>
      </c>
      <c r="N525" s="2">
        <v>23026.240000000002</v>
      </c>
      <c r="O525" s="2">
        <v>443.35</v>
      </c>
      <c r="P525" s="2">
        <v>98.77</v>
      </c>
      <c r="Q525" s="2" t="s">
        <v>30</v>
      </c>
      <c r="R525" s="2">
        <v>3</v>
      </c>
    </row>
    <row r="526" spans="1:18" x14ac:dyDescent="0.3">
      <c r="A526" s="2" t="s">
        <v>577</v>
      </c>
      <c r="B526" s="2" t="s">
        <v>49</v>
      </c>
      <c r="E526" s="2" t="s">
        <v>49</v>
      </c>
      <c r="F526" s="1">
        <v>46130</v>
      </c>
      <c r="G526" s="2" t="s">
        <v>43</v>
      </c>
      <c r="H526" s="2" t="s">
        <v>38</v>
      </c>
      <c r="I526" s="2" t="s">
        <v>68</v>
      </c>
      <c r="J526" s="2" t="s">
        <v>28</v>
      </c>
      <c r="K526" s="2" t="s">
        <v>56</v>
      </c>
      <c r="L526" s="2">
        <v>40</v>
      </c>
      <c r="M526" s="2">
        <v>32</v>
      </c>
      <c r="N526" s="2">
        <v>8595.91</v>
      </c>
      <c r="O526" s="2">
        <v>63.71</v>
      </c>
      <c r="P526" s="2">
        <v>192.32</v>
      </c>
      <c r="Q526" s="2" t="s">
        <v>22</v>
      </c>
      <c r="R526" s="2">
        <v>2</v>
      </c>
    </row>
    <row r="527" spans="1:18" x14ac:dyDescent="0.3">
      <c r="A527" s="2" t="s">
        <v>578</v>
      </c>
      <c r="B527" s="2" t="s">
        <v>25</v>
      </c>
      <c r="E527" s="2" t="s">
        <v>25</v>
      </c>
      <c r="F527" s="1">
        <v>45998</v>
      </c>
      <c r="G527" s="2" t="s">
        <v>54</v>
      </c>
      <c r="H527" s="2" t="s">
        <v>26</v>
      </c>
      <c r="I527" s="2" t="s">
        <v>68</v>
      </c>
      <c r="J527" s="2" t="s">
        <v>64</v>
      </c>
      <c r="K527" s="2" t="s">
        <v>29</v>
      </c>
      <c r="L527" s="2">
        <v>26</v>
      </c>
      <c r="M527" s="2">
        <v>33</v>
      </c>
      <c r="N527" s="2">
        <v>15554.13</v>
      </c>
      <c r="O527" s="2">
        <v>90.89</v>
      </c>
      <c r="P527" s="2">
        <v>230.9</v>
      </c>
      <c r="Q527" s="2" t="s">
        <v>30</v>
      </c>
      <c r="R527" s="2">
        <v>5</v>
      </c>
    </row>
    <row r="528" spans="1:18" x14ac:dyDescent="0.3">
      <c r="A528" s="2" t="s">
        <v>579</v>
      </c>
      <c r="B528" s="2" t="s">
        <v>25</v>
      </c>
      <c r="E528" s="2" t="s">
        <v>25</v>
      </c>
      <c r="F528" s="1">
        <v>46174</v>
      </c>
      <c r="G528" s="2" t="s">
        <v>43</v>
      </c>
      <c r="H528" s="2" t="s">
        <v>18</v>
      </c>
      <c r="I528" s="2" t="s">
        <v>34</v>
      </c>
      <c r="J528" s="2" t="s">
        <v>20</v>
      </c>
      <c r="K528" s="2" t="s">
        <v>29</v>
      </c>
      <c r="L528" s="2">
        <v>28</v>
      </c>
      <c r="M528" s="2">
        <v>28</v>
      </c>
      <c r="N528" s="2">
        <v>31244.76</v>
      </c>
      <c r="O528" s="2">
        <v>434.6</v>
      </c>
      <c r="P528" s="2">
        <v>146.49</v>
      </c>
      <c r="Q528" s="2" t="s">
        <v>30</v>
      </c>
      <c r="R528" s="2">
        <v>5</v>
      </c>
    </row>
    <row r="529" spans="1:18" x14ac:dyDescent="0.3">
      <c r="A529" s="2" t="s">
        <v>580</v>
      </c>
      <c r="B529" s="2" t="s">
        <v>47</v>
      </c>
      <c r="E529" s="2" t="s">
        <v>47</v>
      </c>
      <c r="F529" s="1">
        <v>46081</v>
      </c>
      <c r="G529" s="2" t="s">
        <v>16</v>
      </c>
      <c r="H529" s="2" t="s">
        <v>18</v>
      </c>
      <c r="I529" s="2" t="s">
        <v>68</v>
      </c>
      <c r="J529" s="2" t="s">
        <v>35</v>
      </c>
      <c r="K529" s="2" t="s">
        <v>52</v>
      </c>
      <c r="L529" s="2">
        <v>49</v>
      </c>
      <c r="M529" s="2">
        <v>106</v>
      </c>
      <c r="N529" s="2">
        <v>15439.1</v>
      </c>
      <c r="O529" s="2">
        <v>333.75</v>
      </c>
      <c r="P529" s="2">
        <v>67.540000000000006</v>
      </c>
      <c r="Q529" s="2" t="s">
        <v>30</v>
      </c>
      <c r="R529" s="2">
        <v>2</v>
      </c>
    </row>
    <row r="530" spans="1:18" x14ac:dyDescent="0.3">
      <c r="A530" s="2" t="s">
        <v>581</v>
      </c>
      <c r="B530" s="2" t="s">
        <v>49</v>
      </c>
      <c r="E530" s="2" t="s">
        <v>49</v>
      </c>
      <c r="F530" s="1">
        <v>46092</v>
      </c>
      <c r="G530" s="2" t="s">
        <v>74</v>
      </c>
      <c r="H530" s="2" t="s">
        <v>26</v>
      </c>
      <c r="I530" s="2" t="s">
        <v>39</v>
      </c>
      <c r="J530" s="2" t="s">
        <v>64</v>
      </c>
      <c r="K530" s="2" t="s">
        <v>56</v>
      </c>
      <c r="L530" s="2">
        <v>68</v>
      </c>
      <c r="M530" s="2">
        <v>105</v>
      </c>
      <c r="N530" s="2">
        <v>45037.279999999999</v>
      </c>
      <c r="O530" s="2">
        <v>386.26</v>
      </c>
      <c r="P530" s="2">
        <v>109.85</v>
      </c>
      <c r="Q530" s="2" t="s">
        <v>30</v>
      </c>
      <c r="R530" s="2">
        <v>1</v>
      </c>
    </row>
    <row r="531" spans="1:18" x14ac:dyDescent="0.3">
      <c r="A531" s="2" t="s">
        <v>582</v>
      </c>
      <c r="B531" s="2" t="s">
        <v>78</v>
      </c>
      <c r="E531" s="2" t="s">
        <v>78</v>
      </c>
      <c r="F531" s="1">
        <v>46211</v>
      </c>
      <c r="G531" s="2" t="s">
        <v>16</v>
      </c>
      <c r="H531" s="2" t="s">
        <v>58</v>
      </c>
      <c r="I531" s="2" t="s">
        <v>19</v>
      </c>
      <c r="J531" s="2" t="s">
        <v>28</v>
      </c>
      <c r="K531" s="2" t="s">
        <v>52</v>
      </c>
      <c r="L531" s="2">
        <v>71</v>
      </c>
      <c r="M531" s="2">
        <v>55</v>
      </c>
      <c r="N531" s="2">
        <v>31606.14</v>
      </c>
      <c r="O531" s="2">
        <v>144.24</v>
      </c>
      <c r="P531" s="2">
        <v>149.66999999999999</v>
      </c>
      <c r="Q531" s="2" t="s">
        <v>30</v>
      </c>
      <c r="R531" s="2">
        <v>5</v>
      </c>
    </row>
    <row r="532" spans="1:18" x14ac:dyDescent="0.3">
      <c r="A532" s="2" t="s">
        <v>583</v>
      </c>
      <c r="B532" s="2" t="s">
        <v>47</v>
      </c>
      <c r="E532" s="2" t="s">
        <v>47</v>
      </c>
      <c r="F532" s="1">
        <v>46078</v>
      </c>
      <c r="G532" s="2" t="s">
        <v>54</v>
      </c>
      <c r="H532" s="2" t="s">
        <v>26</v>
      </c>
      <c r="I532" s="2" t="s">
        <v>39</v>
      </c>
      <c r="J532" s="2" t="s">
        <v>64</v>
      </c>
      <c r="K532" s="2" t="s">
        <v>52</v>
      </c>
      <c r="L532" s="2">
        <v>53</v>
      </c>
      <c r="M532" s="2">
        <v>100</v>
      </c>
      <c r="N532" s="2">
        <v>22213.13</v>
      </c>
      <c r="O532" s="2">
        <v>291.69</v>
      </c>
      <c r="P532" s="2">
        <v>156.79</v>
      </c>
      <c r="Q532" s="2" t="s">
        <v>30</v>
      </c>
      <c r="R532" s="2">
        <v>1</v>
      </c>
    </row>
    <row r="533" spans="1:18" x14ac:dyDescent="0.3">
      <c r="A533" s="2" t="s">
        <v>584</v>
      </c>
      <c r="B533" s="2" t="s">
        <v>78</v>
      </c>
      <c r="E533" s="2" t="s">
        <v>78</v>
      </c>
      <c r="F533" s="1">
        <v>46097</v>
      </c>
      <c r="G533" s="2" t="s">
        <v>16</v>
      </c>
      <c r="H533" s="2" t="s">
        <v>38</v>
      </c>
      <c r="I533" s="2" t="s">
        <v>68</v>
      </c>
      <c r="J533" s="2" t="s">
        <v>64</v>
      </c>
      <c r="K533" s="2" t="s">
        <v>21</v>
      </c>
      <c r="L533" s="2">
        <v>23</v>
      </c>
      <c r="M533" s="2">
        <v>60</v>
      </c>
      <c r="N533" s="2">
        <v>2418.4699999999998</v>
      </c>
      <c r="O533" s="2">
        <v>381.75</v>
      </c>
      <c r="P533" s="2">
        <v>64.92</v>
      </c>
      <c r="Q533" s="2" t="s">
        <v>30</v>
      </c>
      <c r="R533" s="2">
        <v>5</v>
      </c>
    </row>
    <row r="534" spans="1:18" x14ac:dyDescent="0.3">
      <c r="A534" s="2" t="s">
        <v>585</v>
      </c>
      <c r="B534" s="2" t="s">
        <v>25</v>
      </c>
      <c r="E534" s="2" t="s">
        <v>25</v>
      </c>
      <c r="F534" s="1">
        <v>45912</v>
      </c>
      <c r="G534" s="2" t="s">
        <v>41</v>
      </c>
      <c r="H534" s="2" t="s">
        <v>58</v>
      </c>
      <c r="I534" s="2" t="s">
        <v>39</v>
      </c>
      <c r="J534" s="2" t="s">
        <v>28</v>
      </c>
      <c r="K534" s="2" t="s">
        <v>52</v>
      </c>
      <c r="L534" s="2">
        <v>55</v>
      </c>
      <c r="M534" s="2">
        <v>70</v>
      </c>
      <c r="N534" s="2">
        <v>25227.64</v>
      </c>
      <c r="O534" s="2">
        <v>332.29</v>
      </c>
      <c r="P534" s="2">
        <v>144.22999999999999</v>
      </c>
      <c r="Q534" s="2" t="s">
        <v>30</v>
      </c>
      <c r="R534" s="2">
        <v>4</v>
      </c>
    </row>
    <row r="535" spans="1:18" x14ac:dyDescent="0.3">
      <c r="A535" s="2" t="s">
        <v>586</v>
      </c>
      <c r="B535" s="2" t="s">
        <v>49</v>
      </c>
      <c r="E535" s="2" t="s">
        <v>49</v>
      </c>
      <c r="F535" s="1">
        <v>46153</v>
      </c>
      <c r="G535" s="2" t="s">
        <v>54</v>
      </c>
      <c r="H535" s="2" t="s">
        <v>18</v>
      </c>
      <c r="I535" s="2" t="s">
        <v>68</v>
      </c>
      <c r="J535" s="2" t="s">
        <v>55</v>
      </c>
      <c r="K535" s="2" t="s">
        <v>21</v>
      </c>
      <c r="L535" s="2">
        <v>25</v>
      </c>
      <c r="M535" s="2">
        <v>62</v>
      </c>
      <c r="N535" s="2">
        <v>38356.42</v>
      </c>
      <c r="O535" s="2">
        <v>262.26</v>
      </c>
      <c r="P535" s="2">
        <v>131.56</v>
      </c>
      <c r="Q535" s="2" t="s">
        <v>22</v>
      </c>
      <c r="R535" s="2">
        <v>3</v>
      </c>
    </row>
    <row r="536" spans="1:18" x14ac:dyDescent="0.3">
      <c r="A536" s="2" t="s">
        <v>587</v>
      </c>
      <c r="B536" s="2" t="s">
        <v>78</v>
      </c>
      <c r="E536" s="2" t="s">
        <v>78</v>
      </c>
      <c r="F536" s="1">
        <v>46134</v>
      </c>
      <c r="G536" s="2" t="s">
        <v>54</v>
      </c>
      <c r="H536" s="2" t="s">
        <v>26</v>
      </c>
      <c r="I536" s="2" t="s">
        <v>34</v>
      </c>
      <c r="J536" s="2" t="s">
        <v>55</v>
      </c>
      <c r="K536" s="2" t="s">
        <v>21</v>
      </c>
      <c r="L536" s="2">
        <v>47</v>
      </c>
      <c r="M536" s="2">
        <v>80</v>
      </c>
      <c r="N536" s="2">
        <v>13645.1</v>
      </c>
      <c r="O536" s="2">
        <v>481.9</v>
      </c>
      <c r="P536" s="2">
        <v>191.82</v>
      </c>
      <c r="Q536" s="2" t="s">
        <v>22</v>
      </c>
      <c r="R536" s="2">
        <v>5</v>
      </c>
    </row>
    <row r="537" spans="1:18" x14ac:dyDescent="0.3">
      <c r="A537" s="2" t="s">
        <v>588</v>
      </c>
      <c r="B537" s="2" t="s">
        <v>44</v>
      </c>
      <c r="E537" s="2" t="s">
        <v>44</v>
      </c>
      <c r="F537" s="1">
        <v>46009</v>
      </c>
      <c r="G537" s="2" t="s">
        <v>54</v>
      </c>
      <c r="H537" s="2" t="s">
        <v>45</v>
      </c>
      <c r="I537" s="2" t="s">
        <v>39</v>
      </c>
      <c r="J537" s="2" t="s">
        <v>20</v>
      </c>
      <c r="K537" s="2" t="s">
        <v>29</v>
      </c>
      <c r="L537" s="2">
        <v>64</v>
      </c>
      <c r="M537" s="2">
        <v>34</v>
      </c>
      <c r="N537" s="2">
        <v>40435.29</v>
      </c>
      <c r="O537" s="2">
        <v>354.27</v>
      </c>
      <c r="P537" s="2">
        <v>279.33</v>
      </c>
      <c r="Q537" s="2" t="s">
        <v>30</v>
      </c>
      <c r="R537" s="2">
        <v>4</v>
      </c>
    </row>
    <row r="538" spans="1:18" x14ac:dyDescent="0.3">
      <c r="A538" s="2" t="s">
        <v>589</v>
      </c>
      <c r="B538" s="2" t="s">
        <v>49</v>
      </c>
      <c r="E538" s="2" t="s">
        <v>49</v>
      </c>
      <c r="F538" s="1">
        <v>46081</v>
      </c>
      <c r="G538" s="2" t="s">
        <v>90</v>
      </c>
      <c r="H538" s="2" t="s">
        <v>45</v>
      </c>
      <c r="I538" s="2" t="s">
        <v>34</v>
      </c>
      <c r="J538" s="2" t="s">
        <v>20</v>
      </c>
      <c r="K538" s="2" t="s">
        <v>21</v>
      </c>
      <c r="L538" s="2">
        <v>32</v>
      </c>
      <c r="M538" s="2">
        <v>87</v>
      </c>
      <c r="N538" s="2">
        <v>12964.43</v>
      </c>
      <c r="O538" s="2">
        <v>458.49</v>
      </c>
      <c r="P538" s="2">
        <v>157.88</v>
      </c>
      <c r="Q538" s="2" t="s">
        <v>30</v>
      </c>
      <c r="R538" s="2">
        <v>2</v>
      </c>
    </row>
    <row r="539" spans="1:18" x14ac:dyDescent="0.3">
      <c r="A539" s="2" t="s">
        <v>590</v>
      </c>
      <c r="B539" s="2" t="s">
        <v>25</v>
      </c>
      <c r="E539" s="2" t="s">
        <v>25</v>
      </c>
      <c r="F539" s="1">
        <v>46230</v>
      </c>
      <c r="G539" s="2" t="s">
        <v>43</v>
      </c>
      <c r="H539" s="2" t="s">
        <v>38</v>
      </c>
      <c r="I539" s="2" t="s">
        <v>34</v>
      </c>
      <c r="J539" s="2" t="s">
        <v>55</v>
      </c>
      <c r="K539" s="2" t="s">
        <v>21</v>
      </c>
      <c r="L539" s="2">
        <v>40</v>
      </c>
      <c r="M539" s="2">
        <v>114</v>
      </c>
      <c r="N539" s="2">
        <v>41275.449999999997</v>
      </c>
      <c r="O539" s="2">
        <v>378.4</v>
      </c>
      <c r="P539" s="2">
        <v>144.68</v>
      </c>
      <c r="Q539" s="2" t="s">
        <v>22</v>
      </c>
      <c r="R539" s="2">
        <v>4</v>
      </c>
    </row>
    <row r="540" spans="1:18" x14ac:dyDescent="0.3">
      <c r="A540" s="2" t="s">
        <v>591</v>
      </c>
      <c r="B540" s="2" t="s">
        <v>47</v>
      </c>
      <c r="E540" s="2" t="s">
        <v>47</v>
      </c>
      <c r="F540" s="1">
        <v>46155</v>
      </c>
      <c r="G540" s="2" t="s">
        <v>90</v>
      </c>
      <c r="H540" s="2" t="s">
        <v>45</v>
      </c>
      <c r="I540" s="2" t="s">
        <v>27</v>
      </c>
      <c r="J540" s="2" t="s">
        <v>35</v>
      </c>
      <c r="K540" s="2" t="s">
        <v>29</v>
      </c>
      <c r="L540" s="2">
        <v>65</v>
      </c>
      <c r="M540" s="2">
        <v>106</v>
      </c>
      <c r="N540" s="2">
        <v>4720.78</v>
      </c>
      <c r="O540" s="2">
        <v>380.96</v>
      </c>
      <c r="P540" s="2">
        <v>82.22</v>
      </c>
      <c r="Q540" s="2" t="s">
        <v>30</v>
      </c>
      <c r="R540" s="2">
        <v>2</v>
      </c>
    </row>
    <row r="541" spans="1:18" x14ac:dyDescent="0.3">
      <c r="A541" s="2" t="s">
        <v>592</v>
      </c>
      <c r="B541" s="2" t="s">
        <v>51</v>
      </c>
      <c r="E541" s="2" t="s">
        <v>51</v>
      </c>
      <c r="F541" s="1">
        <v>46069</v>
      </c>
      <c r="G541" s="2" t="s">
        <v>90</v>
      </c>
      <c r="H541" s="2" t="s">
        <v>26</v>
      </c>
      <c r="I541" s="2" t="s">
        <v>68</v>
      </c>
      <c r="J541" s="2" t="s">
        <v>64</v>
      </c>
      <c r="K541" s="2" t="s">
        <v>52</v>
      </c>
      <c r="L541" s="2">
        <v>40</v>
      </c>
      <c r="M541" s="2">
        <v>88</v>
      </c>
      <c r="N541" s="2">
        <v>43376.09</v>
      </c>
      <c r="O541" s="2">
        <v>86.01</v>
      </c>
      <c r="P541" s="2">
        <v>169.19</v>
      </c>
      <c r="Q541" s="2" t="s">
        <v>30</v>
      </c>
      <c r="R541" s="2">
        <v>5</v>
      </c>
    </row>
    <row r="542" spans="1:18" x14ac:dyDescent="0.3">
      <c r="A542" s="2" t="s">
        <v>593</v>
      </c>
      <c r="B542" s="2" t="s">
        <v>49</v>
      </c>
      <c r="E542" s="2" t="s">
        <v>49</v>
      </c>
      <c r="F542" s="1">
        <v>46007</v>
      </c>
      <c r="G542" s="2" t="s">
        <v>41</v>
      </c>
      <c r="H542" s="2" t="s">
        <v>26</v>
      </c>
      <c r="I542" s="2" t="s">
        <v>19</v>
      </c>
      <c r="J542" s="2" t="s">
        <v>35</v>
      </c>
      <c r="K542" s="2" t="s">
        <v>56</v>
      </c>
      <c r="L542" s="2">
        <v>29</v>
      </c>
      <c r="M542" s="2">
        <v>56</v>
      </c>
      <c r="N542" s="2">
        <v>25209.73</v>
      </c>
      <c r="O542" s="2">
        <v>211.76</v>
      </c>
      <c r="P542" s="2">
        <v>85.5</v>
      </c>
      <c r="Q542" s="2" t="s">
        <v>30</v>
      </c>
      <c r="R542" s="2">
        <v>2</v>
      </c>
    </row>
    <row r="543" spans="1:18" x14ac:dyDescent="0.3">
      <c r="A543" s="2" t="s">
        <v>594</v>
      </c>
      <c r="B543" s="2" t="s">
        <v>67</v>
      </c>
      <c r="E543" s="2" t="s">
        <v>67</v>
      </c>
      <c r="F543" s="1">
        <v>46209</v>
      </c>
      <c r="G543" s="2" t="s">
        <v>74</v>
      </c>
      <c r="H543" s="2" t="s">
        <v>45</v>
      </c>
      <c r="I543" s="2" t="s">
        <v>68</v>
      </c>
      <c r="J543" s="2" t="s">
        <v>64</v>
      </c>
      <c r="K543" s="2" t="s">
        <v>56</v>
      </c>
      <c r="L543" s="2">
        <v>59</v>
      </c>
      <c r="M543" s="2">
        <v>113</v>
      </c>
      <c r="N543" s="2">
        <v>15178.61</v>
      </c>
      <c r="O543" s="2">
        <v>436.27</v>
      </c>
      <c r="P543" s="2">
        <v>54.45</v>
      </c>
      <c r="Q543" s="2" t="s">
        <v>22</v>
      </c>
      <c r="R543" s="2">
        <v>4</v>
      </c>
    </row>
    <row r="544" spans="1:18" x14ac:dyDescent="0.3">
      <c r="A544" s="2" t="s">
        <v>595</v>
      </c>
      <c r="B544" s="2" t="s">
        <v>82</v>
      </c>
      <c r="E544" s="2" t="s">
        <v>82</v>
      </c>
      <c r="F544" s="1">
        <v>46107</v>
      </c>
      <c r="G544" s="2" t="s">
        <v>43</v>
      </c>
      <c r="H544" s="2" t="s">
        <v>26</v>
      </c>
      <c r="I544" s="2" t="s">
        <v>19</v>
      </c>
      <c r="J544" s="2" t="s">
        <v>55</v>
      </c>
      <c r="K544" s="2" t="s">
        <v>56</v>
      </c>
      <c r="L544" s="2">
        <v>24</v>
      </c>
      <c r="M544" s="2">
        <v>13</v>
      </c>
      <c r="N544" s="2">
        <v>13623.11</v>
      </c>
      <c r="O544" s="2">
        <v>154.66999999999999</v>
      </c>
      <c r="P544" s="2">
        <v>76.83</v>
      </c>
      <c r="Q544" s="2" t="s">
        <v>30</v>
      </c>
      <c r="R544" s="2">
        <v>3</v>
      </c>
    </row>
    <row r="545" spans="1:18" x14ac:dyDescent="0.3">
      <c r="A545" s="2" t="s">
        <v>596</v>
      </c>
      <c r="B545" s="2" t="s">
        <v>25</v>
      </c>
      <c r="E545" s="2" t="s">
        <v>25</v>
      </c>
      <c r="F545" s="1">
        <v>46063</v>
      </c>
      <c r="G545" s="2" t="s">
        <v>16</v>
      </c>
      <c r="H545" s="2" t="s">
        <v>38</v>
      </c>
      <c r="I545" s="2" t="s">
        <v>68</v>
      </c>
      <c r="J545" s="2" t="s">
        <v>20</v>
      </c>
      <c r="K545" s="2" t="s">
        <v>52</v>
      </c>
      <c r="L545" s="2">
        <v>71</v>
      </c>
      <c r="M545" s="2">
        <v>56</v>
      </c>
      <c r="N545" s="2">
        <v>21884.52</v>
      </c>
      <c r="O545" s="2">
        <v>101.98</v>
      </c>
      <c r="P545" s="2">
        <v>167.19</v>
      </c>
      <c r="Q545" s="2" t="s">
        <v>30</v>
      </c>
      <c r="R545" s="2">
        <v>1</v>
      </c>
    </row>
    <row r="546" spans="1:18" x14ac:dyDescent="0.3">
      <c r="A546" s="2" t="s">
        <v>597</v>
      </c>
      <c r="B546" s="2" t="s">
        <v>62</v>
      </c>
      <c r="E546" s="2" t="s">
        <v>62</v>
      </c>
      <c r="F546" s="1">
        <v>46090</v>
      </c>
      <c r="G546" s="2" t="s">
        <v>32</v>
      </c>
      <c r="H546" s="2" t="s">
        <v>58</v>
      </c>
      <c r="I546" s="2" t="s">
        <v>34</v>
      </c>
      <c r="J546" s="2" t="s">
        <v>20</v>
      </c>
      <c r="K546" s="2" t="s">
        <v>21</v>
      </c>
      <c r="L546" s="2">
        <v>74</v>
      </c>
      <c r="M546" s="2">
        <v>18</v>
      </c>
      <c r="N546" s="2">
        <v>49952.95</v>
      </c>
      <c r="O546" s="2">
        <v>196.75</v>
      </c>
      <c r="P546" s="2">
        <v>29.73</v>
      </c>
      <c r="Q546" s="2" t="s">
        <v>30</v>
      </c>
      <c r="R546" s="2">
        <v>1</v>
      </c>
    </row>
    <row r="547" spans="1:18" x14ac:dyDescent="0.3">
      <c r="A547" s="2" t="s">
        <v>598</v>
      </c>
      <c r="B547" s="2" t="s">
        <v>62</v>
      </c>
      <c r="E547" s="2" t="s">
        <v>62</v>
      </c>
      <c r="F547" s="1">
        <v>45905</v>
      </c>
      <c r="G547" s="2" t="s">
        <v>54</v>
      </c>
      <c r="H547" s="2" t="s">
        <v>38</v>
      </c>
      <c r="I547" s="2" t="s">
        <v>39</v>
      </c>
      <c r="J547" s="2" t="s">
        <v>35</v>
      </c>
      <c r="K547" s="2" t="s">
        <v>56</v>
      </c>
      <c r="L547" s="2">
        <v>39</v>
      </c>
      <c r="M547" s="2">
        <v>54</v>
      </c>
      <c r="N547" s="2">
        <v>11406.21</v>
      </c>
      <c r="O547" s="2">
        <v>149.19999999999999</v>
      </c>
      <c r="P547" s="2">
        <v>91.23</v>
      </c>
      <c r="Q547" s="2" t="s">
        <v>30</v>
      </c>
      <c r="R547" s="2">
        <v>3</v>
      </c>
    </row>
    <row r="548" spans="1:18" x14ac:dyDescent="0.3">
      <c r="A548" s="2" t="s">
        <v>599</v>
      </c>
      <c r="B548" s="2" t="s">
        <v>47</v>
      </c>
      <c r="E548" s="2" t="s">
        <v>47</v>
      </c>
      <c r="F548" s="1">
        <v>46019</v>
      </c>
      <c r="G548" s="2" t="s">
        <v>16</v>
      </c>
      <c r="H548" s="2" t="s">
        <v>38</v>
      </c>
      <c r="I548" s="2" t="s">
        <v>39</v>
      </c>
      <c r="J548" s="2" t="s">
        <v>20</v>
      </c>
      <c r="K548" s="2" t="s">
        <v>52</v>
      </c>
      <c r="L548" s="2">
        <v>58</v>
      </c>
      <c r="M548" s="2">
        <v>77</v>
      </c>
      <c r="N548" s="2">
        <v>5609.22</v>
      </c>
      <c r="O548" s="2">
        <v>466.38</v>
      </c>
      <c r="P548" s="2">
        <v>98.47</v>
      </c>
      <c r="Q548" s="2" t="s">
        <v>30</v>
      </c>
      <c r="R548" s="2">
        <v>1</v>
      </c>
    </row>
    <row r="549" spans="1:18" x14ac:dyDescent="0.3">
      <c r="A549" s="2" t="s">
        <v>600</v>
      </c>
      <c r="B549" s="2" t="s">
        <v>47</v>
      </c>
      <c r="E549" s="2" t="s">
        <v>47</v>
      </c>
      <c r="F549" s="1">
        <v>45929</v>
      </c>
      <c r="G549" s="2" t="s">
        <v>54</v>
      </c>
      <c r="H549" s="2" t="s">
        <v>26</v>
      </c>
      <c r="I549" s="2" t="s">
        <v>27</v>
      </c>
      <c r="J549" s="2" t="s">
        <v>55</v>
      </c>
      <c r="K549" s="2" t="s">
        <v>21</v>
      </c>
      <c r="L549" s="2">
        <v>47</v>
      </c>
      <c r="M549" s="2">
        <v>113</v>
      </c>
      <c r="N549" s="2">
        <v>29459.24</v>
      </c>
      <c r="O549" s="2">
        <v>440.58</v>
      </c>
      <c r="P549" s="2">
        <v>7.33</v>
      </c>
      <c r="Q549" s="2" t="s">
        <v>30</v>
      </c>
      <c r="R549" s="2">
        <v>5</v>
      </c>
    </row>
    <row r="550" spans="1:18" x14ac:dyDescent="0.3">
      <c r="A550" s="2" t="s">
        <v>601</v>
      </c>
      <c r="B550" s="2" t="s">
        <v>76</v>
      </c>
      <c r="E550" s="2" t="s">
        <v>76</v>
      </c>
      <c r="F550" s="1">
        <v>45905</v>
      </c>
      <c r="G550" s="2" t="s">
        <v>41</v>
      </c>
      <c r="H550" s="2" t="s">
        <v>58</v>
      </c>
      <c r="I550" s="2" t="s">
        <v>19</v>
      </c>
      <c r="J550" s="2" t="s">
        <v>35</v>
      </c>
      <c r="K550" s="2" t="s">
        <v>29</v>
      </c>
      <c r="L550" s="2">
        <v>65</v>
      </c>
      <c r="M550" s="2">
        <v>101</v>
      </c>
      <c r="N550" s="2">
        <v>24682.85</v>
      </c>
      <c r="O550" s="2">
        <v>274.86</v>
      </c>
      <c r="P550" s="2">
        <v>58.72</v>
      </c>
      <c r="Q550" s="2" t="s">
        <v>30</v>
      </c>
      <c r="R550" s="2">
        <v>5</v>
      </c>
    </row>
    <row r="551" spans="1:18" x14ac:dyDescent="0.3">
      <c r="A551" s="2" t="s">
        <v>602</v>
      </c>
      <c r="B551" s="2" t="s">
        <v>82</v>
      </c>
      <c r="E551" s="2" t="s">
        <v>82</v>
      </c>
      <c r="F551" s="1">
        <v>45973</v>
      </c>
      <c r="G551" s="2" t="s">
        <v>54</v>
      </c>
      <c r="H551" s="2" t="s">
        <v>26</v>
      </c>
      <c r="I551" s="2" t="s">
        <v>19</v>
      </c>
      <c r="J551" s="2" t="s">
        <v>64</v>
      </c>
      <c r="K551" s="2" t="s">
        <v>56</v>
      </c>
      <c r="L551" s="2">
        <v>63</v>
      </c>
      <c r="M551" s="2">
        <v>43</v>
      </c>
      <c r="N551" s="2">
        <v>26447.72</v>
      </c>
      <c r="O551" s="2">
        <v>77.599999999999994</v>
      </c>
      <c r="P551" s="2">
        <v>165.35</v>
      </c>
      <c r="Q551" s="2" t="s">
        <v>22</v>
      </c>
      <c r="R551" s="2">
        <v>4</v>
      </c>
    </row>
    <row r="552" spans="1:18" x14ac:dyDescent="0.3">
      <c r="A552" s="2" t="s">
        <v>603</v>
      </c>
      <c r="B552" s="2" t="s">
        <v>82</v>
      </c>
      <c r="E552" s="2" t="s">
        <v>82</v>
      </c>
      <c r="F552" s="1">
        <v>46183</v>
      </c>
      <c r="G552" s="2" t="s">
        <v>90</v>
      </c>
      <c r="H552" s="2" t="s">
        <v>18</v>
      </c>
      <c r="I552" s="2" t="s">
        <v>19</v>
      </c>
      <c r="J552" s="2" t="s">
        <v>20</v>
      </c>
      <c r="K552" s="2" t="s">
        <v>21</v>
      </c>
      <c r="L552" s="2">
        <v>33</v>
      </c>
      <c r="M552" s="2">
        <v>39</v>
      </c>
      <c r="N552" s="2">
        <v>33513.300000000003</v>
      </c>
      <c r="O552" s="2">
        <v>371.55</v>
      </c>
      <c r="P552" s="2">
        <v>166.15</v>
      </c>
      <c r="Q552" s="2" t="s">
        <v>22</v>
      </c>
      <c r="R552" s="2">
        <v>4</v>
      </c>
    </row>
    <row r="553" spans="1:18" x14ac:dyDescent="0.3">
      <c r="A553" s="2" t="s">
        <v>604</v>
      </c>
      <c r="B553" s="2" t="s">
        <v>44</v>
      </c>
      <c r="E553" s="2" t="s">
        <v>44</v>
      </c>
      <c r="F553" s="1">
        <v>45921</v>
      </c>
      <c r="G553" s="2" t="s">
        <v>43</v>
      </c>
      <c r="H553" s="2" t="s">
        <v>26</v>
      </c>
      <c r="I553" s="2" t="s">
        <v>34</v>
      </c>
      <c r="J553" s="2" t="s">
        <v>28</v>
      </c>
      <c r="K553" s="2" t="s">
        <v>56</v>
      </c>
      <c r="L553" s="2">
        <v>33</v>
      </c>
      <c r="M553" s="2">
        <v>61</v>
      </c>
      <c r="N553" s="2">
        <v>13723.63</v>
      </c>
      <c r="O553" s="2">
        <v>330.54</v>
      </c>
      <c r="P553" s="2">
        <v>58.48</v>
      </c>
      <c r="Q553" s="2" t="s">
        <v>22</v>
      </c>
      <c r="R553" s="2">
        <v>2</v>
      </c>
    </row>
    <row r="554" spans="1:18" x14ac:dyDescent="0.3">
      <c r="A554" s="2" t="s">
        <v>605</v>
      </c>
      <c r="B554" s="2" t="s">
        <v>47</v>
      </c>
      <c r="E554" s="2" t="s">
        <v>47</v>
      </c>
      <c r="F554" s="1">
        <v>45963</v>
      </c>
      <c r="G554" s="2" t="s">
        <v>32</v>
      </c>
      <c r="H554" s="2" t="s">
        <v>26</v>
      </c>
      <c r="I554" s="2" t="s">
        <v>19</v>
      </c>
      <c r="J554" s="2" t="s">
        <v>20</v>
      </c>
      <c r="K554" s="2" t="s">
        <v>56</v>
      </c>
      <c r="L554" s="2">
        <v>42</v>
      </c>
      <c r="M554" s="2">
        <v>42</v>
      </c>
      <c r="N554" s="2">
        <v>45577.919999999998</v>
      </c>
      <c r="O554" s="2">
        <v>486.75</v>
      </c>
      <c r="P554" s="2">
        <v>174.98</v>
      </c>
      <c r="Q554" s="2" t="s">
        <v>22</v>
      </c>
      <c r="R554" s="2">
        <v>4</v>
      </c>
    </row>
    <row r="555" spans="1:18" x14ac:dyDescent="0.3">
      <c r="A555" s="2" t="s">
        <v>606</v>
      </c>
      <c r="B555" s="2" t="s">
        <v>82</v>
      </c>
      <c r="E555" s="2" t="s">
        <v>82</v>
      </c>
      <c r="F555" s="1">
        <v>46095</v>
      </c>
      <c r="G555" s="2" t="s">
        <v>24</v>
      </c>
      <c r="H555" s="2" t="s">
        <v>26</v>
      </c>
      <c r="I555" s="2" t="s">
        <v>39</v>
      </c>
      <c r="J555" s="2" t="s">
        <v>64</v>
      </c>
      <c r="K555" s="2" t="s">
        <v>56</v>
      </c>
      <c r="L555" s="2">
        <v>48</v>
      </c>
      <c r="M555" s="2">
        <v>81</v>
      </c>
      <c r="N555" s="2">
        <v>22065.77</v>
      </c>
      <c r="O555" s="2">
        <v>301.52999999999997</v>
      </c>
      <c r="P555" s="2">
        <v>154.36000000000001</v>
      </c>
      <c r="Q555" s="2" t="s">
        <v>30</v>
      </c>
      <c r="R555" s="2">
        <v>5</v>
      </c>
    </row>
    <row r="556" spans="1:18" x14ac:dyDescent="0.3">
      <c r="A556" s="2" t="s">
        <v>607</v>
      </c>
      <c r="B556" s="2" t="s">
        <v>60</v>
      </c>
      <c r="E556" s="2" t="s">
        <v>60</v>
      </c>
      <c r="F556" s="1">
        <v>46016</v>
      </c>
      <c r="G556" s="2" t="s">
        <v>54</v>
      </c>
      <c r="H556" s="2" t="s">
        <v>58</v>
      </c>
      <c r="I556" s="2" t="s">
        <v>34</v>
      </c>
      <c r="J556" s="2" t="s">
        <v>35</v>
      </c>
      <c r="K556" s="2" t="s">
        <v>21</v>
      </c>
      <c r="L556" s="2">
        <v>72</v>
      </c>
      <c r="M556" s="2">
        <v>79</v>
      </c>
      <c r="N556" s="2">
        <v>6889.77</v>
      </c>
      <c r="O556" s="2">
        <v>201.38</v>
      </c>
      <c r="P556" s="2">
        <v>83.58</v>
      </c>
      <c r="Q556" s="2" t="s">
        <v>22</v>
      </c>
      <c r="R556" s="2">
        <v>4</v>
      </c>
    </row>
    <row r="557" spans="1:18" x14ac:dyDescent="0.3">
      <c r="A557" s="2" t="s">
        <v>608</v>
      </c>
      <c r="B557" s="2" t="s">
        <v>76</v>
      </c>
      <c r="E557" s="2" t="s">
        <v>76</v>
      </c>
      <c r="F557" s="1">
        <v>46233</v>
      </c>
      <c r="G557" s="2" t="s">
        <v>16</v>
      </c>
      <c r="H557" s="2" t="s">
        <v>26</v>
      </c>
      <c r="I557" s="2" t="s">
        <v>68</v>
      </c>
      <c r="J557" s="2" t="s">
        <v>64</v>
      </c>
      <c r="K557" s="2" t="s">
        <v>52</v>
      </c>
      <c r="L557" s="2">
        <v>67</v>
      </c>
      <c r="M557" s="2">
        <v>18</v>
      </c>
      <c r="N557" s="2">
        <v>37243.79</v>
      </c>
      <c r="O557" s="2">
        <v>283.56</v>
      </c>
      <c r="P557" s="2">
        <v>149.68</v>
      </c>
      <c r="Q557" s="2" t="s">
        <v>30</v>
      </c>
      <c r="R557" s="2">
        <v>1</v>
      </c>
    </row>
    <row r="558" spans="1:18" x14ac:dyDescent="0.3">
      <c r="A558" s="2" t="s">
        <v>609</v>
      </c>
      <c r="B558" s="2" t="s">
        <v>78</v>
      </c>
      <c r="E558" s="2" t="s">
        <v>78</v>
      </c>
      <c r="F558" s="1">
        <v>45960</v>
      </c>
      <c r="G558" s="2" t="s">
        <v>90</v>
      </c>
      <c r="H558" s="2" t="s">
        <v>58</v>
      </c>
      <c r="I558" s="2" t="s">
        <v>19</v>
      </c>
      <c r="J558" s="2" t="s">
        <v>28</v>
      </c>
      <c r="K558" s="2" t="s">
        <v>21</v>
      </c>
      <c r="L558" s="2">
        <v>73</v>
      </c>
      <c r="M558" s="2">
        <v>23</v>
      </c>
      <c r="N558" s="2">
        <v>32333.67</v>
      </c>
      <c r="O558" s="2">
        <v>490.67</v>
      </c>
      <c r="P558" s="2">
        <v>192.27</v>
      </c>
      <c r="Q558" s="2" t="s">
        <v>30</v>
      </c>
      <c r="R558" s="2">
        <v>2</v>
      </c>
    </row>
    <row r="559" spans="1:18" x14ac:dyDescent="0.3">
      <c r="A559" s="2" t="s">
        <v>610</v>
      </c>
      <c r="B559" s="2" t="s">
        <v>17</v>
      </c>
      <c r="E559" s="2" t="s">
        <v>17</v>
      </c>
      <c r="F559" s="1">
        <v>45875</v>
      </c>
      <c r="G559" s="2" t="s">
        <v>24</v>
      </c>
      <c r="H559" s="2" t="s">
        <v>45</v>
      </c>
      <c r="I559" s="2" t="s">
        <v>19</v>
      </c>
      <c r="J559" s="2" t="s">
        <v>55</v>
      </c>
      <c r="K559" s="2" t="s">
        <v>56</v>
      </c>
      <c r="L559" s="2">
        <v>65</v>
      </c>
      <c r="M559" s="2">
        <v>54</v>
      </c>
      <c r="N559" s="2">
        <v>16129.3</v>
      </c>
      <c r="O559" s="2">
        <v>363.36</v>
      </c>
      <c r="P559" s="2">
        <v>91.79</v>
      </c>
      <c r="Q559" s="2" t="s">
        <v>22</v>
      </c>
      <c r="R559" s="2">
        <v>2</v>
      </c>
    </row>
    <row r="560" spans="1:18" x14ac:dyDescent="0.3">
      <c r="A560" s="2" t="s">
        <v>611</v>
      </c>
      <c r="B560" s="2" t="s">
        <v>17</v>
      </c>
      <c r="E560" s="2" t="s">
        <v>17</v>
      </c>
      <c r="F560" s="1">
        <v>45926</v>
      </c>
      <c r="G560" s="2" t="s">
        <v>32</v>
      </c>
      <c r="H560" s="2" t="s">
        <v>18</v>
      </c>
      <c r="I560" s="2" t="s">
        <v>68</v>
      </c>
      <c r="J560" s="2" t="s">
        <v>20</v>
      </c>
      <c r="K560" s="2" t="s">
        <v>21</v>
      </c>
      <c r="L560" s="2">
        <v>42</v>
      </c>
      <c r="M560" s="2">
        <v>115</v>
      </c>
      <c r="N560" s="2">
        <v>31265.18</v>
      </c>
      <c r="O560" s="2">
        <v>352.39</v>
      </c>
      <c r="P560" s="2">
        <v>47.69</v>
      </c>
      <c r="Q560" s="2" t="s">
        <v>22</v>
      </c>
      <c r="R560" s="2">
        <v>5</v>
      </c>
    </row>
    <row r="561" spans="1:18" x14ac:dyDescent="0.3">
      <c r="A561" s="2" t="s">
        <v>612</v>
      </c>
      <c r="B561" s="2" t="s">
        <v>78</v>
      </c>
      <c r="E561" s="2" t="s">
        <v>78</v>
      </c>
      <c r="F561" s="1">
        <v>45879</v>
      </c>
      <c r="G561" s="2" t="s">
        <v>24</v>
      </c>
      <c r="H561" s="2" t="s">
        <v>58</v>
      </c>
      <c r="I561" s="2" t="s">
        <v>19</v>
      </c>
      <c r="J561" s="2" t="s">
        <v>35</v>
      </c>
      <c r="K561" s="2" t="s">
        <v>29</v>
      </c>
      <c r="L561" s="2">
        <v>63</v>
      </c>
      <c r="M561" s="2">
        <v>30</v>
      </c>
      <c r="N561" s="2">
        <v>11383.17</v>
      </c>
      <c r="O561" s="2">
        <v>158.31</v>
      </c>
      <c r="P561" s="2">
        <v>282.54000000000002</v>
      </c>
      <c r="Q561" s="2" t="s">
        <v>22</v>
      </c>
      <c r="R561" s="2">
        <v>4</v>
      </c>
    </row>
    <row r="562" spans="1:18" x14ac:dyDescent="0.3">
      <c r="A562" s="2" t="s">
        <v>613</v>
      </c>
      <c r="B562" s="2" t="s">
        <v>86</v>
      </c>
      <c r="E562" s="2" t="s">
        <v>86</v>
      </c>
      <c r="F562" s="1">
        <v>45890</v>
      </c>
      <c r="G562" s="2" t="s">
        <v>90</v>
      </c>
      <c r="H562" s="2" t="s">
        <v>45</v>
      </c>
      <c r="I562" s="2" t="s">
        <v>68</v>
      </c>
      <c r="J562" s="2" t="s">
        <v>55</v>
      </c>
      <c r="K562" s="2" t="s">
        <v>52</v>
      </c>
      <c r="L562" s="2">
        <v>39</v>
      </c>
      <c r="M562" s="2">
        <v>98</v>
      </c>
      <c r="N562" s="2">
        <v>22519.55</v>
      </c>
      <c r="O562" s="2">
        <v>384.62</v>
      </c>
      <c r="P562" s="2">
        <v>120.75</v>
      </c>
      <c r="Q562" s="2" t="s">
        <v>30</v>
      </c>
      <c r="R562" s="2">
        <v>1</v>
      </c>
    </row>
    <row r="563" spans="1:18" x14ac:dyDescent="0.3">
      <c r="A563" s="2" t="s">
        <v>614</v>
      </c>
      <c r="B563" s="2" t="s">
        <v>25</v>
      </c>
      <c r="E563" s="2" t="s">
        <v>25</v>
      </c>
      <c r="F563" s="1">
        <v>46194</v>
      </c>
      <c r="G563" s="2" t="s">
        <v>43</v>
      </c>
      <c r="H563" s="2" t="s">
        <v>58</v>
      </c>
      <c r="I563" s="2" t="s">
        <v>34</v>
      </c>
      <c r="J563" s="2" t="s">
        <v>64</v>
      </c>
      <c r="K563" s="2" t="s">
        <v>21</v>
      </c>
      <c r="L563" s="2">
        <v>28</v>
      </c>
      <c r="M563" s="2">
        <v>58</v>
      </c>
      <c r="N563" s="2">
        <v>45020.92</v>
      </c>
      <c r="O563" s="2">
        <v>387.62</v>
      </c>
      <c r="P563" s="2">
        <v>21.05</v>
      </c>
      <c r="Q563" s="2" t="s">
        <v>22</v>
      </c>
      <c r="R563" s="2">
        <v>4</v>
      </c>
    </row>
    <row r="564" spans="1:18" x14ac:dyDescent="0.3">
      <c r="A564" s="2" t="s">
        <v>615</v>
      </c>
      <c r="B564" s="2" t="s">
        <v>76</v>
      </c>
      <c r="E564" s="2" t="s">
        <v>76</v>
      </c>
      <c r="F564" s="1">
        <v>46012</v>
      </c>
      <c r="G564" s="2" t="s">
        <v>43</v>
      </c>
      <c r="H564" s="2" t="s">
        <v>58</v>
      </c>
      <c r="I564" s="2" t="s">
        <v>39</v>
      </c>
      <c r="J564" s="2" t="s">
        <v>35</v>
      </c>
      <c r="K564" s="2" t="s">
        <v>29</v>
      </c>
      <c r="L564" s="2">
        <v>72</v>
      </c>
      <c r="M564" s="2">
        <v>68</v>
      </c>
      <c r="N564" s="2">
        <v>7109.94</v>
      </c>
      <c r="O564" s="2">
        <v>192.78</v>
      </c>
      <c r="P564" s="2">
        <v>171.81</v>
      </c>
      <c r="Q564" s="2" t="s">
        <v>22</v>
      </c>
      <c r="R564" s="2">
        <v>3</v>
      </c>
    </row>
    <row r="565" spans="1:18" x14ac:dyDescent="0.3">
      <c r="A565" s="2" t="s">
        <v>616</v>
      </c>
      <c r="B565" s="2" t="s">
        <v>60</v>
      </c>
      <c r="E565" s="2" t="s">
        <v>60</v>
      </c>
      <c r="F565" s="1">
        <v>46094</v>
      </c>
      <c r="G565" s="2" t="s">
        <v>74</v>
      </c>
      <c r="H565" s="2" t="s">
        <v>18</v>
      </c>
      <c r="I565" s="2" t="s">
        <v>68</v>
      </c>
      <c r="J565" s="2" t="s">
        <v>55</v>
      </c>
      <c r="K565" s="2" t="s">
        <v>52</v>
      </c>
      <c r="L565" s="2">
        <v>28</v>
      </c>
      <c r="M565" s="2">
        <v>67</v>
      </c>
      <c r="N565" s="2">
        <v>19641.47</v>
      </c>
      <c r="O565" s="2">
        <v>267.67</v>
      </c>
      <c r="P565" s="2">
        <v>100.12</v>
      </c>
      <c r="Q565" s="2" t="s">
        <v>30</v>
      </c>
      <c r="R565" s="2">
        <v>4</v>
      </c>
    </row>
    <row r="566" spans="1:18" x14ac:dyDescent="0.3">
      <c r="A566" s="2" t="s">
        <v>617</v>
      </c>
      <c r="B566" s="2" t="s">
        <v>82</v>
      </c>
      <c r="E566" s="2" t="s">
        <v>82</v>
      </c>
      <c r="F566" s="1">
        <v>45979</v>
      </c>
      <c r="G566" s="2" t="s">
        <v>43</v>
      </c>
      <c r="H566" s="2" t="s">
        <v>38</v>
      </c>
      <c r="I566" s="2" t="s">
        <v>27</v>
      </c>
      <c r="J566" s="2" t="s">
        <v>35</v>
      </c>
      <c r="K566" s="2" t="s">
        <v>29</v>
      </c>
      <c r="L566" s="2">
        <v>62</v>
      </c>
      <c r="M566" s="2">
        <v>71</v>
      </c>
      <c r="N566" s="2">
        <v>41146.550000000003</v>
      </c>
      <c r="O566" s="2">
        <v>182.57</v>
      </c>
      <c r="P566" s="2">
        <v>256.68</v>
      </c>
      <c r="Q566" s="2" t="s">
        <v>30</v>
      </c>
      <c r="R566" s="2">
        <v>5</v>
      </c>
    </row>
    <row r="567" spans="1:18" x14ac:dyDescent="0.3">
      <c r="A567" s="2" t="s">
        <v>618</v>
      </c>
      <c r="B567" s="2" t="s">
        <v>51</v>
      </c>
      <c r="E567" s="2" t="s">
        <v>51</v>
      </c>
      <c r="F567" s="1">
        <v>46194</v>
      </c>
      <c r="G567" s="2" t="s">
        <v>74</v>
      </c>
      <c r="H567" s="2" t="s">
        <v>38</v>
      </c>
      <c r="I567" s="2" t="s">
        <v>68</v>
      </c>
      <c r="J567" s="2" t="s">
        <v>28</v>
      </c>
      <c r="K567" s="2" t="s">
        <v>52</v>
      </c>
      <c r="L567" s="2">
        <v>46</v>
      </c>
      <c r="M567" s="2">
        <v>18</v>
      </c>
      <c r="N567" s="2">
        <v>48489.8</v>
      </c>
      <c r="O567" s="2">
        <v>166.42</v>
      </c>
      <c r="P567" s="2">
        <v>106.14</v>
      </c>
      <c r="Q567" s="2" t="s">
        <v>30</v>
      </c>
      <c r="R567" s="2">
        <v>4</v>
      </c>
    </row>
    <row r="568" spans="1:18" x14ac:dyDescent="0.3">
      <c r="A568" s="2" t="s">
        <v>619</v>
      </c>
      <c r="B568" s="2" t="s">
        <v>76</v>
      </c>
      <c r="E568" s="2" t="s">
        <v>76</v>
      </c>
      <c r="F568" s="1">
        <v>45986</v>
      </c>
      <c r="G568" s="2" t="s">
        <v>24</v>
      </c>
      <c r="H568" s="2" t="s">
        <v>58</v>
      </c>
      <c r="I568" s="2" t="s">
        <v>19</v>
      </c>
      <c r="J568" s="2" t="s">
        <v>28</v>
      </c>
      <c r="K568" s="2" t="s">
        <v>21</v>
      </c>
      <c r="L568" s="2">
        <v>68</v>
      </c>
      <c r="M568" s="2">
        <v>106</v>
      </c>
      <c r="N568" s="2">
        <v>22969.34</v>
      </c>
      <c r="O568" s="2">
        <v>61.65</v>
      </c>
      <c r="P568" s="2">
        <v>51.05</v>
      </c>
      <c r="Q568" s="2" t="s">
        <v>22</v>
      </c>
      <c r="R568" s="2">
        <v>2</v>
      </c>
    </row>
    <row r="569" spans="1:18" x14ac:dyDescent="0.3">
      <c r="A569" s="2" t="s">
        <v>620</v>
      </c>
      <c r="B569" s="2" t="s">
        <v>49</v>
      </c>
      <c r="E569" s="2" t="s">
        <v>49</v>
      </c>
      <c r="F569" s="1">
        <v>45972</v>
      </c>
      <c r="G569" s="2" t="s">
        <v>41</v>
      </c>
      <c r="H569" s="2" t="s">
        <v>26</v>
      </c>
      <c r="I569" s="2" t="s">
        <v>34</v>
      </c>
      <c r="J569" s="2" t="s">
        <v>20</v>
      </c>
      <c r="K569" s="2" t="s">
        <v>29</v>
      </c>
      <c r="L569" s="2">
        <v>71</v>
      </c>
      <c r="M569" s="2">
        <v>7</v>
      </c>
      <c r="N569" s="2">
        <v>25596.48</v>
      </c>
      <c r="O569" s="2">
        <v>178.35</v>
      </c>
      <c r="P569" s="2">
        <v>202.7</v>
      </c>
      <c r="Q569" s="2" t="s">
        <v>30</v>
      </c>
      <c r="R569" s="2">
        <v>1</v>
      </c>
    </row>
    <row r="570" spans="1:18" x14ac:dyDescent="0.3">
      <c r="A570" s="2" t="s">
        <v>621</v>
      </c>
      <c r="B570" s="2" t="s">
        <v>78</v>
      </c>
      <c r="E570" s="2" t="s">
        <v>78</v>
      </c>
      <c r="F570" s="1">
        <v>45978</v>
      </c>
      <c r="G570" s="2" t="s">
        <v>16</v>
      </c>
      <c r="H570" s="2" t="s">
        <v>45</v>
      </c>
      <c r="I570" s="2" t="s">
        <v>34</v>
      </c>
      <c r="J570" s="2" t="s">
        <v>20</v>
      </c>
      <c r="K570" s="2" t="s">
        <v>56</v>
      </c>
      <c r="L570" s="2">
        <v>46</v>
      </c>
      <c r="M570" s="2">
        <v>40</v>
      </c>
      <c r="N570" s="2">
        <v>28822.51</v>
      </c>
      <c r="O570" s="2">
        <v>299.29000000000002</v>
      </c>
      <c r="P570" s="2">
        <v>108.52</v>
      </c>
      <c r="Q570" s="2" t="s">
        <v>30</v>
      </c>
      <c r="R570" s="2">
        <v>5</v>
      </c>
    </row>
    <row r="571" spans="1:18" x14ac:dyDescent="0.3">
      <c r="A571" s="2" t="s">
        <v>622</v>
      </c>
      <c r="B571" s="2" t="s">
        <v>60</v>
      </c>
      <c r="E571" s="2" t="s">
        <v>60</v>
      </c>
      <c r="F571" s="1">
        <v>45919</v>
      </c>
      <c r="G571" s="2" t="s">
        <v>16</v>
      </c>
      <c r="H571" s="2" t="s">
        <v>26</v>
      </c>
      <c r="I571" s="2" t="s">
        <v>68</v>
      </c>
      <c r="J571" s="2" t="s">
        <v>28</v>
      </c>
      <c r="K571" s="2" t="s">
        <v>29</v>
      </c>
      <c r="L571" s="2">
        <v>43</v>
      </c>
      <c r="M571" s="2">
        <v>70</v>
      </c>
      <c r="N571" s="2">
        <v>46651.23</v>
      </c>
      <c r="O571" s="2">
        <v>50.72</v>
      </c>
      <c r="P571" s="2">
        <v>69.91</v>
      </c>
      <c r="Q571" s="2" t="s">
        <v>30</v>
      </c>
      <c r="R571" s="2">
        <v>3</v>
      </c>
    </row>
    <row r="572" spans="1:18" x14ac:dyDescent="0.3">
      <c r="A572" s="2" t="s">
        <v>623</v>
      </c>
      <c r="B572" s="2" t="s">
        <v>67</v>
      </c>
      <c r="E572" s="2" t="s">
        <v>67</v>
      </c>
      <c r="F572" s="1">
        <v>46226</v>
      </c>
      <c r="G572" s="2" t="s">
        <v>24</v>
      </c>
      <c r="H572" s="2" t="s">
        <v>26</v>
      </c>
      <c r="I572" s="2" t="s">
        <v>39</v>
      </c>
      <c r="J572" s="2" t="s">
        <v>35</v>
      </c>
      <c r="K572" s="2" t="s">
        <v>52</v>
      </c>
      <c r="L572" s="2">
        <v>63</v>
      </c>
      <c r="M572" s="2">
        <v>86</v>
      </c>
      <c r="N572" s="2">
        <v>42981.24</v>
      </c>
      <c r="O572" s="2">
        <v>177.45</v>
      </c>
      <c r="P572" s="2">
        <v>114.73</v>
      </c>
      <c r="Q572" s="2" t="s">
        <v>30</v>
      </c>
      <c r="R572" s="2">
        <v>1</v>
      </c>
    </row>
    <row r="573" spans="1:18" x14ac:dyDescent="0.3">
      <c r="A573" s="2" t="s">
        <v>624</v>
      </c>
      <c r="B573" s="2" t="s">
        <v>37</v>
      </c>
      <c r="E573" s="2" t="s">
        <v>37</v>
      </c>
      <c r="F573" s="1">
        <v>46147</v>
      </c>
      <c r="G573" s="2" t="s">
        <v>54</v>
      </c>
      <c r="H573" s="2" t="s">
        <v>58</v>
      </c>
      <c r="I573" s="2" t="s">
        <v>27</v>
      </c>
      <c r="J573" s="2" t="s">
        <v>28</v>
      </c>
      <c r="K573" s="2" t="s">
        <v>21</v>
      </c>
      <c r="L573" s="2">
        <v>33</v>
      </c>
      <c r="M573" s="2">
        <v>65</v>
      </c>
      <c r="N573" s="2">
        <v>8944.76</v>
      </c>
      <c r="O573" s="2">
        <v>446.63</v>
      </c>
      <c r="P573" s="2">
        <v>164.31</v>
      </c>
      <c r="Q573" s="2" t="s">
        <v>22</v>
      </c>
      <c r="R573" s="2">
        <v>1</v>
      </c>
    </row>
    <row r="574" spans="1:18" x14ac:dyDescent="0.3">
      <c r="A574" s="2" t="s">
        <v>625</v>
      </c>
      <c r="B574" s="2" t="s">
        <v>33</v>
      </c>
      <c r="E574" s="2" t="s">
        <v>33</v>
      </c>
      <c r="F574" s="1">
        <v>45911</v>
      </c>
      <c r="G574" s="2" t="s">
        <v>54</v>
      </c>
      <c r="H574" s="2" t="s">
        <v>58</v>
      </c>
      <c r="I574" s="2" t="s">
        <v>34</v>
      </c>
      <c r="J574" s="2" t="s">
        <v>20</v>
      </c>
      <c r="K574" s="2" t="s">
        <v>52</v>
      </c>
      <c r="L574" s="2">
        <v>48</v>
      </c>
      <c r="M574" s="2">
        <v>68</v>
      </c>
      <c r="N574" s="2">
        <v>22119.51</v>
      </c>
      <c r="O574" s="2">
        <v>317.14</v>
      </c>
      <c r="P574" s="2">
        <v>5.71</v>
      </c>
      <c r="Q574" s="2" t="s">
        <v>30</v>
      </c>
      <c r="R574" s="2">
        <v>2</v>
      </c>
    </row>
    <row r="575" spans="1:18" x14ac:dyDescent="0.3">
      <c r="A575" s="2" t="s">
        <v>626</v>
      </c>
      <c r="B575" s="2" t="s">
        <v>25</v>
      </c>
      <c r="E575" s="2" t="s">
        <v>25</v>
      </c>
      <c r="F575" s="1">
        <v>46214</v>
      </c>
      <c r="G575" s="2" t="s">
        <v>43</v>
      </c>
      <c r="H575" s="2" t="s">
        <v>58</v>
      </c>
      <c r="I575" s="2" t="s">
        <v>19</v>
      </c>
      <c r="J575" s="2" t="s">
        <v>28</v>
      </c>
      <c r="K575" s="2" t="s">
        <v>29</v>
      </c>
      <c r="L575" s="2">
        <v>29</v>
      </c>
      <c r="M575" s="2">
        <v>110</v>
      </c>
      <c r="N575" s="2">
        <v>23468.02</v>
      </c>
      <c r="O575" s="2">
        <v>323.54000000000002</v>
      </c>
      <c r="P575" s="2">
        <v>189.26</v>
      </c>
      <c r="Q575" s="2" t="s">
        <v>22</v>
      </c>
      <c r="R575" s="2">
        <v>2</v>
      </c>
    </row>
    <row r="576" spans="1:18" x14ac:dyDescent="0.3">
      <c r="A576" s="2" t="s">
        <v>627</v>
      </c>
      <c r="B576" s="2" t="s">
        <v>78</v>
      </c>
      <c r="E576" s="2" t="s">
        <v>78</v>
      </c>
      <c r="F576" s="1">
        <v>46203</v>
      </c>
      <c r="G576" s="2" t="s">
        <v>16</v>
      </c>
      <c r="H576" s="2" t="s">
        <v>58</v>
      </c>
      <c r="I576" s="2" t="s">
        <v>19</v>
      </c>
      <c r="J576" s="2" t="s">
        <v>28</v>
      </c>
      <c r="K576" s="2" t="s">
        <v>29</v>
      </c>
      <c r="L576" s="2">
        <v>40</v>
      </c>
      <c r="M576" s="2">
        <v>49</v>
      </c>
      <c r="N576" s="2">
        <v>39560.26</v>
      </c>
      <c r="O576" s="2">
        <v>231.51</v>
      </c>
      <c r="P576" s="2">
        <v>104.88</v>
      </c>
      <c r="Q576" s="2" t="s">
        <v>22</v>
      </c>
      <c r="R576" s="2">
        <v>2</v>
      </c>
    </row>
    <row r="577" spans="1:18" x14ac:dyDescent="0.3">
      <c r="A577" s="2" t="s">
        <v>628</v>
      </c>
      <c r="B577" s="2" t="s">
        <v>51</v>
      </c>
      <c r="E577" s="2" t="s">
        <v>51</v>
      </c>
      <c r="F577" s="1">
        <v>46069</v>
      </c>
      <c r="G577" s="2" t="s">
        <v>16</v>
      </c>
      <c r="H577" s="2" t="s">
        <v>38</v>
      </c>
      <c r="I577" s="2" t="s">
        <v>39</v>
      </c>
      <c r="J577" s="2" t="s">
        <v>35</v>
      </c>
      <c r="K577" s="2" t="s">
        <v>56</v>
      </c>
      <c r="L577" s="2">
        <v>39</v>
      </c>
      <c r="M577" s="2">
        <v>52</v>
      </c>
      <c r="N577" s="2">
        <v>30343.200000000001</v>
      </c>
      <c r="O577" s="2">
        <v>354.41</v>
      </c>
      <c r="P577" s="2">
        <v>58.53</v>
      </c>
      <c r="Q577" s="2" t="s">
        <v>22</v>
      </c>
      <c r="R577" s="2">
        <v>5</v>
      </c>
    </row>
    <row r="578" spans="1:18" x14ac:dyDescent="0.3">
      <c r="A578" s="2" t="s">
        <v>629</v>
      </c>
      <c r="B578" s="2" t="s">
        <v>82</v>
      </c>
      <c r="E578" s="2" t="s">
        <v>82</v>
      </c>
      <c r="F578" s="1">
        <v>46022</v>
      </c>
      <c r="G578" s="2" t="s">
        <v>74</v>
      </c>
      <c r="H578" s="2" t="s">
        <v>58</v>
      </c>
      <c r="I578" s="2" t="s">
        <v>34</v>
      </c>
      <c r="J578" s="2" t="s">
        <v>55</v>
      </c>
      <c r="K578" s="2" t="s">
        <v>21</v>
      </c>
      <c r="L578" s="2">
        <v>68</v>
      </c>
      <c r="M578" s="2">
        <v>114</v>
      </c>
      <c r="N578" s="2">
        <v>32883.910000000003</v>
      </c>
      <c r="O578" s="2">
        <v>135.47</v>
      </c>
      <c r="P578" s="2">
        <v>78.52</v>
      </c>
      <c r="Q578" s="2" t="s">
        <v>30</v>
      </c>
      <c r="R578" s="2">
        <v>4</v>
      </c>
    </row>
    <row r="579" spans="1:18" x14ac:dyDescent="0.3">
      <c r="A579" s="2" t="s">
        <v>630</v>
      </c>
      <c r="B579" s="2" t="s">
        <v>51</v>
      </c>
      <c r="E579" s="2" t="s">
        <v>51</v>
      </c>
      <c r="F579" s="1">
        <v>45971</v>
      </c>
      <c r="G579" s="2" t="s">
        <v>41</v>
      </c>
      <c r="H579" s="2" t="s">
        <v>38</v>
      </c>
      <c r="I579" s="2" t="s">
        <v>68</v>
      </c>
      <c r="J579" s="2" t="s">
        <v>20</v>
      </c>
      <c r="K579" s="2" t="s">
        <v>21</v>
      </c>
      <c r="L579" s="2">
        <v>59</v>
      </c>
      <c r="M579" s="2">
        <v>107</v>
      </c>
      <c r="N579" s="2">
        <v>49910.9</v>
      </c>
      <c r="O579" s="2">
        <v>418.44</v>
      </c>
      <c r="P579" s="2">
        <v>68.400000000000006</v>
      </c>
      <c r="Q579" s="2" t="s">
        <v>30</v>
      </c>
      <c r="R579" s="2">
        <v>1</v>
      </c>
    </row>
    <row r="580" spans="1:18" x14ac:dyDescent="0.3">
      <c r="A580" s="2" t="s">
        <v>631</v>
      </c>
      <c r="B580" s="2" t="s">
        <v>51</v>
      </c>
      <c r="E580" s="2" t="s">
        <v>51</v>
      </c>
      <c r="F580" s="1">
        <v>46132</v>
      </c>
      <c r="G580" s="2" t="s">
        <v>90</v>
      </c>
      <c r="H580" s="2" t="s">
        <v>38</v>
      </c>
      <c r="I580" s="2" t="s">
        <v>19</v>
      </c>
      <c r="J580" s="2" t="s">
        <v>35</v>
      </c>
      <c r="K580" s="2" t="s">
        <v>29</v>
      </c>
      <c r="L580" s="2">
        <v>71</v>
      </c>
      <c r="M580" s="2">
        <v>29</v>
      </c>
      <c r="N580" s="2">
        <v>4210.5200000000004</v>
      </c>
      <c r="O580" s="2">
        <v>102.51</v>
      </c>
      <c r="P580" s="2">
        <v>249.68</v>
      </c>
      <c r="Q580" s="2" t="s">
        <v>30</v>
      </c>
      <c r="R580" s="2">
        <v>4</v>
      </c>
    </row>
    <row r="581" spans="1:18" x14ac:dyDescent="0.3">
      <c r="A581" s="2" t="s">
        <v>632</v>
      </c>
      <c r="B581" s="2" t="s">
        <v>47</v>
      </c>
      <c r="E581" s="2" t="s">
        <v>47</v>
      </c>
      <c r="F581" s="1">
        <v>46195</v>
      </c>
      <c r="G581" s="2" t="s">
        <v>54</v>
      </c>
      <c r="H581" s="2" t="s">
        <v>58</v>
      </c>
      <c r="I581" s="2" t="s">
        <v>39</v>
      </c>
      <c r="J581" s="2" t="s">
        <v>28</v>
      </c>
      <c r="K581" s="2" t="s">
        <v>21</v>
      </c>
      <c r="L581" s="2">
        <v>32</v>
      </c>
      <c r="M581" s="2">
        <v>21</v>
      </c>
      <c r="N581" s="2">
        <v>11538.99</v>
      </c>
      <c r="O581" s="2">
        <v>345.2</v>
      </c>
      <c r="P581" s="2">
        <v>54.96</v>
      </c>
      <c r="Q581" s="2" t="s">
        <v>30</v>
      </c>
      <c r="R581" s="2">
        <v>4</v>
      </c>
    </row>
    <row r="582" spans="1:18" x14ac:dyDescent="0.3">
      <c r="A582" s="2" t="s">
        <v>633</v>
      </c>
      <c r="B582" s="2" t="s">
        <v>47</v>
      </c>
      <c r="E582" s="2" t="s">
        <v>47</v>
      </c>
      <c r="F582" s="1">
        <v>45929</v>
      </c>
      <c r="G582" s="2" t="s">
        <v>16</v>
      </c>
      <c r="H582" s="2" t="s">
        <v>18</v>
      </c>
      <c r="I582" s="2" t="s">
        <v>34</v>
      </c>
      <c r="J582" s="2" t="s">
        <v>28</v>
      </c>
      <c r="K582" s="2" t="s">
        <v>56</v>
      </c>
      <c r="L582" s="2">
        <v>35</v>
      </c>
      <c r="M582" s="2">
        <v>90</v>
      </c>
      <c r="N582" s="2">
        <v>20690.849999999999</v>
      </c>
      <c r="O582" s="2">
        <v>203.52</v>
      </c>
      <c r="P582" s="2">
        <v>146.63</v>
      </c>
      <c r="Q582" s="2" t="s">
        <v>30</v>
      </c>
      <c r="R582" s="2">
        <v>2</v>
      </c>
    </row>
    <row r="583" spans="1:18" x14ac:dyDescent="0.3">
      <c r="A583" s="2" t="s">
        <v>634</v>
      </c>
      <c r="B583" s="2" t="s">
        <v>44</v>
      </c>
      <c r="E583" s="2" t="s">
        <v>44</v>
      </c>
      <c r="F583" s="1">
        <v>46107</v>
      </c>
      <c r="G583" s="2" t="s">
        <v>74</v>
      </c>
      <c r="H583" s="2" t="s">
        <v>45</v>
      </c>
      <c r="I583" s="2" t="s">
        <v>34</v>
      </c>
      <c r="J583" s="2" t="s">
        <v>55</v>
      </c>
      <c r="K583" s="2" t="s">
        <v>52</v>
      </c>
      <c r="L583" s="2">
        <v>51</v>
      </c>
      <c r="M583" s="2">
        <v>78</v>
      </c>
      <c r="N583" s="2">
        <v>17715.23</v>
      </c>
      <c r="O583" s="2">
        <v>386.38</v>
      </c>
      <c r="P583" s="2">
        <v>18.809999999999999</v>
      </c>
      <c r="Q583" s="2" t="s">
        <v>22</v>
      </c>
      <c r="R583" s="2">
        <v>4</v>
      </c>
    </row>
    <row r="584" spans="1:18" x14ac:dyDescent="0.3">
      <c r="A584" s="2" t="s">
        <v>635</v>
      </c>
      <c r="B584" s="2" t="s">
        <v>78</v>
      </c>
      <c r="E584" s="2" t="s">
        <v>78</v>
      </c>
      <c r="F584" s="1">
        <v>45943</v>
      </c>
      <c r="G584" s="2" t="s">
        <v>32</v>
      </c>
      <c r="H584" s="2" t="s">
        <v>26</v>
      </c>
      <c r="I584" s="2" t="s">
        <v>34</v>
      </c>
      <c r="J584" s="2" t="s">
        <v>20</v>
      </c>
      <c r="K584" s="2" t="s">
        <v>21</v>
      </c>
      <c r="L584" s="2">
        <v>34</v>
      </c>
      <c r="M584" s="2">
        <v>9</v>
      </c>
      <c r="N584" s="2">
        <v>1571.46</v>
      </c>
      <c r="O584" s="2">
        <v>297.39</v>
      </c>
      <c r="P584" s="2">
        <v>190.28</v>
      </c>
      <c r="Q584" s="2" t="s">
        <v>30</v>
      </c>
      <c r="R584" s="2">
        <v>1</v>
      </c>
    </row>
    <row r="585" spans="1:18" x14ac:dyDescent="0.3">
      <c r="A585" s="2" t="s">
        <v>636</v>
      </c>
      <c r="B585" s="2" t="s">
        <v>44</v>
      </c>
      <c r="E585" s="2" t="s">
        <v>44</v>
      </c>
      <c r="F585" s="1">
        <v>46205</v>
      </c>
      <c r="G585" s="2" t="s">
        <v>74</v>
      </c>
      <c r="H585" s="2" t="s">
        <v>38</v>
      </c>
      <c r="I585" s="2" t="s">
        <v>34</v>
      </c>
      <c r="J585" s="2" t="s">
        <v>20</v>
      </c>
      <c r="K585" s="2" t="s">
        <v>29</v>
      </c>
      <c r="L585" s="2">
        <v>31</v>
      </c>
      <c r="M585" s="2">
        <v>47</v>
      </c>
      <c r="N585" s="2">
        <v>5042.99</v>
      </c>
      <c r="O585" s="2">
        <v>253.56</v>
      </c>
      <c r="P585" s="2">
        <v>186.69</v>
      </c>
      <c r="Q585" s="2" t="s">
        <v>30</v>
      </c>
      <c r="R585" s="2">
        <v>1</v>
      </c>
    </row>
    <row r="586" spans="1:18" x14ac:dyDescent="0.3">
      <c r="A586" s="2" t="s">
        <v>637</v>
      </c>
      <c r="B586" s="2" t="s">
        <v>78</v>
      </c>
      <c r="E586" s="2" t="s">
        <v>78</v>
      </c>
      <c r="F586" s="1">
        <v>46177</v>
      </c>
      <c r="G586" s="2" t="s">
        <v>54</v>
      </c>
      <c r="H586" s="2" t="s">
        <v>45</v>
      </c>
      <c r="I586" s="2" t="s">
        <v>34</v>
      </c>
      <c r="J586" s="2" t="s">
        <v>64</v>
      </c>
      <c r="K586" s="2" t="s">
        <v>52</v>
      </c>
      <c r="L586" s="2">
        <v>46</v>
      </c>
      <c r="M586" s="2">
        <v>76</v>
      </c>
      <c r="N586" s="2">
        <v>34207.19</v>
      </c>
      <c r="O586" s="2">
        <v>126.24</v>
      </c>
      <c r="P586" s="2">
        <v>141.34</v>
      </c>
      <c r="Q586" s="2" t="s">
        <v>30</v>
      </c>
      <c r="R586" s="2">
        <v>3</v>
      </c>
    </row>
    <row r="587" spans="1:18" x14ac:dyDescent="0.3">
      <c r="A587" s="2" t="s">
        <v>638</v>
      </c>
      <c r="B587" s="2" t="s">
        <v>25</v>
      </c>
      <c r="E587" s="2" t="s">
        <v>25</v>
      </c>
      <c r="F587" s="1">
        <v>45998</v>
      </c>
      <c r="G587" s="2" t="s">
        <v>54</v>
      </c>
      <c r="H587" s="2" t="s">
        <v>18</v>
      </c>
      <c r="I587" s="2" t="s">
        <v>19</v>
      </c>
      <c r="J587" s="2" t="s">
        <v>20</v>
      </c>
      <c r="K587" s="2" t="s">
        <v>52</v>
      </c>
      <c r="L587" s="2">
        <v>62</v>
      </c>
      <c r="M587" s="2">
        <v>42</v>
      </c>
      <c r="N587" s="2">
        <v>44026.559999999998</v>
      </c>
      <c r="O587" s="2">
        <v>336.57</v>
      </c>
      <c r="P587" s="2">
        <v>59.61</v>
      </c>
      <c r="Q587" s="2" t="s">
        <v>30</v>
      </c>
      <c r="R587" s="2">
        <v>5</v>
      </c>
    </row>
    <row r="588" spans="1:18" x14ac:dyDescent="0.3">
      <c r="A588" s="2" t="s">
        <v>639</v>
      </c>
      <c r="B588" s="2" t="s">
        <v>76</v>
      </c>
      <c r="E588" s="2" t="s">
        <v>76</v>
      </c>
      <c r="F588" s="1">
        <v>46038</v>
      </c>
      <c r="G588" s="2" t="s">
        <v>74</v>
      </c>
      <c r="H588" s="2" t="s">
        <v>26</v>
      </c>
      <c r="I588" s="2" t="s">
        <v>39</v>
      </c>
      <c r="J588" s="2" t="s">
        <v>55</v>
      </c>
      <c r="K588" s="2" t="s">
        <v>56</v>
      </c>
      <c r="L588" s="2">
        <v>47</v>
      </c>
      <c r="M588" s="2">
        <v>51</v>
      </c>
      <c r="N588" s="2">
        <v>25954.240000000002</v>
      </c>
      <c r="O588" s="2">
        <v>488.65</v>
      </c>
      <c r="P588" s="2">
        <v>82.42</v>
      </c>
      <c r="Q588" s="2" t="s">
        <v>22</v>
      </c>
      <c r="R588" s="2">
        <v>4</v>
      </c>
    </row>
    <row r="589" spans="1:18" x14ac:dyDescent="0.3">
      <c r="A589" s="2" t="s">
        <v>640</v>
      </c>
      <c r="B589" s="2" t="s">
        <v>33</v>
      </c>
      <c r="E589" s="2" t="s">
        <v>33</v>
      </c>
      <c r="F589" s="1">
        <v>46118</v>
      </c>
      <c r="G589" s="2" t="s">
        <v>90</v>
      </c>
      <c r="H589" s="2" t="s">
        <v>26</v>
      </c>
      <c r="I589" s="2" t="s">
        <v>34</v>
      </c>
      <c r="J589" s="2" t="s">
        <v>64</v>
      </c>
      <c r="K589" s="2" t="s">
        <v>29</v>
      </c>
      <c r="L589" s="2">
        <v>31</v>
      </c>
      <c r="M589" s="2">
        <v>56</v>
      </c>
      <c r="N589" s="2">
        <v>27189.96</v>
      </c>
      <c r="O589" s="2">
        <v>421.52</v>
      </c>
      <c r="P589" s="2">
        <v>67.14</v>
      </c>
      <c r="Q589" s="2" t="s">
        <v>30</v>
      </c>
      <c r="R589" s="2">
        <v>5</v>
      </c>
    </row>
    <row r="590" spans="1:18" x14ac:dyDescent="0.3">
      <c r="A590" s="2" t="s">
        <v>641</v>
      </c>
      <c r="B590" s="2" t="s">
        <v>51</v>
      </c>
      <c r="E590" s="2" t="s">
        <v>51</v>
      </c>
      <c r="F590" s="1">
        <v>45874</v>
      </c>
      <c r="G590" s="2" t="s">
        <v>24</v>
      </c>
      <c r="H590" s="2" t="s">
        <v>38</v>
      </c>
      <c r="I590" s="2" t="s">
        <v>27</v>
      </c>
      <c r="J590" s="2" t="s">
        <v>64</v>
      </c>
      <c r="K590" s="2" t="s">
        <v>21</v>
      </c>
      <c r="L590" s="2">
        <v>58</v>
      </c>
      <c r="M590" s="2">
        <v>51</v>
      </c>
      <c r="N590" s="2">
        <v>13127.12</v>
      </c>
      <c r="O590" s="2">
        <v>77</v>
      </c>
      <c r="P590" s="2">
        <v>186.51</v>
      </c>
      <c r="Q590" s="2" t="s">
        <v>30</v>
      </c>
      <c r="R590" s="2">
        <v>5</v>
      </c>
    </row>
    <row r="591" spans="1:18" x14ac:dyDescent="0.3">
      <c r="A591" s="2" t="s">
        <v>642</v>
      </c>
      <c r="B591" s="2" t="s">
        <v>25</v>
      </c>
      <c r="E591" s="2" t="s">
        <v>25</v>
      </c>
      <c r="F591" s="1">
        <v>46096</v>
      </c>
      <c r="G591" s="2" t="s">
        <v>54</v>
      </c>
      <c r="H591" s="2" t="s">
        <v>58</v>
      </c>
      <c r="I591" s="2" t="s">
        <v>27</v>
      </c>
      <c r="J591" s="2" t="s">
        <v>28</v>
      </c>
      <c r="K591" s="2" t="s">
        <v>29</v>
      </c>
      <c r="L591" s="2">
        <v>54</v>
      </c>
      <c r="M591" s="2">
        <v>70</v>
      </c>
      <c r="N591" s="2">
        <v>38509.879999999997</v>
      </c>
      <c r="O591" s="2">
        <v>219.3</v>
      </c>
      <c r="P591" s="2">
        <v>146.43</v>
      </c>
      <c r="Q591" s="2" t="s">
        <v>22</v>
      </c>
      <c r="R591" s="2">
        <v>5</v>
      </c>
    </row>
    <row r="592" spans="1:18" x14ac:dyDescent="0.3">
      <c r="A592" s="2" t="s">
        <v>643</v>
      </c>
      <c r="B592" s="2" t="s">
        <v>76</v>
      </c>
      <c r="E592" s="2" t="s">
        <v>76</v>
      </c>
      <c r="F592" s="1">
        <v>46227</v>
      </c>
      <c r="G592" s="2" t="s">
        <v>74</v>
      </c>
      <c r="H592" s="2" t="s">
        <v>18</v>
      </c>
      <c r="I592" s="2" t="s">
        <v>39</v>
      </c>
      <c r="J592" s="2" t="s">
        <v>28</v>
      </c>
      <c r="K592" s="2" t="s">
        <v>52</v>
      </c>
      <c r="L592" s="2">
        <v>63</v>
      </c>
      <c r="M592" s="2">
        <v>20</v>
      </c>
      <c r="N592" s="2">
        <v>37713.83</v>
      </c>
      <c r="O592" s="2">
        <v>466.51</v>
      </c>
      <c r="P592" s="2">
        <v>126.09</v>
      </c>
      <c r="Q592" s="2" t="s">
        <v>30</v>
      </c>
      <c r="R592" s="2">
        <v>5</v>
      </c>
    </row>
    <row r="593" spans="1:18" x14ac:dyDescent="0.3">
      <c r="A593" s="2" t="s">
        <v>644</v>
      </c>
      <c r="B593" s="2" t="s">
        <v>37</v>
      </c>
      <c r="E593" s="2" t="s">
        <v>37</v>
      </c>
      <c r="F593" s="1">
        <v>46164</v>
      </c>
      <c r="G593" s="2" t="s">
        <v>16</v>
      </c>
      <c r="H593" s="2" t="s">
        <v>38</v>
      </c>
      <c r="I593" s="2" t="s">
        <v>68</v>
      </c>
      <c r="J593" s="2" t="s">
        <v>20</v>
      </c>
      <c r="K593" s="2" t="s">
        <v>29</v>
      </c>
      <c r="L593" s="2">
        <v>39</v>
      </c>
      <c r="M593" s="2">
        <v>88</v>
      </c>
      <c r="N593" s="2">
        <v>29624.1</v>
      </c>
      <c r="O593" s="2">
        <v>276.37</v>
      </c>
      <c r="P593" s="2">
        <v>220.27</v>
      </c>
      <c r="Q593" s="2" t="s">
        <v>30</v>
      </c>
      <c r="R593" s="2">
        <v>1</v>
      </c>
    </row>
    <row r="594" spans="1:18" x14ac:dyDescent="0.3">
      <c r="A594" s="2" t="s">
        <v>645</v>
      </c>
      <c r="B594" s="2" t="s">
        <v>17</v>
      </c>
      <c r="E594" s="2" t="s">
        <v>17</v>
      </c>
      <c r="F594" s="1">
        <v>46121</v>
      </c>
      <c r="G594" s="2" t="s">
        <v>74</v>
      </c>
      <c r="H594" s="2" t="s">
        <v>18</v>
      </c>
      <c r="I594" s="2" t="s">
        <v>68</v>
      </c>
      <c r="J594" s="2" t="s">
        <v>64</v>
      </c>
      <c r="K594" s="2" t="s">
        <v>21</v>
      </c>
      <c r="L594" s="2">
        <v>26</v>
      </c>
      <c r="M594" s="2">
        <v>27</v>
      </c>
      <c r="N594" s="2">
        <v>11026.88</v>
      </c>
      <c r="O594" s="2">
        <v>347.95</v>
      </c>
      <c r="P594" s="2">
        <v>74.22</v>
      </c>
      <c r="Q594" s="2" t="s">
        <v>30</v>
      </c>
      <c r="R594" s="2">
        <v>4</v>
      </c>
    </row>
    <row r="595" spans="1:18" x14ac:dyDescent="0.3">
      <c r="A595" s="2" t="s">
        <v>646</v>
      </c>
      <c r="B595" s="2" t="s">
        <v>62</v>
      </c>
      <c r="E595" s="2" t="s">
        <v>62</v>
      </c>
      <c r="F595" s="1">
        <v>46120</v>
      </c>
      <c r="G595" s="2" t="s">
        <v>41</v>
      </c>
      <c r="H595" s="2" t="s">
        <v>58</v>
      </c>
      <c r="I595" s="2" t="s">
        <v>68</v>
      </c>
      <c r="J595" s="2" t="s">
        <v>28</v>
      </c>
      <c r="K595" s="2" t="s">
        <v>21</v>
      </c>
      <c r="L595" s="2">
        <v>66</v>
      </c>
      <c r="M595" s="2">
        <v>38</v>
      </c>
      <c r="N595" s="2">
        <v>5302.4</v>
      </c>
      <c r="O595" s="2">
        <v>460.67</v>
      </c>
      <c r="P595" s="2">
        <v>144.02000000000001</v>
      </c>
      <c r="Q595" s="2" t="s">
        <v>30</v>
      </c>
      <c r="R595" s="2">
        <v>3</v>
      </c>
    </row>
    <row r="596" spans="1:18" x14ac:dyDescent="0.3">
      <c r="A596" s="2" t="s">
        <v>647</v>
      </c>
      <c r="B596" s="2" t="s">
        <v>49</v>
      </c>
      <c r="E596" s="2" t="s">
        <v>49</v>
      </c>
      <c r="F596" s="1">
        <v>45871</v>
      </c>
      <c r="G596" s="2" t="s">
        <v>24</v>
      </c>
      <c r="H596" s="2" t="s">
        <v>58</v>
      </c>
      <c r="I596" s="2" t="s">
        <v>27</v>
      </c>
      <c r="J596" s="2" t="s">
        <v>55</v>
      </c>
      <c r="K596" s="2" t="s">
        <v>56</v>
      </c>
      <c r="L596" s="2">
        <v>72</v>
      </c>
      <c r="M596" s="2">
        <v>72</v>
      </c>
      <c r="N596" s="2">
        <v>3679.81</v>
      </c>
      <c r="O596" s="2">
        <v>443.21</v>
      </c>
      <c r="P596" s="2">
        <v>135.19999999999999</v>
      </c>
      <c r="Q596" s="2" t="s">
        <v>30</v>
      </c>
      <c r="R596" s="2">
        <v>5</v>
      </c>
    </row>
    <row r="597" spans="1:18" x14ac:dyDescent="0.3">
      <c r="A597" s="2" t="s">
        <v>648</v>
      </c>
      <c r="B597" s="2" t="s">
        <v>60</v>
      </c>
      <c r="E597" s="2" t="s">
        <v>60</v>
      </c>
      <c r="F597" s="1">
        <v>45932</v>
      </c>
      <c r="G597" s="2" t="s">
        <v>32</v>
      </c>
      <c r="H597" s="2" t="s">
        <v>38</v>
      </c>
      <c r="I597" s="2" t="s">
        <v>68</v>
      </c>
      <c r="J597" s="2" t="s">
        <v>28</v>
      </c>
      <c r="K597" s="2" t="s">
        <v>21</v>
      </c>
      <c r="L597" s="2">
        <v>58</v>
      </c>
      <c r="M597" s="2">
        <v>65</v>
      </c>
      <c r="N597" s="2">
        <v>29838.46</v>
      </c>
      <c r="O597" s="2">
        <v>275.82</v>
      </c>
      <c r="P597" s="2">
        <v>141.13</v>
      </c>
      <c r="Q597" s="2" t="s">
        <v>30</v>
      </c>
      <c r="R597" s="2">
        <v>3</v>
      </c>
    </row>
    <row r="598" spans="1:18" x14ac:dyDescent="0.3">
      <c r="A598" s="2" t="s">
        <v>649</v>
      </c>
      <c r="B598" s="2" t="s">
        <v>78</v>
      </c>
      <c r="E598" s="2" t="s">
        <v>78</v>
      </c>
      <c r="F598" s="1">
        <v>46105</v>
      </c>
      <c r="G598" s="2" t="s">
        <v>90</v>
      </c>
      <c r="H598" s="2" t="s">
        <v>58</v>
      </c>
      <c r="I598" s="2" t="s">
        <v>19</v>
      </c>
      <c r="J598" s="2" t="s">
        <v>28</v>
      </c>
      <c r="K598" s="2" t="s">
        <v>21</v>
      </c>
      <c r="L598" s="2">
        <v>69</v>
      </c>
      <c r="M598" s="2">
        <v>54</v>
      </c>
      <c r="N598" s="2">
        <v>41339.25</v>
      </c>
      <c r="O598" s="2">
        <v>246.94</v>
      </c>
      <c r="P598" s="2">
        <v>97.85</v>
      </c>
      <c r="Q598" s="2" t="s">
        <v>22</v>
      </c>
      <c r="R598" s="2">
        <v>1</v>
      </c>
    </row>
    <row r="599" spans="1:18" x14ac:dyDescent="0.3">
      <c r="A599" s="2" t="s">
        <v>650</v>
      </c>
      <c r="B599" s="2" t="s">
        <v>37</v>
      </c>
      <c r="E599" s="2" t="s">
        <v>37</v>
      </c>
      <c r="F599" s="1">
        <v>46120</v>
      </c>
      <c r="G599" s="2" t="s">
        <v>43</v>
      </c>
      <c r="H599" s="2" t="s">
        <v>45</v>
      </c>
      <c r="I599" s="2" t="s">
        <v>34</v>
      </c>
      <c r="J599" s="2" t="s">
        <v>64</v>
      </c>
      <c r="K599" s="2" t="s">
        <v>29</v>
      </c>
      <c r="L599" s="2">
        <v>62</v>
      </c>
      <c r="M599" s="2">
        <v>113</v>
      </c>
      <c r="N599" s="2">
        <v>42987.360000000001</v>
      </c>
      <c r="O599" s="2">
        <v>202.86</v>
      </c>
      <c r="P599" s="2">
        <v>114.88</v>
      </c>
      <c r="Q599" s="2" t="s">
        <v>30</v>
      </c>
      <c r="R599" s="2">
        <v>1</v>
      </c>
    </row>
    <row r="600" spans="1:18" x14ac:dyDescent="0.3">
      <c r="A600" s="2" t="s">
        <v>651</v>
      </c>
      <c r="B600" s="2" t="s">
        <v>17</v>
      </c>
      <c r="E600" s="2" t="s">
        <v>17</v>
      </c>
      <c r="F600" s="1">
        <v>45876</v>
      </c>
      <c r="G600" s="2" t="s">
        <v>32</v>
      </c>
      <c r="H600" s="2" t="s">
        <v>26</v>
      </c>
      <c r="I600" s="2" t="s">
        <v>27</v>
      </c>
      <c r="J600" s="2" t="s">
        <v>64</v>
      </c>
      <c r="K600" s="2" t="s">
        <v>29</v>
      </c>
      <c r="L600" s="2">
        <v>48</v>
      </c>
      <c r="M600" s="2">
        <v>113</v>
      </c>
      <c r="N600" s="2">
        <v>23449.29</v>
      </c>
      <c r="O600" s="2">
        <v>373.56</v>
      </c>
      <c r="P600" s="2">
        <v>66.63</v>
      </c>
      <c r="Q600" s="2" t="s">
        <v>22</v>
      </c>
      <c r="R600" s="2">
        <v>2</v>
      </c>
    </row>
    <row r="601" spans="1:18" x14ac:dyDescent="0.3">
      <c r="A601" s="2" t="s">
        <v>652</v>
      </c>
      <c r="B601" s="2" t="s">
        <v>82</v>
      </c>
      <c r="E601" s="2" t="s">
        <v>82</v>
      </c>
      <c r="F601" s="1">
        <v>46058</v>
      </c>
      <c r="G601" s="2" t="s">
        <v>24</v>
      </c>
      <c r="H601" s="2" t="s">
        <v>38</v>
      </c>
      <c r="I601" s="2" t="s">
        <v>39</v>
      </c>
      <c r="J601" s="2" t="s">
        <v>35</v>
      </c>
      <c r="K601" s="2" t="s">
        <v>52</v>
      </c>
      <c r="L601" s="2">
        <v>21</v>
      </c>
      <c r="M601" s="2">
        <v>24</v>
      </c>
      <c r="N601" s="2">
        <v>39321.43</v>
      </c>
      <c r="O601" s="2">
        <v>179.14</v>
      </c>
      <c r="P601" s="2">
        <v>164.93</v>
      </c>
      <c r="Q601" s="2" t="s">
        <v>22</v>
      </c>
      <c r="R601" s="2">
        <v>5</v>
      </c>
    </row>
    <row r="602" spans="1:18" x14ac:dyDescent="0.3">
      <c r="A602" s="2" t="s">
        <v>653</v>
      </c>
      <c r="B602" s="2" t="s">
        <v>86</v>
      </c>
      <c r="E602" s="2" t="s">
        <v>86</v>
      </c>
      <c r="F602" s="1">
        <v>46022</v>
      </c>
      <c r="G602" s="2" t="s">
        <v>24</v>
      </c>
      <c r="H602" s="2" t="s">
        <v>18</v>
      </c>
      <c r="I602" s="2" t="s">
        <v>39</v>
      </c>
      <c r="J602" s="2" t="s">
        <v>55</v>
      </c>
      <c r="K602" s="2" t="s">
        <v>56</v>
      </c>
      <c r="L602" s="2">
        <v>55</v>
      </c>
      <c r="M602" s="2">
        <v>47</v>
      </c>
      <c r="N602" s="2">
        <v>47370.57</v>
      </c>
      <c r="O602" s="2">
        <v>162.44999999999999</v>
      </c>
      <c r="P602" s="2">
        <v>121.67</v>
      </c>
      <c r="Q602" s="2" t="s">
        <v>30</v>
      </c>
      <c r="R602" s="2">
        <v>2</v>
      </c>
    </row>
    <row r="603" spans="1:18" x14ac:dyDescent="0.3">
      <c r="A603" s="2" t="s">
        <v>654</v>
      </c>
      <c r="B603" s="2" t="s">
        <v>33</v>
      </c>
      <c r="E603" s="2" t="s">
        <v>33</v>
      </c>
      <c r="F603" s="1">
        <v>46196</v>
      </c>
      <c r="G603" s="2" t="s">
        <v>24</v>
      </c>
      <c r="H603" s="2" t="s">
        <v>45</v>
      </c>
      <c r="I603" s="2" t="s">
        <v>34</v>
      </c>
      <c r="J603" s="2" t="s">
        <v>64</v>
      </c>
      <c r="K603" s="2" t="s">
        <v>29</v>
      </c>
      <c r="L603" s="2">
        <v>60</v>
      </c>
      <c r="M603" s="2">
        <v>71</v>
      </c>
      <c r="N603" s="2">
        <v>14120.92</v>
      </c>
      <c r="O603" s="2">
        <v>210.31</v>
      </c>
      <c r="P603" s="2">
        <v>133.30000000000001</v>
      </c>
      <c r="Q603" s="2" t="s">
        <v>30</v>
      </c>
      <c r="R603" s="2">
        <v>3</v>
      </c>
    </row>
    <row r="604" spans="1:18" x14ac:dyDescent="0.3">
      <c r="A604" s="2" t="s">
        <v>655</v>
      </c>
      <c r="B604" s="2" t="s">
        <v>60</v>
      </c>
      <c r="E604" s="2" t="s">
        <v>60</v>
      </c>
      <c r="F604" s="1">
        <v>45924</v>
      </c>
      <c r="G604" s="2" t="s">
        <v>32</v>
      </c>
      <c r="H604" s="2" t="s">
        <v>38</v>
      </c>
      <c r="I604" s="2" t="s">
        <v>27</v>
      </c>
      <c r="J604" s="2" t="s">
        <v>20</v>
      </c>
      <c r="K604" s="2" t="s">
        <v>21</v>
      </c>
      <c r="L604" s="2">
        <v>28</v>
      </c>
      <c r="M604" s="2">
        <v>83</v>
      </c>
      <c r="N604" s="2">
        <v>20199.04</v>
      </c>
      <c r="O604" s="2">
        <v>129.75</v>
      </c>
      <c r="P604" s="2">
        <v>188.8</v>
      </c>
      <c r="Q604" s="2" t="s">
        <v>30</v>
      </c>
      <c r="R604" s="2">
        <v>4</v>
      </c>
    </row>
    <row r="605" spans="1:18" x14ac:dyDescent="0.3">
      <c r="A605" s="2" t="s">
        <v>656</v>
      </c>
      <c r="B605" s="2" t="s">
        <v>44</v>
      </c>
      <c r="E605" s="2" t="s">
        <v>44</v>
      </c>
      <c r="F605" s="1">
        <v>45871</v>
      </c>
      <c r="G605" s="2" t="s">
        <v>16</v>
      </c>
      <c r="H605" s="2" t="s">
        <v>58</v>
      </c>
      <c r="I605" s="2" t="s">
        <v>68</v>
      </c>
      <c r="J605" s="2" t="s">
        <v>55</v>
      </c>
      <c r="K605" s="2" t="s">
        <v>52</v>
      </c>
      <c r="L605" s="2">
        <v>72</v>
      </c>
      <c r="M605" s="2">
        <v>86</v>
      </c>
      <c r="N605" s="2">
        <v>46608.21</v>
      </c>
      <c r="O605" s="2">
        <v>362.8</v>
      </c>
      <c r="P605" s="2">
        <v>9.57</v>
      </c>
      <c r="Q605" s="2" t="s">
        <v>22</v>
      </c>
      <c r="R605" s="2">
        <v>2</v>
      </c>
    </row>
    <row r="606" spans="1:18" x14ac:dyDescent="0.3">
      <c r="A606" s="2" t="s">
        <v>657</v>
      </c>
      <c r="B606" s="2" t="s">
        <v>44</v>
      </c>
      <c r="E606" s="2" t="s">
        <v>44</v>
      </c>
      <c r="F606" s="1">
        <v>46041</v>
      </c>
      <c r="G606" s="2" t="s">
        <v>24</v>
      </c>
      <c r="H606" s="2" t="s">
        <v>58</v>
      </c>
      <c r="I606" s="2" t="s">
        <v>68</v>
      </c>
      <c r="J606" s="2" t="s">
        <v>55</v>
      </c>
      <c r="K606" s="2" t="s">
        <v>29</v>
      </c>
      <c r="L606" s="2">
        <v>74</v>
      </c>
      <c r="M606" s="2">
        <v>63</v>
      </c>
      <c r="N606" s="2">
        <v>17242.43</v>
      </c>
      <c r="O606" s="2">
        <v>327.31</v>
      </c>
      <c r="P606" s="2">
        <v>255.04</v>
      </c>
      <c r="Q606" s="2" t="s">
        <v>30</v>
      </c>
      <c r="R606" s="2">
        <v>1</v>
      </c>
    </row>
    <row r="607" spans="1:18" x14ac:dyDescent="0.3">
      <c r="A607" s="2" t="s">
        <v>658</v>
      </c>
      <c r="B607" s="2" t="s">
        <v>76</v>
      </c>
      <c r="E607" s="2" t="s">
        <v>76</v>
      </c>
      <c r="F607" s="1">
        <v>45912</v>
      </c>
      <c r="G607" s="2" t="s">
        <v>74</v>
      </c>
      <c r="H607" s="2" t="s">
        <v>58</v>
      </c>
      <c r="I607" s="2" t="s">
        <v>19</v>
      </c>
      <c r="J607" s="2" t="s">
        <v>64</v>
      </c>
      <c r="K607" s="2" t="s">
        <v>56</v>
      </c>
      <c r="L607" s="2">
        <v>67</v>
      </c>
      <c r="M607" s="2">
        <v>57</v>
      </c>
      <c r="N607" s="2">
        <v>45736.88</v>
      </c>
      <c r="O607" s="2">
        <v>267.3</v>
      </c>
      <c r="P607" s="2">
        <v>199.52</v>
      </c>
      <c r="Q607" s="2" t="s">
        <v>22</v>
      </c>
      <c r="R607" s="2">
        <v>5</v>
      </c>
    </row>
    <row r="608" spans="1:18" x14ac:dyDescent="0.3">
      <c r="A608" s="2" t="s">
        <v>659</v>
      </c>
      <c r="B608" s="2" t="s">
        <v>60</v>
      </c>
      <c r="E608" s="2" t="s">
        <v>60</v>
      </c>
      <c r="F608" s="1">
        <v>45896</v>
      </c>
      <c r="G608" s="2" t="s">
        <v>32</v>
      </c>
      <c r="H608" s="2" t="s">
        <v>58</v>
      </c>
      <c r="I608" s="2" t="s">
        <v>19</v>
      </c>
      <c r="J608" s="2" t="s">
        <v>55</v>
      </c>
      <c r="K608" s="2" t="s">
        <v>56</v>
      </c>
      <c r="L608" s="2">
        <v>27</v>
      </c>
      <c r="M608" s="2">
        <v>55</v>
      </c>
      <c r="N608" s="2">
        <v>49061.72</v>
      </c>
      <c r="O608" s="2">
        <v>225.65</v>
      </c>
      <c r="P608" s="2">
        <v>177.39</v>
      </c>
      <c r="Q608" s="2" t="s">
        <v>30</v>
      </c>
      <c r="R608" s="2">
        <v>3</v>
      </c>
    </row>
    <row r="609" spans="1:18" x14ac:dyDescent="0.3">
      <c r="A609" s="2" t="s">
        <v>660</v>
      </c>
      <c r="B609" s="2" t="s">
        <v>47</v>
      </c>
      <c r="E609" s="2" t="s">
        <v>47</v>
      </c>
      <c r="F609" s="1">
        <v>46187</v>
      </c>
      <c r="G609" s="2" t="s">
        <v>43</v>
      </c>
      <c r="H609" s="2" t="s">
        <v>18</v>
      </c>
      <c r="I609" s="2" t="s">
        <v>68</v>
      </c>
      <c r="J609" s="2" t="s">
        <v>64</v>
      </c>
      <c r="K609" s="2" t="s">
        <v>52</v>
      </c>
      <c r="L609" s="2">
        <v>31</v>
      </c>
      <c r="M609" s="2">
        <v>60</v>
      </c>
      <c r="N609" s="2">
        <v>33259.629999999997</v>
      </c>
      <c r="O609" s="2">
        <v>459.08</v>
      </c>
      <c r="P609" s="2">
        <v>162.09</v>
      </c>
      <c r="Q609" s="2" t="s">
        <v>22</v>
      </c>
      <c r="R609" s="2">
        <v>1</v>
      </c>
    </row>
    <row r="610" spans="1:18" x14ac:dyDescent="0.3">
      <c r="A610" s="2" t="s">
        <v>661</v>
      </c>
      <c r="B610" s="2" t="s">
        <v>17</v>
      </c>
      <c r="E610" s="2" t="s">
        <v>17</v>
      </c>
      <c r="F610" s="1">
        <v>46098</v>
      </c>
      <c r="G610" s="2" t="s">
        <v>24</v>
      </c>
      <c r="H610" s="2" t="s">
        <v>45</v>
      </c>
      <c r="I610" s="2" t="s">
        <v>39</v>
      </c>
      <c r="J610" s="2" t="s">
        <v>28</v>
      </c>
      <c r="K610" s="2" t="s">
        <v>52</v>
      </c>
      <c r="L610" s="2">
        <v>59</v>
      </c>
      <c r="M610" s="2">
        <v>99</v>
      </c>
      <c r="N610" s="2">
        <v>40936.07</v>
      </c>
      <c r="O610" s="2">
        <v>63.11</v>
      </c>
      <c r="P610" s="2">
        <v>74.86</v>
      </c>
      <c r="Q610" s="2" t="s">
        <v>30</v>
      </c>
      <c r="R610" s="2">
        <v>4</v>
      </c>
    </row>
    <row r="611" spans="1:18" x14ac:dyDescent="0.3">
      <c r="A611" s="2" t="s">
        <v>662</v>
      </c>
      <c r="B611" s="2" t="s">
        <v>86</v>
      </c>
      <c r="E611" s="2" t="s">
        <v>86</v>
      </c>
      <c r="F611" s="1">
        <v>45879</v>
      </c>
      <c r="G611" s="2" t="s">
        <v>74</v>
      </c>
      <c r="H611" s="2" t="s">
        <v>26</v>
      </c>
      <c r="I611" s="2" t="s">
        <v>39</v>
      </c>
      <c r="J611" s="2" t="s">
        <v>35</v>
      </c>
      <c r="K611" s="2" t="s">
        <v>52</v>
      </c>
      <c r="L611" s="2">
        <v>24</v>
      </c>
      <c r="M611" s="2">
        <v>62</v>
      </c>
      <c r="N611" s="2">
        <v>37602.51</v>
      </c>
      <c r="O611" s="2">
        <v>396.1</v>
      </c>
      <c r="P611" s="2">
        <v>46.26</v>
      </c>
      <c r="Q611" s="2" t="s">
        <v>30</v>
      </c>
      <c r="R611" s="2">
        <v>5</v>
      </c>
    </row>
    <row r="612" spans="1:18" x14ac:dyDescent="0.3">
      <c r="A612" s="2" t="s">
        <v>663</v>
      </c>
      <c r="B612" s="2" t="s">
        <v>37</v>
      </c>
      <c r="E612" s="2" t="s">
        <v>37</v>
      </c>
      <c r="F612" s="1">
        <v>46060</v>
      </c>
      <c r="G612" s="2" t="s">
        <v>16</v>
      </c>
      <c r="H612" s="2" t="s">
        <v>18</v>
      </c>
      <c r="I612" s="2" t="s">
        <v>19</v>
      </c>
      <c r="J612" s="2" t="s">
        <v>28</v>
      </c>
      <c r="K612" s="2" t="s">
        <v>52</v>
      </c>
      <c r="L612" s="2">
        <v>45</v>
      </c>
      <c r="M612" s="2">
        <v>30</v>
      </c>
      <c r="N612" s="2">
        <v>35126.949999999997</v>
      </c>
      <c r="O612" s="2">
        <v>455.86</v>
      </c>
      <c r="P612" s="2">
        <v>146.97</v>
      </c>
      <c r="Q612" s="2" t="s">
        <v>30</v>
      </c>
      <c r="R612" s="2">
        <v>4</v>
      </c>
    </row>
    <row r="613" spans="1:18" x14ac:dyDescent="0.3">
      <c r="A613" s="2" t="s">
        <v>664</v>
      </c>
      <c r="B613" s="2" t="s">
        <v>33</v>
      </c>
      <c r="E613" s="2" t="s">
        <v>33</v>
      </c>
      <c r="F613" s="1">
        <v>46206</v>
      </c>
      <c r="G613" s="2" t="s">
        <v>41</v>
      </c>
      <c r="H613" s="2" t="s">
        <v>18</v>
      </c>
      <c r="I613" s="2" t="s">
        <v>34</v>
      </c>
      <c r="J613" s="2" t="s">
        <v>64</v>
      </c>
      <c r="K613" s="2" t="s">
        <v>52</v>
      </c>
      <c r="L613" s="2">
        <v>32</v>
      </c>
      <c r="M613" s="2">
        <v>93</v>
      </c>
      <c r="N613" s="2">
        <v>15693.09</v>
      </c>
      <c r="O613" s="2">
        <v>250.86</v>
      </c>
      <c r="P613" s="2">
        <v>60.92</v>
      </c>
      <c r="Q613" s="2" t="s">
        <v>30</v>
      </c>
      <c r="R613" s="2">
        <v>4</v>
      </c>
    </row>
    <row r="614" spans="1:18" x14ac:dyDescent="0.3">
      <c r="A614" s="2" t="s">
        <v>665</v>
      </c>
      <c r="B614" s="2" t="s">
        <v>25</v>
      </c>
      <c r="E614" s="2" t="s">
        <v>25</v>
      </c>
      <c r="F614" s="1">
        <v>46113</v>
      </c>
      <c r="G614" s="2" t="s">
        <v>16</v>
      </c>
      <c r="H614" s="2" t="s">
        <v>26</v>
      </c>
      <c r="I614" s="2" t="s">
        <v>68</v>
      </c>
      <c r="J614" s="2" t="s">
        <v>64</v>
      </c>
      <c r="K614" s="2" t="s">
        <v>21</v>
      </c>
      <c r="L614" s="2">
        <v>46</v>
      </c>
      <c r="M614" s="2">
        <v>22</v>
      </c>
      <c r="N614" s="2">
        <v>3326.17</v>
      </c>
      <c r="O614" s="2">
        <v>297.81</v>
      </c>
      <c r="P614" s="2">
        <v>35.21</v>
      </c>
      <c r="Q614" s="2" t="s">
        <v>30</v>
      </c>
      <c r="R614" s="2">
        <v>5</v>
      </c>
    </row>
    <row r="615" spans="1:18" x14ac:dyDescent="0.3">
      <c r="A615" s="2" t="s">
        <v>666</v>
      </c>
      <c r="B615" s="2" t="s">
        <v>17</v>
      </c>
      <c r="E615" s="2" t="s">
        <v>17</v>
      </c>
      <c r="F615" s="1">
        <v>45870</v>
      </c>
      <c r="G615" s="2" t="s">
        <v>43</v>
      </c>
      <c r="H615" s="2" t="s">
        <v>26</v>
      </c>
      <c r="I615" s="2" t="s">
        <v>19</v>
      </c>
      <c r="J615" s="2" t="s">
        <v>28</v>
      </c>
      <c r="K615" s="2" t="s">
        <v>21</v>
      </c>
      <c r="L615" s="2">
        <v>58</v>
      </c>
      <c r="M615" s="2">
        <v>75</v>
      </c>
      <c r="N615" s="2">
        <v>17481.060000000001</v>
      </c>
      <c r="O615" s="2">
        <v>475.01</v>
      </c>
      <c r="P615" s="2">
        <v>157.31</v>
      </c>
      <c r="Q615" s="2" t="s">
        <v>22</v>
      </c>
      <c r="R615" s="2">
        <v>5</v>
      </c>
    </row>
    <row r="616" spans="1:18" x14ac:dyDescent="0.3">
      <c r="A616" s="2" t="s">
        <v>667</v>
      </c>
      <c r="B616" s="2" t="s">
        <v>86</v>
      </c>
      <c r="E616" s="2" t="s">
        <v>86</v>
      </c>
      <c r="F616" s="1">
        <v>46099</v>
      </c>
      <c r="G616" s="2" t="s">
        <v>24</v>
      </c>
      <c r="H616" s="2" t="s">
        <v>58</v>
      </c>
      <c r="I616" s="2" t="s">
        <v>19</v>
      </c>
      <c r="J616" s="2" t="s">
        <v>20</v>
      </c>
      <c r="K616" s="2" t="s">
        <v>29</v>
      </c>
      <c r="L616" s="2">
        <v>66</v>
      </c>
      <c r="M616" s="2">
        <v>84</v>
      </c>
      <c r="N616" s="2">
        <v>33513.33</v>
      </c>
      <c r="O616" s="2">
        <v>145.52000000000001</v>
      </c>
      <c r="P616" s="2">
        <v>93.76</v>
      </c>
      <c r="Q616" s="2" t="s">
        <v>22</v>
      </c>
      <c r="R616" s="2">
        <v>4</v>
      </c>
    </row>
    <row r="617" spans="1:18" x14ac:dyDescent="0.3">
      <c r="A617" s="2" t="s">
        <v>668</v>
      </c>
      <c r="B617" s="2" t="s">
        <v>62</v>
      </c>
      <c r="E617" s="2" t="s">
        <v>62</v>
      </c>
      <c r="F617" s="1">
        <v>46013</v>
      </c>
      <c r="G617" s="2" t="s">
        <v>43</v>
      </c>
      <c r="H617" s="2" t="s">
        <v>18</v>
      </c>
      <c r="I617" s="2" t="s">
        <v>68</v>
      </c>
      <c r="J617" s="2" t="s">
        <v>20</v>
      </c>
      <c r="K617" s="2" t="s">
        <v>56</v>
      </c>
      <c r="L617" s="2">
        <v>32</v>
      </c>
      <c r="M617" s="2">
        <v>29</v>
      </c>
      <c r="N617" s="2">
        <v>5575.2</v>
      </c>
      <c r="O617" s="2">
        <v>284.06</v>
      </c>
      <c r="P617" s="2">
        <v>182.89</v>
      </c>
      <c r="Q617" s="2" t="s">
        <v>22</v>
      </c>
      <c r="R617" s="2">
        <v>3</v>
      </c>
    </row>
    <row r="618" spans="1:18" x14ac:dyDescent="0.3">
      <c r="A618" s="2" t="s">
        <v>669</v>
      </c>
      <c r="B618" s="2" t="s">
        <v>78</v>
      </c>
      <c r="E618" s="2" t="s">
        <v>78</v>
      </c>
      <c r="F618" s="1">
        <v>46197</v>
      </c>
      <c r="G618" s="2" t="s">
        <v>32</v>
      </c>
      <c r="H618" s="2" t="s">
        <v>38</v>
      </c>
      <c r="I618" s="2" t="s">
        <v>68</v>
      </c>
      <c r="J618" s="2" t="s">
        <v>20</v>
      </c>
      <c r="K618" s="2" t="s">
        <v>21</v>
      </c>
      <c r="L618" s="2">
        <v>63</v>
      </c>
      <c r="M618" s="2">
        <v>115</v>
      </c>
      <c r="N618" s="2">
        <v>1089.94</v>
      </c>
      <c r="O618" s="2">
        <v>263.62</v>
      </c>
      <c r="P618" s="2">
        <v>168.13</v>
      </c>
      <c r="Q618" s="2" t="s">
        <v>30</v>
      </c>
      <c r="R618" s="2">
        <v>5</v>
      </c>
    </row>
    <row r="619" spans="1:18" x14ac:dyDescent="0.3">
      <c r="A619" s="2" t="s">
        <v>670</v>
      </c>
      <c r="B619" s="2" t="s">
        <v>25</v>
      </c>
      <c r="E619" s="2" t="s">
        <v>25</v>
      </c>
      <c r="F619" s="1">
        <v>46196</v>
      </c>
      <c r="G619" s="2" t="s">
        <v>54</v>
      </c>
      <c r="H619" s="2" t="s">
        <v>26</v>
      </c>
      <c r="I619" s="2" t="s">
        <v>39</v>
      </c>
      <c r="J619" s="2" t="s">
        <v>64</v>
      </c>
      <c r="K619" s="2" t="s">
        <v>21</v>
      </c>
      <c r="L619" s="2">
        <v>71</v>
      </c>
      <c r="M619" s="2">
        <v>41</v>
      </c>
      <c r="N619" s="2">
        <v>7414.77</v>
      </c>
      <c r="O619" s="2">
        <v>166.28</v>
      </c>
      <c r="P619" s="2">
        <v>169.53</v>
      </c>
      <c r="Q619" s="2" t="s">
        <v>30</v>
      </c>
      <c r="R619" s="2">
        <v>1</v>
      </c>
    </row>
    <row r="620" spans="1:18" x14ac:dyDescent="0.3">
      <c r="A620" s="2" t="s">
        <v>671</v>
      </c>
      <c r="B620" s="2" t="s">
        <v>44</v>
      </c>
      <c r="E620" s="2" t="s">
        <v>44</v>
      </c>
      <c r="F620" s="1">
        <v>46103</v>
      </c>
      <c r="G620" s="2" t="s">
        <v>24</v>
      </c>
      <c r="H620" s="2" t="s">
        <v>26</v>
      </c>
      <c r="I620" s="2" t="s">
        <v>34</v>
      </c>
      <c r="J620" s="2" t="s">
        <v>55</v>
      </c>
      <c r="K620" s="2" t="s">
        <v>21</v>
      </c>
      <c r="L620" s="2">
        <v>73</v>
      </c>
      <c r="M620" s="2">
        <v>42</v>
      </c>
      <c r="N620" s="2">
        <v>35928.93</v>
      </c>
      <c r="O620" s="2">
        <v>418.37</v>
      </c>
      <c r="P620" s="2">
        <v>154.31</v>
      </c>
      <c r="Q620" s="2" t="s">
        <v>30</v>
      </c>
      <c r="R620" s="2">
        <v>2</v>
      </c>
    </row>
    <row r="621" spans="1:18" x14ac:dyDescent="0.3">
      <c r="A621" s="2" t="s">
        <v>672</v>
      </c>
      <c r="B621" s="2" t="s">
        <v>25</v>
      </c>
      <c r="E621" s="2" t="s">
        <v>25</v>
      </c>
      <c r="F621" s="1">
        <v>46221</v>
      </c>
      <c r="G621" s="2" t="s">
        <v>54</v>
      </c>
      <c r="H621" s="2" t="s">
        <v>45</v>
      </c>
      <c r="I621" s="2" t="s">
        <v>34</v>
      </c>
      <c r="J621" s="2" t="s">
        <v>64</v>
      </c>
      <c r="K621" s="2" t="s">
        <v>29</v>
      </c>
      <c r="L621" s="2">
        <v>57</v>
      </c>
      <c r="M621" s="2">
        <v>98</v>
      </c>
      <c r="N621" s="2">
        <v>48653.29</v>
      </c>
      <c r="O621" s="2">
        <v>454.82</v>
      </c>
      <c r="P621" s="2">
        <v>264.27</v>
      </c>
      <c r="Q621" s="2" t="s">
        <v>30</v>
      </c>
      <c r="R621" s="2">
        <v>3</v>
      </c>
    </row>
    <row r="622" spans="1:18" x14ac:dyDescent="0.3">
      <c r="A622" s="2" t="s">
        <v>673</v>
      </c>
      <c r="B622" s="2" t="s">
        <v>37</v>
      </c>
      <c r="E622" s="2" t="s">
        <v>37</v>
      </c>
      <c r="F622" s="1">
        <v>46167</v>
      </c>
      <c r="G622" s="2" t="s">
        <v>74</v>
      </c>
      <c r="H622" s="2" t="s">
        <v>38</v>
      </c>
      <c r="I622" s="2" t="s">
        <v>68</v>
      </c>
      <c r="J622" s="2" t="s">
        <v>55</v>
      </c>
      <c r="K622" s="2" t="s">
        <v>52</v>
      </c>
      <c r="L622" s="2">
        <v>66</v>
      </c>
      <c r="M622" s="2">
        <v>65</v>
      </c>
      <c r="N622" s="2">
        <v>49161.7</v>
      </c>
      <c r="O622" s="2">
        <v>401.87</v>
      </c>
      <c r="P622" s="2">
        <v>161.15</v>
      </c>
      <c r="Q622" s="2" t="s">
        <v>30</v>
      </c>
      <c r="R622" s="2">
        <v>5</v>
      </c>
    </row>
    <row r="623" spans="1:18" x14ac:dyDescent="0.3">
      <c r="A623" s="2" t="s">
        <v>674</v>
      </c>
      <c r="B623" s="2" t="s">
        <v>44</v>
      </c>
      <c r="E623" s="2" t="s">
        <v>44</v>
      </c>
      <c r="F623" s="1">
        <v>46193</v>
      </c>
      <c r="G623" s="2" t="s">
        <v>41</v>
      </c>
      <c r="H623" s="2" t="s">
        <v>38</v>
      </c>
      <c r="I623" s="2" t="s">
        <v>27</v>
      </c>
      <c r="J623" s="2" t="s">
        <v>28</v>
      </c>
      <c r="K623" s="2" t="s">
        <v>29</v>
      </c>
      <c r="L623" s="2">
        <v>73</v>
      </c>
      <c r="M623" s="2">
        <v>31</v>
      </c>
      <c r="N623" s="2">
        <v>24951.97</v>
      </c>
      <c r="O623" s="2">
        <v>137.91</v>
      </c>
      <c r="P623" s="2">
        <v>180.75</v>
      </c>
      <c r="Q623" s="2" t="s">
        <v>30</v>
      </c>
      <c r="R623" s="2">
        <v>5</v>
      </c>
    </row>
    <row r="624" spans="1:18" x14ac:dyDescent="0.3">
      <c r="A624" s="2" t="s">
        <v>675</v>
      </c>
      <c r="B624" s="2" t="s">
        <v>37</v>
      </c>
      <c r="E624" s="2" t="s">
        <v>37</v>
      </c>
      <c r="F624" s="1">
        <v>45976</v>
      </c>
      <c r="G624" s="2" t="s">
        <v>90</v>
      </c>
      <c r="H624" s="2" t="s">
        <v>26</v>
      </c>
      <c r="I624" s="2" t="s">
        <v>19</v>
      </c>
      <c r="J624" s="2" t="s">
        <v>35</v>
      </c>
      <c r="K624" s="2" t="s">
        <v>56</v>
      </c>
      <c r="L624" s="2">
        <v>44</v>
      </c>
      <c r="M624" s="2">
        <v>30</v>
      </c>
      <c r="N624" s="2">
        <v>43532.94</v>
      </c>
      <c r="O624" s="2">
        <v>89.04</v>
      </c>
      <c r="P624" s="2">
        <v>59.16</v>
      </c>
      <c r="Q624" s="2" t="s">
        <v>30</v>
      </c>
      <c r="R624" s="2">
        <v>3</v>
      </c>
    </row>
    <row r="625" spans="1:18" x14ac:dyDescent="0.3">
      <c r="A625" s="2" t="s">
        <v>676</v>
      </c>
      <c r="B625" s="2" t="s">
        <v>76</v>
      </c>
      <c r="E625" s="2" t="s">
        <v>76</v>
      </c>
      <c r="F625" s="1">
        <v>46091</v>
      </c>
      <c r="G625" s="2" t="s">
        <v>43</v>
      </c>
      <c r="H625" s="2" t="s">
        <v>58</v>
      </c>
      <c r="I625" s="2" t="s">
        <v>19</v>
      </c>
      <c r="J625" s="2" t="s">
        <v>55</v>
      </c>
      <c r="K625" s="2" t="s">
        <v>56</v>
      </c>
      <c r="L625" s="2">
        <v>36</v>
      </c>
      <c r="M625" s="2">
        <v>112</v>
      </c>
      <c r="N625" s="2">
        <v>36972.910000000003</v>
      </c>
      <c r="O625" s="2">
        <v>322.45</v>
      </c>
      <c r="P625" s="2">
        <v>177.64</v>
      </c>
      <c r="Q625" s="2" t="s">
        <v>30</v>
      </c>
      <c r="R625" s="2">
        <v>2</v>
      </c>
    </row>
    <row r="626" spans="1:18" x14ac:dyDescent="0.3">
      <c r="A626" s="2" t="s">
        <v>677</v>
      </c>
      <c r="B626" s="2" t="s">
        <v>47</v>
      </c>
      <c r="E626" s="2" t="s">
        <v>47</v>
      </c>
      <c r="F626" s="1">
        <v>46130</v>
      </c>
      <c r="G626" s="2" t="s">
        <v>16</v>
      </c>
      <c r="H626" s="2" t="s">
        <v>45</v>
      </c>
      <c r="I626" s="2" t="s">
        <v>68</v>
      </c>
      <c r="J626" s="2" t="s">
        <v>20</v>
      </c>
      <c r="K626" s="2" t="s">
        <v>56</v>
      </c>
      <c r="L626" s="2">
        <v>33</v>
      </c>
      <c r="M626" s="2">
        <v>18</v>
      </c>
      <c r="N626" s="2">
        <v>25301.49</v>
      </c>
      <c r="O626" s="2">
        <v>75.69</v>
      </c>
      <c r="P626" s="2">
        <v>168.12</v>
      </c>
      <c r="Q626" s="2" t="s">
        <v>30</v>
      </c>
      <c r="R626" s="2">
        <v>4</v>
      </c>
    </row>
    <row r="627" spans="1:18" x14ac:dyDescent="0.3">
      <c r="A627" s="2" t="s">
        <v>678</v>
      </c>
      <c r="B627" s="2" t="s">
        <v>37</v>
      </c>
      <c r="E627" s="2" t="s">
        <v>37</v>
      </c>
      <c r="F627" s="1">
        <v>46225</v>
      </c>
      <c r="G627" s="2" t="s">
        <v>41</v>
      </c>
      <c r="H627" s="2" t="s">
        <v>38</v>
      </c>
      <c r="I627" s="2" t="s">
        <v>27</v>
      </c>
      <c r="J627" s="2" t="s">
        <v>64</v>
      </c>
      <c r="K627" s="2" t="s">
        <v>56</v>
      </c>
      <c r="L627" s="2">
        <v>45</v>
      </c>
      <c r="M627" s="2">
        <v>119</v>
      </c>
      <c r="N627" s="2">
        <v>28851.65</v>
      </c>
      <c r="O627" s="2">
        <v>352.77</v>
      </c>
      <c r="P627" s="2">
        <v>94.58</v>
      </c>
      <c r="Q627" s="2" t="s">
        <v>22</v>
      </c>
      <c r="R627" s="2">
        <v>1</v>
      </c>
    </row>
    <row r="628" spans="1:18" x14ac:dyDescent="0.3">
      <c r="A628" s="2" t="s">
        <v>679</v>
      </c>
      <c r="B628" s="2" t="s">
        <v>44</v>
      </c>
      <c r="E628" s="2" t="s">
        <v>44</v>
      </c>
      <c r="F628" s="1">
        <v>46151</v>
      </c>
      <c r="G628" s="2" t="s">
        <v>24</v>
      </c>
      <c r="H628" s="2" t="s">
        <v>26</v>
      </c>
      <c r="I628" s="2" t="s">
        <v>39</v>
      </c>
      <c r="J628" s="2" t="s">
        <v>28</v>
      </c>
      <c r="K628" s="2" t="s">
        <v>21</v>
      </c>
      <c r="L628" s="2">
        <v>74</v>
      </c>
      <c r="M628" s="2">
        <v>17</v>
      </c>
      <c r="N628" s="2">
        <v>7292.74</v>
      </c>
      <c r="O628" s="2">
        <v>288.69</v>
      </c>
      <c r="P628" s="2">
        <v>7.82</v>
      </c>
      <c r="Q628" s="2" t="s">
        <v>30</v>
      </c>
      <c r="R628" s="2">
        <v>5</v>
      </c>
    </row>
    <row r="629" spans="1:18" x14ac:dyDescent="0.3">
      <c r="A629" s="2" t="s">
        <v>680</v>
      </c>
      <c r="B629" s="2" t="s">
        <v>76</v>
      </c>
      <c r="E629" s="2" t="s">
        <v>76</v>
      </c>
      <c r="F629" s="1">
        <v>46013</v>
      </c>
      <c r="G629" s="2" t="s">
        <v>54</v>
      </c>
      <c r="H629" s="2" t="s">
        <v>38</v>
      </c>
      <c r="I629" s="2" t="s">
        <v>68</v>
      </c>
      <c r="J629" s="2" t="s">
        <v>20</v>
      </c>
      <c r="K629" s="2" t="s">
        <v>21</v>
      </c>
      <c r="L629" s="2">
        <v>74</v>
      </c>
      <c r="M629" s="2">
        <v>38</v>
      </c>
      <c r="N629" s="2">
        <v>46914.239999999998</v>
      </c>
      <c r="O629" s="2">
        <v>348.25</v>
      </c>
      <c r="P629" s="2">
        <v>127.71</v>
      </c>
      <c r="Q629" s="2" t="s">
        <v>22</v>
      </c>
      <c r="R629" s="2">
        <v>2</v>
      </c>
    </row>
    <row r="630" spans="1:18" x14ac:dyDescent="0.3">
      <c r="A630" s="2" t="s">
        <v>681</v>
      </c>
      <c r="B630" s="2" t="s">
        <v>37</v>
      </c>
      <c r="E630" s="2" t="s">
        <v>37</v>
      </c>
      <c r="F630" s="1">
        <v>46109</v>
      </c>
      <c r="G630" s="2" t="s">
        <v>16</v>
      </c>
      <c r="H630" s="2" t="s">
        <v>45</v>
      </c>
      <c r="I630" s="2" t="s">
        <v>68</v>
      </c>
      <c r="J630" s="2" t="s">
        <v>28</v>
      </c>
      <c r="K630" s="2" t="s">
        <v>29</v>
      </c>
      <c r="L630" s="2">
        <v>72</v>
      </c>
      <c r="M630" s="2">
        <v>14</v>
      </c>
      <c r="N630" s="2">
        <v>17920.52</v>
      </c>
      <c r="O630" s="2">
        <v>315.58</v>
      </c>
      <c r="P630" s="2">
        <v>15.18</v>
      </c>
      <c r="Q630" s="2" t="s">
        <v>22</v>
      </c>
      <c r="R630" s="2">
        <v>1</v>
      </c>
    </row>
    <row r="631" spans="1:18" x14ac:dyDescent="0.3">
      <c r="A631" s="2" t="s">
        <v>682</v>
      </c>
      <c r="B631" s="2" t="s">
        <v>62</v>
      </c>
      <c r="E631" s="2" t="s">
        <v>62</v>
      </c>
      <c r="F631" s="1">
        <v>46113</v>
      </c>
      <c r="G631" s="2" t="s">
        <v>54</v>
      </c>
      <c r="H631" s="2" t="s">
        <v>45</v>
      </c>
      <c r="I631" s="2" t="s">
        <v>19</v>
      </c>
      <c r="J631" s="2" t="s">
        <v>35</v>
      </c>
      <c r="K631" s="2" t="s">
        <v>52</v>
      </c>
      <c r="L631" s="2">
        <v>74</v>
      </c>
      <c r="M631" s="2">
        <v>87</v>
      </c>
      <c r="N631" s="2">
        <v>22584.39</v>
      </c>
      <c r="O631" s="2">
        <v>240.22</v>
      </c>
      <c r="P631" s="2">
        <v>185.26</v>
      </c>
      <c r="Q631" s="2" t="s">
        <v>30</v>
      </c>
      <c r="R631" s="2">
        <v>3</v>
      </c>
    </row>
    <row r="632" spans="1:18" x14ac:dyDescent="0.3">
      <c r="A632" s="2" t="s">
        <v>683</v>
      </c>
      <c r="B632" s="2" t="s">
        <v>25</v>
      </c>
      <c r="E632" s="2" t="s">
        <v>25</v>
      </c>
      <c r="F632" s="1">
        <v>45904</v>
      </c>
      <c r="G632" s="2" t="s">
        <v>32</v>
      </c>
      <c r="H632" s="2" t="s">
        <v>18</v>
      </c>
      <c r="I632" s="2" t="s">
        <v>68</v>
      </c>
      <c r="J632" s="2" t="s">
        <v>64</v>
      </c>
      <c r="K632" s="2" t="s">
        <v>56</v>
      </c>
      <c r="L632" s="2">
        <v>24</v>
      </c>
      <c r="M632" s="2">
        <v>89</v>
      </c>
      <c r="N632" s="2">
        <v>33747.18</v>
      </c>
      <c r="O632" s="2">
        <v>140.38999999999999</v>
      </c>
      <c r="P632" s="2">
        <v>192.33</v>
      </c>
      <c r="Q632" s="2" t="s">
        <v>30</v>
      </c>
      <c r="R632" s="2">
        <v>5</v>
      </c>
    </row>
    <row r="633" spans="1:18" x14ac:dyDescent="0.3">
      <c r="A633" s="2" t="s">
        <v>684</v>
      </c>
      <c r="B633" s="2" t="s">
        <v>47</v>
      </c>
      <c r="E633" s="2" t="s">
        <v>47</v>
      </c>
      <c r="F633" s="1">
        <v>46029</v>
      </c>
      <c r="G633" s="2" t="s">
        <v>54</v>
      </c>
      <c r="H633" s="2" t="s">
        <v>26</v>
      </c>
      <c r="I633" s="2" t="s">
        <v>68</v>
      </c>
      <c r="J633" s="2" t="s">
        <v>64</v>
      </c>
      <c r="K633" s="2" t="s">
        <v>29</v>
      </c>
      <c r="L633" s="2">
        <v>31</v>
      </c>
      <c r="M633" s="2">
        <v>79</v>
      </c>
      <c r="N633" s="2">
        <v>17028.169999999998</v>
      </c>
      <c r="O633" s="2">
        <v>187.57</v>
      </c>
      <c r="P633" s="2">
        <v>56.85</v>
      </c>
      <c r="Q633" s="2" t="s">
        <v>30</v>
      </c>
      <c r="R633" s="2">
        <v>4</v>
      </c>
    </row>
    <row r="634" spans="1:18" x14ac:dyDescent="0.3">
      <c r="A634" s="2" t="s">
        <v>685</v>
      </c>
      <c r="B634" s="2" t="s">
        <v>37</v>
      </c>
      <c r="E634" s="2" t="s">
        <v>37</v>
      </c>
      <c r="F634" s="1">
        <v>46186</v>
      </c>
      <c r="G634" s="2" t="s">
        <v>32</v>
      </c>
      <c r="H634" s="2" t="s">
        <v>45</v>
      </c>
      <c r="I634" s="2" t="s">
        <v>68</v>
      </c>
      <c r="J634" s="2" t="s">
        <v>35</v>
      </c>
      <c r="K634" s="2" t="s">
        <v>21</v>
      </c>
      <c r="L634" s="2">
        <v>52</v>
      </c>
      <c r="M634" s="2">
        <v>110</v>
      </c>
      <c r="N634" s="2">
        <v>13085.83</v>
      </c>
      <c r="O634" s="2">
        <v>286.02999999999997</v>
      </c>
      <c r="P634" s="2">
        <v>135.28</v>
      </c>
      <c r="Q634" s="2" t="s">
        <v>22</v>
      </c>
      <c r="R634" s="2">
        <v>3</v>
      </c>
    </row>
    <row r="635" spans="1:18" x14ac:dyDescent="0.3">
      <c r="A635" s="2" t="s">
        <v>686</v>
      </c>
      <c r="B635" s="2" t="s">
        <v>76</v>
      </c>
      <c r="E635" s="2" t="s">
        <v>76</v>
      </c>
      <c r="F635" s="1">
        <v>46185</v>
      </c>
      <c r="G635" s="2" t="s">
        <v>74</v>
      </c>
      <c r="H635" s="2" t="s">
        <v>18</v>
      </c>
      <c r="I635" s="2" t="s">
        <v>19</v>
      </c>
      <c r="J635" s="2" t="s">
        <v>64</v>
      </c>
      <c r="K635" s="2" t="s">
        <v>21</v>
      </c>
      <c r="L635" s="2">
        <v>69</v>
      </c>
      <c r="M635" s="2">
        <v>56</v>
      </c>
      <c r="N635" s="2">
        <v>31736.94</v>
      </c>
      <c r="O635" s="2">
        <v>343.34</v>
      </c>
      <c r="P635" s="2">
        <v>18.45</v>
      </c>
      <c r="Q635" s="2" t="s">
        <v>30</v>
      </c>
      <c r="R635" s="2">
        <v>5</v>
      </c>
    </row>
    <row r="636" spans="1:18" x14ac:dyDescent="0.3">
      <c r="A636" s="2" t="s">
        <v>687</v>
      </c>
      <c r="B636" s="2" t="s">
        <v>82</v>
      </c>
      <c r="E636" s="2" t="s">
        <v>82</v>
      </c>
      <c r="F636" s="1">
        <v>45984</v>
      </c>
      <c r="G636" s="2" t="s">
        <v>16</v>
      </c>
      <c r="H636" s="2" t="s">
        <v>18</v>
      </c>
      <c r="I636" s="2" t="s">
        <v>39</v>
      </c>
      <c r="J636" s="2" t="s">
        <v>55</v>
      </c>
      <c r="K636" s="2" t="s">
        <v>52</v>
      </c>
      <c r="L636" s="2">
        <v>27</v>
      </c>
      <c r="M636" s="2">
        <v>22</v>
      </c>
      <c r="N636" s="2">
        <v>1736.71</v>
      </c>
      <c r="O636" s="2">
        <v>400.77</v>
      </c>
      <c r="P636" s="2">
        <v>145.9</v>
      </c>
      <c r="Q636" s="2" t="s">
        <v>22</v>
      </c>
      <c r="R636" s="2">
        <v>2</v>
      </c>
    </row>
    <row r="637" spans="1:18" x14ac:dyDescent="0.3">
      <c r="A637" s="2" t="s">
        <v>688</v>
      </c>
      <c r="B637" s="2" t="s">
        <v>17</v>
      </c>
      <c r="E637" s="2" t="s">
        <v>17</v>
      </c>
      <c r="F637" s="1">
        <v>45994</v>
      </c>
      <c r="G637" s="2" t="s">
        <v>16</v>
      </c>
      <c r="H637" s="2" t="s">
        <v>38</v>
      </c>
      <c r="I637" s="2" t="s">
        <v>39</v>
      </c>
      <c r="J637" s="2" t="s">
        <v>28</v>
      </c>
      <c r="K637" s="2" t="s">
        <v>52</v>
      </c>
      <c r="L637" s="2">
        <v>66</v>
      </c>
      <c r="M637" s="2">
        <v>67</v>
      </c>
      <c r="N637" s="2">
        <v>36175.89</v>
      </c>
      <c r="O637" s="2">
        <v>395.23</v>
      </c>
      <c r="P637" s="2">
        <v>69.459999999999994</v>
      </c>
      <c r="Q637" s="2" t="s">
        <v>30</v>
      </c>
      <c r="R637" s="2">
        <v>1</v>
      </c>
    </row>
    <row r="638" spans="1:18" x14ac:dyDescent="0.3">
      <c r="A638" s="2" t="s">
        <v>689</v>
      </c>
      <c r="B638" s="2" t="s">
        <v>67</v>
      </c>
      <c r="E638" s="2" t="s">
        <v>67</v>
      </c>
      <c r="F638" s="1">
        <v>46082</v>
      </c>
      <c r="G638" s="2" t="s">
        <v>90</v>
      </c>
      <c r="H638" s="2" t="s">
        <v>38</v>
      </c>
      <c r="I638" s="2" t="s">
        <v>68</v>
      </c>
      <c r="J638" s="2" t="s">
        <v>20</v>
      </c>
      <c r="K638" s="2" t="s">
        <v>52</v>
      </c>
      <c r="L638" s="2">
        <v>31</v>
      </c>
      <c r="M638" s="2">
        <v>56</v>
      </c>
      <c r="N638" s="2">
        <v>25944.16</v>
      </c>
      <c r="O638" s="2">
        <v>487.71</v>
      </c>
      <c r="P638" s="2">
        <v>136.21</v>
      </c>
      <c r="Q638" s="2" t="s">
        <v>22</v>
      </c>
      <c r="R638" s="2">
        <v>1</v>
      </c>
    </row>
    <row r="639" spans="1:18" x14ac:dyDescent="0.3">
      <c r="A639" s="2" t="s">
        <v>690</v>
      </c>
      <c r="B639" s="2" t="s">
        <v>86</v>
      </c>
      <c r="E639" s="2" t="s">
        <v>86</v>
      </c>
      <c r="F639" s="1">
        <v>45919</v>
      </c>
      <c r="G639" s="2" t="s">
        <v>24</v>
      </c>
      <c r="H639" s="2" t="s">
        <v>18</v>
      </c>
      <c r="I639" s="2" t="s">
        <v>19</v>
      </c>
      <c r="J639" s="2" t="s">
        <v>35</v>
      </c>
      <c r="K639" s="2" t="s">
        <v>29</v>
      </c>
      <c r="L639" s="2">
        <v>48</v>
      </c>
      <c r="M639" s="2">
        <v>119</v>
      </c>
      <c r="N639" s="2">
        <v>30484.81</v>
      </c>
      <c r="O639" s="2">
        <v>178.63</v>
      </c>
      <c r="P639" s="2">
        <v>111.87</v>
      </c>
      <c r="Q639" s="2" t="s">
        <v>22</v>
      </c>
      <c r="R639" s="2">
        <v>5</v>
      </c>
    </row>
    <row r="640" spans="1:18" x14ac:dyDescent="0.3">
      <c r="A640" s="2" t="s">
        <v>691</v>
      </c>
      <c r="B640" s="2" t="s">
        <v>67</v>
      </c>
      <c r="E640" s="2" t="s">
        <v>67</v>
      </c>
      <c r="F640" s="1">
        <v>46021</v>
      </c>
      <c r="G640" s="2" t="s">
        <v>32</v>
      </c>
      <c r="H640" s="2" t="s">
        <v>38</v>
      </c>
      <c r="I640" s="2" t="s">
        <v>39</v>
      </c>
      <c r="J640" s="2" t="s">
        <v>55</v>
      </c>
      <c r="K640" s="2" t="s">
        <v>21</v>
      </c>
      <c r="L640" s="2">
        <v>74</v>
      </c>
      <c r="M640" s="2">
        <v>19</v>
      </c>
      <c r="N640" s="2">
        <v>31778.07</v>
      </c>
      <c r="O640" s="2">
        <v>82</v>
      </c>
      <c r="P640" s="2">
        <v>29.11</v>
      </c>
      <c r="Q640" s="2" t="s">
        <v>30</v>
      </c>
      <c r="R640" s="2">
        <v>3</v>
      </c>
    </row>
    <row r="641" spans="1:18" x14ac:dyDescent="0.3">
      <c r="A641" s="2" t="s">
        <v>692</v>
      </c>
      <c r="B641" s="2" t="s">
        <v>82</v>
      </c>
      <c r="E641" s="2" t="s">
        <v>82</v>
      </c>
      <c r="F641" s="1">
        <v>46026</v>
      </c>
      <c r="G641" s="2" t="s">
        <v>90</v>
      </c>
      <c r="H641" s="2" t="s">
        <v>45</v>
      </c>
      <c r="I641" s="2" t="s">
        <v>39</v>
      </c>
      <c r="J641" s="2" t="s">
        <v>20</v>
      </c>
      <c r="K641" s="2" t="s">
        <v>21</v>
      </c>
      <c r="L641" s="2">
        <v>61</v>
      </c>
      <c r="M641" s="2">
        <v>57</v>
      </c>
      <c r="N641" s="2">
        <v>26588.98</v>
      </c>
      <c r="O641" s="2">
        <v>205.55</v>
      </c>
      <c r="P641" s="2">
        <v>81.22</v>
      </c>
      <c r="Q641" s="2" t="s">
        <v>30</v>
      </c>
      <c r="R641" s="2">
        <v>4</v>
      </c>
    </row>
    <row r="642" spans="1:18" x14ac:dyDescent="0.3">
      <c r="A642" s="2" t="s">
        <v>693</v>
      </c>
      <c r="B642" s="2" t="s">
        <v>67</v>
      </c>
      <c r="E642" s="2" t="s">
        <v>67</v>
      </c>
      <c r="F642" s="1">
        <v>46156</v>
      </c>
      <c r="G642" s="2" t="s">
        <v>54</v>
      </c>
      <c r="H642" s="2" t="s">
        <v>58</v>
      </c>
      <c r="I642" s="2" t="s">
        <v>39</v>
      </c>
      <c r="J642" s="2" t="s">
        <v>20</v>
      </c>
      <c r="K642" s="2" t="s">
        <v>52</v>
      </c>
      <c r="L642" s="2">
        <v>43</v>
      </c>
      <c r="M642" s="2">
        <v>44</v>
      </c>
      <c r="N642" s="2">
        <v>29335.42</v>
      </c>
      <c r="O642" s="2">
        <v>384.48</v>
      </c>
      <c r="P642" s="2">
        <v>22.53</v>
      </c>
      <c r="Q642" s="2" t="s">
        <v>30</v>
      </c>
      <c r="R642" s="2">
        <v>2</v>
      </c>
    </row>
    <row r="643" spans="1:18" x14ac:dyDescent="0.3">
      <c r="A643" s="2" t="s">
        <v>694</v>
      </c>
      <c r="B643" s="2" t="s">
        <v>82</v>
      </c>
      <c r="E643" s="2" t="s">
        <v>82</v>
      </c>
      <c r="F643" s="1">
        <v>46118</v>
      </c>
      <c r="G643" s="2" t="s">
        <v>54</v>
      </c>
      <c r="H643" s="2" t="s">
        <v>45</v>
      </c>
      <c r="I643" s="2" t="s">
        <v>19</v>
      </c>
      <c r="J643" s="2" t="s">
        <v>35</v>
      </c>
      <c r="K643" s="2" t="s">
        <v>56</v>
      </c>
      <c r="L643" s="2">
        <v>65</v>
      </c>
      <c r="M643" s="2">
        <v>98</v>
      </c>
      <c r="N643" s="2">
        <v>34347.519999999997</v>
      </c>
      <c r="O643" s="2">
        <v>247.15</v>
      </c>
      <c r="P643" s="2">
        <v>115.38</v>
      </c>
      <c r="Q643" s="2" t="s">
        <v>30</v>
      </c>
      <c r="R643" s="2">
        <v>5</v>
      </c>
    </row>
    <row r="644" spans="1:18" x14ac:dyDescent="0.3">
      <c r="A644" s="2" t="s">
        <v>695</v>
      </c>
      <c r="B644" s="2" t="s">
        <v>33</v>
      </c>
      <c r="E644" s="2" t="s">
        <v>33</v>
      </c>
      <c r="F644" s="1">
        <v>46136</v>
      </c>
      <c r="G644" s="2" t="s">
        <v>90</v>
      </c>
      <c r="H644" s="2" t="s">
        <v>18</v>
      </c>
      <c r="I644" s="2" t="s">
        <v>19</v>
      </c>
      <c r="J644" s="2" t="s">
        <v>55</v>
      </c>
      <c r="K644" s="2" t="s">
        <v>52</v>
      </c>
      <c r="L644" s="2">
        <v>43</v>
      </c>
      <c r="M644" s="2">
        <v>35</v>
      </c>
      <c r="N644" s="2">
        <v>37779.379999999997</v>
      </c>
      <c r="O644" s="2">
        <v>418</v>
      </c>
      <c r="P644" s="2">
        <v>8.19</v>
      </c>
      <c r="Q644" s="2" t="s">
        <v>30</v>
      </c>
      <c r="R644" s="2">
        <v>2</v>
      </c>
    </row>
    <row r="645" spans="1:18" x14ac:dyDescent="0.3">
      <c r="A645" s="2" t="s">
        <v>696</v>
      </c>
      <c r="B645" s="2" t="s">
        <v>82</v>
      </c>
      <c r="E645" s="2" t="s">
        <v>82</v>
      </c>
      <c r="F645" s="1">
        <v>46112</v>
      </c>
      <c r="G645" s="2" t="s">
        <v>16</v>
      </c>
      <c r="H645" s="2" t="s">
        <v>18</v>
      </c>
      <c r="I645" s="2" t="s">
        <v>68</v>
      </c>
      <c r="J645" s="2" t="s">
        <v>20</v>
      </c>
      <c r="K645" s="2" t="s">
        <v>29</v>
      </c>
      <c r="L645" s="2">
        <v>70</v>
      </c>
      <c r="M645" s="2">
        <v>114</v>
      </c>
      <c r="N645" s="2">
        <v>36508.89</v>
      </c>
      <c r="O645" s="2">
        <v>297.2</v>
      </c>
      <c r="P645" s="2">
        <v>158.19</v>
      </c>
      <c r="Q645" s="2" t="s">
        <v>22</v>
      </c>
      <c r="R645" s="2">
        <v>1</v>
      </c>
    </row>
    <row r="646" spans="1:18" x14ac:dyDescent="0.3">
      <c r="A646" s="2" t="s">
        <v>697</v>
      </c>
      <c r="B646" s="2" t="s">
        <v>82</v>
      </c>
      <c r="E646" s="2" t="s">
        <v>82</v>
      </c>
      <c r="F646" s="1">
        <v>45953</v>
      </c>
      <c r="G646" s="2" t="s">
        <v>54</v>
      </c>
      <c r="H646" s="2" t="s">
        <v>45</v>
      </c>
      <c r="I646" s="2" t="s">
        <v>34</v>
      </c>
      <c r="J646" s="2" t="s">
        <v>20</v>
      </c>
      <c r="K646" s="2" t="s">
        <v>52</v>
      </c>
      <c r="L646" s="2">
        <v>48</v>
      </c>
      <c r="M646" s="2">
        <v>1</v>
      </c>
      <c r="N646" s="2">
        <v>43546.01</v>
      </c>
      <c r="O646" s="2">
        <v>468.41</v>
      </c>
      <c r="P646" s="2">
        <v>177.27</v>
      </c>
      <c r="Q646" s="2" t="s">
        <v>30</v>
      </c>
      <c r="R646" s="2">
        <v>4</v>
      </c>
    </row>
    <row r="647" spans="1:18" x14ac:dyDescent="0.3">
      <c r="A647" s="2" t="s">
        <v>698</v>
      </c>
      <c r="B647" s="2" t="s">
        <v>51</v>
      </c>
      <c r="E647" s="2" t="s">
        <v>51</v>
      </c>
      <c r="F647" s="1">
        <v>45924</v>
      </c>
      <c r="G647" s="2" t="s">
        <v>43</v>
      </c>
      <c r="H647" s="2" t="s">
        <v>38</v>
      </c>
      <c r="I647" s="2" t="s">
        <v>39</v>
      </c>
      <c r="J647" s="2" t="s">
        <v>55</v>
      </c>
      <c r="K647" s="2" t="s">
        <v>52</v>
      </c>
      <c r="L647" s="2">
        <v>63</v>
      </c>
      <c r="M647" s="2">
        <v>52</v>
      </c>
      <c r="N647" s="2">
        <v>9877.4500000000007</v>
      </c>
      <c r="O647" s="2">
        <v>476.54</v>
      </c>
      <c r="P647" s="2">
        <v>167.57</v>
      </c>
      <c r="Q647" s="2" t="s">
        <v>22</v>
      </c>
      <c r="R647" s="2">
        <v>2</v>
      </c>
    </row>
    <row r="648" spans="1:18" x14ac:dyDescent="0.3">
      <c r="A648" s="2" t="s">
        <v>699</v>
      </c>
      <c r="B648" s="2" t="s">
        <v>82</v>
      </c>
      <c r="E648" s="2" t="s">
        <v>82</v>
      </c>
      <c r="F648" s="1">
        <v>45901</v>
      </c>
      <c r="G648" s="2" t="s">
        <v>74</v>
      </c>
      <c r="H648" s="2" t="s">
        <v>38</v>
      </c>
      <c r="I648" s="2" t="s">
        <v>34</v>
      </c>
      <c r="J648" s="2" t="s">
        <v>64</v>
      </c>
      <c r="K648" s="2" t="s">
        <v>29</v>
      </c>
      <c r="L648" s="2">
        <v>67</v>
      </c>
      <c r="M648" s="2">
        <v>85</v>
      </c>
      <c r="N648" s="2">
        <v>20356.82</v>
      </c>
      <c r="O648" s="2">
        <v>81.19</v>
      </c>
      <c r="P648" s="2">
        <v>264.83999999999997</v>
      </c>
      <c r="Q648" s="2" t="s">
        <v>22</v>
      </c>
      <c r="R648" s="2">
        <v>5</v>
      </c>
    </row>
    <row r="649" spans="1:18" x14ac:dyDescent="0.3">
      <c r="A649" s="2" t="s">
        <v>700</v>
      </c>
      <c r="B649" s="2" t="s">
        <v>62</v>
      </c>
      <c r="E649" s="2" t="s">
        <v>62</v>
      </c>
      <c r="F649" s="1">
        <v>45964</v>
      </c>
      <c r="G649" s="2" t="s">
        <v>74</v>
      </c>
      <c r="H649" s="2" t="s">
        <v>18</v>
      </c>
      <c r="I649" s="2" t="s">
        <v>19</v>
      </c>
      <c r="J649" s="2" t="s">
        <v>20</v>
      </c>
      <c r="K649" s="2" t="s">
        <v>52</v>
      </c>
      <c r="L649" s="2">
        <v>46</v>
      </c>
      <c r="M649" s="2">
        <v>93</v>
      </c>
      <c r="N649" s="2">
        <v>47415.91</v>
      </c>
      <c r="O649" s="2">
        <v>255.39</v>
      </c>
      <c r="P649" s="2">
        <v>184.41</v>
      </c>
      <c r="Q649" s="2" t="s">
        <v>30</v>
      </c>
      <c r="R649" s="2">
        <v>4</v>
      </c>
    </row>
    <row r="650" spans="1:18" x14ac:dyDescent="0.3">
      <c r="A650" s="2" t="s">
        <v>701</v>
      </c>
      <c r="B650" s="2" t="s">
        <v>17</v>
      </c>
      <c r="E650" s="2" t="s">
        <v>17</v>
      </c>
      <c r="F650" s="1">
        <v>45926</v>
      </c>
      <c r="G650" s="2" t="s">
        <v>43</v>
      </c>
      <c r="H650" s="2" t="s">
        <v>26</v>
      </c>
      <c r="I650" s="2" t="s">
        <v>19</v>
      </c>
      <c r="J650" s="2" t="s">
        <v>28</v>
      </c>
      <c r="K650" s="2" t="s">
        <v>21</v>
      </c>
      <c r="L650" s="2">
        <v>45</v>
      </c>
      <c r="M650" s="2">
        <v>70</v>
      </c>
      <c r="N650" s="2">
        <v>20131.23</v>
      </c>
      <c r="O650" s="2">
        <v>324.36</v>
      </c>
      <c r="P650" s="2">
        <v>20.91</v>
      </c>
      <c r="Q650" s="2" t="s">
        <v>22</v>
      </c>
      <c r="R650" s="2">
        <v>3</v>
      </c>
    </row>
    <row r="651" spans="1:18" x14ac:dyDescent="0.3">
      <c r="A651" s="2" t="s">
        <v>702</v>
      </c>
      <c r="B651" s="2" t="s">
        <v>78</v>
      </c>
      <c r="E651" s="2" t="s">
        <v>78</v>
      </c>
      <c r="F651" s="1">
        <v>46220</v>
      </c>
      <c r="G651" s="2" t="s">
        <v>90</v>
      </c>
      <c r="H651" s="2" t="s">
        <v>38</v>
      </c>
      <c r="I651" s="2" t="s">
        <v>19</v>
      </c>
      <c r="J651" s="2" t="s">
        <v>55</v>
      </c>
      <c r="K651" s="2" t="s">
        <v>56</v>
      </c>
      <c r="L651" s="2">
        <v>74</v>
      </c>
      <c r="M651" s="2">
        <v>37</v>
      </c>
      <c r="N651" s="2">
        <v>6681.07</v>
      </c>
      <c r="O651" s="2">
        <v>165.14</v>
      </c>
      <c r="P651" s="2">
        <v>25.75</v>
      </c>
      <c r="Q651" s="2" t="s">
        <v>30</v>
      </c>
      <c r="R651" s="2">
        <v>5</v>
      </c>
    </row>
    <row r="652" spans="1:18" x14ac:dyDescent="0.3">
      <c r="A652" s="2" t="s">
        <v>703</v>
      </c>
      <c r="B652" s="2" t="s">
        <v>37</v>
      </c>
      <c r="E652" s="2" t="s">
        <v>37</v>
      </c>
      <c r="F652" s="1">
        <v>46184</v>
      </c>
      <c r="G652" s="2" t="s">
        <v>43</v>
      </c>
      <c r="H652" s="2" t="s">
        <v>45</v>
      </c>
      <c r="I652" s="2" t="s">
        <v>34</v>
      </c>
      <c r="J652" s="2" t="s">
        <v>20</v>
      </c>
      <c r="K652" s="2" t="s">
        <v>52</v>
      </c>
      <c r="L652" s="2">
        <v>49</v>
      </c>
      <c r="M652" s="2">
        <v>65</v>
      </c>
      <c r="N652" s="2">
        <v>26509.53</v>
      </c>
      <c r="O652" s="2">
        <v>233.18</v>
      </c>
      <c r="P652" s="2">
        <v>111.4</v>
      </c>
      <c r="Q652" s="2" t="s">
        <v>22</v>
      </c>
      <c r="R652" s="2">
        <v>2</v>
      </c>
    </row>
    <row r="653" spans="1:18" x14ac:dyDescent="0.3">
      <c r="A653" s="2" t="s">
        <v>704</v>
      </c>
      <c r="B653" s="2" t="s">
        <v>86</v>
      </c>
      <c r="E653" s="2" t="s">
        <v>86</v>
      </c>
      <c r="F653" s="1">
        <v>46067</v>
      </c>
      <c r="G653" s="2" t="s">
        <v>32</v>
      </c>
      <c r="H653" s="2" t="s">
        <v>38</v>
      </c>
      <c r="I653" s="2" t="s">
        <v>19</v>
      </c>
      <c r="J653" s="2" t="s">
        <v>35</v>
      </c>
      <c r="K653" s="2" t="s">
        <v>29</v>
      </c>
      <c r="L653" s="2">
        <v>39</v>
      </c>
      <c r="M653" s="2">
        <v>51</v>
      </c>
      <c r="N653" s="2">
        <v>5919.8</v>
      </c>
      <c r="O653" s="2">
        <v>354.96</v>
      </c>
      <c r="P653" s="2">
        <v>268.18</v>
      </c>
      <c r="Q653" s="2" t="s">
        <v>30</v>
      </c>
      <c r="R653" s="2">
        <v>4</v>
      </c>
    </row>
    <row r="654" spans="1:18" x14ac:dyDescent="0.3">
      <c r="A654" s="2" t="s">
        <v>705</v>
      </c>
      <c r="B654" s="2" t="s">
        <v>47</v>
      </c>
      <c r="E654" s="2" t="s">
        <v>47</v>
      </c>
      <c r="F654" s="1">
        <v>45879</v>
      </c>
      <c r="G654" s="2" t="s">
        <v>32</v>
      </c>
      <c r="H654" s="2" t="s">
        <v>45</v>
      </c>
      <c r="I654" s="2" t="s">
        <v>68</v>
      </c>
      <c r="J654" s="2" t="s">
        <v>28</v>
      </c>
      <c r="K654" s="2" t="s">
        <v>56</v>
      </c>
      <c r="L654" s="2">
        <v>53</v>
      </c>
      <c r="M654" s="2">
        <v>1</v>
      </c>
      <c r="N654" s="2">
        <v>10541.24</v>
      </c>
      <c r="O654" s="2">
        <v>152.03</v>
      </c>
      <c r="P654" s="2">
        <v>194.87</v>
      </c>
      <c r="Q654" s="2" t="s">
        <v>30</v>
      </c>
      <c r="R654" s="2">
        <v>5</v>
      </c>
    </row>
    <row r="655" spans="1:18" x14ac:dyDescent="0.3">
      <c r="A655" s="2" t="s">
        <v>706</v>
      </c>
      <c r="B655" s="2" t="s">
        <v>17</v>
      </c>
      <c r="E655" s="2" t="s">
        <v>17</v>
      </c>
      <c r="F655" s="1">
        <v>46121</v>
      </c>
      <c r="G655" s="2" t="s">
        <v>90</v>
      </c>
      <c r="H655" s="2" t="s">
        <v>18</v>
      </c>
      <c r="I655" s="2" t="s">
        <v>19</v>
      </c>
      <c r="J655" s="2" t="s">
        <v>20</v>
      </c>
      <c r="K655" s="2" t="s">
        <v>29</v>
      </c>
      <c r="L655" s="2">
        <v>56</v>
      </c>
      <c r="M655" s="2">
        <v>91</v>
      </c>
      <c r="N655" s="2">
        <v>49916.78</v>
      </c>
      <c r="O655" s="2">
        <v>320.89</v>
      </c>
      <c r="P655" s="2">
        <v>13.88</v>
      </c>
      <c r="Q655" s="2" t="s">
        <v>30</v>
      </c>
      <c r="R655" s="2">
        <v>4</v>
      </c>
    </row>
    <row r="656" spans="1:18" x14ac:dyDescent="0.3">
      <c r="A656" s="2" t="s">
        <v>707</v>
      </c>
      <c r="B656" s="2" t="s">
        <v>44</v>
      </c>
      <c r="E656" s="2" t="s">
        <v>44</v>
      </c>
      <c r="F656" s="1">
        <v>46075</v>
      </c>
      <c r="G656" s="2" t="s">
        <v>43</v>
      </c>
      <c r="H656" s="2" t="s">
        <v>38</v>
      </c>
      <c r="I656" s="2" t="s">
        <v>27</v>
      </c>
      <c r="J656" s="2" t="s">
        <v>28</v>
      </c>
      <c r="K656" s="2" t="s">
        <v>56</v>
      </c>
      <c r="L656" s="2">
        <v>34</v>
      </c>
      <c r="M656" s="2">
        <v>21</v>
      </c>
      <c r="N656" s="2">
        <v>27297.45</v>
      </c>
      <c r="O656" s="2">
        <v>363.85</v>
      </c>
      <c r="P656" s="2">
        <v>71.150000000000006</v>
      </c>
      <c r="Q656" s="2" t="s">
        <v>30</v>
      </c>
      <c r="R656" s="2">
        <v>4</v>
      </c>
    </row>
    <row r="657" spans="1:18" x14ac:dyDescent="0.3">
      <c r="A657" s="2" t="s">
        <v>708</v>
      </c>
      <c r="B657" s="2" t="s">
        <v>78</v>
      </c>
      <c r="E657" s="2" t="s">
        <v>78</v>
      </c>
      <c r="F657" s="1">
        <v>46162</v>
      </c>
      <c r="G657" s="2" t="s">
        <v>32</v>
      </c>
      <c r="H657" s="2" t="s">
        <v>45</v>
      </c>
      <c r="I657" s="2" t="s">
        <v>34</v>
      </c>
      <c r="J657" s="2" t="s">
        <v>28</v>
      </c>
      <c r="K657" s="2" t="s">
        <v>56</v>
      </c>
      <c r="L657" s="2">
        <v>34</v>
      </c>
      <c r="M657" s="2">
        <v>53</v>
      </c>
      <c r="N657" s="2">
        <v>14560.89</v>
      </c>
      <c r="O657" s="2">
        <v>90.72</v>
      </c>
      <c r="P657" s="2">
        <v>42.58</v>
      </c>
      <c r="Q657" s="2" t="s">
        <v>30</v>
      </c>
      <c r="R657" s="2">
        <v>4</v>
      </c>
    </row>
    <row r="658" spans="1:18" x14ac:dyDescent="0.3">
      <c r="A658" s="2" t="s">
        <v>709</v>
      </c>
      <c r="B658" s="2" t="s">
        <v>33</v>
      </c>
      <c r="E658" s="2" t="s">
        <v>33</v>
      </c>
      <c r="F658" s="1">
        <v>45962</v>
      </c>
      <c r="G658" s="2" t="s">
        <v>16</v>
      </c>
      <c r="H658" s="2" t="s">
        <v>18</v>
      </c>
      <c r="I658" s="2" t="s">
        <v>27</v>
      </c>
      <c r="J658" s="2" t="s">
        <v>64</v>
      </c>
      <c r="K658" s="2" t="s">
        <v>52</v>
      </c>
      <c r="L658" s="2">
        <v>55</v>
      </c>
      <c r="M658" s="2">
        <v>16</v>
      </c>
      <c r="N658" s="2">
        <v>49741.36</v>
      </c>
      <c r="O658" s="2">
        <v>273.89</v>
      </c>
      <c r="P658" s="2">
        <v>151.19</v>
      </c>
      <c r="Q658" s="2" t="s">
        <v>30</v>
      </c>
      <c r="R658" s="2">
        <v>2</v>
      </c>
    </row>
    <row r="659" spans="1:18" x14ac:dyDescent="0.3">
      <c r="A659" s="2" t="s">
        <v>710</v>
      </c>
      <c r="B659" s="2" t="s">
        <v>33</v>
      </c>
      <c r="E659" s="2" t="s">
        <v>33</v>
      </c>
      <c r="F659" s="1">
        <v>45955</v>
      </c>
      <c r="G659" s="2" t="s">
        <v>43</v>
      </c>
      <c r="H659" s="2" t="s">
        <v>26</v>
      </c>
      <c r="I659" s="2" t="s">
        <v>19</v>
      </c>
      <c r="J659" s="2" t="s">
        <v>28</v>
      </c>
      <c r="K659" s="2" t="s">
        <v>21</v>
      </c>
      <c r="L659" s="2">
        <v>50</v>
      </c>
      <c r="M659" s="2">
        <v>108</v>
      </c>
      <c r="N659" s="2">
        <v>48344.67</v>
      </c>
      <c r="O659" s="2">
        <v>168.39</v>
      </c>
      <c r="P659" s="2">
        <v>128.04</v>
      </c>
      <c r="Q659" s="2" t="s">
        <v>30</v>
      </c>
      <c r="R659" s="2">
        <v>5</v>
      </c>
    </row>
    <row r="660" spans="1:18" x14ac:dyDescent="0.3">
      <c r="A660" s="2" t="s">
        <v>711</v>
      </c>
      <c r="B660" s="2" t="s">
        <v>49</v>
      </c>
      <c r="E660" s="2" t="s">
        <v>49</v>
      </c>
      <c r="F660" s="1">
        <v>46187</v>
      </c>
      <c r="G660" s="2" t="s">
        <v>16</v>
      </c>
      <c r="H660" s="2" t="s">
        <v>45</v>
      </c>
      <c r="I660" s="2" t="s">
        <v>68</v>
      </c>
      <c r="J660" s="2" t="s">
        <v>64</v>
      </c>
      <c r="K660" s="2" t="s">
        <v>52</v>
      </c>
      <c r="L660" s="2">
        <v>48</v>
      </c>
      <c r="M660" s="2">
        <v>61</v>
      </c>
      <c r="N660" s="2">
        <v>22316.58</v>
      </c>
      <c r="O660" s="2">
        <v>375.97</v>
      </c>
      <c r="P660" s="2">
        <v>23.98</v>
      </c>
      <c r="Q660" s="2" t="s">
        <v>22</v>
      </c>
      <c r="R660" s="2">
        <v>1</v>
      </c>
    </row>
    <row r="661" spans="1:18" x14ac:dyDescent="0.3">
      <c r="A661" s="2" t="s">
        <v>712</v>
      </c>
      <c r="B661" s="2" t="s">
        <v>25</v>
      </c>
      <c r="E661" s="2" t="s">
        <v>25</v>
      </c>
      <c r="F661" s="1">
        <v>45999</v>
      </c>
      <c r="G661" s="2" t="s">
        <v>32</v>
      </c>
      <c r="H661" s="2" t="s">
        <v>26</v>
      </c>
      <c r="I661" s="2" t="s">
        <v>39</v>
      </c>
      <c r="J661" s="2" t="s">
        <v>55</v>
      </c>
      <c r="K661" s="2" t="s">
        <v>29</v>
      </c>
      <c r="L661" s="2">
        <v>37</v>
      </c>
      <c r="M661" s="2">
        <v>54</v>
      </c>
      <c r="N661" s="2">
        <v>13389.95</v>
      </c>
      <c r="O661" s="2">
        <v>135.30000000000001</v>
      </c>
      <c r="P661" s="2">
        <v>145.05000000000001</v>
      </c>
      <c r="Q661" s="2" t="s">
        <v>30</v>
      </c>
      <c r="R661" s="2">
        <v>1</v>
      </c>
    </row>
    <row r="662" spans="1:18" x14ac:dyDescent="0.3">
      <c r="A662" s="2" t="s">
        <v>713</v>
      </c>
      <c r="B662" s="2" t="s">
        <v>82</v>
      </c>
      <c r="E662" s="2" t="s">
        <v>82</v>
      </c>
      <c r="F662" s="1">
        <v>46164</v>
      </c>
      <c r="G662" s="2" t="s">
        <v>74</v>
      </c>
      <c r="H662" s="2" t="s">
        <v>26</v>
      </c>
      <c r="I662" s="2" t="s">
        <v>19</v>
      </c>
      <c r="J662" s="2" t="s">
        <v>64</v>
      </c>
      <c r="K662" s="2" t="s">
        <v>29</v>
      </c>
      <c r="L662" s="2">
        <v>23</v>
      </c>
      <c r="M662" s="2">
        <v>40</v>
      </c>
      <c r="N662" s="2">
        <v>42000.78</v>
      </c>
      <c r="O662" s="2">
        <v>451.51</v>
      </c>
      <c r="P662" s="2">
        <v>205.64</v>
      </c>
      <c r="Q662" s="2" t="s">
        <v>30</v>
      </c>
      <c r="R662" s="2">
        <v>2</v>
      </c>
    </row>
    <row r="663" spans="1:18" x14ac:dyDescent="0.3">
      <c r="A663" s="2" t="s">
        <v>714</v>
      </c>
      <c r="B663" s="2" t="s">
        <v>17</v>
      </c>
      <c r="E663" s="2" t="s">
        <v>17</v>
      </c>
      <c r="F663" s="1">
        <v>46020</v>
      </c>
      <c r="G663" s="2" t="s">
        <v>32</v>
      </c>
      <c r="H663" s="2" t="s">
        <v>58</v>
      </c>
      <c r="I663" s="2" t="s">
        <v>68</v>
      </c>
      <c r="J663" s="2" t="s">
        <v>35</v>
      </c>
      <c r="K663" s="2" t="s">
        <v>56</v>
      </c>
      <c r="L663" s="2">
        <v>36</v>
      </c>
      <c r="M663" s="2">
        <v>26</v>
      </c>
      <c r="N663" s="2">
        <v>35923.230000000003</v>
      </c>
      <c r="O663" s="2">
        <v>243.92</v>
      </c>
      <c r="P663" s="2">
        <v>155.80000000000001</v>
      </c>
      <c r="Q663" s="2" t="s">
        <v>22</v>
      </c>
      <c r="R663" s="2">
        <v>2</v>
      </c>
    </row>
    <row r="664" spans="1:18" x14ac:dyDescent="0.3">
      <c r="A664" s="2" t="s">
        <v>715</v>
      </c>
      <c r="B664" s="2" t="s">
        <v>76</v>
      </c>
      <c r="E664" s="2" t="s">
        <v>76</v>
      </c>
      <c r="F664" s="1">
        <v>45936</v>
      </c>
      <c r="G664" s="2" t="s">
        <v>16</v>
      </c>
      <c r="H664" s="2" t="s">
        <v>38</v>
      </c>
      <c r="I664" s="2" t="s">
        <v>34</v>
      </c>
      <c r="J664" s="2" t="s">
        <v>20</v>
      </c>
      <c r="K664" s="2" t="s">
        <v>56</v>
      </c>
      <c r="L664" s="2">
        <v>66</v>
      </c>
      <c r="M664" s="2">
        <v>80</v>
      </c>
      <c r="N664" s="2">
        <v>34503.599999999999</v>
      </c>
      <c r="O664" s="2">
        <v>139.1</v>
      </c>
      <c r="P664" s="2">
        <v>4.01</v>
      </c>
      <c r="Q664" s="2" t="s">
        <v>22</v>
      </c>
      <c r="R664" s="2">
        <v>4</v>
      </c>
    </row>
    <row r="665" spans="1:18" x14ac:dyDescent="0.3">
      <c r="A665" s="2" t="s">
        <v>716</v>
      </c>
      <c r="B665" s="2" t="s">
        <v>51</v>
      </c>
      <c r="E665" s="2" t="s">
        <v>51</v>
      </c>
      <c r="F665" s="1">
        <v>45930</v>
      </c>
      <c r="G665" s="2" t="s">
        <v>41</v>
      </c>
      <c r="H665" s="2" t="s">
        <v>45</v>
      </c>
      <c r="I665" s="2" t="s">
        <v>27</v>
      </c>
      <c r="J665" s="2" t="s">
        <v>55</v>
      </c>
      <c r="K665" s="2" t="s">
        <v>21</v>
      </c>
      <c r="L665" s="2">
        <v>50</v>
      </c>
      <c r="M665" s="2">
        <v>92</v>
      </c>
      <c r="N665" s="2">
        <v>44709.13</v>
      </c>
      <c r="O665" s="2">
        <v>247.11</v>
      </c>
      <c r="P665" s="2">
        <v>178.09</v>
      </c>
      <c r="Q665" s="2" t="s">
        <v>22</v>
      </c>
      <c r="R665" s="2">
        <v>5</v>
      </c>
    </row>
    <row r="666" spans="1:18" x14ac:dyDescent="0.3">
      <c r="A666" s="2" t="s">
        <v>717</v>
      </c>
      <c r="B666" s="2" t="s">
        <v>67</v>
      </c>
      <c r="E666" s="2" t="s">
        <v>67</v>
      </c>
      <c r="F666" s="1">
        <v>46101</v>
      </c>
      <c r="G666" s="2" t="s">
        <v>24</v>
      </c>
      <c r="H666" s="2" t="s">
        <v>26</v>
      </c>
      <c r="I666" s="2" t="s">
        <v>27</v>
      </c>
      <c r="J666" s="2" t="s">
        <v>55</v>
      </c>
      <c r="K666" s="2" t="s">
        <v>52</v>
      </c>
      <c r="L666" s="2">
        <v>72</v>
      </c>
      <c r="M666" s="2">
        <v>65</v>
      </c>
      <c r="N666" s="2">
        <v>34626.15</v>
      </c>
      <c r="O666" s="2">
        <v>233.93</v>
      </c>
      <c r="P666" s="2">
        <v>113.86</v>
      </c>
      <c r="Q666" s="2" t="s">
        <v>30</v>
      </c>
      <c r="R666" s="2">
        <v>5</v>
      </c>
    </row>
    <row r="667" spans="1:18" x14ac:dyDescent="0.3">
      <c r="A667" s="2" t="s">
        <v>718</v>
      </c>
      <c r="B667" s="2" t="s">
        <v>44</v>
      </c>
      <c r="E667" s="2" t="s">
        <v>44</v>
      </c>
      <c r="F667" s="1">
        <v>46185</v>
      </c>
      <c r="G667" s="2" t="s">
        <v>54</v>
      </c>
      <c r="H667" s="2" t="s">
        <v>58</v>
      </c>
      <c r="I667" s="2" t="s">
        <v>27</v>
      </c>
      <c r="J667" s="2" t="s">
        <v>35</v>
      </c>
      <c r="K667" s="2" t="s">
        <v>29</v>
      </c>
      <c r="L667" s="2">
        <v>49</v>
      </c>
      <c r="M667" s="2">
        <v>100</v>
      </c>
      <c r="N667" s="2">
        <v>14548</v>
      </c>
      <c r="O667" s="2">
        <v>243.01</v>
      </c>
      <c r="P667" s="2">
        <v>243.57</v>
      </c>
      <c r="Q667" s="2" t="s">
        <v>30</v>
      </c>
      <c r="R667" s="2">
        <v>3</v>
      </c>
    </row>
    <row r="668" spans="1:18" x14ac:dyDescent="0.3">
      <c r="A668" s="2" t="s">
        <v>719</v>
      </c>
      <c r="B668" s="2" t="s">
        <v>33</v>
      </c>
      <c r="E668" s="2" t="s">
        <v>33</v>
      </c>
      <c r="F668" s="1">
        <v>46107</v>
      </c>
      <c r="G668" s="2" t="s">
        <v>43</v>
      </c>
      <c r="H668" s="2" t="s">
        <v>18</v>
      </c>
      <c r="I668" s="2" t="s">
        <v>34</v>
      </c>
      <c r="J668" s="2" t="s">
        <v>64</v>
      </c>
      <c r="K668" s="2" t="s">
        <v>56</v>
      </c>
      <c r="L668" s="2">
        <v>65</v>
      </c>
      <c r="M668" s="2">
        <v>74</v>
      </c>
      <c r="N668" s="2">
        <v>34846.230000000003</v>
      </c>
      <c r="O668" s="2">
        <v>313.5</v>
      </c>
      <c r="P668" s="2">
        <v>161.59</v>
      </c>
      <c r="Q668" s="2" t="s">
        <v>30</v>
      </c>
      <c r="R668" s="2">
        <v>3</v>
      </c>
    </row>
    <row r="669" spans="1:18" x14ac:dyDescent="0.3">
      <c r="A669" s="2" t="s">
        <v>720</v>
      </c>
      <c r="B669" s="2" t="s">
        <v>86</v>
      </c>
      <c r="E669" s="2" t="s">
        <v>86</v>
      </c>
      <c r="F669" s="1">
        <v>45920</v>
      </c>
      <c r="G669" s="2" t="s">
        <v>41</v>
      </c>
      <c r="H669" s="2" t="s">
        <v>45</v>
      </c>
      <c r="I669" s="2" t="s">
        <v>68</v>
      </c>
      <c r="J669" s="2" t="s">
        <v>20</v>
      </c>
      <c r="K669" s="2" t="s">
        <v>21</v>
      </c>
      <c r="L669" s="2">
        <v>35</v>
      </c>
      <c r="M669" s="2">
        <v>64</v>
      </c>
      <c r="N669" s="2">
        <v>15637.77</v>
      </c>
      <c r="O669" s="2">
        <v>284.52999999999997</v>
      </c>
      <c r="P669" s="2">
        <v>37.97</v>
      </c>
      <c r="Q669" s="2" t="s">
        <v>30</v>
      </c>
      <c r="R669" s="2">
        <v>1</v>
      </c>
    </row>
    <row r="670" spans="1:18" x14ac:dyDescent="0.3">
      <c r="A670" s="2" t="s">
        <v>721</v>
      </c>
      <c r="B670" s="2" t="s">
        <v>33</v>
      </c>
      <c r="E670" s="2" t="s">
        <v>33</v>
      </c>
      <c r="F670" s="1">
        <v>45985</v>
      </c>
      <c r="G670" s="2" t="s">
        <v>32</v>
      </c>
      <c r="H670" s="2" t="s">
        <v>26</v>
      </c>
      <c r="I670" s="2" t="s">
        <v>34</v>
      </c>
      <c r="J670" s="2" t="s">
        <v>64</v>
      </c>
      <c r="K670" s="2" t="s">
        <v>29</v>
      </c>
      <c r="L670" s="2">
        <v>66</v>
      </c>
      <c r="M670" s="2">
        <v>43</v>
      </c>
      <c r="N670" s="2">
        <v>38082.33</v>
      </c>
      <c r="O670" s="2">
        <v>117.4</v>
      </c>
      <c r="P670" s="2">
        <v>33.04</v>
      </c>
      <c r="Q670" s="2" t="s">
        <v>22</v>
      </c>
      <c r="R670" s="2">
        <v>3</v>
      </c>
    </row>
    <row r="671" spans="1:18" x14ac:dyDescent="0.3">
      <c r="A671" s="2" t="s">
        <v>722</v>
      </c>
      <c r="B671" s="2" t="s">
        <v>47</v>
      </c>
      <c r="E671" s="2" t="s">
        <v>47</v>
      </c>
      <c r="F671" s="1">
        <v>45908</v>
      </c>
      <c r="G671" s="2" t="s">
        <v>74</v>
      </c>
      <c r="H671" s="2" t="s">
        <v>38</v>
      </c>
      <c r="I671" s="2" t="s">
        <v>27</v>
      </c>
      <c r="J671" s="2" t="s">
        <v>28</v>
      </c>
      <c r="K671" s="2" t="s">
        <v>56</v>
      </c>
      <c r="L671" s="2">
        <v>45</v>
      </c>
      <c r="M671" s="2">
        <v>17</v>
      </c>
      <c r="N671" s="2">
        <v>31177.52</v>
      </c>
      <c r="O671" s="2">
        <v>79.510000000000005</v>
      </c>
      <c r="P671" s="2">
        <v>144.26</v>
      </c>
      <c r="Q671" s="2" t="s">
        <v>30</v>
      </c>
      <c r="R671" s="2">
        <v>3</v>
      </c>
    </row>
    <row r="672" spans="1:18" x14ac:dyDescent="0.3">
      <c r="A672" s="2" t="s">
        <v>723</v>
      </c>
      <c r="B672" s="2" t="s">
        <v>37</v>
      </c>
      <c r="E672" s="2" t="s">
        <v>37</v>
      </c>
      <c r="F672" s="1">
        <v>46137</v>
      </c>
      <c r="G672" s="2" t="s">
        <v>90</v>
      </c>
      <c r="H672" s="2" t="s">
        <v>58</v>
      </c>
      <c r="I672" s="2" t="s">
        <v>19</v>
      </c>
      <c r="J672" s="2" t="s">
        <v>64</v>
      </c>
      <c r="K672" s="2" t="s">
        <v>29</v>
      </c>
      <c r="L672" s="2">
        <v>71</v>
      </c>
      <c r="M672" s="2">
        <v>59</v>
      </c>
      <c r="N672" s="2">
        <v>4331.87</v>
      </c>
      <c r="O672" s="2">
        <v>378.24</v>
      </c>
      <c r="P672" s="2">
        <v>46.94</v>
      </c>
      <c r="Q672" s="2" t="s">
        <v>22</v>
      </c>
      <c r="R672" s="2">
        <v>1</v>
      </c>
    </row>
    <row r="673" spans="1:18" x14ac:dyDescent="0.3">
      <c r="A673" s="2" t="s">
        <v>724</v>
      </c>
      <c r="B673" s="2" t="s">
        <v>33</v>
      </c>
      <c r="E673" s="2" t="s">
        <v>33</v>
      </c>
      <c r="F673" s="1">
        <v>45930</v>
      </c>
      <c r="G673" s="2" t="s">
        <v>32</v>
      </c>
      <c r="H673" s="2" t="s">
        <v>26</v>
      </c>
      <c r="I673" s="2" t="s">
        <v>39</v>
      </c>
      <c r="J673" s="2" t="s">
        <v>55</v>
      </c>
      <c r="K673" s="2" t="s">
        <v>21</v>
      </c>
      <c r="L673" s="2">
        <v>58</v>
      </c>
      <c r="M673" s="2">
        <v>23</v>
      </c>
      <c r="N673" s="2">
        <v>25885.35</v>
      </c>
      <c r="O673" s="2">
        <v>301.87</v>
      </c>
      <c r="P673" s="2">
        <v>169.99</v>
      </c>
      <c r="Q673" s="2" t="s">
        <v>30</v>
      </c>
      <c r="R673" s="2">
        <v>1</v>
      </c>
    </row>
    <row r="674" spans="1:18" x14ac:dyDescent="0.3">
      <c r="A674" s="2" t="s">
        <v>725</v>
      </c>
      <c r="B674" s="2" t="s">
        <v>47</v>
      </c>
      <c r="E674" s="2" t="s">
        <v>47</v>
      </c>
      <c r="F674" s="1">
        <v>45921</v>
      </c>
      <c r="G674" s="2" t="s">
        <v>74</v>
      </c>
      <c r="H674" s="2" t="s">
        <v>38</v>
      </c>
      <c r="I674" s="2" t="s">
        <v>34</v>
      </c>
      <c r="J674" s="2" t="s">
        <v>20</v>
      </c>
      <c r="K674" s="2" t="s">
        <v>21</v>
      </c>
      <c r="L674" s="2">
        <v>62</v>
      </c>
      <c r="M674" s="2">
        <v>7</v>
      </c>
      <c r="N674" s="2">
        <v>17493.400000000001</v>
      </c>
      <c r="O674" s="2">
        <v>211.55</v>
      </c>
      <c r="P674" s="2">
        <v>145.24</v>
      </c>
      <c r="Q674" s="2" t="s">
        <v>22</v>
      </c>
      <c r="R674" s="2">
        <v>3</v>
      </c>
    </row>
    <row r="675" spans="1:18" x14ac:dyDescent="0.3">
      <c r="A675" s="2" t="s">
        <v>726</v>
      </c>
      <c r="B675" s="2" t="s">
        <v>17</v>
      </c>
      <c r="E675" s="2" t="s">
        <v>17</v>
      </c>
      <c r="F675" s="1">
        <v>45980</v>
      </c>
      <c r="G675" s="2" t="s">
        <v>24</v>
      </c>
      <c r="H675" s="2" t="s">
        <v>26</v>
      </c>
      <c r="I675" s="2" t="s">
        <v>34</v>
      </c>
      <c r="J675" s="2" t="s">
        <v>64</v>
      </c>
      <c r="K675" s="2" t="s">
        <v>29</v>
      </c>
      <c r="L675" s="2">
        <v>67</v>
      </c>
      <c r="M675" s="2">
        <v>44</v>
      </c>
      <c r="N675" s="2">
        <v>16764.25</v>
      </c>
      <c r="O675" s="2">
        <v>413.76</v>
      </c>
      <c r="P675" s="2">
        <v>252.56</v>
      </c>
      <c r="Q675" s="2" t="s">
        <v>30</v>
      </c>
      <c r="R675" s="2">
        <v>5</v>
      </c>
    </row>
    <row r="676" spans="1:18" x14ac:dyDescent="0.3">
      <c r="A676" s="2" t="s">
        <v>727</v>
      </c>
      <c r="B676" s="2" t="s">
        <v>17</v>
      </c>
      <c r="E676" s="2" t="s">
        <v>17</v>
      </c>
      <c r="F676" s="1">
        <v>46067</v>
      </c>
      <c r="G676" s="2" t="s">
        <v>32</v>
      </c>
      <c r="H676" s="2" t="s">
        <v>45</v>
      </c>
      <c r="I676" s="2" t="s">
        <v>68</v>
      </c>
      <c r="J676" s="2" t="s">
        <v>20</v>
      </c>
      <c r="K676" s="2" t="s">
        <v>52</v>
      </c>
      <c r="L676" s="2">
        <v>73</v>
      </c>
      <c r="M676" s="2">
        <v>53</v>
      </c>
      <c r="N676" s="2">
        <v>30311.69</v>
      </c>
      <c r="O676" s="2">
        <v>224.63</v>
      </c>
      <c r="P676" s="2">
        <v>59.8</v>
      </c>
      <c r="Q676" s="2" t="s">
        <v>22</v>
      </c>
      <c r="R676" s="2">
        <v>3</v>
      </c>
    </row>
    <row r="677" spans="1:18" x14ac:dyDescent="0.3">
      <c r="A677" s="2" t="s">
        <v>728</v>
      </c>
      <c r="B677" s="2" t="s">
        <v>51</v>
      </c>
      <c r="E677" s="2" t="s">
        <v>51</v>
      </c>
      <c r="F677" s="1">
        <v>45959</v>
      </c>
      <c r="G677" s="2" t="s">
        <v>16</v>
      </c>
      <c r="H677" s="2" t="s">
        <v>45</v>
      </c>
      <c r="I677" s="2" t="s">
        <v>68</v>
      </c>
      <c r="J677" s="2" t="s">
        <v>20</v>
      </c>
      <c r="K677" s="2" t="s">
        <v>29</v>
      </c>
      <c r="L677" s="2">
        <v>74</v>
      </c>
      <c r="M677" s="2">
        <v>71</v>
      </c>
      <c r="N677" s="2">
        <v>16455.080000000002</v>
      </c>
      <c r="O677" s="2">
        <v>408.18</v>
      </c>
      <c r="P677" s="2">
        <v>94.98</v>
      </c>
      <c r="Q677" s="2" t="s">
        <v>22</v>
      </c>
      <c r="R677" s="2">
        <v>4</v>
      </c>
    </row>
    <row r="678" spans="1:18" x14ac:dyDescent="0.3">
      <c r="A678" s="2" t="s">
        <v>729</v>
      </c>
      <c r="B678" s="2" t="s">
        <v>25</v>
      </c>
      <c r="E678" s="2" t="s">
        <v>25</v>
      </c>
      <c r="F678" s="1">
        <v>46162</v>
      </c>
      <c r="G678" s="2" t="s">
        <v>90</v>
      </c>
      <c r="H678" s="2" t="s">
        <v>45</v>
      </c>
      <c r="I678" s="2" t="s">
        <v>34</v>
      </c>
      <c r="J678" s="2" t="s">
        <v>28</v>
      </c>
      <c r="K678" s="2" t="s">
        <v>56</v>
      </c>
      <c r="L678" s="2">
        <v>72</v>
      </c>
      <c r="M678" s="2">
        <v>108</v>
      </c>
      <c r="N678" s="2">
        <v>38956.239999999998</v>
      </c>
      <c r="O678" s="2">
        <v>187.59</v>
      </c>
      <c r="P678" s="2">
        <v>134.24</v>
      </c>
      <c r="Q678" s="2" t="s">
        <v>22</v>
      </c>
      <c r="R678" s="2">
        <v>4</v>
      </c>
    </row>
    <row r="679" spans="1:18" x14ac:dyDescent="0.3">
      <c r="A679" s="2" t="s">
        <v>730</v>
      </c>
      <c r="B679" s="2" t="s">
        <v>49</v>
      </c>
      <c r="E679" s="2" t="s">
        <v>49</v>
      </c>
      <c r="F679" s="1">
        <v>46118</v>
      </c>
      <c r="G679" s="2" t="s">
        <v>74</v>
      </c>
      <c r="H679" s="2" t="s">
        <v>58</v>
      </c>
      <c r="I679" s="2" t="s">
        <v>27</v>
      </c>
      <c r="J679" s="2" t="s">
        <v>28</v>
      </c>
      <c r="K679" s="2" t="s">
        <v>52</v>
      </c>
      <c r="L679" s="2">
        <v>58</v>
      </c>
      <c r="M679" s="2">
        <v>79</v>
      </c>
      <c r="N679" s="2">
        <v>4004.18</v>
      </c>
      <c r="O679" s="2">
        <v>82.78</v>
      </c>
      <c r="P679" s="2">
        <v>6.29</v>
      </c>
      <c r="Q679" s="2" t="s">
        <v>30</v>
      </c>
      <c r="R679" s="2">
        <v>4</v>
      </c>
    </row>
    <row r="680" spans="1:18" x14ac:dyDescent="0.3">
      <c r="A680" s="2" t="s">
        <v>731</v>
      </c>
      <c r="B680" s="2" t="s">
        <v>78</v>
      </c>
      <c r="E680" s="2" t="s">
        <v>78</v>
      </c>
      <c r="F680" s="1">
        <v>46119</v>
      </c>
      <c r="G680" s="2" t="s">
        <v>74</v>
      </c>
      <c r="H680" s="2" t="s">
        <v>45</v>
      </c>
      <c r="I680" s="2" t="s">
        <v>39</v>
      </c>
      <c r="J680" s="2" t="s">
        <v>55</v>
      </c>
      <c r="K680" s="2" t="s">
        <v>56</v>
      </c>
      <c r="L680" s="2">
        <v>43</v>
      </c>
      <c r="M680" s="2">
        <v>34</v>
      </c>
      <c r="N680" s="2">
        <v>33189.22</v>
      </c>
      <c r="O680" s="2">
        <v>469.69</v>
      </c>
      <c r="P680" s="2">
        <v>145.30000000000001</v>
      </c>
      <c r="Q680" s="2" t="s">
        <v>30</v>
      </c>
      <c r="R680" s="2">
        <v>2</v>
      </c>
    </row>
    <row r="681" spans="1:18" x14ac:dyDescent="0.3">
      <c r="A681" s="2" t="s">
        <v>732</v>
      </c>
      <c r="B681" s="2" t="s">
        <v>33</v>
      </c>
      <c r="E681" s="2" t="s">
        <v>33</v>
      </c>
      <c r="F681" s="1">
        <v>46176</v>
      </c>
      <c r="G681" s="2" t="s">
        <v>74</v>
      </c>
      <c r="H681" s="2" t="s">
        <v>38</v>
      </c>
      <c r="I681" s="2" t="s">
        <v>68</v>
      </c>
      <c r="J681" s="2" t="s">
        <v>35</v>
      </c>
      <c r="K681" s="2" t="s">
        <v>29</v>
      </c>
      <c r="L681" s="2">
        <v>45</v>
      </c>
      <c r="M681" s="2">
        <v>46</v>
      </c>
      <c r="N681" s="2">
        <v>40555.14</v>
      </c>
      <c r="O681" s="2">
        <v>227.55</v>
      </c>
      <c r="P681" s="2">
        <v>250.74</v>
      </c>
      <c r="Q681" s="2" t="s">
        <v>22</v>
      </c>
      <c r="R681" s="2">
        <v>4</v>
      </c>
    </row>
    <row r="682" spans="1:18" x14ac:dyDescent="0.3">
      <c r="A682" s="2" t="s">
        <v>733</v>
      </c>
      <c r="B682" s="2" t="s">
        <v>86</v>
      </c>
      <c r="E682" s="2" t="s">
        <v>86</v>
      </c>
      <c r="F682" s="1">
        <v>45900</v>
      </c>
      <c r="G682" s="2" t="s">
        <v>24</v>
      </c>
      <c r="H682" s="2" t="s">
        <v>26</v>
      </c>
      <c r="I682" s="2" t="s">
        <v>27</v>
      </c>
      <c r="J682" s="2" t="s">
        <v>20</v>
      </c>
      <c r="K682" s="2" t="s">
        <v>52</v>
      </c>
      <c r="L682" s="2">
        <v>62</v>
      </c>
      <c r="M682" s="2">
        <v>109</v>
      </c>
      <c r="N682" s="2">
        <v>33805.17</v>
      </c>
      <c r="O682" s="2">
        <v>406.71</v>
      </c>
      <c r="P682" s="2">
        <v>83.03</v>
      </c>
      <c r="Q682" s="2" t="s">
        <v>30</v>
      </c>
      <c r="R682" s="2">
        <v>5</v>
      </c>
    </row>
    <row r="683" spans="1:18" x14ac:dyDescent="0.3">
      <c r="A683" s="2" t="s">
        <v>734</v>
      </c>
      <c r="B683" s="2" t="s">
        <v>33</v>
      </c>
      <c r="E683" s="2" t="s">
        <v>33</v>
      </c>
      <c r="F683" s="1">
        <v>46157</v>
      </c>
      <c r="G683" s="2" t="s">
        <v>32</v>
      </c>
      <c r="H683" s="2" t="s">
        <v>18</v>
      </c>
      <c r="I683" s="2" t="s">
        <v>19</v>
      </c>
      <c r="J683" s="2" t="s">
        <v>35</v>
      </c>
      <c r="K683" s="2" t="s">
        <v>56</v>
      </c>
      <c r="L683" s="2">
        <v>27</v>
      </c>
      <c r="M683" s="2">
        <v>68</v>
      </c>
      <c r="N683" s="2">
        <v>25112.85</v>
      </c>
      <c r="O683" s="2">
        <v>175.61</v>
      </c>
      <c r="P683" s="2">
        <v>152.97999999999999</v>
      </c>
      <c r="Q683" s="2" t="s">
        <v>30</v>
      </c>
      <c r="R683" s="2">
        <v>2</v>
      </c>
    </row>
    <row r="684" spans="1:18" x14ac:dyDescent="0.3">
      <c r="A684" s="2" t="s">
        <v>735</v>
      </c>
      <c r="B684" s="2" t="s">
        <v>49</v>
      </c>
      <c r="E684" s="2" t="s">
        <v>49</v>
      </c>
      <c r="F684" s="1">
        <v>45888</v>
      </c>
      <c r="G684" s="2" t="s">
        <v>24</v>
      </c>
      <c r="H684" s="2" t="s">
        <v>38</v>
      </c>
      <c r="I684" s="2" t="s">
        <v>68</v>
      </c>
      <c r="J684" s="2" t="s">
        <v>55</v>
      </c>
      <c r="K684" s="2" t="s">
        <v>29</v>
      </c>
      <c r="L684" s="2">
        <v>42</v>
      </c>
      <c r="M684" s="2">
        <v>78</v>
      </c>
      <c r="N684" s="2">
        <v>47540.2</v>
      </c>
      <c r="O684" s="2">
        <v>340.86</v>
      </c>
      <c r="P684" s="2">
        <v>52.38</v>
      </c>
      <c r="Q684" s="2" t="s">
        <v>30</v>
      </c>
      <c r="R684" s="2">
        <v>2</v>
      </c>
    </row>
    <row r="685" spans="1:18" x14ac:dyDescent="0.3">
      <c r="A685" s="2" t="s">
        <v>736</v>
      </c>
      <c r="B685" s="2" t="s">
        <v>60</v>
      </c>
      <c r="E685" s="2" t="s">
        <v>60</v>
      </c>
      <c r="F685" s="1">
        <v>46043</v>
      </c>
      <c r="G685" s="2" t="s">
        <v>43</v>
      </c>
      <c r="H685" s="2" t="s">
        <v>38</v>
      </c>
      <c r="I685" s="2" t="s">
        <v>27</v>
      </c>
      <c r="J685" s="2" t="s">
        <v>20</v>
      </c>
      <c r="K685" s="2" t="s">
        <v>29</v>
      </c>
      <c r="L685" s="2">
        <v>37</v>
      </c>
      <c r="M685" s="2">
        <v>78</v>
      </c>
      <c r="N685" s="2">
        <v>15346.96</v>
      </c>
      <c r="O685" s="2">
        <v>442.99</v>
      </c>
      <c r="P685" s="2">
        <v>96.68</v>
      </c>
      <c r="Q685" s="2" t="s">
        <v>30</v>
      </c>
      <c r="R685" s="2">
        <v>4</v>
      </c>
    </row>
    <row r="686" spans="1:18" x14ac:dyDescent="0.3">
      <c r="A686" s="2" t="s">
        <v>737</v>
      </c>
      <c r="B686" s="2" t="s">
        <v>86</v>
      </c>
      <c r="E686" s="2" t="s">
        <v>86</v>
      </c>
      <c r="F686" s="1">
        <v>46004</v>
      </c>
      <c r="G686" s="2" t="s">
        <v>54</v>
      </c>
      <c r="H686" s="2" t="s">
        <v>45</v>
      </c>
      <c r="I686" s="2" t="s">
        <v>27</v>
      </c>
      <c r="J686" s="2" t="s">
        <v>20</v>
      </c>
      <c r="K686" s="2" t="s">
        <v>52</v>
      </c>
      <c r="L686" s="2">
        <v>38</v>
      </c>
      <c r="M686" s="2">
        <v>16</v>
      </c>
      <c r="N686" s="2">
        <v>1448.81</v>
      </c>
      <c r="O686" s="2">
        <v>68.739999999999995</v>
      </c>
      <c r="P686" s="2">
        <v>194.86</v>
      </c>
      <c r="Q686" s="2" t="s">
        <v>30</v>
      </c>
      <c r="R686" s="2">
        <v>3</v>
      </c>
    </row>
    <row r="687" spans="1:18" x14ac:dyDescent="0.3">
      <c r="A687" s="2" t="s">
        <v>738</v>
      </c>
      <c r="B687" s="2" t="s">
        <v>62</v>
      </c>
      <c r="E687" s="2" t="s">
        <v>62</v>
      </c>
      <c r="F687" s="1">
        <v>46138</v>
      </c>
      <c r="G687" s="2" t="s">
        <v>54</v>
      </c>
      <c r="H687" s="2" t="s">
        <v>58</v>
      </c>
      <c r="I687" s="2" t="s">
        <v>39</v>
      </c>
      <c r="J687" s="2" t="s">
        <v>35</v>
      </c>
      <c r="K687" s="2" t="s">
        <v>29</v>
      </c>
      <c r="L687" s="2">
        <v>69</v>
      </c>
      <c r="M687" s="2">
        <v>71</v>
      </c>
      <c r="N687" s="2">
        <v>21883.47</v>
      </c>
      <c r="O687" s="2">
        <v>423.79</v>
      </c>
      <c r="P687" s="2">
        <v>295.91000000000003</v>
      </c>
      <c r="Q687" s="2" t="s">
        <v>30</v>
      </c>
      <c r="R687" s="2">
        <v>1</v>
      </c>
    </row>
    <row r="688" spans="1:18" x14ac:dyDescent="0.3">
      <c r="A688" s="2" t="s">
        <v>739</v>
      </c>
      <c r="B688" s="2" t="s">
        <v>82</v>
      </c>
      <c r="E688" s="2" t="s">
        <v>82</v>
      </c>
      <c r="F688" s="1">
        <v>46191</v>
      </c>
      <c r="G688" s="2" t="s">
        <v>43</v>
      </c>
      <c r="H688" s="2" t="s">
        <v>26</v>
      </c>
      <c r="I688" s="2" t="s">
        <v>39</v>
      </c>
      <c r="J688" s="2" t="s">
        <v>64</v>
      </c>
      <c r="K688" s="2" t="s">
        <v>21</v>
      </c>
      <c r="L688" s="2">
        <v>61</v>
      </c>
      <c r="M688" s="2">
        <v>96</v>
      </c>
      <c r="N688" s="2">
        <v>2134.09</v>
      </c>
      <c r="O688" s="2">
        <v>307.10000000000002</v>
      </c>
      <c r="P688" s="2">
        <v>102.52</v>
      </c>
      <c r="Q688" s="2" t="s">
        <v>30</v>
      </c>
      <c r="R688" s="2">
        <v>3</v>
      </c>
    </row>
    <row r="689" spans="1:18" x14ac:dyDescent="0.3">
      <c r="A689" s="2" t="s">
        <v>740</v>
      </c>
      <c r="B689" s="2" t="s">
        <v>78</v>
      </c>
      <c r="E689" s="2" t="s">
        <v>78</v>
      </c>
      <c r="F689" s="1">
        <v>45922</v>
      </c>
      <c r="G689" s="2" t="s">
        <v>32</v>
      </c>
      <c r="H689" s="2" t="s">
        <v>58</v>
      </c>
      <c r="I689" s="2" t="s">
        <v>19</v>
      </c>
      <c r="J689" s="2" t="s">
        <v>28</v>
      </c>
      <c r="K689" s="2" t="s">
        <v>56</v>
      </c>
      <c r="L689" s="2">
        <v>30</v>
      </c>
      <c r="M689" s="2">
        <v>19</v>
      </c>
      <c r="N689" s="2">
        <v>47719.87</v>
      </c>
      <c r="O689" s="2">
        <v>323.36</v>
      </c>
      <c r="P689" s="2">
        <v>186.85</v>
      </c>
      <c r="Q689" s="2" t="s">
        <v>30</v>
      </c>
      <c r="R689" s="2">
        <v>3</v>
      </c>
    </row>
    <row r="690" spans="1:18" x14ac:dyDescent="0.3">
      <c r="A690" s="2" t="s">
        <v>741</v>
      </c>
      <c r="B690" s="2" t="s">
        <v>62</v>
      </c>
      <c r="E690" s="2" t="s">
        <v>62</v>
      </c>
      <c r="F690" s="1">
        <v>46034</v>
      </c>
      <c r="G690" s="2" t="s">
        <v>16</v>
      </c>
      <c r="H690" s="2" t="s">
        <v>26</v>
      </c>
      <c r="I690" s="2" t="s">
        <v>27</v>
      </c>
      <c r="J690" s="2" t="s">
        <v>64</v>
      </c>
      <c r="K690" s="2" t="s">
        <v>56</v>
      </c>
      <c r="L690" s="2">
        <v>30</v>
      </c>
      <c r="M690" s="2">
        <v>2</v>
      </c>
      <c r="N690" s="2">
        <v>10890.94</v>
      </c>
      <c r="O690" s="2">
        <v>285.42</v>
      </c>
      <c r="P690" s="2">
        <v>104.55</v>
      </c>
      <c r="Q690" s="2" t="s">
        <v>30</v>
      </c>
      <c r="R690" s="2">
        <v>2</v>
      </c>
    </row>
    <row r="691" spans="1:18" x14ac:dyDescent="0.3">
      <c r="A691" s="2" t="s">
        <v>742</v>
      </c>
      <c r="B691" s="2" t="s">
        <v>60</v>
      </c>
      <c r="E691" s="2" t="s">
        <v>60</v>
      </c>
      <c r="F691" s="1">
        <v>45915</v>
      </c>
      <c r="G691" s="2" t="s">
        <v>24</v>
      </c>
      <c r="H691" s="2" t="s">
        <v>26</v>
      </c>
      <c r="I691" s="2" t="s">
        <v>27</v>
      </c>
      <c r="J691" s="2" t="s">
        <v>35</v>
      </c>
      <c r="K691" s="2" t="s">
        <v>29</v>
      </c>
      <c r="L691" s="2">
        <v>27</v>
      </c>
      <c r="M691" s="2">
        <v>10</v>
      </c>
      <c r="N691" s="2">
        <v>39551.89</v>
      </c>
      <c r="O691" s="2">
        <v>443.51</v>
      </c>
      <c r="P691" s="2">
        <v>87.48</v>
      </c>
      <c r="Q691" s="2" t="s">
        <v>30</v>
      </c>
      <c r="R691" s="2">
        <v>2</v>
      </c>
    </row>
    <row r="692" spans="1:18" x14ac:dyDescent="0.3">
      <c r="A692" s="2" t="s">
        <v>743</v>
      </c>
      <c r="B692" s="2" t="s">
        <v>60</v>
      </c>
      <c r="E692" s="2" t="s">
        <v>60</v>
      </c>
      <c r="F692" s="1">
        <v>45955</v>
      </c>
      <c r="G692" s="2" t="s">
        <v>90</v>
      </c>
      <c r="H692" s="2" t="s">
        <v>58</v>
      </c>
      <c r="I692" s="2" t="s">
        <v>39</v>
      </c>
      <c r="J692" s="2" t="s">
        <v>28</v>
      </c>
      <c r="K692" s="2" t="s">
        <v>29</v>
      </c>
      <c r="L692" s="2">
        <v>68</v>
      </c>
      <c r="M692" s="2">
        <v>50</v>
      </c>
      <c r="N692" s="2">
        <v>38841.32</v>
      </c>
      <c r="O692" s="2">
        <v>69.55</v>
      </c>
      <c r="P692" s="2">
        <v>80.069999999999993</v>
      </c>
      <c r="Q692" s="2" t="s">
        <v>30</v>
      </c>
      <c r="R692" s="2">
        <v>2</v>
      </c>
    </row>
    <row r="693" spans="1:18" x14ac:dyDescent="0.3">
      <c r="A693" s="2" t="s">
        <v>744</v>
      </c>
      <c r="B693" s="2" t="s">
        <v>49</v>
      </c>
      <c r="E693" s="2" t="s">
        <v>49</v>
      </c>
      <c r="F693" s="1">
        <v>46043</v>
      </c>
      <c r="G693" s="2" t="s">
        <v>74</v>
      </c>
      <c r="H693" s="2" t="s">
        <v>38</v>
      </c>
      <c r="I693" s="2" t="s">
        <v>68</v>
      </c>
      <c r="J693" s="2" t="s">
        <v>64</v>
      </c>
      <c r="K693" s="2" t="s">
        <v>21</v>
      </c>
      <c r="L693" s="2">
        <v>70</v>
      </c>
      <c r="M693" s="2">
        <v>81</v>
      </c>
      <c r="N693" s="2">
        <v>11277.58</v>
      </c>
      <c r="O693" s="2">
        <v>167.46</v>
      </c>
      <c r="P693" s="2">
        <v>185.9</v>
      </c>
      <c r="Q693" s="2" t="s">
        <v>22</v>
      </c>
      <c r="R693" s="2">
        <v>5</v>
      </c>
    </row>
    <row r="694" spans="1:18" x14ac:dyDescent="0.3">
      <c r="A694" s="2" t="s">
        <v>745</v>
      </c>
      <c r="B694" s="2" t="s">
        <v>33</v>
      </c>
      <c r="E694" s="2" t="s">
        <v>33</v>
      </c>
      <c r="F694" s="1">
        <v>46221</v>
      </c>
      <c r="G694" s="2" t="s">
        <v>74</v>
      </c>
      <c r="H694" s="2" t="s">
        <v>26</v>
      </c>
      <c r="I694" s="2" t="s">
        <v>68</v>
      </c>
      <c r="J694" s="2" t="s">
        <v>28</v>
      </c>
      <c r="K694" s="2" t="s">
        <v>52</v>
      </c>
      <c r="L694" s="2">
        <v>58</v>
      </c>
      <c r="M694" s="2">
        <v>101</v>
      </c>
      <c r="N694" s="2">
        <v>31250.71</v>
      </c>
      <c r="O694" s="2">
        <v>444.09</v>
      </c>
      <c r="P694" s="2">
        <v>34.49</v>
      </c>
      <c r="Q694" s="2" t="s">
        <v>22</v>
      </c>
      <c r="R694" s="2">
        <v>5</v>
      </c>
    </row>
    <row r="695" spans="1:18" x14ac:dyDescent="0.3">
      <c r="A695" s="2" t="s">
        <v>746</v>
      </c>
      <c r="B695" s="2" t="s">
        <v>49</v>
      </c>
      <c r="E695" s="2" t="s">
        <v>49</v>
      </c>
      <c r="F695" s="1">
        <v>46208</v>
      </c>
      <c r="G695" s="2" t="s">
        <v>32</v>
      </c>
      <c r="H695" s="2" t="s">
        <v>58</v>
      </c>
      <c r="I695" s="2" t="s">
        <v>34</v>
      </c>
      <c r="J695" s="2" t="s">
        <v>20</v>
      </c>
      <c r="K695" s="2" t="s">
        <v>29</v>
      </c>
      <c r="L695" s="2">
        <v>47</v>
      </c>
      <c r="M695" s="2">
        <v>12</v>
      </c>
      <c r="N695" s="2">
        <v>2879.91</v>
      </c>
      <c r="O695" s="2">
        <v>388.56</v>
      </c>
      <c r="P695" s="2">
        <v>173.9</v>
      </c>
      <c r="Q695" s="2" t="s">
        <v>22</v>
      </c>
      <c r="R695" s="2">
        <v>1</v>
      </c>
    </row>
    <row r="696" spans="1:18" x14ac:dyDescent="0.3">
      <c r="A696" s="2" t="s">
        <v>747</v>
      </c>
      <c r="B696" s="2" t="s">
        <v>49</v>
      </c>
      <c r="E696" s="2" t="s">
        <v>49</v>
      </c>
      <c r="F696" s="1">
        <v>46140</v>
      </c>
      <c r="G696" s="2" t="s">
        <v>16</v>
      </c>
      <c r="H696" s="2" t="s">
        <v>26</v>
      </c>
      <c r="I696" s="2" t="s">
        <v>39</v>
      </c>
      <c r="J696" s="2" t="s">
        <v>64</v>
      </c>
      <c r="K696" s="2" t="s">
        <v>29</v>
      </c>
      <c r="L696" s="2">
        <v>72</v>
      </c>
      <c r="M696" s="2">
        <v>70</v>
      </c>
      <c r="N696" s="2">
        <v>24436.94</v>
      </c>
      <c r="O696" s="2">
        <v>57.94</v>
      </c>
      <c r="P696" s="2">
        <v>166.66</v>
      </c>
      <c r="Q696" s="2" t="s">
        <v>22</v>
      </c>
      <c r="R696" s="2">
        <v>2</v>
      </c>
    </row>
    <row r="697" spans="1:18" x14ac:dyDescent="0.3">
      <c r="A697" s="2" t="s">
        <v>748</v>
      </c>
      <c r="B697" s="2" t="s">
        <v>60</v>
      </c>
      <c r="E697" s="2" t="s">
        <v>60</v>
      </c>
      <c r="F697" s="1">
        <v>46220</v>
      </c>
      <c r="G697" s="2" t="s">
        <v>54</v>
      </c>
      <c r="H697" s="2" t="s">
        <v>18</v>
      </c>
      <c r="I697" s="2" t="s">
        <v>34</v>
      </c>
      <c r="J697" s="2" t="s">
        <v>28</v>
      </c>
      <c r="K697" s="2" t="s">
        <v>29</v>
      </c>
      <c r="L697" s="2">
        <v>53</v>
      </c>
      <c r="M697" s="2">
        <v>22</v>
      </c>
      <c r="N697" s="2">
        <v>1225.03</v>
      </c>
      <c r="O697" s="2">
        <v>282.64999999999998</v>
      </c>
      <c r="P697" s="2">
        <v>221.88</v>
      </c>
      <c r="Q697" s="2" t="s">
        <v>30</v>
      </c>
      <c r="R697" s="2">
        <v>4</v>
      </c>
    </row>
    <row r="698" spans="1:18" x14ac:dyDescent="0.3">
      <c r="A698" s="2" t="s">
        <v>749</v>
      </c>
      <c r="B698" s="2" t="s">
        <v>78</v>
      </c>
      <c r="E698" s="2" t="s">
        <v>78</v>
      </c>
      <c r="F698" s="1">
        <v>46077</v>
      </c>
      <c r="G698" s="2" t="s">
        <v>54</v>
      </c>
      <c r="H698" s="2" t="s">
        <v>38</v>
      </c>
      <c r="I698" s="2" t="s">
        <v>39</v>
      </c>
      <c r="J698" s="2" t="s">
        <v>28</v>
      </c>
      <c r="K698" s="2" t="s">
        <v>29</v>
      </c>
      <c r="L698" s="2">
        <v>21</v>
      </c>
      <c r="M698" s="2">
        <v>32</v>
      </c>
      <c r="N698" s="2">
        <v>46096.62</v>
      </c>
      <c r="O698" s="2">
        <v>288.31</v>
      </c>
      <c r="P698" s="2">
        <v>149.77000000000001</v>
      </c>
      <c r="Q698" s="2" t="s">
        <v>22</v>
      </c>
      <c r="R698" s="2">
        <v>2</v>
      </c>
    </row>
    <row r="699" spans="1:18" x14ac:dyDescent="0.3">
      <c r="A699" s="2" t="s">
        <v>750</v>
      </c>
      <c r="B699" s="2" t="s">
        <v>62</v>
      </c>
      <c r="E699" s="2" t="s">
        <v>62</v>
      </c>
      <c r="F699" s="1">
        <v>46061</v>
      </c>
      <c r="G699" s="2" t="s">
        <v>74</v>
      </c>
      <c r="H699" s="2" t="s">
        <v>45</v>
      </c>
      <c r="I699" s="2" t="s">
        <v>19</v>
      </c>
      <c r="J699" s="2" t="s">
        <v>28</v>
      </c>
      <c r="K699" s="2" t="s">
        <v>56</v>
      </c>
      <c r="L699" s="2">
        <v>64</v>
      </c>
      <c r="M699" s="2">
        <v>105</v>
      </c>
      <c r="N699" s="2">
        <v>48816.26</v>
      </c>
      <c r="O699" s="2">
        <v>230.4</v>
      </c>
      <c r="P699" s="2">
        <v>54.46</v>
      </c>
      <c r="Q699" s="2" t="s">
        <v>30</v>
      </c>
      <c r="R699" s="2">
        <v>5</v>
      </c>
    </row>
    <row r="700" spans="1:18" x14ac:dyDescent="0.3">
      <c r="A700" s="2" t="s">
        <v>751</v>
      </c>
      <c r="B700" s="2" t="s">
        <v>67</v>
      </c>
      <c r="E700" s="2" t="s">
        <v>67</v>
      </c>
      <c r="F700" s="1">
        <v>46017</v>
      </c>
      <c r="G700" s="2" t="s">
        <v>32</v>
      </c>
      <c r="H700" s="2" t="s">
        <v>26</v>
      </c>
      <c r="I700" s="2" t="s">
        <v>27</v>
      </c>
      <c r="J700" s="2" t="s">
        <v>64</v>
      </c>
      <c r="K700" s="2" t="s">
        <v>29</v>
      </c>
      <c r="L700" s="2">
        <v>73</v>
      </c>
      <c r="M700" s="2">
        <v>84</v>
      </c>
      <c r="N700" s="2">
        <v>11503</v>
      </c>
      <c r="O700" s="2">
        <v>183.83</v>
      </c>
      <c r="P700" s="2">
        <v>50.82</v>
      </c>
      <c r="Q700" s="2" t="s">
        <v>30</v>
      </c>
      <c r="R700" s="2">
        <v>2</v>
      </c>
    </row>
    <row r="701" spans="1:18" x14ac:dyDescent="0.3">
      <c r="A701" s="2" t="s">
        <v>752</v>
      </c>
      <c r="B701" s="2" t="s">
        <v>33</v>
      </c>
      <c r="E701" s="2" t="s">
        <v>33</v>
      </c>
      <c r="F701" s="1">
        <v>46008</v>
      </c>
      <c r="G701" s="2" t="s">
        <v>24</v>
      </c>
      <c r="H701" s="2" t="s">
        <v>18</v>
      </c>
      <c r="I701" s="2" t="s">
        <v>19</v>
      </c>
      <c r="J701" s="2" t="s">
        <v>55</v>
      </c>
      <c r="K701" s="2" t="s">
        <v>56</v>
      </c>
      <c r="L701" s="2">
        <v>54</v>
      </c>
      <c r="M701" s="2">
        <v>1</v>
      </c>
      <c r="N701" s="2">
        <v>10801.25</v>
      </c>
      <c r="O701" s="2">
        <v>356.78</v>
      </c>
      <c r="P701" s="2">
        <v>124.16</v>
      </c>
      <c r="Q701" s="2" t="s">
        <v>30</v>
      </c>
      <c r="R701" s="2">
        <v>5</v>
      </c>
    </row>
    <row r="702" spans="1:18" x14ac:dyDescent="0.3">
      <c r="A702" s="2" t="s">
        <v>753</v>
      </c>
      <c r="B702" s="2" t="s">
        <v>60</v>
      </c>
      <c r="E702" s="2" t="s">
        <v>60</v>
      </c>
      <c r="F702" s="1">
        <v>46219</v>
      </c>
      <c r="G702" s="2" t="s">
        <v>54</v>
      </c>
      <c r="H702" s="2" t="s">
        <v>45</v>
      </c>
      <c r="I702" s="2" t="s">
        <v>39</v>
      </c>
      <c r="J702" s="2" t="s">
        <v>64</v>
      </c>
      <c r="K702" s="2" t="s">
        <v>29</v>
      </c>
      <c r="L702" s="2">
        <v>24</v>
      </c>
      <c r="M702" s="2">
        <v>54</v>
      </c>
      <c r="N702" s="2">
        <v>37809.15</v>
      </c>
      <c r="O702" s="2">
        <v>143.51</v>
      </c>
      <c r="P702" s="2">
        <v>215.7</v>
      </c>
      <c r="Q702" s="2" t="s">
        <v>30</v>
      </c>
      <c r="R702" s="2">
        <v>2</v>
      </c>
    </row>
    <row r="703" spans="1:18" x14ac:dyDescent="0.3">
      <c r="A703" s="2" t="s">
        <v>754</v>
      </c>
      <c r="B703" s="2" t="s">
        <v>62</v>
      </c>
      <c r="E703" s="2" t="s">
        <v>62</v>
      </c>
      <c r="F703" s="1">
        <v>46014</v>
      </c>
      <c r="G703" s="2" t="s">
        <v>24</v>
      </c>
      <c r="H703" s="2" t="s">
        <v>45</v>
      </c>
      <c r="I703" s="2" t="s">
        <v>27</v>
      </c>
      <c r="J703" s="2" t="s">
        <v>35</v>
      </c>
      <c r="K703" s="2" t="s">
        <v>52</v>
      </c>
      <c r="L703" s="2">
        <v>37</v>
      </c>
      <c r="M703" s="2">
        <v>111</v>
      </c>
      <c r="N703" s="2">
        <v>13042.28</v>
      </c>
      <c r="O703" s="2">
        <v>409.53</v>
      </c>
      <c r="P703" s="2">
        <v>113.9</v>
      </c>
      <c r="Q703" s="2" t="s">
        <v>30</v>
      </c>
      <c r="R703" s="2">
        <v>4</v>
      </c>
    </row>
    <row r="704" spans="1:18" x14ac:dyDescent="0.3">
      <c r="A704" s="2" t="s">
        <v>755</v>
      </c>
      <c r="B704" s="2" t="s">
        <v>25</v>
      </c>
      <c r="E704" s="2" t="s">
        <v>25</v>
      </c>
      <c r="F704" s="1">
        <v>46142</v>
      </c>
      <c r="G704" s="2" t="s">
        <v>16</v>
      </c>
      <c r="H704" s="2" t="s">
        <v>26</v>
      </c>
      <c r="I704" s="2" t="s">
        <v>68</v>
      </c>
      <c r="J704" s="2" t="s">
        <v>64</v>
      </c>
      <c r="K704" s="2" t="s">
        <v>21</v>
      </c>
      <c r="L704" s="2">
        <v>24</v>
      </c>
      <c r="M704" s="2">
        <v>117</v>
      </c>
      <c r="N704" s="2">
        <v>44806.29</v>
      </c>
      <c r="O704" s="2">
        <v>411.37</v>
      </c>
      <c r="P704" s="2">
        <v>147.66999999999999</v>
      </c>
      <c r="Q704" s="2" t="s">
        <v>30</v>
      </c>
      <c r="R704" s="2">
        <v>1</v>
      </c>
    </row>
    <row r="705" spans="1:18" x14ac:dyDescent="0.3">
      <c r="A705" s="2" t="s">
        <v>756</v>
      </c>
      <c r="B705" s="2" t="s">
        <v>67</v>
      </c>
      <c r="E705" s="2" t="s">
        <v>67</v>
      </c>
      <c r="F705" s="1">
        <v>45895</v>
      </c>
      <c r="G705" s="2" t="s">
        <v>54</v>
      </c>
      <c r="H705" s="2" t="s">
        <v>58</v>
      </c>
      <c r="I705" s="2" t="s">
        <v>68</v>
      </c>
      <c r="J705" s="2" t="s">
        <v>28</v>
      </c>
      <c r="K705" s="2" t="s">
        <v>52</v>
      </c>
      <c r="L705" s="2">
        <v>63</v>
      </c>
      <c r="M705" s="2">
        <v>58</v>
      </c>
      <c r="N705" s="2">
        <v>28909.49</v>
      </c>
      <c r="O705" s="2">
        <v>236.87</v>
      </c>
      <c r="P705" s="2">
        <v>28.3</v>
      </c>
      <c r="Q705" s="2" t="s">
        <v>22</v>
      </c>
      <c r="R705" s="2">
        <v>4</v>
      </c>
    </row>
    <row r="706" spans="1:18" x14ac:dyDescent="0.3">
      <c r="A706" s="2" t="s">
        <v>757</v>
      </c>
      <c r="B706" s="2" t="s">
        <v>67</v>
      </c>
      <c r="E706" s="2" t="s">
        <v>67</v>
      </c>
      <c r="F706" s="1">
        <v>45905</v>
      </c>
      <c r="G706" s="2" t="s">
        <v>54</v>
      </c>
      <c r="H706" s="2" t="s">
        <v>26</v>
      </c>
      <c r="I706" s="2" t="s">
        <v>34</v>
      </c>
      <c r="J706" s="2" t="s">
        <v>20</v>
      </c>
      <c r="K706" s="2" t="s">
        <v>29</v>
      </c>
      <c r="L706" s="2">
        <v>74</v>
      </c>
      <c r="M706" s="2">
        <v>70</v>
      </c>
      <c r="N706" s="2">
        <v>17863.490000000002</v>
      </c>
      <c r="O706" s="2">
        <v>177.6</v>
      </c>
      <c r="P706" s="2">
        <v>264.74</v>
      </c>
      <c r="Q706" s="2" t="s">
        <v>30</v>
      </c>
      <c r="R706" s="2">
        <v>5</v>
      </c>
    </row>
    <row r="707" spans="1:18" x14ac:dyDescent="0.3">
      <c r="A707" s="2" t="s">
        <v>758</v>
      </c>
      <c r="B707" s="2" t="s">
        <v>17</v>
      </c>
      <c r="E707" s="2" t="s">
        <v>17</v>
      </c>
      <c r="F707" s="1">
        <v>45870</v>
      </c>
      <c r="G707" s="2" t="s">
        <v>41</v>
      </c>
      <c r="H707" s="2" t="s">
        <v>18</v>
      </c>
      <c r="I707" s="2" t="s">
        <v>39</v>
      </c>
      <c r="J707" s="2" t="s">
        <v>64</v>
      </c>
      <c r="K707" s="2" t="s">
        <v>29</v>
      </c>
      <c r="L707" s="2">
        <v>46</v>
      </c>
      <c r="M707" s="2">
        <v>83</v>
      </c>
      <c r="N707" s="2">
        <v>41718.339999999997</v>
      </c>
      <c r="O707" s="2">
        <v>177.75</v>
      </c>
      <c r="P707" s="2">
        <v>174.72</v>
      </c>
      <c r="Q707" s="2" t="s">
        <v>30</v>
      </c>
      <c r="R707" s="2">
        <v>3</v>
      </c>
    </row>
    <row r="708" spans="1:18" x14ac:dyDescent="0.3">
      <c r="A708" s="2" t="s">
        <v>759</v>
      </c>
      <c r="B708" s="2" t="s">
        <v>51</v>
      </c>
      <c r="E708" s="2" t="s">
        <v>51</v>
      </c>
      <c r="F708" s="1">
        <v>45986</v>
      </c>
      <c r="G708" s="2" t="s">
        <v>54</v>
      </c>
      <c r="H708" s="2" t="s">
        <v>45</v>
      </c>
      <c r="I708" s="2" t="s">
        <v>39</v>
      </c>
      <c r="J708" s="2" t="s">
        <v>64</v>
      </c>
      <c r="K708" s="2" t="s">
        <v>29</v>
      </c>
      <c r="L708" s="2">
        <v>24</v>
      </c>
      <c r="M708" s="2">
        <v>18</v>
      </c>
      <c r="N708" s="2">
        <v>24923.63</v>
      </c>
      <c r="O708" s="2">
        <v>267.02999999999997</v>
      </c>
      <c r="P708" s="2">
        <v>38.06</v>
      </c>
      <c r="Q708" s="2" t="s">
        <v>30</v>
      </c>
      <c r="R708" s="2">
        <v>4</v>
      </c>
    </row>
    <row r="709" spans="1:18" x14ac:dyDescent="0.3">
      <c r="A709" s="2" t="s">
        <v>760</v>
      </c>
      <c r="B709" s="2" t="s">
        <v>33</v>
      </c>
      <c r="E709" s="2" t="s">
        <v>33</v>
      </c>
      <c r="F709" s="1">
        <v>46205</v>
      </c>
      <c r="G709" s="2" t="s">
        <v>43</v>
      </c>
      <c r="H709" s="2" t="s">
        <v>26</v>
      </c>
      <c r="I709" s="2" t="s">
        <v>68</v>
      </c>
      <c r="J709" s="2" t="s">
        <v>28</v>
      </c>
      <c r="K709" s="2" t="s">
        <v>52</v>
      </c>
      <c r="L709" s="2">
        <v>21</v>
      </c>
      <c r="M709" s="2">
        <v>6</v>
      </c>
      <c r="N709" s="2">
        <v>45625.83</v>
      </c>
      <c r="O709" s="2">
        <v>373.81</v>
      </c>
      <c r="P709" s="2">
        <v>92.39</v>
      </c>
      <c r="Q709" s="2" t="s">
        <v>30</v>
      </c>
      <c r="R709" s="2">
        <v>2</v>
      </c>
    </row>
    <row r="710" spans="1:18" x14ac:dyDescent="0.3">
      <c r="A710" s="2" t="s">
        <v>761</v>
      </c>
      <c r="B710" s="2" t="s">
        <v>67</v>
      </c>
      <c r="E710" s="2" t="s">
        <v>67</v>
      </c>
      <c r="F710" s="1">
        <v>46161</v>
      </c>
      <c r="G710" s="2" t="s">
        <v>90</v>
      </c>
      <c r="H710" s="2" t="s">
        <v>58</v>
      </c>
      <c r="I710" s="2" t="s">
        <v>19</v>
      </c>
      <c r="J710" s="2" t="s">
        <v>20</v>
      </c>
      <c r="K710" s="2" t="s">
        <v>29</v>
      </c>
      <c r="L710" s="2">
        <v>27</v>
      </c>
      <c r="M710" s="2">
        <v>45</v>
      </c>
      <c r="N710" s="2">
        <v>46436.7</v>
      </c>
      <c r="O710" s="2">
        <v>211.49</v>
      </c>
      <c r="P710" s="2">
        <v>253.44</v>
      </c>
      <c r="Q710" s="2" t="s">
        <v>30</v>
      </c>
      <c r="R710" s="2">
        <v>1</v>
      </c>
    </row>
    <row r="711" spans="1:18" x14ac:dyDescent="0.3">
      <c r="A711" s="2" t="s">
        <v>762</v>
      </c>
      <c r="B711" s="2" t="s">
        <v>60</v>
      </c>
      <c r="E711" s="2" t="s">
        <v>60</v>
      </c>
      <c r="F711" s="1">
        <v>46216</v>
      </c>
      <c r="G711" s="2" t="s">
        <v>43</v>
      </c>
      <c r="H711" s="2" t="s">
        <v>26</v>
      </c>
      <c r="I711" s="2" t="s">
        <v>27</v>
      </c>
      <c r="J711" s="2" t="s">
        <v>20</v>
      </c>
      <c r="K711" s="2" t="s">
        <v>52</v>
      </c>
      <c r="L711" s="2">
        <v>50</v>
      </c>
      <c r="M711" s="2">
        <v>97</v>
      </c>
      <c r="N711" s="2">
        <v>8688.2999999999993</v>
      </c>
      <c r="O711" s="2">
        <v>324.52</v>
      </c>
      <c r="P711" s="2">
        <v>179.51</v>
      </c>
      <c r="Q711" s="2" t="s">
        <v>22</v>
      </c>
      <c r="R711" s="2">
        <v>2</v>
      </c>
    </row>
    <row r="712" spans="1:18" x14ac:dyDescent="0.3">
      <c r="A712" s="2" t="s">
        <v>763</v>
      </c>
      <c r="B712" s="2" t="s">
        <v>17</v>
      </c>
      <c r="E712" s="2" t="s">
        <v>17</v>
      </c>
      <c r="F712" s="1">
        <v>45887</v>
      </c>
      <c r="G712" s="2" t="s">
        <v>32</v>
      </c>
      <c r="H712" s="2" t="s">
        <v>38</v>
      </c>
      <c r="I712" s="2" t="s">
        <v>19</v>
      </c>
      <c r="J712" s="2" t="s">
        <v>35</v>
      </c>
      <c r="K712" s="2" t="s">
        <v>56</v>
      </c>
      <c r="L712" s="2">
        <v>70</v>
      </c>
      <c r="M712" s="2">
        <v>23</v>
      </c>
      <c r="N712" s="2">
        <v>615.01</v>
      </c>
      <c r="O712" s="2">
        <v>222.12</v>
      </c>
      <c r="P712" s="2">
        <v>52.93</v>
      </c>
      <c r="Q712" s="2" t="s">
        <v>30</v>
      </c>
      <c r="R712" s="2">
        <v>2</v>
      </c>
    </row>
    <row r="713" spans="1:18" x14ac:dyDescent="0.3">
      <c r="A713" s="2" t="s">
        <v>764</v>
      </c>
      <c r="B713" s="2" t="s">
        <v>62</v>
      </c>
      <c r="E713" s="2" t="s">
        <v>62</v>
      </c>
      <c r="F713" s="1">
        <v>46188</v>
      </c>
      <c r="G713" s="2" t="s">
        <v>32</v>
      </c>
      <c r="H713" s="2" t="s">
        <v>58</v>
      </c>
      <c r="I713" s="2" t="s">
        <v>19</v>
      </c>
      <c r="J713" s="2" t="s">
        <v>64</v>
      </c>
      <c r="K713" s="2" t="s">
        <v>21</v>
      </c>
      <c r="L713" s="2">
        <v>29</v>
      </c>
      <c r="M713" s="2">
        <v>23</v>
      </c>
      <c r="N713" s="2">
        <v>49204.58</v>
      </c>
      <c r="O713" s="2">
        <v>187.04</v>
      </c>
      <c r="P713" s="2">
        <v>142.25</v>
      </c>
      <c r="Q713" s="2" t="s">
        <v>30</v>
      </c>
      <c r="R713" s="2">
        <v>4</v>
      </c>
    </row>
    <row r="714" spans="1:18" x14ac:dyDescent="0.3">
      <c r="A714" s="2" t="s">
        <v>765</v>
      </c>
      <c r="B714" s="2" t="s">
        <v>25</v>
      </c>
      <c r="E714" s="2" t="s">
        <v>25</v>
      </c>
      <c r="F714" s="1">
        <v>46198</v>
      </c>
      <c r="G714" s="2" t="s">
        <v>24</v>
      </c>
      <c r="H714" s="2" t="s">
        <v>18</v>
      </c>
      <c r="I714" s="2" t="s">
        <v>68</v>
      </c>
      <c r="J714" s="2" t="s">
        <v>20</v>
      </c>
      <c r="K714" s="2" t="s">
        <v>21</v>
      </c>
      <c r="L714" s="2">
        <v>55</v>
      </c>
      <c r="M714" s="2">
        <v>26</v>
      </c>
      <c r="N714" s="2">
        <v>45353.81</v>
      </c>
      <c r="O714" s="2">
        <v>61.19</v>
      </c>
      <c r="P714" s="2">
        <v>20</v>
      </c>
      <c r="Q714" s="2" t="s">
        <v>30</v>
      </c>
      <c r="R714" s="2">
        <v>1</v>
      </c>
    </row>
    <row r="715" spans="1:18" x14ac:dyDescent="0.3">
      <c r="A715" s="2" t="s">
        <v>766</v>
      </c>
      <c r="B715" s="2" t="s">
        <v>47</v>
      </c>
      <c r="E715" s="2" t="s">
        <v>47</v>
      </c>
      <c r="F715" s="1">
        <v>46114</v>
      </c>
      <c r="G715" s="2" t="s">
        <v>43</v>
      </c>
      <c r="H715" s="2" t="s">
        <v>45</v>
      </c>
      <c r="I715" s="2" t="s">
        <v>68</v>
      </c>
      <c r="J715" s="2" t="s">
        <v>20</v>
      </c>
      <c r="K715" s="2" t="s">
        <v>52</v>
      </c>
      <c r="L715" s="2">
        <v>28</v>
      </c>
      <c r="M715" s="2">
        <v>77</v>
      </c>
      <c r="N715" s="2">
        <v>3244.54</v>
      </c>
      <c r="O715" s="2">
        <v>51.76</v>
      </c>
      <c r="P715" s="2">
        <v>6.71</v>
      </c>
      <c r="Q715" s="2" t="s">
        <v>30</v>
      </c>
      <c r="R715" s="2">
        <v>3</v>
      </c>
    </row>
    <row r="716" spans="1:18" x14ac:dyDescent="0.3">
      <c r="A716" s="2" t="s">
        <v>767</v>
      </c>
      <c r="B716" s="2" t="s">
        <v>33</v>
      </c>
      <c r="E716" s="2" t="s">
        <v>33</v>
      </c>
      <c r="F716" s="1">
        <v>46099</v>
      </c>
      <c r="G716" s="2" t="s">
        <v>43</v>
      </c>
      <c r="H716" s="2" t="s">
        <v>26</v>
      </c>
      <c r="I716" s="2" t="s">
        <v>68</v>
      </c>
      <c r="J716" s="2" t="s">
        <v>55</v>
      </c>
      <c r="K716" s="2" t="s">
        <v>56</v>
      </c>
      <c r="L716" s="2">
        <v>44</v>
      </c>
      <c r="M716" s="2">
        <v>7</v>
      </c>
      <c r="N716" s="2">
        <v>41735.199999999997</v>
      </c>
      <c r="O716" s="2">
        <v>152.24</v>
      </c>
      <c r="P716" s="2">
        <v>112.08</v>
      </c>
      <c r="Q716" s="2" t="s">
        <v>22</v>
      </c>
      <c r="R716" s="2">
        <v>2</v>
      </c>
    </row>
    <row r="717" spans="1:18" x14ac:dyDescent="0.3">
      <c r="A717" s="2" t="s">
        <v>768</v>
      </c>
      <c r="B717" s="2" t="s">
        <v>78</v>
      </c>
      <c r="E717" s="2" t="s">
        <v>78</v>
      </c>
      <c r="F717" s="1">
        <v>46118</v>
      </c>
      <c r="G717" s="2" t="s">
        <v>43</v>
      </c>
      <c r="H717" s="2" t="s">
        <v>58</v>
      </c>
      <c r="I717" s="2" t="s">
        <v>34</v>
      </c>
      <c r="J717" s="2" t="s">
        <v>55</v>
      </c>
      <c r="K717" s="2" t="s">
        <v>52</v>
      </c>
      <c r="L717" s="2">
        <v>39</v>
      </c>
      <c r="M717" s="2">
        <v>79</v>
      </c>
      <c r="N717" s="2">
        <v>23161.34</v>
      </c>
      <c r="O717" s="2">
        <v>232.88</v>
      </c>
      <c r="P717" s="2">
        <v>138.97</v>
      </c>
      <c r="Q717" s="2" t="s">
        <v>30</v>
      </c>
      <c r="R717" s="2">
        <v>1</v>
      </c>
    </row>
    <row r="718" spans="1:18" x14ac:dyDescent="0.3">
      <c r="A718" s="2" t="s">
        <v>769</v>
      </c>
      <c r="B718" s="2" t="s">
        <v>49</v>
      </c>
      <c r="E718" s="2" t="s">
        <v>49</v>
      </c>
      <c r="F718" s="1">
        <v>46203</v>
      </c>
      <c r="G718" s="2" t="s">
        <v>16</v>
      </c>
      <c r="H718" s="2" t="s">
        <v>38</v>
      </c>
      <c r="I718" s="2" t="s">
        <v>19</v>
      </c>
      <c r="J718" s="2" t="s">
        <v>20</v>
      </c>
      <c r="K718" s="2" t="s">
        <v>56</v>
      </c>
      <c r="L718" s="2">
        <v>56</v>
      </c>
      <c r="M718" s="2">
        <v>44</v>
      </c>
      <c r="N718" s="2">
        <v>13318.6</v>
      </c>
      <c r="O718" s="2">
        <v>433.07</v>
      </c>
      <c r="P718" s="2">
        <v>159.16</v>
      </c>
      <c r="Q718" s="2" t="s">
        <v>22</v>
      </c>
      <c r="R718" s="2">
        <v>3</v>
      </c>
    </row>
    <row r="719" spans="1:18" x14ac:dyDescent="0.3">
      <c r="A719" s="2" t="s">
        <v>770</v>
      </c>
      <c r="B719" s="2" t="s">
        <v>86</v>
      </c>
      <c r="E719" s="2" t="s">
        <v>86</v>
      </c>
      <c r="F719" s="1">
        <v>46208</v>
      </c>
      <c r="G719" s="2" t="s">
        <v>54</v>
      </c>
      <c r="H719" s="2" t="s">
        <v>58</v>
      </c>
      <c r="I719" s="2" t="s">
        <v>39</v>
      </c>
      <c r="J719" s="2" t="s">
        <v>35</v>
      </c>
      <c r="K719" s="2" t="s">
        <v>29</v>
      </c>
      <c r="L719" s="2">
        <v>70</v>
      </c>
      <c r="M719" s="2">
        <v>27</v>
      </c>
      <c r="N719" s="2">
        <v>43997.95</v>
      </c>
      <c r="O719" s="2">
        <v>409.32</v>
      </c>
      <c r="P719" s="2">
        <v>102.06</v>
      </c>
      <c r="Q719" s="2" t="s">
        <v>22</v>
      </c>
      <c r="R719" s="2">
        <v>2</v>
      </c>
    </row>
    <row r="720" spans="1:18" x14ac:dyDescent="0.3">
      <c r="A720" s="2" t="s">
        <v>771</v>
      </c>
      <c r="B720" s="2" t="s">
        <v>86</v>
      </c>
      <c r="E720" s="2" t="s">
        <v>86</v>
      </c>
      <c r="F720" s="1">
        <v>46032</v>
      </c>
      <c r="G720" s="2" t="s">
        <v>90</v>
      </c>
      <c r="H720" s="2" t="s">
        <v>38</v>
      </c>
      <c r="I720" s="2" t="s">
        <v>27</v>
      </c>
      <c r="J720" s="2" t="s">
        <v>20</v>
      </c>
      <c r="K720" s="2" t="s">
        <v>56</v>
      </c>
      <c r="L720" s="2">
        <v>72</v>
      </c>
      <c r="M720" s="2">
        <v>26</v>
      </c>
      <c r="N720" s="2">
        <v>10235.030000000001</v>
      </c>
      <c r="O720" s="2">
        <v>170.22</v>
      </c>
      <c r="P720" s="2">
        <v>1.31</v>
      </c>
      <c r="Q720" s="2" t="s">
        <v>22</v>
      </c>
      <c r="R720" s="2">
        <v>1</v>
      </c>
    </row>
    <row r="721" spans="1:18" x14ac:dyDescent="0.3">
      <c r="A721" s="2" t="s">
        <v>772</v>
      </c>
      <c r="B721" s="2" t="s">
        <v>62</v>
      </c>
      <c r="E721" s="2" t="s">
        <v>62</v>
      </c>
      <c r="F721" s="1">
        <v>46007</v>
      </c>
      <c r="G721" s="2" t="s">
        <v>24</v>
      </c>
      <c r="H721" s="2" t="s">
        <v>18</v>
      </c>
      <c r="I721" s="2" t="s">
        <v>34</v>
      </c>
      <c r="J721" s="2" t="s">
        <v>28</v>
      </c>
      <c r="K721" s="2" t="s">
        <v>56</v>
      </c>
      <c r="L721" s="2">
        <v>63</v>
      </c>
      <c r="M721" s="2">
        <v>97</v>
      </c>
      <c r="N721" s="2">
        <v>47391.35</v>
      </c>
      <c r="O721" s="2">
        <v>160.04</v>
      </c>
      <c r="P721" s="2">
        <v>95.9</v>
      </c>
      <c r="Q721" s="2" t="s">
        <v>22</v>
      </c>
      <c r="R721" s="2">
        <v>4</v>
      </c>
    </row>
    <row r="722" spans="1:18" x14ac:dyDescent="0.3">
      <c r="A722" s="2" t="s">
        <v>773</v>
      </c>
      <c r="B722" s="2" t="s">
        <v>76</v>
      </c>
      <c r="E722" s="2" t="s">
        <v>76</v>
      </c>
      <c r="F722" s="1">
        <v>46167</v>
      </c>
      <c r="G722" s="2" t="s">
        <v>43</v>
      </c>
      <c r="H722" s="2" t="s">
        <v>45</v>
      </c>
      <c r="I722" s="2" t="s">
        <v>39</v>
      </c>
      <c r="J722" s="2" t="s">
        <v>64</v>
      </c>
      <c r="K722" s="2" t="s">
        <v>56</v>
      </c>
      <c r="L722" s="2">
        <v>47</v>
      </c>
      <c r="M722" s="2">
        <v>79</v>
      </c>
      <c r="N722" s="2">
        <v>10678.26</v>
      </c>
      <c r="O722" s="2">
        <v>152.29</v>
      </c>
      <c r="P722" s="2">
        <v>3.17</v>
      </c>
      <c r="Q722" s="2" t="s">
        <v>30</v>
      </c>
      <c r="R722" s="2">
        <v>2</v>
      </c>
    </row>
    <row r="723" spans="1:18" x14ac:dyDescent="0.3">
      <c r="A723" s="2" t="s">
        <v>774</v>
      </c>
      <c r="B723" s="2" t="s">
        <v>76</v>
      </c>
      <c r="E723" s="2" t="s">
        <v>76</v>
      </c>
      <c r="F723" s="1">
        <v>45894</v>
      </c>
      <c r="G723" s="2" t="s">
        <v>43</v>
      </c>
      <c r="H723" s="2" t="s">
        <v>18</v>
      </c>
      <c r="I723" s="2" t="s">
        <v>19</v>
      </c>
      <c r="J723" s="2" t="s">
        <v>35</v>
      </c>
      <c r="K723" s="2" t="s">
        <v>21</v>
      </c>
      <c r="L723" s="2">
        <v>52</v>
      </c>
      <c r="M723" s="2">
        <v>36</v>
      </c>
      <c r="N723" s="2">
        <v>30877.32</v>
      </c>
      <c r="O723" s="2">
        <v>202.66</v>
      </c>
      <c r="P723" s="2">
        <v>18.399999999999999</v>
      </c>
      <c r="Q723" s="2" t="s">
        <v>30</v>
      </c>
      <c r="R723" s="2">
        <v>2</v>
      </c>
    </row>
    <row r="724" spans="1:18" x14ac:dyDescent="0.3">
      <c r="A724" s="2" t="s">
        <v>775</v>
      </c>
      <c r="B724" s="2" t="s">
        <v>62</v>
      </c>
      <c r="E724" s="2" t="s">
        <v>62</v>
      </c>
      <c r="F724" s="1">
        <v>46126</v>
      </c>
      <c r="G724" s="2" t="s">
        <v>41</v>
      </c>
      <c r="H724" s="2" t="s">
        <v>26</v>
      </c>
      <c r="I724" s="2" t="s">
        <v>68</v>
      </c>
      <c r="J724" s="2" t="s">
        <v>28</v>
      </c>
      <c r="K724" s="2" t="s">
        <v>56</v>
      </c>
      <c r="L724" s="2">
        <v>34</v>
      </c>
      <c r="M724" s="2">
        <v>109</v>
      </c>
      <c r="N724" s="2">
        <v>11542.77</v>
      </c>
      <c r="O724" s="2">
        <v>274.19</v>
      </c>
      <c r="P724" s="2">
        <v>65.34</v>
      </c>
      <c r="Q724" s="2" t="s">
        <v>30</v>
      </c>
      <c r="R724" s="2">
        <v>1</v>
      </c>
    </row>
    <row r="725" spans="1:18" x14ac:dyDescent="0.3">
      <c r="A725" s="2" t="s">
        <v>776</v>
      </c>
      <c r="B725" s="2" t="s">
        <v>60</v>
      </c>
      <c r="E725" s="2" t="s">
        <v>60</v>
      </c>
      <c r="F725" s="1">
        <v>46211</v>
      </c>
      <c r="G725" s="2" t="s">
        <v>24</v>
      </c>
      <c r="H725" s="2" t="s">
        <v>58</v>
      </c>
      <c r="I725" s="2" t="s">
        <v>19</v>
      </c>
      <c r="J725" s="2" t="s">
        <v>35</v>
      </c>
      <c r="K725" s="2" t="s">
        <v>29</v>
      </c>
      <c r="L725" s="2">
        <v>38</v>
      </c>
      <c r="M725" s="2">
        <v>55</v>
      </c>
      <c r="N725" s="2">
        <v>27510.6</v>
      </c>
      <c r="O725" s="2">
        <v>247.4</v>
      </c>
      <c r="P725" s="2">
        <v>131.15</v>
      </c>
      <c r="Q725" s="2" t="s">
        <v>22</v>
      </c>
      <c r="R725" s="2">
        <v>2</v>
      </c>
    </row>
    <row r="726" spans="1:18" x14ac:dyDescent="0.3">
      <c r="A726" s="2" t="s">
        <v>777</v>
      </c>
      <c r="B726" s="2" t="s">
        <v>67</v>
      </c>
      <c r="E726" s="2" t="s">
        <v>67</v>
      </c>
      <c r="F726" s="1">
        <v>45902</v>
      </c>
      <c r="G726" s="2" t="s">
        <v>43</v>
      </c>
      <c r="H726" s="2" t="s">
        <v>38</v>
      </c>
      <c r="I726" s="2" t="s">
        <v>27</v>
      </c>
      <c r="J726" s="2" t="s">
        <v>28</v>
      </c>
      <c r="K726" s="2" t="s">
        <v>29</v>
      </c>
      <c r="L726" s="2">
        <v>48</v>
      </c>
      <c r="M726" s="2">
        <v>64</v>
      </c>
      <c r="N726" s="2">
        <v>34356.769999999997</v>
      </c>
      <c r="O726" s="2">
        <v>148.22</v>
      </c>
      <c r="P726" s="2">
        <v>83.84</v>
      </c>
      <c r="Q726" s="2" t="s">
        <v>22</v>
      </c>
      <c r="R726" s="2">
        <v>3</v>
      </c>
    </row>
    <row r="727" spans="1:18" x14ac:dyDescent="0.3">
      <c r="A727" s="2" t="s">
        <v>778</v>
      </c>
      <c r="B727" s="2" t="s">
        <v>51</v>
      </c>
      <c r="E727" s="2" t="s">
        <v>51</v>
      </c>
      <c r="F727" s="1">
        <v>46073</v>
      </c>
      <c r="G727" s="2" t="s">
        <v>24</v>
      </c>
      <c r="H727" s="2" t="s">
        <v>38</v>
      </c>
      <c r="I727" s="2" t="s">
        <v>34</v>
      </c>
      <c r="J727" s="2" t="s">
        <v>64</v>
      </c>
      <c r="K727" s="2" t="s">
        <v>29</v>
      </c>
      <c r="L727" s="2">
        <v>49</v>
      </c>
      <c r="M727" s="2">
        <v>91</v>
      </c>
      <c r="N727" s="2">
        <v>9916.2800000000007</v>
      </c>
      <c r="O727" s="2">
        <v>108.7</v>
      </c>
      <c r="P727" s="2">
        <v>174.56</v>
      </c>
      <c r="Q727" s="2" t="s">
        <v>22</v>
      </c>
      <c r="R727" s="2">
        <v>2</v>
      </c>
    </row>
    <row r="728" spans="1:18" x14ac:dyDescent="0.3">
      <c r="A728" s="2" t="s">
        <v>779</v>
      </c>
      <c r="B728" s="2" t="s">
        <v>33</v>
      </c>
      <c r="E728" s="2" t="s">
        <v>33</v>
      </c>
      <c r="F728" s="1">
        <v>46146</v>
      </c>
      <c r="G728" s="2" t="s">
        <v>54</v>
      </c>
      <c r="H728" s="2" t="s">
        <v>58</v>
      </c>
      <c r="I728" s="2" t="s">
        <v>34</v>
      </c>
      <c r="J728" s="2" t="s">
        <v>64</v>
      </c>
      <c r="K728" s="2" t="s">
        <v>56</v>
      </c>
      <c r="L728" s="2">
        <v>36</v>
      </c>
      <c r="M728" s="2">
        <v>57</v>
      </c>
      <c r="N728" s="2">
        <v>26283.85</v>
      </c>
      <c r="O728" s="2">
        <v>55.66</v>
      </c>
      <c r="P728" s="2">
        <v>11.07</v>
      </c>
      <c r="Q728" s="2" t="s">
        <v>22</v>
      </c>
      <c r="R728" s="2">
        <v>5</v>
      </c>
    </row>
    <row r="729" spans="1:18" x14ac:dyDescent="0.3">
      <c r="A729" s="2" t="s">
        <v>780</v>
      </c>
      <c r="B729" s="2" t="s">
        <v>86</v>
      </c>
      <c r="E729" s="2" t="s">
        <v>86</v>
      </c>
      <c r="F729" s="1">
        <v>45990</v>
      </c>
      <c r="G729" s="2" t="s">
        <v>41</v>
      </c>
      <c r="H729" s="2" t="s">
        <v>58</v>
      </c>
      <c r="I729" s="2" t="s">
        <v>27</v>
      </c>
      <c r="J729" s="2" t="s">
        <v>55</v>
      </c>
      <c r="K729" s="2" t="s">
        <v>52</v>
      </c>
      <c r="L729" s="2">
        <v>55</v>
      </c>
      <c r="M729" s="2">
        <v>69</v>
      </c>
      <c r="N729" s="2">
        <v>23718.46</v>
      </c>
      <c r="O729" s="2">
        <v>119.28</v>
      </c>
      <c r="P729" s="2">
        <v>28.92</v>
      </c>
      <c r="Q729" s="2" t="s">
        <v>30</v>
      </c>
      <c r="R729" s="2">
        <v>3</v>
      </c>
    </row>
    <row r="730" spans="1:18" x14ac:dyDescent="0.3">
      <c r="A730" s="2" t="s">
        <v>781</v>
      </c>
      <c r="B730" s="2" t="s">
        <v>86</v>
      </c>
      <c r="E730" s="2" t="s">
        <v>86</v>
      </c>
      <c r="F730" s="1">
        <v>46215</v>
      </c>
      <c r="G730" s="2" t="s">
        <v>24</v>
      </c>
      <c r="H730" s="2" t="s">
        <v>26</v>
      </c>
      <c r="I730" s="2" t="s">
        <v>39</v>
      </c>
      <c r="J730" s="2" t="s">
        <v>28</v>
      </c>
      <c r="K730" s="2" t="s">
        <v>52</v>
      </c>
      <c r="L730" s="2">
        <v>67</v>
      </c>
      <c r="M730" s="2">
        <v>61</v>
      </c>
      <c r="N730" s="2">
        <v>4016.35</v>
      </c>
      <c r="O730" s="2">
        <v>367.41</v>
      </c>
      <c r="P730" s="2">
        <v>139.05000000000001</v>
      </c>
      <c r="Q730" s="2" t="s">
        <v>30</v>
      </c>
      <c r="R730" s="2">
        <v>1</v>
      </c>
    </row>
    <row r="731" spans="1:18" x14ac:dyDescent="0.3">
      <c r="A731" s="2" t="s">
        <v>782</v>
      </c>
      <c r="B731" s="2" t="s">
        <v>51</v>
      </c>
      <c r="E731" s="2" t="s">
        <v>51</v>
      </c>
      <c r="F731" s="1">
        <v>45981</v>
      </c>
      <c r="G731" s="2" t="s">
        <v>90</v>
      </c>
      <c r="H731" s="2" t="s">
        <v>18</v>
      </c>
      <c r="I731" s="2" t="s">
        <v>39</v>
      </c>
      <c r="J731" s="2" t="s">
        <v>55</v>
      </c>
      <c r="K731" s="2" t="s">
        <v>29</v>
      </c>
      <c r="L731" s="2">
        <v>51</v>
      </c>
      <c r="M731" s="2">
        <v>2</v>
      </c>
      <c r="N731" s="2">
        <v>41006.239999999998</v>
      </c>
      <c r="O731" s="2">
        <v>159.63999999999999</v>
      </c>
      <c r="P731" s="2">
        <v>42.64</v>
      </c>
      <c r="Q731" s="2" t="s">
        <v>30</v>
      </c>
      <c r="R731" s="2">
        <v>3</v>
      </c>
    </row>
    <row r="732" spans="1:18" x14ac:dyDescent="0.3">
      <c r="A732" s="2" t="s">
        <v>783</v>
      </c>
      <c r="B732" s="2" t="s">
        <v>67</v>
      </c>
      <c r="E732" s="2" t="s">
        <v>67</v>
      </c>
      <c r="F732" s="1">
        <v>45925</v>
      </c>
      <c r="G732" s="2" t="s">
        <v>90</v>
      </c>
      <c r="H732" s="2" t="s">
        <v>38</v>
      </c>
      <c r="I732" s="2" t="s">
        <v>34</v>
      </c>
      <c r="J732" s="2" t="s">
        <v>28</v>
      </c>
      <c r="K732" s="2" t="s">
        <v>21</v>
      </c>
      <c r="L732" s="2">
        <v>24</v>
      </c>
      <c r="M732" s="2">
        <v>55</v>
      </c>
      <c r="N732" s="2">
        <v>17116.28</v>
      </c>
      <c r="O732" s="2">
        <v>260.87</v>
      </c>
      <c r="P732" s="2">
        <v>127.96</v>
      </c>
      <c r="Q732" s="2" t="s">
        <v>22</v>
      </c>
      <c r="R732" s="2">
        <v>5</v>
      </c>
    </row>
    <row r="733" spans="1:18" x14ac:dyDescent="0.3">
      <c r="A733" s="2" t="s">
        <v>784</v>
      </c>
      <c r="B733" s="2" t="s">
        <v>86</v>
      </c>
      <c r="E733" s="2" t="s">
        <v>86</v>
      </c>
      <c r="F733" s="1">
        <v>46088</v>
      </c>
      <c r="G733" s="2" t="s">
        <v>32</v>
      </c>
      <c r="H733" s="2" t="s">
        <v>26</v>
      </c>
      <c r="I733" s="2" t="s">
        <v>34</v>
      </c>
      <c r="J733" s="2" t="s">
        <v>55</v>
      </c>
      <c r="K733" s="2" t="s">
        <v>52</v>
      </c>
      <c r="L733" s="2">
        <v>57</v>
      </c>
      <c r="M733" s="2">
        <v>97</v>
      </c>
      <c r="N733" s="2">
        <v>28941.82</v>
      </c>
      <c r="O733" s="2">
        <v>316.08999999999997</v>
      </c>
      <c r="P733" s="2">
        <v>10.94</v>
      </c>
      <c r="Q733" s="2" t="s">
        <v>22</v>
      </c>
      <c r="R733" s="2">
        <v>5</v>
      </c>
    </row>
    <row r="734" spans="1:18" x14ac:dyDescent="0.3">
      <c r="A734" s="2" t="s">
        <v>785</v>
      </c>
      <c r="B734" s="2" t="s">
        <v>49</v>
      </c>
      <c r="E734" s="2" t="s">
        <v>49</v>
      </c>
      <c r="F734" s="1">
        <v>46183</v>
      </c>
      <c r="G734" s="2" t="s">
        <v>41</v>
      </c>
      <c r="H734" s="2" t="s">
        <v>18</v>
      </c>
      <c r="I734" s="2" t="s">
        <v>68</v>
      </c>
      <c r="J734" s="2" t="s">
        <v>64</v>
      </c>
      <c r="K734" s="2" t="s">
        <v>56</v>
      </c>
      <c r="L734" s="2">
        <v>37</v>
      </c>
      <c r="M734" s="2">
        <v>80</v>
      </c>
      <c r="N734" s="2">
        <v>25981.82</v>
      </c>
      <c r="O734" s="2">
        <v>449.08</v>
      </c>
      <c r="P734" s="2">
        <v>81.48</v>
      </c>
      <c r="Q734" s="2" t="s">
        <v>22</v>
      </c>
      <c r="R734" s="2">
        <v>2</v>
      </c>
    </row>
    <row r="735" spans="1:18" x14ac:dyDescent="0.3">
      <c r="A735" s="2" t="s">
        <v>786</v>
      </c>
      <c r="B735" s="2" t="s">
        <v>78</v>
      </c>
      <c r="E735" s="2" t="s">
        <v>78</v>
      </c>
      <c r="F735" s="1">
        <v>46030</v>
      </c>
      <c r="G735" s="2" t="s">
        <v>41</v>
      </c>
      <c r="H735" s="2" t="s">
        <v>26</v>
      </c>
      <c r="I735" s="2" t="s">
        <v>39</v>
      </c>
      <c r="J735" s="2" t="s">
        <v>35</v>
      </c>
      <c r="K735" s="2" t="s">
        <v>52</v>
      </c>
      <c r="L735" s="2">
        <v>59</v>
      </c>
      <c r="M735" s="2">
        <v>87</v>
      </c>
      <c r="N735" s="2">
        <v>25906.39</v>
      </c>
      <c r="O735" s="2">
        <v>449.98</v>
      </c>
      <c r="P735" s="2">
        <v>35.479999999999997</v>
      </c>
      <c r="Q735" s="2" t="s">
        <v>22</v>
      </c>
      <c r="R735" s="2">
        <v>2</v>
      </c>
    </row>
    <row r="736" spans="1:18" x14ac:dyDescent="0.3">
      <c r="A736" s="2" t="s">
        <v>787</v>
      </c>
      <c r="B736" s="2" t="s">
        <v>33</v>
      </c>
      <c r="E736" s="2" t="s">
        <v>33</v>
      </c>
      <c r="F736" s="1">
        <v>45925</v>
      </c>
      <c r="G736" s="2" t="s">
        <v>32</v>
      </c>
      <c r="H736" s="2" t="s">
        <v>38</v>
      </c>
      <c r="I736" s="2" t="s">
        <v>27</v>
      </c>
      <c r="J736" s="2" t="s">
        <v>55</v>
      </c>
      <c r="K736" s="2" t="s">
        <v>29</v>
      </c>
      <c r="L736" s="2">
        <v>68</v>
      </c>
      <c r="M736" s="2">
        <v>38</v>
      </c>
      <c r="N736" s="2">
        <v>5807.51</v>
      </c>
      <c r="O736" s="2">
        <v>385.58</v>
      </c>
      <c r="P736" s="2">
        <v>32.89</v>
      </c>
      <c r="Q736" s="2" t="s">
        <v>22</v>
      </c>
      <c r="R736" s="2">
        <v>4</v>
      </c>
    </row>
    <row r="737" spans="1:18" x14ac:dyDescent="0.3">
      <c r="A737" s="2" t="s">
        <v>788</v>
      </c>
      <c r="B737" s="2" t="s">
        <v>37</v>
      </c>
      <c r="E737" s="2" t="s">
        <v>37</v>
      </c>
      <c r="F737" s="1">
        <v>45882</v>
      </c>
      <c r="G737" s="2" t="s">
        <v>24</v>
      </c>
      <c r="H737" s="2" t="s">
        <v>58</v>
      </c>
      <c r="I737" s="2" t="s">
        <v>39</v>
      </c>
      <c r="J737" s="2" t="s">
        <v>28</v>
      </c>
      <c r="K737" s="2" t="s">
        <v>21</v>
      </c>
      <c r="L737" s="2">
        <v>66</v>
      </c>
      <c r="M737" s="2">
        <v>119</v>
      </c>
      <c r="N737" s="2">
        <v>21462.36</v>
      </c>
      <c r="O737" s="2">
        <v>65.819999999999993</v>
      </c>
      <c r="P737" s="2">
        <v>113.41</v>
      </c>
      <c r="Q737" s="2" t="s">
        <v>22</v>
      </c>
      <c r="R737" s="2">
        <v>3</v>
      </c>
    </row>
    <row r="738" spans="1:18" x14ac:dyDescent="0.3">
      <c r="A738" s="2" t="s">
        <v>789</v>
      </c>
      <c r="B738" s="2" t="s">
        <v>86</v>
      </c>
      <c r="E738" s="2" t="s">
        <v>86</v>
      </c>
      <c r="F738" s="1">
        <v>45934</v>
      </c>
      <c r="G738" s="2" t="s">
        <v>41</v>
      </c>
      <c r="H738" s="2" t="s">
        <v>58</v>
      </c>
      <c r="I738" s="2" t="s">
        <v>68</v>
      </c>
      <c r="J738" s="2" t="s">
        <v>28</v>
      </c>
      <c r="K738" s="2" t="s">
        <v>52</v>
      </c>
      <c r="L738" s="2">
        <v>46</v>
      </c>
      <c r="M738" s="2">
        <v>80</v>
      </c>
      <c r="N738" s="2">
        <v>22892.15</v>
      </c>
      <c r="O738" s="2">
        <v>308.77999999999997</v>
      </c>
      <c r="P738" s="2">
        <v>185.67</v>
      </c>
      <c r="Q738" s="2" t="s">
        <v>22</v>
      </c>
      <c r="R738" s="2">
        <v>4</v>
      </c>
    </row>
    <row r="739" spans="1:18" x14ac:dyDescent="0.3">
      <c r="A739" s="2" t="s">
        <v>790</v>
      </c>
      <c r="B739" s="2" t="s">
        <v>62</v>
      </c>
      <c r="E739" s="2" t="s">
        <v>62</v>
      </c>
      <c r="F739" s="1">
        <v>45944</v>
      </c>
      <c r="G739" s="2" t="s">
        <v>90</v>
      </c>
      <c r="H739" s="2" t="s">
        <v>18</v>
      </c>
      <c r="I739" s="2" t="s">
        <v>34</v>
      </c>
      <c r="J739" s="2" t="s">
        <v>64</v>
      </c>
      <c r="K739" s="2" t="s">
        <v>52</v>
      </c>
      <c r="L739" s="2">
        <v>68</v>
      </c>
      <c r="M739" s="2">
        <v>78</v>
      </c>
      <c r="N739" s="2">
        <v>36815.32</v>
      </c>
      <c r="O739" s="2">
        <v>403.96</v>
      </c>
      <c r="P739" s="2">
        <v>10.96</v>
      </c>
      <c r="Q739" s="2" t="s">
        <v>30</v>
      </c>
      <c r="R739" s="2">
        <v>5</v>
      </c>
    </row>
    <row r="740" spans="1:18" x14ac:dyDescent="0.3">
      <c r="A740" s="2" t="s">
        <v>791</v>
      </c>
      <c r="B740" s="2" t="s">
        <v>78</v>
      </c>
      <c r="E740" s="2" t="s">
        <v>78</v>
      </c>
      <c r="F740" s="1">
        <v>45913</v>
      </c>
      <c r="G740" s="2" t="s">
        <v>90</v>
      </c>
      <c r="H740" s="2" t="s">
        <v>45</v>
      </c>
      <c r="I740" s="2" t="s">
        <v>34</v>
      </c>
      <c r="J740" s="2" t="s">
        <v>28</v>
      </c>
      <c r="K740" s="2" t="s">
        <v>29</v>
      </c>
      <c r="L740" s="2">
        <v>59</v>
      </c>
      <c r="M740" s="2">
        <v>29</v>
      </c>
      <c r="N740" s="2">
        <v>42080.93</v>
      </c>
      <c r="O740" s="2">
        <v>57.78</v>
      </c>
      <c r="P740" s="2">
        <v>126.46</v>
      </c>
      <c r="Q740" s="2" t="s">
        <v>22</v>
      </c>
      <c r="R740" s="2">
        <v>2</v>
      </c>
    </row>
    <row r="741" spans="1:18" x14ac:dyDescent="0.3">
      <c r="A741" s="2" t="s">
        <v>792</v>
      </c>
      <c r="B741" s="2" t="s">
        <v>86</v>
      </c>
      <c r="E741" s="2" t="s">
        <v>86</v>
      </c>
      <c r="F741" s="1">
        <v>46020</v>
      </c>
      <c r="G741" s="2" t="s">
        <v>43</v>
      </c>
      <c r="H741" s="2" t="s">
        <v>18</v>
      </c>
      <c r="I741" s="2" t="s">
        <v>68</v>
      </c>
      <c r="J741" s="2" t="s">
        <v>20</v>
      </c>
      <c r="K741" s="2" t="s">
        <v>21</v>
      </c>
      <c r="L741" s="2">
        <v>61</v>
      </c>
      <c r="M741" s="2">
        <v>26</v>
      </c>
      <c r="N741" s="2">
        <v>27476.62</v>
      </c>
      <c r="O741" s="2">
        <v>297.36</v>
      </c>
      <c r="P741" s="2">
        <v>141.51</v>
      </c>
      <c r="Q741" s="2" t="s">
        <v>30</v>
      </c>
      <c r="R741" s="2">
        <v>2</v>
      </c>
    </row>
    <row r="742" spans="1:18" x14ac:dyDescent="0.3">
      <c r="A742" s="2" t="s">
        <v>793</v>
      </c>
      <c r="B742" s="2" t="s">
        <v>82</v>
      </c>
      <c r="E742" s="2" t="s">
        <v>82</v>
      </c>
      <c r="F742" s="1">
        <v>46160</v>
      </c>
      <c r="G742" s="2" t="s">
        <v>54</v>
      </c>
      <c r="H742" s="2" t="s">
        <v>45</v>
      </c>
      <c r="I742" s="2" t="s">
        <v>27</v>
      </c>
      <c r="J742" s="2" t="s">
        <v>35</v>
      </c>
      <c r="K742" s="2" t="s">
        <v>21</v>
      </c>
      <c r="L742" s="2">
        <v>24</v>
      </c>
      <c r="M742" s="2">
        <v>35</v>
      </c>
      <c r="N742" s="2">
        <v>4795.76</v>
      </c>
      <c r="O742" s="2">
        <v>435.99</v>
      </c>
      <c r="P742" s="2">
        <v>92.54</v>
      </c>
      <c r="Q742" s="2" t="s">
        <v>22</v>
      </c>
      <c r="R742" s="2">
        <v>2</v>
      </c>
    </row>
    <row r="743" spans="1:18" x14ac:dyDescent="0.3">
      <c r="A743" s="2" t="s">
        <v>794</v>
      </c>
      <c r="B743" s="2" t="s">
        <v>25</v>
      </c>
      <c r="E743" s="2" t="s">
        <v>25</v>
      </c>
      <c r="F743" s="1">
        <v>45973</v>
      </c>
      <c r="G743" s="2" t="s">
        <v>41</v>
      </c>
      <c r="H743" s="2" t="s">
        <v>26</v>
      </c>
      <c r="I743" s="2" t="s">
        <v>34</v>
      </c>
      <c r="J743" s="2" t="s">
        <v>55</v>
      </c>
      <c r="K743" s="2" t="s">
        <v>29</v>
      </c>
      <c r="L743" s="2">
        <v>50</v>
      </c>
      <c r="M743" s="2">
        <v>79</v>
      </c>
      <c r="N743" s="2">
        <v>12224.05</v>
      </c>
      <c r="O743" s="2">
        <v>263.35000000000002</v>
      </c>
      <c r="P743" s="2">
        <v>241.95</v>
      </c>
      <c r="Q743" s="2" t="s">
        <v>30</v>
      </c>
      <c r="R743" s="2">
        <v>1</v>
      </c>
    </row>
    <row r="744" spans="1:18" x14ac:dyDescent="0.3">
      <c r="A744" s="2" t="s">
        <v>795</v>
      </c>
      <c r="B744" s="2" t="s">
        <v>49</v>
      </c>
      <c r="E744" s="2" t="s">
        <v>49</v>
      </c>
      <c r="F744" s="1">
        <v>46025</v>
      </c>
      <c r="G744" s="2" t="s">
        <v>24</v>
      </c>
      <c r="H744" s="2" t="s">
        <v>26</v>
      </c>
      <c r="I744" s="2" t="s">
        <v>19</v>
      </c>
      <c r="J744" s="2" t="s">
        <v>35</v>
      </c>
      <c r="K744" s="2" t="s">
        <v>56</v>
      </c>
      <c r="L744" s="2">
        <v>50</v>
      </c>
      <c r="M744" s="2">
        <v>67</v>
      </c>
      <c r="N744" s="2">
        <v>8664.23</v>
      </c>
      <c r="O744" s="2">
        <v>51.85</v>
      </c>
      <c r="P744" s="2">
        <v>35.93</v>
      </c>
      <c r="Q744" s="2" t="s">
        <v>30</v>
      </c>
      <c r="R744" s="2">
        <v>5</v>
      </c>
    </row>
    <row r="745" spans="1:18" x14ac:dyDescent="0.3">
      <c r="A745" s="2" t="s">
        <v>796</v>
      </c>
      <c r="B745" s="2" t="s">
        <v>78</v>
      </c>
      <c r="E745" s="2" t="s">
        <v>78</v>
      </c>
      <c r="F745" s="1">
        <v>46172</v>
      </c>
      <c r="G745" s="2" t="s">
        <v>32</v>
      </c>
      <c r="H745" s="2" t="s">
        <v>38</v>
      </c>
      <c r="I745" s="2" t="s">
        <v>34</v>
      </c>
      <c r="J745" s="2" t="s">
        <v>64</v>
      </c>
      <c r="K745" s="2" t="s">
        <v>52</v>
      </c>
      <c r="L745" s="2">
        <v>42</v>
      </c>
      <c r="M745" s="2">
        <v>87</v>
      </c>
      <c r="N745" s="2">
        <v>6668.45</v>
      </c>
      <c r="O745" s="2">
        <v>54.96</v>
      </c>
      <c r="P745" s="2">
        <v>191.92</v>
      </c>
      <c r="Q745" s="2" t="s">
        <v>22</v>
      </c>
      <c r="R745" s="2">
        <v>2</v>
      </c>
    </row>
    <row r="746" spans="1:18" x14ac:dyDescent="0.3">
      <c r="A746" s="2" t="s">
        <v>797</v>
      </c>
      <c r="B746" s="2" t="s">
        <v>17</v>
      </c>
      <c r="E746" s="2" t="s">
        <v>17</v>
      </c>
      <c r="F746" s="1">
        <v>45946</v>
      </c>
      <c r="G746" s="2" t="s">
        <v>32</v>
      </c>
      <c r="H746" s="2" t="s">
        <v>45</v>
      </c>
      <c r="I746" s="2" t="s">
        <v>19</v>
      </c>
      <c r="J746" s="2" t="s">
        <v>55</v>
      </c>
      <c r="K746" s="2" t="s">
        <v>56</v>
      </c>
      <c r="L746" s="2">
        <v>31</v>
      </c>
      <c r="M746" s="2">
        <v>29</v>
      </c>
      <c r="N746" s="2">
        <v>18612.02</v>
      </c>
      <c r="O746" s="2">
        <v>237.49</v>
      </c>
      <c r="P746" s="2">
        <v>77.03</v>
      </c>
      <c r="Q746" s="2" t="s">
        <v>30</v>
      </c>
      <c r="R746" s="2">
        <v>5</v>
      </c>
    </row>
    <row r="747" spans="1:18" x14ac:dyDescent="0.3">
      <c r="A747" s="2" t="s">
        <v>798</v>
      </c>
      <c r="B747" s="2" t="s">
        <v>37</v>
      </c>
      <c r="E747" s="2" t="s">
        <v>37</v>
      </c>
      <c r="F747" s="1">
        <v>46034</v>
      </c>
      <c r="G747" s="2" t="s">
        <v>24</v>
      </c>
      <c r="H747" s="2" t="s">
        <v>38</v>
      </c>
      <c r="I747" s="2" t="s">
        <v>68</v>
      </c>
      <c r="J747" s="2" t="s">
        <v>55</v>
      </c>
      <c r="K747" s="2" t="s">
        <v>52</v>
      </c>
      <c r="L747" s="2">
        <v>22</v>
      </c>
      <c r="M747" s="2">
        <v>34</v>
      </c>
      <c r="N747" s="2">
        <v>11854.98</v>
      </c>
      <c r="O747" s="2">
        <v>119.75</v>
      </c>
      <c r="P747" s="2">
        <v>68.31</v>
      </c>
      <c r="Q747" s="2" t="s">
        <v>22</v>
      </c>
      <c r="R747" s="2">
        <v>2</v>
      </c>
    </row>
    <row r="748" spans="1:18" x14ac:dyDescent="0.3">
      <c r="A748" s="2" t="s">
        <v>799</v>
      </c>
      <c r="B748" s="2" t="s">
        <v>25</v>
      </c>
      <c r="E748" s="2" t="s">
        <v>25</v>
      </c>
      <c r="F748" s="1">
        <v>45922</v>
      </c>
      <c r="G748" s="2" t="s">
        <v>16</v>
      </c>
      <c r="H748" s="2" t="s">
        <v>58</v>
      </c>
      <c r="I748" s="2" t="s">
        <v>68</v>
      </c>
      <c r="J748" s="2" t="s">
        <v>20</v>
      </c>
      <c r="K748" s="2" t="s">
        <v>52</v>
      </c>
      <c r="L748" s="2">
        <v>64</v>
      </c>
      <c r="M748" s="2">
        <v>97</v>
      </c>
      <c r="N748" s="2">
        <v>11306</v>
      </c>
      <c r="O748" s="2">
        <v>349</v>
      </c>
      <c r="P748" s="2">
        <v>174.92</v>
      </c>
      <c r="Q748" s="2" t="s">
        <v>30</v>
      </c>
      <c r="R748" s="2">
        <v>3</v>
      </c>
    </row>
    <row r="749" spans="1:18" x14ac:dyDescent="0.3">
      <c r="A749" s="2" t="s">
        <v>800</v>
      </c>
      <c r="B749" s="2" t="s">
        <v>44</v>
      </c>
      <c r="E749" s="2" t="s">
        <v>44</v>
      </c>
      <c r="F749" s="1">
        <v>45933</v>
      </c>
      <c r="G749" s="2" t="s">
        <v>74</v>
      </c>
      <c r="H749" s="2" t="s">
        <v>45</v>
      </c>
      <c r="I749" s="2" t="s">
        <v>34</v>
      </c>
      <c r="J749" s="2" t="s">
        <v>64</v>
      </c>
      <c r="K749" s="2" t="s">
        <v>56</v>
      </c>
      <c r="L749" s="2">
        <v>32</v>
      </c>
      <c r="M749" s="2">
        <v>41</v>
      </c>
      <c r="N749" s="2">
        <v>3207.31</v>
      </c>
      <c r="O749" s="2">
        <v>368.96</v>
      </c>
      <c r="P749" s="2">
        <v>112.77</v>
      </c>
      <c r="Q749" s="2" t="s">
        <v>30</v>
      </c>
      <c r="R749" s="2">
        <v>5</v>
      </c>
    </row>
    <row r="750" spans="1:18" x14ac:dyDescent="0.3">
      <c r="A750" s="2" t="s">
        <v>801</v>
      </c>
      <c r="B750" s="2" t="s">
        <v>62</v>
      </c>
      <c r="E750" s="2" t="s">
        <v>62</v>
      </c>
      <c r="F750" s="1">
        <v>45979</v>
      </c>
      <c r="G750" s="2" t="s">
        <v>54</v>
      </c>
      <c r="H750" s="2" t="s">
        <v>18</v>
      </c>
      <c r="I750" s="2" t="s">
        <v>39</v>
      </c>
      <c r="J750" s="2" t="s">
        <v>28</v>
      </c>
      <c r="K750" s="2" t="s">
        <v>29</v>
      </c>
      <c r="L750" s="2">
        <v>50</v>
      </c>
      <c r="M750" s="2">
        <v>41</v>
      </c>
      <c r="N750" s="2">
        <v>1374.67</v>
      </c>
      <c r="O750" s="2">
        <v>130.05000000000001</v>
      </c>
      <c r="P750" s="2">
        <v>154.94</v>
      </c>
      <c r="Q750" s="2" t="s">
        <v>30</v>
      </c>
      <c r="R750" s="2">
        <v>4</v>
      </c>
    </row>
    <row r="751" spans="1:18" x14ac:dyDescent="0.3">
      <c r="A751" s="2" t="s">
        <v>802</v>
      </c>
      <c r="B751" s="2" t="s">
        <v>62</v>
      </c>
      <c r="E751" s="2" t="s">
        <v>62</v>
      </c>
      <c r="F751" s="1">
        <v>46171</v>
      </c>
      <c r="G751" s="2" t="s">
        <v>32</v>
      </c>
      <c r="H751" s="2" t="s">
        <v>58</v>
      </c>
      <c r="I751" s="2" t="s">
        <v>19</v>
      </c>
      <c r="J751" s="2" t="s">
        <v>20</v>
      </c>
      <c r="K751" s="2" t="s">
        <v>29</v>
      </c>
      <c r="L751" s="2">
        <v>56</v>
      </c>
      <c r="M751" s="2">
        <v>23</v>
      </c>
      <c r="N751" s="2">
        <v>5587.03</v>
      </c>
      <c r="O751" s="2">
        <v>449.84</v>
      </c>
      <c r="P751" s="2">
        <v>218.1</v>
      </c>
      <c r="Q751" s="2" t="s">
        <v>30</v>
      </c>
      <c r="R751" s="2">
        <v>1</v>
      </c>
    </row>
    <row r="752" spans="1:18" x14ac:dyDescent="0.3">
      <c r="A752" s="2" t="s">
        <v>803</v>
      </c>
      <c r="B752" s="2" t="s">
        <v>33</v>
      </c>
      <c r="E752" s="2" t="s">
        <v>33</v>
      </c>
      <c r="F752" s="1">
        <v>45952</v>
      </c>
      <c r="G752" s="2" t="s">
        <v>41</v>
      </c>
      <c r="H752" s="2" t="s">
        <v>58</v>
      </c>
      <c r="I752" s="2" t="s">
        <v>27</v>
      </c>
      <c r="J752" s="2" t="s">
        <v>20</v>
      </c>
      <c r="K752" s="2" t="s">
        <v>52</v>
      </c>
      <c r="L752" s="2">
        <v>38</v>
      </c>
      <c r="M752" s="2">
        <v>71</v>
      </c>
      <c r="N752" s="2">
        <v>9023.7800000000007</v>
      </c>
      <c r="O752" s="2">
        <v>248.86</v>
      </c>
      <c r="P752" s="2">
        <v>115.97</v>
      </c>
      <c r="Q752" s="2" t="s">
        <v>30</v>
      </c>
      <c r="R752" s="2">
        <v>4</v>
      </c>
    </row>
    <row r="753" spans="1:18" x14ac:dyDescent="0.3">
      <c r="A753" s="2" t="s">
        <v>804</v>
      </c>
      <c r="B753" s="2" t="s">
        <v>51</v>
      </c>
      <c r="E753" s="2" t="s">
        <v>51</v>
      </c>
      <c r="F753" s="1">
        <v>46195</v>
      </c>
      <c r="G753" s="2" t="s">
        <v>54</v>
      </c>
      <c r="H753" s="2" t="s">
        <v>18</v>
      </c>
      <c r="I753" s="2" t="s">
        <v>34</v>
      </c>
      <c r="J753" s="2" t="s">
        <v>35</v>
      </c>
      <c r="K753" s="2" t="s">
        <v>29</v>
      </c>
      <c r="L753" s="2">
        <v>46</v>
      </c>
      <c r="M753" s="2">
        <v>3</v>
      </c>
      <c r="N753" s="2">
        <v>21833.69</v>
      </c>
      <c r="O753" s="2">
        <v>114.28</v>
      </c>
      <c r="P753" s="2">
        <v>48.75</v>
      </c>
      <c r="Q753" s="2" t="s">
        <v>30</v>
      </c>
      <c r="R753" s="2">
        <v>5</v>
      </c>
    </row>
    <row r="754" spans="1:18" x14ac:dyDescent="0.3">
      <c r="A754" s="2" t="s">
        <v>805</v>
      </c>
      <c r="B754" s="2" t="s">
        <v>25</v>
      </c>
      <c r="E754" s="2" t="s">
        <v>25</v>
      </c>
      <c r="F754" s="1">
        <v>45887</v>
      </c>
      <c r="G754" s="2" t="s">
        <v>41</v>
      </c>
      <c r="H754" s="2" t="s">
        <v>58</v>
      </c>
      <c r="I754" s="2" t="s">
        <v>27</v>
      </c>
      <c r="J754" s="2" t="s">
        <v>35</v>
      </c>
      <c r="K754" s="2" t="s">
        <v>52</v>
      </c>
      <c r="L754" s="2">
        <v>73</v>
      </c>
      <c r="M754" s="2">
        <v>58</v>
      </c>
      <c r="N754" s="2">
        <v>25770.75</v>
      </c>
      <c r="O754" s="2">
        <v>393.91</v>
      </c>
      <c r="P754" s="2">
        <v>134.84</v>
      </c>
      <c r="Q754" s="2" t="s">
        <v>30</v>
      </c>
      <c r="R754" s="2">
        <v>2</v>
      </c>
    </row>
    <row r="755" spans="1:18" x14ac:dyDescent="0.3">
      <c r="A755" s="2" t="s">
        <v>806</v>
      </c>
      <c r="B755" s="2" t="s">
        <v>78</v>
      </c>
      <c r="E755" s="2" t="s">
        <v>78</v>
      </c>
      <c r="F755" s="1">
        <v>46164</v>
      </c>
      <c r="G755" s="2" t="s">
        <v>16</v>
      </c>
      <c r="H755" s="2" t="s">
        <v>45</v>
      </c>
      <c r="I755" s="2" t="s">
        <v>34</v>
      </c>
      <c r="J755" s="2" t="s">
        <v>35</v>
      </c>
      <c r="K755" s="2" t="s">
        <v>29</v>
      </c>
      <c r="L755" s="2">
        <v>27</v>
      </c>
      <c r="M755" s="2">
        <v>32</v>
      </c>
      <c r="N755" s="2">
        <v>7459.3</v>
      </c>
      <c r="O755" s="2">
        <v>405.49</v>
      </c>
      <c r="P755" s="2">
        <v>40.04</v>
      </c>
      <c r="Q755" s="2" t="s">
        <v>30</v>
      </c>
      <c r="R755" s="2">
        <v>5</v>
      </c>
    </row>
    <row r="756" spans="1:18" x14ac:dyDescent="0.3">
      <c r="A756" s="2" t="s">
        <v>807</v>
      </c>
      <c r="B756" s="2" t="s">
        <v>67</v>
      </c>
      <c r="E756" s="2" t="s">
        <v>67</v>
      </c>
      <c r="F756" s="1">
        <v>46077</v>
      </c>
      <c r="G756" s="2" t="s">
        <v>90</v>
      </c>
      <c r="H756" s="2" t="s">
        <v>38</v>
      </c>
      <c r="I756" s="2" t="s">
        <v>39</v>
      </c>
      <c r="J756" s="2" t="s">
        <v>20</v>
      </c>
      <c r="K756" s="2" t="s">
        <v>52</v>
      </c>
      <c r="L756" s="2">
        <v>21</v>
      </c>
      <c r="M756" s="2">
        <v>31</v>
      </c>
      <c r="N756" s="2">
        <v>21526.78</v>
      </c>
      <c r="O756" s="2">
        <v>337.68</v>
      </c>
      <c r="P756" s="2">
        <v>161.16999999999999</v>
      </c>
      <c r="Q756" s="2" t="s">
        <v>30</v>
      </c>
      <c r="R756" s="2">
        <v>1</v>
      </c>
    </row>
    <row r="757" spans="1:18" x14ac:dyDescent="0.3">
      <c r="A757" s="2" t="s">
        <v>808</v>
      </c>
      <c r="B757" s="2" t="s">
        <v>62</v>
      </c>
      <c r="E757" s="2" t="s">
        <v>62</v>
      </c>
      <c r="F757" s="1">
        <v>46085</v>
      </c>
      <c r="G757" s="2" t="s">
        <v>54</v>
      </c>
      <c r="H757" s="2" t="s">
        <v>58</v>
      </c>
      <c r="I757" s="2" t="s">
        <v>39</v>
      </c>
      <c r="J757" s="2" t="s">
        <v>28</v>
      </c>
      <c r="K757" s="2" t="s">
        <v>29</v>
      </c>
      <c r="L757" s="2">
        <v>46</v>
      </c>
      <c r="M757" s="2">
        <v>82</v>
      </c>
      <c r="N757" s="2">
        <v>17416.57</v>
      </c>
      <c r="O757" s="2">
        <v>434.06</v>
      </c>
      <c r="P757" s="2">
        <v>296.92</v>
      </c>
      <c r="Q757" s="2" t="s">
        <v>22</v>
      </c>
      <c r="R757" s="2">
        <v>5</v>
      </c>
    </row>
    <row r="758" spans="1:18" x14ac:dyDescent="0.3">
      <c r="A758" s="2" t="s">
        <v>809</v>
      </c>
      <c r="B758" s="2" t="s">
        <v>78</v>
      </c>
      <c r="E758" s="2" t="s">
        <v>78</v>
      </c>
      <c r="F758" s="1">
        <v>46059</v>
      </c>
      <c r="G758" s="2" t="s">
        <v>43</v>
      </c>
      <c r="H758" s="2" t="s">
        <v>45</v>
      </c>
      <c r="I758" s="2" t="s">
        <v>39</v>
      </c>
      <c r="J758" s="2" t="s">
        <v>55</v>
      </c>
      <c r="K758" s="2" t="s">
        <v>21</v>
      </c>
      <c r="L758" s="2">
        <v>43</v>
      </c>
      <c r="M758" s="2">
        <v>43</v>
      </c>
      <c r="N758" s="2">
        <v>9579.4699999999993</v>
      </c>
      <c r="O758" s="2">
        <v>381.82</v>
      </c>
      <c r="P758" s="2">
        <v>75.48</v>
      </c>
      <c r="Q758" s="2" t="s">
        <v>30</v>
      </c>
      <c r="R758" s="2">
        <v>2</v>
      </c>
    </row>
    <row r="759" spans="1:18" x14ac:dyDescent="0.3">
      <c r="A759" s="2" t="s">
        <v>810</v>
      </c>
      <c r="B759" s="2" t="s">
        <v>60</v>
      </c>
      <c r="E759" s="2" t="s">
        <v>60</v>
      </c>
      <c r="F759" s="1">
        <v>46018</v>
      </c>
      <c r="G759" s="2" t="s">
        <v>32</v>
      </c>
      <c r="H759" s="2" t="s">
        <v>26</v>
      </c>
      <c r="I759" s="2" t="s">
        <v>39</v>
      </c>
      <c r="J759" s="2" t="s">
        <v>35</v>
      </c>
      <c r="K759" s="2" t="s">
        <v>56</v>
      </c>
      <c r="L759" s="2">
        <v>46</v>
      </c>
      <c r="M759" s="2">
        <v>7</v>
      </c>
      <c r="N759" s="2">
        <v>838.62</v>
      </c>
      <c r="O759" s="2">
        <v>446.99</v>
      </c>
      <c r="P759" s="2">
        <v>88.95</v>
      </c>
      <c r="Q759" s="2" t="s">
        <v>30</v>
      </c>
      <c r="R759" s="2">
        <v>4</v>
      </c>
    </row>
    <row r="760" spans="1:18" x14ac:dyDescent="0.3">
      <c r="A760" s="2" t="s">
        <v>811</v>
      </c>
      <c r="B760" s="2" t="s">
        <v>78</v>
      </c>
      <c r="E760" s="2" t="s">
        <v>78</v>
      </c>
      <c r="F760" s="1">
        <v>46185</v>
      </c>
      <c r="G760" s="2" t="s">
        <v>54</v>
      </c>
      <c r="H760" s="2" t="s">
        <v>45</v>
      </c>
      <c r="I760" s="2" t="s">
        <v>68</v>
      </c>
      <c r="J760" s="2" t="s">
        <v>28</v>
      </c>
      <c r="K760" s="2" t="s">
        <v>21</v>
      </c>
      <c r="L760" s="2">
        <v>65</v>
      </c>
      <c r="M760" s="2">
        <v>105</v>
      </c>
      <c r="N760" s="2">
        <v>23617.38</v>
      </c>
      <c r="O760" s="2">
        <v>245.25</v>
      </c>
      <c r="P760" s="2">
        <v>9.2899999999999991</v>
      </c>
      <c r="Q760" s="2" t="s">
        <v>22</v>
      </c>
      <c r="R760" s="2">
        <v>3</v>
      </c>
    </row>
    <row r="761" spans="1:18" x14ac:dyDescent="0.3">
      <c r="A761" s="2" t="s">
        <v>812</v>
      </c>
      <c r="B761" s="2" t="s">
        <v>60</v>
      </c>
      <c r="E761" s="2" t="s">
        <v>60</v>
      </c>
      <c r="F761" s="1">
        <v>46231</v>
      </c>
      <c r="G761" s="2" t="s">
        <v>54</v>
      </c>
      <c r="H761" s="2" t="s">
        <v>38</v>
      </c>
      <c r="I761" s="2" t="s">
        <v>68</v>
      </c>
      <c r="J761" s="2" t="s">
        <v>64</v>
      </c>
      <c r="K761" s="2" t="s">
        <v>56</v>
      </c>
      <c r="L761" s="2">
        <v>26</v>
      </c>
      <c r="M761" s="2">
        <v>1</v>
      </c>
      <c r="N761" s="2">
        <v>34439.760000000002</v>
      </c>
      <c r="O761" s="2">
        <v>386.42</v>
      </c>
      <c r="P761" s="2">
        <v>2.75</v>
      </c>
      <c r="Q761" s="2" t="s">
        <v>30</v>
      </c>
      <c r="R761" s="2">
        <v>4</v>
      </c>
    </row>
    <row r="762" spans="1:18" x14ac:dyDescent="0.3">
      <c r="A762" s="2" t="s">
        <v>813</v>
      </c>
      <c r="B762" s="2" t="s">
        <v>82</v>
      </c>
      <c r="E762" s="2" t="s">
        <v>82</v>
      </c>
      <c r="F762" s="1">
        <v>46211</v>
      </c>
      <c r="G762" s="2" t="s">
        <v>54</v>
      </c>
      <c r="H762" s="2" t="s">
        <v>45</v>
      </c>
      <c r="I762" s="2" t="s">
        <v>19</v>
      </c>
      <c r="J762" s="2" t="s">
        <v>35</v>
      </c>
      <c r="K762" s="2" t="s">
        <v>56</v>
      </c>
      <c r="L762" s="2">
        <v>26</v>
      </c>
      <c r="M762" s="2">
        <v>61</v>
      </c>
      <c r="N762" s="2">
        <v>11700.73</v>
      </c>
      <c r="O762" s="2">
        <v>499.89</v>
      </c>
      <c r="P762" s="2">
        <v>184.28</v>
      </c>
      <c r="Q762" s="2" t="s">
        <v>22</v>
      </c>
      <c r="R762" s="2">
        <v>2</v>
      </c>
    </row>
    <row r="763" spans="1:18" x14ac:dyDescent="0.3">
      <c r="A763" s="2" t="s">
        <v>814</v>
      </c>
      <c r="B763" s="2" t="s">
        <v>47</v>
      </c>
      <c r="E763" s="2" t="s">
        <v>47</v>
      </c>
      <c r="F763" s="1">
        <v>46208</v>
      </c>
      <c r="G763" s="2" t="s">
        <v>74</v>
      </c>
      <c r="H763" s="2" t="s">
        <v>18</v>
      </c>
      <c r="I763" s="2" t="s">
        <v>27</v>
      </c>
      <c r="J763" s="2" t="s">
        <v>55</v>
      </c>
      <c r="K763" s="2" t="s">
        <v>52</v>
      </c>
      <c r="L763" s="2">
        <v>64</v>
      </c>
      <c r="M763" s="2">
        <v>14</v>
      </c>
      <c r="N763" s="2">
        <v>7024.44</v>
      </c>
      <c r="O763" s="2">
        <v>376.22</v>
      </c>
      <c r="P763" s="2">
        <v>25.72</v>
      </c>
      <c r="Q763" s="2" t="s">
        <v>22</v>
      </c>
      <c r="R763" s="2">
        <v>2</v>
      </c>
    </row>
    <row r="764" spans="1:18" x14ac:dyDescent="0.3">
      <c r="A764" s="2" t="s">
        <v>815</v>
      </c>
      <c r="B764" s="2" t="s">
        <v>47</v>
      </c>
      <c r="E764" s="2" t="s">
        <v>47</v>
      </c>
      <c r="F764" s="1">
        <v>46180</v>
      </c>
      <c r="G764" s="2" t="s">
        <v>54</v>
      </c>
      <c r="H764" s="2" t="s">
        <v>38</v>
      </c>
      <c r="I764" s="2" t="s">
        <v>34</v>
      </c>
      <c r="J764" s="2" t="s">
        <v>64</v>
      </c>
      <c r="K764" s="2" t="s">
        <v>56</v>
      </c>
      <c r="L764" s="2">
        <v>28</v>
      </c>
      <c r="M764" s="2">
        <v>52</v>
      </c>
      <c r="N764" s="2">
        <v>44408.62</v>
      </c>
      <c r="O764" s="2">
        <v>101.38</v>
      </c>
      <c r="P764" s="2">
        <v>89.16</v>
      </c>
      <c r="Q764" s="2" t="s">
        <v>22</v>
      </c>
      <c r="R764" s="2">
        <v>1</v>
      </c>
    </row>
    <row r="765" spans="1:18" x14ac:dyDescent="0.3">
      <c r="A765" s="2" t="s">
        <v>816</v>
      </c>
      <c r="B765" s="2" t="s">
        <v>44</v>
      </c>
      <c r="E765" s="2" t="s">
        <v>44</v>
      </c>
      <c r="F765" s="1">
        <v>46217</v>
      </c>
      <c r="G765" s="2" t="s">
        <v>41</v>
      </c>
      <c r="H765" s="2" t="s">
        <v>26</v>
      </c>
      <c r="I765" s="2" t="s">
        <v>34</v>
      </c>
      <c r="J765" s="2" t="s">
        <v>64</v>
      </c>
      <c r="K765" s="2" t="s">
        <v>21</v>
      </c>
      <c r="L765" s="2">
        <v>44</v>
      </c>
      <c r="M765" s="2">
        <v>96</v>
      </c>
      <c r="N765" s="2">
        <v>14113.73</v>
      </c>
      <c r="O765" s="2">
        <v>283.24</v>
      </c>
      <c r="P765" s="2">
        <v>163.07</v>
      </c>
      <c r="Q765" s="2" t="s">
        <v>30</v>
      </c>
      <c r="R765" s="2">
        <v>5</v>
      </c>
    </row>
    <row r="766" spans="1:18" x14ac:dyDescent="0.3">
      <c r="A766" s="2" t="s">
        <v>817</v>
      </c>
      <c r="B766" s="2" t="s">
        <v>17</v>
      </c>
      <c r="E766" s="2" t="s">
        <v>17</v>
      </c>
      <c r="F766" s="1">
        <v>45976</v>
      </c>
      <c r="G766" s="2" t="s">
        <v>90</v>
      </c>
      <c r="H766" s="2" t="s">
        <v>18</v>
      </c>
      <c r="I766" s="2" t="s">
        <v>68</v>
      </c>
      <c r="J766" s="2" t="s">
        <v>55</v>
      </c>
      <c r="K766" s="2" t="s">
        <v>21</v>
      </c>
      <c r="L766" s="2">
        <v>42</v>
      </c>
      <c r="M766" s="2">
        <v>6</v>
      </c>
      <c r="N766" s="2">
        <v>11568.82</v>
      </c>
      <c r="O766" s="2">
        <v>314.31</v>
      </c>
      <c r="P766" s="2">
        <v>177.86</v>
      </c>
      <c r="Q766" s="2" t="s">
        <v>22</v>
      </c>
      <c r="R766" s="2">
        <v>5</v>
      </c>
    </row>
    <row r="767" spans="1:18" x14ac:dyDescent="0.3">
      <c r="A767" s="2" t="s">
        <v>818</v>
      </c>
      <c r="B767" s="2" t="s">
        <v>44</v>
      </c>
      <c r="E767" s="2" t="s">
        <v>44</v>
      </c>
      <c r="F767" s="1">
        <v>46209</v>
      </c>
      <c r="G767" s="2" t="s">
        <v>16</v>
      </c>
      <c r="H767" s="2" t="s">
        <v>45</v>
      </c>
      <c r="I767" s="2" t="s">
        <v>34</v>
      </c>
      <c r="J767" s="2" t="s">
        <v>35</v>
      </c>
      <c r="K767" s="2" t="s">
        <v>29</v>
      </c>
      <c r="L767" s="2">
        <v>39</v>
      </c>
      <c r="M767" s="2">
        <v>103</v>
      </c>
      <c r="N767" s="2">
        <v>42926.3</v>
      </c>
      <c r="O767" s="2">
        <v>128.38999999999999</v>
      </c>
      <c r="P767" s="2">
        <v>155.82</v>
      </c>
      <c r="Q767" s="2" t="s">
        <v>22</v>
      </c>
      <c r="R767" s="2">
        <v>4</v>
      </c>
    </row>
    <row r="768" spans="1:18" x14ac:dyDescent="0.3">
      <c r="A768" s="2" t="s">
        <v>819</v>
      </c>
      <c r="B768" s="2" t="s">
        <v>60</v>
      </c>
      <c r="E768" s="2" t="s">
        <v>60</v>
      </c>
      <c r="F768" s="1">
        <v>46164</v>
      </c>
      <c r="G768" s="2" t="s">
        <v>24</v>
      </c>
      <c r="H768" s="2" t="s">
        <v>38</v>
      </c>
      <c r="I768" s="2" t="s">
        <v>68</v>
      </c>
      <c r="J768" s="2" t="s">
        <v>20</v>
      </c>
      <c r="K768" s="2" t="s">
        <v>21</v>
      </c>
      <c r="L768" s="2">
        <v>57</v>
      </c>
      <c r="M768" s="2">
        <v>10</v>
      </c>
      <c r="N768" s="2">
        <v>40946.800000000003</v>
      </c>
      <c r="O768" s="2">
        <v>483.3</v>
      </c>
      <c r="P768" s="2">
        <v>113.01</v>
      </c>
      <c r="Q768" s="2" t="s">
        <v>30</v>
      </c>
      <c r="R768" s="2">
        <v>3</v>
      </c>
    </row>
    <row r="769" spans="1:18" x14ac:dyDescent="0.3">
      <c r="A769" s="2" t="s">
        <v>820</v>
      </c>
      <c r="B769" s="2" t="s">
        <v>25</v>
      </c>
      <c r="E769" s="2" t="s">
        <v>25</v>
      </c>
      <c r="F769" s="1">
        <v>46121</v>
      </c>
      <c r="G769" s="2" t="s">
        <v>54</v>
      </c>
      <c r="H769" s="2" t="s">
        <v>26</v>
      </c>
      <c r="I769" s="2" t="s">
        <v>19</v>
      </c>
      <c r="J769" s="2" t="s">
        <v>55</v>
      </c>
      <c r="K769" s="2" t="s">
        <v>29</v>
      </c>
      <c r="L769" s="2">
        <v>38</v>
      </c>
      <c r="M769" s="2">
        <v>71</v>
      </c>
      <c r="N769" s="2">
        <v>22693.15</v>
      </c>
      <c r="O769" s="2">
        <v>129.01</v>
      </c>
      <c r="P769" s="2">
        <v>200.91</v>
      </c>
      <c r="Q769" s="2" t="s">
        <v>30</v>
      </c>
      <c r="R769" s="2">
        <v>3</v>
      </c>
    </row>
    <row r="770" spans="1:18" x14ac:dyDescent="0.3">
      <c r="A770" s="2" t="s">
        <v>821</v>
      </c>
      <c r="B770" s="2" t="s">
        <v>86</v>
      </c>
      <c r="E770" s="2" t="s">
        <v>86</v>
      </c>
      <c r="F770" s="1">
        <v>45900</v>
      </c>
      <c r="G770" s="2" t="s">
        <v>32</v>
      </c>
      <c r="H770" s="2" t="s">
        <v>18</v>
      </c>
      <c r="I770" s="2" t="s">
        <v>27</v>
      </c>
      <c r="J770" s="2" t="s">
        <v>55</v>
      </c>
      <c r="K770" s="2" t="s">
        <v>56</v>
      </c>
      <c r="L770" s="2">
        <v>51</v>
      </c>
      <c r="M770" s="2">
        <v>90</v>
      </c>
      <c r="N770" s="2">
        <v>24717.32</v>
      </c>
      <c r="O770" s="2">
        <v>129.9</v>
      </c>
      <c r="P770" s="2">
        <v>192.28</v>
      </c>
      <c r="Q770" s="2" t="s">
        <v>30</v>
      </c>
      <c r="R770" s="2">
        <v>1</v>
      </c>
    </row>
    <row r="771" spans="1:18" x14ac:dyDescent="0.3">
      <c r="A771" s="2" t="s">
        <v>822</v>
      </c>
      <c r="B771" s="2" t="s">
        <v>67</v>
      </c>
      <c r="E771" s="2" t="s">
        <v>67</v>
      </c>
      <c r="F771" s="1">
        <v>45966</v>
      </c>
      <c r="G771" s="2" t="s">
        <v>54</v>
      </c>
      <c r="H771" s="2" t="s">
        <v>26</v>
      </c>
      <c r="I771" s="2" t="s">
        <v>19</v>
      </c>
      <c r="J771" s="2" t="s">
        <v>55</v>
      </c>
      <c r="K771" s="2" t="s">
        <v>21</v>
      </c>
      <c r="L771" s="2">
        <v>57</v>
      </c>
      <c r="M771" s="2">
        <v>98</v>
      </c>
      <c r="N771" s="2">
        <v>11278.56</v>
      </c>
      <c r="O771" s="2">
        <v>461.83</v>
      </c>
      <c r="P771" s="2">
        <v>120.53</v>
      </c>
      <c r="Q771" s="2" t="s">
        <v>22</v>
      </c>
      <c r="R771" s="2">
        <v>2</v>
      </c>
    </row>
    <row r="772" spans="1:18" x14ac:dyDescent="0.3">
      <c r="A772" s="2" t="s">
        <v>823</v>
      </c>
      <c r="B772" s="2" t="s">
        <v>86</v>
      </c>
      <c r="E772" s="2" t="s">
        <v>86</v>
      </c>
      <c r="F772" s="1">
        <v>45985</v>
      </c>
      <c r="G772" s="2" t="s">
        <v>32</v>
      </c>
      <c r="H772" s="2" t="s">
        <v>45</v>
      </c>
      <c r="I772" s="2" t="s">
        <v>39</v>
      </c>
      <c r="J772" s="2" t="s">
        <v>64</v>
      </c>
      <c r="K772" s="2" t="s">
        <v>56</v>
      </c>
      <c r="L772" s="2">
        <v>50</v>
      </c>
      <c r="M772" s="2">
        <v>30</v>
      </c>
      <c r="N772" s="2">
        <v>4375.93</v>
      </c>
      <c r="O772" s="2">
        <v>259.33999999999997</v>
      </c>
      <c r="P772" s="2">
        <v>111.9</v>
      </c>
      <c r="Q772" s="2" t="s">
        <v>30</v>
      </c>
      <c r="R772" s="2">
        <v>1</v>
      </c>
    </row>
    <row r="773" spans="1:18" x14ac:dyDescent="0.3">
      <c r="A773" s="2" t="s">
        <v>824</v>
      </c>
      <c r="B773" s="2" t="s">
        <v>76</v>
      </c>
      <c r="E773" s="2" t="s">
        <v>76</v>
      </c>
      <c r="F773" s="1">
        <v>45956</v>
      </c>
      <c r="G773" s="2" t="s">
        <v>41</v>
      </c>
      <c r="H773" s="2" t="s">
        <v>26</v>
      </c>
      <c r="I773" s="2" t="s">
        <v>39</v>
      </c>
      <c r="J773" s="2" t="s">
        <v>28</v>
      </c>
      <c r="K773" s="2" t="s">
        <v>21</v>
      </c>
      <c r="L773" s="2">
        <v>62</v>
      </c>
      <c r="M773" s="2">
        <v>100</v>
      </c>
      <c r="N773" s="2">
        <v>28884.880000000001</v>
      </c>
      <c r="O773" s="2">
        <v>78.430000000000007</v>
      </c>
      <c r="P773" s="2">
        <v>2.91</v>
      </c>
      <c r="Q773" s="2" t="s">
        <v>22</v>
      </c>
      <c r="R773" s="2">
        <v>5</v>
      </c>
    </row>
    <row r="774" spans="1:18" x14ac:dyDescent="0.3">
      <c r="A774" s="2" t="s">
        <v>825</v>
      </c>
      <c r="B774" s="2" t="s">
        <v>86</v>
      </c>
      <c r="E774" s="2" t="s">
        <v>86</v>
      </c>
      <c r="F774" s="1">
        <v>46229</v>
      </c>
      <c r="G774" s="2" t="s">
        <v>32</v>
      </c>
      <c r="H774" s="2" t="s">
        <v>58</v>
      </c>
      <c r="I774" s="2" t="s">
        <v>39</v>
      </c>
      <c r="J774" s="2" t="s">
        <v>20</v>
      </c>
      <c r="K774" s="2" t="s">
        <v>21</v>
      </c>
      <c r="L774" s="2">
        <v>53</v>
      </c>
      <c r="M774" s="2">
        <v>21</v>
      </c>
      <c r="N774" s="2">
        <v>5368.07</v>
      </c>
      <c r="O774" s="2">
        <v>319.18</v>
      </c>
      <c r="P774" s="2">
        <v>16.190000000000001</v>
      </c>
      <c r="Q774" s="2" t="s">
        <v>30</v>
      </c>
      <c r="R774" s="2">
        <v>2</v>
      </c>
    </row>
    <row r="775" spans="1:18" x14ac:dyDescent="0.3">
      <c r="A775" s="2" t="s">
        <v>826</v>
      </c>
      <c r="B775" s="2" t="s">
        <v>33</v>
      </c>
      <c r="E775" s="2" t="s">
        <v>33</v>
      </c>
      <c r="F775" s="1">
        <v>46134</v>
      </c>
      <c r="G775" s="2" t="s">
        <v>43</v>
      </c>
      <c r="H775" s="2" t="s">
        <v>18</v>
      </c>
      <c r="I775" s="2" t="s">
        <v>19</v>
      </c>
      <c r="J775" s="2" t="s">
        <v>35</v>
      </c>
      <c r="K775" s="2" t="s">
        <v>29</v>
      </c>
      <c r="L775" s="2">
        <v>30</v>
      </c>
      <c r="M775" s="2">
        <v>60</v>
      </c>
      <c r="N775" s="2">
        <v>22739.09</v>
      </c>
      <c r="O775" s="2">
        <v>320.82</v>
      </c>
      <c r="P775" s="2">
        <v>173.14</v>
      </c>
      <c r="Q775" s="2" t="s">
        <v>22</v>
      </c>
      <c r="R775" s="2">
        <v>1</v>
      </c>
    </row>
    <row r="776" spans="1:18" x14ac:dyDescent="0.3">
      <c r="A776" s="2" t="s">
        <v>827</v>
      </c>
      <c r="B776" s="2" t="s">
        <v>86</v>
      </c>
      <c r="E776" s="2" t="s">
        <v>86</v>
      </c>
      <c r="F776" s="1">
        <v>46018</v>
      </c>
      <c r="G776" s="2" t="s">
        <v>24</v>
      </c>
      <c r="H776" s="2" t="s">
        <v>26</v>
      </c>
      <c r="I776" s="2" t="s">
        <v>34</v>
      </c>
      <c r="J776" s="2" t="s">
        <v>35</v>
      </c>
      <c r="K776" s="2" t="s">
        <v>56</v>
      </c>
      <c r="L776" s="2">
        <v>57</v>
      </c>
      <c r="M776" s="2">
        <v>81</v>
      </c>
      <c r="N776" s="2">
        <v>47054.61</v>
      </c>
      <c r="O776" s="2">
        <v>79.03</v>
      </c>
      <c r="P776" s="2">
        <v>187.25</v>
      </c>
      <c r="Q776" s="2" t="s">
        <v>30</v>
      </c>
      <c r="R776" s="2">
        <v>4</v>
      </c>
    </row>
    <row r="777" spans="1:18" x14ac:dyDescent="0.3">
      <c r="A777" s="2" t="s">
        <v>828</v>
      </c>
      <c r="B777" s="2" t="s">
        <v>44</v>
      </c>
      <c r="E777" s="2" t="s">
        <v>44</v>
      </c>
      <c r="F777" s="1">
        <v>45999</v>
      </c>
      <c r="G777" s="2" t="s">
        <v>90</v>
      </c>
      <c r="H777" s="2" t="s">
        <v>45</v>
      </c>
      <c r="I777" s="2" t="s">
        <v>27</v>
      </c>
      <c r="J777" s="2" t="s">
        <v>28</v>
      </c>
      <c r="K777" s="2" t="s">
        <v>21</v>
      </c>
      <c r="L777" s="2">
        <v>32</v>
      </c>
      <c r="M777" s="2">
        <v>97</v>
      </c>
      <c r="N777" s="2">
        <v>47665.3</v>
      </c>
      <c r="O777" s="2">
        <v>487.64</v>
      </c>
      <c r="P777" s="2">
        <v>173.34</v>
      </c>
      <c r="Q777" s="2" t="s">
        <v>30</v>
      </c>
      <c r="R777" s="2">
        <v>5</v>
      </c>
    </row>
    <row r="778" spans="1:18" x14ac:dyDescent="0.3">
      <c r="A778" s="2" t="s">
        <v>829</v>
      </c>
      <c r="B778" s="2" t="s">
        <v>62</v>
      </c>
      <c r="E778" s="2" t="s">
        <v>62</v>
      </c>
      <c r="F778" s="1">
        <v>46035</v>
      </c>
      <c r="G778" s="2" t="s">
        <v>32</v>
      </c>
      <c r="H778" s="2" t="s">
        <v>45</v>
      </c>
      <c r="I778" s="2" t="s">
        <v>39</v>
      </c>
      <c r="J778" s="2" t="s">
        <v>55</v>
      </c>
      <c r="K778" s="2" t="s">
        <v>52</v>
      </c>
      <c r="L778" s="2">
        <v>74</v>
      </c>
      <c r="M778" s="2">
        <v>74</v>
      </c>
      <c r="N778" s="2">
        <v>12346.95</v>
      </c>
      <c r="O778" s="2">
        <v>294.81</v>
      </c>
      <c r="P778" s="2">
        <v>196.52</v>
      </c>
      <c r="Q778" s="2" t="s">
        <v>30</v>
      </c>
      <c r="R778" s="2">
        <v>3</v>
      </c>
    </row>
    <row r="779" spans="1:18" x14ac:dyDescent="0.3">
      <c r="A779" s="2" t="s">
        <v>830</v>
      </c>
      <c r="B779" s="2" t="s">
        <v>49</v>
      </c>
      <c r="E779" s="2" t="s">
        <v>49</v>
      </c>
      <c r="F779" s="1">
        <v>46181</v>
      </c>
      <c r="G779" s="2" t="s">
        <v>32</v>
      </c>
      <c r="H779" s="2" t="s">
        <v>26</v>
      </c>
      <c r="I779" s="2" t="s">
        <v>39</v>
      </c>
      <c r="J779" s="2" t="s">
        <v>20</v>
      </c>
      <c r="K779" s="2" t="s">
        <v>56</v>
      </c>
      <c r="L779" s="2">
        <v>50</v>
      </c>
      <c r="M779" s="2">
        <v>115</v>
      </c>
      <c r="N779" s="2">
        <v>31393.61</v>
      </c>
      <c r="O779" s="2">
        <v>301.91000000000003</v>
      </c>
      <c r="P779" s="2">
        <v>105.57</v>
      </c>
      <c r="Q779" s="2" t="s">
        <v>30</v>
      </c>
      <c r="R779" s="2">
        <v>1</v>
      </c>
    </row>
    <row r="780" spans="1:18" x14ac:dyDescent="0.3">
      <c r="A780" s="2" t="s">
        <v>831</v>
      </c>
      <c r="B780" s="2" t="s">
        <v>62</v>
      </c>
      <c r="E780" s="2" t="s">
        <v>62</v>
      </c>
      <c r="F780" s="1">
        <v>45892</v>
      </c>
      <c r="G780" s="2" t="s">
        <v>90</v>
      </c>
      <c r="H780" s="2" t="s">
        <v>45</v>
      </c>
      <c r="I780" s="2" t="s">
        <v>39</v>
      </c>
      <c r="J780" s="2" t="s">
        <v>35</v>
      </c>
      <c r="K780" s="2" t="s">
        <v>56</v>
      </c>
      <c r="L780" s="2">
        <v>47</v>
      </c>
      <c r="M780" s="2">
        <v>63</v>
      </c>
      <c r="N780" s="2">
        <v>23966.78</v>
      </c>
      <c r="O780" s="2">
        <v>284.05</v>
      </c>
      <c r="P780" s="2">
        <v>157.59</v>
      </c>
      <c r="Q780" s="2" t="s">
        <v>30</v>
      </c>
      <c r="R780" s="2">
        <v>5</v>
      </c>
    </row>
    <row r="781" spans="1:18" x14ac:dyDescent="0.3">
      <c r="A781" s="2" t="s">
        <v>832</v>
      </c>
      <c r="B781" s="2" t="s">
        <v>47</v>
      </c>
      <c r="E781" s="2" t="s">
        <v>47</v>
      </c>
      <c r="F781" s="1">
        <v>46099</v>
      </c>
      <c r="G781" s="2" t="s">
        <v>24</v>
      </c>
      <c r="H781" s="2" t="s">
        <v>38</v>
      </c>
      <c r="I781" s="2" t="s">
        <v>27</v>
      </c>
      <c r="J781" s="2" t="s">
        <v>35</v>
      </c>
      <c r="K781" s="2" t="s">
        <v>56</v>
      </c>
      <c r="L781" s="2">
        <v>59</v>
      </c>
      <c r="M781" s="2">
        <v>111</v>
      </c>
      <c r="N781" s="2">
        <v>43846.41</v>
      </c>
      <c r="O781" s="2">
        <v>324.83</v>
      </c>
      <c r="P781" s="2">
        <v>168.08</v>
      </c>
      <c r="Q781" s="2" t="s">
        <v>30</v>
      </c>
      <c r="R781" s="2">
        <v>5</v>
      </c>
    </row>
    <row r="782" spans="1:18" x14ac:dyDescent="0.3">
      <c r="A782" s="2" t="s">
        <v>833</v>
      </c>
      <c r="B782" s="2" t="s">
        <v>49</v>
      </c>
      <c r="E782" s="2" t="s">
        <v>49</v>
      </c>
      <c r="F782" s="1">
        <v>45973</v>
      </c>
      <c r="G782" s="2" t="s">
        <v>54</v>
      </c>
      <c r="H782" s="2" t="s">
        <v>38</v>
      </c>
      <c r="I782" s="2" t="s">
        <v>39</v>
      </c>
      <c r="J782" s="2" t="s">
        <v>55</v>
      </c>
      <c r="K782" s="2" t="s">
        <v>29</v>
      </c>
      <c r="L782" s="2">
        <v>29</v>
      </c>
      <c r="M782" s="2">
        <v>42</v>
      </c>
      <c r="N782" s="2">
        <v>13935.83</v>
      </c>
      <c r="O782" s="2">
        <v>168.93</v>
      </c>
      <c r="P782" s="2">
        <v>194.42</v>
      </c>
      <c r="Q782" s="2" t="s">
        <v>30</v>
      </c>
      <c r="R782" s="2">
        <v>3</v>
      </c>
    </row>
    <row r="783" spans="1:18" x14ac:dyDescent="0.3">
      <c r="A783" s="2" t="s">
        <v>834</v>
      </c>
      <c r="B783" s="2" t="s">
        <v>51</v>
      </c>
      <c r="E783" s="2" t="s">
        <v>51</v>
      </c>
      <c r="F783" s="1">
        <v>46181</v>
      </c>
      <c r="G783" s="2" t="s">
        <v>32</v>
      </c>
      <c r="H783" s="2" t="s">
        <v>38</v>
      </c>
      <c r="I783" s="2" t="s">
        <v>27</v>
      </c>
      <c r="J783" s="2" t="s">
        <v>28</v>
      </c>
      <c r="K783" s="2" t="s">
        <v>52</v>
      </c>
      <c r="L783" s="2">
        <v>74</v>
      </c>
      <c r="M783" s="2">
        <v>51</v>
      </c>
      <c r="N783" s="2">
        <v>683.27</v>
      </c>
      <c r="O783" s="2">
        <v>179.26</v>
      </c>
      <c r="P783" s="2">
        <v>67.75</v>
      </c>
      <c r="Q783" s="2" t="s">
        <v>22</v>
      </c>
      <c r="R783" s="2">
        <v>3</v>
      </c>
    </row>
    <row r="784" spans="1:18" x14ac:dyDescent="0.3">
      <c r="A784" s="2" t="s">
        <v>835</v>
      </c>
      <c r="B784" s="2" t="s">
        <v>67</v>
      </c>
      <c r="E784" s="2" t="s">
        <v>67</v>
      </c>
      <c r="F784" s="1">
        <v>46219</v>
      </c>
      <c r="G784" s="2" t="s">
        <v>90</v>
      </c>
      <c r="H784" s="2" t="s">
        <v>58</v>
      </c>
      <c r="I784" s="2" t="s">
        <v>39</v>
      </c>
      <c r="J784" s="2" t="s">
        <v>20</v>
      </c>
      <c r="K784" s="2" t="s">
        <v>56</v>
      </c>
      <c r="L784" s="2">
        <v>41</v>
      </c>
      <c r="M784" s="2">
        <v>64</v>
      </c>
      <c r="N784" s="2">
        <v>8546.7800000000007</v>
      </c>
      <c r="O784" s="2">
        <v>280.10000000000002</v>
      </c>
      <c r="P784" s="2">
        <v>94</v>
      </c>
      <c r="Q784" s="2" t="s">
        <v>22</v>
      </c>
      <c r="R784" s="2">
        <v>3</v>
      </c>
    </row>
    <row r="785" spans="1:18" x14ac:dyDescent="0.3">
      <c r="A785" s="2" t="s">
        <v>836</v>
      </c>
      <c r="B785" s="2" t="s">
        <v>67</v>
      </c>
      <c r="E785" s="2" t="s">
        <v>67</v>
      </c>
      <c r="F785" s="1">
        <v>45910</v>
      </c>
      <c r="G785" s="2" t="s">
        <v>43</v>
      </c>
      <c r="H785" s="2" t="s">
        <v>26</v>
      </c>
      <c r="I785" s="2" t="s">
        <v>19</v>
      </c>
      <c r="J785" s="2" t="s">
        <v>28</v>
      </c>
      <c r="K785" s="2" t="s">
        <v>21</v>
      </c>
      <c r="L785" s="2">
        <v>32</v>
      </c>
      <c r="M785" s="2">
        <v>76</v>
      </c>
      <c r="N785" s="2">
        <v>17801.38</v>
      </c>
      <c r="O785" s="2">
        <v>413.01</v>
      </c>
      <c r="P785" s="2">
        <v>171.58</v>
      </c>
      <c r="Q785" s="2" t="s">
        <v>30</v>
      </c>
      <c r="R785" s="2">
        <v>1</v>
      </c>
    </row>
    <row r="786" spans="1:18" x14ac:dyDescent="0.3">
      <c r="A786" s="2" t="s">
        <v>837</v>
      </c>
      <c r="B786" s="2" t="s">
        <v>33</v>
      </c>
      <c r="E786" s="2" t="s">
        <v>33</v>
      </c>
      <c r="F786" s="1">
        <v>45910</v>
      </c>
      <c r="G786" s="2" t="s">
        <v>43</v>
      </c>
      <c r="H786" s="2" t="s">
        <v>58</v>
      </c>
      <c r="I786" s="2" t="s">
        <v>19</v>
      </c>
      <c r="J786" s="2" t="s">
        <v>28</v>
      </c>
      <c r="K786" s="2" t="s">
        <v>21</v>
      </c>
      <c r="L786" s="2">
        <v>49</v>
      </c>
      <c r="M786" s="2">
        <v>56</v>
      </c>
      <c r="N786" s="2">
        <v>16128.2</v>
      </c>
      <c r="O786" s="2">
        <v>72.44</v>
      </c>
      <c r="P786" s="2">
        <v>59.71</v>
      </c>
      <c r="Q786" s="2" t="s">
        <v>30</v>
      </c>
      <c r="R786" s="2">
        <v>3</v>
      </c>
    </row>
    <row r="787" spans="1:18" x14ac:dyDescent="0.3">
      <c r="A787" s="2" t="s">
        <v>838</v>
      </c>
      <c r="B787" s="2" t="s">
        <v>25</v>
      </c>
      <c r="E787" s="2" t="s">
        <v>25</v>
      </c>
      <c r="F787" s="1">
        <v>46178</v>
      </c>
      <c r="G787" s="2" t="s">
        <v>41</v>
      </c>
      <c r="H787" s="2" t="s">
        <v>45</v>
      </c>
      <c r="I787" s="2" t="s">
        <v>27</v>
      </c>
      <c r="J787" s="2" t="s">
        <v>20</v>
      </c>
      <c r="K787" s="2" t="s">
        <v>29</v>
      </c>
      <c r="L787" s="2">
        <v>53</v>
      </c>
      <c r="M787" s="2">
        <v>80</v>
      </c>
      <c r="N787" s="2">
        <v>39672.46</v>
      </c>
      <c r="O787" s="2">
        <v>321.52999999999997</v>
      </c>
      <c r="P787" s="2">
        <v>277.12</v>
      </c>
      <c r="Q787" s="2" t="s">
        <v>30</v>
      </c>
      <c r="R787" s="2">
        <v>4</v>
      </c>
    </row>
    <row r="788" spans="1:18" x14ac:dyDescent="0.3">
      <c r="A788" s="2" t="s">
        <v>839</v>
      </c>
      <c r="B788" s="2" t="s">
        <v>44</v>
      </c>
      <c r="E788" s="2" t="s">
        <v>44</v>
      </c>
      <c r="F788" s="1">
        <v>46041</v>
      </c>
      <c r="G788" s="2" t="s">
        <v>90</v>
      </c>
      <c r="H788" s="2" t="s">
        <v>58</v>
      </c>
      <c r="I788" s="2" t="s">
        <v>19</v>
      </c>
      <c r="J788" s="2" t="s">
        <v>20</v>
      </c>
      <c r="K788" s="2" t="s">
        <v>21</v>
      </c>
      <c r="L788" s="2">
        <v>63</v>
      </c>
      <c r="M788" s="2">
        <v>41</v>
      </c>
      <c r="N788" s="2">
        <v>34187.75</v>
      </c>
      <c r="O788" s="2">
        <v>413.05</v>
      </c>
      <c r="P788" s="2">
        <v>45.96</v>
      </c>
      <c r="Q788" s="2" t="s">
        <v>22</v>
      </c>
      <c r="R788" s="2">
        <v>5</v>
      </c>
    </row>
    <row r="789" spans="1:18" x14ac:dyDescent="0.3">
      <c r="A789" s="2" t="s">
        <v>840</v>
      </c>
      <c r="B789" s="2" t="s">
        <v>47</v>
      </c>
      <c r="E789" s="2" t="s">
        <v>47</v>
      </c>
      <c r="F789" s="1">
        <v>46126</v>
      </c>
      <c r="G789" s="2" t="s">
        <v>41</v>
      </c>
      <c r="H789" s="2" t="s">
        <v>45</v>
      </c>
      <c r="I789" s="2" t="s">
        <v>27</v>
      </c>
      <c r="J789" s="2" t="s">
        <v>35</v>
      </c>
      <c r="K789" s="2" t="s">
        <v>56</v>
      </c>
      <c r="L789" s="2">
        <v>73</v>
      </c>
      <c r="M789" s="2">
        <v>32</v>
      </c>
      <c r="N789" s="2">
        <v>15328.04</v>
      </c>
      <c r="O789" s="2">
        <v>120.61</v>
      </c>
      <c r="P789" s="2">
        <v>149.9</v>
      </c>
      <c r="Q789" s="2" t="s">
        <v>30</v>
      </c>
      <c r="R789" s="2">
        <v>3</v>
      </c>
    </row>
    <row r="790" spans="1:18" x14ac:dyDescent="0.3">
      <c r="A790" s="2" t="s">
        <v>841</v>
      </c>
      <c r="B790" s="2" t="s">
        <v>82</v>
      </c>
      <c r="E790" s="2" t="s">
        <v>82</v>
      </c>
      <c r="F790" s="1">
        <v>46050</v>
      </c>
      <c r="G790" s="2" t="s">
        <v>43</v>
      </c>
      <c r="H790" s="2" t="s">
        <v>45</v>
      </c>
      <c r="I790" s="2" t="s">
        <v>19</v>
      </c>
      <c r="J790" s="2" t="s">
        <v>35</v>
      </c>
      <c r="K790" s="2" t="s">
        <v>21</v>
      </c>
      <c r="L790" s="2">
        <v>35</v>
      </c>
      <c r="M790" s="2">
        <v>15</v>
      </c>
      <c r="N790" s="2">
        <v>23158.32</v>
      </c>
      <c r="O790" s="2">
        <v>56.76</v>
      </c>
      <c r="P790" s="2">
        <v>126.11</v>
      </c>
      <c r="Q790" s="2" t="s">
        <v>30</v>
      </c>
      <c r="R790" s="2">
        <v>5</v>
      </c>
    </row>
    <row r="791" spans="1:18" x14ac:dyDescent="0.3">
      <c r="A791" s="2" t="s">
        <v>842</v>
      </c>
      <c r="B791" s="2" t="s">
        <v>76</v>
      </c>
      <c r="E791" s="2" t="s">
        <v>76</v>
      </c>
      <c r="F791" s="1">
        <v>46197</v>
      </c>
      <c r="G791" s="2" t="s">
        <v>24</v>
      </c>
      <c r="H791" s="2" t="s">
        <v>18</v>
      </c>
      <c r="I791" s="2" t="s">
        <v>19</v>
      </c>
      <c r="J791" s="2" t="s">
        <v>20</v>
      </c>
      <c r="K791" s="2" t="s">
        <v>56</v>
      </c>
      <c r="L791" s="2">
        <v>22</v>
      </c>
      <c r="M791" s="2">
        <v>62</v>
      </c>
      <c r="N791" s="2">
        <v>5230.18</v>
      </c>
      <c r="O791" s="2">
        <v>190.72</v>
      </c>
      <c r="P791" s="2">
        <v>149.91999999999999</v>
      </c>
      <c r="Q791" s="2" t="s">
        <v>30</v>
      </c>
      <c r="R791" s="2">
        <v>2</v>
      </c>
    </row>
    <row r="792" spans="1:18" x14ac:dyDescent="0.3">
      <c r="A792" s="2" t="s">
        <v>843</v>
      </c>
      <c r="B792" s="2" t="s">
        <v>25</v>
      </c>
      <c r="E792" s="2" t="s">
        <v>25</v>
      </c>
      <c r="F792" s="1">
        <v>45969</v>
      </c>
      <c r="G792" s="2" t="s">
        <v>54</v>
      </c>
      <c r="H792" s="2" t="s">
        <v>38</v>
      </c>
      <c r="I792" s="2" t="s">
        <v>27</v>
      </c>
      <c r="J792" s="2" t="s">
        <v>64</v>
      </c>
      <c r="K792" s="2" t="s">
        <v>21</v>
      </c>
      <c r="L792" s="2">
        <v>72</v>
      </c>
      <c r="M792" s="2">
        <v>27</v>
      </c>
      <c r="N792" s="2">
        <v>44958.25</v>
      </c>
      <c r="O792" s="2">
        <v>314.66000000000003</v>
      </c>
      <c r="P792" s="2">
        <v>87.47</v>
      </c>
      <c r="Q792" s="2" t="s">
        <v>22</v>
      </c>
      <c r="R792" s="2">
        <v>2</v>
      </c>
    </row>
    <row r="793" spans="1:18" x14ac:dyDescent="0.3">
      <c r="A793" s="2" t="s">
        <v>844</v>
      </c>
      <c r="B793" s="2" t="s">
        <v>67</v>
      </c>
      <c r="E793" s="2" t="s">
        <v>67</v>
      </c>
      <c r="F793" s="1">
        <v>45937</v>
      </c>
      <c r="G793" s="2" t="s">
        <v>90</v>
      </c>
      <c r="H793" s="2" t="s">
        <v>45</v>
      </c>
      <c r="I793" s="2" t="s">
        <v>34</v>
      </c>
      <c r="J793" s="2" t="s">
        <v>35</v>
      </c>
      <c r="K793" s="2" t="s">
        <v>52</v>
      </c>
      <c r="L793" s="2">
        <v>59</v>
      </c>
      <c r="M793" s="2">
        <v>28</v>
      </c>
      <c r="N793" s="2">
        <v>46803.53</v>
      </c>
      <c r="O793" s="2">
        <v>112.23</v>
      </c>
      <c r="P793" s="2">
        <v>186.53</v>
      </c>
      <c r="Q793" s="2" t="s">
        <v>30</v>
      </c>
      <c r="R793" s="2">
        <v>3</v>
      </c>
    </row>
    <row r="794" spans="1:18" x14ac:dyDescent="0.3">
      <c r="A794" s="2" t="s">
        <v>845</v>
      </c>
      <c r="B794" s="2" t="s">
        <v>62</v>
      </c>
      <c r="E794" s="2" t="s">
        <v>62</v>
      </c>
      <c r="F794" s="1">
        <v>46123</v>
      </c>
      <c r="G794" s="2" t="s">
        <v>16</v>
      </c>
      <c r="H794" s="2" t="s">
        <v>18</v>
      </c>
      <c r="I794" s="2" t="s">
        <v>19</v>
      </c>
      <c r="J794" s="2" t="s">
        <v>64</v>
      </c>
      <c r="K794" s="2" t="s">
        <v>29</v>
      </c>
      <c r="L794" s="2">
        <v>73</v>
      </c>
      <c r="M794" s="2">
        <v>81</v>
      </c>
      <c r="N794" s="2">
        <v>49000.28</v>
      </c>
      <c r="O794" s="2">
        <v>241.76</v>
      </c>
      <c r="P794" s="2">
        <v>189.74</v>
      </c>
      <c r="Q794" s="2" t="s">
        <v>22</v>
      </c>
      <c r="R794" s="2">
        <v>5</v>
      </c>
    </row>
    <row r="795" spans="1:18" x14ac:dyDescent="0.3">
      <c r="A795" s="2" t="s">
        <v>846</v>
      </c>
      <c r="B795" s="2" t="s">
        <v>86</v>
      </c>
      <c r="E795" s="2" t="s">
        <v>86</v>
      </c>
      <c r="F795" s="1">
        <v>46130</v>
      </c>
      <c r="G795" s="2" t="s">
        <v>43</v>
      </c>
      <c r="H795" s="2" t="s">
        <v>38</v>
      </c>
      <c r="I795" s="2" t="s">
        <v>39</v>
      </c>
      <c r="J795" s="2" t="s">
        <v>20</v>
      </c>
      <c r="K795" s="2" t="s">
        <v>29</v>
      </c>
      <c r="L795" s="2">
        <v>64</v>
      </c>
      <c r="M795" s="2">
        <v>64</v>
      </c>
      <c r="N795" s="2">
        <v>43493.37</v>
      </c>
      <c r="O795" s="2">
        <v>298.54000000000002</v>
      </c>
      <c r="P795" s="2">
        <v>86.49</v>
      </c>
      <c r="Q795" s="2" t="s">
        <v>30</v>
      </c>
      <c r="R795" s="2">
        <v>2</v>
      </c>
    </row>
    <row r="796" spans="1:18" x14ac:dyDescent="0.3">
      <c r="A796" s="2" t="s">
        <v>847</v>
      </c>
      <c r="B796" s="2" t="s">
        <v>86</v>
      </c>
      <c r="E796" s="2" t="s">
        <v>86</v>
      </c>
      <c r="F796" s="1">
        <v>46186</v>
      </c>
      <c r="G796" s="2" t="s">
        <v>43</v>
      </c>
      <c r="H796" s="2" t="s">
        <v>45</v>
      </c>
      <c r="I796" s="2" t="s">
        <v>34</v>
      </c>
      <c r="J796" s="2" t="s">
        <v>35</v>
      </c>
      <c r="K796" s="2" t="s">
        <v>52</v>
      </c>
      <c r="L796" s="2">
        <v>74</v>
      </c>
      <c r="M796" s="2">
        <v>110</v>
      </c>
      <c r="N796" s="2">
        <v>9111.06</v>
      </c>
      <c r="O796" s="2">
        <v>319.5</v>
      </c>
      <c r="P796" s="2">
        <v>127.69</v>
      </c>
      <c r="Q796" s="2" t="s">
        <v>30</v>
      </c>
      <c r="R796" s="2">
        <v>3</v>
      </c>
    </row>
    <row r="797" spans="1:18" x14ac:dyDescent="0.3">
      <c r="A797" s="2" t="s">
        <v>848</v>
      </c>
      <c r="B797" s="2" t="s">
        <v>51</v>
      </c>
      <c r="E797" s="2" t="s">
        <v>51</v>
      </c>
      <c r="F797" s="1">
        <v>46123</v>
      </c>
      <c r="G797" s="2" t="s">
        <v>16</v>
      </c>
      <c r="H797" s="2" t="s">
        <v>45</v>
      </c>
      <c r="I797" s="2" t="s">
        <v>27</v>
      </c>
      <c r="J797" s="2" t="s">
        <v>28</v>
      </c>
      <c r="K797" s="2" t="s">
        <v>52</v>
      </c>
      <c r="L797" s="2">
        <v>38</v>
      </c>
      <c r="M797" s="2">
        <v>59</v>
      </c>
      <c r="N797" s="2">
        <v>2786.73</v>
      </c>
      <c r="O797" s="2">
        <v>173.49</v>
      </c>
      <c r="P797" s="2">
        <v>57.36</v>
      </c>
      <c r="Q797" s="2" t="s">
        <v>30</v>
      </c>
      <c r="R797" s="2">
        <v>5</v>
      </c>
    </row>
    <row r="798" spans="1:18" x14ac:dyDescent="0.3">
      <c r="A798" s="2" t="s">
        <v>849</v>
      </c>
      <c r="B798" s="2" t="s">
        <v>47</v>
      </c>
      <c r="E798" s="2" t="s">
        <v>47</v>
      </c>
      <c r="F798" s="1">
        <v>45912</v>
      </c>
      <c r="G798" s="2" t="s">
        <v>74</v>
      </c>
      <c r="H798" s="2" t="s">
        <v>58</v>
      </c>
      <c r="I798" s="2" t="s">
        <v>34</v>
      </c>
      <c r="J798" s="2" t="s">
        <v>20</v>
      </c>
      <c r="K798" s="2" t="s">
        <v>29</v>
      </c>
      <c r="L798" s="2">
        <v>23</v>
      </c>
      <c r="M798" s="2">
        <v>114</v>
      </c>
      <c r="N798" s="2">
        <v>29190.04</v>
      </c>
      <c r="O798" s="2">
        <v>230.01</v>
      </c>
      <c r="P798" s="2">
        <v>88.1</v>
      </c>
      <c r="Q798" s="2" t="s">
        <v>30</v>
      </c>
      <c r="R798" s="2">
        <v>3</v>
      </c>
    </row>
    <row r="799" spans="1:18" x14ac:dyDescent="0.3">
      <c r="A799" s="2" t="s">
        <v>850</v>
      </c>
      <c r="B799" s="2" t="s">
        <v>44</v>
      </c>
      <c r="E799" s="2" t="s">
        <v>44</v>
      </c>
      <c r="F799" s="1">
        <v>46064</v>
      </c>
      <c r="G799" s="2" t="s">
        <v>43</v>
      </c>
      <c r="H799" s="2" t="s">
        <v>58</v>
      </c>
      <c r="I799" s="2" t="s">
        <v>68</v>
      </c>
      <c r="J799" s="2" t="s">
        <v>55</v>
      </c>
      <c r="K799" s="2" t="s">
        <v>52</v>
      </c>
      <c r="L799" s="2">
        <v>27</v>
      </c>
      <c r="M799" s="2">
        <v>58</v>
      </c>
      <c r="N799" s="2">
        <v>45673.95</v>
      </c>
      <c r="O799" s="2">
        <v>400.25</v>
      </c>
      <c r="P799" s="2">
        <v>79.92</v>
      </c>
      <c r="Q799" s="2" t="s">
        <v>30</v>
      </c>
      <c r="R799" s="2">
        <v>5</v>
      </c>
    </row>
    <row r="800" spans="1:18" x14ac:dyDescent="0.3">
      <c r="A800" s="2" t="s">
        <v>851</v>
      </c>
      <c r="B800" s="2" t="s">
        <v>44</v>
      </c>
      <c r="E800" s="2" t="s">
        <v>44</v>
      </c>
      <c r="F800" s="1">
        <v>46149</v>
      </c>
      <c r="G800" s="2" t="s">
        <v>32</v>
      </c>
      <c r="H800" s="2" t="s">
        <v>38</v>
      </c>
      <c r="I800" s="2" t="s">
        <v>68</v>
      </c>
      <c r="J800" s="2" t="s">
        <v>64</v>
      </c>
      <c r="K800" s="2" t="s">
        <v>56</v>
      </c>
      <c r="L800" s="2">
        <v>63</v>
      </c>
      <c r="M800" s="2">
        <v>2</v>
      </c>
      <c r="N800" s="2">
        <v>9278.89</v>
      </c>
      <c r="O800" s="2">
        <v>473.55</v>
      </c>
      <c r="P800" s="2">
        <v>170.49</v>
      </c>
      <c r="Q800" s="2" t="s">
        <v>30</v>
      </c>
      <c r="R800" s="2">
        <v>2</v>
      </c>
    </row>
    <row r="801" spans="1:18" x14ac:dyDescent="0.3">
      <c r="A801" s="2" t="s">
        <v>852</v>
      </c>
      <c r="B801" s="2" t="s">
        <v>17</v>
      </c>
      <c r="E801" s="2" t="s">
        <v>17</v>
      </c>
      <c r="F801" s="1">
        <v>46061</v>
      </c>
      <c r="G801" s="2" t="s">
        <v>24</v>
      </c>
      <c r="H801" s="2" t="s">
        <v>45</v>
      </c>
      <c r="I801" s="2" t="s">
        <v>19</v>
      </c>
      <c r="J801" s="2" t="s">
        <v>20</v>
      </c>
      <c r="K801" s="2" t="s">
        <v>21</v>
      </c>
      <c r="L801" s="2">
        <v>38</v>
      </c>
      <c r="M801" s="2">
        <v>36</v>
      </c>
      <c r="N801" s="2">
        <v>848.62</v>
      </c>
      <c r="O801" s="2">
        <v>437.85</v>
      </c>
      <c r="P801" s="2">
        <v>100.06</v>
      </c>
      <c r="Q801" s="2" t="s">
        <v>30</v>
      </c>
      <c r="R801" s="2">
        <v>3</v>
      </c>
    </row>
    <row r="802" spans="1:18" x14ac:dyDescent="0.3">
      <c r="A802" s="2" t="s">
        <v>853</v>
      </c>
      <c r="B802" s="2" t="s">
        <v>60</v>
      </c>
      <c r="E802" s="2" t="s">
        <v>60</v>
      </c>
      <c r="F802" s="1">
        <v>45978</v>
      </c>
      <c r="G802" s="2" t="s">
        <v>90</v>
      </c>
      <c r="H802" s="2" t="s">
        <v>26</v>
      </c>
      <c r="I802" s="2" t="s">
        <v>19</v>
      </c>
      <c r="J802" s="2" t="s">
        <v>20</v>
      </c>
      <c r="K802" s="2" t="s">
        <v>29</v>
      </c>
      <c r="L802" s="2">
        <v>64</v>
      </c>
      <c r="M802" s="2">
        <v>114</v>
      </c>
      <c r="N802" s="2">
        <v>40372.050000000003</v>
      </c>
      <c r="O802" s="2">
        <v>303.93</v>
      </c>
      <c r="P802" s="2">
        <v>203.67</v>
      </c>
      <c r="Q802" s="2" t="s">
        <v>30</v>
      </c>
      <c r="R802" s="2">
        <v>2</v>
      </c>
    </row>
    <row r="803" spans="1:18" x14ac:dyDescent="0.3">
      <c r="A803" s="2" t="s">
        <v>854</v>
      </c>
      <c r="B803" s="2" t="s">
        <v>37</v>
      </c>
      <c r="E803" s="2" t="s">
        <v>37</v>
      </c>
      <c r="F803" s="1">
        <v>46102</v>
      </c>
      <c r="G803" s="2" t="s">
        <v>16</v>
      </c>
      <c r="H803" s="2" t="s">
        <v>58</v>
      </c>
      <c r="I803" s="2" t="s">
        <v>39</v>
      </c>
      <c r="J803" s="2" t="s">
        <v>35</v>
      </c>
      <c r="K803" s="2" t="s">
        <v>52</v>
      </c>
      <c r="L803" s="2">
        <v>58</v>
      </c>
      <c r="M803" s="2">
        <v>71</v>
      </c>
      <c r="N803" s="2">
        <v>4301.3900000000003</v>
      </c>
      <c r="O803" s="2">
        <v>234.63</v>
      </c>
      <c r="P803" s="2">
        <v>78.39</v>
      </c>
      <c r="Q803" s="2" t="s">
        <v>30</v>
      </c>
      <c r="R803" s="2">
        <v>3</v>
      </c>
    </row>
    <row r="804" spans="1:18" x14ac:dyDescent="0.3">
      <c r="A804" s="2" t="s">
        <v>855</v>
      </c>
      <c r="B804" s="2" t="s">
        <v>67</v>
      </c>
      <c r="E804" s="2" t="s">
        <v>67</v>
      </c>
      <c r="F804" s="1">
        <v>45920</v>
      </c>
      <c r="G804" s="2" t="s">
        <v>32</v>
      </c>
      <c r="H804" s="2" t="s">
        <v>38</v>
      </c>
      <c r="I804" s="2" t="s">
        <v>34</v>
      </c>
      <c r="J804" s="2" t="s">
        <v>35</v>
      </c>
      <c r="K804" s="2" t="s">
        <v>56</v>
      </c>
      <c r="L804" s="2">
        <v>57</v>
      </c>
      <c r="M804" s="2">
        <v>13</v>
      </c>
      <c r="N804" s="2">
        <v>20978.45</v>
      </c>
      <c r="O804" s="2">
        <v>199.83</v>
      </c>
      <c r="P804" s="2">
        <v>52.72</v>
      </c>
      <c r="Q804" s="2" t="s">
        <v>22</v>
      </c>
      <c r="R804" s="2">
        <v>1</v>
      </c>
    </row>
    <row r="805" spans="1:18" x14ac:dyDescent="0.3">
      <c r="A805" s="2" t="s">
        <v>856</v>
      </c>
      <c r="B805" s="2" t="s">
        <v>44</v>
      </c>
      <c r="E805" s="2" t="s">
        <v>44</v>
      </c>
      <c r="F805" s="1">
        <v>46144</v>
      </c>
      <c r="G805" s="2" t="s">
        <v>16</v>
      </c>
      <c r="H805" s="2" t="s">
        <v>45</v>
      </c>
      <c r="I805" s="2" t="s">
        <v>68</v>
      </c>
      <c r="J805" s="2" t="s">
        <v>35</v>
      </c>
      <c r="K805" s="2" t="s">
        <v>29</v>
      </c>
      <c r="L805" s="2">
        <v>53</v>
      </c>
      <c r="M805" s="2">
        <v>15</v>
      </c>
      <c r="N805" s="2">
        <v>34104.92</v>
      </c>
      <c r="O805" s="2">
        <v>106.23</v>
      </c>
      <c r="P805" s="2">
        <v>286.39999999999998</v>
      </c>
      <c r="Q805" s="2" t="s">
        <v>30</v>
      </c>
      <c r="R805" s="2">
        <v>2</v>
      </c>
    </row>
    <row r="806" spans="1:18" x14ac:dyDescent="0.3">
      <c r="A806" s="2" t="s">
        <v>857</v>
      </c>
      <c r="B806" s="2" t="s">
        <v>51</v>
      </c>
      <c r="E806" s="2" t="s">
        <v>51</v>
      </c>
      <c r="F806" s="1">
        <v>46059</v>
      </c>
      <c r="G806" s="2" t="s">
        <v>90</v>
      </c>
      <c r="H806" s="2" t="s">
        <v>45</v>
      </c>
      <c r="I806" s="2" t="s">
        <v>19</v>
      </c>
      <c r="J806" s="2" t="s">
        <v>55</v>
      </c>
      <c r="K806" s="2" t="s">
        <v>52</v>
      </c>
      <c r="L806" s="2">
        <v>64</v>
      </c>
      <c r="M806" s="2">
        <v>89</v>
      </c>
      <c r="N806" s="2">
        <v>12221.48</v>
      </c>
      <c r="O806" s="2">
        <v>97.95</v>
      </c>
      <c r="P806" s="2">
        <v>120.72</v>
      </c>
      <c r="Q806" s="2" t="s">
        <v>30</v>
      </c>
      <c r="R806" s="2">
        <v>2</v>
      </c>
    </row>
    <row r="807" spans="1:18" x14ac:dyDescent="0.3">
      <c r="A807" s="2" t="s">
        <v>858</v>
      </c>
      <c r="B807" s="2" t="s">
        <v>62</v>
      </c>
      <c r="E807" s="2" t="s">
        <v>62</v>
      </c>
      <c r="F807" s="1">
        <v>46068</v>
      </c>
      <c r="G807" s="2" t="s">
        <v>41</v>
      </c>
      <c r="H807" s="2" t="s">
        <v>26</v>
      </c>
      <c r="I807" s="2" t="s">
        <v>34</v>
      </c>
      <c r="J807" s="2" t="s">
        <v>35</v>
      </c>
      <c r="K807" s="2" t="s">
        <v>29</v>
      </c>
      <c r="L807" s="2">
        <v>51</v>
      </c>
      <c r="M807" s="2">
        <v>87</v>
      </c>
      <c r="N807" s="2">
        <v>4656.1499999999996</v>
      </c>
      <c r="O807" s="2">
        <v>359.76</v>
      </c>
      <c r="P807" s="2">
        <v>280.18</v>
      </c>
      <c r="Q807" s="2" t="s">
        <v>30</v>
      </c>
      <c r="R807" s="2">
        <v>4</v>
      </c>
    </row>
    <row r="808" spans="1:18" x14ac:dyDescent="0.3">
      <c r="A808" s="2" t="s">
        <v>859</v>
      </c>
      <c r="B808" s="2" t="s">
        <v>47</v>
      </c>
      <c r="E808" s="2" t="s">
        <v>47</v>
      </c>
      <c r="F808" s="1">
        <v>45943</v>
      </c>
      <c r="G808" s="2" t="s">
        <v>90</v>
      </c>
      <c r="H808" s="2" t="s">
        <v>38</v>
      </c>
      <c r="I808" s="2" t="s">
        <v>19</v>
      </c>
      <c r="J808" s="2" t="s">
        <v>20</v>
      </c>
      <c r="K808" s="2" t="s">
        <v>52</v>
      </c>
      <c r="L808" s="2">
        <v>31</v>
      </c>
      <c r="M808" s="2">
        <v>60</v>
      </c>
      <c r="N808" s="2">
        <v>38616.050000000003</v>
      </c>
      <c r="O808" s="2">
        <v>166.91</v>
      </c>
      <c r="P808" s="2">
        <v>40.68</v>
      </c>
      <c r="Q808" s="2" t="s">
        <v>30</v>
      </c>
      <c r="R808" s="2">
        <v>2</v>
      </c>
    </row>
    <row r="809" spans="1:18" x14ac:dyDescent="0.3">
      <c r="A809" s="2" t="s">
        <v>860</v>
      </c>
      <c r="B809" s="2" t="s">
        <v>76</v>
      </c>
      <c r="E809" s="2" t="s">
        <v>76</v>
      </c>
      <c r="F809" s="1">
        <v>45966</v>
      </c>
      <c r="G809" s="2" t="s">
        <v>74</v>
      </c>
      <c r="H809" s="2" t="s">
        <v>45</v>
      </c>
      <c r="I809" s="2" t="s">
        <v>19</v>
      </c>
      <c r="J809" s="2" t="s">
        <v>35</v>
      </c>
      <c r="K809" s="2" t="s">
        <v>29</v>
      </c>
      <c r="L809" s="2">
        <v>24</v>
      </c>
      <c r="M809" s="2">
        <v>22</v>
      </c>
      <c r="N809" s="2">
        <v>31693.67</v>
      </c>
      <c r="O809" s="2">
        <v>164.6</v>
      </c>
      <c r="P809" s="2">
        <v>44.07</v>
      </c>
      <c r="Q809" s="2" t="s">
        <v>30</v>
      </c>
      <c r="R809" s="2">
        <v>5</v>
      </c>
    </row>
    <row r="810" spans="1:18" x14ac:dyDescent="0.3">
      <c r="A810" s="2" t="s">
        <v>861</v>
      </c>
      <c r="B810" s="2" t="s">
        <v>17</v>
      </c>
      <c r="E810" s="2" t="s">
        <v>17</v>
      </c>
      <c r="F810" s="1">
        <v>46182</v>
      </c>
      <c r="G810" s="2" t="s">
        <v>90</v>
      </c>
      <c r="H810" s="2" t="s">
        <v>58</v>
      </c>
      <c r="I810" s="2" t="s">
        <v>68</v>
      </c>
      <c r="J810" s="2" t="s">
        <v>28</v>
      </c>
      <c r="K810" s="2" t="s">
        <v>56</v>
      </c>
      <c r="L810" s="2">
        <v>38</v>
      </c>
      <c r="M810" s="2">
        <v>63</v>
      </c>
      <c r="N810" s="2">
        <v>49430.28</v>
      </c>
      <c r="O810" s="2">
        <v>499.19</v>
      </c>
      <c r="P810" s="2">
        <v>171.16</v>
      </c>
      <c r="Q810" s="2" t="s">
        <v>30</v>
      </c>
      <c r="R810" s="2">
        <v>3</v>
      </c>
    </row>
    <row r="811" spans="1:18" x14ac:dyDescent="0.3">
      <c r="A811" s="2" t="s">
        <v>862</v>
      </c>
      <c r="B811" s="2" t="s">
        <v>51</v>
      </c>
      <c r="E811" s="2" t="s">
        <v>51</v>
      </c>
      <c r="F811" s="1">
        <v>45899</v>
      </c>
      <c r="G811" s="2" t="s">
        <v>90</v>
      </c>
      <c r="H811" s="2" t="s">
        <v>26</v>
      </c>
      <c r="I811" s="2" t="s">
        <v>68</v>
      </c>
      <c r="J811" s="2" t="s">
        <v>35</v>
      </c>
      <c r="K811" s="2" t="s">
        <v>56</v>
      </c>
      <c r="L811" s="2">
        <v>24</v>
      </c>
      <c r="M811" s="2">
        <v>90</v>
      </c>
      <c r="N811" s="2">
        <v>17543.25</v>
      </c>
      <c r="O811" s="2">
        <v>134.57</v>
      </c>
      <c r="P811" s="2">
        <v>136.18</v>
      </c>
      <c r="Q811" s="2" t="s">
        <v>30</v>
      </c>
      <c r="R811" s="2">
        <v>1</v>
      </c>
    </row>
    <row r="812" spans="1:18" x14ac:dyDescent="0.3">
      <c r="A812" s="2" t="s">
        <v>863</v>
      </c>
      <c r="B812" s="2" t="s">
        <v>78</v>
      </c>
      <c r="E812" s="2" t="s">
        <v>78</v>
      </c>
      <c r="F812" s="1">
        <v>46173</v>
      </c>
      <c r="G812" s="2" t="s">
        <v>74</v>
      </c>
      <c r="H812" s="2" t="s">
        <v>38</v>
      </c>
      <c r="I812" s="2" t="s">
        <v>19</v>
      </c>
      <c r="J812" s="2" t="s">
        <v>55</v>
      </c>
      <c r="K812" s="2" t="s">
        <v>21</v>
      </c>
      <c r="L812" s="2">
        <v>69</v>
      </c>
      <c r="M812" s="2">
        <v>97</v>
      </c>
      <c r="N812" s="2">
        <v>3557.24</v>
      </c>
      <c r="O812" s="2">
        <v>116.63</v>
      </c>
      <c r="P812" s="2">
        <v>37.32</v>
      </c>
      <c r="Q812" s="2" t="s">
        <v>30</v>
      </c>
      <c r="R812" s="2">
        <v>5</v>
      </c>
    </row>
    <row r="813" spans="1:18" x14ac:dyDescent="0.3">
      <c r="A813" s="2" t="s">
        <v>864</v>
      </c>
      <c r="B813" s="2" t="s">
        <v>33</v>
      </c>
      <c r="E813" s="2" t="s">
        <v>33</v>
      </c>
      <c r="F813" s="1">
        <v>46058</v>
      </c>
      <c r="G813" s="2" t="s">
        <v>24</v>
      </c>
      <c r="H813" s="2" t="s">
        <v>26</v>
      </c>
      <c r="I813" s="2" t="s">
        <v>27</v>
      </c>
      <c r="J813" s="2" t="s">
        <v>28</v>
      </c>
      <c r="K813" s="2" t="s">
        <v>29</v>
      </c>
      <c r="L813" s="2">
        <v>54</v>
      </c>
      <c r="M813" s="2">
        <v>75</v>
      </c>
      <c r="N813" s="2">
        <v>36850.33</v>
      </c>
      <c r="O813" s="2">
        <v>94.41</v>
      </c>
      <c r="P813" s="2">
        <v>80.8</v>
      </c>
      <c r="Q813" s="2" t="s">
        <v>22</v>
      </c>
      <c r="R813" s="2">
        <v>5</v>
      </c>
    </row>
    <row r="814" spans="1:18" x14ac:dyDescent="0.3">
      <c r="A814" s="2" t="s">
        <v>865</v>
      </c>
      <c r="B814" s="2" t="s">
        <v>76</v>
      </c>
      <c r="E814" s="2" t="s">
        <v>76</v>
      </c>
      <c r="F814" s="1">
        <v>46215</v>
      </c>
      <c r="G814" s="2" t="s">
        <v>43</v>
      </c>
      <c r="H814" s="2" t="s">
        <v>58</v>
      </c>
      <c r="I814" s="2" t="s">
        <v>19</v>
      </c>
      <c r="J814" s="2" t="s">
        <v>20</v>
      </c>
      <c r="K814" s="2" t="s">
        <v>21</v>
      </c>
      <c r="L814" s="2">
        <v>49</v>
      </c>
      <c r="M814" s="2">
        <v>74</v>
      </c>
      <c r="N814" s="2">
        <v>26325.8</v>
      </c>
      <c r="O814" s="2">
        <v>310.91000000000003</v>
      </c>
      <c r="P814" s="2">
        <v>160.13</v>
      </c>
      <c r="Q814" s="2" t="s">
        <v>30</v>
      </c>
      <c r="R814" s="2">
        <v>5</v>
      </c>
    </row>
    <row r="815" spans="1:18" x14ac:dyDescent="0.3">
      <c r="A815" s="2" t="s">
        <v>866</v>
      </c>
      <c r="B815" s="2" t="s">
        <v>60</v>
      </c>
      <c r="E815" s="2" t="s">
        <v>60</v>
      </c>
      <c r="F815" s="1">
        <v>45972</v>
      </c>
      <c r="G815" s="2" t="s">
        <v>90</v>
      </c>
      <c r="H815" s="2" t="s">
        <v>38</v>
      </c>
      <c r="I815" s="2" t="s">
        <v>19</v>
      </c>
      <c r="J815" s="2" t="s">
        <v>20</v>
      </c>
      <c r="K815" s="2" t="s">
        <v>29</v>
      </c>
      <c r="L815" s="2">
        <v>44</v>
      </c>
      <c r="M815" s="2">
        <v>25</v>
      </c>
      <c r="N815" s="2">
        <v>11053.59</v>
      </c>
      <c r="O815" s="2">
        <v>332.54</v>
      </c>
      <c r="P815" s="2">
        <v>136.16</v>
      </c>
      <c r="Q815" s="2" t="s">
        <v>30</v>
      </c>
      <c r="R815" s="2">
        <v>5</v>
      </c>
    </row>
    <row r="816" spans="1:18" x14ac:dyDescent="0.3">
      <c r="A816" s="2" t="s">
        <v>867</v>
      </c>
      <c r="B816" s="2" t="s">
        <v>78</v>
      </c>
      <c r="E816" s="2" t="s">
        <v>78</v>
      </c>
      <c r="F816" s="1">
        <v>45896</v>
      </c>
      <c r="G816" s="2" t="s">
        <v>74</v>
      </c>
      <c r="H816" s="2" t="s">
        <v>26</v>
      </c>
      <c r="I816" s="2" t="s">
        <v>39</v>
      </c>
      <c r="J816" s="2" t="s">
        <v>64</v>
      </c>
      <c r="K816" s="2" t="s">
        <v>52</v>
      </c>
      <c r="L816" s="2">
        <v>42</v>
      </c>
      <c r="M816" s="2">
        <v>101</v>
      </c>
      <c r="N816" s="2">
        <v>39195.58</v>
      </c>
      <c r="O816" s="2">
        <v>214.35</v>
      </c>
      <c r="P816" s="2">
        <v>134.11000000000001</v>
      </c>
      <c r="Q816" s="2" t="s">
        <v>30</v>
      </c>
      <c r="R816" s="2">
        <v>1</v>
      </c>
    </row>
    <row r="817" spans="1:18" x14ac:dyDescent="0.3">
      <c r="A817" s="2" t="s">
        <v>868</v>
      </c>
      <c r="B817" s="2" t="s">
        <v>82</v>
      </c>
      <c r="E817" s="2" t="s">
        <v>82</v>
      </c>
      <c r="F817" s="1">
        <v>46183</v>
      </c>
      <c r="G817" s="2" t="s">
        <v>32</v>
      </c>
      <c r="H817" s="2" t="s">
        <v>18</v>
      </c>
      <c r="I817" s="2" t="s">
        <v>39</v>
      </c>
      <c r="J817" s="2" t="s">
        <v>28</v>
      </c>
      <c r="K817" s="2" t="s">
        <v>52</v>
      </c>
      <c r="L817" s="2">
        <v>22</v>
      </c>
      <c r="M817" s="2">
        <v>48</v>
      </c>
      <c r="N817" s="2">
        <v>10585.9</v>
      </c>
      <c r="O817" s="2">
        <v>290.94</v>
      </c>
      <c r="P817" s="2">
        <v>63.67</v>
      </c>
      <c r="Q817" s="2" t="s">
        <v>30</v>
      </c>
      <c r="R817" s="2">
        <v>4</v>
      </c>
    </row>
    <row r="818" spans="1:18" x14ac:dyDescent="0.3">
      <c r="A818" s="2" t="s">
        <v>869</v>
      </c>
      <c r="B818" s="2" t="s">
        <v>60</v>
      </c>
      <c r="E818" s="2" t="s">
        <v>60</v>
      </c>
      <c r="F818" s="1">
        <v>46007</v>
      </c>
      <c r="G818" s="2" t="s">
        <v>41</v>
      </c>
      <c r="H818" s="2" t="s">
        <v>58</v>
      </c>
      <c r="I818" s="2" t="s">
        <v>39</v>
      </c>
      <c r="J818" s="2" t="s">
        <v>64</v>
      </c>
      <c r="K818" s="2" t="s">
        <v>21</v>
      </c>
      <c r="L818" s="2">
        <v>64</v>
      </c>
      <c r="M818" s="2">
        <v>43</v>
      </c>
      <c r="N818" s="2">
        <v>13402.75</v>
      </c>
      <c r="O818" s="2">
        <v>404.78</v>
      </c>
      <c r="P818" s="2">
        <v>76.25</v>
      </c>
      <c r="Q818" s="2" t="s">
        <v>22</v>
      </c>
      <c r="R818" s="2">
        <v>2</v>
      </c>
    </row>
    <row r="819" spans="1:18" x14ac:dyDescent="0.3">
      <c r="A819" s="2" t="s">
        <v>870</v>
      </c>
      <c r="B819" s="2" t="s">
        <v>86</v>
      </c>
      <c r="E819" s="2" t="s">
        <v>86</v>
      </c>
      <c r="F819" s="1">
        <v>46054</v>
      </c>
      <c r="G819" s="2" t="s">
        <v>41</v>
      </c>
      <c r="H819" s="2" t="s">
        <v>58</v>
      </c>
      <c r="I819" s="2" t="s">
        <v>27</v>
      </c>
      <c r="J819" s="2" t="s">
        <v>28</v>
      </c>
      <c r="K819" s="2" t="s">
        <v>29</v>
      </c>
      <c r="L819" s="2">
        <v>26</v>
      </c>
      <c r="M819" s="2">
        <v>117</v>
      </c>
      <c r="N819" s="2">
        <v>5080.16</v>
      </c>
      <c r="O819" s="2">
        <v>418.15</v>
      </c>
      <c r="P819" s="2">
        <v>297.20999999999998</v>
      </c>
      <c r="Q819" s="2" t="s">
        <v>30</v>
      </c>
      <c r="R819" s="2">
        <v>5</v>
      </c>
    </row>
    <row r="820" spans="1:18" x14ac:dyDescent="0.3">
      <c r="A820" s="2" t="s">
        <v>871</v>
      </c>
      <c r="B820" s="2" t="s">
        <v>33</v>
      </c>
      <c r="E820" s="2" t="s">
        <v>33</v>
      </c>
      <c r="F820" s="1">
        <v>45992</v>
      </c>
      <c r="G820" s="2" t="s">
        <v>90</v>
      </c>
      <c r="H820" s="2" t="s">
        <v>58</v>
      </c>
      <c r="I820" s="2" t="s">
        <v>27</v>
      </c>
      <c r="J820" s="2" t="s">
        <v>28</v>
      </c>
      <c r="K820" s="2" t="s">
        <v>21</v>
      </c>
      <c r="L820" s="2">
        <v>62</v>
      </c>
      <c r="M820" s="2">
        <v>38</v>
      </c>
      <c r="N820" s="2">
        <v>20271.900000000001</v>
      </c>
      <c r="O820" s="2">
        <v>481.06</v>
      </c>
      <c r="P820" s="2">
        <v>49.52</v>
      </c>
      <c r="Q820" s="2" t="s">
        <v>30</v>
      </c>
      <c r="R820" s="2">
        <v>2</v>
      </c>
    </row>
    <row r="821" spans="1:18" x14ac:dyDescent="0.3">
      <c r="A821" s="2" t="s">
        <v>872</v>
      </c>
      <c r="B821" s="2" t="s">
        <v>67</v>
      </c>
      <c r="E821" s="2" t="s">
        <v>67</v>
      </c>
      <c r="F821" s="1">
        <v>45989</v>
      </c>
      <c r="G821" s="2" t="s">
        <v>24</v>
      </c>
      <c r="H821" s="2" t="s">
        <v>18</v>
      </c>
      <c r="I821" s="2" t="s">
        <v>19</v>
      </c>
      <c r="J821" s="2" t="s">
        <v>55</v>
      </c>
      <c r="K821" s="2" t="s">
        <v>56</v>
      </c>
      <c r="L821" s="2">
        <v>45</v>
      </c>
      <c r="M821" s="2">
        <v>41</v>
      </c>
      <c r="N821" s="2">
        <v>21237</v>
      </c>
      <c r="O821" s="2">
        <v>420.92</v>
      </c>
      <c r="P821" s="2">
        <v>101.29</v>
      </c>
      <c r="Q821" s="2" t="s">
        <v>30</v>
      </c>
      <c r="R821" s="2">
        <v>2</v>
      </c>
    </row>
    <row r="822" spans="1:18" x14ac:dyDescent="0.3">
      <c r="A822" s="2" t="s">
        <v>873</v>
      </c>
      <c r="B822" s="2" t="s">
        <v>62</v>
      </c>
      <c r="E822" s="2" t="s">
        <v>62</v>
      </c>
      <c r="F822" s="1">
        <v>45928</v>
      </c>
      <c r="G822" s="2" t="s">
        <v>24</v>
      </c>
      <c r="H822" s="2" t="s">
        <v>18</v>
      </c>
      <c r="I822" s="2" t="s">
        <v>39</v>
      </c>
      <c r="J822" s="2" t="s">
        <v>64</v>
      </c>
      <c r="K822" s="2" t="s">
        <v>21</v>
      </c>
      <c r="L822" s="2">
        <v>41</v>
      </c>
      <c r="M822" s="2">
        <v>45</v>
      </c>
      <c r="N822" s="2">
        <v>25970.81</v>
      </c>
      <c r="O822" s="2">
        <v>304.18</v>
      </c>
      <c r="P822" s="2">
        <v>168.88</v>
      </c>
      <c r="Q822" s="2" t="s">
        <v>30</v>
      </c>
      <c r="R822" s="2">
        <v>5</v>
      </c>
    </row>
    <row r="823" spans="1:18" x14ac:dyDescent="0.3">
      <c r="A823" s="2" t="s">
        <v>874</v>
      </c>
      <c r="B823" s="2" t="s">
        <v>33</v>
      </c>
      <c r="E823" s="2" t="s">
        <v>33</v>
      </c>
      <c r="F823" s="1">
        <v>45896</v>
      </c>
      <c r="G823" s="2" t="s">
        <v>32</v>
      </c>
      <c r="H823" s="2" t="s">
        <v>45</v>
      </c>
      <c r="I823" s="2" t="s">
        <v>27</v>
      </c>
      <c r="J823" s="2" t="s">
        <v>55</v>
      </c>
      <c r="K823" s="2" t="s">
        <v>21</v>
      </c>
      <c r="L823" s="2">
        <v>36</v>
      </c>
      <c r="M823" s="2">
        <v>88</v>
      </c>
      <c r="N823" s="2">
        <v>35593.730000000003</v>
      </c>
      <c r="O823" s="2">
        <v>130.85</v>
      </c>
      <c r="P823" s="2">
        <v>47.84</v>
      </c>
      <c r="Q823" s="2" t="s">
        <v>22</v>
      </c>
      <c r="R823" s="2">
        <v>4</v>
      </c>
    </row>
    <row r="824" spans="1:18" x14ac:dyDescent="0.3">
      <c r="A824" s="2" t="s">
        <v>875</v>
      </c>
      <c r="B824" s="2" t="s">
        <v>60</v>
      </c>
      <c r="E824" s="2" t="s">
        <v>60</v>
      </c>
      <c r="F824" s="1">
        <v>46007</v>
      </c>
      <c r="G824" s="2" t="s">
        <v>90</v>
      </c>
      <c r="H824" s="2" t="s">
        <v>26</v>
      </c>
      <c r="I824" s="2" t="s">
        <v>68</v>
      </c>
      <c r="J824" s="2" t="s">
        <v>28</v>
      </c>
      <c r="K824" s="2" t="s">
        <v>52</v>
      </c>
      <c r="L824" s="2">
        <v>51</v>
      </c>
      <c r="M824" s="2">
        <v>40</v>
      </c>
      <c r="N824" s="2">
        <v>45352</v>
      </c>
      <c r="O824" s="2">
        <v>94.89</v>
      </c>
      <c r="P824" s="2">
        <v>83.04</v>
      </c>
      <c r="Q824" s="2" t="s">
        <v>30</v>
      </c>
      <c r="R824" s="2">
        <v>2</v>
      </c>
    </row>
    <row r="825" spans="1:18" x14ac:dyDescent="0.3">
      <c r="A825" s="2" t="s">
        <v>876</v>
      </c>
      <c r="B825" s="2" t="s">
        <v>37</v>
      </c>
      <c r="E825" s="2" t="s">
        <v>37</v>
      </c>
      <c r="F825" s="1">
        <v>46068</v>
      </c>
      <c r="G825" s="2" t="s">
        <v>41</v>
      </c>
      <c r="H825" s="2" t="s">
        <v>45</v>
      </c>
      <c r="I825" s="2" t="s">
        <v>19</v>
      </c>
      <c r="J825" s="2" t="s">
        <v>20</v>
      </c>
      <c r="K825" s="2" t="s">
        <v>21</v>
      </c>
      <c r="L825" s="2">
        <v>34</v>
      </c>
      <c r="M825" s="2">
        <v>110</v>
      </c>
      <c r="N825" s="2">
        <v>7317.84</v>
      </c>
      <c r="O825" s="2">
        <v>74.53</v>
      </c>
      <c r="P825" s="2">
        <v>123.02</v>
      </c>
      <c r="Q825" s="2" t="s">
        <v>30</v>
      </c>
      <c r="R825" s="2">
        <v>3</v>
      </c>
    </row>
    <row r="826" spans="1:18" x14ac:dyDescent="0.3">
      <c r="A826" s="2" t="s">
        <v>877</v>
      </c>
      <c r="B826" s="2" t="s">
        <v>78</v>
      </c>
      <c r="E826" s="2" t="s">
        <v>78</v>
      </c>
      <c r="F826" s="1">
        <v>45926</v>
      </c>
      <c r="G826" s="2" t="s">
        <v>24</v>
      </c>
      <c r="H826" s="2" t="s">
        <v>26</v>
      </c>
      <c r="I826" s="2" t="s">
        <v>34</v>
      </c>
      <c r="J826" s="2" t="s">
        <v>28</v>
      </c>
      <c r="K826" s="2" t="s">
        <v>29</v>
      </c>
      <c r="L826" s="2">
        <v>59</v>
      </c>
      <c r="M826" s="2">
        <v>97</v>
      </c>
      <c r="N826" s="2">
        <v>3190.23</v>
      </c>
      <c r="O826" s="2">
        <v>349.94</v>
      </c>
      <c r="P826" s="2">
        <v>144.36000000000001</v>
      </c>
      <c r="Q826" s="2" t="s">
        <v>30</v>
      </c>
      <c r="R826" s="2">
        <v>2</v>
      </c>
    </row>
    <row r="827" spans="1:18" x14ac:dyDescent="0.3">
      <c r="A827" s="2" t="s">
        <v>878</v>
      </c>
      <c r="B827" s="2" t="s">
        <v>67</v>
      </c>
      <c r="E827" s="2" t="s">
        <v>67</v>
      </c>
      <c r="F827" s="1">
        <v>46068</v>
      </c>
      <c r="G827" s="2" t="s">
        <v>90</v>
      </c>
      <c r="H827" s="2" t="s">
        <v>18</v>
      </c>
      <c r="I827" s="2" t="s">
        <v>19</v>
      </c>
      <c r="J827" s="2" t="s">
        <v>55</v>
      </c>
      <c r="K827" s="2" t="s">
        <v>52</v>
      </c>
      <c r="L827" s="2">
        <v>48</v>
      </c>
      <c r="M827" s="2">
        <v>17</v>
      </c>
      <c r="N827" s="2">
        <v>1417.3</v>
      </c>
      <c r="O827" s="2">
        <v>413.39</v>
      </c>
      <c r="P827" s="2">
        <v>91.9</v>
      </c>
      <c r="Q827" s="2" t="s">
        <v>30</v>
      </c>
      <c r="R827" s="2">
        <v>5</v>
      </c>
    </row>
    <row r="828" spans="1:18" x14ac:dyDescent="0.3">
      <c r="A828" s="2" t="s">
        <v>879</v>
      </c>
      <c r="B828" s="2" t="s">
        <v>49</v>
      </c>
      <c r="E828" s="2" t="s">
        <v>49</v>
      </c>
      <c r="F828" s="1">
        <v>46073</v>
      </c>
      <c r="G828" s="2" t="s">
        <v>16</v>
      </c>
      <c r="H828" s="2" t="s">
        <v>18</v>
      </c>
      <c r="I828" s="2" t="s">
        <v>34</v>
      </c>
      <c r="J828" s="2" t="s">
        <v>64</v>
      </c>
      <c r="K828" s="2" t="s">
        <v>21</v>
      </c>
      <c r="L828" s="2">
        <v>52</v>
      </c>
      <c r="M828" s="2">
        <v>88</v>
      </c>
      <c r="N828" s="2">
        <v>7609.26</v>
      </c>
      <c r="O828" s="2">
        <v>278.91000000000003</v>
      </c>
      <c r="P828" s="2">
        <v>72.5</v>
      </c>
      <c r="Q828" s="2" t="s">
        <v>30</v>
      </c>
      <c r="R828" s="2">
        <v>1</v>
      </c>
    </row>
    <row r="829" spans="1:18" x14ac:dyDescent="0.3">
      <c r="A829" s="2" t="s">
        <v>880</v>
      </c>
      <c r="B829" s="2" t="s">
        <v>37</v>
      </c>
      <c r="E829" s="2" t="s">
        <v>37</v>
      </c>
      <c r="F829" s="1">
        <v>46103</v>
      </c>
      <c r="G829" s="2" t="s">
        <v>24</v>
      </c>
      <c r="H829" s="2" t="s">
        <v>45</v>
      </c>
      <c r="I829" s="2" t="s">
        <v>39</v>
      </c>
      <c r="J829" s="2" t="s">
        <v>64</v>
      </c>
      <c r="K829" s="2" t="s">
        <v>56</v>
      </c>
      <c r="L829" s="2">
        <v>48</v>
      </c>
      <c r="M829" s="2">
        <v>101</v>
      </c>
      <c r="N829" s="2">
        <v>33068.5</v>
      </c>
      <c r="O829" s="2">
        <v>74.62</v>
      </c>
      <c r="P829" s="2">
        <v>117.33</v>
      </c>
      <c r="Q829" s="2" t="s">
        <v>30</v>
      </c>
      <c r="R829" s="2">
        <v>2</v>
      </c>
    </row>
    <row r="830" spans="1:18" x14ac:dyDescent="0.3">
      <c r="A830" s="2" t="s">
        <v>881</v>
      </c>
      <c r="B830" s="2" t="s">
        <v>86</v>
      </c>
      <c r="E830" s="2" t="s">
        <v>86</v>
      </c>
      <c r="F830" s="1">
        <v>45905</v>
      </c>
      <c r="G830" s="2" t="s">
        <v>74</v>
      </c>
      <c r="H830" s="2" t="s">
        <v>38</v>
      </c>
      <c r="I830" s="2" t="s">
        <v>34</v>
      </c>
      <c r="J830" s="2" t="s">
        <v>55</v>
      </c>
      <c r="K830" s="2" t="s">
        <v>21</v>
      </c>
      <c r="L830" s="2">
        <v>71</v>
      </c>
      <c r="M830" s="2">
        <v>57</v>
      </c>
      <c r="N830" s="2">
        <v>36510.120000000003</v>
      </c>
      <c r="O830" s="2">
        <v>290.95999999999998</v>
      </c>
      <c r="P830" s="2">
        <v>124.87</v>
      </c>
      <c r="Q830" s="2" t="s">
        <v>22</v>
      </c>
      <c r="R830" s="2">
        <v>4</v>
      </c>
    </row>
    <row r="831" spans="1:18" x14ac:dyDescent="0.3">
      <c r="A831" s="2" t="s">
        <v>882</v>
      </c>
      <c r="B831" s="2" t="s">
        <v>37</v>
      </c>
      <c r="E831" s="2" t="s">
        <v>37</v>
      </c>
      <c r="F831" s="1">
        <v>45977</v>
      </c>
      <c r="G831" s="2" t="s">
        <v>16</v>
      </c>
      <c r="H831" s="2" t="s">
        <v>45</v>
      </c>
      <c r="I831" s="2" t="s">
        <v>39</v>
      </c>
      <c r="J831" s="2" t="s">
        <v>64</v>
      </c>
      <c r="K831" s="2" t="s">
        <v>21</v>
      </c>
      <c r="L831" s="2">
        <v>69</v>
      </c>
      <c r="M831" s="2">
        <v>2</v>
      </c>
      <c r="N831" s="2">
        <v>39432.03</v>
      </c>
      <c r="O831" s="2">
        <v>471.09</v>
      </c>
      <c r="P831" s="2">
        <v>130.66</v>
      </c>
      <c r="Q831" s="2" t="s">
        <v>30</v>
      </c>
      <c r="R831" s="2">
        <v>3</v>
      </c>
    </row>
    <row r="832" spans="1:18" x14ac:dyDescent="0.3">
      <c r="A832" s="2" t="s">
        <v>883</v>
      </c>
      <c r="B832" s="2" t="s">
        <v>17</v>
      </c>
      <c r="E832" s="2" t="s">
        <v>17</v>
      </c>
      <c r="F832" s="1">
        <v>45968</v>
      </c>
      <c r="G832" s="2" t="s">
        <v>43</v>
      </c>
      <c r="H832" s="2" t="s">
        <v>26</v>
      </c>
      <c r="I832" s="2" t="s">
        <v>68</v>
      </c>
      <c r="J832" s="2" t="s">
        <v>35</v>
      </c>
      <c r="K832" s="2" t="s">
        <v>21</v>
      </c>
      <c r="L832" s="2">
        <v>29</v>
      </c>
      <c r="M832" s="2">
        <v>96</v>
      </c>
      <c r="N832" s="2">
        <v>12563.56</v>
      </c>
      <c r="O832" s="2">
        <v>318.93</v>
      </c>
      <c r="P832" s="2">
        <v>14.07</v>
      </c>
      <c r="Q832" s="2" t="s">
        <v>30</v>
      </c>
      <c r="R832" s="2">
        <v>3</v>
      </c>
    </row>
    <row r="833" spans="1:18" x14ac:dyDescent="0.3">
      <c r="A833" s="2" t="s">
        <v>884</v>
      </c>
      <c r="B833" s="2" t="s">
        <v>17</v>
      </c>
      <c r="E833" s="2" t="s">
        <v>17</v>
      </c>
      <c r="F833" s="1">
        <v>45947</v>
      </c>
      <c r="G833" s="2" t="s">
        <v>24</v>
      </c>
      <c r="H833" s="2" t="s">
        <v>45</v>
      </c>
      <c r="I833" s="2" t="s">
        <v>34</v>
      </c>
      <c r="J833" s="2" t="s">
        <v>20</v>
      </c>
      <c r="K833" s="2" t="s">
        <v>52</v>
      </c>
      <c r="L833" s="2">
        <v>65</v>
      </c>
      <c r="M833" s="2">
        <v>62</v>
      </c>
      <c r="N833" s="2">
        <v>15641.79</v>
      </c>
      <c r="O833" s="2">
        <v>414.24</v>
      </c>
      <c r="P833" s="2">
        <v>126.21</v>
      </c>
      <c r="Q833" s="2" t="s">
        <v>30</v>
      </c>
      <c r="R833" s="2">
        <v>1</v>
      </c>
    </row>
    <row r="834" spans="1:18" x14ac:dyDescent="0.3">
      <c r="A834" s="2" t="s">
        <v>885</v>
      </c>
      <c r="B834" s="2" t="s">
        <v>82</v>
      </c>
      <c r="E834" s="2" t="s">
        <v>82</v>
      </c>
      <c r="F834" s="1">
        <v>45920</v>
      </c>
      <c r="G834" s="2" t="s">
        <v>41</v>
      </c>
      <c r="H834" s="2" t="s">
        <v>58</v>
      </c>
      <c r="I834" s="2" t="s">
        <v>19</v>
      </c>
      <c r="J834" s="2" t="s">
        <v>20</v>
      </c>
      <c r="K834" s="2" t="s">
        <v>29</v>
      </c>
      <c r="L834" s="2">
        <v>42</v>
      </c>
      <c r="M834" s="2">
        <v>88</v>
      </c>
      <c r="N834" s="2">
        <v>24415.16</v>
      </c>
      <c r="O834" s="2">
        <v>410.07</v>
      </c>
      <c r="P834" s="2">
        <v>285.98</v>
      </c>
      <c r="Q834" s="2" t="s">
        <v>30</v>
      </c>
      <c r="R834" s="2">
        <v>1</v>
      </c>
    </row>
    <row r="835" spans="1:18" x14ac:dyDescent="0.3">
      <c r="A835" s="2" t="s">
        <v>886</v>
      </c>
      <c r="B835" s="2" t="s">
        <v>60</v>
      </c>
      <c r="E835" s="2" t="s">
        <v>60</v>
      </c>
      <c r="F835" s="1">
        <v>45870</v>
      </c>
      <c r="G835" s="2" t="s">
        <v>54</v>
      </c>
      <c r="H835" s="2" t="s">
        <v>26</v>
      </c>
      <c r="I835" s="2" t="s">
        <v>39</v>
      </c>
      <c r="J835" s="2" t="s">
        <v>20</v>
      </c>
      <c r="K835" s="2" t="s">
        <v>56</v>
      </c>
      <c r="L835" s="2">
        <v>52</v>
      </c>
      <c r="M835" s="2">
        <v>9</v>
      </c>
      <c r="N835" s="2">
        <v>3627.56</v>
      </c>
      <c r="O835" s="2">
        <v>469.46</v>
      </c>
      <c r="P835" s="2">
        <v>108.2</v>
      </c>
      <c r="Q835" s="2" t="s">
        <v>30</v>
      </c>
      <c r="R835" s="2">
        <v>2</v>
      </c>
    </row>
    <row r="836" spans="1:18" x14ac:dyDescent="0.3">
      <c r="A836" s="2" t="s">
        <v>887</v>
      </c>
      <c r="B836" s="2" t="s">
        <v>47</v>
      </c>
      <c r="E836" s="2" t="s">
        <v>47</v>
      </c>
      <c r="F836" s="1">
        <v>46165</v>
      </c>
      <c r="G836" s="2" t="s">
        <v>16</v>
      </c>
      <c r="H836" s="2" t="s">
        <v>26</v>
      </c>
      <c r="I836" s="2" t="s">
        <v>19</v>
      </c>
      <c r="J836" s="2" t="s">
        <v>64</v>
      </c>
      <c r="K836" s="2" t="s">
        <v>21</v>
      </c>
      <c r="L836" s="2">
        <v>25</v>
      </c>
      <c r="M836" s="2">
        <v>68</v>
      </c>
      <c r="N836" s="2">
        <v>30751.51</v>
      </c>
      <c r="O836" s="2">
        <v>396.6</v>
      </c>
      <c r="P836" s="2">
        <v>143.05000000000001</v>
      </c>
      <c r="Q836" s="2" t="s">
        <v>22</v>
      </c>
      <c r="R836" s="2">
        <v>5</v>
      </c>
    </row>
    <row r="837" spans="1:18" x14ac:dyDescent="0.3">
      <c r="A837" s="2" t="s">
        <v>888</v>
      </c>
      <c r="B837" s="2" t="s">
        <v>76</v>
      </c>
      <c r="E837" s="2" t="s">
        <v>76</v>
      </c>
      <c r="F837" s="1">
        <v>46211</v>
      </c>
      <c r="G837" s="2" t="s">
        <v>43</v>
      </c>
      <c r="H837" s="2" t="s">
        <v>38</v>
      </c>
      <c r="I837" s="2" t="s">
        <v>27</v>
      </c>
      <c r="J837" s="2" t="s">
        <v>64</v>
      </c>
      <c r="K837" s="2" t="s">
        <v>29</v>
      </c>
      <c r="L837" s="2">
        <v>43</v>
      </c>
      <c r="M837" s="2">
        <v>81</v>
      </c>
      <c r="N837" s="2">
        <v>49194.879999999997</v>
      </c>
      <c r="O837" s="2">
        <v>386.47</v>
      </c>
      <c r="P837" s="2">
        <v>167.02</v>
      </c>
      <c r="Q837" s="2" t="s">
        <v>22</v>
      </c>
      <c r="R837" s="2">
        <v>4</v>
      </c>
    </row>
    <row r="838" spans="1:18" x14ac:dyDescent="0.3">
      <c r="A838" s="2" t="s">
        <v>889</v>
      </c>
      <c r="B838" s="2" t="s">
        <v>76</v>
      </c>
      <c r="E838" s="2" t="s">
        <v>76</v>
      </c>
      <c r="F838" s="1">
        <v>45883</v>
      </c>
      <c r="G838" s="2" t="s">
        <v>32</v>
      </c>
      <c r="H838" s="2" t="s">
        <v>18</v>
      </c>
      <c r="I838" s="2" t="s">
        <v>39</v>
      </c>
      <c r="J838" s="2" t="s">
        <v>28</v>
      </c>
      <c r="K838" s="2" t="s">
        <v>29</v>
      </c>
      <c r="L838" s="2">
        <v>25</v>
      </c>
      <c r="M838" s="2">
        <v>17</v>
      </c>
      <c r="N838" s="2">
        <v>18359.91</v>
      </c>
      <c r="O838" s="2">
        <v>155.35</v>
      </c>
      <c r="P838" s="2">
        <v>256.42</v>
      </c>
      <c r="Q838" s="2" t="s">
        <v>30</v>
      </c>
      <c r="R838" s="2">
        <v>3</v>
      </c>
    </row>
    <row r="839" spans="1:18" x14ac:dyDescent="0.3">
      <c r="A839" s="2" t="s">
        <v>890</v>
      </c>
      <c r="B839" s="2" t="s">
        <v>49</v>
      </c>
      <c r="E839" s="2" t="s">
        <v>49</v>
      </c>
      <c r="F839" s="1">
        <v>45974</v>
      </c>
      <c r="G839" s="2" t="s">
        <v>32</v>
      </c>
      <c r="H839" s="2" t="s">
        <v>26</v>
      </c>
      <c r="I839" s="2" t="s">
        <v>34</v>
      </c>
      <c r="J839" s="2" t="s">
        <v>28</v>
      </c>
      <c r="K839" s="2" t="s">
        <v>52</v>
      </c>
      <c r="L839" s="2">
        <v>62</v>
      </c>
      <c r="M839" s="2">
        <v>117</v>
      </c>
      <c r="N839" s="2">
        <v>37765.949999999997</v>
      </c>
      <c r="O839" s="2">
        <v>76.97</v>
      </c>
      <c r="P839" s="2">
        <v>185.92</v>
      </c>
      <c r="Q839" s="2" t="s">
        <v>30</v>
      </c>
      <c r="R839" s="2">
        <v>1</v>
      </c>
    </row>
    <row r="840" spans="1:18" x14ac:dyDescent="0.3">
      <c r="A840" s="2" t="s">
        <v>891</v>
      </c>
      <c r="B840" s="2" t="s">
        <v>49</v>
      </c>
      <c r="E840" s="2" t="s">
        <v>49</v>
      </c>
      <c r="F840" s="1">
        <v>46033</v>
      </c>
      <c r="G840" s="2" t="s">
        <v>41</v>
      </c>
      <c r="H840" s="2" t="s">
        <v>18</v>
      </c>
      <c r="I840" s="2" t="s">
        <v>39</v>
      </c>
      <c r="J840" s="2" t="s">
        <v>20</v>
      </c>
      <c r="K840" s="2" t="s">
        <v>56</v>
      </c>
      <c r="L840" s="2">
        <v>73</v>
      </c>
      <c r="M840" s="2">
        <v>50</v>
      </c>
      <c r="N840" s="2">
        <v>25251.68</v>
      </c>
      <c r="O840" s="2">
        <v>282.92</v>
      </c>
      <c r="P840" s="2">
        <v>36.840000000000003</v>
      </c>
      <c r="Q840" s="2" t="s">
        <v>30</v>
      </c>
      <c r="R840" s="2">
        <v>4</v>
      </c>
    </row>
    <row r="841" spans="1:18" x14ac:dyDescent="0.3">
      <c r="A841" s="2" t="s">
        <v>892</v>
      </c>
      <c r="B841" s="2" t="s">
        <v>67</v>
      </c>
      <c r="E841" s="2" t="s">
        <v>67</v>
      </c>
      <c r="F841" s="1">
        <v>46085</v>
      </c>
      <c r="G841" s="2" t="s">
        <v>24</v>
      </c>
      <c r="H841" s="2" t="s">
        <v>45</v>
      </c>
      <c r="I841" s="2" t="s">
        <v>19</v>
      </c>
      <c r="J841" s="2" t="s">
        <v>35</v>
      </c>
      <c r="K841" s="2" t="s">
        <v>52</v>
      </c>
      <c r="L841" s="2">
        <v>52</v>
      </c>
      <c r="M841" s="2">
        <v>112</v>
      </c>
      <c r="N841" s="2">
        <v>6826.69</v>
      </c>
      <c r="O841" s="2">
        <v>106</v>
      </c>
      <c r="P841" s="2">
        <v>87.37</v>
      </c>
      <c r="Q841" s="2" t="s">
        <v>30</v>
      </c>
      <c r="R841" s="2">
        <v>5</v>
      </c>
    </row>
    <row r="842" spans="1:18" x14ac:dyDescent="0.3">
      <c r="A842" s="2" t="s">
        <v>893</v>
      </c>
      <c r="B842" s="2" t="s">
        <v>86</v>
      </c>
      <c r="E842" s="2" t="s">
        <v>86</v>
      </c>
      <c r="F842" s="1">
        <v>45977</v>
      </c>
      <c r="G842" s="2" t="s">
        <v>90</v>
      </c>
      <c r="H842" s="2" t="s">
        <v>58</v>
      </c>
      <c r="I842" s="2" t="s">
        <v>68</v>
      </c>
      <c r="J842" s="2" t="s">
        <v>28</v>
      </c>
      <c r="K842" s="2" t="s">
        <v>29</v>
      </c>
      <c r="L842" s="2">
        <v>30</v>
      </c>
      <c r="M842" s="2">
        <v>94</v>
      </c>
      <c r="N842" s="2">
        <v>29320.75</v>
      </c>
      <c r="O842" s="2">
        <v>482.99</v>
      </c>
      <c r="P842" s="2">
        <v>117.72</v>
      </c>
      <c r="Q842" s="2" t="s">
        <v>22</v>
      </c>
      <c r="R842" s="2">
        <v>3</v>
      </c>
    </row>
    <row r="843" spans="1:18" x14ac:dyDescent="0.3">
      <c r="A843" s="2" t="s">
        <v>894</v>
      </c>
      <c r="B843" s="2" t="s">
        <v>44</v>
      </c>
      <c r="E843" s="2" t="s">
        <v>44</v>
      </c>
      <c r="F843" s="1">
        <v>46137</v>
      </c>
      <c r="G843" s="2" t="s">
        <v>24</v>
      </c>
      <c r="H843" s="2" t="s">
        <v>38</v>
      </c>
      <c r="I843" s="2" t="s">
        <v>39</v>
      </c>
      <c r="J843" s="2" t="s">
        <v>28</v>
      </c>
      <c r="K843" s="2" t="s">
        <v>29</v>
      </c>
      <c r="L843" s="2">
        <v>59</v>
      </c>
      <c r="M843" s="2">
        <v>40</v>
      </c>
      <c r="N843" s="2">
        <v>15343.78</v>
      </c>
      <c r="O843" s="2">
        <v>180.47</v>
      </c>
      <c r="P843" s="2">
        <v>121.56</v>
      </c>
      <c r="Q843" s="2" t="s">
        <v>30</v>
      </c>
      <c r="R843" s="2">
        <v>3</v>
      </c>
    </row>
    <row r="844" spans="1:18" x14ac:dyDescent="0.3">
      <c r="A844" s="2" t="s">
        <v>895</v>
      </c>
      <c r="B844" s="2" t="s">
        <v>82</v>
      </c>
      <c r="E844" s="2" t="s">
        <v>82</v>
      </c>
      <c r="F844" s="1">
        <v>45907</v>
      </c>
      <c r="G844" s="2" t="s">
        <v>41</v>
      </c>
      <c r="H844" s="2" t="s">
        <v>18</v>
      </c>
      <c r="I844" s="2" t="s">
        <v>34</v>
      </c>
      <c r="J844" s="2" t="s">
        <v>64</v>
      </c>
      <c r="K844" s="2" t="s">
        <v>29</v>
      </c>
      <c r="L844" s="2">
        <v>35</v>
      </c>
      <c r="M844" s="2">
        <v>58</v>
      </c>
      <c r="N844" s="2">
        <v>2202.96</v>
      </c>
      <c r="O844" s="2">
        <v>433.82</v>
      </c>
      <c r="P844" s="2">
        <v>37.65</v>
      </c>
      <c r="Q844" s="2" t="s">
        <v>30</v>
      </c>
      <c r="R844" s="2">
        <v>5</v>
      </c>
    </row>
    <row r="845" spans="1:18" x14ac:dyDescent="0.3">
      <c r="A845" s="2" t="s">
        <v>896</v>
      </c>
      <c r="B845" s="2" t="s">
        <v>17</v>
      </c>
      <c r="E845" s="2" t="s">
        <v>17</v>
      </c>
      <c r="F845" s="1">
        <v>46177</v>
      </c>
      <c r="G845" s="2" t="s">
        <v>32</v>
      </c>
      <c r="H845" s="2" t="s">
        <v>26</v>
      </c>
      <c r="I845" s="2" t="s">
        <v>27</v>
      </c>
      <c r="J845" s="2" t="s">
        <v>35</v>
      </c>
      <c r="K845" s="2" t="s">
        <v>52</v>
      </c>
      <c r="L845" s="2">
        <v>27</v>
      </c>
      <c r="M845" s="2">
        <v>75</v>
      </c>
      <c r="N845" s="2">
        <v>31929.02</v>
      </c>
      <c r="O845" s="2">
        <v>224.43</v>
      </c>
      <c r="P845" s="2">
        <v>162.72</v>
      </c>
      <c r="Q845" s="2" t="s">
        <v>22</v>
      </c>
      <c r="R845" s="2">
        <v>3</v>
      </c>
    </row>
    <row r="846" spans="1:18" x14ac:dyDescent="0.3">
      <c r="A846" s="2" t="s">
        <v>897</v>
      </c>
      <c r="B846" s="2" t="s">
        <v>67</v>
      </c>
      <c r="E846" s="2" t="s">
        <v>67</v>
      </c>
      <c r="F846" s="1">
        <v>46075</v>
      </c>
      <c r="G846" s="2" t="s">
        <v>24</v>
      </c>
      <c r="H846" s="2" t="s">
        <v>18</v>
      </c>
      <c r="I846" s="2" t="s">
        <v>68</v>
      </c>
      <c r="J846" s="2" t="s">
        <v>20</v>
      </c>
      <c r="K846" s="2" t="s">
        <v>56</v>
      </c>
      <c r="L846" s="2">
        <v>49</v>
      </c>
      <c r="M846" s="2">
        <v>85</v>
      </c>
      <c r="N846" s="2">
        <v>43017.15</v>
      </c>
      <c r="O846" s="2">
        <v>195.44</v>
      </c>
      <c r="P846" s="2">
        <v>7.15</v>
      </c>
      <c r="Q846" s="2" t="s">
        <v>30</v>
      </c>
      <c r="R846" s="2">
        <v>5</v>
      </c>
    </row>
    <row r="847" spans="1:18" x14ac:dyDescent="0.3">
      <c r="A847" s="2" t="s">
        <v>898</v>
      </c>
      <c r="B847" s="2" t="s">
        <v>44</v>
      </c>
      <c r="E847" s="2" t="s">
        <v>44</v>
      </c>
      <c r="F847" s="1">
        <v>46210</v>
      </c>
      <c r="G847" s="2" t="s">
        <v>32</v>
      </c>
      <c r="H847" s="2" t="s">
        <v>26</v>
      </c>
      <c r="I847" s="2" t="s">
        <v>27</v>
      </c>
      <c r="J847" s="2" t="s">
        <v>28</v>
      </c>
      <c r="K847" s="2" t="s">
        <v>21</v>
      </c>
      <c r="L847" s="2">
        <v>67</v>
      </c>
      <c r="M847" s="2">
        <v>21</v>
      </c>
      <c r="N847" s="2">
        <v>17566.099999999999</v>
      </c>
      <c r="O847" s="2">
        <v>470.82</v>
      </c>
      <c r="P847" s="2">
        <v>105.65</v>
      </c>
      <c r="Q847" s="2" t="s">
        <v>22</v>
      </c>
      <c r="R847" s="2">
        <v>3</v>
      </c>
    </row>
    <row r="848" spans="1:18" x14ac:dyDescent="0.3">
      <c r="A848" s="2" t="s">
        <v>899</v>
      </c>
      <c r="B848" s="2" t="s">
        <v>76</v>
      </c>
      <c r="E848" s="2" t="s">
        <v>76</v>
      </c>
      <c r="F848" s="1">
        <v>46037</v>
      </c>
      <c r="G848" s="2" t="s">
        <v>16</v>
      </c>
      <c r="H848" s="2" t="s">
        <v>18</v>
      </c>
      <c r="I848" s="2" t="s">
        <v>39</v>
      </c>
      <c r="J848" s="2" t="s">
        <v>35</v>
      </c>
      <c r="K848" s="2" t="s">
        <v>52</v>
      </c>
      <c r="L848" s="2">
        <v>23</v>
      </c>
      <c r="M848" s="2">
        <v>18</v>
      </c>
      <c r="N848" s="2">
        <v>19819.63</v>
      </c>
      <c r="O848" s="2">
        <v>213.5</v>
      </c>
      <c r="P848" s="2">
        <v>132.38</v>
      </c>
      <c r="Q848" s="2" t="s">
        <v>22</v>
      </c>
      <c r="R848" s="2">
        <v>2</v>
      </c>
    </row>
    <row r="849" spans="1:18" x14ac:dyDescent="0.3">
      <c r="A849" s="2" t="s">
        <v>900</v>
      </c>
      <c r="B849" s="2" t="s">
        <v>47</v>
      </c>
      <c r="E849" s="2" t="s">
        <v>47</v>
      </c>
      <c r="F849" s="1">
        <v>45994</v>
      </c>
      <c r="G849" s="2" t="s">
        <v>43</v>
      </c>
      <c r="H849" s="2" t="s">
        <v>26</v>
      </c>
      <c r="I849" s="2" t="s">
        <v>19</v>
      </c>
      <c r="J849" s="2" t="s">
        <v>35</v>
      </c>
      <c r="K849" s="2" t="s">
        <v>29</v>
      </c>
      <c r="L849" s="2">
        <v>39</v>
      </c>
      <c r="M849" s="2">
        <v>55</v>
      </c>
      <c r="N849" s="2">
        <v>44605.57</v>
      </c>
      <c r="O849" s="2">
        <v>225.63</v>
      </c>
      <c r="P849" s="2">
        <v>62.24</v>
      </c>
      <c r="Q849" s="2" t="s">
        <v>30</v>
      </c>
      <c r="R849" s="2">
        <v>5</v>
      </c>
    </row>
    <row r="850" spans="1:18" x14ac:dyDescent="0.3">
      <c r="A850" s="2" t="s">
        <v>901</v>
      </c>
      <c r="B850" s="2" t="s">
        <v>37</v>
      </c>
      <c r="E850" s="2" t="s">
        <v>37</v>
      </c>
      <c r="F850" s="1">
        <v>45959</v>
      </c>
      <c r="G850" s="2" t="s">
        <v>90</v>
      </c>
      <c r="H850" s="2" t="s">
        <v>45</v>
      </c>
      <c r="I850" s="2" t="s">
        <v>19</v>
      </c>
      <c r="J850" s="2" t="s">
        <v>20</v>
      </c>
      <c r="K850" s="2" t="s">
        <v>52</v>
      </c>
      <c r="L850" s="2">
        <v>30</v>
      </c>
      <c r="M850" s="2">
        <v>29</v>
      </c>
      <c r="N850" s="2">
        <v>40773.64</v>
      </c>
      <c r="O850" s="2">
        <v>97.74</v>
      </c>
      <c r="P850" s="2">
        <v>181.17</v>
      </c>
      <c r="Q850" s="2" t="s">
        <v>30</v>
      </c>
      <c r="R850" s="2">
        <v>4</v>
      </c>
    </row>
    <row r="851" spans="1:18" x14ac:dyDescent="0.3">
      <c r="A851" s="2" t="s">
        <v>902</v>
      </c>
      <c r="B851" s="2" t="s">
        <v>17</v>
      </c>
      <c r="E851" s="2" t="s">
        <v>17</v>
      </c>
      <c r="F851" s="1">
        <v>45965</v>
      </c>
      <c r="G851" s="2" t="s">
        <v>16</v>
      </c>
      <c r="H851" s="2" t="s">
        <v>26</v>
      </c>
      <c r="I851" s="2" t="s">
        <v>34</v>
      </c>
      <c r="J851" s="2" t="s">
        <v>35</v>
      </c>
      <c r="K851" s="2" t="s">
        <v>29</v>
      </c>
      <c r="L851" s="2">
        <v>48</v>
      </c>
      <c r="M851" s="2">
        <v>24</v>
      </c>
      <c r="N851" s="2">
        <v>35890.160000000003</v>
      </c>
      <c r="O851" s="2">
        <v>351.7</v>
      </c>
      <c r="P851" s="2">
        <v>251.56</v>
      </c>
      <c r="Q851" s="2" t="s">
        <v>22</v>
      </c>
      <c r="R851" s="2">
        <v>2</v>
      </c>
    </row>
    <row r="852" spans="1:18" x14ac:dyDescent="0.3">
      <c r="A852" s="2" t="s">
        <v>903</v>
      </c>
      <c r="B852" s="2" t="s">
        <v>67</v>
      </c>
      <c r="E852" s="2" t="s">
        <v>67</v>
      </c>
      <c r="F852" s="1">
        <v>46006</v>
      </c>
      <c r="G852" s="2" t="s">
        <v>32</v>
      </c>
      <c r="H852" s="2" t="s">
        <v>26</v>
      </c>
      <c r="I852" s="2" t="s">
        <v>19</v>
      </c>
      <c r="J852" s="2" t="s">
        <v>35</v>
      </c>
      <c r="K852" s="2" t="s">
        <v>21</v>
      </c>
      <c r="L852" s="2">
        <v>49</v>
      </c>
      <c r="M852" s="2">
        <v>74</v>
      </c>
      <c r="N852" s="2">
        <v>12815.45</v>
      </c>
      <c r="O852" s="2">
        <v>179.98</v>
      </c>
      <c r="P852" s="2">
        <v>94.22</v>
      </c>
      <c r="Q852" s="2" t="s">
        <v>22</v>
      </c>
      <c r="R852" s="2">
        <v>4</v>
      </c>
    </row>
    <row r="853" spans="1:18" x14ac:dyDescent="0.3">
      <c r="A853" s="2" t="s">
        <v>904</v>
      </c>
      <c r="B853" s="2" t="s">
        <v>33</v>
      </c>
      <c r="E853" s="2" t="s">
        <v>33</v>
      </c>
      <c r="F853" s="1">
        <v>45961</v>
      </c>
      <c r="G853" s="2" t="s">
        <v>32</v>
      </c>
      <c r="H853" s="2" t="s">
        <v>58</v>
      </c>
      <c r="I853" s="2" t="s">
        <v>68</v>
      </c>
      <c r="J853" s="2" t="s">
        <v>35</v>
      </c>
      <c r="K853" s="2" t="s">
        <v>21</v>
      </c>
      <c r="L853" s="2">
        <v>35</v>
      </c>
      <c r="M853" s="2">
        <v>109</v>
      </c>
      <c r="N853" s="2">
        <v>45555.72</v>
      </c>
      <c r="O853" s="2">
        <v>313.52</v>
      </c>
      <c r="P853" s="2">
        <v>82.23</v>
      </c>
      <c r="Q853" s="2" t="s">
        <v>30</v>
      </c>
      <c r="R853" s="2">
        <v>3</v>
      </c>
    </row>
    <row r="854" spans="1:18" x14ac:dyDescent="0.3">
      <c r="A854" s="2" t="s">
        <v>905</v>
      </c>
      <c r="B854" s="2" t="s">
        <v>44</v>
      </c>
      <c r="E854" s="2" t="s">
        <v>44</v>
      </c>
      <c r="F854" s="1">
        <v>45888</v>
      </c>
      <c r="G854" s="2" t="s">
        <v>54</v>
      </c>
      <c r="H854" s="2" t="s">
        <v>26</v>
      </c>
      <c r="I854" s="2" t="s">
        <v>19</v>
      </c>
      <c r="J854" s="2" t="s">
        <v>28</v>
      </c>
      <c r="K854" s="2" t="s">
        <v>56</v>
      </c>
      <c r="L854" s="2">
        <v>55</v>
      </c>
      <c r="M854" s="2">
        <v>17</v>
      </c>
      <c r="N854" s="2">
        <v>8143.58</v>
      </c>
      <c r="O854" s="2">
        <v>316.11</v>
      </c>
      <c r="P854" s="2">
        <v>47.31</v>
      </c>
      <c r="Q854" s="2" t="s">
        <v>30</v>
      </c>
      <c r="R854" s="2">
        <v>4</v>
      </c>
    </row>
    <row r="855" spans="1:18" x14ac:dyDescent="0.3">
      <c r="A855" s="2" t="s">
        <v>906</v>
      </c>
      <c r="B855" s="2" t="s">
        <v>37</v>
      </c>
      <c r="E855" s="2" t="s">
        <v>37</v>
      </c>
      <c r="F855" s="1">
        <v>46043</v>
      </c>
      <c r="G855" s="2" t="s">
        <v>54</v>
      </c>
      <c r="H855" s="2" t="s">
        <v>58</v>
      </c>
      <c r="I855" s="2" t="s">
        <v>34</v>
      </c>
      <c r="J855" s="2" t="s">
        <v>20</v>
      </c>
      <c r="K855" s="2" t="s">
        <v>29</v>
      </c>
      <c r="L855" s="2">
        <v>26</v>
      </c>
      <c r="M855" s="2">
        <v>18</v>
      </c>
      <c r="N855" s="2">
        <v>31525.14</v>
      </c>
      <c r="O855" s="2">
        <v>373.64</v>
      </c>
      <c r="P855" s="2">
        <v>219</v>
      </c>
      <c r="Q855" s="2" t="s">
        <v>30</v>
      </c>
      <c r="R855" s="2">
        <v>2</v>
      </c>
    </row>
    <row r="856" spans="1:18" x14ac:dyDescent="0.3">
      <c r="A856" s="2" t="s">
        <v>907</v>
      </c>
      <c r="B856" s="2" t="s">
        <v>17</v>
      </c>
      <c r="E856" s="2" t="s">
        <v>17</v>
      </c>
      <c r="F856" s="1">
        <v>46221</v>
      </c>
      <c r="G856" s="2" t="s">
        <v>16</v>
      </c>
      <c r="H856" s="2" t="s">
        <v>38</v>
      </c>
      <c r="I856" s="2" t="s">
        <v>39</v>
      </c>
      <c r="J856" s="2" t="s">
        <v>35</v>
      </c>
      <c r="K856" s="2" t="s">
        <v>56</v>
      </c>
      <c r="L856" s="2">
        <v>32</v>
      </c>
      <c r="M856" s="2">
        <v>42</v>
      </c>
      <c r="N856" s="2">
        <v>1925.66</v>
      </c>
      <c r="O856" s="2">
        <v>385.36</v>
      </c>
      <c r="P856" s="2">
        <v>26.35</v>
      </c>
      <c r="Q856" s="2" t="s">
        <v>30</v>
      </c>
      <c r="R856" s="2">
        <v>5</v>
      </c>
    </row>
    <row r="857" spans="1:18" x14ac:dyDescent="0.3">
      <c r="A857" s="2" t="s">
        <v>908</v>
      </c>
      <c r="B857" s="2" t="s">
        <v>76</v>
      </c>
      <c r="E857" s="2" t="s">
        <v>76</v>
      </c>
      <c r="F857" s="1">
        <v>45963</v>
      </c>
      <c r="G857" s="2" t="s">
        <v>74</v>
      </c>
      <c r="H857" s="2" t="s">
        <v>58</v>
      </c>
      <c r="I857" s="2" t="s">
        <v>39</v>
      </c>
      <c r="J857" s="2" t="s">
        <v>35</v>
      </c>
      <c r="K857" s="2" t="s">
        <v>56</v>
      </c>
      <c r="L857" s="2">
        <v>67</v>
      </c>
      <c r="M857" s="2">
        <v>112</v>
      </c>
      <c r="N857" s="2">
        <v>32364.13</v>
      </c>
      <c r="O857" s="2">
        <v>281.5</v>
      </c>
      <c r="P857" s="2">
        <v>136.05000000000001</v>
      </c>
      <c r="Q857" s="2" t="s">
        <v>30</v>
      </c>
      <c r="R857" s="2">
        <v>1</v>
      </c>
    </row>
    <row r="858" spans="1:18" x14ac:dyDescent="0.3">
      <c r="A858" s="2" t="s">
        <v>909</v>
      </c>
      <c r="B858" s="2" t="s">
        <v>51</v>
      </c>
      <c r="E858" s="2" t="s">
        <v>51</v>
      </c>
      <c r="F858" s="1">
        <v>46100</v>
      </c>
      <c r="G858" s="2" t="s">
        <v>16</v>
      </c>
      <c r="H858" s="2" t="s">
        <v>45</v>
      </c>
      <c r="I858" s="2" t="s">
        <v>19</v>
      </c>
      <c r="J858" s="2" t="s">
        <v>28</v>
      </c>
      <c r="K858" s="2" t="s">
        <v>21</v>
      </c>
      <c r="L858" s="2">
        <v>58</v>
      </c>
      <c r="M858" s="2">
        <v>84</v>
      </c>
      <c r="N858" s="2">
        <v>14218.65</v>
      </c>
      <c r="O858" s="2">
        <v>198.95</v>
      </c>
      <c r="P858" s="2">
        <v>168.49</v>
      </c>
      <c r="Q858" s="2" t="s">
        <v>30</v>
      </c>
      <c r="R858" s="2">
        <v>4</v>
      </c>
    </row>
    <row r="859" spans="1:18" x14ac:dyDescent="0.3">
      <c r="A859" s="2" t="s">
        <v>910</v>
      </c>
      <c r="B859" s="2" t="s">
        <v>86</v>
      </c>
      <c r="E859" s="2" t="s">
        <v>86</v>
      </c>
      <c r="F859" s="1">
        <v>46087</v>
      </c>
      <c r="G859" s="2" t="s">
        <v>54</v>
      </c>
      <c r="H859" s="2" t="s">
        <v>58</v>
      </c>
      <c r="I859" s="2" t="s">
        <v>27</v>
      </c>
      <c r="J859" s="2" t="s">
        <v>20</v>
      </c>
      <c r="K859" s="2" t="s">
        <v>52</v>
      </c>
      <c r="L859" s="2">
        <v>33</v>
      </c>
      <c r="M859" s="2">
        <v>101</v>
      </c>
      <c r="N859" s="2">
        <v>22759.01</v>
      </c>
      <c r="O859" s="2">
        <v>426.85</v>
      </c>
      <c r="P859" s="2">
        <v>45.69</v>
      </c>
      <c r="Q859" s="2" t="s">
        <v>30</v>
      </c>
      <c r="R859" s="2">
        <v>1</v>
      </c>
    </row>
    <row r="860" spans="1:18" x14ac:dyDescent="0.3">
      <c r="A860" s="2" t="s">
        <v>911</v>
      </c>
      <c r="B860" s="2" t="s">
        <v>44</v>
      </c>
      <c r="E860" s="2" t="s">
        <v>44</v>
      </c>
      <c r="F860" s="1">
        <v>45982</v>
      </c>
      <c r="G860" s="2" t="s">
        <v>32</v>
      </c>
      <c r="H860" s="2" t="s">
        <v>38</v>
      </c>
      <c r="I860" s="2" t="s">
        <v>39</v>
      </c>
      <c r="J860" s="2" t="s">
        <v>64</v>
      </c>
      <c r="K860" s="2" t="s">
        <v>52</v>
      </c>
      <c r="L860" s="2">
        <v>49</v>
      </c>
      <c r="M860" s="2">
        <v>45</v>
      </c>
      <c r="N860" s="2">
        <v>17590.599999999999</v>
      </c>
      <c r="O860" s="2">
        <v>189.44</v>
      </c>
      <c r="P860" s="2">
        <v>173.29</v>
      </c>
      <c r="Q860" s="2" t="s">
        <v>30</v>
      </c>
      <c r="R860" s="2">
        <v>4</v>
      </c>
    </row>
    <row r="861" spans="1:18" x14ac:dyDescent="0.3">
      <c r="A861" s="2" t="s">
        <v>912</v>
      </c>
      <c r="B861" s="2" t="s">
        <v>76</v>
      </c>
      <c r="E861" s="2" t="s">
        <v>76</v>
      </c>
      <c r="F861" s="1">
        <v>46178</v>
      </c>
      <c r="G861" s="2" t="s">
        <v>41</v>
      </c>
      <c r="H861" s="2" t="s">
        <v>45</v>
      </c>
      <c r="I861" s="2" t="s">
        <v>19</v>
      </c>
      <c r="J861" s="2" t="s">
        <v>28</v>
      </c>
      <c r="K861" s="2" t="s">
        <v>56</v>
      </c>
      <c r="L861" s="2">
        <v>39</v>
      </c>
      <c r="M861" s="2">
        <v>82</v>
      </c>
      <c r="N861" s="2">
        <v>9051.4599999999991</v>
      </c>
      <c r="O861" s="2">
        <v>278.38</v>
      </c>
      <c r="P861" s="2">
        <v>6.66</v>
      </c>
      <c r="Q861" s="2" t="s">
        <v>22</v>
      </c>
      <c r="R861" s="2">
        <v>4</v>
      </c>
    </row>
    <row r="862" spans="1:18" x14ac:dyDescent="0.3">
      <c r="A862" s="2" t="s">
        <v>913</v>
      </c>
      <c r="B862" s="2" t="s">
        <v>17</v>
      </c>
      <c r="E862" s="2" t="s">
        <v>17</v>
      </c>
      <c r="F862" s="1">
        <v>46141</v>
      </c>
      <c r="G862" s="2" t="s">
        <v>16</v>
      </c>
      <c r="H862" s="2" t="s">
        <v>18</v>
      </c>
      <c r="I862" s="2" t="s">
        <v>34</v>
      </c>
      <c r="J862" s="2" t="s">
        <v>20</v>
      </c>
      <c r="K862" s="2" t="s">
        <v>21</v>
      </c>
      <c r="L862" s="2">
        <v>23</v>
      </c>
      <c r="M862" s="2">
        <v>17</v>
      </c>
      <c r="N862" s="2">
        <v>31288.05</v>
      </c>
      <c r="O862" s="2">
        <v>230.56</v>
      </c>
      <c r="P862" s="2">
        <v>182.56</v>
      </c>
      <c r="Q862" s="2" t="s">
        <v>22</v>
      </c>
      <c r="R862" s="2">
        <v>5</v>
      </c>
    </row>
    <row r="863" spans="1:18" x14ac:dyDescent="0.3">
      <c r="A863" s="2" t="s">
        <v>914</v>
      </c>
      <c r="B863" s="2" t="s">
        <v>44</v>
      </c>
      <c r="E863" s="2" t="s">
        <v>44</v>
      </c>
      <c r="F863" s="1">
        <v>46209</v>
      </c>
      <c r="G863" s="2" t="s">
        <v>32</v>
      </c>
      <c r="H863" s="2" t="s">
        <v>18</v>
      </c>
      <c r="I863" s="2" t="s">
        <v>19</v>
      </c>
      <c r="J863" s="2" t="s">
        <v>35</v>
      </c>
      <c r="K863" s="2" t="s">
        <v>29</v>
      </c>
      <c r="L863" s="2">
        <v>28</v>
      </c>
      <c r="M863" s="2">
        <v>73</v>
      </c>
      <c r="N863" s="2">
        <v>44157.79</v>
      </c>
      <c r="O863" s="2">
        <v>434.79</v>
      </c>
      <c r="P863" s="2">
        <v>35.51</v>
      </c>
      <c r="Q863" s="2" t="s">
        <v>30</v>
      </c>
      <c r="R863" s="2">
        <v>3</v>
      </c>
    </row>
    <row r="864" spans="1:18" x14ac:dyDescent="0.3">
      <c r="A864" s="2" t="s">
        <v>915</v>
      </c>
      <c r="B864" s="2" t="s">
        <v>82</v>
      </c>
      <c r="E864" s="2" t="s">
        <v>82</v>
      </c>
      <c r="F864" s="1">
        <v>46006</v>
      </c>
      <c r="G864" s="2" t="s">
        <v>41</v>
      </c>
      <c r="H864" s="2" t="s">
        <v>58</v>
      </c>
      <c r="I864" s="2" t="s">
        <v>39</v>
      </c>
      <c r="J864" s="2" t="s">
        <v>20</v>
      </c>
      <c r="K864" s="2" t="s">
        <v>52</v>
      </c>
      <c r="L864" s="2">
        <v>28</v>
      </c>
      <c r="M864" s="2">
        <v>14</v>
      </c>
      <c r="N864" s="2">
        <v>47974.67</v>
      </c>
      <c r="O864" s="2">
        <v>244.36</v>
      </c>
      <c r="P864" s="2">
        <v>129.15</v>
      </c>
      <c r="Q864" s="2" t="s">
        <v>30</v>
      </c>
      <c r="R864" s="2">
        <v>2</v>
      </c>
    </row>
    <row r="865" spans="1:18" x14ac:dyDescent="0.3">
      <c r="A865" s="2" t="s">
        <v>916</v>
      </c>
      <c r="B865" s="2" t="s">
        <v>37</v>
      </c>
      <c r="E865" s="2" t="s">
        <v>37</v>
      </c>
      <c r="F865" s="1">
        <v>46186</v>
      </c>
      <c r="G865" s="2" t="s">
        <v>41</v>
      </c>
      <c r="H865" s="2" t="s">
        <v>58</v>
      </c>
      <c r="I865" s="2" t="s">
        <v>34</v>
      </c>
      <c r="J865" s="2" t="s">
        <v>20</v>
      </c>
      <c r="K865" s="2" t="s">
        <v>56</v>
      </c>
      <c r="L865" s="2">
        <v>40</v>
      </c>
      <c r="M865" s="2">
        <v>49</v>
      </c>
      <c r="N865" s="2">
        <v>10021.14</v>
      </c>
      <c r="O865" s="2">
        <v>223.74</v>
      </c>
      <c r="P865" s="2">
        <v>50.02</v>
      </c>
      <c r="Q865" s="2" t="s">
        <v>30</v>
      </c>
      <c r="R865" s="2">
        <v>2</v>
      </c>
    </row>
    <row r="866" spans="1:18" x14ac:dyDescent="0.3">
      <c r="A866" s="2" t="s">
        <v>917</v>
      </c>
      <c r="B866" s="2" t="s">
        <v>25</v>
      </c>
      <c r="E866" s="2" t="s">
        <v>25</v>
      </c>
      <c r="F866" s="1">
        <v>45909</v>
      </c>
      <c r="G866" s="2" t="s">
        <v>54</v>
      </c>
      <c r="H866" s="2" t="s">
        <v>38</v>
      </c>
      <c r="I866" s="2" t="s">
        <v>19</v>
      </c>
      <c r="J866" s="2" t="s">
        <v>20</v>
      </c>
      <c r="K866" s="2" t="s">
        <v>52</v>
      </c>
      <c r="L866" s="2">
        <v>67</v>
      </c>
      <c r="M866" s="2">
        <v>29</v>
      </c>
      <c r="N866" s="2">
        <v>36009.949999999997</v>
      </c>
      <c r="O866" s="2">
        <v>360.42</v>
      </c>
      <c r="P866" s="2">
        <v>167.31</v>
      </c>
      <c r="Q866" s="2" t="s">
        <v>30</v>
      </c>
      <c r="R866" s="2">
        <v>2</v>
      </c>
    </row>
    <row r="867" spans="1:18" x14ac:dyDescent="0.3">
      <c r="A867" s="2" t="s">
        <v>918</v>
      </c>
      <c r="B867" s="2" t="s">
        <v>17</v>
      </c>
      <c r="E867" s="2" t="s">
        <v>17</v>
      </c>
      <c r="F867" s="1">
        <v>46093</v>
      </c>
      <c r="G867" s="2" t="s">
        <v>16</v>
      </c>
      <c r="H867" s="2" t="s">
        <v>38</v>
      </c>
      <c r="I867" s="2" t="s">
        <v>68</v>
      </c>
      <c r="J867" s="2" t="s">
        <v>64</v>
      </c>
      <c r="K867" s="2" t="s">
        <v>52</v>
      </c>
      <c r="L867" s="2">
        <v>24</v>
      </c>
      <c r="M867" s="2">
        <v>95</v>
      </c>
      <c r="N867" s="2">
        <v>33384.800000000003</v>
      </c>
      <c r="O867" s="2">
        <v>321.10000000000002</v>
      </c>
      <c r="P867" s="2">
        <v>102.46</v>
      </c>
      <c r="Q867" s="2" t="s">
        <v>22</v>
      </c>
      <c r="R867" s="2">
        <v>3</v>
      </c>
    </row>
    <row r="868" spans="1:18" x14ac:dyDescent="0.3">
      <c r="A868" s="2" t="s">
        <v>919</v>
      </c>
      <c r="B868" s="2" t="s">
        <v>82</v>
      </c>
      <c r="E868" s="2" t="s">
        <v>82</v>
      </c>
      <c r="F868" s="1">
        <v>46030</v>
      </c>
      <c r="G868" s="2" t="s">
        <v>24</v>
      </c>
      <c r="H868" s="2" t="s">
        <v>26</v>
      </c>
      <c r="I868" s="2" t="s">
        <v>34</v>
      </c>
      <c r="J868" s="2" t="s">
        <v>20</v>
      </c>
      <c r="K868" s="2" t="s">
        <v>29</v>
      </c>
      <c r="L868" s="2">
        <v>71</v>
      </c>
      <c r="M868" s="2">
        <v>4</v>
      </c>
      <c r="N868" s="2">
        <v>17497.2</v>
      </c>
      <c r="O868" s="2">
        <v>98.26</v>
      </c>
      <c r="P868" s="2">
        <v>40.58</v>
      </c>
      <c r="Q868" s="2" t="s">
        <v>30</v>
      </c>
      <c r="R868" s="2">
        <v>1</v>
      </c>
    </row>
    <row r="869" spans="1:18" x14ac:dyDescent="0.3">
      <c r="A869" s="2" t="s">
        <v>920</v>
      </c>
      <c r="B869" s="2" t="s">
        <v>78</v>
      </c>
      <c r="E869" s="2" t="s">
        <v>78</v>
      </c>
      <c r="F869" s="1">
        <v>46083</v>
      </c>
      <c r="G869" s="2" t="s">
        <v>90</v>
      </c>
      <c r="H869" s="2" t="s">
        <v>38</v>
      </c>
      <c r="I869" s="2" t="s">
        <v>68</v>
      </c>
      <c r="J869" s="2" t="s">
        <v>64</v>
      </c>
      <c r="K869" s="2" t="s">
        <v>21</v>
      </c>
      <c r="L869" s="2">
        <v>41</v>
      </c>
      <c r="M869" s="2">
        <v>82</v>
      </c>
      <c r="N869" s="2">
        <v>1445.41</v>
      </c>
      <c r="O869" s="2">
        <v>278.68</v>
      </c>
      <c r="P869" s="2">
        <v>114.2</v>
      </c>
      <c r="Q869" s="2" t="s">
        <v>22</v>
      </c>
      <c r="R869" s="2">
        <v>2</v>
      </c>
    </row>
    <row r="870" spans="1:18" x14ac:dyDescent="0.3">
      <c r="A870" s="2" t="s">
        <v>921</v>
      </c>
      <c r="B870" s="2" t="s">
        <v>67</v>
      </c>
      <c r="E870" s="2" t="s">
        <v>67</v>
      </c>
      <c r="F870" s="1">
        <v>46135</v>
      </c>
      <c r="G870" s="2" t="s">
        <v>54</v>
      </c>
      <c r="H870" s="2" t="s">
        <v>26</v>
      </c>
      <c r="I870" s="2" t="s">
        <v>27</v>
      </c>
      <c r="J870" s="2" t="s">
        <v>35</v>
      </c>
      <c r="K870" s="2" t="s">
        <v>29</v>
      </c>
      <c r="L870" s="2">
        <v>23</v>
      </c>
      <c r="M870" s="2">
        <v>20</v>
      </c>
      <c r="N870" s="2">
        <v>34644.67</v>
      </c>
      <c r="O870" s="2">
        <v>380.97</v>
      </c>
      <c r="P870" s="2">
        <v>122.37</v>
      </c>
      <c r="Q870" s="2" t="s">
        <v>30</v>
      </c>
      <c r="R870" s="2">
        <v>1</v>
      </c>
    </row>
    <row r="871" spans="1:18" x14ac:dyDescent="0.3">
      <c r="A871" s="2" t="s">
        <v>922</v>
      </c>
      <c r="B871" s="2" t="s">
        <v>51</v>
      </c>
      <c r="E871" s="2" t="s">
        <v>51</v>
      </c>
      <c r="F871" s="1">
        <v>46135</v>
      </c>
      <c r="G871" s="2" t="s">
        <v>54</v>
      </c>
      <c r="H871" s="2" t="s">
        <v>45</v>
      </c>
      <c r="I871" s="2" t="s">
        <v>34</v>
      </c>
      <c r="J871" s="2" t="s">
        <v>64</v>
      </c>
      <c r="K871" s="2" t="s">
        <v>21</v>
      </c>
      <c r="L871" s="2">
        <v>65</v>
      </c>
      <c r="M871" s="2">
        <v>47</v>
      </c>
      <c r="N871" s="2">
        <v>47302</v>
      </c>
      <c r="O871" s="2">
        <v>496.43</v>
      </c>
      <c r="P871" s="2">
        <v>132.29</v>
      </c>
      <c r="Q871" s="2" t="s">
        <v>30</v>
      </c>
      <c r="R871" s="2">
        <v>3</v>
      </c>
    </row>
    <row r="872" spans="1:18" x14ac:dyDescent="0.3">
      <c r="A872" s="2" t="s">
        <v>923</v>
      </c>
      <c r="B872" s="2" t="s">
        <v>49</v>
      </c>
      <c r="E872" s="2" t="s">
        <v>49</v>
      </c>
      <c r="F872" s="1">
        <v>45928</v>
      </c>
      <c r="G872" s="2" t="s">
        <v>24</v>
      </c>
      <c r="H872" s="2" t="s">
        <v>58</v>
      </c>
      <c r="I872" s="2" t="s">
        <v>68</v>
      </c>
      <c r="J872" s="2" t="s">
        <v>35</v>
      </c>
      <c r="K872" s="2" t="s">
        <v>52</v>
      </c>
      <c r="L872" s="2">
        <v>28</v>
      </c>
      <c r="M872" s="2">
        <v>107</v>
      </c>
      <c r="N872" s="2">
        <v>31789.95</v>
      </c>
      <c r="O872" s="2">
        <v>333.12</v>
      </c>
      <c r="P872" s="2">
        <v>176.38</v>
      </c>
      <c r="Q872" s="2" t="s">
        <v>30</v>
      </c>
      <c r="R872" s="2">
        <v>3</v>
      </c>
    </row>
    <row r="873" spans="1:18" x14ac:dyDescent="0.3">
      <c r="A873" s="2" t="s">
        <v>924</v>
      </c>
      <c r="B873" s="2" t="s">
        <v>37</v>
      </c>
      <c r="E873" s="2" t="s">
        <v>37</v>
      </c>
      <c r="F873" s="1">
        <v>46120</v>
      </c>
      <c r="G873" s="2" t="s">
        <v>90</v>
      </c>
      <c r="H873" s="2" t="s">
        <v>45</v>
      </c>
      <c r="I873" s="2" t="s">
        <v>39</v>
      </c>
      <c r="J873" s="2" t="s">
        <v>35</v>
      </c>
      <c r="K873" s="2" t="s">
        <v>56</v>
      </c>
      <c r="L873" s="2">
        <v>43</v>
      </c>
      <c r="M873" s="2">
        <v>108</v>
      </c>
      <c r="N873" s="2">
        <v>22046.99</v>
      </c>
      <c r="O873" s="2">
        <v>216.63</v>
      </c>
      <c r="P873" s="2">
        <v>81.88</v>
      </c>
      <c r="Q873" s="2" t="s">
        <v>30</v>
      </c>
      <c r="R873" s="2">
        <v>5</v>
      </c>
    </row>
    <row r="874" spans="1:18" x14ac:dyDescent="0.3">
      <c r="A874" s="2" t="s">
        <v>925</v>
      </c>
      <c r="B874" s="2" t="s">
        <v>44</v>
      </c>
      <c r="E874" s="2" t="s">
        <v>44</v>
      </c>
      <c r="F874" s="1">
        <v>46156</v>
      </c>
      <c r="G874" s="2" t="s">
        <v>32</v>
      </c>
      <c r="H874" s="2" t="s">
        <v>38</v>
      </c>
      <c r="I874" s="2" t="s">
        <v>39</v>
      </c>
      <c r="J874" s="2" t="s">
        <v>64</v>
      </c>
      <c r="K874" s="2" t="s">
        <v>29</v>
      </c>
      <c r="L874" s="2">
        <v>36</v>
      </c>
      <c r="M874" s="2">
        <v>9</v>
      </c>
      <c r="N874" s="2">
        <v>26495.119999999999</v>
      </c>
      <c r="O874" s="2">
        <v>151.77000000000001</v>
      </c>
      <c r="P874" s="2">
        <v>86.97</v>
      </c>
      <c r="Q874" s="2" t="s">
        <v>30</v>
      </c>
      <c r="R874" s="2">
        <v>2</v>
      </c>
    </row>
    <row r="875" spans="1:18" x14ac:dyDescent="0.3">
      <c r="A875" s="2" t="s">
        <v>926</v>
      </c>
      <c r="B875" s="2" t="s">
        <v>86</v>
      </c>
      <c r="E875" s="2" t="s">
        <v>86</v>
      </c>
      <c r="F875" s="1">
        <v>46042</v>
      </c>
      <c r="G875" s="2" t="s">
        <v>74</v>
      </c>
      <c r="H875" s="2" t="s">
        <v>45</v>
      </c>
      <c r="I875" s="2" t="s">
        <v>27</v>
      </c>
      <c r="J875" s="2" t="s">
        <v>28</v>
      </c>
      <c r="K875" s="2" t="s">
        <v>21</v>
      </c>
      <c r="L875" s="2">
        <v>33</v>
      </c>
      <c r="M875" s="2">
        <v>77</v>
      </c>
      <c r="N875" s="2">
        <v>10381.629999999999</v>
      </c>
      <c r="O875" s="2">
        <v>442.77</v>
      </c>
      <c r="P875" s="2">
        <v>2.9</v>
      </c>
      <c r="Q875" s="2" t="s">
        <v>22</v>
      </c>
      <c r="R875" s="2">
        <v>5</v>
      </c>
    </row>
    <row r="876" spans="1:18" x14ac:dyDescent="0.3">
      <c r="A876" s="2" t="s">
        <v>927</v>
      </c>
      <c r="B876" s="2" t="s">
        <v>76</v>
      </c>
      <c r="E876" s="2" t="s">
        <v>76</v>
      </c>
      <c r="F876" s="1">
        <v>46136</v>
      </c>
      <c r="G876" s="2" t="s">
        <v>16</v>
      </c>
      <c r="H876" s="2" t="s">
        <v>45</v>
      </c>
      <c r="I876" s="2" t="s">
        <v>34</v>
      </c>
      <c r="J876" s="2" t="s">
        <v>55</v>
      </c>
      <c r="K876" s="2" t="s">
        <v>52</v>
      </c>
      <c r="L876" s="2">
        <v>23</v>
      </c>
      <c r="M876" s="2">
        <v>79</v>
      </c>
      <c r="N876" s="2">
        <v>37651.94</v>
      </c>
      <c r="O876" s="2">
        <v>416.55</v>
      </c>
      <c r="P876" s="2">
        <v>114.97</v>
      </c>
      <c r="Q876" s="2" t="s">
        <v>22</v>
      </c>
      <c r="R876" s="2">
        <v>2</v>
      </c>
    </row>
    <row r="877" spans="1:18" x14ac:dyDescent="0.3">
      <c r="A877" s="2" t="s">
        <v>928</v>
      </c>
      <c r="B877" s="2" t="s">
        <v>49</v>
      </c>
      <c r="E877" s="2" t="s">
        <v>49</v>
      </c>
      <c r="F877" s="1">
        <v>46089</v>
      </c>
      <c r="G877" s="2" t="s">
        <v>74</v>
      </c>
      <c r="H877" s="2" t="s">
        <v>45</v>
      </c>
      <c r="I877" s="2" t="s">
        <v>34</v>
      </c>
      <c r="J877" s="2" t="s">
        <v>20</v>
      </c>
      <c r="K877" s="2" t="s">
        <v>21</v>
      </c>
      <c r="L877" s="2">
        <v>68</v>
      </c>
      <c r="M877" s="2">
        <v>27</v>
      </c>
      <c r="N877" s="2">
        <v>37447.78</v>
      </c>
      <c r="O877" s="2">
        <v>155.27000000000001</v>
      </c>
      <c r="P877" s="2">
        <v>80.45</v>
      </c>
      <c r="Q877" s="2" t="s">
        <v>22</v>
      </c>
      <c r="R877" s="2">
        <v>3</v>
      </c>
    </row>
    <row r="878" spans="1:18" x14ac:dyDescent="0.3">
      <c r="A878" s="2" t="s">
        <v>929</v>
      </c>
      <c r="B878" s="2" t="s">
        <v>33</v>
      </c>
      <c r="E878" s="2" t="s">
        <v>33</v>
      </c>
      <c r="F878" s="1">
        <v>46199</v>
      </c>
      <c r="G878" s="2" t="s">
        <v>32</v>
      </c>
      <c r="H878" s="2" t="s">
        <v>38</v>
      </c>
      <c r="I878" s="2" t="s">
        <v>34</v>
      </c>
      <c r="J878" s="2" t="s">
        <v>55</v>
      </c>
      <c r="K878" s="2" t="s">
        <v>21</v>
      </c>
      <c r="L878" s="2">
        <v>29</v>
      </c>
      <c r="M878" s="2">
        <v>15</v>
      </c>
      <c r="N878" s="2">
        <v>7703.11</v>
      </c>
      <c r="O878" s="2">
        <v>140.28</v>
      </c>
      <c r="P878" s="2">
        <v>74.930000000000007</v>
      </c>
      <c r="Q878" s="2" t="s">
        <v>22</v>
      </c>
      <c r="R878" s="2">
        <v>3</v>
      </c>
    </row>
    <row r="879" spans="1:18" x14ac:dyDescent="0.3">
      <c r="A879" s="2" t="s">
        <v>930</v>
      </c>
      <c r="B879" s="2" t="s">
        <v>76</v>
      </c>
      <c r="E879" s="2" t="s">
        <v>76</v>
      </c>
      <c r="F879" s="1">
        <v>46038</v>
      </c>
      <c r="G879" s="2" t="s">
        <v>43</v>
      </c>
      <c r="H879" s="2" t="s">
        <v>45</v>
      </c>
      <c r="I879" s="2" t="s">
        <v>27</v>
      </c>
      <c r="J879" s="2" t="s">
        <v>20</v>
      </c>
      <c r="K879" s="2" t="s">
        <v>21</v>
      </c>
      <c r="L879" s="2">
        <v>34</v>
      </c>
      <c r="M879" s="2">
        <v>92</v>
      </c>
      <c r="N879" s="2">
        <v>43959.93</v>
      </c>
      <c r="O879" s="2">
        <v>371.81</v>
      </c>
      <c r="P879" s="2">
        <v>36.590000000000003</v>
      </c>
      <c r="Q879" s="2" t="s">
        <v>22</v>
      </c>
      <c r="R879" s="2">
        <v>4</v>
      </c>
    </row>
    <row r="880" spans="1:18" x14ac:dyDescent="0.3">
      <c r="A880" s="2" t="s">
        <v>931</v>
      </c>
      <c r="B880" s="2" t="s">
        <v>44</v>
      </c>
      <c r="E880" s="2" t="s">
        <v>44</v>
      </c>
      <c r="F880" s="1">
        <v>46185</v>
      </c>
      <c r="G880" s="2" t="s">
        <v>54</v>
      </c>
      <c r="H880" s="2" t="s">
        <v>26</v>
      </c>
      <c r="I880" s="2" t="s">
        <v>34</v>
      </c>
      <c r="J880" s="2" t="s">
        <v>20</v>
      </c>
      <c r="K880" s="2" t="s">
        <v>52</v>
      </c>
      <c r="L880" s="2">
        <v>33</v>
      </c>
      <c r="M880" s="2">
        <v>101</v>
      </c>
      <c r="N880" s="2">
        <v>13824.89</v>
      </c>
      <c r="O880" s="2">
        <v>191.73</v>
      </c>
      <c r="P880" s="2">
        <v>86.01</v>
      </c>
      <c r="Q880" s="2" t="s">
        <v>30</v>
      </c>
      <c r="R880" s="2">
        <v>4</v>
      </c>
    </row>
    <row r="881" spans="1:18" x14ac:dyDescent="0.3">
      <c r="A881" s="2" t="s">
        <v>932</v>
      </c>
      <c r="B881" s="2" t="s">
        <v>51</v>
      </c>
      <c r="E881" s="2" t="s">
        <v>51</v>
      </c>
      <c r="F881" s="1">
        <v>46012</v>
      </c>
      <c r="G881" s="2" t="s">
        <v>90</v>
      </c>
      <c r="H881" s="2" t="s">
        <v>38</v>
      </c>
      <c r="I881" s="2" t="s">
        <v>39</v>
      </c>
      <c r="J881" s="2" t="s">
        <v>35</v>
      </c>
      <c r="K881" s="2" t="s">
        <v>56</v>
      </c>
      <c r="L881" s="2">
        <v>73</v>
      </c>
      <c r="M881" s="2">
        <v>119</v>
      </c>
      <c r="N881" s="2">
        <v>49121.68</v>
      </c>
      <c r="O881" s="2">
        <v>187.88</v>
      </c>
      <c r="P881" s="2">
        <v>196.89</v>
      </c>
      <c r="Q881" s="2" t="s">
        <v>30</v>
      </c>
      <c r="R881" s="2">
        <v>3</v>
      </c>
    </row>
    <row r="882" spans="1:18" x14ac:dyDescent="0.3">
      <c r="A882" s="2" t="s">
        <v>933</v>
      </c>
      <c r="B882" s="2" t="s">
        <v>60</v>
      </c>
      <c r="E882" s="2" t="s">
        <v>60</v>
      </c>
      <c r="F882" s="1">
        <v>45976</v>
      </c>
      <c r="G882" s="2" t="s">
        <v>54</v>
      </c>
      <c r="H882" s="2" t="s">
        <v>45</v>
      </c>
      <c r="I882" s="2" t="s">
        <v>68</v>
      </c>
      <c r="J882" s="2" t="s">
        <v>20</v>
      </c>
      <c r="K882" s="2" t="s">
        <v>56</v>
      </c>
      <c r="L882" s="2">
        <v>27</v>
      </c>
      <c r="M882" s="2">
        <v>19</v>
      </c>
      <c r="N882" s="2">
        <v>19453.7</v>
      </c>
      <c r="O882" s="2">
        <v>118.53</v>
      </c>
      <c r="P882" s="2">
        <v>59.55</v>
      </c>
      <c r="Q882" s="2" t="s">
        <v>22</v>
      </c>
      <c r="R882" s="2">
        <v>3</v>
      </c>
    </row>
    <row r="883" spans="1:18" x14ac:dyDescent="0.3">
      <c r="A883" s="2" t="s">
        <v>934</v>
      </c>
      <c r="B883" s="2" t="s">
        <v>76</v>
      </c>
      <c r="E883" s="2" t="s">
        <v>76</v>
      </c>
      <c r="F883" s="1">
        <v>45895</v>
      </c>
      <c r="G883" s="2" t="s">
        <v>41</v>
      </c>
      <c r="H883" s="2" t="s">
        <v>38</v>
      </c>
      <c r="I883" s="2" t="s">
        <v>39</v>
      </c>
      <c r="J883" s="2" t="s">
        <v>20</v>
      </c>
      <c r="K883" s="2" t="s">
        <v>56</v>
      </c>
      <c r="L883" s="2">
        <v>35</v>
      </c>
      <c r="M883" s="2">
        <v>90</v>
      </c>
      <c r="N883" s="2">
        <v>9305.26</v>
      </c>
      <c r="O883" s="2">
        <v>168.79</v>
      </c>
      <c r="P883" s="2">
        <v>119.94</v>
      </c>
      <c r="Q883" s="2" t="s">
        <v>30</v>
      </c>
      <c r="R883" s="2">
        <v>1</v>
      </c>
    </row>
    <row r="884" spans="1:18" x14ac:dyDescent="0.3">
      <c r="A884" s="2" t="s">
        <v>935</v>
      </c>
      <c r="B884" s="2" t="s">
        <v>60</v>
      </c>
      <c r="E884" s="2" t="s">
        <v>60</v>
      </c>
      <c r="F884" s="1">
        <v>46099</v>
      </c>
      <c r="G884" s="2" t="s">
        <v>54</v>
      </c>
      <c r="H884" s="2" t="s">
        <v>18</v>
      </c>
      <c r="I884" s="2" t="s">
        <v>39</v>
      </c>
      <c r="J884" s="2" t="s">
        <v>64</v>
      </c>
      <c r="K884" s="2" t="s">
        <v>21</v>
      </c>
      <c r="L884" s="2">
        <v>27</v>
      </c>
      <c r="M884" s="2">
        <v>52</v>
      </c>
      <c r="N884" s="2">
        <v>17910.150000000001</v>
      </c>
      <c r="O884" s="2">
        <v>242.38</v>
      </c>
      <c r="P884" s="2">
        <v>155.30000000000001</v>
      </c>
      <c r="Q884" s="2" t="s">
        <v>22</v>
      </c>
      <c r="R884" s="2">
        <v>1</v>
      </c>
    </row>
    <row r="885" spans="1:18" x14ac:dyDescent="0.3">
      <c r="A885" s="2" t="s">
        <v>936</v>
      </c>
      <c r="B885" s="2" t="s">
        <v>67</v>
      </c>
      <c r="E885" s="2" t="s">
        <v>67</v>
      </c>
      <c r="F885" s="1">
        <v>46131</v>
      </c>
      <c r="G885" s="2" t="s">
        <v>54</v>
      </c>
      <c r="H885" s="2" t="s">
        <v>26</v>
      </c>
      <c r="I885" s="2" t="s">
        <v>68</v>
      </c>
      <c r="J885" s="2" t="s">
        <v>55</v>
      </c>
      <c r="K885" s="2" t="s">
        <v>52</v>
      </c>
      <c r="L885" s="2">
        <v>58</v>
      </c>
      <c r="M885" s="2">
        <v>26</v>
      </c>
      <c r="N885" s="2">
        <v>22288.93</v>
      </c>
      <c r="O885" s="2">
        <v>379.78</v>
      </c>
      <c r="P885" s="2">
        <v>149.83000000000001</v>
      </c>
      <c r="Q885" s="2" t="s">
        <v>30</v>
      </c>
      <c r="R885" s="2">
        <v>5</v>
      </c>
    </row>
    <row r="886" spans="1:18" x14ac:dyDescent="0.3">
      <c r="A886" s="2" t="s">
        <v>937</v>
      </c>
      <c r="B886" s="2" t="s">
        <v>51</v>
      </c>
      <c r="E886" s="2" t="s">
        <v>51</v>
      </c>
      <c r="F886" s="1">
        <v>45904</v>
      </c>
      <c r="G886" s="2" t="s">
        <v>32</v>
      </c>
      <c r="H886" s="2" t="s">
        <v>45</v>
      </c>
      <c r="I886" s="2" t="s">
        <v>39</v>
      </c>
      <c r="J886" s="2" t="s">
        <v>64</v>
      </c>
      <c r="K886" s="2" t="s">
        <v>21</v>
      </c>
      <c r="L886" s="2">
        <v>54</v>
      </c>
      <c r="M886" s="2">
        <v>89</v>
      </c>
      <c r="N886" s="2">
        <v>3930.73</v>
      </c>
      <c r="O886" s="2">
        <v>201.34</v>
      </c>
      <c r="P886" s="2">
        <v>65.75</v>
      </c>
      <c r="Q886" s="2" t="s">
        <v>30</v>
      </c>
      <c r="R886" s="2">
        <v>4</v>
      </c>
    </row>
    <row r="887" spans="1:18" x14ac:dyDescent="0.3">
      <c r="A887" s="2" t="s">
        <v>938</v>
      </c>
      <c r="B887" s="2" t="s">
        <v>17</v>
      </c>
      <c r="E887" s="2" t="s">
        <v>17</v>
      </c>
      <c r="F887" s="1">
        <v>46088</v>
      </c>
      <c r="G887" s="2" t="s">
        <v>32</v>
      </c>
      <c r="H887" s="2" t="s">
        <v>18</v>
      </c>
      <c r="I887" s="2" t="s">
        <v>27</v>
      </c>
      <c r="J887" s="2" t="s">
        <v>20</v>
      </c>
      <c r="K887" s="2" t="s">
        <v>56</v>
      </c>
      <c r="L887" s="2">
        <v>61</v>
      </c>
      <c r="M887" s="2">
        <v>26</v>
      </c>
      <c r="N887" s="2">
        <v>29121.81</v>
      </c>
      <c r="O887" s="2">
        <v>197.87</v>
      </c>
      <c r="P887" s="2">
        <v>122.17</v>
      </c>
      <c r="Q887" s="2" t="s">
        <v>22</v>
      </c>
      <c r="R887" s="2">
        <v>4</v>
      </c>
    </row>
    <row r="888" spans="1:18" x14ac:dyDescent="0.3">
      <c r="A888" s="2" t="s">
        <v>939</v>
      </c>
      <c r="B888" s="2" t="s">
        <v>82</v>
      </c>
      <c r="E888" s="2" t="s">
        <v>82</v>
      </c>
      <c r="F888" s="1">
        <v>45920</v>
      </c>
      <c r="G888" s="2" t="s">
        <v>32</v>
      </c>
      <c r="H888" s="2" t="s">
        <v>18</v>
      </c>
      <c r="I888" s="2" t="s">
        <v>68</v>
      </c>
      <c r="J888" s="2" t="s">
        <v>35</v>
      </c>
      <c r="K888" s="2" t="s">
        <v>56</v>
      </c>
      <c r="L888" s="2">
        <v>42</v>
      </c>
      <c r="M888" s="2">
        <v>26</v>
      </c>
      <c r="N888" s="2">
        <v>30082.81</v>
      </c>
      <c r="O888" s="2">
        <v>178.21</v>
      </c>
      <c r="P888" s="2">
        <v>174.25</v>
      </c>
      <c r="Q888" s="2" t="s">
        <v>30</v>
      </c>
      <c r="R888" s="2">
        <v>3</v>
      </c>
    </row>
    <row r="889" spans="1:18" x14ac:dyDescent="0.3">
      <c r="A889" s="2" t="s">
        <v>940</v>
      </c>
      <c r="B889" s="2" t="s">
        <v>33</v>
      </c>
      <c r="E889" s="2" t="s">
        <v>33</v>
      </c>
      <c r="F889" s="1">
        <v>46197</v>
      </c>
      <c r="G889" s="2" t="s">
        <v>74</v>
      </c>
      <c r="H889" s="2" t="s">
        <v>38</v>
      </c>
      <c r="I889" s="2" t="s">
        <v>39</v>
      </c>
      <c r="J889" s="2" t="s">
        <v>64</v>
      </c>
      <c r="K889" s="2" t="s">
        <v>52</v>
      </c>
      <c r="L889" s="2">
        <v>44</v>
      </c>
      <c r="M889" s="2">
        <v>46</v>
      </c>
      <c r="N889" s="2">
        <v>37077.06</v>
      </c>
      <c r="O889" s="2">
        <v>265.23</v>
      </c>
      <c r="P889" s="2">
        <v>3.09</v>
      </c>
      <c r="Q889" s="2" t="s">
        <v>30</v>
      </c>
      <c r="R889" s="2">
        <v>3</v>
      </c>
    </row>
    <row r="890" spans="1:18" x14ac:dyDescent="0.3">
      <c r="A890" s="2" t="s">
        <v>941</v>
      </c>
      <c r="B890" s="2" t="s">
        <v>62</v>
      </c>
      <c r="E890" s="2" t="s">
        <v>62</v>
      </c>
      <c r="F890" s="1">
        <v>45995</v>
      </c>
      <c r="G890" s="2" t="s">
        <v>41</v>
      </c>
      <c r="H890" s="2" t="s">
        <v>18</v>
      </c>
      <c r="I890" s="2" t="s">
        <v>19</v>
      </c>
      <c r="J890" s="2" t="s">
        <v>64</v>
      </c>
      <c r="K890" s="2" t="s">
        <v>21</v>
      </c>
      <c r="L890" s="2">
        <v>69</v>
      </c>
      <c r="M890" s="2">
        <v>92</v>
      </c>
      <c r="N890" s="2">
        <v>1943.91</v>
      </c>
      <c r="O890" s="2">
        <v>131.29</v>
      </c>
      <c r="P890" s="2">
        <v>87.15</v>
      </c>
      <c r="Q890" s="2" t="s">
        <v>22</v>
      </c>
      <c r="R890" s="2">
        <v>5</v>
      </c>
    </row>
    <row r="891" spans="1:18" x14ac:dyDescent="0.3">
      <c r="A891" s="2" t="s">
        <v>942</v>
      </c>
      <c r="B891" s="2" t="s">
        <v>44</v>
      </c>
      <c r="E891" s="2" t="s">
        <v>44</v>
      </c>
      <c r="F891" s="1">
        <v>46081</v>
      </c>
      <c r="G891" s="2" t="s">
        <v>43</v>
      </c>
      <c r="H891" s="2" t="s">
        <v>26</v>
      </c>
      <c r="I891" s="2" t="s">
        <v>39</v>
      </c>
      <c r="J891" s="2" t="s">
        <v>28</v>
      </c>
      <c r="K891" s="2" t="s">
        <v>29</v>
      </c>
      <c r="L891" s="2">
        <v>57</v>
      </c>
      <c r="M891" s="2">
        <v>49</v>
      </c>
      <c r="N891" s="2">
        <v>27291.29</v>
      </c>
      <c r="O891" s="2">
        <v>268.52999999999997</v>
      </c>
      <c r="P891" s="2">
        <v>67.28</v>
      </c>
      <c r="Q891" s="2" t="s">
        <v>22</v>
      </c>
      <c r="R891" s="2">
        <v>4</v>
      </c>
    </row>
    <row r="892" spans="1:18" x14ac:dyDescent="0.3">
      <c r="A892" s="2" t="s">
        <v>943</v>
      </c>
      <c r="B892" s="2" t="s">
        <v>47</v>
      </c>
      <c r="E892" s="2" t="s">
        <v>47</v>
      </c>
      <c r="F892" s="1">
        <v>46197</v>
      </c>
      <c r="G892" s="2" t="s">
        <v>43</v>
      </c>
      <c r="H892" s="2" t="s">
        <v>26</v>
      </c>
      <c r="I892" s="2" t="s">
        <v>27</v>
      </c>
      <c r="J892" s="2" t="s">
        <v>20</v>
      </c>
      <c r="K892" s="2" t="s">
        <v>29</v>
      </c>
      <c r="L892" s="2">
        <v>64</v>
      </c>
      <c r="M892" s="2">
        <v>82</v>
      </c>
      <c r="N892" s="2">
        <v>3118.92</v>
      </c>
      <c r="O892" s="2">
        <v>366.88</v>
      </c>
      <c r="P892" s="2">
        <v>116.6</v>
      </c>
      <c r="Q892" s="2" t="s">
        <v>30</v>
      </c>
      <c r="R892" s="2">
        <v>1</v>
      </c>
    </row>
    <row r="893" spans="1:18" x14ac:dyDescent="0.3">
      <c r="A893" s="2" t="s">
        <v>944</v>
      </c>
      <c r="B893" s="2" t="s">
        <v>62</v>
      </c>
      <c r="E893" s="2" t="s">
        <v>62</v>
      </c>
      <c r="F893" s="1">
        <v>45969</v>
      </c>
      <c r="G893" s="2" t="s">
        <v>32</v>
      </c>
      <c r="H893" s="2" t="s">
        <v>58</v>
      </c>
      <c r="I893" s="2" t="s">
        <v>34</v>
      </c>
      <c r="J893" s="2" t="s">
        <v>35</v>
      </c>
      <c r="K893" s="2" t="s">
        <v>56</v>
      </c>
      <c r="L893" s="2">
        <v>21</v>
      </c>
      <c r="M893" s="2">
        <v>96</v>
      </c>
      <c r="N893" s="2">
        <v>35206.639999999999</v>
      </c>
      <c r="O893" s="2">
        <v>63.41</v>
      </c>
      <c r="P893" s="2">
        <v>83.2</v>
      </c>
      <c r="Q893" s="2" t="s">
        <v>22</v>
      </c>
      <c r="R893" s="2">
        <v>2</v>
      </c>
    </row>
    <row r="894" spans="1:18" x14ac:dyDescent="0.3">
      <c r="A894" s="2" t="s">
        <v>945</v>
      </c>
      <c r="B894" s="2" t="s">
        <v>76</v>
      </c>
      <c r="E894" s="2" t="s">
        <v>76</v>
      </c>
      <c r="F894" s="1">
        <v>45991</v>
      </c>
      <c r="G894" s="2" t="s">
        <v>90</v>
      </c>
      <c r="H894" s="2" t="s">
        <v>26</v>
      </c>
      <c r="I894" s="2" t="s">
        <v>39</v>
      </c>
      <c r="J894" s="2" t="s">
        <v>64</v>
      </c>
      <c r="K894" s="2" t="s">
        <v>52</v>
      </c>
      <c r="L894" s="2">
        <v>30</v>
      </c>
      <c r="M894" s="2">
        <v>53</v>
      </c>
      <c r="N894" s="2">
        <v>3258.54</v>
      </c>
      <c r="O894" s="2">
        <v>54.4</v>
      </c>
      <c r="P894" s="2">
        <v>149.33000000000001</v>
      </c>
      <c r="Q894" s="2" t="s">
        <v>22</v>
      </c>
      <c r="R894" s="2">
        <v>5</v>
      </c>
    </row>
    <row r="895" spans="1:18" x14ac:dyDescent="0.3">
      <c r="A895" s="2" t="s">
        <v>946</v>
      </c>
      <c r="B895" s="2" t="s">
        <v>49</v>
      </c>
      <c r="E895" s="2" t="s">
        <v>49</v>
      </c>
      <c r="F895" s="1">
        <v>45950</v>
      </c>
      <c r="G895" s="2" t="s">
        <v>74</v>
      </c>
      <c r="H895" s="2" t="s">
        <v>18</v>
      </c>
      <c r="I895" s="2" t="s">
        <v>34</v>
      </c>
      <c r="J895" s="2" t="s">
        <v>64</v>
      </c>
      <c r="K895" s="2" t="s">
        <v>21</v>
      </c>
      <c r="L895" s="2">
        <v>63</v>
      </c>
      <c r="M895" s="2">
        <v>3</v>
      </c>
      <c r="N895" s="2">
        <v>45630.53</v>
      </c>
      <c r="O895" s="2">
        <v>83.81</v>
      </c>
      <c r="P895" s="2">
        <v>18.760000000000002</v>
      </c>
      <c r="Q895" s="2" t="s">
        <v>22</v>
      </c>
      <c r="R895" s="2">
        <v>2</v>
      </c>
    </row>
    <row r="896" spans="1:18" x14ac:dyDescent="0.3">
      <c r="A896" s="2" t="s">
        <v>947</v>
      </c>
      <c r="B896" s="2" t="s">
        <v>44</v>
      </c>
      <c r="E896" s="2" t="s">
        <v>44</v>
      </c>
      <c r="F896" s="1">
        <v>46130</v>
      </c>
      <c r="G896" s="2" t="s">
        <v>24</v>
      </c>
      <c r="H896" s="2" t="s">
        <v>26</v>
      </c>
      <c r="I896" s="2" t="s">
        <v>19</v>
      </c>
      <c r="J896" s="2" t="s">
        <v>35</v>
      </c>
      <c r="K896" s="2" t="s">
        <v>21</v>
      </c>
      <c r="L896" s="2">
        <v>36</v>
      </c>
      <c r="M896" s="2">
        <v>66</v>
      </c>
      <c r="N896" s="2">
        <v>35253.089999999997</v>
      </c>
      <c r="O896" s="2">
        <v>291.05</v>
      </c>
      <c r="P896" s="2">
        <v>102.52</v>
      </c>
      <c r="Q896" s="2" t="s">
        <v>22</v>
      </c>
      <c r="R896" s="2">
        <v>1</v>
      </c>
    </row>
    <row r="897" spans="1:18" x14ac:dyDescent="0.3">
      <c r="A897" s="2" t="s">
        <v>948</v>
      </c>
      <c r="B897" s="2" t="s">
        <v>82</v>
      </c>
      <c r="E897" s="2" t="s">
        <v>82</v>
      </c>
      <c r="F897" s="1">
        <v>46176</v>
      </c>
      <c r="G897" s="2" t="s">
        <v>90</v>
      </c>
      <c r="H897" s="2" t="s">
        <v>38</v>
      </c>
      <c r="I897" s="2" t="s">
        <v>39</v>
      </c>
      <c r="J897" s="2" t="s">
        <v>20</v>
      </c>
      <c r="K897" s="2" t="s">
        <v>56</v>
      </c>
      <c r="L897" s="2">
        <v>66</v>
      </c>
      <c r="M897" s="2">
        <v>97</v>
      </c>
      <c r="N897" s="2">
        <v>25615.79</v>
      </c>
      <c r="O897" s="2">
        <v>434.5</v>
      </c>
      <c r="P897" s="2">
        <v>112.84</v>
      </c>
      <c r="Q897" s="2" t="s">
        <v>30</v>
      </c>
      <c r="R897" s="2">
        <v>1</v>
      </c>
    </row>
    <row r="898" spans="1:18" x14ac:dyDescent="0.3">
      <c r="A898" s="2" t="s">
        <v>949</v>
      </c>
      <c r="B898" s="2" t="s">
        <v>78</v>
      </c>
      <c r="E898" s="2" t="s">
        <v>78</v>
      </c>
      <c r="F898" s="1">
        <v>46094</v>
      </c>
      <c r="G898" s="2" t="s">
        <v>16</v>
      </c>
      <c r="H898" s="2" t="s">
        <v>58</v>
      </c>
      <c r="I898" s="2" t="s">
        <v>68</v>
      </c>
      <c r="J898" s="2" t="s">
        <v>28</v>
      </c>
      <c r="K898" s="2" t="s">
        <v>56</v>
      </c>
      <c r="L898" s="2">
        <v>28</v>
      </c>
      <c r="M898" s="2">
        <v>42</v>
      </c>
      <c r="N898" s="2">
        <v>22354.44</v>
      </c>
      <c r="O898" s="2">
        <v>52.2</v>
      </c>
      <c r="P898" s="2">
        <v>98.83</v>
      </c>
      <c r="Q898" s="2" t="s">
        <v>30</v>
      </c>
      <c r="R898" s="2">
        <v>2</v>
      </c>
    </row>
    <row r="899" spans="1:18" x14ac:dyDescent="0.3">
      <c r="A899" s="2" t="s">
        <v>950</v>
      </c>
      <c r="B899" s="2" t="s">
        <v>82</v>
      </c>
      <c r="E899" s="2" t="s">
        <v>82</v>
      </c>
      <c r="F899" s="1">
        <v>46129</v>
      </c>
      <c r="G899" s="2" t="s">
        <v>16</v>
      </c>
      <c r="H899" s="2" t="s">
        <v>18</v>
      </c>
      <c r="I899" s="2" t="s">
        <v>34</v>
      </c>
      <c r="J899" s="2" t="s">
        <v>64</v>
      </c>
      <c r="K899" s="2" t="s">
        <v>21</v>
      </c>
      <c r="L899" s="2">
        <v>69</v>
      </c>
      <c r="M899" s="2">
        <v>19</v>
      </c>
      <c r="N899" s="2">
        <v>6968.3</v>
      </c>
      <c r="O899" s="2">
        <v>471.5</v>
      </c>
      <c r="P899" s="2">
        <v>146.37</v>
      </c>
      <c r="Q899" s="2" t="s">
        <v>30</v>
      </c>
      <c r="R899" s="2">
        <v>5</v>
      </c>
    </row>
    <row r="900" spans="1:18" x14ac:dyDescent="0.3">
      <c r="A900" s="2" t="s">
        <v>951</v>
      </c>
      <c r="B900" s="2" t="s">
        <v>47</v>
      </c>
      <c r="E900" s="2" t="s">
        <v>47</v>
      </c>
      <c r="F900" s="1">
        <v>46093</v>
      </c>
      <c r="G900" s="2" t="s">
        <v>90</v>
      </c>
      <c r="H900" s="2" t="s">
        <v>58</v>
      </c>
      <c r="I900" s="2" t="s">
        <v>19</v>
      </c>
      <c r="J900" s="2" t="s">
        <v>28</v>
      </c>
      <c r="K900" s="2" t="s">
        <v>21</v>
      </c>
      <c r="L900" s="2">
        <v>45</v>
      </c>
      <c r="M900" s="2">
        <v>17</v>
      </c>
      <c r="N900" s="2">
        <v>14904.47</v>
      </c>
      <c r="O900" s="2">
        <v>97.83</v>
      </c>
      <c r="P900" s="2">
        <v>76.760000000000005</v>
      </c>
      <c r="Q900" s="2" t="s">
        <v>30</v>
      </c>
      <c r="R900" s="2">
        <v>2</v>
      </c>
    </row>
    <row r="901" spans="1:18" x14ac:dyDescent="0.3">
      <c r="A901" s="2" t="s">
        <v>952</v>
      </c>
      <c r="B901" s="2" t="s">
        <v>33</v>
      </c>
      <c r="E901" s="2" t="s">
        <v>33</v>
      </c>
      <c r="F901" s="1">
        <v>46067</v>
      </c>
      <c r="G901" s="2" t="s">
        <v>32</v>
      </c>
      <c r="H901" s="2" t="s">
        <v>18</v>
      </c>
      <c r="I901" s="2" t="s">
        <v>68</v>
      </c>
      <c r="J901" s="2" t="s">
        <v>55</v>
      </c>
      <c r="K901" s="2" t="s">
        <v>56</v>
      </c>
      <c r="L901" s="2">
        <v>70</v>
      </c>
      <c r="M901" s="2">
        <v>108</v>
      </c>
      <c r="N901" s="2">
        <v>43513.48</v>
      </c>
      <c r="O901" s="2">
        <v>428.89</v>
      </c>
      <c r="P901" s="2">
        <v>188.99</v>
      </c>
      <c r="Q901" s="2" t="s">
        <v>30</v>
      </c>
      <c r="R901" s="2">
        <v>5</v>
      </c>
    </row>
    <row r="902" spans="1:18" x14ac:dyDescent="0.3">
      <c r="A902" s="2" t="s">
        <v>953</v>
      </c>
      <c r="B902" s="2" t="s">
        <v>82</v>
      </c>
      <c r="E902" s="2" t="s">
        <v>82</v>
      </c>
      <c r="F902" s="1">
        <v>46131</v>
      </c>
      <c r="G902" s="2" t="s">
        <v>24</v>
      </c>
      <c r="H902" s="2" t="s">
        <v>38</v>
      </c>
      <c r="I902" s="2" t="s">
        <v>68</v>
      </c>
      <c r="J902" s="2" t="s">
        <v>20</v>
      </c>
      <c r="K902" s="2" t="s">
        <v>21</v>
      </c>
      <c r="L902" s="2">
        <v>32</v>
      </c>
      <c r="M902" s="2">
        <v>33</v>
      </c>
      <c r="N902" s="2">
        <v>45270.41</v>
      </c>
      <c r="O902" s="2">
        <v>267.27999999999997</v>
      </c>
      <c r="P902" s="2">
        <v>96.36</v>
      </c>
      <c r="Q902" s="2" t="s">
        <v>30</v>
      </c>
      <c r="R902" s="2">
        <v>5</v>
      </c>
    </row>
    <row r="903" spans="1:18" x14ac:dyDescent="0.3">
      <c r="A903" s="2" t="s">
        <v>954</v>
      </c>
      <c r="B903" s="2" t="s">
        <v>86</v>
      </c>
      <c r="E903" s="2" t="s">
        <v>86</v>
      </c>
      <c r="F903" s="1">
        <v>45942</v>
      </c>
      <c r="G903" s="2" t="s">
        <v>24</v>
      </c>
      <c r="H903" s="2" t="s">
        <v>58</v>
      </c>
      <c r="I903" s="2" t="s">
        <v>68</v>
      </c>
      <c r="J903" s="2" t="s">
        <v>55</v>
      </c>
      <c r="K903" s="2" t="s">
        <v>29</v>
      </c>
      <c r="L903" s="2">
        <v>45</v>
      </c>
      <c r="M903" s="2">
        <v>76</v>
      </c>
      <c r="N903" s="2">
        <v>537.01</v>
      </c>
      <c r="O903" s="2">
        <v>346.71</v>
      </c>
      <c r="P903" s="2">
        <v>171.36</v>
      </c>
      <c r="Q903" s="2" t="s">
        <v>30</v>
      </c>
      <c r="R903" s="2">
        <v>3</v>
      </c>
    </row>
    <row r="904" spans="1:18" x14ac:dyDescent="0.3">
      <c r="A904" s="2" t="s">
        <v>955</v>
      </c>
      <c r="B904" s="2" t="s">
        <v>78</v>
      </c>
      <c r="E904" s="2" t="s">
        <v>78</v>
      </c>
      <c r="F904" s="1">
        <v>46098</v>
      </c>
      <c r="G904" s="2" t="s">
        <v>74</v>
      </c>
      <c r="H904" s="2" t="s">
        <v>45</v>
      </c>
      <c r="I904" s="2" t="s">
        <v>68</v>
      </c>
      <c r="J904" s="2" t="s">
        <v>55</v>
      </c>
      <c r="K904" s="2" t="s">
        <v>56</v>
      </c>
      <c r="L904" s="2">
        <v>37</v>
      </c>
      <c r="M904" s="2">
        <v>49</v>
      </c>
      <c r="N904" s="2">
        <v>29909.75</v>
      </c>
      <c r="O904" s="2">
        <v>279.81</v>
      </c>
      <c r="P904" s="2">
        <v>165.11</v>
      </c>
      <c r="Q904" s="2" t="s">
        <v>30</v>
      </c>
      <c r="R904" s="2">
        <v>4</v>
      </c>
    </row>
    <row r="905" spans="1:18" x14ac:dyDescent="0.3">
      <c r="A905" s="2" t="s">
        <v>956</v>
      </c>
      <c r="B905" s="2" t="s">
        <v>62</v>
      </c>
      <c r="E905" s="2" t="s">
        <v>62</v>
      </c>
      <c r="F905" s="1">
        <v>45875</v>
      </c>
      <c r="G905" s="2" t="s">
        <v>24</v>
      </c>
      <c r="H905" s="2" t="s">
        <v>18</v>
      </c>
      <c r="I905" s="2" t="s">
        <v>39</v>
      </c>
      <c r="J905" s="2" t="s">
        <v>55</v>
      </c>
      <c r="K905" s="2" t="s">
        <v>21</v>
      </c>
      <c r="L905" s="2">
        <v>46</v>
      </c>
      <c r="M905" s="2">
        <v>56</v>
      </c>
      <c r="N905" s="2">
        <v>36105.379999999997</v>
      </c>
      <c r="O905" s="2">
        <v>264.67</v>
      </c>
      <c r="P905" s="2">
        <v>55.05</v>
      </c>
      <c r="Q905" s="2" t="s">
        <v>30</v>
      </c>
      <c r="R905" s="2">
        <v>4</v>
      </c>
    </row>
    <row r="906" spans="1:18" x14ac:dyDescent="0.3">
      <c r="A906" s="2" t="s">
        <v>957</v>
      </c>
      <c r="B906" s="2" t="s">
        <v>17</v>
      </c>
      <c r="E906" s="2" t="s">
        <v>17</v>
      </c>
      <c r="F906" s="1">
        <v>45874</v>
      </c>
      <c r="G906" s="2" t="s">
        <v>16</v>
      </c>
      <c r="H906" s="2" t="s">
        <v>45</v>
      </c>
      <c r="I906" s="2" t="s">
        <v>39</v>
      </c>
      <c r="J906" s="2" t="s">
        <v>20</v>
      </c>
      <c r="K906" s="2" t="s">
        <v>56</v>
      </c>
      <c r="L906" s="2">
        <v>66</v>
      </c>
      <c r="M906" s="2">
        <v>63</v>
      </c>
      <c r="N906" s="2">
        <v>31127.98</v>
      </c>
      <c r="O906" s="2">
        <v>425.7</v>
      </c>
      <c r="P906" s="2">
        <v>15.04</v>
      </c>
      <c r="Q906" s="2" t="s">
        <v>22</v>
      </c>
      <c r="R906" s="2">
        <v>1</v>
      </c>
    </row>
    <row r="907" spans="1:18" x14ac:dyDescent="0.3">
      <c r="A907" s="2" t="s">
        <v>958</v>
      </c>
      <c r="B907" s="2" t="s">
        <v>67</v>
      </c>
      <c r="E907" s="2" t="s">
        <v>67</v>
      </c>
      <c r="F907" s="1">
        <v>45921</v>
      </c>
      <c r="G907" s="2" t="s">
        <v>41</v>
      </c>
      <c r="H907" s="2" t="s">
        <v>58</v>
      </c>
      <c r="I907" s="2" t="s">
        <v>39</v>
      </c>
      <c r="J907" s="2" t="s">
        <v>20</v>
      </c>
      <c r="K907" s="2" t="s">
        <v>52</v>
      </c>
      <c r="L907" s="2">
        <v>68</v>
      </c>
      <c r="M907" s="2">
        <v>3</v>
      </c>
      <c r="N907" s="2">
        <v>4543.1499999999996</v>
      </c>
      <c r="O907" s="2">
        <v>390.15</v>
      </c>
      <c r="P907" s="2">
        <v>141.56</v>
      </c>
      <c r="Q907" s="2" t="s">
        <v>30</v>
      </c>
      <c r="R907" s="2">
        <v>3</v>
      </c>
    </row>
    <row r="908" spans="1:18" x14ac:dyDescent="0.3">
      <c r="A908" s="2" t="s">
        <v>959</v>
      </c>
      <c r="B908" s="2" t="s">
        <v>86</v>
      </c>
      <c r="E908" s="2" t="s">
        <v>86</v>
      </c>
      <c r="F908" s="1">
        <v>46118</v>
      </c>
      <c r="G908" s="2" t="s">
        <v>32</v>
      </c>
      <c r="H908" s="2" t="s">
        <v>45</v>
      </c>
      <c r="I908" s="2" t="s">
        <v>19</v>
      </c>
      <c r="J908" s="2" t="s">
        <v>35</v>
      </c>
      <c r="K908" s="2" t="s">
        <v>56</v>
      </c>
      <c r="L908" s="2">
        <v>34</v>
      </c>
      <c r="M908" s="2">
        <v>107</v>
      </c>
      <c r="N908" s="2">
        <v>11277.38</v>
      </c>
      <c r="O908" s="2">
        <v>267.52999999999997</v>
      </c>
      <c r="P908" s="2">
        <v>96.6</v>
      </c>
      <c r="Q908" s="2" t="s">
        <v>30</v>
      </c>
      <c r="R908" s="2">
        <v>4</v>
      </c>
    </row>
    <row r="909" spans="1:18" x14ac:dyDescent="0.3">
      <c r="A909" s="2" t="s">
        <v>960</v>
      </c>
      <c r="B909" s="2" t="s">
        <v>25</v>
      </c>
      <c r="E909" s="2" t="s">
        <v>25</v>
      </c>
      <c r="F909" s="1">
        <v>46212</v>
      </c>
      <c r="G909" s="2" t="s">
        <v>24</v>
      </c>
      <c r="H909" s="2" t="s">
        <v>45</v>
      </c>
      <c r="I909" s="2" t="s">
        <v>19</v>
      </c>
      <c r="J909" s="2" t="s">
        <v>28</v>
      </c>
      <c r="K909" s="2" t="s">
        <v>56</v>
      </c>
      <c r="L909" s="2">
        <v>61</v>
      </c>
      <c r="M909" s="2">
        <v>49</v>
      </c>
      <c r="N909" s="2">
        <v>12891.84</v>
      </c>
      <c r="O909" s="2">
        <v>100.24</v>
      </c>
      <c r="P909" s="2">
        <v>179.3</v>
      </c>
      <c r="Q909" s="2" t="s">
        <v>30</v>
      </c>
      <c r="R909" s="2">
        <v>5</v>
      </c>
    </row>
    <row r="910" spans="1:18" x14ac:dyDescent="0.3">
      <c r="A910" s="2" t="s">
        <v>961</v>
      </c>
      <c r="B910" s="2" t="s">
        <v>78</v>
      </c>
      <c r="E910" s="2" t="s">
        <v>78</v>
      </c>
      <c r="F910" s="1">
        <v>45992</v>
      </c>
      <c r="G910" s="2" t="s">
        <v>74</v>
      </c>
      <c r="H910" s="2" t="s">
        <v>58</v>
      </c>
      <c r="I910" s="2" t="s">
        <v>19</v>
      </c>
      <c r="J910" s="2" t="s">
        <v>28</v>
      </c>
      <c r="K910" s="2" t="s">
        <v>52</v>
      </c>
      <c r="L910" s="2">
        <v>56</v>
      </c>
      <c r="M910" s="2">
        <v>55</v>
      </c>
      <c r="N910" s="2">
        <v>41670.370000000003</v>
      </c>
      <c r="O910" s="2">
        <v>101.93</v>
      </c>
      <c r="P910" s="2">
        <v>196.54</v>
      </c>
      <c r="Q910" s="2" t="s">
        <v>30</v>
      </c>
      <c r="R910" s="2">
        <v>5</v>
      </c>
    </row>
    <row r="911" spans="1:18" x14ac:dyDescent="0.3">
      <c r="A911" s="2" t="s">
        <v>962</v>
      </c>
      <c r="B911" s="2" t="s">
        <v>17</v>
      </c>
      <c r="E911" s="2" t="s">
        <v>17</v>
      </c>
      <c r="F911" s="1">
        <v>46011</v>
      </c>
      <c r="G911" s="2" t="s">
        <v>16</v>
      </c>
      <c r="H911" s="2" t="s">
        <v>38</v>
      </c>
      <c r="I911" s="2" t="s">
        <v>27</v>
      </c>
      <c r="J911" s="2" t="s">
        <v>35</v>
      </c>
      <c r="K911" s="2" t="s">
        <v>29</v>
      </c>
      <c r="L911" s="2">
        <v>43</v>
      </c>
      <c r="M911" s="2">
        <v>26</v>
      </c>
      <c r="N911" s="2">
        <v>23428.37</v>
      </c>
      <c r="O911" s="2">
        <v>410.69</v>
      </c>
      <c r="P911" s="2">
        <v>119.73</v>
      </c>
      <c r="Q911" s="2" t="s">
        <v>22</v>
      </c>
      <c r="R911" s="2">
        <v>2</v>
      </c>
    </row>
    <row r="912" spans="1:18" x14ac:dyDescent="0.3">
      <c r="A912" s="2" t="s">
        <v>963</v>
      </c>
      <c r="B912" s="2" t="s">
        <v>17</v>
      </c>
      <c r="E912" s="2" t="s">
        <v>17</v>
      </c>
      <c r="F912" s="1">
        <v>46190</v>
      </c>
      <c r="G912" s="2" t="s">
        <v>41</v>
      </c>
      <c r="H912" s="2" t="s">
        <v>45</v>
      </c>
      <c r="I912" s="2" t="s">
        <v>19</v>
      </c>
      <c r="J912" s="2" t="s">
        <v>35</v>
      </c>
      <c r="K912" s="2" t="s">
        <v>21</v>
      </c>
      <c r="L912" s="2">
        <v>63</v>
      </c>
      <c r="M912" s="2">
        <v>99</v>
      </c>
      <c r="N912" s="2">
        <v>24598</v>
      </c>
      <c r="O912" s="2">
        <v>288.23</v>
      </c>
      <c r="P912" s="2">
        <v>83.09</v>
      </c>
      <c r="Q912" s="2" t="s">
        <v>30</v>
      </c>
      <c r="R912" s="2">
        <v>2</v>
      </c>
    </row>
    <row r="913" spans="1:18" x14ac:dyDescent="0.3">
      <c r="A913" s="2" t="s">
        <v>964</v>
      </c>
      <c r="B913" s="2" t="s">
        <v>44</v>
      </c>
      <c r="E913" s="2" t="s">
        <v>44</v>
      </c>
      <c r="F913" s="1">
        <v>46105</v>
      </c>
      <c r="G913" s="2" t="s">
        <v>54</v>
      </c>
      <c r="H913" s="2" t="s">
        <v>45</v>
      </c>
      <c r="I913" s="2" t="s">
        <v>39</v>
      </c>
      <c r="J913" s="2" t="s">
        <v>55</v>
      </c>
      <c r="K913" s="2" t="s">
        <v>52</v>
      </c>
      <c r="L913" s="2">
        <v>26</v>
      </c>
      <c r="M913" s="2">
        <v>72</v>
      </c>
      <c r="N913" s="2">
        <v>46777.21</v>
      </c>
      <c r="O913" s="2">
        <v>266.72000000000003</v>
      </c>
      <c r="P913" s="2">
        <v>81.59</v>
      </c>
      <c r="Q913" s="2" t="s">
        <v>30</v>
      </c>
      <c r="R913" s="2">
        <v>5</v>
      </c>
    </row>
    <row r="914" spans="1:18" x14ac:dyDescent="0.3">
      <c r="A914" s="2" t="s">
        <v>965</v>
      </c>
      <c r="B914" s="2" t="s">
        <v>78</v>
      </c>
      <c r="E914" s="2" t="s">
        <v>78</v>
      </c>
      <c r="F914" s="1">
        <v>45914</v>
      </c>
      <c r="G914" s="2" t="s">
        <v>54</v>
      </c>
      <c r="H914" s="2" t="s">
        <v>38</v>
      </c>
      <c r="I914" s="2" t="s">
        <v>39</v>
      </c>
      <c r="J914" s="2" t="s">
        <v>35</v>
      </c>
      <c r="K914" s="2" t="s">
        <v>56</v>
      </c>
      <c r="L914" s="2">
        <v>67</v>
      </c>
      <c r="M914" s="2">
        <v>52</v>
      </c>
      <c r="N914" s="2">
        <v>32035.75</v>
      </c>
      <c r="O914" s="2">
        <v>356.26</v>
      </c>
      <c r="P914" s="2">
        <v>64.91</v>
      </c>
      <c r="Q914" s="2" t="s">
        <v>30</v>
      </c>
      <c r="R914" s="2">
        <v>5</v>
      </c>
    </row>
    <row r="915" spans="1:18" x14ac:dyDescent="0.3">
      <c r="A915" s="2" t="s">
        <v>966</v>
      </c>
      <c r="B915" s="2" t="s">
        <v>33</v>
      </c>
      <c r="E915" s="2" t="s">
        <v>33</v>
      </c>
      <c r="F915" s="1">
        <v>45872</v>
      </c>
      <c r="G915" s="2" t="s">
        <v>41</v>
      </c>
      <c r="H915" s="2" t="s">
        <v>45</v>
      </c>
      <c r="I915" s="2" t="s">
        <v>27</v>
      </c>
      <c r="J915" s="2" t="s">
        <v>64</v>
      </c>
      <c r="K915" s="2" t="s">
        <v>21</v>
      </c>
      <c r="L915" s="2">
        <v>25</v>
      </c>
      <c r="M915" s="2">
        <v>100</v>
      </c>
      <c r="N915" s="2">
        <v>44984.05</v>
      </c>
      <c r="O915" s="2">
        <v>436.48</v>
      </c>
      <c r="P915" s="2">
        <v>156.34</v>
      </c>
      <c r="Q915" s="2" t="s">
        <v>30</v>
      </c>
      <c r="R915" s="2">
        <v>2</v>
      </c>
    </row>
    <row r="916" spans="1:18" x14ac:dyDescent="0.3">
      <c r="A916" s="2" t="s">
        <v>967</v>
      </c>
      <c r="B916" s="2" t="s">
        <v>76</v>
      </c>
      <c r="E916" s="2" t="s">
        <v>76</v>
      </c>
      <c r="F916" s="1">
        <v>45917</v>
      </c>
      <c r="G916" s="2" t="s">
        <v>16</v>
      </c>
      <c r="H916" s="2" t="s">
        <v>45</v>
      </c>
      <c r="I916" s="2" t="s">
        <v>27</v>
      </c>
      <c r="J916" s="2" t="s">
        <v>28</v>
      </c>
      <c r="K916" s="2" t="s">
        <v>52</v>
      </c>
      <c r="L916" s="2">
        <v>63</v>
      </c>
      <c r="M916" s="2">
        <v>117</v>
      </c>
      <c r="N916" s="2">
        <v>23097.19</v>
      </c>
      <c r="O916" s="2">
        <v>332.99</v>
      </c>
      <c r="P916" s="2">
        <v>151.80000000000001</v>
      </c>
      <c r="Q916" s="2" t="s">
        <v>30</v>
      </c>
      <c r="R916" s="2">
        <v>4</v>
      </c>
    </row>
    <row r="917" spans="1:18" x14ac:dyDescent="0.3">
      <c r="A917" s="2" t="s">
        <v>968</v>
      </c>
      <c r="B917" s="2" t="s">
        <v>47</v>
      </c>
      <c r="E917" s="2" t="s">
        <v>47</v>
      </c>
      <c r="F917" s="1">
        <v>45989</v>
      </c>
      <c r="G917" s="2" t="s">
        <v>74</v>
      </c>
      <c r="H917" s="2" t="s">
        <v>45</v>
      </c>
      <c r="I917" s="2" t="s">
        <v>19</v>
      </c>
      <c r="J917" s="2" t="s">
        <v>35</v>
      </c>
      <c r="K917" s="2" t="s">
        <v>21</v>
      </c>
      <c r="L917" s="2">
        <v>45</v>
      </c>
      <c r="M917" s="2">
        <v>118</v>
      </c>
      <c r="N917" s="2">
        <v>7897.09</v>
      </c>
      <c r="O917" s="2">
        <v>393.28</v>
      </c>
      <c r="P917" s="2">
        <v>95.73</v>
      </c>
      <c r="Q917" s="2" t="s">
        <v>30</v>
      </c>
      <c r="R917" s="2">
        <v>1</v>
      </c>
    </row>
    <row r="918" spans="1:18" x14ac:dyDescent="0.3">
      <c r="A918" s="2" t="s">
        <v>969</v>
      </c>
      <c r="B918" s="2" t="s">
        <v>25</v>
      </c>
      <c r="E918" s="2" t="s">
        <v>25</v>
      </c>
      <c r="F918" s="1">
        <v>46119</v>
      </c>
      <c r="G918" s="2" t="s">
        <v>41</v>
      </c>
      <c r="H918" s="2" t="s">
        <v>26</v>
      </c>
      <c r="I918" s="2" t="s">
        <v>34</v>
      </c>
      <c r="J918" s="2" t="s">
        <v>64</v>
      </c>
      <c r="K918" s="2" t="s">
        <v>21</v>
      </c>
      <c r="L918" s="2">
        <v>38</v>
      </c>
      <c r="M918" s="2">
        <v>7</v>
      </c>
      <c r="N918" s="2">
        <v>46531.81</v>
      </c>
      <c r="O918" s="2">
        <v>394.37</v>
      </c>
      <c r="P918" s="2">
        <v>8.93</v>
      </c>
      <c r="Q918" s="2" t="s">
        <v>30</v>
      </c>
      <c r="R918" s="2">
        <v>2</v>
      </c>
    </row>
    <row r="919" spans="1:18" x14ac:dyDescent="0.3">
      <c r="A919" s="2" t="s">
        <v>970</v>
      </c>
      <c r="B919" s="2" t="s">
        <v>47</v>
      </c>
      <c r="E919" s="2" t="s">
        <v>47</v>
      </c>
      <c r="F919" s="1">
        <v>46005</v>
      </c>
      <c r="G919" s="2" t="s">
        <v>32</v>
      </c>
      <c r="H919" s="2" t="s">
        <v>38</v>
      </c>
      <c r="I919" s="2" t="s">
        <v>27</v>
      </c>
      <c r="J919" s="2" t="s">
        <v>64</v>
      </c>
      <c r="K919" s="2" t="s">
        <v>52</v>
      </c>
      <c r="L919" s="2">
        <v>33</v>
      </c>
      <c r="M919" s="2">
        <v>46</v>
      </c>
      <c r="N919" s="2">
        <v>23205.9</v>
      </c>
      <c r="O919" s="2">
        <v>210.32</v>
      </c>
      <c r="P919" s="2">
        <v>61.91</v>
      </c>
      <c r="Q919" s="2" t="s">
        <v>22</v>
      </c>
      <c r="R919" s="2">
        <v>4</v>
      </c>
    </row>
    <row r="920" spans="1:18" x14ac:dyDescent="0.3">
      <c r="A920" s="2" t="s">
        <v>971</v>
      </c>
      <c r="B920" s="2" t="s">
        <v>62</v>
      </c>
      <c r="E920" s="2" t="s">
        <v>62</v>
      </c>
      <c r="F920" s="1">
        <v>46113</v>
      </c>
      <c r="G920" s="2" t="s">
        <v>32</v>
      </c>
      <c r="H920" s="2" t="s">
        <v>45</v>
      </c>
      <c r="I920" s="2" t="s">
        <v>68</v>
      </c>
      <c r="J920" s="2" t="s">
        <v>64</v>
      </c>
      <c r="K920" s="2" t="s">
        <v>21</v>
      </c>
      <c r="L920" s="2">
        <v>63</v>
      </c>
      <c r="M920" s="2">
        <v>46</v>
      </c>
      <c r="N920" s="2">
        <v>9490.76</v>
      </c>
      <c r="O920" s="2">
        <v>173.34</v>
      </c>
      <c r="P920" s="2">
        <v>58.46</v>
      </c>
      <c r="Q920" s="2" t="s">
        <v>22</v>
      </c>
      <c r="R920" s="2">
        <v>4</v>
      </c>
    </row>
    <row r="921" spans="1:18" x14ac:dyDescent="0.3">
      <c r="A921" s="2" t="s">
        <v>972</v>
      </c>
      <c r="B921" s="2" t="s">
        <v>62</v>
      </c>
      <c r="E921" s="2" t="s">
        <v>62</v>
      </c>
      <c r="F921" s="1">
        <v>45872</v>
      </c>
      <c r="G921" s="2" t="s">
        <v>54</v>
      </c>
      <c r="H921" s="2" t="s">
        <v>38</v>
      </c>
      <c r="I921" s="2" t="s">
        <v>39</v>
      </c>
      <c r="J921" s="2" t="s">
        <v>64</v>
      </c>
      <c r="K921" s="2" t="s">
        <v>29</v>
      </c>
      <c r="L921" s="2">
        <v>34</v>
      </c>
      <c r="M921" s="2">
        <v>100</v>
      </c>
      <c r="N921" s="2">
        <v>15468.59</v>
      </c>
      <c r="O921" s="2">
        <v>410.52</v>
      </c>
      <c r="P921" s="2">
        <v>243.33</v>
      </c>
      <c r="Q921" s="2" t="s">
        <v>30</v>
      </c>
      <c r="R921" s="2">
        <v>4</v>
      </c>
    </row>
    <row r="922" spans="1:18" x14ac:dyDescent="0.3">
      <c r="A922" s="2" t="s">
        <v>973</v>
      </c>
      <c r="B922" s="2" t="s">
        <v>47</v>
      </c>
      <c r="E922" s="2" t="s">
        <v>47</v>
      </c>
      <c r="F922" s="1">
        <v>46235</v>
      </c>
      <c r="G922" s="2" t="s">
        <v>24</v>
      </c>
      <c r="H922" s="2" t="s">
        <v>18</v>
      </c>
      <c r="I922" s="2" t="s">
        <v>68</v>
      </c>
      <c r="J922" s="2" t="s">
        <v>55</v>
      </c>
      <c r="K922" s="2" t="s">
        <v>52</v>
      </c>
      <c r="L922" s="2">
        <v>48</v>
      </c>
      <c r="M922" s="2">
        <v>16</v>
      </c>
      <c r="N922" s="2">
        <v>3014.73</v>
      </c>
      <c r="O922" s="2">
        <v>219.73</v>
      </c>
      <c r="P922" s="2">
        <v>17.52</v>
      </c>
      <c r="Q922" s="2" t="s">
        <v>30</v>
      </c>
      <c r="R922" s="2">
        <v>3</v>
      </c>
    </row>
    <row r="923" spans="1:18" x14ac:dyDescent="0.3">
      <c r="A923" s="2" t="s">
        <v>974</v>
      </c>
      <c r="B923" s="2" t="s">
        <v>82</v>
      </c>
      <c r="E923" s="2" t="s">
        <v>82</v>
      </c>
      <c r="F923" s="1">
        <v>46129</v>
      </c>
      <c r="G923" s="2" t="s">
        <v>74</v>
      </c>
      <c r="H923" s="2" t="s">
        <v>18</v>
      </c>
      <c r="I923" s="2" t="s">
        <v>39</v>
      </c>
      <c r="J923" s="2" t="s">
        <v>64</v>
      </c>
      <c r="K923" s="2" t="s">
        <v>29</v>
      </c>
      <c r="L923" s="2">
        <v>38</v>
      </c>
      <c r="M923" s="2">
        <v>24</v>
      </c>
      <c r="N923" s="2">
        <v>23680.880000000001</v>
      </c>
      <c r="O923" s="2">
        <v>456.5</v>
      </c>
      <c r="P923" s="2">
        <v>241.71</v>
      </c>
      <c r="Q923" s="2" t="s">
        <v>30</v>
      </c>
      <c r="R923" s="2">
        <v>3</v>
      </c>
    </row>
    <row r="924" spans="1:18" x14ac:dyDescent="0.3">
      <c r="A924" s="2" t="s">
        <v>975</v>
      </c>
      <c r="B924" s="2" t="s">
        <v>33</v>
      </c>
      <c r="E924" s="2" t="s">
        <v>33</v>
      </c>
      <c r="F924" s="1">
        <v>45886</v>
      </c>
      <c r="G924" s="2" t="s">
        <v>54</v>
      </c>
      <c r="H924" s="2" t="s">
        <v>45</v>
      </c>
      <c r="I924" s="2" t="s">
        <v>39</v>
      </c>
      <c r="J924" s="2" t="s">
        <v>55</v>
      </c>
      <c r="K924" s="2" t="s">
        <v>56</v>
      </c>
      <c r="L924" s="2">
        <v>48</v>
      </c>
      <c r="M924" s="2">
        <v>61</v>
      </c>
      <c r="N924" s="2">
        <v>42729.84</v>
      </c>
      <c r="O924" s="2">
        <v>81.36</v>
      </c>
      <c r="P924" s="2">
        <v>133.84</v>
      </c>
      <c r="Q924" s="2" t="s">
        <v>30</v>
      </c>
      <c r="R924" s="2">
        <v>4</v>
      </c>
    </row>
    <row r="925" spans="1:18" x14ac:dyDescent="0.3">
      <c r="A925" s="2" t="s">
        <v>976</v>
      </c>
      <c r="B925" s="2" t="s">
        <v>60</v>
      </c>
      <c r="E925" s="2" t="s">
        <v>60</v>
      </c>
      <c r="F925" s="1">
        <v>45871</v>
      </c>
      <c r="G925" s="2" t="s">
        <v>24</v>
      </c>
      <c r="H925" s="2" t="s">
        <v>38</v>
      </c>
      <c r="I925" s="2" t="s">
        <v>27</v>
      </c>
      <c r="J925" s="2" t="s">
        <v>55</v>
      </c>
      <c r="K925" s="2" t="s">
        <v>21</v>
      </c>
      <c r="L925" s="2">
        <v>71</v>
      </c>
      <c r="M925" s="2">
        <v>54</v>
      </c>
      <c r="N925" s="2">
        <v>46712.23</v>
      </c>
      <c r="O925" s="2">
        <v>76.2</v>
      </c>
      <c r="P925" s="2">
        <v>146.49</v>
      </c>
      <c r="Q925" s="2" t="s">
        <v>30</v>
      </c>
      <c r="R925" s="2">
        <v>5</v>
      </c>
    </row>
    <row r="926" spans="1:18" x14ac:dyDescent="0.3">
      <c r="A926" s="2" t="s">
        <v>977</v>
      </c>
      <c r="B926" s="2" t="s">
        <v>82</v>
      </c>
      <c r="E926" s="2" t="s">
        <v>82</v>
      </c>
      <c r="F926" s="1">
        <v>45957</v>
      </c>
      <c r="G926" s="2" t="s">
        <v>24</v>
      </c>
      <c r="H926" s="2" t="s">
        <v>38</v>
      </c>
      <c r="I926" s="2" t="s">
        <v>27</v>
      </c>
      <c r="J926" s="2" t="s">
        <v>64</v>
      </c>
      <c r="K926" s="2" t="s">
        <v>56</v>
      </c>
      <c r="L926" s="2">
        <v>47</v>
      </c>
      <c r="M926" s="2">
        <v>62</v>
      </c>
      <c r="N926" s="2">
        <v>46663.81</v>
      </c>
      <c r="O926" s="2">
        <v>467.15</v>
      </c>
      <c r="P926" s="2">
        <v>86.44</v>
      </c>
      <c r="Q926" s="2" t="s">
        <v>22</v>
      </c>
      <c r="R926" s="2">
        <v>3</v>
      </c>
    </row>
    <row r="927" spans="1:18" x14ac:dyDescent="0.3">
      <c r="A927" s="2" t="s">
        <v>978</v>
      </c>
      <c r="B927" s="2" t="s">
        <v>49</v>
      </c>
      <c r="E927" s="2" t="s">
        <v>49</v>
      </c>
      <c r="F927" s="1">
        <v>46005</v>
      </c>
      <c r="G927" s="2" t="s">
        <v>43</v>
      </c>
      <c r="H927" s="2" t="s">
        <v>38</v>
      </c>
      <c r="I927" s="2" t="s">
        <v>68</v>
      </c>
      <c r="J927" s="2" t="s">
        <v>28</v>
      </c>
      <c r="K927" s="2" t="s">
        <v>56</v>
      </c>
      <c r="L927" s="2">
        <v>52</v>
      </c>
      <c r="M927" s="2">
        <v>1</v>
      </c>
      <c r="N927" s="2">
        <v>6698.89</v>
      </c>
      <c r="O927" s="2">
        <v>341.8</v>
      </c>
      <c r="P927" s="2">
        <v>135.94999999999999</v>
      </c>
      <c r="Q927" s="2" t="s">
        <v>30</v>
      </c>
      <c r="R927" s="2">
        <v>2</v>
      </c>
    </row>
    <row r="928" spans="1:18" x14ac:dyDescent="0.3">
      <c r="A928" s="2" t="s">
        <v>979</v>
      </c>
      <c r="B928" s="2" t="s">
        <v>82</v>
      </c>
      <c r="E928" s="2" t="s">
        <v>82</v>
      </c>
      <c r="F928" s="1">
        <v>46229</v>
      </c>
      <c r="G928" s="2" t="s">
        <v>32</v>
      </c>
      <c r="H928" s="2" t="s">
        <v>26</v>
      </c>
      <c r="I928" s="2" t="s">
        <v>39</v>
      </c>
      <c r="J928" s="2" t="s">
        <v>64</v>
      </c>
      <c r="K928" s="2" t="s">
        <v>21</v>
      </c>
      <c r="L928" s="2">
        <v>67</v>
      </c>
      <c r="M928" s="2">
        <v>49</v>
      </c>
      <c r="N928" s="2">
        <v>19411.669999999998</v>
      </c>
      <c r="O928" s="2">
        <v>220.82</v>
      </c>
      <c r="P928" s="2">
        <v>121.81</v>
      </c>
      <c r="Q928" s="2" t="s">
        <v>22</v>
      </c>
      <c r="R928" s="2">
        <v>3</v>
      </c>
    </row>
    <row r="929" spans="1:18" x14ac:dyDescent="0.3">
      <c r="A929" s="2" t="s">
        <v>980</v>
      </c>
      <c r="B929" s="2" t="s">
        <v>67</v>
      </c>
      <c r="E929" s="2" t="s">
        <v>67</v>
      </c>
      <c r="F929" s="1">
        <v>46087</v>
      </c>
      <c r="G929" s="2" t="s">
        <v>16</v>
      </c>
      <c r="H929" s="2" t="s">
        <v>18</v>
      </c>
      <c r="I929" s="2" t="s">
        <v>68</v>
      </c>
      <c r="J929" s="2" t="s">
        <v>64</v>
      </c>
      <c r="K929" s="2" t="s">
        <v>52</v>
      </c>
      <c r="L929" s="2">
        <v>29</v>
      </c>
      <c r="M929" s="2">
        <v>25</v>
      </c>
      <c r="N929" s="2">
        <v>1897.32</v>
      </c>
      <c r="O929" s="2">
        <v>389.78</v>
      </c>
      <c r="P929" s="2">
        <v>153.80000000000001</v>
      </c>
      <c r="Q929" s="2" t="s">
        <v>30</v>
      </c>
      <c r="R929" s="2">
        <v>5</v>
      </c>
    </row>
    <row r="930" spans="1:18" x14ac:dyDescent="0.3">
      <c r="A930" s="2" t="s">
        <v>981</v>
      </c>
      <c r="B930" s="2" t="s">
        <v>37</v>
      </c>
      <c r="E930" s="2" t="s">
        <v>37</v>
      </c>
      <c r="F930" s="1">
        <v>46224</v>
      </c>
      <c r="G930" s="2" t="s">
        <v>90</v>
      </c>
      <c r="H930" s="2" t="s">
        <v>38</v>
      </c>
      <c r="I930" s="2" t="s">
        <v>34</v>
      </c>
      <c r="J930" s="2" t="s">
        <v>64</v>
      </c>
      <c r="K930" s="2" t="s">
        <v>21</v>
      </c>
      <c r="L930" s="2">
        <v>60</v>
      </c>
      <c r="M930" s="2">
        <v>10</v>
      </c>
      <c r="N930" s="2">
        <v>42830.68</v>
      </c>
      <c r="O930" s="2">
        <v>352.55</v>
      </c>
      <c r="P930" s="2">
        <v>89.35</v>
      </c>
      <c r="Q930" s="2" t="s">
        <v>22</v>
      </c>
      <c r="R930" s="2">
        <v>1</v>
      </c>
    </row>
    <row r="931" spans="1:18" x14ac:dyDescent="0.3">
      <c r="A931" s="2" t="s">
        <v>982</v>
      </c>
      <c r="B931" s="2" t="s">
        <v>76</v>
      </c>
      <c r="E931" s="2" t="s">
        <v>76</v>
      </c>
      <c r="F931" s="1">
        <v>46164</v>
      </c>
      <c r="G931" s="2" t="s">
        <v>16</v>
      </c>
      <c r="H931" s="2" t="s">
        <v>38</v>
      </c>
      <c r="I931" s="2" t="s">
        <v>68</v>
      </c>
      <c r="J931" s="2" t="s">
        <v>28</v>
      </c>
      <c r="K931" s="2" t="s">
        <v>56</v>
      </c>
      <c r="L931" s="2">
        <v>52</v>
      </c>
      <c r="M931" s="2">
        <v>118</v>
      </c>
      <c r="N931" s="2">
        <v>18258.41</v>
      </c>
      <c r="O931" s="2">
        <v>289.04000000000002</v>
      </c>
      <c r="P931" s="2">
        <v>94.57</v>
      </c>
      <c r="Q931" s="2" t="s">
        <v>30</v>
      </c>
      <c r="R931" s="2">
        <v>3</v>
      </c>
    </row>
    <row r="932" spans="1:18" x14ac:dyDescent="0.3">
      <c r="A932" s="2" t="s">
        <v>983</v>
      </c>
      <c r="B932" s="2" t="s">
        <v>67</v>
      </c>
      <c r="E932" s="2" t="s">
        <v>67</v>
      </c>
      <c r="F932" s="1">
        <v>46053</v>
      </c>
      <c r="G932" s="2" t="s">
        <v>90</v>
      </c>
      <c r="H932" s="2" t="s">
        <v>26</v>
      </c>
      <c r="I932" s="2" t="s">
        <v>19</v>
      </c>
      <c r="J932" s="2" t="s">
        <v>20</v>
      </c>
      <c r="K932" s="2" t="s">
        <v>56</v>
      </c>
      <c r="L932" s="2">
        <v>40</v>
      </c>
      <c r="M932" s="2">
        <v>80</v>
      </c>
      <c r="N932" s="2">
        <v>31740.29</v>
      </c>
      <c r="O932" s="2">
        <v>94.49</v>
      </c>
      <c r="P932" s="2">
        <v>128.72</v>
      </c>
      <c r="Q932" s="2" t="s">
        <v>22</v>
      </c>
      <c r="R932" s="2">
        <v>4</v>
      </c>
    </row>
    <row r="933" spans="1:18" x14ac:dyDescent="0.3">
      <c r="A933" s="2" t="s">
        <v>984</v>
      </c>
      <c r="B933" s="2" t="s">
        <v>44</v>
      </c>
      <c r="E933" s="2" t="s">
        <v>44</v>
      </c>
      <c r="F933" s="1">
        <v>46017</v>
      </c>
      <c r="G933" s="2" t="s">
        <v>41</v>
      </c>
      <c r="H933" s="2" t="s">
        <v>26</v>
      </c>
      <c r="I933" s="2" t="s">
        <v>68</v>
      </c>
      <c r="J933" s="2" t="s">
        <v>20</v>
      </c>
      <c r="K933" s="2" t="s">
        <v>52</v>
      </c>
      <c r="L933" s="2">
        <v>48</v>
      </c>
      <c r="M933" s="2">
        <v>16</v>
      </c>
      <c r="N933" s="2">
        <v>35887.47</v>
      </c>
      <c r="O933" s="2">
        <v>415.48</v>
      </c>
      <c r="P933" s="2">
        <v>21.62</v>
      </c>
      <c r="Q933" s="2" t="s">
        <v>30</v>
      </c>
      <c r="R933" s="2">
        <v>4</v>
      </c>
    </row>
    <row r="934" spans="1:18" x14ac:dyDescent="0.3">
      <c r="A934" s="2" t="s">
        <v>985</v>
      </c>
      <c r="B934" s="2" t="s">
        <v>37</v>
      </c>
      <c r="E934" s="2" t="s">
        <v>37</v>
      </c>
      <c r="F934" s="1">
        <v>46235</v>
      </c>
      <c r="G934" s="2" t="s">
        <v>32</v>
      </c>
      <c r="H934" s="2" t="s">
        <v>38</v>
      </c>
      <c r="I934" s="2" t="s">
        <v>19</v>
      </c>
      <c r="J934" s="2" t="s">
        <v>55</v>
      </c>
      <c r="K934" s="2" t="s">
        <v>21</v>
      </c>
      <c r="L934" s="2">
        <v>53</v>
      </c>
      <c r="M934" s="2">
        <v>58</v>
      </c>
      <c r="N934" s="2">
        <v>21777.31</v>
      </c>
      <c r="O934" s="2">
        <v>439.71</v>
      </c>
      <c r="P934" s="2">
        <v>87.25</v>
      </c>
      <c r="Q934" s="2" t="s">
        <v>22</v>
      </c>
      <c r="R934" s="2">
        <v>4</v>
      </c>
    </row>
    <row r="935" spans="1:18" x14ac:dyDescent="0.3">
      <c r="A935" s="2" t="s">
        <v>986</v>
      </c>
      <c r="B935" s="2" t="s">
        <v>37</v>
      </c>
      <c r="E935" s="2" t="s">
        <v>37</v>
      </c>
      <c r="F935" s="1">
        <v>45891</v>
      </c>
      <c r="G935" s="2" t="s">
        <v>24</v>
      </c>
      <c r="H935" s="2" t="s">
        <v>58</v>
      </c>
      <c r="I935" s="2" t="s">
        <v>19</v>
      </c>
      <c r="J935" s="2" t="s">
        <v>55</v>
      </c>
      <c r="K935" s="2" t="s">
        <v>56</v>
      </c>
      <c r="L935" s="2">
        <v>24</v>
      </c>
      <c r="M935" s="2">
        <v>72</v>
      </c>
      <c r="N935" s="2">
        <v>15668.9</v>
      </c>
      <c r="O935" s="2">
        <v>127.48</v>
      </c>
      <c r="P935" s="2">
        <v>194.39</v>
      </c>
      <c r="Q935" s="2" t="s">
        <v>22</v>
      </c>
      <c r="R935" s="2">
        <v>1</v>
      </c>
    </row>
    <row r="936" spans="1:18" x14ac:dyDescent="0.3">
      <c r="A936" s="2" t="s">
        <v>987</v>
      </c>
      <c r="B936" s="2" t="s">
        <v>78</v>
      </c>
      <c r="E936" s="2" t="s">
        <v>78</v>
      </c>
      <c r="F936" s="1">
        <v>45915</v>
      </c>
      <c r="G936" s="2" t="s">
        <v>74</v>
      </c>
      <c r="H936" s="2" t="s">
        <v>38</v>
      </c>
      <c r="I936" s="2" t="s">
        <v>19</v>
      </c>
      <c r="J936" s="2" t="s">
        <v>28</v>
      </c>
      <c r="K936" s="2" t="s">
        <v>29</v>
      </c>
      <c r="L936" s="2">
        <v>66</v>
      </c>
      <c r="M936" s="2">
        <v>29</v>
      </c>
      <c r="N936" s="2">
        <v>48129.54</v>
      </c>
      <c r="O936" s="2">
        <v>432.73</v>
      </c>
      <c r="P936" s="2">
        <v>11.26</v>
      </c>
      <c r="Q936" s="2" t="s">
        <v>22</v>
      </c>
      <c r="R936" s="2">
        <v>5</v>
      </c>
    </row>
    <row r="937" spans="1:18" x14ac:dyDescent="0.3">
      <c r="A937" s="2" t="s">
        <v>988</v>
      </c>
      <c r="B937" s="2" t="s">
        <v>33</v>
      </c>
      <c r="E937" s="2" t="s">
        <v>33</v>
      </c>
      <c r="F937" s="1">
        <v>45940</v>
      </c>
      <c r="G937" s="2" t="s">
        <v>90</v>
      </c>
      <c r="H937" s="2" t="s">
        <v>38</v>
      </c>
      <c r="I937" s="2" t="s">
        <v>34</v>
      </c>
      <c r="J937" s="2" t="s">
        <v>35</v>
      </c>
      <c r="K937" s="2" t="s">
        <v>56</v>
      </c>
      <c r="L937" s="2">
        <v>54</v>
      </c>
      <c r="M937" s="2">
        <v>103</v>
      </c>
      <c r="N937" s="2">
        <v>48242.17</v>
      </c>
      <c r="O937" s="2">
        <v>445.03</v>
      </c>
      <c r="P937" s="2">
        <v>63.2</v>
      </c>
      <c r="Q937" s="2" t="s">
        <v>30</v>
      </c>
      <c r="R937" s="2">
        <v>2</v>
      </c>
    </row>
    <row r="938" spans="1:18" x14ac:dyDescent="0.3">
      <c r="A938" s="2" t="s">
        <v>989</v>
      </c>
      <c r="B938" s="2" t="s">
        <v>33</v>
      </c>
      <c r="E938" s="2" t="s">
        <v>33</v>
      </c>
      <c r="F938" s="1">
        <v>46138</v>
      </c>
      <c r="G938" s="2" t="s">
        <v>16</v>
      </c>
      <c r="H938" s="2" t="s">
        <v>26</v>
      </c>
      <c r="I938" s="2" t="s">
        <v>68</v>
      </c>
      <c r="J938" s="2" t="s">
        <v>20</v>
      </c>
      <c r="K938" s="2" t="s">
        <v>56</v>
      </c>
      <c r="L938" s="2">
        <v>68</v>
      </c>
      <c r="M938" s="2">
        <v>92</v>
      </c>
      <c r="N938" s="2">
        <v>14827.1</v>
      </c>
      <c r="O938" s="2">
        <v>297.24</v>
      </c>
      <c r="P938" s="2">
        <v>62.82</v>
      </c>
      <c r="Q938" s="2" t="s">
        <v>22</v>
      </c>
      <c r="R938" s="2">
        <v>5</v>
      </c>
    </row>
    <row r="939" spans="1:18" x14ac:dyDescent="0.3">
      <c r="A939" s="2" t="s">
        <v>990</v>
      </c>
      <c r="B939" s="2" t="s">
        <v>37</v>
      </c>
      <c r="E939" s="2" t="s">
        <v>37</v>
      </c>
      <c r="F939" s="1">
        <v>46185</v>
      </c>
      <c r="G939" s="2" t="s">
        <v>24</v>
      </c>
      <c r="H939" s="2" t="s">
        <v>26</v>
      </c>
      <c r="I939" s="2" t="s">
        <v>68</v>
      </c>
      <c r="J939" s="2" t="s">
        <v>55</v>
      </c>
      <c r="K939" s="2" t="s">
        <v>52</v>
      </c>
      <c r="L939" s="2">
        <v>23</v>
      </c>
      <c r="M939" s="2">
        <v>6</v>
      </c>
      <c r="N939" s="2">
        <v>24241.439999999999</v>
      </c>
      <c r="O939" s="2">
        <v>345.28</v>
      </c>
      <c r="P939" s="2">
        <v>126.69</v>
      </c>
      <c r="Q939" s="2" t="s">
        <v>30</v>
      </c>
      <c r="R939" s="2">
        <v>1</v>
      </c>
    </row>
    <row r="940" spans="1:18" x14ac:dyDescent="0.3">
      <c r="A940" s="2" t="s">
        <v>991</v>
      </c>
      <c r="B940" s="2" t="s">
        <v>49</v>
      </c>
      <c r="E940" s="2" t="s">
        <v>49</v>
      </c>
      <c r="F940" s="1">
        <v>45914</v>
      </c>
      <c r="G940" s="2" t="s">
        <v>90</v>
      </c>
      <c r="H940" s="2" t="s">
        <v>38</v>
      </c>
      <c r="I940" s="2" t="s">
        <v>34</v>
      </c>
      <c r="J940" s="2" t="s">
        <v>20</v>
      </c>
      <c r="K940" s="2" t="s">
        <v>29</v>
      </c>
      <c r="L940" s="2">
        <v>46</v>
      </c>
      <c r="M940" s="2">
        <v>16</v>
      </c>
      <c r="N940" s="2">
        <v>48655.79</v>
      </c>
      <c r="O940" s="2">
        <v>222.01</v>
      </c>
      <c r="P940" s="2">
        <v>31.74</v>
      </c>
      <c r="Q940" s="2" t="s">
        <v>30</v>
      </c>
      <c r="R940" s="2">
        <v>4</v>
      </c>
    </row>
    <row r="941" spans="1:18" x14ac:dyDescent="0.3">
      <c r="A941" s="2" t="s">
        <v>992</v>
      </c>
      <c r="B941" s="2" t="s">
        <v>82</v>
      </c>
      <c r="E941" s="2" t="s">
        <v>82</v>
      </c>
      <c r="F941" s="1">
        <v>45992</v>
      </c>
      <c r="G941" s="2" t="s">
        <v>90</v>
      </c>
      <c r="H941" s="2" t="s">
        <v>38</v>
      </c>
      <c r="I941" s="2" t="s">
        <v>39</v>
      </c>
      <c r="J941" s="2" t="s">
        <v>28</v>
      </c>
      <c r="K941" s="2" t="s">
        <v>56</v>
      </c>
      <c r="L941" s="2">
        <v>28</v>
      </c>
      <c r="M941" s="2">
        <v>20</v>
      </c>
      <c r="N941" s="2">
        <v>740.99</v>
      </c>
      <c r="O941" s="2">
        <v>176.81</v>
      </c>
      <c r="P941" s="2">
        <v>125.71</v>
      </c>
      <c r="Q941" s="2" t="s">
        <v>22</v>
      </c>
      <c r="R941" s="2">
        <v>5</v>
      </c>
    </row>
    <row r="942" spans="1:18" x14ac:dyDescent="0.3">
      <c r="A942" s="2" t="s">
        <v>993</v>
      </c>
      <c r="B942" s="2" t="s">
        <v>78</v>
      </c>
      <c r="E942" s="2" t="s">
        <v>78</v>
      </c>
      <c r="F942" s="1">
        <v>46002</v>
      </c>
      <c r="G942" s="2" t="s">
        <v>43</v>
      </c>
      <c r="H942" s="2" t="s">
        <v>38</v>
      </c>
      <c r="I942" s="2" t="s">
        <v>27</v>
      </c>
      <c r="J942" s="2" t="s">
        <v>28</v>
      </c>
      <c r="K942" s="2" t="s">
        <v>56</v>
      </c>
      <c r="L942" s="2">
        <v>26</v>
      </c>
      <c r="M942" s="2">
        <v>80</v>
      </c>
      <c r="N942" s="2">
        <v>20927.57</v>
      </c>
      <c r="O942" s="2">
        <v>374.89</v>
      </c>
      <c r="P942" s="2">
        <v>19.010000000000002</v>
      </c>
      <c r="Q942" s="2" t="s">
        <v>30</v>
      </c>
      <c r="R942" s="2">
        <v>2</v>
      </c>
    </row>
    <row r="943" spans="1:18" x14ac:dyDescent="0.3">
      <c r="A943" s="2" t="s">
        <v>994</v>
      </c>
      <c r="B943" s="2" t="s">
        <v>76</v>
      </c>
      <c r="E943" s="2" t="s">
        <v>76</v>
      </c>
      <c r="F943" s="1">
        <v>46065</v>
      </c>
      <c r="G943" s="2" t="s">
        <v>90</v>
      </c>
      <c r="H943" s="2" t="s">
        <v>26</v>
      </c>
      <c r="I943" s="2" t="s">
        <v>68</v>
      </c>
      <c r="J943" s="2" t="s">
        <v>35</v>
      </c>
      <c r="K943" s="2" t="s">
        <v>29</v>
      </c>
      <c r="L943" s="2">
        <v>36</v>
      </c>
      <c r="M943" s="2">
        <v>71</v>
      </c>
      <c r="N943" s="2">
        <v>5472.65</v>
      </c>
      <c r="O943" s="2">
        <v>437.84</v>
      </c>
      <c r="P943" s="2">
        <v>28.48</v>
      </c>
      <c r="Q943" s="2" t="s">
        <v>30</v>
      </c>
      <c r="R943" s="2">
        <v>4</v>
      </c>
    </row>
    <row r="944" spans="1:18" x14ac:dyDescent="0.3">
      <c r="A944" s="2" t="s">
        <v>995</v>
      </c>
      <c r="B944" s="2" t="s">
        <v>37</v>
      </c>
      <c r="E944" s="2" t="s">
        <v>37</v>
      </c>
      <c r="F944" s="1">
        <v>46216</v>
      </c>
      <c r="G944" s="2" t="s">
        <v>74</v>
      </c>
      <c r="H944" s="2" t="s">
        <v>38</v>
      </c>
      <c r="I944" s="2" t="s">
        <v>27</v>
      </c>
      <c r="J944" s="2" t="s">
        <v>35</v>
      </c>
      <c r="K944" s="2" t="s">
        <v>21</v>
      </c>
      <c r="L944" s="2">
        <v>44</v>
      </c>
      <c r="M944" s="2">
        <v>105</v>
      </c>
      <c r="N944" s="2">
        <v>25703.32</v>
      </c>
      <c r="O944" s="2">
        <v>344.33</v>
      </c>
      <c r="P944" s="2">
        <v>145.63999999999999</v>
      </c>
      <c r="Q944" s="2" t="s">
        <v>30</v>
      </c>
      <c r="R944" s="2">
        <v>2</v>
      </c>
    </row>
    <row r="945" spans="1:18" x14ac:dyDescent="0.3">
      <c r="A945" s="2" t="s">
        <v>996</v>
      </c>
      <c r="B945" s="2" t="s">
        <v>86</v>
      </c>
      <c r="E945" s="2" t="s">
        <v>86</v>
      </c>
      <c r="F945" s="1">
        <v>46111</v>
      </c>
      <c r="G945" s="2" t="s">
        <v>32</v>
      </c>
      <c r="H945" s="2" t="s">
        <v>38</v>
      </c>
      <c r="I945" s="2" t="s">
        <v>34</v>
      </c>
      <c r="J945" s="2" t="s">
        <v>28</v>
      </c>
      <c r="K945" s="2" t="s">
        <v>21</v>
      </c>
      <c r="L945" s="2">
        <v>68</v>
      </c>
      <c r="M945" s="2">
        <v>78</v>
      </c>
      <c r="N945" s="2">
        <v>1721.16</v>
      </c>
      <c r="O945" s="2">
        <v>280.22000000000003</v>
      </c>
      <c r="P945" s="2">
        <v>64.83</v>
      </c>
      <c r="Q945" s="2" t="s">
        <v>22</v>
      </c>
      <c r="R945" s="2">
        <v>3</v>
      </c>
    </row>
    <row r="946" spans="1:18" x14ac:dyDescent="0.3">
      <c r="A946" s="2" t="s">
        <v>997</v>
      </c>
      <c r="B946" s="2" t="s">
        <v>62</v>
      </c>
      <c r="E946" s="2" t="s">
        <v>62</v>
      </c>
      <c r="F946" s="1">
        <v>45903</v>
      </c>
      <c r="G946" s="2" t="s">
        <v>74</v>
      </c>
      <c r="H946" s="2" t="s">
        <v>45</v>
      </c>
      <c r="I946" s="2" t="s">
        <v>39</v>
      </c>
      <c r="J946" s="2" t="s">
        <v>55</v>
      </c>
      <c r="K946" s="2" t="s">
        <v>56</v>
      </c>
      <c r="L946" s="2">
        <v>59</v>
      </c>
      <c r="M946" s="2">
        <v>43</v>
      </c>
      <c r="N946" s="2">
        <v>20641.47</v>
      </c>
      <c r="O946" s="2">
        <v>121.52</v>
      </c>
      <c r="P946" s="2">
        <v>195.48</v>
      </c>
      <c r="Q946" s="2" t="s">
        <v>30</v>
      </c>
      <c r="R946" s="2">
        <v>2</v>
      </c>
    </row>
    <row r="947" spans="1:18" x14ac:dyDescent="0.3">
      <c r="A947" s="2" t="s">
        <v>998</v>
      </c>
      <c r="B947" s="2" t="s">
        <v>62</v>
      </c>
      <c r="E947" s="2" t="s">
        <v>62</v>
      </c>
      <c r="F947" s="1">
        <v>46212</v>
      </c>
      <c r="G947" s="2" t="s">
        <v>54</v>
      </c>
      <c r="H947" s="2" t="s">
        <v>58</v>
      </c>
      <c r="I947" s="2" t="s">
        <v>39</v>
      </c>
      <c r="J947" s="2" t="s">
        <v>20</v>
      </c>
      <c r="K947" s="2" t="s">
        <v>56</v>
      </c>
      <c r="L947" s="2">
        <v>50</v>
      </c>
      <c r="M947" s="2">
        <v>26</v>
      </c>
      <c r="N947" s="2">
        <v>11424.6</v>
      </c>
      <c r="O947" s="2">
        <v>74.06</v>
      </c>
      <c r="P947" s="2">
        <v>7.47</v>
      </c>
      <c r="Q947" s="2" t="s">
        <v>30</v>
      </c>
      <c r="R947" s="2">
        <v>4</v>
      </c>
    </row>
    <row r="948" spans="1:18" x14ac:dyDescent="0.3">
      <c r="A948" s="2" t="s">
        <v>999</v>
      </c>
      <c r="B948" s="2" t="s">
        <v>67</v>
      </c>
      <c r="E948" s="2" t="s">
        <v>67</v>
      </c>
      <c r="F948" s="1">
        <v>46208</v>
      </c>
      <c r="G948" s="2" t="s">
        <v>24</v>
      </c>
      <c r="H948" s="2" t="s">
        <v>18</v>
      </c>
      <c r="I948" s="2" t="s">
        <v>39</v>
      </c>
      <c r="J948" s="2" t="s">
        <v>64</v>
      </c>
      <c r="K948" s="2" t="s">
        <v>21</v>
      </c>
      <c r="L948" s="2">
        <v>65</v>
      </c>
      <c r="M948" s="2">
        <v>90</v>
      </c>
      <c r="N948" s="2">
        <v>26898.76</v>
      </c>
      <c r="O948" s="2">
        <v>250.56</v>
      </c>
      <c r="P948" s="2">
        <v>89.02</v>
      </c>
      <c r="Q948" s="2" t="s">
        <v>30</v>
      </c>
      <c r="R948" s="2">
        <v>3</v>
      </c>
    </row>
    <row r="949" spans="1:18" x14ac:dyDescent="0.3">
      <c r="A949" s="2" t="s">
        <v>1000</v>
      </c>
      <c r="B949" s="2" t="s">
        <v>44</v>
      </c>
      <c r="E949" s="2" t="s">
        <v>44</v>
      </c>
      <c r="F949" s="1">
        <v>45939</v>
      </c>
      <c r="G949" s="2" t="s">
        <v>32</v>
      </c>
      <c r="H949" s="2" t="s">
        <v>58</v>
      </c>
      <c r="I949" s="2" t="s">
        <v>34</v>
      </c>
      <c r="J949" s="2" t="s">
        <v>35</v>
      </c>
      <c r="K949" s="2" t="s">
        <v>52</v>
      </c>
      <c r="L949" s="2">
        <v>33</v>
      </c>
      <c r="M949" s="2">
        <v>78</v>
      </c>
      <c r="N949" s="2">
        <v>49801.69</v>
      </c>
      <c r="O949" s="2">
        <v>72.209999999999994</v>
      </c>
      <c r="P949" s="2">
        <v>22.63</v>
      </c>
      <c r="Q949" s="2" t="s">
        <v>22</v>
      </c>
      <c r="R949" s="2">
        <v>4</v>
      </c>
    </row>
    <row r="950" spans="1:18" x14ac:dyDescent="0.3">
      <c r="A950" s="2" t="s">
        <v>1001</v>
      </c>
      <c r="B950" s="2" t="s">
        <v>51</v>
      </c>
      <c r="E950" s="2" t="s">
        <v>51</v>
      </c>
      <c r="F950" s="1">
        <v>46081</v>
      </c>
      <c r="G950" s="2" t="s">
        <v>43</v>
      </c>
      <c r="H950" s="2" t="s">
        <v>45</v>
      </c>
      <c r="I950" s="2" t="s">
        <v>19</v>
      </c>
      <c r="J950" s="2" t="s">
        <v>64</v>
      </c>
      <c r="K950" s="2" t="s">
        <v>29</v>
      </c>
      <c r="L950" s="2">
        <v>25</v>
      </c>
      <c r="M950" s="2">
        <v>71</v>
      </c>
      <c r="N950" s="2">
        <v>40126.54</v>
      </c>
      <c r="O950" s="2">
        <v>306.2</v>
      </c>
      <c r="P950" s="2">
        <v>105.42</v>
      </c>
      <c r="Q950" s="2" t="s">
        <v>30</v>
      </c>
      <c r="R950" s="2">
        <v>4</v>
      </c>
    </row>
    <row r="951" spans="1:18" x14ac:dyDescent="0.3">
      <c r="A951" s="2" t="s">
        <v>1002</v>
      </c>
      <c r="B951" s="2" t="s">
        <v>51</v>
      </c>
      <c r="E951" s="2" t="s">
        <v>51</v>
      </c>
      <c r="F951" s="1">
        <v>46191</v>
      </c>
      <c r="G951" s="2" t="s">
        <v>32</v>
      </c>
      <c r="H951" s="2" t="s">
        <v>18</v>
      </c>
      <c r="I951" s="2" t="s">
        <v>19</v>
      </c>
      <c r="J951" s="2" t="s">
        <v>55</v>
      </c>
      <c r="K951" s="2" t="s">
        <v>29</v>
      </c>
      <c r="L951" s="2">
        <v>45</v>
      </c>
      <c r="M951" s="2">
        <v>33</v>
      </c>
      <c r="N951" s="2">
        <v>42359.28</v>
      </c>
      <c r="O951" s="2">
        <v>222.23</v>
      </c>
      <c r="P951" s="2">
        <v>299.45999999999998</v>
      </c>
      <c r="Q951" s="2" t="s">
        <v>22</v>
      </c>
      <c r="R951" s="2">
        <v>3</v>
      </c>
    </row>
    <row r="952" spans="1:18" x14ac:dyDescent="0.3">
      <c r="A952" s="2" t="s">
        <v>1003</v>
      </c>
      <c r="B952" s="2" t="s">
        <v>62</v>
      </c>
      <c r="E952" s="2" t="s">
        <v>62</v>
      </c>
      <c r="F952" s="1">
        <v>46203</v>
      </c>
      <c r="G952" s="2" t="s">
        <v>32</v>
      </c>
      <c r="H952" s="2" t="s">
        <v>38</v>
      </c>
      <c r="I952" s="2" t="s">
        <v>27</v>
      </c>
      <c r="J952" s="2" t="s">
        <v>35</v>
      </c>
      <c r="K952" s="2" t="s">
        <v>52</v>
      </c>
      <c r="L952" s="2">
        <v>40</v>
      </c>
      <c r="M952" s="2">
        <v>26</v>
      </c>
      <c r="N952" s="2">
        <v>31945.62</v>
      </c>
      <c r="O952" s="2">
        <v>390.74</v>
      </c>
      <c r="P952" s="2">
        <v>177.77</v>
      </c>
      <c r="Q952" s="2" t="s">
        <v>30</v>
      </c>
      <c r="R952" s="2">
        <v>2</v>
      </c>
    </row>
    <row r="953" spans="1:18" x14ac:dyDescent="0.3">
      <c r="A953" s="2" t="s">
        <v>1004</v>
      </c>
      <c r="B953" s="2" t="s">
        <v>60</v>
      </c>
      <c r="E953" s="2" t="s">
        <v>60</v>
      </c>
      <c r="F953" s="1">
        <v>45920</v>
      </c>
      <c r="G953" s="2" t="s">
        <v>16</v>
      </c>
      <c r="H953" s="2" t="s">
        <v>45</v>
      </c>
      <c r="I953" s="2" t="s">
        <v>19</v>
      </c>
      <c r="J953" s="2" t="s">
        <v>64</v>
      </c>
      <c r="K953" s="2" t="s">
        <v>52</v>
      </c>
      <c r="L953" s="2">
        <v>74</v>
      </c>
      <c r="M953" s="2">
        <v>45</v>
      </c>
      <c r="N953" s="2">
        <v>2557.21</v>
      </c>
      <c r="O953" s="2">
        <v>187.54</v>
      </c>
      <c r="P953" s="2">
        <v>9.66</v>
      </c>
      <c r="Q953" s="2" t="s">
        <v>22</v>
      </c>
      <c r="R953" s="2">
        <v>1</v>
      </c>
    </row>
    <row r="954" spans="1:18" x14ac:dyDescent="0.3">
      <c r="A954" s="2" t="s">
        <v>1005</v>
      </c>
      <c r="B954" s="2" t="s">
        <v>17</v>
      </c>
      <c r="E954" s="2" t="s">
        <v>17</v>
      </c>
      <c r="F954" s="1">
        <v>46148</v>
      </c>
      <c r="G954" s="2" t="s">
        <v>32</v>
      </c>
      <c r="H954" s="2" t="s">
        <v>38</v>
      </c>
      <c r="I954" s="2" t="s">
        <v>19</v>
      </c>
      <c r="J954" s="2" t="s">
        <v>55</v>
      </c>
      <c r="K954" s="2" t="s">
        <v>52</v>
      </c>
      <c r="L954" s="2">
        <v>38</v>
      </c>
      <c r="M954" s="2">
        <v>84</v>
      </c>
      <c r="N954" s="2">
        <v>10736.48</v>
      </c>
      <c r="O954" s="2">
        <v>316.83999999999997</v>
      </c>
      <c r="P954" s="2">
        <v>112.65</v>
      </c>
      <c r="Q954" s="2" t="s">
        <v>22</v>
      </c>
      <c r="R954" s="2">
        <v>1</v>
      </c>
    </row>
    <row r="955" spans="1:18" x14ac:dyDescent="0.3">
      <c r="A955" s="2" t="s">
        <v>1006</v>
      </c>
      <c r="B955" s="2" t="s">
        <v>67</v>
      </c>
      <c r="E955" s="2" t="s">
        <v>67</v>
      </c>
      <c r="F955" s="1">
        <v>46163</v>
      </c>
      <c r="G955" s="2" t="s">
        <v>43</v>
      </c>
      <c r="H955" s="2" t="s">
        <v>26</v>
      </c>
      <c r="I955" s="2" t="s">
        <v>39</v>
      </c>
      <c r="J955" s="2" t="s">
        <v>20</v>
      </c>
      <c r="K955" s="2" t="s">
        <v>52</v>
      </c>
      <c r="L955" s="2">
        <v>67</v>
      </c>
      <c r="M955" s="2">
        <v>63</v>
      </c>
      <c r="N955" s="2">
        <v>46290.7</v>
      </c>
      <c r="O955" s="2">
        <v>291.95999999999998</v>
      </c>
      <c r="P955" s="2">
        <v>129.56</v>
      </c>
      <c r="Q955" s="2" t="s">
        <v>30</v>
      </c>
      <c r="R955" s="2">
        <v>1</v>
      </c>
    </row>
    <row r="956" spans="1:18" x14ac:dyDescent="0.3">
      <c r="A956" s="2" t="s">
        <v>1007</v>
      </c>
      <c r="B956" s="2" t="s">
        <v>51</v>
      </c>
      <c r="E956" s="2" t="s">
        <v>51</v>
      </c>
      <c r="F956" s="1">
        <v>46122</v>
      </c>
      <c r="G956" s="2" t="s">
        <v>74</v>
      </c>
      <c r="H956" s="2" t="s">
        <v>45</v>
      </c>
      <c r="I956" s="2" t="s">
        <v>39</v>
      </c>
      <c r="J956" s="2" t="s">
        <v>55</v>
      </c>
      <c r="K956" s="2" t="s">
        <v>52</v>
      </c>
      <c r="L956" s="2">
        <v>38</v>
      </c>
      <c r="M956" s="2">
        <v>67</v>
      </c>
      <c r="N956" s="2">
        <v>18622.599999999999</v>
      </c>
      <c r="O956" s="2">
        <v>52.12</v>
      </c>
      <c r="P956" s="2">
        <v>41.91</v>
      </c>
      <c r="Q956" s="2" t="s">
        <v>30</v>
      </c>
      <c r="R956" s="2">
        <v>1</v>
      </c>
    </row>
    <row r="957" spans="1:18" x14ac:dyDescent="0.3">
      <c r="A957" s="2" t="s">
        <v>1008</v>
      </c>
      <c r="B957" s="2" t="s">
        <v>62</v>
      </c>
      <c r="E957" s="2" t="s">
        <v>62</v>
      </c>
      <c r="F957" s="1">
        <v>46065</v>
      </c>
      <c r="G957" s="2" t="s">
        <v>32</v>
      </c>
      <c r="H957" s="2" t="s">
        <v>26</v>
      </c>
      <c r="I957" s="2" t="s">
        <v>27</v>
      </c>
      <c r="J957" s="2" t="s">
        <v>35</v>
      </c>
      <c r="K957" s="2" t="s">
        <v>52</v>
      </c>
      <c r="L957" s="2">
        <v>22</v>
      </c>
      <c r="M957" s="2">
        <v>52</v>
      </c>
      <c r="N957" s="2">
        <v>5630.02</v>
      </c>
      <c r="O957" s="2">
        <v>82.58</v>
      </c>
      <c r="P957" s="2">
        <v>29.02</v>
      </c>
      <c r="Q957" s="2" t="s">
        <v>22</v>
      </c>
      <c r="R957" s="2">
        <v>5</v>
      </c>
    </row>
    <row r="958" spans="1:18" x14ac:dyDescent="0.3">
      <c r="A958" s="2" t="s">
        <v>1009</v>
      </c>
      <c r="B958" s="2" t="s">
        <v>44</v>
      </c>
      <c r="E958" s="2" t="s">
        <v>44</v>
      </c>
      <c r="F958" s="1">
        <v>45896</v>
      </c>
      <c r="G958" s="2" t="s">
        <v>41</v>
      </c>
      <c r="H958" s="2" t="s">
        <v>45</v>
      </c>
      <c r="I958" s="2" t="s">
        <v>68</v>
      </c>
      <c r="J958" s="2" t="s">
        <v>28</v>
      </c>
      <c r="K958" s="2" t="s">
        <v>29</v>
      </c>
      <c r="L958" s="2">
        <v>30</v>
      </c>
      <c r="M958" s="2">
        <v>68</v>
      </c>
      <c r="N958" s="2">
        <v>35269.07</v>
      </c>
      <c r="O958" s="2">
        <v>180.67</v>
      </c>
      <c r="P958" s="2">
        <v>271.32</v>
      </c>
      <c r="Q958" s="2" t="s">
        <v>30</v>
      </c>
      <c r="R958" s="2">
        <v>1</v>
      </c>
    </row>
    <row r="959" spans="1:18" x14ac:dyDescent="0.3">
      <c r="A959" s="2" t="s">
        <v>1010</v>
      </c>
      <c r="B959" s="2" t="s">
        <v>51</v>
      </c>
      <c r="E959" s="2" t="s">
        <v>51</v>
      </c>
      <c r="F959" s="1">
        <v>46001</v>
      </c>
      <c r="G959" s="2" t="s">
        <v>24</v>
      </c>
      <c r="H959" s="2" t="s">
        <v>45</v>
      </c>
      <c r="I959" s="2" t="s">
        <v>27</v>
      </c>
      <c r="J959" s="2" t="s">
        <v>20</v>
      </c>
      <c r="K959" s="2" t="s">
        <v>52</v>
      </c>
      <c r="L959" s="2">
        <v>65</v>
      </c>
      <c r="M959" s="2">
        <v>26</v>
      </c>
      <c r="N959" s="2">
        <v>15323.16</v>
      </c>
      <c r="O959" s="2">
        <v>447.01</v>
      </c>
      <c r="P959" s="2">
        <v>193.76</v>
      </c>
      <c r="Q959" s="2" t="s">
        <v>30</v>
      </c>
      <c r="R959" s="2">
        <v>3</v>
      </c>
    </row>
    <row r="960" spans="1:18" x14ac:dyDescent="0.3">
      <c r="A960" s="2" t="s">
        <v>1011</v>
      </c>
      <c r="B960" s="2" t="s">
        <v>82</v>
      </c>
      <c r="E960" s="2" t="s">
        <v>82</v>
      </c>
      <c r="F960" s="1">
        <v>46231</v>
      </c>
      <c r="G960" s="2" t="s">
        <v>32</v>
      </c>
      <c r="H960" s="2" t="s">
        <v>26</v>
      </c>
      <c r="I960" s="2" t="s">
        <v>27</v>
      </c>
      <c r="J960" s="2" t="s">
        <v>64</v>
      </c>
      <c r="K960" s="2" t="s">
        <v>21</v>
      </c>
      <c r="L960" s="2">
        <v>70</v>
      </c>
      <c r="M960" s="2">
        <v>75</v>
      </c>
      <c r="N960" s="2">
        <v>13808.42</v>
      </c>
      <c r="O960" s="2">
        <v>116.16</v>
      </c>
      <c r="P960" s="2">
        <v>198.38</v>
      </c>
      <c r="Q960" s="2" t="s">
        <v>22</v>
      </c>
      <c r="R960" s="2">
        <v>1</v>
      </c>
    </row>
    <row r="961" spans="1:18" x14ac:dyDescent="0.3">
      <c r="A961" s="2" t="s">
        <v>1012</v>
      </c>
      <c r="B961" s="2" t="s">
        <v>82</v>
      </c>
      <c r="E961" s="2" t="s">
        <v>82</v>
      </c>
      <c r="F961" s="1">
        <v>46206</v>
      </c>
      <c r="G961" s="2" t="s">
        <v>24</v>
      </c>
      <c r="H961" s="2" t="s">
        <v>18</v>
      </c>
      <c r="I961" s="2" t="s">
        <v>34</v>
      </c>
      <c r="J961" s="2" t="s">
        <v>35</v>
      </c>
      <c r="K961" s="2" t="s">
        <v>52</v>
      </c>
      <c r="L961" s="2">
        <v>67</v>
      </c>
      <c r="M961" s="2">
        <v>2</v>
      </c>
      <c r="N961" s="2">
        <v>49899.88</v>
      </c>
      <c r="O961" s="2">
        <v>369.9</v>
      </c>
      <c r="P961" s="2">
        <v>157.94999999999999</v>
      </c>
      <c r="Q961" s="2" t="s">
        <v>22</v>
      </c>
      <c r="R961" s="2">
        <v>4</v>
      </c>
    </row>
    <row r="962" spans="1:18" x14ac:dyDescent="0.3">
      <c r="A962" s="2" t="s">
        <v>1013</v>
      </c>
      <c r="B962" s="2" t="s">
        <v>33</v>
      </c>
      <c r="E962" s="2" t="s">
        <v>33</v>
      </c>
      <c r="F962" s="1">
        <v>46156</v>
      </c>
      <c r="G962" s="2" t="s">
        <v>41</v>
      </c>
      <c r="H962" s="2" t="s">
        <v>58</v>
      </c>
      <c r="I962" s="2" t="s">
        <v>34</v>
      </c>
      <c r="J962" s="2" t="s">
        <v>28</v>
      </c>
      <c r="K962" s="2" t="s">
        <v>52</v>
      </c>
      <c r="L962" s="2">
        <v>32</v>
      </c>
      <c r="M962" s="2">
        <v>14</v>
      </c>
      <c r="N962" s="2">
        <v>42977.88</v>
      </c>
      <c r="O962" s="2">
        <v>488.01</v>
      </c>
      <c r="P962" s="2">
        <v>132.69999999999999</v>
      </c>
      <c r="Q962" s="2" t="s">
        <v>30</v>
      </c>
      <c r="R962" s="2">
        <v>1</v>
      </c>
    </row>
    <row r="963" spans="1:18" x14ac:dyDescent="0.3">
      <c r="A963" s="2" t="s">
        <v>1014</v>
      </c>
      <c r="B963" s="2" t="s">
        <v>49</v>
      </c>
      <c r="E963" s="2" t="s">
        <v>49</v>
      </c>
      <c r="F963" s="1">
        <v>45895</v>
      </c>
      <c r="G963" s="2" t="s">
        <v>41</v>
      </c>
      <c r="H963" s="2" t="s">
        <v>38</v>
      </c>
      <c r="I963" s="2" t="s">
        <v>27</v>
      </c>
      <c r="J963" s="2" t="s">
        <v>55</v>
      </c>
      <c r="K963" s="2" t="s">
        <v>29</v>
      </c>
      <c r="L963" s="2">
        <v>67</v>
      </c>
      <c r="M963" s="2">
        <v>108</v>
      </c>
      <c r="N963" s="2">
        <v>20692.919999999998</v>
      </c>
      <c r="O963" s="2">
        <v>405.76</v>
      </c>
      <c r="P963" s="2">
        <v>103.72</v>
      </c>
      <c r="Q963" s="2" t="s">
        <v>30</v>
      </c>
      <c r="R963" s="2">
        <v>2</v>
      </c>
    </row>
    <row r="964" spans="1:18" x14ac:dyDescent="0.3">
      <c r="A964" s="2" t="s">
        <v>1015</v>
      </c>
      <c r="B964" s="2" t="s">
        <v>33</v>
      </c>
      <c r="E964" s="2" t="s">
        <v>33</v>
      </c>
      <c r="F964" s="1">
        <v>45901</v>
      </c>
      <c r="G964" s="2" t="s">
        <v>24</v>
      </c>
      <c r="H964" s="2" t="s">
        <v>45</v>
      </c>
      <c r="I964" s="2" t="s">
        <v>27</v>
      </c>
      <c r="J964" s="2" t="s">
        <v>28</v>
      </c>
      <c r="K964" s="2" t="s">
        <v>29</v>
      </c>
      <c r="L964" s="2">
        <v>33</v>
      </c>
      <c r="M964" s="2">
        <v>30</v>
      </c>
      <c r="N964" s="2">
        <v>49022.93</v>
      </c>
      <c r="O964" s="2">
        <v>159.33000000000001</v>
      </c>
      <c r="P964" s="2">
        <v>51.42</v>
      </c>
      <c r="Q964" s="2" t="s">
        <v>30</v>
      </c>
      <c r="R964" s="2">
        <v>3</v>
      </c>
    </row>
    <row r="965" spans="1:18" x14ac:dyDescent="0.3">
      <c r="A965" s="2" t="s">
        <v>1016</v>
      </c>
      <c r="B965" s="2" t="s">
        <v>76</v>
      </c>
      <c r="E965" s="2" t="s">
        <v>76</v>
      </c>
      <c r="F965" s="1">
        <v>45887</v>
      </c>
      <c r="G965" s="2" t="s">
        <v>90</v>
      </c>
      <c r="H965" s="2" t="s">
        <v>38</v>
      </c>
      <c r="I965" s="2" t="s">
        <v>27</v>
      </c>
      <c r="J965" s="2" t="s">
        <v>35</v>
      </c>
      <c r="K965" s="2" t="s">
        <v>52</v>
      </c>
      <c r="L965" s="2">
        <v>70</v>
      </c>
      <c r="M965" s="2">
        <v>49</v>
      </c>
      <c r="N965" s="2">
        <v>32680.6</v>
      </c>
      <c r="O965" s="2">
        <v>458.76</v>
      </c>
      <c r="P965" s="2">
        <v>15.8</v>
      </c>
      <c r="Q965" s="2" t="s">
        <v>30</v>
      </c>
      <c r="R965" s="2">
        <v>3</v>
      </c>
    </row>
    <row r="966" spans="1:18" x14ac:dyDescent="0.3">
      <c r="A966" s="2" t="s">
        <v>1017</v>
      </c>
      <c r="B966" s="2" t="s">
        <v>37</v>
      </c>
      <c r="E966" s="2" t="s">
        <v>37</v>
      </c>
      <c r="F966" s="1">
        <v>46059</v>
      </c>
      <c r="G966" s="2" t="s">
        <v>54</v>
      </c>
      <c r="H966" s="2" t="s">
        <v>26</v>
      </c>
      <c r="I966" s="2" t="s">
        <v>19</v>
      </c>
      <c r="J966" s="2" t="s">
        <v>35</v>
      </c>
      <c r="K966" s="2" t="s">
        <v>29</v>
      </c>
      <c r="L966" s="2">
        <v>67</v>
      </c>
      <c r="M966" s="2">
        <v>12</v>
      </c>
      <c r="N966" s="2">
        <v>37230.11</v>
      </c>
      <c r="O966" s="2">
        <v>91.9</v>
      </c>
      <c r="P966" s="2">
        <v>207.99</v>
      </c>
      <c r="Q966" s="2" t="s">
        <v>22</v>
      </c>
      <c r="R966" s="2">
        <v>5</v>
      </c>
    </row>
    <row r="967" spans="1:18" x14ac:dyDescent="0.3">
      <c r="A967" s="2" t="s">
        <v>1018</v>
      </c>
      <c r="B967" s="2" t="s">
        <v>86</v>
      </c>
      <c r="E967" s="2" t="s">
        <v>86</v>
      </c>
      <c r="F967" s="1">
        <v>46026</v>
      </c>
      <c r="G967" s="2" t="s">
        <v>16</v>
      </c>
      <c r="H967" s="2" t="s">
        <v>38</v>
      </c>
      <c r="I967" s="2" t="s">
        <v>34</v>
      </c>
      <c r="J967" s="2" t="s">
        <v>28</v>
      </c>
      <c r="K967" s="2" t="s">
        <v>56</v>
      </c>
      <c r="L967" s="2">
        <v>31</v>
      </c>
      <c r="M967" s="2">
        <v>90</v>
      </c>
      <c r="N967" s="2">
        <v>2059.9</v>
      </c>
      <c r="O967" s="2">
        <v>260.66000000000003</v>
      </c>
      <c r="P967" s="2">
        <v>156.94</v>
      </c>
      <c r="Q967" s="2" t="s">
        <v>22</v>
      </c>
      <c r="R967" s="2">
        <v>4</v>
      </c>
    </row>
    <row r="968" spans="1:18" x14ac:dyDescent="0.3">
      <c r="A968" s="2" t="s">
        <v>1019</v>
      </c>
      <c r="B968" s="2" t="s">
        <v>33</v>
      </c>
      <c r="E968" s="2" t="s">
        <v>33</v>
      </c>
      <c r="F968" s="1">
        <v>45922</v>
      </c>
      <c r="G968" s="2" t="s">
        <v>90</v>
      </c>
      <c r="H968" s="2" t="s">
        <v>26</v>
      </c>
      <c r="I968" s="2" t="s">
        <v>27</v>
      </c>
      <c r="J968" s="2" t="s">
        <v>55</v>
      </c>
      <c r="K968" s="2" t="s">
        <v>29</v>
      </c>
      <c r="L968" s="2">
        <v>39</v>
      </c>
      <c r="M968" s="2">
        <v>44</v>
      </c>
      <c r="N968" s="2">
        <v>6519.46</v>
      </c>
      <c r="O968" s="2">
        <v>449.39</v>
      </c>
      <c r="P968" s="2">
        <v>247.94</v>
      </c>
      <c r="Q968" s="2" t="s">
        <v>22</v>
      </c>
      <c r="R968" s="2">
        <v>3</v>
      </c>
    </row>
    <row r="969" spans="1:18" x14ac:dyDescent="0.3">
      <c r="A969" s="2" t="s">
        <v>1020</v>
      </c>
      <c r="B969" s="2" t="s">
        <v>25</v>
      </c>
      <c r="E969" s="2" t="s">
        <v>25</v>
      </c>
      <c r="F969" s="1">
        <v>46121</v>
      </c>
      <c r="G969" s="2" t="s">
        <v>90</v>
      </c>
      <c r="H969" s="2" t="s">
        <v>38</v>
      </c>
      <c r="I969" s="2" t="s">
        <v>39</v>
      </c>
      <c r="J969" s="2" t="s">
        <v>28</v>
      </c>
      <c r="K969" s="2" t="s">
        <v>29</v>
      </c>
      <c r="L969" s="2">
        <v>55</v>
      </c>
      <c r="M969" s="2">
        <v>33</v>
      </c>
      <c r="N969" s="2">
        <v>31837.71</v>
      </c>
      <c r="O969" s="2">
        <v>338.57</v>
      </c>
      <c r="P969" s="2">
        <v>274.12</v>
      </c>
      <c r="Q969" s="2" t="s">
        <v>30</v>
      </c>
      <c r="R969" s="2">
        <v>2</v>
      </c>
    </row>
    <row r="970" spans="1:18" x14ac:dyDescent="0.3">
      <c r="A970" s="2" t="s">
        <v>1021</v>
      </c>
      <c r="B970" s="2" t="s">
        <v>51</v>
      </c>
      <c r="E970" s="2" t="s">
        <v>51</v>
      </c>
      <c r="F970" s="1">
        <v>46089</v>
      </c>
      <c r="G970" s="2" t="s">
        <v>74</v>
      </c>
      <c r="H970" s="2" t="s">
        <v>58</v>
      </c>
      <c r="I970" s="2" t="s">
        <v>39</v>
      </c>
      <c r="J970" s="2" t="s">
        <v>35</v>
      </c>
      <c r="K970" s="2" t="s">
        <v>29</v>
      </c>
      <c r="L970" s="2">
        <v>59</v>
      </c>
      <c r="M970" s="2">
        <v>13</v>
      </c>
      <c r="N970" s="2">
        <v>45001.69</v>
      </c>
      <c r="O970" s="2">
        <v>236.14</v>
      </c>
      <c r="P970" s="2">
        <v>263.98</v>
      </c>
      <c r="Q970" s="2" t="s">
        <v>30</v>
      </c>
      <c r="R970" s="2">
        <v>1</v>
      </c>
    </row>
    <row r="971" spans="1:18" x14ac:dyDescent="0.3">
      <c r="A971" s="2" t="s">
        <v>1022</v>
      </c>
      <c r="B971" s="2" t="s">
        <v>60</v>
      </c>
      <c r="E971" s="2" t="s">
        <v>60</v>
      </c>
      <c r="F971" s="1">
        <v>46203</v>
      </c>
      <c r="G971" s="2" t="s">
        <v>16</v>
      </c>
      <c r="H971" s="2" t="s">
        <v>58</v>
      </c>
      <c r="I971" s="2" t="s">
        <v>19</v>
      </c>
      <c r="J971" s="2" t="s">
        <v>35</v>
      </c>
      <c r="K971" s="2" t="s">
        <v>29</v>
      </c>
      <c r="L971" s="2">
        <v>73</v>
      </c>
      <c r="M971" s="2">
        <v>78</v>
      </c>
      <c r="N971" s="2">
        <v>31375.31</v>
      </c>
      <c r="O971" s="2">
        <v>181.77</v>
      </c>
      <c r="P971" s="2">
        <v>299.92</v>
      </c>
      <c r="Q971" s="2" t="s">
        <v>30</v>
      </c>
      <c r="R971" s="2">
        <v>3</v>
      </c>
    </row>
    <row r="972" spans="1:18" x14ac:dyDescent="0.3">
      <c r="A972" s="2" t="s">
        <v>1023</v>
      </c>
      <c r="B972" s="2" t="s">
        <v>78</v>
      </c>
      <c r="E972" s="2" t="s">
        <v>78</v>
      </c>
      <c r="F972" s="1">
        <v>46064</v>
      </c>
      <c r="G972" s="2" t="s">
        <v>16</v>
      </c>
      <c r="H972" s="2" t="s">
        <v>58</v>
      </c>
      <c r="I972" s="2" t="s">
        <v>19</v>
      </c>
      <c r="J972" s="2" t="s">
        <v>64</v>
      </c>
      <c r="K972" s="2" t="s">
        <v>21</v>
      </c>
      <c r="L972" s="2">
        <v>46</v>
      </c>
      <c r="M972" s="2">
        <v>88</v>
      </c>
      <c r="N972" s="2">
        <v>7134.23</v>
      </c>
      <c r="O972" s="2">
        <v>218.79</v>
      </c>
      <c r="P972" s="2">
        <v>48.81</v>
      </c>
      <c r="Q972" s="2" t="s">
        <v>30</v>
      </c>
      <c r="R972" s="2">
        <v>2</v>
      </c>
    </row>
    <row r="973" spans="1:18" x14ac:dyDescent="0.3">
      <c r="A973" s="2" t="s">
        <v>1024</v>
      </c>
      <c r="B973" s="2" t="s">
        <v>62</v>
      </c>
      <c r="E973" s="2" t="s">
        <v>62</v>
      </c>
      <c r="F973" s="1">
        <v>45876</v>
      </c>
      <c r="G973" s="2" t="s">
        <v>90</v>
      </c>
      <c r="H973" s="2" t="s">
        <v>58</v>
      </c>
      <c r="I973" s="2" t="s">
        <v>68</v>
      </c>
      <c r="J973" s="2" t="s">
        <v>64</v>
      </c>
      <c r="K973" s="2" t="s">
        <v>21</v>
      </c>
      <c r="L973" s="2">
        <v>66</v>
      </c>
      <c r="M973" s="2">
        <v>98</v>
      </c>
      <c r="N973" s="2">
        <v>6230.12</v>
      </c>
      <c r="O973" s="2">
        <v>279.02</v>
      </c>
      <c r="P973" s="2">
        <v>152.66</v>
      </c>
      <c r="Q973" s="2" t="s">
        <v>22</v>
      </c>
      <c r="R973" s="2">
        <v>1</v>
      </c>
    </row>
    <row r="974" spans="1:18" x14ac:dyDescent="0.3">
      <c r="A974" s="2" t="s">
        <v>1025</v>
      </c>
      <c r="B974" s="2" t="s">
        <v>78</v>
      </c>
      <c r="E974" s="2" t="s">
        <v>78</v>
      </c>
      <c r="F974" s="1">
        <v>46076</v>
      </c>
      <c r="G974" s="2" t="s">
        <v>32</v>
      </c>
      <c r="H974" s="2" t="s">
        <v>58</v>
      </c>
      <c r="I974" s="2" t="s">
        <v>68</v>
      </c>
      <c r="J974" s="2" t="s">
        <v>20</v>
      </c>
      <c r="K974" s="2" t="s">
        <v>21</v>
      </c>
      <c r="L974" s="2">
        <v>34</v>
      </c>
      <c r="M974" s="2">
        <v>108</v>
      </c>
      <c r="N974" s="2">
        <v>42287.199999999997</v>
      </c>
      <c r="O974" s="2">
        <v>193.57</v>
      </c>
      <c r="P974" s="2">
        <v>117.29</v>
      </c>
      <c r="Q974" s="2" t="s">
        <v>30</v>
      </c>
      <c r="R974" s="2">
        <v>5</v>
      </c>
    </row>
    <row r="975" spans="1:18" x14ac:dyDescent="0.3">
      <c r="A975" s="2" t="s">
        <v>1026</v>
      </c>
      <c r="B975" s="2" t="s">
        <v>25</v>
      </c>
      <c r="E975" s="2" t="s">
        <v>25</v>
      </c>
      <c r="F975" s="1">
        <v>46138</v>
      </c>
      <c r="G975" s="2" t="s">
        <v>74</v>
      </c>
      <c r="H975" s="2" t="s">
        <v>58</v>
      </c>
      <c r="I975" s="2" t="s">
        <v>68</v>
      </c>
      <c r="J975" s="2" t="s">
        <v>35</v>
      </c>
      <c r="K975" s="2" t="s">
        <v>52</v>
      </c>
      <c r="L975" s="2">
        <v>74</v>
      </c>
      <c r="M975" s="2">
        <v>26</v>
      </c>
      <c r="N975" s="2">
        <v>7395.47</v>
      </c>
      <c r="O975" s="2">
        <v>486.04</v>
      </c>
      <c r="P975" s="2">
        <v>52.25</v>
      </c>
      <c r="Q975" s="2" t="s">
        <v>30</v>
      </c>
      <c r="R975" s="2">
        <v>3</v>
      </c>
    </row>
    <row r="976" spans="1:18" x14ac:dyDescent="0.3">
      <c r="A976" s="2" t="s">
        <v>1027</v>
      </c>
      <c r="B976" s="2" t="s">
        <v>44</v>
      </c>
      <c r="E976" s="2" t="s">
        <v>44</v>
      </c>
      <c r="F976" s="1">
        <v>45889</v>
      </c>
      <c r="G976" s="2" t="s">
        <v>74</v>
      </c>
      <c r="H976" s="2" t="s">
        <v>26</v>
      </c>
      <c r="I976" s="2" t="s">
        <v>19</v>
      </c>
      <c r="J976" s="2" t="s">
        <v>64</v>
      </c>
      <c r="K976" s="2" t="s">
        <v>52</v>
      </c>
      <c r="L976" s="2">
        <v>65</v>
      </c>
      <c r="M976" s="2">
        <v>21</v>
      </c>
      <c r="N976" s="2">
        <v>26251.48</v>
      </c>
      <c r="O976" s="2">
        <v>469.88</v>
      </c>
      <c r="P976" s="2">
        <v>196.38</v>
      </c>
      <c r="Q976" s="2" t="s">
        <v>22</v>
      </c>
      <c r="R976" s="2">
        <v>3</v>
      </c>
    </row>
    <row r="977" spans="1:18" x14ac:dyDescent="0.3">
      <c r="A977" s="2" t="s">
        <v>1028</v>
      </c>
      <c r="B977" s="2" t="s">
        <v>33</v>
      </c>
      <c r="E977" s="2" t="s">
        <v>33</v>
      </c>
      <c r="F977" s="1">
        <v>46112</v>
      </c>
      <c r="G977" s="2" t="s">
        <v>41</v>
      </c>
      <c r="H977" s="2" t="s">
        <v>45</v>
      </c>
      <c r="I977" s="2" t="s">
        <v>19</v>
      </c>
      <c r="J977" s="2" t="s">
        <v>28</v>
      </c>
      <c r="K977" s="2" t="s">
        <v>56</v>
      </c>
      <c r="L977" s="2">
        <v>64</v>
      </c>
      <c r="M977" s="2">
        <v>28</v>
      </c>
      <c r="N977" s="2">
        <v>2337.11</v>
      </c>
      <c r="O977" s="2">
        <v>441.8</v>
      </c>
      <c r="P977" s="2">
        <v>179.58</v>
      </c>
      <c r="Q977" s="2" t="s">
        <v>22</v>
      </c>
      <c r="R977" s="2">
        <v>2</v>
      </c>
    </row>
    <row r="978" spans="1:18" x14ac:dyDescent="0.3">
      <c r="A978" s="2" t="s">
        <v>1029</v>
      </c>
      <c r="B978" s="2" t="s">
        <v>86</v>
      </c>
      <c r="E978" s="2" t="s">
        <v>86</v>
      </c>
      <c r="F978" s="1">
        <v>45913</v>
      </c>
      <c r="G978" s="2" t="s">
        <v>43</v>
      </c>
      <c r="H978" s="2" t="s">
        <v>38</v>
      </c>
      <c r="I978" s="2" t="s">
        <v>19</v>
      </c>
      <c r="J978" s="2" t="s">
        <v>55</v>
      </c>
      <c r="K978" s="2" t="s">
        <v>21</v>
      </c>
      <c r="L978" s="2">
        <v>44</v>
      </c>
      <c r="M978" s="2">
        <v>48</v>
      </c>
      <c r="N978" s="2">
        <v>4493.1499999999996</v>
      </c>
      <c r="O978" s="2">
        <v>239.82</v>
      </c>
      <c r="P978" s="2">
        <v>25.7</v>
      </c>
      <c r="Q978" s="2" t="s">
        <v>22</v>
      </c>
      <c r="R978" s="2">
        <v>4</v>
      </c>
    </row>
    <row r="979" spans="1:18" x14ac:dyDescent="0.3">
      <c r="A979" s="2" t="s">
        <v>1030</v>
      </c>
      <c r="B979" s="2" t="s">
        <v>44</v>
      </c>
      <c r="E979" s="2" t="s">
        <v>44</v>
      </c>
      <c r="F979" s="1">
        <v>46096</v>
      </c>
      <c r="G979" s="2" t="s">
        <v>16</v>
      </c>
      <c r="H979" s="2" t="s">
        <v>58</v>
      </c>
      <c r="I979" s="2" t="s">
        <v>39</v>
      </c>
      <c r="J979" s="2" t="s">
        <v>28</v>
      </c>
      <c r="K979" s="2" t="s">
        <v>52</v>
      </c>
      <c r="L979" s="2">
        <v>61</v>
      </c>
      <c r="M979" s="2">
        <v>100</v>
      </c>
      <c r="N979" s="2">
        <v>33781.24</v>
      </c>
      <c r="O979" s="2">
        <v>361.09</v>
      </c>
      <c r="P979" s="2">
        <v>5.23</v>
      </c>
      <c r="Q979" s="2" t="s">
        <v>22</v>
      </c>
      <c r="R979" s="2">
        <v>5</v>
      </c>
    </row>
    <row r="980" spans="1:18" x14ac:dyDescent="0.3">
      <c r="A980" s="2" t="s">
        <v>1031</v>
      </c>
      <c r="B980" s="2" t="s">
        <v>17</v>
      </c>
      <c r="E980" s="2" t="s">
        <v>17</v>
      </c>
      <c r="F980" s="1">
        <v>46223</v>
      </c>
      <c r="G980" s="2" t="s">
        <v>90</v>
      </c>
      <c r="H980" s="2" t="s">
        <v>26</v>
      </c>
      <c r="I980" s="2" t="s">
        <v>19</v>
      </c>
      <c r="J980" s="2" t="s">
        <v>55</v>
      </c>
      <c r="K980" s="2" t="s">
        <v>29</v>
      </c>
      <c r="L980" s="2">
        <v>21</v>
      </c>
      <c r="M980" s="2">
        <v>40</v>
      </c>
      <c r="N980" s="2">
        <v>34614.480000000003</v>
      </c>
      <c r="O980" s="2">
        <v>456.27</v>
      </c>
      <c r="P980" s="2">
        <v>206.5</v>
      </c>
      <c r="Q980" s="2" t="s">
        <v>30</v>
      </c>
      <c r="R980" s="2">
        <v>4</v>
      </c>
    </row>
    <row r="981" spans="1:18" x14ac:dyDescent="0.3">
      <c r="A981" s="2" t="s">
        <v>1032</v>
      </c>
      <c r="B981" s="2" t="s">
        <v>17</v>
      </c>
      <c r="E981" s="2" t="s">
        <v>17</v>
      </c>
      <c r="F981" s="1">
        <v>46228</v>
      </c>
      <c r="G981" s="2" t="s">
        <v>41</v>
      </c>
      <c r="H981" s="2" t="s">
        <v>26</v>
      </c>
      <c r="I981" s="2" t="s">
        <v>39</v>
      </c>
      <c r="J981" s="2" t="s">
        <v>64</v>
      </c>
      <c r="K981" s="2" t="s">
        <v>29</v>
      </c>
      <c r="L981" s="2">
        <v>71</v>
      </c>
      <c r="M981" s="2">
        <v>66</v>
      </c>
      <c r="N981" s="2">
        <v>17402.740000000002</v>
      </c>
      <c r="O981" s="2">
        <v>432.69</v>
      </c>
      <c r="P981" s="2">
        <v>181.24</v>
      </c>
      <c r="Q981" s="2" t="s">
        <v>30</v>
      </c>
      <c r="R981" s="2">
        <v>3</v>
      </c>
    </row>
    <row r="982" spans="1:18" x14ac:dyDescent="0.3">
      <c r="A982" s="2" t="s">
        <v>1033</v>
      </c>
      <c r="B982" s="2" t="s">
        <v>78</v>
      </c>
      <c r="E982" s="2" t="s">
        <v>78</v>
      </c>
      <c r="F982" s="1">
        <v>46147</v>
      </c>
      <c r="G982" s="2" t="s">
        <v>24</v>
      </c>
      <c r="H982" s="2" t="s">
        <v>26</v>
      </c>
      <c r="I982" s="2" t="s">
        <v>68</v>
      </c>
      <c r="J982" s="2" t="s">
        <v>20</v>
      </c>
      <c r="K982" s="2" t="s">
        <v>21</v>
      </c>
      <c r="L982" s="2">
        <v>63</v>
      </c>
      <c r="M982" s="2">
        <v>106</v>
      </c>
      <c r="N982" s="2">
        <v>11172.68</v>
      </c>
      <c r="O982" s="2">
        <v>236.45</v>
      </c>
      <c r="P982" s="2">
        <v>187.16</v>
      </c>
      <c r="Q982" s="2" t="s">
        <v>30</v>
      </c>
      <c r="R982" s="2">
        <v>4</v>
      </c>
    </row>
    <row r="983" spans="1:18" x14ac:dyDescent="0.3">
      <c r="A983" s="2" t="s">
        <v>1034</v>
      </c>
      <c r="B983" s="2" t="s">
        <v>37</v>
      </c>
      <c r="E983" s="2" t="s">
        <v>37</v>
      </c>
      <c r="F983" s="1">
        <v>46105</v>
      </c>
      <c r="G983" s="2" t="s">
        <v>54</v>
      </c>
      <c r="H983" s="2" t="s">
        <v>45</v>
      </c>
      <c r="I983" s="2" t="s">
        <v>68</v>
      </c>
      <c r="J983" s="2" t="s">
        <v>28</v>
      </c>
      <c r="K983" s="2" t="s">
        <v>56</v>
      </c>
      <c r="L983" s="2">
        <v>42</v>
      </c>
      <c r="M983" s="2">
        <v>73</v>
      </c>
      <c r="N983" s="2">
        <v>40778.660000000003</v>
      </c>
      <c r="O983" s="2">
        <v>100.57</v>
      </c>
      <c r="P983" s="2">
        <v>46.8</v>
      </c>
      <c r="Q983" s="2" t="s">
        <v>30</v>
      </c>
      <c r="R983" s="2">
        <v>1</v>
      </c>
    </row>
    <row r="984" spans="1:18" x14ac:dyDescent="0.3">
      <c r="A984" s="2" t="s">
        <v>1035</v>
      </c>
      <c r="B984" s="2" t="s">
        <v>67</v>
      </c>
      <c r="E984" s="2" t="s">
        <v>67</v>
      </c>
      <c r="F984" s="1">
        <v>46219</v>
      </c>
      <c r="G984" s="2" t="s">
        <v>43</v>
      </c>
      <c r="H984" s="2" t="s">
        <v>38</v>
      </c>
      <c r="I984" s="2" t="s">
        <v>68</v>
      </c>
      <c r="J984" s="2" t="s">
        <v>28</v>
      </c>
      <c r="K984" s="2" t="s">
        <v>56</v>
      </c>
      <c r="L984" s="2">
        <v>43</v>
      </c>
      <c r="M984" s="2">
        <v>87</v>
      </c>
      <c r="N984" s="2">
        <v>11246.61</v>
      </c>
      <c r="O984" s="2">
        <v>84.03</v>
      </c>
      <c r="P984" s="2">
        <v>16.88</v>
      </c>
      <c r="Q984" s="2" t="s">
        <v>22</v>
      </c>
      <c r="R984" s="2">
        <v>5</v>
      </c>
    </row>
    <row r="985" spans="1:18" x14ac:dyDescent="0.3">
      <c r="A985" s="2" t="s">
        <v>1036</v>
      </c>
      <c r="B985" s="2" t="s">
        <v>37</v>
      </c>
      <c r="E985" s="2" t="s">
        <v>37</v>
      </c>
      <c r="F985" s="1">
        <v>46003</v>
      </c>
      <c r="G985" s="2" t="s">
        <v>43</v>
      </c>
      <c r="H985" s="2" t="s">
        <v>45</v>
      </c>
      <c r="I985" s="2" t="s">
        <v>27</v>
      </c>
      <c r="J985" s="2" t="s">
        <v>28</v>
      </c>
      <c r="K985" s="2" t="s">
        <v>29</v>
      </c>
      <c r="L985" s="2">
        <v>74</v>
      </c>
      <c r="M985" s="2">
        <v>79</v>
      </c>
      <c r="N985" s="2">
        <v>27330.34</v>
      </c>
      <c r="O985" s="2">
        <v>309.68</v>
      </c>
      <c r="P985" s="2">
        <v>77.760000000000005</v>
      </c>
      <c r="Q985" s="2" t="s">
        <v>30</v>
      </c>
      <c r="R985" s="2">
        <v>4</v>
      </c>
    </row>
    <row r="986" spans="1:18" x14ac:dyDescent="0.3">
      <c r="A986" s="2" t="s">
        <v>1037</v>
      </c>
      <c r="B986" s="2" t="s">
        <v>51</v>
      </c>
      <c r="E986" s="2" t="s">
        <v>51</v>
      </c>
      <c r="F986" s="1">
        <v>46092</v>
      </c>
      <c r="G986" s="2" t="s">
        <v>43</v>
      </c>
      <c r="H986" s="2" t="s">
        <v>18</v>
      </c>
      <c r="I986" s="2" t="s">
        <v>27</v>
      </c>
      <c r="J986" s="2" t="s">
        <v>55</v>
      </c>
      <c r="K986" s="2" t="s">
        <v>56</v>
      </c>
      <c r="L986" s="2">
        <v>39</v>
      </c>
      <c r="M986" s="2">
        <v>77</v>
      </c>
      <c r="N986" s="2">
        <v>48426.34</v>
      </c>
      <c r="O986" s="2">
        <v>339.18</v>
      </c>
      <c r="P986" s="2">
        <v>3.79</v>
      </c>
      <c r="Q986" s="2" t="s">
        <v>30</v>
      </c>
      <c r="R986" s="2">
        <v>1</v>
      </c>
    </row>
    <row r="987" spans="1:18" x14ac:dyDescent="0.3">
      <c r="A987" s="2" t="s">
        <v>1038</v>
      </c>
      <c r="B987" s="2" t="s">
        <v>25</v>
      </c>
      <c r="E987" s="2" t="s">
        <v>25</v>
      </c>
      <c r="F987" s="1">
        <v>45973</v>
      </c>
      <c r="G987" s="2" t="s">
        <v>74</v>
      </c>
      <c r="H987" s="2" t="s">
        <v>26</v>
      </c>
      <c r="I987" s="2" t="s">
        <v>34</v>
      </c>
      <c r="J987" s="2" t="s">
        <v>64</v>
      </c>
      <c r="K987" s="2" t="s">
        <v>21</v>
      </c>
      <c r="L987" s="2">
        <v>38</v>
      </c>
      <c r="M987" s="2">
        <v>23</v>
      </c>
      <c r="N987" s="2">
        <v>7818.7</v>
      </c>
      <c r="O987" s="2">
        <v>432.43</v>
      </c>
      <c r="P987" s="2">
        <v>7.18</v>
      </c>
      <c r="Q987" s="2" t="s">
        <v>30</v>
      </c>
      <c r="R987" s="2">
        <v>2</v>
      </c>
    </row>
    <row r="988" spans="1:18" x14ac:dyDescent="0.3">
      <c r="A988" s="2" t="s">
        <v>1039</v>
      </c>
      <c r="B988" s="2" t="s">
        <v>82</v>
      </c>
      <c r="E988" s="2" t="s">
        <v>82</v>
      </c>
      <c r="F988" s="1">
        <v>45957</v>
      </c>
      <c r="G988" s="2" t="s">
        <v>24</v>
      </c>
      <c r="H988" s="2" t="s">
        <v>18</v>
      </c>
      <c r="I988" s="2" t="s">
        <v>34</v>
      </c>
      <c r="J988" s="2" t="s">
        <v>28</v>
      </c>
      <c r="K988" s="2" t="s">
        <v>29</v>
      </c>
      <c r="L988" s="2">
        <v>32</v>
      </c>
      <c r="M988" s="2">
        <v>81</v>
      </c>
      <c r="N988" s="2">
        <v>47073.38</v>
      </c>
      <c r="O988" s="2">
        <v>181.63</v>
      </c>
      <c r="P988" s="2">
        <v>274.45999999999998</v>
      </c>
      <c r="Q988" s="2" t="s">
        <v>30</v>
      </c>
      <c r="R988" s="2">
        <v>4</v>
      </c>
    </row>
    <row r="989" spans="1:18" x14ac:dyDescent="0.3">
      <c r="A989" s="2" t="s">
        <v>1040</v>
      </c>
      <c r="B989" s="2" t="s">
        <v>76</v>
      </c>
      <c r="E989" s="2" t="s">
        <v>76</v>
      </c>
      <c r="F989" s="1">
        <v>46086</v>
      </c>
      <c r="G989" s="2" t="s">
        <v>43</v>
      </c>
      <c r="H989" s="2" t="s">
        <v>58</v>
      </c>
      <c r="I989" s="2" t="s">
        <v>34</v>
      </c>
      <c r="J989" s="2" t="s">
        <v>28</v>
      </c>
      <c r="K989" s="2" t="s">
        <v>52</v>
      </c>
      <c r="L989" s="2">
        <v>48</v>
      </c>
      <c r="M989" s="2">
        <v>48</v>
      </c>
      <c r="N989" s="2">
        <v>9553.2099999999991</v>
      </c>
      <c r="O989" s="2">
        <v>125.36</v>
      </c>
      <c r="P989" s="2">
        <v>70.400000000000006</v>
      </c>
      <c r="Q989" s="2" t="s">
        <v>22</v>
      </c>
      <c r="R989" s="2">
        <v>5</v>
      </c>
    </row>
    <row r="990" spans="1:18" x14ac:dyDescent="0.3">
      <c r="A990" s="2" t="s">
        <v>1041</v>
      </c>
      <c r="B990" s="2" t="s">
        <v>37</v>
      </c>
      <c r="E990" s="2" t="s">
        <v>37</v>
      </c>
      <c r="F990" s="1">
        <v>45968</v>
      </c>
      <c r="G990" s="2" t="s">
        <v>24</v>
      </c>
      <c r="H990" s="2" t="s">
        <v>58</v>
      </c>
      <c r="I990" s="2" t="s">
        <v>27</v>
      </c>
      <c r="J990" s="2" t="s">
        <v>20</v>
      </c>
      <c r="K990" s="2" t="s">
        <v>52</v>
      </c>
      <c r="L990" s="2">
        <v>48</v>
      </c>
      <c r="M990" s="2">
        <v>2</v>
      </c>
      <c r="N990" s="2">
        <v>28588.44</v>
      </c>
      <c r="O990" s="2">
        <v>220.55</v>
      </c>
      <c r="P990" s="2">
        <v>82.16</v>
      </c>
      <c r="Q990" s="2" t="s">
        <v>30</v>
      </c>
      <c r="R990" s="2">
        <v>1</v>
      </c>
    </row>
    <row r="991" spans="1:18" x14ac:dyDescent="0.3">
      <c r="A991" s="2" t="s">
        <v>1042</v>
      </c>
      <c r="B991" s="2" t="s">
        <v>49</v>
      </c>
      <c r="E991" s="2" t="s">
        <v>49</v>
      </c>
      <c r="F991" s="1">
        <v>46055</v>
      </c>
      <c r="G991" s="2" t="s">
        <v>32</v>
      </c>
      <c r="H991" s="2" t="s">
        <v>45</v>
      </c>
      <c r="I991" s="2" t="s">
        <v>27</v>
      </c>
      <c r="J991" s="2" t="s">
        <v>20</v>
      </c>
      <c r="K991" s="2" t="s">
        <v>56</v>
      </c>
      <c r="L991" s="2">
        <v>53</v>
      </c>
      <c r="M991" s="2">
        <v>84</v>
      </c>
      <c r="N991" s="2">
        <v>19161.88</v>
      </c>
      <c r="O991" s="2">
        <v>209.11</v>
      </c>
      <c r="P991" s="2">
        <v>3.67</v>
      </c>
      <c r="Q991" s="2" t="s">
        <v>22</v>
      </c>
      <c r="R991" s="2">
        <v>4</v>
      </c>
    </row>
    <row r="992" spans="1:18" x14ac:dyDescent="0.3">
      <c r="A992" s="2" t="s">
        <v>1043</v>
      </c>
      <c r="B992" s="2" t="s">
        <v>76</v>
      </c>
      <c r="E992" s="2" t="s">
        <v>76</v>
      </c>
      <c r="F992" s="1">
        <v>46235</v>
      </c>
      <c r="G992" s="2" t="s">
        <v>43</v>
      </c>
      <c r="H992" s="2" t="s">
        <v>38</v>
      </c>
      <c r="I992" s="2" t="s">
        <v>34</v>
      </c>
      <c r="J992" s="2" t="s">
        <v>64</v>
      </c>
      <c r="K992" s="2" t="s">
        <v>29</v>
      </c>
      <c r="L992" s="2">
        <v>39</v>
      </c>
      <c r="M992" s="2">
        <v>20</v>
      </c>
      <c r="N992" s="2">
        <v>48263.97</v>
      </c>
      <c r="O992" s="2">
        <v>109.61</v>
      </c>
      <c r="P992" s="2">
        <v>81.150000000000006</v>
      </c>
      <c r="Q992" s="2" t="s">
        <v>30</v>
      </c>
      <c r="R992" s="2">
        <v>2</v>
      </c>
    </row>
    <row r="993" spans="1:18" x14ac:dyDescent="0.3">
      <c r="A993" s="2" t="s">
        <v>1044</v>
      </c>
      <c r="B993" s="2" t="s">
        <v>25</v>
      </c>
      <c r="E993" s="2" t="s">
        <v>25</v>
      </c>
      <c r="F993" s="1">
        <v>46187</v>
      </c>
      <c r="G993" s="2" t="s">
        <v>54</v>
      </c>
      <c r="H993" s="2" t="s">
        <v>18</v>
      </c>
      <c r="I993" s="2" t="s">
        <v>34</v>
      </c>
      <c r="J993" s="2" t="s">
        <v>64</v>
      </c>
      <c r="K993" s="2" t="s">
        <v>29</v>
      </c>
      <c r="L993" s="2">
        <v>48</v>
      </c>
      <c r="M993" s="2">
        <v>59</v>
      </c>
      <c r="N993" s="2">
        <v>14040.33</v>
      </c>
      <c r="O993" s="2">
        <v>352.53</v>
      </c>
      <c r="P993" s="2">
        <v>241.42</v>
      </c>
      <c r="Q993" s="2" t="s">
        <v>30</v>
      </c>
      <c r="R993" s="2">
        <v>4</v>
      </c>
    </row>
    <row r="994" spans="1:18" x14ac:dyDescent="0.3">
      <c r="A994" s="2" t="s">
        <v>1045</v>
      </c>
      <c r="B994" s="2" t="s">
        <v>76</v>
      </c>
      <c r="E994" s="2" t="s">
        <v>76</v>
      </c>
      <c r="F994" s="1">
        <v>45926</v>
      </c>
      <c r="G994" s="2" t="s">
        <v>24</v>
      </c>
      <c r="H994" s="2" t="s">
        <v>38</v>
      </c>
      <c r="I994" s="2" t="s">
        <v>19</v>
      </c>
      <c r="J994" s="2" t="s">
        <v>35</v>
      </c>
      <c r="K994" s="2" t="s">
        <v>52</v>
      </c>
      <c r="L994" s="2">
        <v>72</v>
      </c>
      <c r="M994" s="2">
        <v>46</v>
      </c>
      <c r="N994" s="2">
        <v>20283.07</v>
      </c>
      <c r="O994" s="2">
        <v>278.91000000000003</v>
      </c>
      <c r="P994" s="2">
        <v>123.1</v>
      </c>
      <c r="Q994" s="2" t="s">
        <v>22</v>
      </c>
      <c r="R994" s="2">
        <v>1</v>
      </c>
    </row>
    <row r="995" spans="1:18" x14ac:dyDescent="0.3">
      <c r="A995" s="2" t="s">
        <v>1046</v>
      </c>
      <c r="B995" s="2" t="s">
        <v>86</v>
      </c>
      <c r="E995" s="2" t="s">
        <v>86</v>
      </c>
      <c r="F995" s="1">
        <v>46097</v>
      </c>
      <c r="G995" s="2" t="s">
        <v>24</v>
      </c>
      <c r="H995" s="2" t="s">
        <v>45</v>
      </c>
      <c r="I995" s="2" t="s">
        <v>34</v>
      </c>
      <c r="J995" s="2" t="s">
        <v>20</v>
      </c>
      <c r="K995" s="2" t="s">
        <v>29</v>
      </c>
      <c r="L995" s="2">
        <v>69</v>
      </c>
      <c r="M995" s="2">
        <v>3</v>
      </c>
      <c r="N995" s="2">
        <v>49151.58</v>
      </c>
      <c r="O995" s="2">
        <v>374.51</v>
      </c>
      <c r="P995" s="2">
        <v>226.14</v>
      </c>
      <c r="Q995" s="2" t="s">
        <v>22</v>
      </c>
      <c r="R995" s="2">
        <v>4</v>
      </c>
    </row>
    <row r="996" spans="1:18" x14ac:dyDescent="0.3">
      <c r="A996" s="2" t="s">
        <v>1047</v>
      </c>
      <c r="B996" s="2" t="s">
        <v>33</v>
      </c>
      <c r="E996" s="2" t="s">
        <v>33</v>
      </c>
      <c r="F996" s="1">
        <v>46058</v>
      </c>
      <c r="G996" s="2" t="s">
        <v>54</v>
      </c>
      <c r="H996" s="2" t="s">
        <v>58</v>
      </c>
      <c r="I996" s="2" t="s">
        <v>19</v>
      </c>
      <c r="J996" s="2" t="s">
        <v>35</v>
      </c>
      <c r="K996" s="2" t="s">
        <v>29</v>
      </c>
      <c r="L996" s="2">
        <v>57</v>
      </c>
      <c r="M996" s="2">
        <v>55</v>
      </c>
      <c r="N996" s="2">
        <v>27055.279999999999</v>
      </c>
      <c r="O996" s="2">
        <v>208.71</v>
      </c>
      <c r="P996" s="2">
        <v>134.16</v>
      </c>
      <c r="Q996" s="2" t="s">
        <v>30</v>
      </c>
      <c r="R996" s="2">
        <v>5</v>
      </c>
    </row>
    <row r="997" spans="1:18" x14ac:dyDescent="0.3">
      <c r="A997" s="2" t="s">
        <v>1048</v>
      </c>
      <c r="B997" s="2" t="s">
        <v>86</v>
      </c>
      <c r="E997" s="2" t="s">
        <v>86</v>
      </c>
      <c r="F997" s="1">
        <v>45970</v>
      </c>
      <c r="G997" s="2" t="s">
        <v>43</v>
      </c>
      <c r="H997" s="2" t="s">
        <v>38</v>
      </c>
      <c r="I997" s="2" t="s">
        <v>39</v>
      </c>
      <c r="J997" s="2" t="s">
        <v>55</v>
      </c>
      <c r="K997" s="2" t="s">
        <v>29</v>
      </c>
      <c r="L997" s="2">
        <v>46</v>
      </c>
      <c r="M997" s="2">
        <v>12</v>
      </c>
      <c r="N997" s="2">
        <v>25380.19</v>
      </c>
      <c r="O997" s="2">
        <v>196.57</v>
      </c>
      <c r="P997" s="2">
        <v>92.93</v>
      </c>
      <c r="Q997" s="2" t="s">
        <v>30</v>
      </c>
      <c r="R997" s="2">
        <v>3</v>
      </c>
    </row>
    <row r="998" spans="1:18" x14ac:dyDescent="0.3">
      <c r="A998" s="2" t="s">
        <v>1049</v>
      </c>
      <c r="B998" s="2" t="s">
        <v>76</v>
      </c>
      <c r="E998" s="2" t="s">
        <v>76</v>
      </c>
      <c r="F998" s="1">
        <v>45930</v>
      </c>
      <c r="G998" s="2" t="s">
        <v>54</v>
      </c>
      <c r="H998" s="2" t="s">
        <v>38</v>
      </c>
      <c r="I998" s="2" t="s">
        <v>27</v>
      </c>
      <c r="J998" s="2" t="s">
        <v>35</v>
      </c>
      <c r="K998" s="2" t="s">
        <v>56</v>
      </c>
      <c r="L998" s="2">
        <v>55</v>
      </c>
      <c r="M998" s="2">
        <v>40</v>
      </c>
      <c r="N998" s="2">
        <v>13260.04</v>
      </c>
      <c r="O998" s="2">
        <v>262.66000000000003</v>
      </c>
      <c r="P998" s="2">
        <v>96.56</v>
      </c>
      <c r="Q998" s="2" t="s">
        <v>30</v>
      </c>
      <c r="R998" s="2">
        <v>1</v>
      </c>
    </row>
    <row r="999" spans="1:18" x14ac:dyDescent="0.3">
      <c r="A999" s="2" t="s">
        <v>1050</v>
      </c>
      <c r="B999" s="2" t="s">
        <v>44</v>
      </c>
      <c r="E999" s="2" t="s">
        <v>44</v>
      </c>
      <c r="F999" s="1">
        <v>46049</v>
      </c>
      <c r="G999" s="2" t="s">
        <v>24</v>
      </c>
      <c r="H999" s="2" t="s">
        <v>58</v>
      </c>
      <c r="I999" s="2" t="s">
        <v>34</v>
      </c>
      <c r="J999" s="2" t="s">
        <v>28</v>
      </c>
      <c r="K999" s="2" t="s">
        <v>29</v>
      </c>
      <c r="L999" s="2">
        <v>54</v>
      </c>
      <c r="M999" s="2">
        <v>66</v>
      </c>
      <c r="N999" s="2">
        <v>35217.5</v>
      </c>
      <c r="O999" s="2">
        <v>444.83</v>
      </c>
      <c r="P999" s="2">
        <v>96.92</v>
      </c>
      <c r="Q999" s="2" t="s">
        <v>22</v>
      </c>
      <c r="R999" s="2">
        <v>1</v>
      </c>
    </row>
    <row r="1000" spans="1:18" x14ac:dyDescent="0.3">
      <c r="A1000" s="2" t="s">
        <v>1051</v>
      </c>
      <c r="B1000" s="2" t="s">
        <v>17</v>
      </c>
      <c r="E1000" s="2" t="s">
        <v>17</v>
      </c>
      <c r="F1000" s="1">
        <v>46193</v>
      </c>
      <c r="G1000" s="2" t="s">
        <v>54</v>
      </c>
      <c r="H1000" s="2" t="s">
        <v>18</v>
      </c>
      <c r="I1000" s="2" t="s">
        <v>27</v>
      </c>
      <c r="J1000" s="2" t="s">
        <v>35</v>
      </c>
      <c r="K1000" s="2" t="s">
        <v>21</v>
      </c>
      <c r="L1000" s="2">
        <v>55</v>
      </c>
      <c r="M1000" s="2">
        <v>100</v>
      </c>
      <c r="N1000" s="2">
        <v>1211.46</v>
      </c>
      <c r="O1000" s="2">
        <v>68.13</v>
      </c>
      <c r="P1000" s="2">
        <v>167.79</v>
      </c>
      <c r="Q1000" s="2" t="s">
        <v>22</v>
      </c>
      <c r="R1000" s="2">
        <v>1</v>
      </c>
    </row>
    <row r="1001" spans="1:18" x14ac:dyDescent="0.3">
      <c r="A1001" s="2" t="s">
        <v>1052</v>
      </c>
      <c r="B1001" s="2" t="s">
        <v>76</v>
      </c>
      <c r="E1001" s="2" t="s">
        <v>76</v>
      </c>
      <c r="F1001" s="1">
        <v>46139</v>
      </c>
      <c r="G1001" s="2" t="s">
        <v>24</v>
      </c>
      <c r="H1001" s="2" t="s">
        <v>58</v>
      </c>
      <c r="I1001" s="2" t="s">
        <v>27</v>
      </c>
      <c r="J1001" s="2" t="s">
        <v>64</v>
      </c>
      <c r="K1001" s="2" t="s">
        <v>56</v>
      </c>
      <c r="L1001" s="2">
        <v>60</v>
      </c>
      <c r="M1001" s="2">
        <v>78</v>
      </c>
      <c r="N1001" s="2">
        <v>2950.88</v>
      </c>
      <c r="O1001" s="2">
        <v>412.17</v>
      </c>
      <c r="P1001" s="2">
        <v>59.53</v>
      </c>
      <c r="Q1001" s="2" t="s">
        <v>22</v>
      </c>
      <c r="R1001" s="2">
        <v>1</v>
      </c>
    </row>
    <row r="1002" spans="1:18" x14ac:dyDescent="0.3">
      <c r="A1002" s="2" t="s">
        <v>1053</v>
      </c>
      <c r="B1002" s="2" t="s">
        <v>86</v>
      </c>
      <c r="E1002" s="2" t="s">
        <v>86</v>
      </c>
      <c r="F1002" s="1">
        <v>46199</v>
      </c>
      <c r="G1002" s="2" t="s">
        <v>24</v>
      </c>
      <c r="H1002" s="2" t="s">
        <v>38</v>
      </c>
      <c r="I1002" s="2" t="s">
        <v>27</v>
      </c>
      <c r="J1002" s="2" t="s">
        <v>55</v>
      </c>
      <c r="K1002" s="2" t="s">
        <v>29</v>
      </c>
      <c r="L1002" s="2">
        <v>36</v>
      </c>
      <c r="M1002" s="2">
        <v>16</v>
      </c>
      <c r="N1002" s="2">
        <v>30168.25</v>
      </c>
      <c r="O1002" s="2">
        <v>216.04</v>
      </c>
      <c r="P1002" s="2">
        <v>197.92</v>
      </c>
      <c r="Q1002" s="2" t="s">
        <v>30</v>
      </c>
      <c r="R1002" s="2">
        <v>4</v>
      </c>
    </row>
    <row r="1003" spans="1:18" x14ac:dyDescent="0.3">
      <c r="A1003" s="2" t="s">
        <v>1054</v>
      </c>
      <c r="B1003" s="2" t="s">
        <v>60</v>
      </c>
      <c r="E1003" s="2" t="s">
        <v>60</v>
      </c>
      <c r="F1003" s="1">
        <v>46115</v>
      </c>
      <c r="G1003" s="2" t="s">
        <v>32</v>
      </c>
      <c r="H1003" s="2" t="s">
        <v>18</v>
      </c>
      <c r="I1003" s="2" t="s">
        <v>39</v>
      </c>
      <c r="J1003" s="2" t="s">
        <v>28</v>
      </c>
      <c r="K1003" s="2" t="s">
        <v>29</v>
      </c>
      <c r="L1003" s="2">
        <v>58</v>
      </c>
      <c r="M1003" s="2">
        <v>83</v>
      </c>
      <c r="N1003" s="2">
        <v>17412.89</v>
      </c>
      <c r="O1003" s="2">
        <v>434.58</v>
      </c>
      <c r="P1003" s="2">
        <v>41.1</v>
      </c>
      <c r="Q1003" s="2" t="s">
        <v>30</v>
      </c>
      <c r="R1003" s="2">
        <v>5</v>
      </c>
    </row>
    <row r="1004" spans="1:18" x14ac:dyDescent="0.3">
      <c r="A1004" s="2" t="s">
        <v>1055</v>
      </c>
      <c r="B1004" s="2" t="s">
        <v>25</v>
      </c>
      <c r="E1004" s="2" t="s">
        <v>25</v>
      </c>
      <c r="F1004" s="1">
        <v>46064</v>
      </c>
      <c r="G1004" s="2" t="s">
        <v>90</v>
      </c>
      <c r="H1004" s="2" t="s">
        <v>18</v>
      </c>
      <c r="I1004" s="2" t="s">
        <v>68</v>
      </c>
      <c r="J1004" s="2" t="s">
        <v>35</v>
      </c>
      <c r="K1004" s="2" t="s">
        <v>21</v>
      </c>
      <c r="L1004" s="2">
        <v>33</v>
      </c>
      <c r="M1004" s="2">
        <v>34</v>
      </c>
      <c r="N1004" s="2">
        <v>47689.16</v>
      </c>
      <c r="O1004" s="2">
        <v>410.99</v>
      </c>
      <c r="P1004" s="2">
        <v>137.37</v>
      </c>
      <c r="Q1004" s="2" t="s">
        <v>30</v>
      </c>
      <c r="R1004" s="2">
        <v>2</v>
      </c>
    </row>
    <row r="1005" spans="1:18" x14ac:dyDescent="0.3">
      <c r="A1005" s="2" t="s">
        <v>1056</v>
      </c>
      <c r="B1005" s="2" t="s">
        <v>44</v>
      </c>
      <c r="E1005" s="2" t="s">
        <v>44</v>
      </c>
      <c r="F1005" s="1">
        <v>46157</v>
      </c>
      <c r="G1005" s="2" t="s">
        <v>24</v>
      </c>
      <c r="H1005" s="2" t="s">
        <v>58</v>
      </c>
      <c r="I1005" s="2" t="s">
        <v>34</v>
      </c>
      <c r="J1005" s="2" t="s">
        <v>55</v>
      </c>
      <c r="K1005" s="2" t="s">
        <v>56</v>
      </c>
      <c r="L1005" s="2">
        <v>43</v>
      </c>
      <c r="M1005" s="2">
        <v>44</v>
      </c>
      <c r="N1005" s="2">
        <v>45207.94</v>
      </c>
      <c r="O1005" s="2">
        <v>206.94</v>
      </c>
      <c r="P1005" s="2">
        <v>182.66</v>
      </c>
      <c r="Q1005" s="2" t="s">
        <v>22</v>
      </c>
      <c r="R1005" s="2">
        <v>5</v>
      </c>
    </row>
    <row r="1006" spans="1:18" x14ac:dyDescent="0.3">
      <c r="A1006" s="2" t="s">
        <v>1057</v>
      </c>
      <c r="B1006" s="2" t="s">
        <v>86</v>
      </c>
      <c r="E1006" s="2" t="s">
        <v>86</v>
      </c>
      <c r="F1006" s="1">
        <v>46226</v>
      </c>
      <c r="G1006" s="2" t="s">
        <v>43</v>
      </c>
      <c r="H1006" s="2" t="s">
        <v>38</v>
      </c>
      <c r="I1006" s="2" t="s">
        <v>68</v>
      </c>
      <c r="J1006" s="2" t="s">
        <v>55</v>
      </c>
      <c r="K1006" s="2" t="s">
        <v>52</v>
      </c>
      <c r="L1006" s="2">
        <v>74</v>
      </c>
      <c r="M1006" s="2">
        <v>110</v>
      </c>
      <c r="N1006" s="2">
        <v>35828.46</v>
      </c>
      <c r="O1006" s="2">
        <v>362.24</v>
      </c>
      <c r="P1006" s="2">
        <v>121.72</v>
      </c>
      <c r="Q1006" s="2" t="s">
        <v>30</v>
      </c>
      <c r="R1006" s="2">
        <v>1</v>
      </c>
    </row>
    <row r="1007" spans="1:18" x14ac:dyDescent="0.3">
      <c r="A1007" s="2" t="s">
        <v>1058</v>
      </c>
      <c r="B1007" s="2" t="s">
        <v>37</v>
      </c>
      <c r="E1007" s="2" t="s">
        <v>37</v>
      </c>
      <c r="F1007" s="1">
        <v>46151</v>
      </c>
      <c r="G1007" s="2" t="s">
        <v>41</v>
      </c>
      <c r="H1007" s="2" t="s">
        <v>45</v>
      </c>
      <c r="I1007" s="2" t="s">
        <v>68</v>
      </c>
      <c r="J1007" s="2" t="s">
        <v>28</v>
      </c>
      <c r="K1007" s="2" t="s">
        <v>52</v>
      </c>
      <c r="L1007" s="2">
        <v>42</v>
      </c>
      <c r="M1007" s="2">
        <v>6</v>
      </c>
      <c r="N1007" s="2">
        <v>40998.21</v>
      </c>
      <c r="O1007" s="2">
        <v>121.83</v>
      </c>
      <c r="P1007" s="2">
        <v>111.97</v>
      </c>
      <c r="Q1007" s="2" t="s">
        <v>30</v>
      </c>
      <c r="R1007" s="2">
        <v>4</v>
      </c>
    </row>
  </sheetData>
  <mergeCells count="1">
    <mergeCell ref="A1:G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5AB540C-FF9A-4222-B352-5185BE7DCE8F}">
          <x14:formula1>
            <xm:f>'Main Data'!$A$1:$A$1001</xm:f>
          </x14:formula1>
          <xm:sqref>A4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946B1-F174-48FD-9C0B-E020551B390C}">
  <dimension ref="A1:W1003"/>
  <sheetViews>
    <sheetView tabSelected="1" workbookViewId="0">
      <selection activeCell="A3" sqref="A3"/>
    </sheetView>
  </sheetViews>
  <sheetFormatPr defaultRowHeight="14.4" x14ac:dyDescent="0.3"/>
  <cols>
    <col min="1" max="1" width="19.21875" bestFit="1" customWidth="1"/>
    <col min="2" max="2" width="19.21875" customWidth="1"/>
    <col min="3" max="3" width="8.33203125" bestFit="1" customWidth="1"/>
    <col min="4" max="4" width="13.109375" bestFit="1" customWidth="1"/>
    <col min="5" max="5" width="9.88671875" bestFit="1" customWidth="1"/>
    <col min="6" max="6" width="18.33203125" bestFit="1" customWidth="1"/>
    <col min="7" max="7" width="16.33203125" bestFit="1" customWidth="1"/>
    <col min="8" max="8" width="25.33203125" bestFit="1" customWidth="1"/>
    <col min="9" max="9" width="19" bestFit="1" customWidth="1"/>
    <col min="10" max="10" width="31.5546875" bestFit="1" customWidth="1"/>
    <col min="11" max="11" width="12.109375" bestFit="1" customWidth="1"/>
    <col min="12" max="12" width="19.88671875" bestFit="1" customWidth="1"/>
    <col min="13" max="13" width="22.6640625" bestFit="1" customWidth="1"/>
    <col min="14" max="14" width="21.6640625" bestFit="1" customWidth="1"/>
    <col min="15" max="15" width="15.21875" bestFit="1" customWidth="1"/>
    <col min="17" max="17" width="13.109375" bestFit="1" customWidth="1"/>
    <col min="18" max="18" width="9.88671875" bestFit="1" customWidth="1"/>
    <col min="19" max="19" width="18.33203125" bestFit="1" customWidth="1"/>
    <col min="20" max="20" width="16.33203125" bestFit="1" customWidth="1"/>
    <col min="21" max="21" width="25.33203125" bestFit="1" customWidth="1"/>
    <col min="22" max="22" width="31.5546875" bestFit="1" customWidth="1"/>
    <col min="23" max="23" width="12.109375" bestFit="1" customWidth="1"/>
  </cols>
  <sheetData>
    <row r="1" spans="1:23" x14ac:dyDescent="0.3">
      <c r="A1" s="21" t="s">
        <v>1061</v>
      </c>
      <c r="B1" s="21"/>
      <c r="C1" s="21"/>
      <c r="D1" s="21"/>
      <c r="E1" s="21"/>
      <c r="F1" s="21"/>
      <c r="G1" s="21"/>
    </row>
    <row r="2" spans="1:23" ht="15" thickBot="1" x14ac:dyDescent="0.35">
      <c r="A2" s="22"/>
      <c r="B2" s="22"/>
      <c r="C2" s="22"/>
      <c r="D2" s="22"/>
      <c r="E2" s="22"/>
      <c r="F2" s="22"/>
      <c r="G2" s="22"/>
    </row>
    <row r="3" spans="1:23" ht="21" customHeight="1" thickBot="1" x14ac:dyDescent="0.35">
      <c r="A3" s="3" t="s">
        <v>0</v>
      </c>
      <c r="B3" s="3" t="s">
        <v>3</v>
      </c>
      <c r="C3" s="8" t="s">
        <v>1</v>
      </c>
      <c r="D3" s="3" t="s">
        <v>2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Q3" s="23" t="s">
        <v>3</v>
      </c>
      <c r="R3" s="24"/>
      <c r="S3" s="24"/>
      <c r="T3" s="24"/>
      <c r="U3" s="24"/>
      <c r="V3" s="24"/>
      <c r="W3" s="25"/>
    </row>
    <row r="4" spans="1:23" ht="15" customHeight="1" thickTop="1" thickBot="1" x14ac:dyDescent="0.35">
      <c r="A4" s="2" t="s">
        <v>15</v>
      </c>
      <c r="B4" s="2" t="s">
        <v>17</v>
      </c>
      <c r="C4" s="1">
        <v>46088</v>
      </c>
      <c r="D4" s="2" t="s">
        <v>16</v>
      </c>
      <c r="E4" s="2" t="s">
        <v>18</v>
      </c>
      <c r="F4" s="2" t="s">
        <v>19</v>
      </c>
      <c r="G4" s="2" t="s">
        <v>20</v>
      </c>
      <c r="H4" s="2" t="s">
        <v>21</v>
      </c>
      <c r="I4" s="2">
        <v>74</v>
      </c>
      <c r="J4" s="2">
        <v>16</v>
      </c>
      <c r="K4" s="2">
        <v>25114.07</v>
      </c>
      <c r="L4" s="2">
        <v>350.3</v>
      </c>
      <c r="M4" s="2">
        <v>179.26</v>
      </c>
      <c r="N4" s="2" t="s">
        <v>22</v>
      </c>
      <c r="O4" s="2">
        <v>4</v>
      </c>
      <c r="Q4" s="26"/>
      <c r="R4" s="27"/>
      <c r="S4" s="27"/>
      <c r="T4" s="27"/>
      <c r="U4" s="27"/>
      <c r="V4" s="27"/>
      <c r="W4" s="28"/>
    </row>
    <row r="5" spans="1:23" ht="21" customHeight="1" thickBot="1" x14ac:dyDescent="0.35">
      <c r="A5" s="2" t="s">
        <v>23</v>
      </c>
      <c r="B5" s="2" t="s">
        <v>25</v>
      </c>
      <c r="C5" s="1">
        <v>46007</v>
      </c>
      <c r="D5" s="2" t="s">
        <v>24</v>
      </c>
      <c r="E5" s="2" t="s">
        <v>26</v>
      </c>
      <c r="F5" s="2" t="s">
        <v>27</v>
      </c>
      <c r="G5" s="2" t="s">
        <v>28</v>
      </c>
      <c r="H5" s="2" t="s">
        <v>29</v>
      </c>
      <c r="I5" s="2">
        <v>28</v>
      </c>
      <c r="J5" s="2">
        <v>28</v>
      </c>
      <c r="K5" s="2">
        <v>9331.6</v>
      </c>
      <c r="L5" s="2">
        <v>106.51</v>
      </c>
      <c r="M5" s="2">
        <v>121.35</v>
      </c>
      <c r="N5" s="2" t="s">
        <v>30</v>
      </c>
      <c r="O5" s="2">
        <v>5</v>
      </c>
      <c r="Q5" s="29" t="s">
        <v>17</v>
      </c>
      <c r="R5" s="30"/>
      <c r="S5" s="30"/>
      <c r="T5" s="30"/>
      <c r="U5" s="30"/>
      <c r="V5" s="30"/>
      <c r="W5" s="31"/>
    </row>
    <row r="6" spans="1:23" ht="14.4" customHeight="1" thickTop="1" thickBot="1" x14ac:dyDescent="0.35">
      <c r="A6" s="2" t="s">
        <v>31</v>
      </c>
      <c r="B6" s="2" t="s">
        <v>33</v>
      </c>
      <c r="C6" s="1">
        <v>45886</v>
      </c>
      <c r="D6" s="2" t="s">
        <v>32</v>
      </c>
      <c r="E6" s="2" t="s">
        <v>18</v>
      </c>
      <c r="F6" s="2" t="s">
        <v>34</v>
      </c>
      <c r="G6" s="2" t="s">
        <v>35</v>
      </c>
      <c r="H6" s="2" t="s">
        <v>29</v>
      </c>
      <c r="I6" s="2">
        <v>44</v>
      </c>
      <c r="J6" s="2">
        <v>112</v>
      </c>
      <c r="K6" s="2">
        <v>5853.67</v>
      </c>
      <c r="L6" s="2">
        <v>394.49</v>
      </c>
      <c r="M6" s="2">
        <v>136.69999999999999</v>
      </c>
      <c r="N6" s="2" t="s">
        <v>30</v>
      </c>
      <c r="O6" s="2">
        <v>5</v>
      </c>
      <c r="Q6" s="32"/>
      <c r="R6" s="33"/>
      <c r="S6" s="33"/>
      <c r="T6" s="33"/>
      <c r="U6" s="33"/>
      <c r="V6" s="33"/>
      <c r="W6" s="34"/>
    </row>
    <row r="7" spans="1:23" ht="21.6" thickBot="1" x14ac:dyDescent="0.35">
      <c r="A7" s="2" t="s">
        <v>36</v>
      </c>
      <c r="B7" s="2" t="s">
        <v>37</v>
      </c>
      <c r="C7" s="1">
        <v>46015</v>
      </c>
      <c r="D7" s="2" t="s">
        <v>16</v>
      </c>
      <c r="E7" s="2" t="s">
        <v>38</v>
      </c>
      <c r="F7" s="2" t="s">
        <v>39</v>
      </c>
      <c r="G7" s="2" t="s">
        <v>28</v>
      </c>
      <c r="H7" s="2" t="s">
        <v>21</v>
      </c>
      <c r="I7" s="2">
        <v>35</v>
      </c>
      <c r="J7" s="2">
        <v>35</v>
      </c>
      <c r="K7" s="2">
        <v>42184.29</v>
      </c>
      <c r="L7" s="2">
        <v>144.59</v>
      </c>
      <c r="M7" s="2">
        <v>141.15</v>
      </c>
      <c r="N7" s="2" t="s">
        <v>30</v>
      </c>
      <c r="O7" s="2">
        <v>5</v>
      </c>
      <c r="Q7" s="16" t="s">
        <v>2</v>
      </c>
      <c r="R7" s="17" t="s">
        <v>4</v>
      </c>
      <c r="S7" s="18" t="s">
        <v>5</v>
      </c>
      <c r="T7" s="18" t="s">
        <v>6</v>
      </c>
      <c r="U7" s="16" t="s">
        <v>7</v>
      </c>
      <c r="V7" s="17" t="s">
        <v>9</v>
      </c>
      <c r="W7" s="16" t="s">
        <v>10</v>
      </c>
    </row>
    <row r="8" spans="1:23" ht="15" thickBot="1" x14ac:dyDescent="0.35">
      <c r="A8" s="2" t="s">
        <v>40</v>
      </c>
      <c r="B8" s="2" t="s">
        <v>33</v>
      </c>
      <c r="C8" s="1">
        <v>45980</v>
      </c>
      <c r="D8" s="2" t="s">
        <v>41</v>
      </c>
      <c r="E8" s="2" t="s">
        <v>26</v>
      </c>
      <c r="F8" s="2" t="s">
        <v>34</v>
      </c>
      <c r="G8" s="2" t="s">
        <v>28</v>
      </c>
      <c r="H8" s="2" t="s">
        <v>29</v>
      </c>
      <c r="I8" s="2">
        <v>63</v>
      </c>
      <c r="J8" s="2">
        <v>60</v>
      </c>
      <c r="K8" s="2">
        <v>30899.59</v>
      </c>
      <c r="L8" s="2">
        <v>195.55</v>
      </c>
      <c r="M8" s="2">
        <v>246.26</v>
      </c>
      <c r="N8" s="2" t="s">
        <v>22</v>
      </c>
      <c r="O8" s="2">
        <v>1</v>
      </c>
      <c r="Q8" s="15" t="str" cm="1">
        <f t="array" ref="Q8:W8">IFERROR(VLOOKUP(Q5,$A$3:$O$1003,{4,5,6,7,8,10,11},0),VLOOKUP(Q5,$B$3:$O$1003,{3,4,5,6,7,9,10},0))</f>
        <v>Jamie</v>
      </c>
      <c r="R8" s="15" t="str">
        <v>East</v>
      </c>
      <c r="S8" s="15" t="str">
        <v>Wealth Management</v>
      </c>
      <c r="T8" s="15" t="str">
        <v>Walk-in</v>
      </c>
      <c r="U8" s="15" t="str">
        <v>Retail</v>
      </c>
      <c r="V8" s="15">
        <v>16</v>
      </c>
      <c r="W8" s="15">
        <v>25114.07</v>
      </c>
    </row>
    <row r="9" spans="1:23" x14ac:dyDescent="0.3">
      <c r="A9" s="2" t="s">
        <v>42</v>
      </c>
      <c r="B9" s="2" t="s">
        <v>44</v>
      </c>
      <c r="C9" s="1">
        <v>46170</v>
      </c>
      <c r="D9" s="2" t="s">
        <v>43</v>
      </c>
      <c r="E9" s="2" t="s">
        <v>45</v>
      </c>
      <c r="F9" s="2" t="s">
        <v>39</v>
      </c>
      <c r="G9" s="2" t="s">
        <v>20</v>
      </c>
      <c r="H9" s="2" t="s">
        <v>29</v>
      </c>
      <c r="I9" s="2">
        <v>51</v>
      </c>
      <c r="J9" s="2">
        <v>45</v>
      </c>
      <c r="K9" s="2">
        <v>16628.32</v>
      </c>
      <c r="L9" s="2">
        <v>418.66</v>
      </c>
      <c r="M9" s="2">
        <v>70.900000000000006</v>
      </c>
      <c r="N9" s="2" t="s">
        <v>22</v>
      </c>
      <c r="O9" s="2">
        <v>5</v>
      </c>
    </row>
    <row r="10" spans="1:23" x14ac:dyDescent="0.3">
      <c r="A10" s="2" t="s">
        <v>46</v>
      </c>
      <c r="B10" s="2" t="s">
        <v>47</v>
      </c>
      <c r="C10" s="1">
        <v>46132</v>
      </c>
      <c r="D10" s="2" t="s">
        <v>32</v>
      </c>
      <c r="E10" s="2" t="s">
        <v>18</v>
      </c>
      <c r="F10" s="2" t="s">
        <v>39</v>
      </c>
      <c r="G10" s="2" t="s">
        <v>28</v>
      </c>
      <c r="H10" s="2" t="s">
        <v>21</v>
      </c>
      <c r="I10" s="2">
        <v>29</v>
      </c>
      <c r="J10" s="2">
        <v>46</v>
      </c>
      <c r="K10" s="2">
        <v>9990.94</v>
      </c>
      <c r="L10" s="2">
        <v>291.44</v>
      </c>
      <c r="M10" s="2">
        <v>132.27000000000001</v>
      </c>
      <c r="N10" s="2" t="s">
        <v>30</v>
      </c>
      <c r="O10" s="2">
        <v>4</v>
      </c>
    </row>
    <row r="11" spans="1:23" x14ac:dyDescent="0.3">
      <c r="A11" s="2" t="s">
        <v>48</v>
      </c>
      <c r="B11" s="2" t="s">
        <v>49</v>
      </c>
      <c r="C11" s="1">
        <v>46226</v>
      </c>
      <c r="D11" s="2" t="s">
        <v>32</v>
      </c>
      <c r="E11" s="2" t="s">
        <v>26</v>
      </c>
      <c r="F11" s="2" t="s">
        <v>34</v>
      </c>
      <c r="G11" s="2" t="s">
        <v>20</v>
      </c>
      <c r="H11" s="2" t="s">
        <v>21</v>
      </c>
      <c r="I11" s="2">
        <v>59</v>
      </c>
      <c r="J11" s="2">
        <v>72</v>
      </c>
      <c r="K11" s="2">
        <v>27997.119999999999</v>
      </c>
      <c r="L11" s="2">
        <v>436.97</v>
      </c>
      <c r="M11" s="2">
        <v>78.400000000000006</v>
      </c>
      <c r="N11" s="2" t="s">
        <v>30</v>
      </c>
      <c r="O11" s="2">
        <v>2</v>
      </c>
    </row>
    <row r="12" spans="1:23" x14ac:dyDescent="0.3">
      <c r="A12" s="2" t="s">
        <v>50</v>
      </c>
      <c r="B12" s="2" t="s">
        <v>51</v>
      </c>
      <c r="C12" s="1">
        <v>46066</v>
      </c>
      <c r="D12" s="2" t="s">
        <v>16</v>
      </c>
      <c r="E12" s="2" t="s">
        <v>18</v>
      </c>
      <c r="F12" s="2" t="s">
        <v>39</v>
      </c>
      <c r="G12" s="2" t="s">
        <v>35</v>
      </c>
      <c r="H12" s="2" t="s">
        <v>52</v>
      </c>
      <c r="I12" s="2">
        <v>65</v>
      </c>
      <c r="J12" s="2">
        <v>108</v>
      </c>
      <c r="K12" s="2">
        <v>29404</v>
      </c>
      <c r="L12" s="2">
        <v>145.87</v>
      </c>
      <c r="M12" s="2">
        <v>73.739999999999995</v>
      </c>
      <c r="N12" s="2" t="s">
        <v>22</v>
      </c>
      <c r="O12" s="2">
        <v>5</v>
      </c>
    </row>
    <row r="13" spans="1:23" x14ac:dyDescent="0.3">
      <c r="A13" s="2" t="s">
        <v>53</v>
      </c>
      <c r="B13" s="2" t="s">
        <v>49</v>
      </c>
      <c r="C13" s="1">
        <v>46230</v>
      </c>
      <c r="D13" s="2" t="s">
        <v>54</v>
      </c>
      <c r="E13" s="2" t="s">
        <v>26</v>
      </c>
      <c r="F13" s="2" t="s">
        <v>39</v>
      </c>
      <c r="G13" s="2" t="s">
        <v>55</v>
      </c>
      <c r="H13" s="2" t="s">
        <v>56</v>
      </c>
      <c r="I13" s="2">
        <v>22</v>
      </c>
      <c r="J13" s="2">
        <v>55</v>
      </c>
      <c r="K13" s="2">
        <v>10746.18</v>
      </c>
      <c r="L13" s="2">
        <v>323.5</v>
      </c>
      <c r="M13" s="2">
        <v>138.01</v>
      </c>
      <c r="N13" s="2" t="s">
        <v>30</v>
      </c>
      <c r="O13" s="2">
        <v>2</v>
      </c>
    </row>
    <row r="14" spans="1:23" x14ac:dyDescent="0.3">
      <c r="A14" s="2" t="s">
        <v>57</v>
      </c>
      <c r="B14" s="2" t="s">
        <v>49</v>
      </c>
      <c r="C14" s="1">
        <v>45945</v>
      </c>
      <c r="D14" s="2" t="s">
        <v>41</v>
      </c>
      <c r="E14" s="2" t="s">
        <v>58</v>
      </c>
      <c r="F14" s="2" t="s">
        <v>27</v>
      </c>
      <c r="G14" s="2" t="s">
        <v>20</v>
      </c>
      <c r="H14" s="2" t="s">
        <v>56</v>
      </c>
      <c r="I14" s="2">
        <v>28</v>
      </c>
      <c r="J14" s="2">
        <v>119</v>
      </c>
      <c r="K14" s="2">
        <v>42644.58</v>
      </c>
      <c r="L14" s="2">
        <v>87.71</v>
      </c>
      <c r="M14" s="2">
        <v>77.44</v>
      </c>
      <c r="N14" s="2" t="s">
        <v>30</v>
      </c>
      <c r="O14" s="2">
        <v>4</v>
      </c>
    </row>
    <row r="15" spans="1:23" x14ac:dyDescent="0.3">
      <c r="A15" s="2" t="s">
        <v>59</v>
      </c>
      <c r="B15" s="2" t="s">
        <v>60</v>
      </c>
      <c r="C15" s="1">
        <v>46203</v>
      </c>
      <c r="D15" s="2" t="s">
        <v>16</v>
      </c>
      <c r="E15" s="2" t="s">
        <v>18</v>
      </c>
      <c r="F15" s="2" t="s">
        <v>19</v>
      </c>
      <c r="G15" s="2" t="s">
        <v>35</v>
      </c>
      <c r="H15" s="2" t="s">
        <v>21</v>
      </c>
      <c r="I15" s="2">
        <v>27</v>
      </c>
      <c r="J15" s="2">
        <v>86</v>
      </c>
      <c r="K15" s="2">
        <v>4671.09</v>
      </c>
      <c r="L15" s="2">
        <v>339.38</v>
      </c>
      <c r="M15" s="2">
        <v>69.22</v>
      </c>
      <c r="N15" s="2" t="s">
        <v>30</v>
      </c>
      <c r="O15" s="2">
        <v>5</v>
      </c>
    </row>
    <row r="16" spans="1:23" x14ac:dyDescent="0.3">
      <c r="A16" s="2" t="s">
        <v>61</v>
      </c>
      <c r="B16" s="2" t="s">
        <v>62</v>
      </c>
      <c r="C16" s="1">
        <v>46076</v>
      </c>
      <c r="D16" s="2" t="s">
        <v>41</v>
      </c>
      <c r="E16" s="2" t="s">
        <v>45</v>
      </c>
      <c r="F16" s="2" t="s">
        <v>19</v>
      </c>
      <c r="G16" s="2" t="s">
        <v>55</v>
      </c>
      <c r="H16" s="2" t="s">
        <v>21</v>
      </c>
      <c r="I16" s="2">
        <v>64</v>
      </c>
      <c r="J16" s="2">
        <v>85</v>
      </c>
      <c r="K16" s="2">
        <v>18126.61</v>
      </c>
      <c r="L16" s="2">
        <v>393.14</v>
      </c>
      <c r="M16" s="2">
        <v>167.18</v>
      </c>
      <c r="N16" s="2" t="s">
        <v>22</v>
      </c>
      <c r="O16" s="2">
        <v>1</v>
      </c>
    </row>
    <row r="17" spans="1:15" x14ac:dyDescent="0.3">
      <c r="A17" s="2" t="s">
        <v>63</v>
      </c>
      <c r="B17" s="2" t="s">
        <v>49</v>
      </c>
      <c r="C17" s="1">
        <v>45927</v>
      </c>
      <c r="D17" s="2" t="s">
        <v>41</v>
      </c>
      <c r="E17" s="2" t="s">
        <v>45</v>
      </c>
      <c r="F17" s="2" t="s">
        <v>27</v>
      </c>
      <c r="G17" s="2" t="s">
        <v>64</v>
      </c>
      <c r="H17" s="2" t="s">
        <v>29</v>
      </c>
      <c r="I17" s="2">
        <v>71</v>
      </c>
      <c r="J17" s="2">
        <v>26</v>
      </c>
      <c r="K17" s="2">
        <v>34179.03</v>
      </c>
      <c r="L17" s="2">
        <v>313.22000000000003</v>
      </c>
      <c r="M17" s="2">
        <v>30.39</v>
      </c>
      <c r="N17" s="2" t="s">
        <v>30</v>
      </c>
      <c r="O17" s="2">
        <v>1</v>
      </c>
    </row>
    <row r="18" spans="1:15" x14ac:dyDescent="0.3">
      <c r="A18" s="2" t="s">
        <v>65</v>
      </c>
      <c r="B18" s="2" t="s">
        <v>17</v>
      </c>
      <c r="C18" s="1">
        <v>46137</v>
      </c>
      <c r="D18" s="2" t="s">
        <v>43</v>
      </c>
      <c r="E18" s="2" t="s">
        <v>38</v>
      </c>
      <c r="F18" s="2" t="s">
        <v>34</v>
      </c>
      <c r="G18" s="2" t="s">
        <v>20</v>
      </c>
      <c r="H18" s="2" t="s">
        <v>52</v>
      </c>
      <c r="I18" s="2">
        <v>59</v>
      </c>
      <c r="J18" s="2">
        <v>104</v>
      </c>
      <c r="K18" s="2">
        <v>14068.96</v>
      </c>
      <c r="L18" s="2">
        <v>169.8</v>
      </c>
      <c r="M18" s="2">
        <v>135.18</v>
      </c>
      <c r="N18" s="2" t="s">
        <v>22</v>
      </c>
      <c r="O18" s="2">
        <v>2</v>
      </c>
    </row>
    <row r="19" spans="1:15" x14ac:dyDescent="0.3">
      <c r="A19" s="2" t="s">
        <v>66</v>
      </c>
      <c r="B19" s="2" t="s">
        <v>67</v>
      </c>
      <c r="C19" s="1">
        <v>46208</v>
      </c>
      <c r="D19" s="2" t="s">
        <v>32</v>
      </c>
      <c r="E19" s="2" t="s">
        <v>26</v>
      </c>
      <c r="F19" s="2" t="s">
        <v>68</v>
      </c>
      <c r="G19" s="2" t="s">
        <v>20</v>
      </c>
      <c r="H19" s="2" t="s">
        <v>52</v>
      </c>
      <c r="I19" s="2">
        <v>62</v>
      </c>
      <c r="J19" s="2">
        <v>85</v>
      </c>
      <c r="K19" s="2">
        <v>41469.919999999998</v>
      </c>
      <c r="L19" s="2">
        <v>64.099999999999994</v>
      </c>
      <c r="M19" s="2">
        <v>49.75</v>
      </c>
      <c r="N19" s="2" t="s">
        <v>30</v>
      </c>
      <c r="O19" s="2">
        <v>1</v>
      </c>
    </row>
    <row r="20" spans="1:15" x14ac:dyDescent="0.3">
      <c r="A20" s="2" t="s">
        <v>69</v>
      </c>
      <c r="B20" s="2" t="s">
        <v>62</v>
      </c>
      <c r="C20" s="1">
        <v>46029</v>
      </c>
      <c r="D20" s="2" t="s">
        <v>24</v>
      </c>
      <c r="E20" s="2" t="s">
        <v>18</v>
      </c>
      <c r="F20" s="2" t="s">
        <v>68</v>
      </c>
      <c r="G20" s="2" t="s">
        <v>64</v>
      </c>
      <c r="H20" s="2" t="s">
        <v>21</v>
      </c>
      <c r="I20" s="2">
        <v>36</v>
      </c>
      <c r="J20" s="2">
        <v>25</v>
      </c>
      <c r="K20" s="2">
        <v>37123.46</v>
      </c>
      <c r="L20" s="2">
        <v>103.75</v>
      </c>
      <c r="M20" s="2">
        <v>3.1</v>
      </c>
      <c r="N20" s="2" t="s">
        <v>22</v>
      </c>
      <c r="O20" s="2">
        <v>1</v>
      </c>
    </row>
    <row r="21" spans="1:15" x14ac:dyDescent="0.3">
      <c r="A21" s="2" t="s">
        <v>70</v>
      </c>
      <c r="B21" s="2" t="s">
        <v>44</v>
      </c>
      <c r="C21" s="1">
        <v>45988</v>
      </c>
      <c r="D21" s="2" t="s">
        <v>43</v>
      </c>
      <c r="E21" s="2" t="s">
        <v>38</v>
      </c>
      <c r="F21" s="2" t="s">
        <v>68</v>
      </c>
      <c r="G21" s="2" t="s">
        <v>64</v>
      </c>
      <c r="H21" s="2" t="s">
        <v>29</v>
      </c>
      <c r="I21" s="2">
        <v>55</v>
      </c>
      <c r="J21" s="2">
        <v>105</v>
      </c>
      <c r="K21" s="2">
        <v>39556.629999999997</v>
      </c>
      <c r="L21" s="2">
        <v>330.04</v>
      </c>
      <c r="M21" s="2">
        <v>50.03</v>
      </c>
      <c r="N21" s="2" t="s">
        <v>22</v>
      </c>
      <c r="O21" s="2">
        <v>1</v>
      </c>
    </row>
    <row r="22" spans="1:15" x14ac:dyDescent="0.3">
      <c r="A22" s="2" t="s">
        <v>71</v>
      </c>
      <c r="B22" s="2" t="s">
        <v>25</v>
      </c>
      <c r="C22" s="1">
        <v>46166</v>
      </c>
      <c r="D22" s="2" t="s">
        <v>43</v>
      </c>
      <c r="E22" s="2" t="s">
        <v>18</v>
      </c>
      <c r="F22" s="2" t="s">
        <v>27</v>
      </c>
      <c r="G22" s="2" t="s">
        <v>20</v>
      </c>
      <c r="H22" s="2" t="s">
        <v>29</v>
      </c>
      <c r="I22" s="2">
        <v>50</v>
      </c>
      <c r="J22" s="2">
        <v>65</v>
      </c>
      <c r="K22" s="2">
        <v>6395.77</v>
      </c>
      <c r="L22" s="2">
        <v>470.49</v>
      </c>
      <c r="M22" s="2">
        <v>182</v>
      </c>
      <c r="N22" s="2" t="s">
        <v>30</v>
      </c>
      <c r="O22" s="2">
        <v>4</v>
      </c>
    </row>
    <row r="23" spans="1:15" x14ac:dyDescent="0.3">
      <c r="A23" s="2" t="s">
        <v>72</v>
      </c>
      <c r="B23" s="2" t="s">
        <v>37</v>
      </c>
      <c r="C23" s="1">
        <v>46012</v>
      </c>
      <c r="D23" s="2" t="s">
        <v>41</v>
      </c>
      <c r="E23" s="2" t="s">
        <v>26</v>
      </c>
      <c r="F23" s="2" t="s">
        <v>27</v>
      </c>
      <c r="G23" s="2" t="s">
        <v>64</v>
      </c>
      <c r="H23" s="2" t="s">
        <v>56</v>
      </c>
      <c r="I23" s="2">
        <v>30</v>
      </c>
      <c r="J23" s="2">
        <v>6</v>
      </c>
      <c r="K23" s="2">
        <v>7457.08</v>
      </c>
      <c r="L23" s="2">
        <v>142.94</v>
      </c>
      <c r="M23" s="2">
        <v>141.83000000000001</v>
      </c>
      <c r="N23" s="2" t="s">
        <v>30</v>
      </c>
      <c r="O23" s="2">
        <v>1</v>
      </c>
    </row>
    <row r="24" spans="1:15" x14ac:dyDescent="0.3">
      <c r="A24" s="2" t="s">
        <v>73</v>
      </c>
      <c r="B24" s="2" t="s">
        <v>67</v>
      </c>
      <c r="C24" s="1">
        <v>46174</v>
      </c>
      <c r="D24" s="2" t="s">
        <v>74</v>
      </c>
      <c r="E24" s="2" t="s">
        <v>45</v>
      </c>
      <c r="F24" s="2" t="s">
        <v>39</v>
      </c>
      <c r="G24" s="2" t="s">
        <v>28</v>
      </c>
      <c r="H24" s="2" t="s">
        <v>56</v>
      </c>
      <c r="I24" s="2">
        <v>58</v>
      </c>
      <c r="J24" s="2">
        <v>23</v>
      </c>
      <c r="K24" s="2">
        <v>14680.45</v>
      </c>
      <c r="L24" s="2">
        <v>380.76</v>
      </c>
      <c r="M24" s="2">
        <v>4.21</v>
      </c>
      <c r="N24" s="2" t="s">
        <v>30</v>
      </c>
      <c r="O24" s="2">
        <v>3</v>
      </c>
    </row>
    <row r="25" spans="1:15" x14ac:dyDescent="0.3">
      <c r="A25" s="2" t="s">
        <v>75</v>
      </c>
      <c r="B25" s="2" t="s">
        <v>76</v>
      </c>
      <c r="C25" s="1">
        <v>46172</v>
      </c>
      <c r="D25" s="2" t="s">
        <v>32</v>
      </c>
      <c r="E25" s="2" t="s">
        <v>58</v>
      </c>
      <c r="F25" s="2" t="s">
        <v>68</v>
      </c>
      <c r="G25" s="2" t="s">
        <v>55</v>
      </c>
      <c r="H25" s="2" t="s">
        <v>29</v>
      </c>
      <c r="I25" s="2">
        <v>38</v>
      </c>
      <c r="J25" s="2">
        <v>115</v>
      </c>
      <c r="K25" s="2">
        <v>26144.82</v>
      </c>
      <c r="L25" s="2">
        <v>439.9</v>
      </c>
      <c r="M25" s="2">
        <v>10.94</v>
      </c>
      <c r="N25" s="2" t="s">
        <v>30</v>
      </c>
      <c r="O25" s="2">
        <v>5</v>
      </c>
    </row>
    <row r="26" spans="1:15" x14ac:dyDescent="0.3">
      <c r="A26" s="2" t="s">
        <v>77</v>
      </c>
      <c r="B26" s="2" t="s">
        <v>78</v>
      </c>
      <c r="C26" s="1">
        <v>46175</v>
      </c>
      <c r="D26" s="2" t="s">
        <v>54</v>
      </c>
      <c r="E26" s="2" t="s">
        <v>45</v>
      </c>
      <c r="F26" s="2" t="s">
        <v>34</v>
      </c>
      <c r="G26" s="2" t="s">
        <v>55</v>
      </c>
      <c r="H26" s="2" t="s">
        <v>56</v>
      </c>
      <c r="I26" s="2">
        <v>70</v>
      </c>
      <c r="J26" s="2">
        <v>64</v>
      </c>
      <c r="K26" s="2">
        <v>37526.800000000003</v>
      </c>
      <c r="L26" s="2">
        <v>284.39999999999998</v>
      </c>
      <c r="M26" s="2">
        <v>180.51</v>
      </c>
      <c r="N26" s="2" t="s">
        <v>22</v>
      </c>
      <c r="O26" s="2">
        <v>1</v>
      </c>
    </row>
    <row r="27" spans="1:15" x14ac:dyDescent="0.3">
      <c r="A27" s="2" t="s">
        <v>79</v>
      </c>
      <c r="B27" s="2" t="s">
        <v>60</v>
      </c>
      <c r="C27" s="1">
        <v>46015</v>
      </c>
      <c r="D27" s="2" t="s">
        <v>43</v>
      </c>
      <c r="E27" s="2" t="s">
        <v>38</v>
      </c>
      <c r="F27" s="2" t="s">
        <v>34</v>
      </c>
      <c r="G27" s="2" t="s">
        <v>55</v>
      </c>
      <c r="H27" s="2" t="s">
        <v>21</v>
      </c>
      <c r="I27" s="2">
        <v>25</v>
      </c>
      <c r="J27" s="2">
        <v>87</v>
      </c>
      <c r="K27" s="2">
        <v>41908.28</v>
      </c>
      <c r="L27" s="2">
        <v>351.17</v>
      </c>
      <c r="M27" s="2">
        <v>14.66</v>
      </c>
      <c r="N27" s="2" t="s">
        <v>30</v>
      </c>
      <c r="O27" s="2">
        <v>1</v>
      </c>
    </row>
    <row r="28" spans="1:15" x14ac:dyDescent="0.3">
      <c r="A28" s="2" t="s">
        <v>80</v>
      </c>
      <c r="B28" s="2" t="s">
        <v>67</v>
      </c>
      <c r="C28" s="1">
        <v>46124</v>
      </c>
      <c r="D28" s="2" t="s">
        <v>24</v>
      </c>
      <c r="E28" s="2" t="s">
        <v>58</v>
      </c>
      <c r="F28" s="2" t="s">
        <v>68</v>
      </c>
      <c r="G28" s="2" t="s">
        <v>28</v>
      </c>
      <c r="H28" s="2" t="s">
        <v>29</v>
      </c>
      <c r="I28" s="2">
        <v>73</v>
      </c>
      <c r="J28" s="2">
        <v>43</v>
      </c>
      <c r="K28" s="2">
        <v>35364.6</v>
      </c>
      <c r="L28" s="2">
        <v>416.76</v>
      </c>
      <c r="M28" s="2">
        <v>268.26</v>
      </c>
      <c r="N28" s="2" t="s">
        <v>22</v>
      </c>
      <c r="O28" s="2">
        <v>1</v>
      </c>
    </row>
    <row r="29" spans="1:15" x14ac:dyDescent="0.3">
      <c r="A29" s="2" t="s">
        <v>81</v>
      </c>
      <c r="B29" s="2" t="s">
        <v>82</v>
      </c>
      <c r="C29" s="1">
        <v>46133</v>
      </c>
      <c r="D29" s="2" t="s">
        <v>74</v>
      </c>
      <c r="E29" s="2" t="s">
        <v>38</v>
      </c>
      <c r="F29" s="2" t="s">
        <v>68</v>
      </c>
      <c r="G29" s="2" t="s">
        <v>64</v>
      </c>
      <c r="H29" s="2" t="s">
        <v>56</v>
      </c>
      <c r="I29" s="2">
        <v>49</v>
      </c>
      <c r="J29" s="2">
        <v>107</v>
      </c>
      <c r="K29" s="2">
        <v>46465.55</v>
      </c>
      <c r="L29" s="2">
        <v>167.3</v>
      </c>
      <c r="M29" s="2">
        <v>45.63</v>
      </c>
      <c r="N29" s="2" t="s">
        <v>30</v>
      </c>
      <c r="O29" s="2">
        <v>3</v>
      </c>
    </row>
    <row r="30" spans="1:15" x14ac:dyDescent="0.3">
      <c r="A30" s="2" t="s">
        <v>83</v>
      </c>
      <c r="B30" s="2" t="s">
        <v>49</v>
      </c>
      <c r="C30" s="1">
        <v>46209</v>
      </c>
      <c r="D30" s="2" t="s">
        <v>74</v>
      </c>
      <c r="E30" s="2" t="s">
        <v>26</v>
      </c>
      <c r="F30" s="2" t="s">
        <v>68</v>
      </c>
      <c r="G30" s="2" t="s">
        <v>35</v>
      </c>
      <c r="H30" s="2" t="s">
        <v>52</v>
      </c>
      <c r="I30" s="2">
        <v>59</v>
      </c>
      <c r="J30" s="2">
        <v>23</v>
      </c>
      <c r="K30" s="2">
        <v>37067.800000000003</v>
      </c>
      <c r="L30" s="2">
        <v>183.6</v>
      </c>
      <c r="M30" s="2">
        <v>148</v>
      </c>
      <c r="N30" s="2" t="s">
        <v>30</v>
      </c>
      <c r="O30" s="2">
        <v>1</v>
      </c>
    </row>
    <row r="31" spans="1:15" x14ac:dyDescent="0.3">
      <c r="A31" s="2" t="s">
        <v>84</v>
      </c>
      <c r="B31" s="2" t="s">
        <v>44</v>
      </c>
      <c r="C31" s="1">
        <v>45972</v>
      </c>
      <c r="D31" s="2" t="s">
        <v>54</v>
      </c>
      <c r="E31" s="2" t="s">
        <v>58</v>
      </c>
      <c r="F31" s="2" t="s">
        <v>27</v>
      </c>
      <c r="G31" s="2" t="s">
        <v>64</v>
      </c>
      <c r="H31" s="2" t="s">
        <v>29</v>
      </c>
      <c r="I31" s="2">
        <v>54</v>
      </c>
      <c r="J31" s="2">
        <v>96</v>
      </c>
      <c r="K31" s="2">
        <v>15660.26</v>
      </c>
      <c r="L31" s="2">
        <v>50.28</v>
      </c>
      <c r="M31" s="2">
        <v>92.93</v>
      </c>
      <c r="N31" s="2" t="s">
        <v>30</v>
      </c>
      <c r="O31" s="2">
        <v>1</v>
      </c>
    </row>
    <row r="32" spans="1:15" x14ac:dyDescent="0.3">
      <c r="A32" s="2" t="s">
        <v>85</v>
      </c>
      <c r="B32" s="2" t="s">
        <v>86</v>
      </c>
      <c r="C32" s="1">
        <v>46204</v>
      </c>
      <c r="D32" s="2" t="s">
        <v>43</v>
      </c>
      <c r="E32" s="2" t="s">
        <v>38</v>
      </c>
      <c r="F32" s="2" t="s">
        <v>27</v>
      </c>
      <c r="G32" s="2" t="s">
        <v>20</v>
      </c>
      <c r="H32" s="2" t="s">
        <v>29</v>
      </c>
      <c r="I32" s="2">
        <v>63</v>
      </c>
      <c r="J32" s="2">
        <v>30</v>
      </c>
      <c r="K32" s="2">
        <v>13621.52</v>
      </c>
      <c r="L32" s="2">
        <v>483.39</v>
      </c>
      <c r="M32" s="2">
        <v>257.62</v>
      </c>
      <c r="N32" s="2" t="s">
        <v>30</v>
      </c>
      <c r="O32" s="2">
        <v>5</v>
      </c>
    </row>
    <row r="33" spans="1:15" x14ac:dyDescent="0.3">
      <c r="A33" s="2" t="s">
        <v>87</v>
      </c>
      <c r="B33" s="2" t="s">
        <v>78</v>
      </c>
      <c r="C33" s="1">
        <v>46178</v>
      </c>
      <c r="D33" s="2" t="s">
        <v>24</v>
      </c>
      <c r="E33" s="2" t="s">
        <v>26</v>
      </c>
      <c r="F33" s="2" t="s">
        <v>27</v>
      </c>
      <c r="G33" s="2" t="s">
        <v>55</v>
      </c>
      <c r="H33" s="2" t="s">
        <v>52</v>
      </c>
      <c r="I33" s="2">
        <v>65</v>
      </c>
      <c r="J33" s="2">
        <v>77</v>
      </c>
      <c r="K33" s="2">
        <v>34961.53</v>
      </c>
      <c r="L33" s="2">
        <v>462.9</v>
      </c>
      <c r="M33" s="2">
        <v>140.09</v>
      </c>
      <c r="N33" s="2" t="s">
        <v>30</v>
      </c>
      <c r="O33" s="2">
        <v>3</v>
      </c>
    </row>
    <row r="34" spans="1:15" x14ac:dyDescent="0.3">
      <c r="A34" s="2" t="s">
        <v>88</v>
      </c>
      <c r="B34" s="2" t="s">
        <v>33</v>
      </c>
      <c r="C34" s="1">
        <v>46012</v>
      </c>
      <c r="D34" s="2" t="s">
        <v>32</v>
      </c>
      <c r="E34" s="2" t="s">
        <v>45</v>
      </c>
      <c r="F34" s="2" t="s">
        <v>19</v>
      </c>
      <c r="G34" s="2" t="s">
        <v>64</v>
      </c>
      <c r="H34" s="2" t="s">
        <v>21</v>
      </c>
      <c r="I34" s="2">
        <v>43</v>
      </c>
      <c r="J34" s="2">
        <v>107</v>
      </c>
      <c r="K34" s="2">
        <v>10047.09</v>
      </c>
      <c r="L34" s="2">
        <v>394.06</v>
      </c>
      <c r="M34" s="2">
        <v>80.36</v>
      </c>
      <c r="N34" s="2" t="s">
        <v>22</v>
      </c>
      <c r="O34" s="2">
        <v>3</v>
      </c>
    </row>
    <row r="35" spans="1:15" x14ac:dyDescent="0.3">
      <c r="A35" s="2" t="s">
        <v>89</v>
      </c>
      <c r="B35" s="2" t="s">
        <v>17</v>
      </c>
      <c r="C35" s="1">
        <v>46152</v>
      </c>
      <c r="D35" s="2" t="s">
        <v>90</v>
      </c>
      <c r="E35" s="2" t="s">
        <v>26</v>
      </c>
      <c r="F35" s="2" t="s">
        <v>34</v>
      </c>
      <c r="G35" s="2" t="s">
        <v>35</v>
      </c>
      <c r="H35" s="2" t="s">
        <v>52</v>
      </c>
      <c r="I35" s="2">
        <v>25</v>
      </c>
      <c r="J35" s="2">
        <v>18</v>
      </c>
      <c r="K35" s="2">
        <v>5089.38</v>
      </c>
      <c r="L35" s="2">
        <v>85.58</v>
      </c>
      <c r="M35" s="2">
        <v>15.26</v>
      </c>
      <c r="N35" s="2" t="s">
        <v>30</v>
      </c>
      <c r="O35" s="2">
        <v>1</v>
      </c>
    </row>
    <row r="36" spans="1:15" x14ac:dyDescent="0.3">
      <c r="A36" s="2" t="s">
        <v>91</v>
      </c>
      <c r="B36" s="2" t="s">
        <v>33</v>
      </c>
      <c r="C36" s="1">
        <v>46105</v>
      </c>
      <c r="D36" s="2" t="s">
        <v>24</v>
      </c>
      <c r="E36" s="2" t="s">
        <v>18</v>
      </c>
      <c r="F36" s="2" t="s">
        <v>34</v>
      </c>
      <c r="G36" s="2" t="s">
        <v>20</v>
      </c>
      <c r="H36" s="2" t="s">
        <v>29</v>
      </c>
      <c r="I36" s="2">
        <v>50</v>
      </c>
      <c r="J36" s="2">
        <v>87</v>
      </c>
      <c r="K36" s="2">
        <v>26845.03</v>
      </c>
      <c r="L36" s="2">
        <v>251.38</v>
      </c>
      <c r="M36" s="2">
        <v>219.81</v>
      </c>
      <c r="N36" s="2" t="s">
        <v>30</v>
      </c>
      <c r="O36" s="2">
        <v>3</v>
      </c>
    </row>
    <row r="37" spans="1:15" x14ac:dyDescent="0.3">
      <c r="A37" s="2" t="s">
        <v>92</v>
      </c>
      <c r="B37" s="2" t="s">
        <v>67</v>
      </c>
      <c r="C37" s="1">
        <v>46219</v>
      </c>
      <c r="D37" s="2" t="s">
        <v>54</v>
      </c>
      <c r="E37" s="2" t="s">
        <v>26</v>
      </c>
      <c r="F37" s="2" t="s">
        <v>39</v>
      </c>
      <c r="G37" s="2" t="s">
        <v>28</v>
      </c>
      <c r="H37" s="2" t="s">
        <v>21</v>
      </c>
      <c r="I37" s="2">
        <v>26</v>
      </c>
      <c r="J37" s="2">
        <v>79</v>
      </c>
      <c r="K37" s="2">
        <v>41171.26</v>
      </c>
      <c r="L37" s="2">
        <v>95.85</v>
      </c>
      <c r="M37" s="2">
        <v>123.38</v>
      </c>
      <c r="N37" s="2" t="s">
        <v>22</v>
      </c>
      <c r="O37" s="2">
        <v>2</v>
      </c>
    </row>
    <row r="38" spans="1:15" x14ac:dyDescent="0.3">
      <c r="A38" s="2" t="s">
        <v>93</v>
      </c>
      <c r="B38" s="2" t="s">
        <v>25</v>
      </c>
      <c r="C38" s="1">
        <v>45890</v>
      </c>
      <c r="D38" s="2" t="s">
        <v>74</v>
      </c>
      <c r="E38" s="2" t="s">
        <v>26</v>
      </c>
      <c r="F38" s="2" t="s">
        <v>27</v>
      </c>
      <c r="G38" s="2" t="s">
        <v>28</v>
      </c>
      <c r="H38" s="2" t="s">
        <v>56</v>
      </c>
      <c r="I38" s="2">
        <v>66</v>
      </c>
      <c r="J38" s="2">
        <v>97</v>
      </c>
      <c r="K38" s="2">
        <v>5518.3</v>
      </c>
      <c r="L38" s="2">
        <v>57.16</v>
      </c>
      <c r="M38" s="2">
        <v>0.57999999999999996</v>
      </c>
      <c r="N38" s="2" t="s">
        <v>22</v>
      </c>
      <c r="O38" s="2">
        <v>3</v>
      </c>
    </row>
    <row r="39" spans="1:15" x14ac:dyDescent="0.3">
      <c r="A39" s="2" t="s">
        <v>94</v>
      </c>
      <c r="B39" s="2" t="s">
        <v>33</v>
      </c>
      <c r="C39" s="1">
        <v>45974</v>
      </c>
      <c r="D39" s="2" t="s">
        <v>32</v>
      </c>
      <c r="E39" s="2" t="s">
        <v>18</v>
      </c>
      <c r="F39" s="2" t="s">
        <v>19</v>
      </c>
      <c r="G39" s="2" t="s">
        <v>35</v>
      </c>
      <c r="H39" s="2" t="s">
        <v>56</v>
      </c>
      <c r="I39" s="2">
        <v>64</v>
      </c>
      <c r="J39" s="2">
        <v>21</v>
      </c>
      <c r="K39" s="2">
        <v>39698.620000000003</v>
      </c>
      <c r="L39" s="2">
        <v>327.27999999999997</v>
      </c>
      <c r="M39" s="2">
        <v>1.88</v>
      </c>
      <c r="N39" s="2" t="s">
        <v>30</v>
      </c>
      <c r="O39" s="2">
        <v>3</v>
      </c>
    </row>
    <row r="40" spans="1:15" x14ac:dyDescent="0.3">
      <c r="A40" s="2" t="s">
        <v>95</v>
      </c>
      <c r="B40" s="2" t="s">
        <v>82</v>
      </c>
      <c r="C40" s="1">
        <v>45899</v>
      </c>
      <c r="D40" s="2" t="s">
        <v>24</v>
      </c>
      <c r="E40" s="2" t="s">
        <v>38</v>
      </c>
      <c r="F40" s="2" t="s">
        <v>19</v>
      </c>
      <c r="G40" s="2" t="s">
        <v>20</v>
      </c>
      <c r="H40" s="2" t="s">
        <v>56</v>
      </c>
      <c r="I40" s="2">
        <v>24</v>
      </c>
      <c r="J40" s="2">
        <v>57</v>
      </c>
      <c r="K40" s="2">
        <v>40672.81</v>
      </c>
      <c r="L40" s="2">
        <v>482.37</v>
      </c>
      <c r="M40" s="2">
        <v>161.76</v>
      </c>
      <c r="N40" s="2" t="s">
        <v>30</v>
      </c>
      <c r="O40" s="2">
        <v>3</v>
      </c>
    </row>
    <row r="41" spans="1:15" x14ac:dyDescent="0.3">
      <c r="A41" s="2" t="s">
        <v>96</v>
      </c>
      <c r="B41" s="2" t="s">
        <v>44</v>
      </c>
      <c r="C41" s="1">
        <v>46221</v>
      </c>
      <c r="D41" s="2" t="s">
        <v>90</v>
      </c>
      <c r="E41" s="2" t="s">
        <v>38</v>
      </c>
      <c r="F41" s="2" t="s">
        <v>34</v>
      </c>
      <c r="G41" s="2" t="s">
        <v>55</v>
      </c>
      <c r="H41" s="2" t="s">
        <v>29</v>
      </c>
      <c r="I41" s="2">
        <v>49</v>
      </c>
      <c r="J41" s="2">
        <v>103</v>
      </c>
      <c r="K41" s="2">
        <v>24372.560000000001</v>
      </c>
      <c r="L41" s="2">
        <v>456.29</v>
      </c>
      <c r="M41" s="2">
        <v>77.819999999999993</v>
      </c>
      <c r="N41" s="2" t="s">
        <v>30</v>
      </c>
      <c r="O41" s="2">
        <v>4</v>
      </c>
    </row>
    <row r="42" spans="1:15" x14ac:dyDescent="0.3">
      <c r="A42" s="2" t="s">
        <v>97</v>
      </c>
      <c r="B42" s="2" t="s">
        <v>76</v>
      </c>
      <c r="C42" s="1">
        <v>45890</v>
      </c>
      <c r="D42" s="2" t="s">
        <v>90</v>
      </c>
      <c r="E42" s="2" t="s">
        <v>26</v>
      </c>
      <c r="F42" s="2" t="s">
        <v>27</v>
      </c>
      <c r="G42" s="2" t="s">
        <v>64</v>
      </c>
      <c r="H42" s="2" t="s">
        <v>52</v>
      </c>
      <c r="I42" s="2">
        <v>43</v>
      </c>
      <c r="J42" s="2">
        <v>23</v>
      </c>
      <c r="K42" s="2">
        <v>3336.86</v>
      </c>
      <c r="L42" s="2">
        <v>363.54</v>
      </c>
      <c r="M42" s="2">
        <v>127.23</v>
      </c>
      <c r="N42" s="2" t="s">
        <v>22</v>
      </c>
      <c r="O42" s="2">
        <v>4</v>
      </c>
    </row>
    <row r="43" spans="1:15" x14ac:dyDescent="0.3">
      <c r="A43" s="2" t="s">
        <v>98</v>
      </c>
      <c r="B43" s="2" t="s">
        <v>25</v>
      </c>
      <c r="C43" s="1">
        <v>46134</v>
      </c>
      <c r="D43" s="2" t="s">
        <v>41</v>
      </c>
      <c r="E43" s="2" t="s">
        <v>18</v>
      </c>
      <c r="F43" s="2" t="s">
        <v>39</v>
      </c>
      <c r="G43" s="2" t="s">
        <v>20</v>
      </c>
      <c r="H43" s="2" t="s">
        <v>21</v>
      </c>
      <c r="I43" s="2">
        <v>26</v>
      </c>
      <c r="J43" s="2">
        <v>91</v>
      </c>
      <c r="K43" s="2">
        <v>9142.2000000000007</v>
      </c>
      <c r="L43" s="2">
        <v>93.49</v>
      </c>
      <c r="M43" s="2">
        <v>90.84</v>
      </c>
      <c r="N43" s="2" t="s">
        <v>22</v>
      </c>
      <c r="O43" s="2">
        <v>4</v>
      </c>
    </row>
    <row r="44" spans="1:15" x14ac:dyDescent="0.3">
      <c r="A44" s="2" t="s">
        <v>99</v>
      </c>
      <c r="B44" s="2" t="s">
        <v>37</v>
      </c>
      <c r="C44" s="1">
        <v>46126</v>
      </c>
      <c r="D44" s="2" t="s">
        <v>41</v>
      </c>
      <c r="E44" s="2" t="s">
        <v>18</v>
      </c>
      <c r="F44" s="2" t="s">
        <v>27</v>
      </c>
      <c r="G44" s="2" t="s">
        <v>28</v>
      </c>
      <c r="H44" s="2" t="s">
        <v>56</v>
      </c>
      <c r="I44" s="2">
        <v>52</v>
      </c>
      <c r="J44" s="2">
        <v>45</v>
      </c>
      <c r="K44" s="2">
        <v>35517.599999999999</v>
      </c>
      <c r="L44" s="2">
        <v>173.37</v>
      </c>
      <c r="M44" s="2">
        <v>172.69</v>
      </c>
      <c r="N44" s="2" t="s">
        <v>22</v>
      </c>
      <c r="O44" s="2">
        <v>3</v>
      </c>
    </row>
    <row r="45" spans="1:15" x14ac:dyDescent="0.3">
      <c r="A45" s="2" t="s">
        <v>100</v>
      </c>
      <c r="B45" s="2" t="s">
        <v>17</v>
      </c>
      <c r="C45" s="1">
        <v>46054</v>
      </c>
      <c r="D45" s="2" t="s">
        <v>16</v>
      </c>
      <c r="E45" s="2" t="s">
        <v>45</v>
      </c>
      <c r="F45" s="2" t="s">
        <v>68</v>
      </c>
      <c r="G45" s="2" t="s">
        <v>35</v>
      </c>
      <c r="H45" s="2" t="s">
        <v>21</v>
      </c>
      <c r="I45" s="2">
        <v>62</v>
      </c>
      <c r="J45" s="2">
        <v>44</v>
      </c>
      <c r="K45" s="2">
        <v>35733.01</v>
      </c>
      <c r="L45" s="2">
        <v>194.03</v>
      </c>
      <c r="M45" s="2">
        <v>183.39</v>
      </c>
      <c r="N45" s="2" t="s">
        <v>22</v>
      </c>
      <c r="O45" s="2">
        <v>2</v>
      </c>
    </row>
    <row r="46" spans="1:15" x14ac:dyDescent="0.3">
      <c r="A46" s="2" t="s">
        <v>101</v>
      </c>
      <c r="B46" s="2" t="s">
        <v>82</v>
      </c>
      <c r="C46" s="1">
        <v>46025</v>
      </c>
      <c r="D46" s="2" t="s">
        <v>54</v>
      </c>
      <c r="E46" s="2" t="s">
        <v>38</v>
      </c>
      <c r="F46" s="2" t="s">
        <v>27</v>
      </c>
      <c r="G46" s="2" t="s">
        <v>35</v>
      </c>
      <c r="H46" s="2" t="s">
        <v>29</v>
      </c>
      <c r="I46" s="2">
        <v>38</v>
      </c>
      <c r="J46" s="2">
        <v>82</v>
      </c>
      <c r="K46" s="2">
        <v>44968.59</v>
      </c>
      <c r="L46" s="2">
        <v>393.42</v>
      </c>
      <c r="M46" s="2">
        <v>299.04000000000002</v>
      </c>
      <c r="N46" s="2" t="s">
        <v>30</v>
      </c>
      <c r="O46" s="2">
        <v>3</v>
      </c>
    </row>
    <row r="47" spans="1:15" x14ac:dyDescent="0.3">
      <c r="A47" s="2" t="s">
        <v>102</v>
      </c>
      <c r="B47" s="2" t="s">
        <v>82</v>
      </c>
      <c r="C47" s="1">
        <v>46011</v>
      </c>
      <c r="D47" s="2" t="s">
        <v>43</v>
      </c>
      <c r="E47" s="2" t="s">
        <v>58</v>
      </c>
      <c r="F47" s="2" t="s">
        <v>68</v>
      </c>
      <c r="G47" s="2" t="s">
        <v>64</v>
      </c>
      <c r="H47" s="2" t="s">
        <v>56</v>
      </c>
      <c r="I47" s="2">
        <v>35</v>
      </c>
      <c r="J47" s="2">
        <v>88</v>
      </c>
      <c r="K47" s="2">
        <v>29342.959999999999</v>
      </c>
      <c r="L47" s="2">
        <v>411.01</v>
      </c>
      <c r="M47" s="2">
        <v>30.74</v>
      </c>
      <c r="N47" s="2" t="s">
        <v>22</v>
      </c>
      <c r="O47" s="2">
        <v>1</v>
      </c>
    </row>
    <row r="48" spans="1:15" x14ac:dyDescent="0.3">
      <c r="A48" s="2" t="s">
        <v>103</v>
      </c>
      <c r="B48" s="2" t="s">
        <v>33</v>
      </c>
      <c r="C48" s="1">
        <v>46101</v>
      </c>
      <c r="D48" s="2" t="s">
        <v>24</v>
      </c>
      <c r="E48" s="2" t="s">
        <v>38</v>
      </c>
      <c r="F48" s="2" t="s">
        <v>68</v>
      </c>
      <c r="G48" s="2" t="s">
        <v>35</v>
      </c>
      <c r="H48" s="2" t="s">
        <v>29</v>
      </c>
      <c r="I48" s="2">
        <v>60</v>
      </c>
      <c r="J48" s="2">
        <v>115</v>
      </c>
      <c r="K48" s="2">
        <v>6643.31</v>
      </c>
      <c r="L48" s="2">
        <v>223.3</v>
      </c>
      <c r="M48" s="2">
        <v>258.88</v>
      </c>
      <c r="N48" s="2" t="s">
        <v>30</v>
      </c>
      <c r="O48" s="2">
        <v>2</v>
      </c>
    </row>
    <row r="49" spans="1:15" x14ac:dyDescent="0.3">
      <c r="A49" s="2" t="s">
        <v>104</v>
      </c>
      <c r="B49" s="2" t="s">
        <v>49</v>
      </c>
      <c r="C49" s="1">
        <v>46081</v>
      </c>
      <c r="D49" s="2" t="s">
        <v>24</v>
      </c>
      <c r="E49" s="2" t="s">
        <v>38</v>
      </c>
      <c r="F49" s="2" t="s">
        <v>39</v>
      </c>
      <c r="G49" s="2" t="s">
        <v>35</v>
      </c>
      <c r="H49" s="2" t="s">
        <v>52</v>
      </c>
      <c r="I49" s="2">
        <v>52</v>
      </c>
      <c r="J49" s="2">
        <v>47</v>
      </c>
      <c r="K49" s="2">
        <v>6510.04</v>
      </c>
      <c r="L49" s="2">
        <v>238.05</v>
      </c>
      <c r="M49" s="2">
        <v>53.2</v>
      </c>
      <c r="N49" s="2" t="s">
        <v>30</v>
      </c>
      <c r="O49" s="2">
        <v>4</v>
      </c>
    </row>
    <row r="50" spans="1:15" x14ac:dyDescent="0.3">
      <c r="A50" s="2" t="s">
        <v>105</v>
      </c>
      <c r="B50" s="2" t="s">
        <v>33</v>
      </c>
      <c r="C50" s="1">
        <v>46054</v>
      </c>
      <c r="D50" s="2" t="s">
        <v>43</v>
      </c>
      <c r="E50" s="2" t="s">
        <v>45</v>
      </c>
      <c r="F50" s="2" t="s">
        <v>34</v>
      </c>
      <c r="G50" s="2" t="s">
        <v>20</v>
      </c>
      <c r="H50" s="2" t="s">
        <v>29</v>
      </c>
      <c r="I50" s="2">
        <v>29</v>
      </c>
      <c r="J50" s="2">
        <v>40</v>
      </c>
      <c r="K50" s="2">
        <v>36196.050000000003</v>
      </c>
      <c r="L50" s="2">
        <v>70.03</v>
      </c>
      <c r="M50" s="2">
        <v>177.24</v>
      </c>
      <c r="N50" s="2" t="s">
        <v>30</v>
      </c>
      <c r="O50" s="2">
        <v>5</v>
      </c>
    </row>
    <row r="51" spans="1:15" x14ac:dyDescent="0.3">
      <c r="A51" s="2" t="s">
        <v>106</v>
      </c>
      <c r="B51" s="2" t="s">
        <v>67</v>
      </c>
      <c r="C51" s="1">
        <v>46024</v>
      </c>
      <c r="D51" s="2" t="s">
        <v>16</v>
      </c>
      <c r="E51" s="2" t="s">
        <v>58</v>
      </c>
      <c r="F51" s="2" t="s">
        <v>27</v>
      </c>
      <c r="G51" s="2" t="s">
        <v>55</v>
      </c>
      <c r="H51" s="2" t="s">
        <v>29</v>
      </c>
      <c r="I51" s="2">
        <v>57</v>
      </c>
      <c r="J51" s="2">
        <v>51</v>
      </c>
      <c r="K51" s="2">
        <v>9597.34</v>
      </c>
      <c r="L51" s="2">
        <v>180.11</v>
      </c>
      <c r="M51" s="2">
        <v>151.72999999999999</v>
      </c>
      <c r="N51" s="2" t="s">
        <v>22</v>
      </c>
      <c r="O51" s="2">
        <v>2</v>
      </c>
    </row>
    <row r="52" spans="1:15" x14ac:dyDescent="0.3">
      <c r="A52" s="2" t="s">
        <v>107</v>
      </c>
      <c r="B52" s="2" t="s">
        <v>37</v>
      </c>
      <c r="C52" s="1">
        <v>46000</v>
      </c>
      <c r="D52" s="2" t="s">
        <v>74</v>
      </c>
      <c r="E52" s="2" t="s">
        <v>45</v>
      </c>
      <c r="F52" s="2" t="s">
        <v>68</v>
      </c>
      <c r="G52" s="2" t="s">
        <v>64</v>
      </c>
      <c r="H52" s="2" t="s">
        <v>52</v>
      </c>
      <c r="I52" s="2">
        <v>30</v>
      </c>
      <c r="J52" s="2">
        <v>42</v>
      </c>
      <c r="K52" s="2">
        <v>16755.080000000002</v>
      </c>
      <c r="L52" s="2">
        <v>253.08</v>
      </c>
      <c r="M52" s="2">
        <v>3.6</v>
      </c>
      <c r="N52" s="2" t="s">
        <v>22</v>
      </c>
      <c r="O52" s="2">
        <v>4</v>
      </c>
    </row>
    <row r="53" spans="1:15" x14ac:dyDescent="0.3">
      <c r="A53" s="2" t="s">
        <v>108</v>
      </c>
      <c r="B53" s="2" t="s">
        <v>62</v>
      </c>
      <c r="C53" s="1">
        <v>46155</v>
      </c>
      <c r="D53" s="2" t="s">
        <v>74</v>
      </c>
      <c r="E53" s="2" t="s">
        <v>58</v>
      </c>
      <c r="F53" s="2" t="s">
        <v>27</v>
      </c>
      <c r="G53" s="2" t="s">
        <v>20</v>
      </c>
      <c r="H53" s="2" t="s">
        <v>21</v>
      </c>
      <c r="I53" s="2">
        <v>40</v>
      </c>
      <c r="J53" s="2">
        <v>7</v>
      </c>
      <c r="K53" s="2">
        <v>24616.99</v>
      </c>
      <c r="L53" s="2">
        <v>102.64</v>
      </c>
      <c r="M53" s="2">
        <v>186.55</v>
      </c>
      <c r="N53" s="2" t="s">
        <v>30</v>
      </c>
      <c r="O53" s="2">
        <v>2</v>
      </c>
    </row>
    <row r="54" spans="1:15" x14ac:dyDescent="0.3">
      <c r="A54" s="2" t="s">
        <v>109</v>
      </c>
      <c r="B54" s="2" t="s">
        <v>25</v>
      </c>
      <c r="C54" s="1">
        <v>45990</v>
      </c>
      <c r="D54" s="2" t="s">
        <v>16</v>
      </c>
      <c r="E54" s="2" t="s">
        <v>26</v>
      </c>
      <c r="F54" s="2" t="s">
        <v>34</v>
      </c>
      <c r="G54" s="2" t="s">
        <v>55</v>
      </c>
      <c r="H54" s="2" t="s">
        <v>52</v>
      </c>
      <c r="I54" s="2">
        <v>26</v>
      </c>
      <c r="J54" s="2">
        <v>50</v>
      </c>
      <c r="K54" s="2">
        <v>1725.86</v>
      </c>
      <c r="L54" s="2">
        <v>253.97</v>
      </c>
      <c r="M54" s="2">
        <v>15.67</v>
      </c>
      <c r="N54" s="2" t="s">
        <v>22</v>
      </c>
      <c r="O54" s="2">
        <v>2</v>
      </c>
    </row>
    <row r="55" spans="1:15" x14ac:dyDescent="0.3">
      <c r="A55" s="2" t="s">
        <v>110</v>
      </c>
      <c r="B55" s="2" t="s">
        <v>33</v>
      </c>
      <c r="C55" s="1">
        <v>45914</v>
      </c>
      <c r="D55" s="2" t="s">
        <v>74</v>
      </c>
      <c r="E55" s="2" t="s">
        <v>58</v>
      </c>
      <c r="F55" s="2" t="s">
        <v>34</v>
      </c>
      <c r="G55" s="2" t="s">
        <v>20</v>
      </c>
      <c r="H55" s="2" t="s">
        <v>52</v>
      </c>
      <c r="I55" s="2">
        <v>68</v>
      </c>
      <c r="J55" s="2">
        <v>48</v>
      </c>
      <c r="K55" s="2">
        <v>12816.54</v>
      </c>
      <c r="L55" s="2">
        <v>433.93</v>
      </c>
      <c r="M55" s="2">
        <v>137.63999999999999</v>
      </c>
      <c r="N55" s="2" t="s">
        <v>22</v>
      </c>
      <c r="O55" s="2">
        <v>3</v>
      </c>
    </row>
    <row r="56" spans="1:15" x14ac:dyDescent="0.3">
      <c r="A56" s="2" t="s">
        <v>111</v>
      </c>
      <c r="B56" s="2" t="s">
        <v>44</v>
      </c>
      <c r="C56" s="1">
        <v>46086</v>
      </c>
      <c r="D56" s="2" t="s">
        <v>41</v>
      </c>
      <c r="E56" s="2" t="s">
        <v>45</v>
      </c>
      <c r="F56" s="2" t="s">
        <v>19</v>
      </c>
      <c r="G56" s="2" t="s">
        <v>20</v>
      </c>
      <c r="H56" s="2" t="s">
        <v>29</v>
      </c>
      <c r="I56" s="2">
        <v>23</v>
      </c>
      <c r="J56" s="2">
        <v>84</v>
      </c>
      <c r="K56" s="2">
        <v>20690.54</v>
      </c>
      <c r="L56" s="2">
        <v>311.58999999999997</v>
      </c>
      <c r="M56" s="2">
        <v>235.5</v>
      </c>
      <c r="N56" s="2" t="s">
        <v>30</v>
      </c>
      <c r="O56" s="2">
        <v>1</v>
      </c>
    </row>
    <row r="57" spans="1:15" x14ac:dyDescent="0.3">
      <c r="A57" s="2" t="s">
        <v>112</v>
      </c>
      <c r="B57" s="2" t="s">
        <v>86</v>
      </c>
      <c r="C57" s="1">
        <v>46149</v>
      </c>
      <c r="D57" s="2" t="s">
        <v>24</v>
      </c>
      <c r="E57" s="2" t="s">
        <v>38</v>
      </c>
      <c r="F57" s="2" t="s">
        <v>34</v>
      </c>
      <c r="G57" s="2" t="s">
        <v>35</v>
      </c>
      <c r="H57" s="2" t="s">
        <v>21</v>
      </c>
      <c r="I57" s="2">
        <v>62</v>
      </c>
      <c r="J57" s="2">
        <v>91</v>
      </c>
      <c r="K57" s="2">
        <v>14342</v>
      </c>
      <c r="L57" s="2">
        <v>85.52</v>
      </c>
      <c r="M57" s="2">
        <v>159.06</v>
      </c>
      <c r="N57" s="2" t="s">
        <v>30</v>
      </c>
      <c r="O57" s="2">
        <v>5</v>
      </c>
    </row>
    <row r="58" spans="1:15" x14ac:dyDescent="0.3">
      <c r="A58" s="2" t="s">
        <v>113</v>
      </c>
      <c r="B58" s="2" t="s">
        <v>17</v>
      </c>
      <c r="C58" s="1">
        <v>45904</v>
      </c>
      <c r="D58" s="2" t="s">
        <v>16</v>
      </c>
      <c r="E58" s="2" t="s">
        <v>58</v>
      </c>
      <c r="F58" s="2" t="s">
        <v>39</v>
      </c>
      <c r="G58" s="2" t="s">
        <v>55</v>
      </c>
      <c r="H58" s="2" t="s">
        <v>56</v>
      </c>
      <c r="I58" s="2">
        <v>31</v>
      </c>
      <c r="J58" s="2">
        <v>6</v>
      </c>
      <c r="K58" s="2">
        <v>7250.33</v>
      </c>
      <c r="L58" s="2">
        <v>136.25</v>
      </c>
      <c r="M58" s="2">
        <v>27.1</v>
      </c>
      <c r="N58" s="2" t="s">
        <v>22</v>
      </c>
      <c r="O58" s="2">
        <v>4</v>
      </c>
    </row>
    <row r="59" spans="1:15" x14ac:dyDescent="0.3">
      <c r="A59" s="2" t="s">
        <v>114</v>
      </c>
      <c r="B59" s="2" t="s">
        <v>51</v>
      </c>
      <c r="C59" s="1">
        <v>45942</v>
      </c>
      <c r="D59" s="2" t="s">
        <v>24</v>
      </c>
      <c r="E59" s="2" t="s">
        <v>58</v>
      </c>
      <c r="F59" s="2" t="s">
        <v>68</v>
      </c>
      <c r="G59" s="2" t="s">
        <v>64</v>
      </c>
      <c r="H59" s="2" t="s">
        <v>52</v>
      </c>
      <c r="I59" s="2">
        <v>63</v>
      </c>
      <c r="J59" s="2">
        <v>91</v>
      </c>
      <c r="K59" s="2">
        <v>36536.61</v>
      </c>
      <c r="L59" s="2">
        <v>263.54000000000002</v>
      </c>
      <c r="M59" s="2">
        <v>89.51</v>
      </c>
      <c r="N59" s="2" t="s">
        <v>30</v>
      </c>
      <c r="O59" s="2">
        <v>2</v>
      </c>
    </row>
    <row r="60" spans="1:15" x14ac:dyDescent="0.3">
      <c r="A60" s="2" t="s">
        <v>115</v>
      </c>
      <c r="B60" s="2" t="s">
        <v>33</v>
      </c>
      <c r="C60" s="1">
        <v>45882</v>
      </c>
      <c r="D60" s="2" t="s">
        <v>43</v>
      </c>
      <c r="E60" s="2" t="s">
        <v>18</v>
      </c>
      <c r="F60" s="2" t="s">
        <v>19</v>
      </c>
      <c r="G60" s="2" t="s">
        <v>64</v>
      </c>
      <c r="H60" s="2" t="s">
        <v>21</v>
      </c>
      <c r="I60" s="2">
        <v>37</v>
      </c>
      <c r="J60" s="2">
        <v>9</v>
      </c>
      <c r="K60" s="2">
        <v>40750.81</v>
      </c>
      <c r="L60" s="2">
        <v>212.67</v>
      </c>
      <c r="M60" s="2">
        <v>165.89</v>
      </c>
      <c r="N60" s="2" t="s">
        <v>30</v>
      </c>
      <c r="O60" s="2">
        <v>5</v>
      </c>
    </row>
    <row r="61" spans="1:15" x14ac:dyDescent="0.3">
      <c r="A61" s="2" t="s">
        <v>116</v>
      </c>
      <c r="B61" s="2" t="s">
        <v>44</v>
      </c>
      <c r="C61" s="1">
        <v>45871</v>
      </c>
      <c r="D61" s="2" t="s">
        <v>90</v>
      </c>
      <c r="E61" s="2" t="s">
        <v>38</v>
      </c>
      <c r="F61" s="2" t="s">
        <v>39</v>
      </c>
      <c r="G61" s="2" t="s">
        <v>55</v>
      </c>
      <c r="H61" s="2" t="s">
        <v>52</v>
      </c>
      <c r="I61" s="2">
        <v>52</v>
      </c>
      <c r="J61" s="2">
        <v>117</v>
      </c>
      <c r="K61" s="2">
        <v>13245.21</v>
      </c>
      <c r="L61" s="2">
        <v>211.43</v>
      </c>
      <c r="M61" s="2">
        <v>60.54</v>
      </c>
      <c r="N61" s="2" t="s">
        <v>22</v>
      </c>
      <c r="O61" s="2">
        <v>2</v>
      </c>
    </row>
    <row r="62" spans="1:15" x14ac:dyDescent="0.3">
      <c r="A62" s="2" t="s">
        <v>117</v>
      </c>
      <c r="B62" s="2" t="s">
        <v>25</v>
      </c>
      <c r="C62" s="1">
        <v>46221</v>
      </c>
      <c r="D62" s="2" t="s">
        <v>41</v>
      </c>
      <c r="E62" s="2" t="s">
        <v>26</v>
      </c>
      <c r="F62" s="2" t="s">
        <v>27</v>
      </c>
      <c r="G62" s="2" t="s">
        <v>35</v>
      </c>
      <c r="H62" s="2" t="s">
        <v>52</v>
      </c>
      <c r="I62" s="2">
        <v>24</v>
      </c>
      <c r="J62" s="2">
        <v>109</v>
      </c>
      <c r="K62" s="2">
        <v>38833.760000000002</v>
      </c>
      <c r="L62" s="2">
        <v>288.17</v>
      </c>
      <c r="M62" s="2">
        <v>93.55</v>
      </c>
      <c r="N62" s="2" t="s">
        <v>22</v>
      </c>
      <c r="O62" s="2">
        <v>1</v>
      </c>
    </row>
    <row r="63" spans="1:15" x14ac:dyDescent="0.3">
      <c r="A63" s="2" t="s">
        <v>118</v>
      </c>
      <c r="B63" s="2" t="s">
        <v>44</v>
      </c>
      <c r="C63" s="1">
        <v>45941</v>
      </c>
      <c r="D63" s="2" t="s">
        <v>32</v>
      </c>
      <c r="E63" s="2" t="s">
        <v>45</v>
      </c>
      <c r="F63" s="2" t="s">
        <v>68</v>
      </c>
      <c r="G63" s="2" t="s">
        <v>28</v>
      </c>
      <c r="H63" s="2" t="s">
        <v>52</v>
      </c>
      <c r="I63" s="2">
        <v>24</v>
      </c>
      <c r="J63" s="2">
        <v>57</v>
      </c>
      <c r="K63" s="2">
        <v>19584.900000000001</v>
      </c>
      <c r="L63" s="2">
        <v>312.98</v>
      </c>
      <c r="M63" s="2">
        <v>54.56</v>
      </c>
      <c r="N63" s="2" t="s">
        <v>22</v>
      </c>
      <c r="O63" s="2">
        <v>5</v>
      </c>
    </row>
    <row r="64" spans="1:15" x14ac:dyDescent="0.3">
      <c r="A64" s="2" t="s">
        <v>119</v>
      </c>
      <c r="B64" s="2" t="s">
        <v>17</v>
      </c>
      <c r="C64" s="1">
        <v>46214</v>
      </c>
      <c r="D64" s="2" t="s">
        <v>41</v>
      </c>
      <c r="E64" s="2" t="s">
        <v>26</v>
      </c>
      <c r="F64" s="2" t="s">
        <v>34</v>
      </c>
      <c r="G64" s="2" t="s">
        <v>20</v>
      </c>
      <c r="H64" s="2" t="s">
        <v>52</v>
      </c>
      <c r="I64" s="2">
        <v>37</v>
      </c>
      <c r="J64" s="2">
        <v>31</v>
      </c>
      <c r="K64" s="2">
        <v>25580.95</v>
      </c>
      <c r="L64" s="2">
        <v>408.59</v>
      </c>
      <c r="M64" s="2">
        <v>92.71</v>
      </c>
      <c r="N64" s="2" t="s">
        <v>22</v>
      </c>
      <c r="O64" s="2">
        <v>4</v>
      </c>
    </row>
    <row r="65" spans="1:15" x14ac:dyDescent="0.3">
      <c r="A65" s="2" t="s">
        <v>120</v>
      </c>
      <c r="B65" s="2" t="s">
        <v>62</v>
      </c>
      <c r="C65" s="1">
        <v>46084</v>
      </c>
      <c r="D65" s="2" t="s">
        <v>16</v>
      </c>
      <c r="E65" s="2" t="s">
        <v>38</v>
      </c>
      <c r="F65" s="2" t="s">
        <v>68</v>
      </c>
      <c r="G65" s="2" t="s">
        <v>35</v>
      </c>
      <c r="H65" s="2" t="s">
        <v>29</v>
      </c>
      <c r="I65" s="2">
        <v>61</v>
      </c>
      <c r="J65" s="2">
        <v>21</v>
      </c>
      <c r="K65" s="2">
        <v>42872.05</v>
      </c>
      <c r="L65" s="2">
        <v>203.43</v>
      </c>
      <c r="M65" s="2">
        <v>266.36</v>
      </c>
      <c r="N65" s="2" t="s">
        <v>30</v>
      </c>
      <c r="O65" s="2">
        <v>2</v>
      </c>
    </row>
    <row r="66" spans="1:15" x14ac:dyDescent="0.3">
      <c r="A66" s="2" t="s">
        <v>121</v>
      </c>
      <c r="B66" s="2" t="s">
        <v>44</v>
      </c>
      <c r="C66" s="1">
        <v>46225</v>
      </c>
      <c r="D66" s="2" t="s">
        <v>32</v>
      </c>
      <c r="E66" s="2" t="s">
        <v>58</v>
      </c>
      <c r="F66" s="2" t="s">
        <v>27</v>
      </c>
      <c r="G66" s="2" t="s">
        <v>55</v>
      </c>
      <c r="H66" s="2" t="s">
        <v>21</v>
      </c>
      <c r="I66" s="2">
        <v>39</v>
      </c>
      <c r="J66" s="2">
        <v>90</v>
      </c>
      <c r="K66" s="2">
        <v>37622.71</v>
      </c>
      <c r="L66" s="2">
        <v>412.46</v>
      </c>
      <c r="M66" s="2">
        <v>91.02</v>
      </c>
      <c r="N66" s="2" t="s">
        <v>30</v>
      </c>
      <c r="O66" s="2">
        <v>1</v>
      </c>
    </row>
    <row r="67" spans="1:15" x14ac:dyDescent="0.3">
      <c r="A67" s="2" t="s">
        <v>122</v>
      </c>
      <c r="B67" s="2" t="s">
        <v>86</v>
      </c>
      <c r="C67" s="1">
        <v>45947</v>
      </c>
      <c r="D67" s="2" t="s">
        <v>90</v>
      </c>
      <c r="E67" s="2" t="s">
        <v>58</v>
      </c>
      <c r="F67" s="2" t="s">
        <v>19</v>
      </c>
      <c r="G67" s="2" t="s">
        <v>20</v>
      </c>
      <c r="H67" s="2" t="s">
        <v>21</v>
      </c>
      <c r="I67" s="2">
        <v>25</v>
      </c>
      <c r="J67" s="2">
        <v>40</v>
      </c>
      <c r="K67" s="2">
        <v>40353.279999999999</v>
      </c>
      <c r="L67" s="2">
        <v>202.38</v>
      </c>
      <c r="M67" s="2">
        <v>111.18</v>
      </c>
      <c r="N67" s="2" t="s">
        <v>30</v>
      </c>
      <c r="O67" s="2">
        <v>5</v>
      </c>
    </row>
    <row r="68" spans="1:15" x14ac:dyDescent="0.3">
      <c r="A68" s="2" t="s">
        <v>123</v>
      </c>
      <c r="B68" s="2" t="s">
        <v>44</v>
      </c>
      <c r="C68" s="1">
        <v>46042</v>
      </c>
      <c r="D68" s="2" t="s">
        <v>16</v>
      </c>
      <c r="E68" s="2" t="s">
        <v>38</v>
      </c>
      <c r="F68" s="2" t="s">
        <v>19</v>
      </c>
      <c r="G68" s="2" t="s">
        <v>64</v>
      </c>
      <c r="H68" s="2" t="s">
        <v>21</v>
      </c>
      <c r="I68" s="2">
        <v>52</v>
      </c>
      <c r="J68" s="2">
        <v>112</v>
      </c>
      <c r="K68" s="2">
        <v>7273.84</v>
      </c>
      <c r="L68" s="2">
        <v>74.94</v>
      </c>
      <c r="M68" s="2">
        <v>80.8</v>
      </c>
      <c r="N68" s="2" t="s">
        <v>30</v>
      </c>
      <c r="O68" s="2">
        <v>2</v>
      </c>
    </row>
    <row r="69" spans="1:15" x14ac:dyDescent="0.3">
      <c r="A69" s="2" t="s">
        <v>124</v>
      </c>
      <c r="B69" s="2" t="s">
        <v>44</v>
      </c>
      <c r="C69" s="1">
        <v>46160</v>
      </c>
      <c r="D69" s="2" t="s">
        <v>54</v>
      </c>
      <c r="E69" s="2" t="s">
        <v>58</v>
      </c>
      <c r="F69" s="2" t="s">
        <v>19</v>
      </c>
      <c r="G69" s="2" t="s">
        <v>28</v>
      </c>
      <c r="H69" s="2" t="s">
        <v>52</v>
      </c>
      <c r="I69" s="2">
        <v>42</v>
      </c>
      <c r="J69" s="2">
        <v>45</v>
      </c>
      <c r="K69" s="2">
        <v>3951.11</v>
      </c>
      <c r="L69" s="2">
        <v>299.38</v>
      </c>
      <c r="M69" s="2">
        <v>92.02</v>
      </c>
      <c r="N69" s="2" t="s">
        <v>22</v>
      </c>
      <c r="O69" s="2">
        <v>2</v>
      </c>
    </row>
    <row r="70" spans="1:15" x14ac:dyDescent="0.3">
      <c r="A70" s="2" t="s">
        <v>125</v>
      </c>
      <c r="B70" s="2" t="s">
        <v>44</v>
      </c>
      <c r="C70" s="1">
        <v>46096</v>
      </c>
      <c r="D70" s="2" t="s">
        <v>24</v>
      </c>
      <c r="E70" s="2" t="s">
        <v>58</v>
      </c>
      <c r="F70" s="2" t="s">
        <v>34</v>
      </c>
      <c r="G70" s="2" t="s">
        <v>64</v>
      </c>
      <c r="H70" s="2" t="s">
        <v>29</v>
      </c>
      <c r="I70" s="2">
        <v>26</v>
      </c>
      <c r="J70" s="2">
        <v>77</v>
      </c>
      <c r="K70" s="2">
        <v>44723.53</v>
      </c>
      <c r="L70" s="2">
        <v>314.56</v>
      </c>
      <c r="M70" s="2">
        <v>4.54</v>
      </c>
      <c r="N70" s="2" t="s">
        <v>30</v>
      </c>
      <c r="O70" s="2">
        <v>4</v>
      </c>
    </row>
    <row r="71" spans="1:15" x14ac:dyDescent="0.3">
      <c r="A71" s="2" t="s">
        <v>126</v>
      </c>
      <c r="B71" s="2" t="s">
        <v>76</v>
      </c>
      <c r="C71" s="1">
        <v>46000</v>
      </c>
      <c r="D71" s="2" t="s">
        <v>90</v>
      </c>
      <c r="E71" s="2" t="s">
        <v>58</v>
      </c>
      <c r="F71" s="2" t="s">
        <v>39</v>
      </c>
      <c r="G71" s="2" t="s">
        <v>55</v>
      </c>
      <c r="H71" s="2" t="s">
        <v>52</v>
      </c>
      <c r="I71" s="2">
        <v>55</v>
      </c>
      <c r="J71" s="2">
        <v>49</v>
      </c>
      <c r="K71" s="2">
        <v>19697.8</v>
      </c>
      <c r="L71" s="2">
        <v>470.54</v>
      </c>
      <c r="M71" s="2">
        <v>56.75</v>
      </c>
      <c r="N71" s="2" t="s">
        <v>30</v>
      </c>
      <c r="O71" s="2">
        <v>1</v>
      </c>
    </row>
    <row r="72" spans="1:15" x14ac:dyDescent="0.3">
      <c r="A72" s="2" t="s">
        <v>127</v>
      </c>
      <c r="B72" s="2" t="s">
        <v>76</v>
      </c>
      <c r="C72" s="1">
        <v>46107</v>
      </c>
      <c r="D72" s="2" t="s">
        <v>24</v>
      </c>
      <c r="E72" s="2" t="s">
        <v>45</v>
      </c>
      <c r="F72" s="2" t="s">
        <v>39</v>
      </c>
      <c r="G72" s="2" t="s">
        <v>20</v>
      </c>
      <c r="H72" s="2" t="s">
        <v>52</v>
      </c>
      <c r="I72" s="2">
        <v>42</v>
      </c>
      <c r="J72" s="2">
        <v>87</v>
      </c>
      <c r="K72" s="2">
        <v>14750.04</v>
      </c>
      <c r="L72" s="2">
        <v>376.73</v>
      </c>
      <c r="M72" s="2">
        <v>87.32</v>
      </c>
      <c r="N72" s="2" t="s">
        <v>30</v>
      </c>
      <c r="O72" s="2">
        <v>3</v>
      </c>
    </row>
    <row r="73" spans="1:15" x14ac:dyDescent="0.3">
      <c r="A73" s="2" t="s">
        <v>128</v>
      </c>
      <c r="B73" s="2" t="s">
        <v>62</v>
      </c>
      <c r="C73" s="1">
        <v>46089</v>
      </c>
      <c r="D73" s="2" t="s">
        <v>74</v>
      </c>
      <c r="E73" s="2" t="s">
        <v>45</v>
      </c>
      <c r="F73" s="2" t="s">
        <v>68</v>
      </c>
      <c r="G73" s="2" t="s">
        <v>55</v>
      </c>
      <c r="H73" s="2" t="s">
        <v>21</v>
      </c>
      <c r="I73" s="2">
        <v>21</v>
      </c>
      <c r="J73" s="2">
        <v>20</v>
      </c>
      <c r="K73" s="2">
        <v>36372.46</v>
      </c>
      <c r="L73" s="2">
        <v>463</v>
      </c>
      <c r="M73" s="2">
        <v>126.76</v>
      </c>
      <c r="N73" s="2" t="s">
        <v>22</v>
      </c>
      <c r="O73" s="2">
        <v>2</v>
      </c>
    </row>
    <row r="74" spans="1:15" x14ac:dyDescent="0.3">
      <c r="A74" s="2" t="s">
        <v>129</v>
      </c>
      <c r="B74" s="2" t="s">
        <v>33</v>
      </c>
      <c r="C74" s="1">
        <v>46185</v>
      </c>
      <c r="D74" s="2" t="s">
        <v>54</v>
      </c>
      <c r="E74" s="2" t="s">
        <v>18</v>
      </c>
      <c r="F74" s="2" t="s">
        <v>34</v>
      </c>
      <c r="G74" s="2" t="s">
        <v>20</v>
      </c>
      <c r="H74" s="2" t="s">
        <v>52</v>
      </c>
      <c r="I74" s="2">
        <v>40</v>
      </c>
      <c r="J74" s="2">
        <v>101</v>
      </c>
      <c r="K74" s="2">
        <v>41902.57</v>
      </c>
      <c r="L74" s="2">
        <v>458.76</v>
      </c>
      <c r="M74" s="2">
        <v>90.01</v>
      </c>
      <c r="N74" s="2" t="s">
        <v>30</v>
      </c>
      <c r="O74" s="2">
        <v>5</v>
      </c>
    </row>
    <row r="75" spans="1:15" x14ac:dyDescent="0.3">
      <c r="A75" s="2" t="s">
        <v>130</v>
      </c>
      <c r="B75" s="2" t="s">
        <v>44</v>
      </c>
      <c r="C75" s="1">
        <v>45922</v>
      </c>
      <c r="D75" s="2" t="s">
        <v>54</v>
      </c>
      <c r="E75" s="2" t="s">
        <v>26</v>
      </c>
      <c r="F75" s="2" t="s">
        <v>19</v>
      </c>
      <c r="G75" s="2" t="s">
        <v>35</v>
      </c>
      <c r="H75" s="2" t="s">
        <v>56</v>
      </c>
      <c r="I75" s="2">
        <v>42</v>
      </c>
      <c r="J75" s="2">
        <v>118</v>
      </c>
      <c r="K75" s="2">
        <v>43193.24</v>
      </c>
      <c r="L75" s="2">
        <v>322.06</v>
      </c>
      <c r="M75" s="2">
        <v>67.56</v>
      </c>
      <c r="N75" s="2" t="s">
        <v>30</v>
      </c>
      <c r="O75" s="2">
        <v>4</v>
      </c>
    </row>
    <row r="76" spans="1:15" x14ac:dyDescent="0.3">
      <c r="A76" s="2" t="s">
        <v>131</v>
      </c>
      <c r="B76" s="2" t="s">
        <v>60</v>
      </c>
      <c r="C76" s="1">
        <v>46014</v>
      </c>
      <c r="D76" s="2" t="s">
        <v>90</v>
      </c>
      <c r="E76" s="2" t="s">
        <v>38</v>
      </c>
      <c r="F76" s="2" t="s">
        <v>19</v>
      </c>
      <c r="G76" s="2" t="s">
        <v>28</v>
      </c>
      <c r="H76" s="2" t="s">
        <v>52</v>
      </c>
      <c r="I76" s="2">
        <v>68</v>
      </c>
      <c r="J76" s="2">
        <v>117</v>
      </c>
      <c r="K76" s="2">
        <v>16141.86</v>
      </c>
      <c r="L76" s="2">
        <v>287.49</v>
      </c>
      <c r="M76" s="2">
        <v>77.62</v>
      </c>
      <c r="N76" s="2" t="s">
        <v>30</v>
      </c>
      <c r="O76" s="2">
        <v>4</v>
      </c>
    </row>
    <row r="77" spans="1:15" x14ac:dyDescent="0.3">
      <c r="A77" s="2" t="s">
        <v>132</v>
      </c>
      <c r="B77" s="2" t="s">
        <v>37</v>
      </c>
      <c r="C77" s="1">
        <v>46090</v>
      </c>
      <c r="D77" s="2" t="s">
        <v>54</v>
      </c>
      <c r="E77" s="2" t="s">
        <v>38</v>
      </c>
      <c r="F77" s="2" t="s">
        <v>27</v>
      </c>
      <c r="G77" s="2" t="s">
        <v>35</v>
      </c>
      <c r="H77" s="2" t="s">
        <v>56</v>
      </c>
      <c r="I77" s="2">
        <v>31</v>
      </c>
      <c r="J77" s="2">
        <v>92</v>
      </c>
      <c r="K77" s="2">
        <v>42684.51</v>
      </c>
      <c r="L77" s="2">
        <v>300.85000000000002</v>
      </c>
      <c r="M77" s="2">
        <v>48.46</v>
      </c>
      <c r="N77" s="2" t="s">
        <v>22</v>
      </c>
      <c r="O77" s="2">
        <v>2</v>
      </c>
    </row>
    <row r="78" spans="1:15" x14ac:dyDescent="0.3">
      <c r="A78" s="2" t="s">
        <v>133</v>
      </c>
      <c r="B78" s="2" t="s">
        <v>60</v>
      </c>
      <c r="C78" s="1">
        <v>45988</v>
      </c>
      <c r="D78" s="2" t="s">
        <v>32</v>
      </c>
      <c r="E78" s="2" t="s">
        <v>38</v>
      </c>
      <c r="F78" s="2" t="s">
        <v>27</v>
      </c>
      <c r="G78" s="2" t="s">
        <v>35</v>
      </c>
      <c r="H78" s="2" t="s">
        <v>52</v>
      </c>
      <c r="I78" s="2">
        <v>33</v>
      </c>
      <c r="J78" s="2">
        <v>17</v>
      </c>
      <c r="K78" s="2">
        <v>2526.23</v>
      </c>
      <c r="L78" s="2">
        <v>490.25</v>
      </c>
      <c r="M78" s="2">
        <v>184.9</v>
      </c>
      <c r="N78" s="2" t="s">
        <v>30</v>
      </c>
      <c r="O78" s="2">
        <v>2</v>
      </c>
    </row>
    <row r="79" spans="1:15" x14ac:dyDescent="0.3">
      <c r="A79" s="2" t="s">
        <v>134</v>
      </c>
      <c r="B79" s="2" t="s">
        <v>33</v>
      </c>
      <c r="C79" s="1">
        <v>46079</v>
      </c>
      <c r="D79" s="2" t="s">
        <v>54</v>
      </c>
      <c r="E79" s="2" t="s">
        <v>18</v>
      </c>
      <c r="F79" s="2" t="s">
        <v>19</v>
      </c>
      <c r="G79" s="2" t="s">
        <v>55</v>
      </c>
      <c r="H79" s="2" t="s">
        <v>29</v>
      </c>
      <c r="I79" s="2">
        <v>62</v>
      </c>
      <c r="J79" s="2">
        <v>28</v>
      </c>
      <c r="K79" s="2">
        <v>2958.24</v>
      </c>
      <c r="L79" s="2">
        <v>397.93</v>
      </c>
      <c r="M79" s="2">
        <v>156.52000000000001</v>
      </c>
      <c r="N79" s="2" t="s">
        <v>30</v>
      </c>
      <c r="O79" s="2">
        <v>2</v>
      </c>
    </row>
    <row r="80" spans="1:15" x14ac:dyDescent="0.3">
      <c r="A80" s="2" t="s">
        <v>135</v>
      </c>
      <c r="B80" s="2" t="s">
        <v>62</v>
      </c>
      <c r="C80" s="1">
        <v>46142</v>
      </c>
      <c r="D80" s="2" t="s">
        <v>24</v>
      </c>
      <c r="E80" s="2" t="s">
        <v>45</v>
      </c>
      <c r="F80" s="2" t="s">
        <v>19</v>
      </c>
      <c r="G80" s="2" t="s">
        <v>28</v>
      </c>
      <c r="H80" s="2" t="s">
        <v>29</v>
      </c>
      <c r="I80" s="2">
        <v>23</v>
      </c>
      <c r="J80" s="2">
        <v>41</v>
      </c>
      <c r="K80" s="2">
        <v>31364.2</v>
      </c>
      <c r="L80" s="2">
        <v>97.82</v>
      </c>
      <c r="M80" s="2">
        <v>4.0199999999999996</v>
      </c>
      <c r="N80" s="2" t="s">
        <v>30</v>
      </c>
      <c r="O80" s="2">
        <v>3</v>
      </c>
    </row>
    <row r="81" spans="1:15" x14ac:dyDescent="0.3">
      <c r="A81" s="2" t="s">
        <v>136</v>
      </c>
      <c r="B81" s="2" t="s">
        <v>49</v>
      </c>
      <c r="C81" s="1">
        <v>45879</v>
      </c>
      <c r="D81" s="2" t="s">
        <v>24</v>
      </c>
      <c r="E81" s="2" t="s">
        <v>18</v>
      </c>
      <c r="F81" s="2" t="s">
        <v>34</v>
      </c>
      <c r="G81" s="2" t="s">
        <v>20</v>
      </c>
      <c r="H81" s="2" t="s">
        <v>21</v>
      </c>
      <c r="I81" s="2">
        <v>29</v>
      </c>
      <c r="J81" s="2">
        <v>66</v>
      </c>
      <c r="K81" s="2">
        <v>3623.77</v>
      </c>
      <c r="L81" s="2">
        <v>400.29</v>
      </c>
      <c r="M81" s="2">
        <v>3.89</v>
      </c>
      <c r="N81" s="2" t="s">
        <v>22</v>
      </c>
      <c r="O81" s="2">
        <v>2</v>
      </c>
    </row>
    <row r="82" spans="1:15" x14ac:dyDescent="0.3">
      <c r="A82" s="2" t="s">
        <v>137</v>
      </c>
      <c r="B82" s="2" t="s">
        <v>49</v>
      </c>
      <c r="C82" s="1">
        <v>46147</v>
      </c>
      <c r="D82" s="2" t="s">
        <v>16</v>
      </c>
      <c r="E82" s="2" t="s">
        <v>38</v>
      </c>
      <c r="F82" s="2" t="s">
        <v>39</v>
      </c>
      <c r="G82" s="2" t="s">
        <v>20</v>
      </c>
      <c r="H82" s="2" t="s">
        <v>52</v>
      </c>
      <c r="I82" s="2">
        <v>32</v>
      </c>
      <c r="J82" s="2">
        <v>25</v>
      </c>
      <c r="K82" s="2">
        <v>16568.150000000001</v>
      </c>
      <c r="L82" s="2">
        <v>126.74</v>
      </c>
      <c r="M82" s="2">
        <v>194.59</v>
      </c>
      <c r="N82" s="2" t="s">
        <v>30</v>
      </c>
      <c r="O82" s="2">
        <v>1</v>
      </c>
    </row>
    <row r="83" spans="1:15" x14ac:dyDescent="0.3">
      <c r="A83" s="2" t="s">
        <v>138</v>
      </c>
      <c r="B83" s="2" t="s">
        <v>47</v>
      </c>
      <c r="C83" s="1">
        <v>46216</v>
      </c>
      <c r="D83" s="2" t="s">
        <v>24</v>
      </c>
      <c r="E83" s="2" t="s">
        <v>26</v>
      </c>
      <c r="F83" s="2" t="s">
        <v>27</v>
      </c>
      <c r="G83" s="2" t="s">
        <v>64</v>
      </c>
      <c r="H83" s="2" t="s">
        <v>56</v>
      </c>
      <c r="I83" s="2">
        <v>43</v>
      </c>
      <c r="J83" s="2">
        <v>58</v>
      </c>
      <c r="K83" s="2">
        <v>33801.42</v>
      </c>
      <c r="L83" s="2">
        <v>251.31</v>
      </c>
      <c r="M83" s="2">
        <v>44.29</v>
      </c>
      <c r="N83" s="2" t="s">
        <v>30</v>
      </c>
      <c r="O83" s="2">
        <v>5</v>
      </c>
    </row>
    <row r="84" spans="1:15" x14ac:dyDescent="0.3">
      <c r="A84" s="2" t="s">
        <v>139</v>
      </c>
      <c r="B84" s="2" t="s">
        <v>60</v>
      </c>
      <c r="C84" s="1">
        <v>46153</v>
      </c>
      <c r="D84" s="2" t="s">
        <v>16</v>
      </c>
      <c r="E84" s="2" t="s">
        <v>58</v>
      </c>
      <c r="F84" s="2" t="s">
        <v>39</v>
      </c>
      <c r="G84" s="2" t="s">
        <v>20</v>
      </c>
      <c r="H84" s="2" t="s">
        <v>56</v>
      </c>
      <c r="I84" s="2">
        <v>34</v>
      </c>
      <c r="J84" s="2">
        <v>114</v>
      </c>
      <c r="K84" s="2">
        <v>17194.71</v>
      </c>
      <c r="L84" s="2">
        <v>144.71</v>
      </c>
      <c r="M84" s="2">
        <v>161.12</v>
      </c>
      <c r="N84" s="2" t="s">
        <v>30</v>
      </c>
      <c r="O84" s="2">
        <v>2</v>
      </c>
    </row>
    <row r="85" spans="1:15" x14ac:dyDescent="0.3">
      <c r="A85" s="2" t="s">
        <v>140</v>
      </c>
      <c r="B85" s="2" t="s">
        <v>33</v>
      </c>
      <c r="C85" s="1">
        <v>46179</v>
      </c>
      <c r="D85" s="2" t="s">
        <v>24</v>
      </c>
      <c r="E85" s="2" t="s">
        <v>45</v>
      </c>
      <c r="F85" s="2" t="s">
        <v>34</v>
      </c>
      <c r="G85" s="2" t="s">
        <v>55</v>
      </c>
      <c r="H85" s="2" t="s">
        <v>52</v>
      </c>
      <c r="I85" s="2">
        <v>53</v>
      </c>
      <c r="J85" s="2">
        <v>41</v>
      </c>
      <c r="K85" s="2">
        <v>9390.19</v>
      </c>
      <c r="L85" s="2">
        <v>360.31</v>
      </c>
      <c r="M85" s="2">
        <v>11.66</v>
      </c>
      <c r="N85" s="2" t="s">
        <v>30</v>
      </c>
      <c r="O85" s="2">
        <v>3</v>
      </c>
    </row>
    <row r="86" spans="1:15" x14ac:dyDescent="0.3">
      <c r="A86" s="2" t="s">
        <v>141</v>
      </c>
      <c r="B86" s="2" t="s">
        <v>33</v>
      </c>
      <c r="C86" s="1">
        <v>46224</v>
      </c>
      <c r="D86" s="2" t="s">
        <v>32</v>
      </c>
      <c r="E86" s="2" t="s">
        <v>45</v>
      </c>
      <c r="F86" s="2" t="s">
        <v>19</v>
      </c>
      <c r="G86" s="2" t="s">
        <v>35</v>
      </c>
      <c r="H86" s="2" t="s">
        <v>56</v>
      </c>
      <c r="I86" s="2">
        <v>38</v>
      </c>
      <c r="J86" s="2">
        <v>6</v>
      </c>
      <c r="K86" s="2">
        <v>14426.86</v>
      </c>
      <c r="L86" s="2">
        <v>444.79</v>
      </c>
      <c r="M86" s="2">
        <v>184.23</v>
      </c>
      <c r="N86" s="2" t="s">
        <v>22</v>
      </c>
      <c r="O86" s="2">
        <v>5</v>
      </c>
    </row>
    <row r="87" spans="1:15" x14ac:dyDescent="0.3">
      <c r="A87" s="2" t="s">
        <v>142</v>
      </c>
      <c r="B87" s="2" t="s">
        <v>78</v>
      </c>
      <c r="C87" s="1">
        <v>46131</v>
      </c>
      <c r="D87" s="2" t="s">
        <v>43</v>
      </c>
      <c r="E87" s="2" t="s">
        <v>18</v>
      </c>
      <c r="F87" s="2" t="s">
        <v>39</v>
      </c>
      <c r="G87" s="2" t="s">
        <v>35</v>
      </c>
      <c r="H87" s="2" t="s">
        <v>29</v>
      </c>
      <c r="I87" s="2">
        <v>69</v>
      </c>
      <c r="J87" s="2">
        <v>75</v>
      </c>
      <c r="K87" s="2">
        <v>23149.98</v>
      </c>
      <c r="L87" s="2">
        <v>180.66</v>
      </c>
      <c r="M87" s="2">
        <v>262.32</v>
      </c>
      <c r="N87" s="2" t="s">
        <v>30</v>
      </c>
      <c r="O87" s="2">
        <v>4</v>
      </c>
    </row>
    <row r="88" spans="1:15" x14ac:dyDescent="0.3">
      <c r="A88" s="2" t="s">
        <v>143</v>
      </c>
      <c r="B88" s="2" t="s">
        <v>67</v>
      </c>
      <c r="C88" s="1">
        <v>46072</v>
      </c>
      <c r="D88" s="2" t="s">
        <v>16</v>
      </c>
      <c r="E88" s="2" t="s">
        <v>45</v>
      </c>
      <c r="F88" s="2" t="s">
        <v>19</v>
      </c>
      <c r="G88" s="2" t="s">
        <v>35</v>
      </c>
      <c r="H88" s="2" t="s">
        <v>56</v>
      </c>
      <c r="I88" s="2">
        <v>61</v>
      </c>
      <c r="J88" s="2">
        <v>38</v>
      </c>
      <c r="K88" s="2">
        <v>24031.599999999999</v>
      </c>
      <c r="L88" s="2">
        <v>86.9</v>
      </c>
      <c r="M88" s="2">
        <v>114.22</v>
      </c>
      <c r="N88" s="2" t="s">
        <v>22</v>
      </c>
      <c r="O88" s="2">
        <v>2</v>
      </c>
    </row>
    <row r="89" spans="1:15" x14ac:dyDescent="0.3">
      <c r="A89" s="2" t="s">
        <v>144</v>
      </c>
      <c r="B89" s="2" t="s">
        <v>51</v>
      </c>
      <c r="C89" s="1">
        <v>46120</v>
      </c>
      <c r="D89" s="2" t="s">
        <v>41</v>
      </c>
      <c r="E89" s="2" t="s">
        <v>38</v>
      </c>
      <c r="F89" s="2" t="s">
        <v>19</v>
      </c>
      <c r="G89" s="2" t="s">
        <v>28</v>
      </c>
      <c r="H89" s="2" t="s">
        <v>21</v>
      </c>
      <c r="I89" s="2">
        <v>29</v>
      </c>
      <c r="J89" s="2">
        <v>6</v>
      </c>
      <c r="K89" s="2">
        <v>39258.51</v>
      </c>
      <c r="L89" s="2">
        <v>184.32</v>
      </c>
      <c r="M89" s="2">
        <v>1.8</v>
      </c>
      <c r="N89" s="2" t="s">
        <v>22</v>
      </c>
      <c r="O89" s="2">
        <v>5</v>
      </c>
    </row>
    <row r="90" spans="1:15" x14ac:dyDescent="0.3">
      <c r="A90" s="2" t="s">
        <v>145</v>
      </c>
      <c r="B90" s="2" t="s">
        <v>25</v>
      </c>
      <c r="C90" s="1">
        <v>46127</v>
      </c>
      <c r="D90" s="2" t="s">
        <v>74</v>
      </c>
      <c r="E90" s="2" t="s">
        <v>38</v>
      </c>
      <c r="F90" s="2" t="s">
        <v>68</v>
      </c>
      <c r="G90" s="2" t="s">
        <v>20</v>
      </c>
      <c r="H90" s="2" t="s">
        <v>29</v>
      </c>
      <c r="I90" s="2">
        <v>43</v>
      </c>
      <c r="J90" s="2">
        <v>45</v>
      </c>
      <c r="K90" s="2">
        <v>37632.58</v>
      </c>
      <c r="L90" s="2">
        <v>352.56</v>
      </c>
      <c r="M90" s="2">
        <v>77.34</v>
      </c>
      <c r="N90" s="2" t="s">
        <v>30</v>
      </c>
      <c r="O90" s="2">
        <v>4</v>
      </c>
    </row>
    <row r="91" spans="1:15" x14ac:dyDescent="0.3">
      <c r="A91" s="2" t="s">
        <v>146</v>
      </c>
      <c r="B91" s="2" t="s">
        <v>78</v>
      </c>
      <c r="C91" s="1">
        <v>45953</v>
      </c>
      <c r="D91" s="2" t="s">
        <v>90</v>
      </c>
      <c r="E91" s="2" t="s">
        <v>18</v>
      </c>
      <c r="F91" s="2" t="s">
        <v>39</v>
      </c>
      <c r="G91" s="2" t="s">
        <v>55</v>
      </c>
      <c r="H91" s="2" t="s">
        <v>29</v>
      </c>
      <c r="I91" s="2">
        <v>30</v>
      </c>
      <c r="J91" s="2">
        <v>75</v>
      </c>
      <c r="K91" s="2">
        <v>23112.48</v>
      </c>
      <c r="L91" s="2">
        <v>197.94</v>
      </c>
      <c r="M91" s="2">
        <v>122.04</v>
      </c>
      <c r="N91" s="2" t="s">
        <v>22</v>
      </c>
      <c r="O91" s="2">
        <v>3</v>
      </c>
    </row>
    <row r="92" spans="1:15" x14ac:dyDescent="0.3">
      <c r="A92" s="2" t="s">
        <v>147</v>
      </c>
      <c r="B92" s="2" t="s">
        <v>86</v>
      </c>
      <c r="C92" s="1">
        <v>46154</v>
      </c>
      <c r="D92" s="2" t="s">
        <v>24</v>
      </c>
      <c r="E92" s="2" t="s">
        <v>38</v>
      </c>
      <c r="F92" s="2" t="s">
        <v>39</v>
      </c>
      <c r="G92" s="2" t="s">
        <v>28</v>
      </c>
      <c r="H92" s="2" t="s">
        <v>29</v>
      </c>
      <c r="I92" s="2">
        <v>39</v>
      </c>
      <c r="J92" s="2">
        <v>14</v>
      </c>
      <c r="K92" s="2">
        <v>42360.53</v>
      </c>
      <c r="L92" s="2">
        <v>175.15</v>
      </c>
      <c r="M92" s="2">
        <v>138.02000000000001</v>
      </c>
      <c r="N92" s="2" t="s">
        <v>22</v>
      </c>
      <c r="O92" s="2">
        <v>1</v>
      </c>
    </row>
    <row r="93" spans="1:15" x14ac:dyDescent="0.3">
      <c r="A93" s="2" t="s">
        <v>148</v>
      </c>
      <c r="B93" s="2" t="s">
        <v>76</v>
      </c>
      <c r="C93" s="1">
        <v>45958</v>
      </c>
      <c r="D93" s="2" t="s">
        <v>54</v>
      </c>
      <c r="E93" s="2" t="s">
        <v>26</v>
      </c>
      <c r="F93" s="2" t="s">
        <v>19</v>
      </c>
      <c r="G93" s="2" t="s">
        <v>64</v>
      </c>
      <c r="H93" s="2" t="s">
        <v>52</v>
      </c>
      <c r="I93" s="2">
        <v>67</v>
      </c>
      <c r="J93" s="2">
        <v>66</v>
      </c>
      <c r="K93" s="2">
        <v>6154.74</v>
      </c>
      <c r="L93" s="2">
        <v>133</v>
      </c>
      <c r="M93" s="2">
        <v>59.54</v>
      </c>
      <c r="N93" s="2" t="s">
        <v>22</v>
      </c>
      <c r="O93" s="2">
        <v>2</v>
      </c>
    </row>
    <row r="94" spans="1:15" x14ac:dyDescent="0.3">
      <c r="A94" s="2" t="s">
        <v>149</v>
      </c>
      <c r="B94" s="2" t="s">
        <v>76</v>
      </c>
      <c r="C94" s="1">
        <v>45956</v>
      </c>
      <c r="D94" s="2" t="s">
        <v>43</v>
      </c>
      <c r="E94" s="2" t="s">
        <v>18</v>
      </c>
      <c r="F94" s="2" t="s">
        <v>34</v>
      </c>
      <c r="G94" s="2" t="s">
        <v>55</v>
      </c>
      <c r="H94" s="2" t="s">
        <v>52</v>
      </c>
      <c r="I94" s="2">
        <v>25</v>
      </c>
      <c r="J94" s="2">
        <v>40</v>
      </c>
      <c r="K94" s="2">
        <v>13139.99</v>
      </c>
      <c r="L94" s="2">
        <v>273.88</v>
      </c>
      <c r="M94" s="2">
        <v>6.59</v>
      </c>
      <c r="N94" s="2" t="s">
        <v>30</v>
      </c>
      <c r="O94" s="2">
        <v>1</v>
      </c>
    </row>
    <row r="95" spans="1:15" x14ac:dyDescent="0.3">
      <c r="A95" s="2" t="s">
        <v>150</v>
      </c>
      <c r="B95" s="2" t="s">
        <v>67</v>
      </c>
      <c r="C95" s="1">
        <v>46148</v>
      </c>
      <c r="D95" s="2" t="s">
        <v>24</v>
      </c>
      <c r="E95" s="2" t="s">
        <v>26</v>
      </c>
      <c r="F95" s="2" t="s">
        <v>68</v>
      </c>
      <c r="G95" s="2" t="s">
        <v>55</v>
      </c>
      <c r="H95" s="2" t="s">
        <v>29</v>
      </c>
      <c r="I95" s="2">
        <v>67</v>
      </c>
      <c r="J95" s="2">
        <v>3</v>
      </c>
      <c r="K95" s="2">
        <v>41484.83</v>
      </c>
      <c r="L95" s="2">
        <v>174.18</v>
      </c>
      <c r="M95" s="2">
        <v>177.04</v>
      </c>
      <c r="N95" s="2" t="s">
        <v>30</v>
      </c>
      <c r="O95" s="2">
        <v>3</v>
      </c>
    </row>
    <row r="96" spans="1:15" x14ac:dyDescent="0.3">
      <c r="A96" s="2" t="s">
        <v>151</v>
      </c>
      <c r="B96" s="2" t="s">
        <v>17</v>
      </c>
      <c r="C96" s="1">
        <v>46031</v>
      </c>
      <c r="D96" s="2" t="s">
        <v>54</v>
      </c>
      <c r="E96" s="2" t="s">
        <v>58</v>
      </c>
      <c r="F96" s="2" t="s">
        <v>19</v>
      </c>
      <c r="G96" s="2" t="s">
        <v>55</v>
      </c>
      <c r="H96" s="2" t="s">
        <v>52</v>
      </c>
      <c r="I96" s="2">
        <v>72</v>
      </c>
      <c r="J96" s="2">
        <v>119</v>
      </c>
      <c r="K96" s="2">
        <v>19210.7</v>
      </c>
      <c r="L96" s="2">
        <v>378.95</v>
      </c>
      <c r="M96" s="2">
        <v>104.83</v>
      </c>
      <c r="N96" s="2" t="s">
        <v>30</v>
      </c>
      <c r="O96" s="2">
        <v>5</v>
      </c>
    </row>
    <row r="97" spans="1:15" x14ac:dyDescent="0.3">
      <c r="A97" s="2" t="s">
        <v>152</v>
      </c>
      <c r="B97" s="2" t="s">
        <v>17</v>
      </c>
      <c r="C97" s="1">
        <v>46032</v>
      </c>
      <c r="D97" s="2" t="s">
        <v>74</v>
      </c>
      <c r="E97" s="2" t="s">
        <v>26</v>
      </c>
      <c r="F97" s="2" t="s">
        <v>27</v>
      </c>
      <c r="G97" s="2" t="s">
        <v>35</v>
      </c>
      <c r="H97" s="2" t="s">
        <v>56</v>
      </c>
      <c r="I97" s="2">
        <v>43</v>
      </c>
      <c r="J97" s="2">
        <v>117</v>
      </c>
      <c r="K97" s="2">
        <v>49068.49</v>
      </c>
      <c r="L97" s="2">
        <v>84.48</v>
      </c>
      <c r="M97" s="2">
        <v>56.6</v>
      </c>
      <c r="N97" s="2" t="s">
        <v>22</v>
      </c>
      <c r="O97" s="2">
        <v>5</v>
      </c>
    </row>
    <row r="98" spans="1:15" x14ac:dyDescent="0.3">
      <c r="A98" s="2" t="s">
        <v>153</v>
      </c>
      <c r="B98" s="2" t="s">
        <v>62</v>
      </c>
      <c r="C98" s="1">
        <v>45919</v>
      </c>
      <c r="D98" s="2" t="s">
        <v>74</v>
      </c>
      <c r="E98" s="2" t="s">
        <v>58</v>
      </c>
      <c r="F98" s="2" t="s">
        <v>27</v>
      </c>
      <c r="G98" s="2" t="s">
        <v>55</v>
      </c>
      <c r="H98" s="2" t="s">
        <v>52</v>
      </c>
      <c r="I98" s="2">
        <v>50</v>
      </c>
      <c r="J98" s="2">
        <v>99</v>
      </c>
      <c r="K98" s="2">
        <v>23579.54</v>
      </c>
      <c r="L98" s="2">
        <v>348.81</v>
      </c>
      <c r="M98" s="2">
        <v>7.6</v>
      </c>
      <c r="N98" s="2" t="s">
        <v>30</v>
      </c>
      <c r="O98" s="2">
        <v>3</v>
      </c>
    </row>
    <row r="99" spans="1:15" x14ac:dyDescent="0.3">
      <c r="A99" s="2" t="s">
        <v>154</v>
      </c>
      <c r="B99" s="2" t="s">
        <v>82</v>
      </c>
      <c r="C99" s="1">
        <v>46031</v>
      </c>
      <c r="D99" s="2" t="s">
        <v>74</v>
      </c>
      <c r="E99" s="2" t="s">
        <v>58</v>
      </c>
      <c r="F99" s="2" t="s">
        <v>68</v>
      </c>
      <c r="G99" s="2" t="s">
        <v>20</v>
      </c>
      <c r="H99" s="2" t="s">
        <v>52</v>
      </c>
      <c r="I99" s="2">
        <v>45</v>
      </c>
      <c r="J99" s="2">
        <v>97</v>
      </c>
      <c r="K99" s="2">
        <v>39700.81</v>
      </c>
      <c r="L99" s="2">
        <v>156.9</v>
      </c>
      <c r="M99" s="2">
        <v>198.92</v>
      </c>
      <c r="N99" s="2" t="s">
        <v>30</v>
      </c>
      <c r="O99" s="2">
        <v>3</v>
      </c>
    </row>
    <row r="100" spans="1:15" x14ac:dyDescent="0.3">
      <c r="A100" s="2" t="s">
        <v>155</v>
      </c>
      <c r="B100" s="2" t="s">
        <v>67</v>
      </c>
      <c r="C100" s="1">
        <v>45971</v>
      </c>
      <c r="D100" s="2" t="s">
        <v>54</v>
      </c>
      <c r="E100" s="2" t="s">
        <v>26</v>
      </c>
      <c r="F100" s="2" t="s">
        <v>34</v>
      </c>
      <c r="G100" s="2" t="s">
        <v>55</v>
      </c>
      <c r="H100" s="2" t="s">
        <v>29</v>
      </c>
      <c r="I100" s="2">
        <v>48</v>
      </c>
      <c r="J100" s="2">
        <v>24</v>
      </c>
      <c r="K100" s="2">
        <v>20414.2</v>
      </c>
      <c r="L100" s="2">
        <v>270.18</v>
      </c>
      <c r="M100" s="2">
        <v>144.6</v>
      </c>
      <c r="N100" s="2" t="s">
        <v>30</v>
      </c>
      <c r="O100" s="2">
        <v>2</v>
      </c>
    </row>
    <row r="101" spans="1:15" x14ac:dyDescent="0.3">
      <c r="A101" s="2" t="s">
        <v>156</v>
      </c>
      <c r="B101" s="2" t="s">
        <v>51</v>
      </c>
      <c r="C101" s="1">
        <v>46038</v>
      </c>
      <c r="D101" s="2" t="s">
        <v>24</v>
      </c>
      <c r="E101" s="2" t="s">
        <v>18</v>
      </c>
      <c r="F101" s="2" t="s">
        <v>19</v>
      </c>
      <c r="G101" s="2" t="s">
        <v>35</v>
      </c>
      <c r="H101" s="2" t="s">
        <v>21</v>
      </c>
      <c r="I101" s="2">
        <v>54</v>
      </c>
      <c r="J101" s="2">
        <v>19</v>
      </c>
      <c r="K101" s="2">
        <v>21535.200000000001</v>
      </c>
      <c r="L101" s="2">
        <v>178.74</v>
      </c>
      <c r="M101" s="2">
        <v>151.19999999999999</v>
      </c>
      <c r="N101" s="2" t="s">
        <v>30</v>
      </c>
      <c r="O101" s="2">
        <v>4</v>
      </c>
    </row>
    <row r="102" spans="1:15" x14ac:dyDescent="0.3">
      <c r="A102" s="2" t="s">
        <v>157</v>
      </c>
      <c r="B102" s="2" t="s">
        <v>33</v>
      </c>
      <c r="C102" s="1">
        <v>46056</v>
      </c>
      <c r="D102" s="2" t="s">
        <v>74</v>
      </c>
      <c r="E102" s="2" t="s">
        <v>38</v>
      </c>
      <c r="F102" s="2" t="s">
        <v>39</v>
      </c>
      <c r="G102" s="2" t="s">
        <v>55</v>
      </c>
      <c r="H102" s="2" t="s">
        <v>21</v>
      </c>
      <c r="I102" s="2">
        <v>65</v>
      </c>
      <c r="J102" s="2">
        <v>18</v>
      </c>
      <c r="K102" s="2">
        <v>19452.72</v>
      </c>
      <c r="L102" s="2">
        <v>375.25</v>
      </c>
      <c r="M102" s="2">
        <v>90.46</v>
      </c>
      <c r="N102" s="2" t="s">
        <v>30</v>
      </c>
      <c r="O102" s="2">
        <v>1</v>
      </c>
    </row>
    <row r="103" spans="1:15" x14ac:dyDescent="0.3">
      <c r="A103" s="2" t="s">
        <v>158</v>
      </c>
      <c r="B103" s="2" t="s">
        <v>17</v>
      </c>
      <c r="C103" s="1">
        <v>45984</v>
      </c>
      <c r="D103" s="2" t="s">
        <v>32</v>
      </c>
      <c r="E103" s="2" t="s">
        <v>38</v>
      </c>
      <c r="F103" s="2" t="s">
        <v>68</v>
      </c>
      <c r="G103" s="2" t="s">
        <v>64</v>
      </c>
      <c r="H103" s="2" t="s">
        <v>21</v>
      </c>
      <c r="I103" s="2">
        <v>68</v>
      </c>
      <c r="J103" s="2">
        <v>64</v>
      </c>
      <c r="K103" s="2">
        <v>36094.239999999998</v>
      </c>
      <c r="L103" s="2">
        <v>475.39</v>
      </c>
      <c r="M103" s="2">
        <v>8.6300000000000008</v>
      </c>
      <c r="N103" s="2" t="s">
        <v>30</v>
      </c>
      <c r="O103" s="2">
        <v>1</v>
      </c>
    </row>
    <row r="104" spans="1:15" x14ac:dyDescent="0.3">
      <c r="A104" s="2" t="s">
        <v>159</v>
      </c>
      <c r="B104" s="2" t="s">
        <v>51</v>
      </c>
      <c r="C104" s="1">
        <v>46136</v>
      </c>
      <c r="D104" s="2" t="s">
        <v>16</v>
      </c>
      <c r="E104" s="2" t="s">
        <v>58</v>
      </c>
      <c r="F104" s="2" t="s">
        <v>34</v>
      </c>
      <c r="G104" s="2" t="s">
        <v>64</v>
      </c>
      <c r="H104" s="2" t="s">
        <v>56</v>
      </c>
      <c r="I104" s="2">
        <v>67</v>
      </c>
      <c r="J104" s="2">
        <v>113</v>
      </c>
      <c r="K104" s="2">
        <v>27602.14</v>
      </c>
      <c r="L104" s="2">
        <v>462.68</v>
      </c>
      <c r="M104" s="2">
        <v>61.92</v>
      </c>
      <c r="N104" s="2" t="s">
        <v>30</v>
      </c>
      <c r="O104" s="2">
        <v>5</v>
      </c>
    </row>
    <row r="105" spans="1:15" x14ac:dyDescent="0.3">
      <c r="A105" s="2" t="s">
        <v>160</v>
      </c>
      <c r="B105" s="2" t="s">
        <v>44</v>
      </c>
      <c r="C105" s="1">
        <v>46228</v>
      </c>
      <c r="D105" s="2" t="s">
        <v>54</v>
      </c>
      <c r="E105" s="2" t="s">
        <v>58</v>
      </c>
      <c r="F105" s="2" t="s">
        <v>39</v>
      </c>
      <c r="G105" s="2" t="s">
        <v>35</v>
      </c>
      <c r="H105" s="2" t="s">
        <v>52</v>
      </c>
      <c r="I105" s="2">
        <v>45</v>
      </c>
      <c r="J105" s="2">
        <v>116</v>
      </c>
      <c r="K105" s="2">
        <v>47217.02</v>
      </c>
      <c r="L105" s="2">
        <v>312.54000000000002</v>
      </c>
      <c r="M105" s="2">
        <v>64.02</v>
      </c>
      <c r="N105" s="2" t="s">
        <v>22</v>
      </c>
      <c r="O105" s="2">
        <v>5</v>
      </c>
    </row>
    <row r="106" spans="1:15" x14ac:dyDescent="0.3">
      <c r="A106" s="2" t="s">
        <v>161</v>
      </c>
      <c r="B106" s="2" t="s">
        <v>60</v>
      </c>
      <c r="C106" s="1">
        <v>46030</v>
      </c>
      <c r="D106" s="2" t="s">
        <v>54</v>
      </c>
      <c r="E106" s="2" t="s">
        <v>18</v>
      </c>
      <c r="F106" s="2" t="s">
        <v>27</v>
      </c>
      <c r="G106" s="2" t="s">
        <v>20</v>
      </c>
      <c r="H106" s="2" t="s">
        <v>21</v>
      </c>
      <c r="I106" s="2">
        <v>30</v>
      </c>
      <c r="J106" s="2">
        <v>88</v>
      </c>
      <c r="K106" s="2">
        <v>12919.07</v>
      </c>
      <c r="L106" s="2">
        <v>258.17</v>
      </c>
      <c r="M106" s="2">
        <v>167.67</v>
      </c>
      <c r="N106" s="2" t="s">
        <v>30</v>
      </c>
      <c r="O106" s="2">
        <v>2</v>
      </c>
    </row>
    <row r="107" spans="1:15" x14ac:dyDescent="0.3">
      <c r="A107" s="2" t="s">
        <v>162</v>
      </c>
      <c r="B107" s="2" t="s">
        <v>60</v>
      </c>
      <c r="C107" s="1">
        <v>46049</v>
      </c>
      <c r="D107" s="2" t="s">
        <v>24</v>
      </c>
      <c r="E107" s="2" t="s">
        <v>45</v>
      </c>
      <c r="F107" s="2" t="s">
        <v>27</v>
      </c>
      <c r="G107" s="2" t="s">
        <v>20</v>
      </c>
      <c r="H107" s="2" t="s">
        <v>29</v>
      </c>
      <c r="I107" s="2">
        <v>34</v>
      </c>
      <c r="J107" s="2">
        <v>109</v>
      </c>
      <c r="K107" s="2">
        <v>5477.86</v>
      </c>
      <c r="L107" s="2">
        <v>418.24</v>
      </c>
      <c r="M107" s="2">
        <v>196.27</v>
      </c>
      <c r="N107" s="2" t="s">
        <v>22</v>
      </c>
      <c r="O107" s="2">
        <v>3</v>
      </c>
    </row>
    <row r="108" spans="1:15" x14ac:dyDescent="0.3">
      <c r="A108" s="2" t="s">
        <v>163</v>
      </c>
      <c r="B108" s="2" t="s">
        <v>82</v>
      </c>
      <c r="C108" s="1">
        <v>46191</v>
      </c>
      <c r="D108" s="2" t="s">
        <v>54</v>
      </c>
      <c r="E108" s="2" t="s">
        <v>26</v>
      </c>
      <c r="F108" s="2" t="s">
        <v>39</v>
      </c>
      <c r="G108" s="2" t="s">
        <v>28</v>
      </c>
      <c r="H108" s="2" t="s">
        <v>21</v>
      </c>
      <c r="I108" s="2">
        <v>62</v>
      </c>
      <c r="J108" s="2">
        <v>35</v>
      </c>
      <c r="K108" s="2">
        <v>19966.439999999999</v>
      </c>
      <c r="L108" s="2">
        <v>357.5</v>
      </c>
      <c r="M108" s="2">
        <v>55.09</v>
      </c>
      <c r="N108" s="2" t="s">
        <v>30</v>
      </c>
      <c r="O108" s="2">
        <v>1</v>
      </c>
    </row>
    <row r="109" spans="1:15" x14ac:dyDescent="0.3">
      <c r="A109" s="2" t="s">
        <v>164</v>
      </c>
      <c r="B109" s="2" t="s">
        <v>37</v>
      </c>
      <c r="C109" s="1">
        <v>46005</v>
      </c>
      <c r="D109" s="2" t="s">
        <v>54</v>
      </c>
      <c r="E109" s="2" t="s">
        <v>58</v>
      </c>
      <c r="F109" s="2" t="s">
        <v>68</v>
      </c>
      <c r="G109" s="2" t="s">
        <v>35</v>
      </c>
      <c r="H109" s="2" t="s">
        <v>21</v>
      </c>
      <c r="I109" s="2">
        <v>66</v>
      </c>
      <c r="J109" s="2">
        <v>62</v>
      </c>
      <c r="K109" s="2">
        <v>31027.279999999999</v>
      </c>
      <c r="L109" s="2">
        <v>132.6</v>
      </c>
      <c r="M109" s="2">
        <v>193.55</v>
      </c>
      <c r="N109" s="2" t="s">
        <v>30</v>
      </c>
      <c r="O109" s="2">
        <v>2</v>
      </c>
    </row>
    <row r="110" spans="1:15" x14ac:dyDescent="0.3">
      <c r="A110" s="2" t="s">
        <v>165</v>
      </c>
      <c r="B110" s="2" t="s">
        <v>33</v>
      </c>
      <c r="C110" s="1">
        <v>45979</v>
      </c>
      <c r="D110" s="2" t="s">
        <v>74</v>
      </c>
      <c r="E110" s="2" t="s">
        <v>38</v>
      </c>
      <c r="F110" s="2" t="s">
        <v>27</v>
      </c>
      <c r="G110" s="2" t="s">
        <v>55</v>
      </c>
      <c r="H110" s="2" t="s">
        <v>52</v>
      </c>
      <c r="I110" s="2">
        <v>50</v>
      </c>
      <c r="J110" s="2">
        <v>1</v>
      </c>
      <c r="K110" s="2">
        <v>43109.55</v>
      </c>
      <c r="L110" s="2">
        <v>419.41</v>
      </c>
      <c r="M110" s="2">
        <v>64.31</v>
      </c>
      <c r="N110" s="2" t="s">
        <v>22</v>
      </c>
      <c r="O110" s="2">
        <v>5</v>
      </c>
    </row>
    <row r="111" spans="1:15" x14ac:dyDescent="0.3">
      <c r="A111" s="2" t="s">
        <v>166</v>
      </c>
      <c r="B111" s="2" t="s">
        <v>25</v>
      </c>
      <c r="C111" s="1">
        <v>46067</v>
      </c>
      <c r="D111" s="2" t="s">
        <v>24</v>
      </c>
      <c r="E111" s="2" t="s">
        <v>18</v>
      </c>
      <c r="F111" s="2" t="s">
        <v>19</v>
      </c>
      <c r="G111" s="2" t="s">
        <v>35</v>
      </c>
      <c r="H111" s="2" t="s">
        <v>52</v>
      </c>
      <c r="I111" s="2">
        <v>61</v>
      </c>
      <c r="J111" s="2">
        <v>100</v>
      </c>
      <c r="K111" s="2">
        <v>17636.75</v>
      </c>
      <c r="L111" s="2">
        <v>243</v>
      </c>
      <c r="M111" s="2">
        <v>199.65</v>
      </c>
      <c r="N111" s="2" t="s">
        <v>22</v>
      </c>
      <c r="O111" s="2">
        <v>5</v>
      </c>
    </row>
    <row r="112" spans="1:15" x14ac:dyDescent="0.3">
      <c r="A112" s="2" t="s">
        <v>167</v>
      </c>
      <c r="B112" s="2" t="s">
        <v>25</v>
      </c>
      <c r="C112" s="1">
        <v>45948</v>
      </c>
      <c r="D112" s="2" t="s">
        <v>74</v>
      </c>
      <c r="E112" s="2" t="s">
        <v>26</v>
      </c>
      <c r="F112" s="2" t="s">
        <v>39</v>
      </c>
      <c r="G112" s="2" t="s">
        <v>28</v>
      </c>
      <c r="H112" s="2" t="s">
        <v>52</v>
      </c>
      <c r="I112" s="2">
        <v>45</v>
      </c>
      <c r="J112" s="2">
        <v>25</v>
      </c>
      <c r="K112" s="2">
        <v>32862.44</v>
      </c>
      <c r="L112" s="2">
        <v>135.04</v>
      </c>
      <c r="M112" s="2">
        <v>199.23</v>
      </c>
      <c r="N112" s="2" t="s">
        <v>30</v>
      </c>
      <c r="O112" s="2">
        <v>1</v>
      </c>
    </row>
    <row r="113" spans="1:15" x14ac:dyDescent="0.3">
      <c r="A113" s="2" t="s">
        <v>168</v>
      </c>
      <c r="B113" s="2" t="s">
        <v>86</v>
      </c>
      <c r="C113" s="1">
        <v>45971</v>
      </c>
      <c r="D113" s="2" t="s">
        <v>16</v>
      </c>
      <c r="E113" s="2" t="s">
        <v>18</v>
      </c>
      <c r="F113" s="2" t="s">
        <v>39</v>
      </c>
      <c r="G113" s="2" t="s">
        <v>35</v>
      </c>
      <c r="H113" s="2" t="s">
        <v>56</v>
      </c>
      <c r="I113" s="2">
        <v>34</v>
      </c>
      <c r="J113" s="2">
        <v>45</v>
      </c>
      <c r="K113" s="2">
        <v>17834.830000000002</v>
      </c>
      <c r="L113" s="2">
        <v>176.81</v>
      </c>
      <c r="M113" s="2">
        <v>38.24</v>
      </c>
      <c r="N113" s="2" t="s">
        <v>22</v>
      </c>
      <c r="O113" s="2">
        <v>5</v>
      </c>
    </row>
    <row r="114" spans="1:15" x14ac:dyDescent="0.3">
      <c r="A114" s="2" t="s">
        <v>169</v>
      </c>
      <c r="B114" s="2" t="s">
        <v>25</v>
      </c>
      <c r="C114" s="1">
        <v>45910</v>
      </c>
      <c r="D114" s="2" t="s">
        <v>43</v>
      </c>
      <c r="E114" s="2" t="s">
        <v>26</v>
      </c>
      <c r="F114" s="2" t="s">
        <v>27</v>
      </c>
      <c r="G114" s="2" t="s">
        <v>35</v>
      </c>
      <c r="H114" s="2" t="s">
        <v>56</v>
      </c>
      <c r="I114" s="2">
        <v>55</v>
      </c>
      <c r="J114" s="2">
        <v>49</v>
      </c>
      <c r="K114" s="2">
        <v>31052.37</v>
      </c>
      <c r="L114" s="2">
        <v>170.39</v>
      </c>
      <c r="M114" s="2">
        <v>62.55</v>
      </c>
      <c r="N114" s="2" t="s">
        <v>22</v>
      </c>
      <c r="O114" s="2">
        <v>5</v>
      </c>
    </row>
    <row r="115" spans="1:15" x14ac:dyDescent="0.3">
      <c r="A115" s="2" t="s">
        <v>170</v>
      </c>
      <c r="B115" s="2" t="s">
        <v>44</v>
      </c>
      <c r="C115" s="1">
        <v>46133</v>
      </c>
      <c r="D115" s="2" t="s">
        <v>16</v>
      </c>
      <c r="E115" s="2" t="s">
        <v>26</v>
      </c>
      <c r="F115" s="2" t="s">
        <v>68</v>
      </c>
      <c r="G115" s="2" t="s">
        <v>28</v>
      </c>
      <c r="H115" s="2" t="s">
        <v>21</v>
      </c>
      <c r="I115" s="2">
        <v>72</v>
      </c>
      <c r="J115" s="2">
        <v>107</v>
      </c>
      <c r="K115" s="2">
        <v>44297.99</v>
      </c>
      <c r="L115" s="2">
        <v>283.64</v>
      </c>
      <c r="M115" s="2">
        <v>97.21</v>
      </c>
      <c r="N115" s="2" t="s">
        <v>22</v>
      </c>
      <c r="O115" s="2">
        <v>4</v>
      </c>
    </row>
    <row r="116" spans="1:15" x14ac:dyDescent="0.3">
      <c r="A116" s="2" t="s">
        <v>171</v>
      </c>
      <c r="B116" s="2" t="s">
        <v>44</v>
      </c>
      <c r="C116" s="1">
        <v>45995</v>
      </c>
      <c r="D116" s="2" t="s">
        <v>43</v>
      </c>
      <c r="E116" s="2" t="s">
        <v>58</v>
      </c>
      <c r="F116" s="2" t="s">
        <v>19</v>
      </c>
      <c r="G116" s="2" t="s">
        <v>20</v>
      </c>
      <c r="H116" s="2" t="s">
        <v>52</v>
      </c>
      <c r="I116" s="2">
        <v>68</v>
      </c>
      <c r="J116" s="2">
        <v>98</v>
      </c>
      <c r="K116" s="2">
        <v>11952.2</v>
      </c>
      <c r="L116" s="2">
        <v>155.47</v>
      </c>
      <c r="M116" s="2">
        <v>132.82</v>
      </c>
      <c r="N116" s="2" t="s">
        <v>30</v>
      </c>
      <c r="O116" s="2">
        <v>3</v>
      </c>
    </row>
    <row r="117" spans="1:15" x14ac:dyDescent="0.3">
      <c r="A117" s="2" t="s">
        <v>172</v>
      </c>
      <c r="B117" s="2" t="s">
        <v>60</v>
      </c>
      <c r="C117" s="1">
        <v>45966</v>
      </c>
      <c r="D117" s="2" t="s">
        <v>74</v>
      </c>
      <c r="E117" s="2" t="s">
        <v>18</v>
      </c>
      <c r="F117" s="2" t="s">
        <v>68</v>
      </c>
      <c r="G117" s="2" t="s">
        <v>55</v>
      </c>
      <c r="H117" s="2" t="s">
        <v>21</v>
      </c>
      <c r="I117" s="2">
        <v>54</v>
      </c>
      <c r="J117" s="2">
        <v>89</v>
      </c>
      <c r="K117" s="2">
        <v>20509.96</v>
      </c>
      <c r="L117" s="2">
        <v>105.6</v>
      </c>
      <c r="M117" s="2">
        <v>105.61</v>
      </c>
      <c r="N117" s="2" t="s">
        <v>30</v>
      </c>
      <c r="O117" s="2">
        <v>5</v>
      </c>
    </row>
    <row r="118" spans="1:15" x14ac:dyDescent="0.3">
      <c r="A118" s="2" t="s">
        <v>173</v>
      </c>
      <c r="B118" s="2" t="s">
        <v>67</v>
      </c>
      <c r="C118" s="1">
        <v>45950</v>
      </c>
      <c r="D118" s="2" t="s">
        <v>16</v>
      </c>
      <c r="E118" s="2" t="s">
        <v>18</v>
      </c>
      <c r="F118" s="2" t="s">
        <v>34</v>
      </c>
      <c r="G118" s="2" t="s">
        <v>28</v>
      </c>
      <c r="H118" s="2" t="s">
        <v>29</v>
      </c>
      <c r="I118" s="2">
        <v>30</v>
      </c>
      <c r="J118" s="2">
        <v>16</v>
      </c>
      <c r="K118" s="2">
        <v>49666.63</v>
      </c>
      <c r="L118" s="2">
        <v>105.66</v>
      </c>
      <c r="M118" s="2">
        <v>290.83</v>
      </c>
      <c r="N118" s="2" t="s">
        <v>30</v>
      </c>
      <c r="O118" s="2">
        <v>4</v>
      </c>
    </row>
    <row r="119" spans="1:15" x14ac:dyDescent="0.3">
      <c r="A119" s="2" t="s">
        <v>174</v>
      </c>
      <c r="B119" s="2" t="s">
        <v>82</v>
      </c>
      <c r="C119" s="1">
        <v>45941</v>
      </c>
      <c r="D119" s="2" t="s">
        <v>24</v>
      </c>
      <c r="E119" s="2" t="s">
        <v>38</v>
      </c>
      <c r="F119" s="2" t="s">
        <v>34</v>
      </c>
      <c r="G119" s="2" t="s">
        <v>64</v>
      </c>
      <c r="H119" s="2" t="s">
        <v>29</v>
      </c>
      <c r="I119" s="2">
        <v>55</v>
      </c>
      <c r="J119" s="2">
        <v>98</v>
      </c>
      <c r="K119" s="2">
        <v>43493.57</v>
      </c>
      <c r="L119" s="2">
        <v>312.47000000000003</v>
      </c>
      <c r="M119" s="2">
        <v>217.2</v>
      </c>
      <c r="N119" s="2" t="s">
        <v>22</v>
      </c>
      <c r="O119" s="2">
        <v>2</v>
      </c>
    </row>
    <row r="120" spans="1:15" x14ac:dyDescent="0.3">
      <c r="A120" s="2" t="s">
        <v>175</v>
      </c>
      <c r="B120" s="2" t="s">
        <v>62</v>
      </c>
      <c r="C120" s="1">
        <v>46192</v>
      </c>
      <c r="D120" s="2" t="s">
        <v>90</v>
      </c>
      <c r="E120" s="2" t="s">
        <v>38</v>
      </c>
      <c r="F120" s="2" t="s">
        <v>27</v>
      </c>
      <c r="G120" s="2" t="s">
        <v>20</v>
      </c>
      <c r="H120" s="2" t="s">
        <v>52</v>
      </c>
      <c r="I120" s="2">
        <v>31</v>
      </c>
      <c r="J120" s="2">
        <v>93</v>
      </c>
      <c r="K120" s="2">
        <v>28449.67</v>
      </c>
      <c r="L120" s="2">
        <v>380.64</v>
      </c>
      <c r="M120" s="2">
        <v>42.41</v>
      </c>
      <c r="N120" s="2" t="s">
        <v>30</v>
      </c>
      <c r="O120" s="2">
        <v>5</v>
      </c>
    </row>
    <row r="121" spans="1:15" x14ac:dyDescent="0.3">
      <c r="A121" s="2" t="s">
        <v>176</v>
      </c>
      <c r="B121" s="2" t="s">
        <v>86</v>
      </c>
      <c r="C121" s="1">
        <v>45970</v>
      </c>
      <c r="D121" s="2" t="s">
        <v>74</v>
      </c>
      <c r="E121" s="2" t="s">
        <v>58</v>
      </c>
      <c r="F121" s="2" t="s">
        <v>27</v>
      </c>
      <c r="G121" s="2" t="s">
        <v>64</v>
      </c>
      <c r="H121" s="2" t="s">
        <v>52</v>
      </c>
      <c r="I121" s="2">
        <v>31</v>
      </c>
      <c r="J121" s="2">
        <v>19</v>
      </c>
      <c r="K121" s="2">
        <v>26073.07</v>
      </c>
      <c r="L121" s="2">
        <v>194.69</v>
      </c>
      <c r="M121" s="2">
        <v>21.02</v>
      </c>
      <c r="N121" s="2" t="s">
        <v>22</v>
      </c>
      <c r="O121" s="2">
        <v>2</v>
      </c>
    </row>
    <row r="122" spans="1:15" x14ac:dyDescent="0.3">
      <c r="A122" s="2" t="s">
        <v>177</v>
      </c>
      <c r="B122" s="2" t="s">
        <v>17</v>
      </c>
      <c r="C122" s="1">
        <v>45994</v>
      </c>
      <c r="D122" s="2" t="s">
        <v>43</v>
      </c>
      <c r="E122" s="2" t="s">
        <v>58</v>
      </c>
      <c r="F122" s="2" t="s">
        <v>27</v>
      </c>
      <c r="G122" s="2" t="s">
        <v>20</v>
      </c>
      <c r="H122" s="2" t="s">
        <v>29</v>
      </c>
      <c r="I122" s="2">
        <v>41</v>
      </c>
      <c r="J122" s="2">
        <v>23</v>
      </c>
      <c r="K122" s="2">
        <v>14587.72</v>
      </c>
      <c r="L122" s="2">
        <v>65.59</v>
      </c>
      <c r="M122" s="2">
        <v>206.52</v>
      </c>
      <c r="N122" s="2" t="s">
        <v>30</v>
      </c>
      <c r="O122" s="2">
        <v>5</v>
      </c>
    </row>
    <row r="123" spans="1:15" x14ac:dyDescent="0.3">
      <c r="A123" s="2" t="s">
        <v>178</v>
      </c>
      <c r="B123" s="2" t="s">
        <v>51</v>
      </c>
      <c r="C123" s="1">
        <v>46002</v>
      </c>
      <c r="D123" s="2" t="s">
        <v>32</v>
      </c>
      <c r="E123" s="2" t="s">
        <v>45</v>
      </c>
      <c r="F123" s="2" t="s">
        <v>34</v>
      </c>
      <c r="G123" s="2" t="s">
        <v>55</v>
      </c>
      <c r="H123" s="2" t="s">
        <v>52</v>
      </c>
      <c r="I123" s="2">
        <v>41</v>
      </c>
      <c r="J123" s="2">
        <v>83</v>
      </c>
      <c r="K123" s="2">
        <v>26101.87</v>
      </c>
      <c r="L123" s="2">
        <v>107.25</v>
      </c>
      <c r="M123" s="2">
        <v>31.69</v>
      </c>
      <c r="N123" s="2" t="s">
        <v>30</v>
      </c>
      <c r="O123" s="2">
        <v>1</v>
      </c>
    </row>
    <row r="124" spans="1:15" x14ac:dyDescent="0.3">
      <c r="A124" s="2" t="s">
        <v>179</v>
      </c>
      <c r="B124" s="2" t="s">
        <v>67</v>
      </c>
      <c r="C124" s="1">
        <v>46107</v>
      </c>
      <c r="D124" s="2" t="s">
        <v>43</v>
      </c>
      <c r="E124" s="2" t="s">
        <v>38</v>
      </c>
      <c r="F124" s="2" t="s">
        <v>68</v>
      </c>
      <c r="G124" s="2" t="s">
        <v>55</v>
      </c>
      <c r="H124" s="2" t="s">
        <v>56</v>
      </c>
      <c r="I124" s="2">
        <v>42</v>
      </c>
      <c r="J124" s="2">
        <v>25</v>
      </c>
      <c r="K124" s="2">
        <v>42484.98</v>
      </c>
      <c r="L124" s="2">
        <v>461.61</v>
      </c>
      <c r="M124" s="2">
        <v>157.54</v>
      </c>
      <c r="N124" s="2" t="s">
        <v>30</v>
      </c>
      <c r="O124" s="2">
        <v>4</v>
      </c>
    </row>
    <row r="125" spans="1:15" x14ac:dyDescent="0.3">
      <c r="A125" s="2" t="s">
        <v>180</v>
      </c>
      <c r="B125" s="2" t="s">
        <v>17</v>
      </c>
      <c r="C125" s="1">
        <v>46012</v>
      </c>
      <c r="D125" s="2" t="s">
        <v>32</v>
      </c>
      <c r="E125" s="2" t="s">
        <v>26</v>
      </c>
      <c r="F125" s="2" t="s">
        <v>68</v>
      </c>
      <c r="G125" s="2" t="s">
        <v>35</v>
      </c>
      <c r="H125" s="2" t="s">
        <v>56</v>
      </c>
      <c r="I125" s="2">
        <v>65</v>
      </c>
      <c r="J125" s="2">
        <v>16</v>
      </c>
      <c r="K125" s="2">
        <v>34416.14</v>
      </c>
      <c r="L125" s="2">
        <v>272.08999999999997</v>
      </c>
      <c r="M125" s="2">
        <v>62.21</v>
      </c>
      <c r="N125" s="2" t="s">
        <v>22</v>
      </c>
      <c r="O125" s="2">
        <v>4</v>
      </c>
    </row>
    <row r="126" spans="1:15" x14ac:dyDescent="0.3">
      <c r="A126" s="2" t="s">
        <v>181</v>
      </c>
      <c r="B126" s="2" t="s">
        <v>67</v>
      </c>
      <c r="C126" s="1">
        <v>46194</v>
      </c>
      <c r="D126" s="2" t="s">
        <v>54</v>
      </c>
      <c r="E126" s="2" t="s">
        <v>18</v>
      </c>
      <c r="F126" s="2" t="s">
        <v>27</v>
      </c>
      <c r="G126" s="2" t="s">
        <v>64</v>
      </c>
      <c r="H126" s="2" t="s">
        <v>52</v>
      </c>
      <c r="I126" s="2">
        <v>27</v>
      </c>
      <c r="J126" s="2">
        <v>54</v>
      </c>
      <c r="K126" s="2">
        <v>14857.18</v>
      </c>
      <c r="L126" s="2">
        <v>254.11</v>
      </c>
      <c r="M126" s="2">
        <v>65.38</v>
      </c>
      <c r="N126" s="2" t="s">
        <v>30</v>
      </c>
      <c r="O126" s="2">
        <v>1</v>
      </c>
    </row>
    <row r="127" spans="1:15" x14ac:dyDescent="0.3">
      <c r="A127" s="2" t="s">
        <v>182</v>
      </c>
      <c r="B127" s="2" t="s">
        <v>67</v>
      </c>
      <c r="C127" s="1">
        <v>46208</v>
      </c>
      <c r="D127" s="2" t="s">
        <v>16</v>
      </c>
      <c r="E127" s="2" t="s">
        <v>58</v>
      </c>
      <c r="F127" s="2" t="s">
        <v>19</v>
      </c>
      <c r="G127" s="2" t="s">
        <v>20</v>
      </c>
      <c r="H127" s="2" t="s">
        <v>29</v>
      </c>
      <c r="I127" s="2">
        <v>37</v>
      </c>
      <c r="J127" s="2">
        <v>115</v>
      </c>
      <c r="K127" s="2">
        <v>10472.459999999999</v>
      </c>
      <c r="L127" s="2">
        <v>67.12</v>
      </c>
      <c r="M127" s="2">
        <v>3.24</v>
      </c>
      <c r="N127" s="2" t="s">
        <v>22</v>
      </c>
      <c r="O127" s="2">
        <v>3</v>
      </c>
    </row>
    <row r="128" spans="1:15" x14ac:dyDescent="0.3">
      <c r="A128" s="2" t="s">
        <v>183</v>
      </c>
      <c r="B128" s="2" t="s">
        <v>67</v>
      </c>
      <c r="C128" s="1">
        <v>45894</v>
      </c>
      <c r="D128" s="2" t="s">
        <v>32</v>
      </c>
      <c r="E128" s="2" t="s">
        <v>18</v>
      </c>
      <c r="F128" s="2" t="s">
        <v>68</v>
      </c>
      <c r="G128" s="2" t="s">
        <v>55</v>
      </c>
      <c r="H128" s="2" t="s">
        <v>21</v>
      </c>
      <c r="I128" s="2">
        <v>22</v>
      </c>
      <c r="J128" s="2">
        <v>73</v>
      </c>
      <c r="K128" s="2">
        <v>13627.82</v>
      </c>
      <c r="L128" s="2">
        <v>377.89</v>
      </c>
      <c r="M128" s="2">
        <v>140.19999999999999</v>
      </c>
      <c r="N128" s="2" t="s">
        <v>30</v>
      </c>
      <c r="O128" s="2">
        <v>4</v>
      </c>
    </row>
    <row r="129" spans="1:15" x14ac:dyDescent="0.3">
      <c r="A129" s="2" t="s">
        <v>184</v>
      </c>
      <c r="B129" s="2" t="s">
        <v>60</v>
      </c>
      <c r="C129" s="1">
        <v>45911</v>
      </c>
      <c r="D129" s="2" t="s">
        <v>43</v>
      </c>
      <c r="E129" s="2" t="s">
        <v>18</v>
      </c>
      <c r="F129" s="2" t="s">
        <v>34</v>
      </c>
      <c r="G129" s="2" t="s">
        <v>28</v>
      </c>
      <c r="H129" s="2" t="s">
        <v>52</v>
      </c>
      <c r="I129" s="2">
        <v>32</v>
      </c>
      <c r="J129" s="2">
        <v>1</v>
      </c>
      <c r="K129" s="2">
        <v>8903.08</v>
      </c>
      <c r="L129" s="2">
        <v>287.63</v>
      </c>
      <c r="M129" s="2">
        <v>22.65</v>
      </c>
      <c r="N129" s="2" t="s">
        <v>22</v>
      </c>
      <c r="O129" s="2">
        <v>2</v>
      </c>
    </row>
    <row r="130" spans="1:15" x14ac:dyDescent="0.3">
      <c r="A130" s="2" t="s">
        <v>185</v>
      </c>
      <c r="B130" s="2" t="s">
        <v>25</v>
      </c>
      <c r="C130" s="1">
        <v>46164</v>
      </c>
      <c r="D130" s="2" t="s">
        <v>54</v>
      </c>
      <c r="E130" s="2" t="s">
        <v>45</v>
      </c>
      <c r="F130" s="2" t="s">
        <v>39</v>
      </c>
      <c r="G130" s="2" t="s">
        <v>55</v>
      </c>
      <c r="H130" s="2" t="s">
        <v>52</v>
      </c>
      <c r="I130" s="2">
        <v>62</v>
      </c>
      <c r="J130" s="2">
        <v>42</v>
      </c>
      <c r="K130" s="2">
        <v>5234.21</v>
      </c>
      <c r="L130" s="2">
        <v>140.94</v>
      </c>
      <c r="M130" s="2">
        <v>154.58000000000001</v>
      </c>
      <c r="N130" s="2" t="s">
        <v>22</v>
      </c>
      <c r="O130" s="2">
        <v>4</v>
      </c>
    </row>
    <row r="131" spans="1:15" x14ac:dyDescent="0.3">
      <c r="A131" s="2" t="s">
        <v>186</v>
      </c>
      <c r="B131" s="2" t="s">
        <v>82</v>
      </c>
      <c r="C131" s="1">
        <v>46042</v>
      </c>
      <c r="D131" s="2" t="s">
        <v>90</v>
      </c>
      <c r="E131" s="2" t="s">
        <v>38</v>
      </c>
      <c r="F131" s="2" t="s">
        <v>39</v>
      </c>
      <c r="G131" s="2" t="s">
        <v>28</v>
      </c>
      <c r="H131" s="2" t="s">
        <v>21</v>
      </c>
      <c r="I131" s="2">
        <v>38</v>
      </c>
      <c r="J131" s="2">
        <v>19</v>
      </c>
      <c r="K131" s="2">
        <v>21247.24</v>
      </c>
      <c r="L131" s="2">
        <v>99.53</v>
      </c>
      <c r="M131" s="2">
        <v>98.37</v>
      </c>
      <c r="N131" s="2" t="s">
        <v>22</v>
      </c>
      <c r="O131" s="2">
        <v>3</v>
      </c>
    </row>
    <row r="132" spans="1:15" x14ac:dyDescent="0.3">
      <c r="A132" s="2" t="s">
        <v>187</v>
      </c>
      <c r="B132" s="2" t="s">
        <v>62</v>
      </c>
      <c r="C132" s="1">
        <v>46149</v>
      </c>
      <c r="D132" s="2" t="s">
        <v>24</v>
      </c>
      <c r="E132" s="2" t="s">
        <v>58</v>
      </c>
      <c r="F132" s="2" t="s">
        <v>39</v>
      </c>
      <c r="G132" s="2" t="s">
        <v>20</v>
      </c>
      <c r="H132" s="2" t="s">
        <v>52</v>
      </c>
      <c r="I132" s="2">
        <v>74</v>
      </c>
      <c r="J132" s="2">
        <v>97</v>
      </c>
      <c r="K132" s="2">
        <v>6108.33</v>
      </c>
      <c r="L132" s="2">
        <v>222.52</v>
      </c>
      <c r="M132" s="2">
        <v>156.86000000000001</v>
      </c>
      <c r="N132" s="2" t="s">
        <v>22</v>
      </c>
      <c r="O132" s="2">
        <v>2</v>
      </c>
    </row>
    <row r="133" spans="1:15" x14ac:dyDescent="0.3">
      <c r="A133" s="2" t="s">
        <v>188</v>
      </c>
      <c r="B133" s="2" t="s">
        <v>25</v>
      </c>
      <c r="C133" s="1">
        <v>45915</v>
      </c>
      <c r="D133" s="2" t="s">
        <v>24</v>
      </c>
      <c r="E133" s="2" t="s">
        <v>18</v>
      </c>
      <c r="F133" s="2" t="s">
        <v>19</v>
      </c>
      <c r="G133" s="2" t="s">
        <v>55</v>
      </c>
      <c r="H133" s="2" t="s">
        <v>21</v>
      </c>
      <c r="I133" s="2">
        <v>31</v>
      </c>
      <c r="J133" s="2">
        <v>34</v>
      </c>
      <c r="K133" s="2">
        <v>9009.67</v>
      </c>
      <c r="L133" s="2">
        <v>426.72</v>
      </c>
      <c r="M133" s="2">
        <v>116.79</v>
      </c>
      <c r="N133" s="2" t="s">
        <v>30</v>
      </c>
      <c r="O133" s="2">
        <v>2</v>
      </c>
    </row>
    <row r="134" spans="1:15" x14ac:dyDescent="0.3">
      <c r="A134" s="2" t="s">
        <v>189</v>
      </c>
      <c r="B134" s="2" t="s">
        <v>67</v>
      </c>
      <c r="C134" s="1">
        <v>46123</v>
      </c>
      <c r="D134" s="2" t="s">
        <v>24</v>
      </c>
      <c r="E134" s="2" t="s">
        <v>58</v>
      </c>
      <c r="F134" s="2" t="s">
        <v>27</v>
      </c>
      <c r="G134" s="2" t="s">
        <v>55</v>
      </c>
      <c r="H134" s="2" t="s">
        <v>29</v>
      </c>
      <c r="I134" s="2">
        <v>36</v>
      </c>
      <c r="J134" s="2">
        <v>80</v>
      </c>
      <c r="K134" s="2">
        <v>27592.57</v>
      </c>
      <c r="L134" s="2">
        <v>439.38</v>
      </c>
      <c r="M134" s="2">
        <v>24.74</v>
      </c>
      <c r="N134" s="2" t="s">
        <v>30</v>
      </c>
      <c r="O134" s="2">
        <v>1</v>
      </c>
    </row>
    <row r="135" spans="1:15" x14ac:dyDescent="0.3">
      <c r="A135" s="2" t="s">
        <v>190</v>
      </c>
      <c r="B135" s="2" t="s">
        <v>47</v>
      </c>
      <c r="C135" s="1">
        <v>45894</v>
      </c>
      <c r="D135" s="2" t="s">
        <v>32</v>
      </c>
      <c r="E135" s="2" t="s">
        <v>26</v>
      </c>
      <c r="F135" s="2" t="s">
        <v>34</v>
      </c>
      <c r="G135" s="2" t="s">
        <v>20</v>
      </c>
      <c r="H135" s="2" t="s">
        <v>56</v>
      </c>
      <c r="I135" s="2">
        <v>69</v>
      </c>
      <c r="J135" s="2">
        <v>108</v>
      </c>
      <c r="K135" s="2">
        <v>8647.66</v>
      </c>
      <c r="L135" s="2">
        <v>321.27999999999997</v>
      </c>
      <c r="M135" s="2">
        <v>153.13</v>
      </c>
      <c r="N135" s="2" t="s">
        <v>30</v>
      </c>
      <c r="O135" s="2">
        <v>5</v>
      </c>
    </row>
    <row r="136" spans="1:15" x14ac:dyDescent="0.3">
      <c r="A136" s="2" t="s">
        <v>191</v>
      </c>
      <c r="B136" s="2" t="s">
        <v>37</v>
      </c>
      <c r="C136" s="1">
        <v>45917</v>
      </c>
      <c r="D136" s="2" t="s">
        <v>90</v>
      </c>
      <c r="E136" s="2" t="s">
        <v>45</v>
      </c>
      <c r="F136" s="2" t="s">
        <v>19</v>
      </c>
      <c r="G136" s="2" t="s">
        <v>55</v>
      </c>
      <c r="H136" s="2" t="s">
        <v>29</v>
      </c>
      <c r="I136" s="2">
        <v>71</v>
      </c>
      <c r="J136" s="2">
        <v>104</v>
      </c>
      <c r="K136" s="2">
        <v>3662.05</v>
      </c>
      <c r="L136" s="2">
        <v>377.39</v>
      </c>
      <c r="M136" s="2">
        <v>20.94</v>
      </c>
      <c r="N136" s="2" t="s">
        <v>30</v>
      </c>
      <c r="O136" s="2">
        <v>1</v>
      </c>
    </row>
    <row r="137" spans="1:15" x14ac:dyDescent="0.3">
      <c r="A137" s="2" t="s">
        <v>192</v>
      </c>
      <c r="B137" s="2" t="s">
        <v>17</v>
      </c>
      <c r="C137" s="1">
        <v>45965</v>
      </c>
      <c r="D137" s="2" t="s">
        <v>32</v>
      </c>
      <c r="E137" s="2" t="s">
        <v>26</v>
      </c>
      <c r="F137" s="2" t="s">
        <v>34</v>
      </c>
      <c r="G137" s="2" t="s">
        <v>28</v>
      </c>
      <c r="H137" s="2" t="s">
        <v>56</v>
      </c>
      <c r="I137" s="2">
        <v>38</v>
      </c>
      <c r="J137" s="2">
        <v>55</v>
      </c>
      <c r="K137" s="2">
        <v>16210.75</v>
      </c>
      <c r="L137" s="2">
        <v>101.82</v>
      </c>
      <c r="M137" s="2">
        <v>95.74</v>
      </c>
      <c r="N137" s="2" t="s">
        <v>22</v>
      </c>
      <c r="O137" s="2">
        <v>5</v>
      </c>
    </row>
    <row r="138" spans="1:15" x14ac:dyDescent="0.3">
      <c r="A138" s="2" t="s">
        <v>193</v>
      </c>
      <c r="B138" s="2" t="s">
        <v>33</v>
      </c>
      <c r="C138" s="1">
        <v>46064</v>
      </c>
      <c r="D138" s="2" t="s">
        <v>16</v>
      </c>
      <c r="E138" s="2" t="s">
        <v>58</v>
      </c>
      <c r="F138" s="2" t="s">
        <v>34</v>
      </c>
      <c r="G138" s="2" t="s">
        <v>55</v>
      </c>
      <c r="H138" s="2" t="s">
        <v>21</v>
      </c>
      <c r="I138" s="2">
        <v>55</v>
      </c>
      <c r="J138" s="2">
        <v>18</v>
      </c>
      <c r="K138" s="2">
        <v>11405.8</v>
      </c>
      <c r="L138" s="2">
        <v>314.66000000000003</v>
      </c>
      <c r="M138" s="2">
        <v>34.47</v>
      </c>
      <c r="N138" s="2" t="s">
        <v>30</v>
      </c>
      <c r="O138" s="2">
        <v>1</v>
      </c>
    </row>
    <row r="139" spans="1:15" x14ac:dyDescent="0.3">
      <c r="A139" s="2" t="s">
        <v>194</v>
      </c>
      <c r="B139" s="2" t="s">
        <v>78</v>
      </c>
      <c r="C139" s="1">
        <v>45888</v>
      </c>
      <c r="D139" s="2" t="s">
        <v>32</v>
      </c>
      <c r="E139" s="2" t="s">
        <v>58</v>
      </c>
      <c r="F139" s="2" t="s">
        <v>27</v>
      </c>
      <c r="G139" s="2" t="s">
        <v>64</v>
      </c>
      <c r="H139" s="2" t="s">
        <v>56</v>
      </c>
      <c r="I139" s="2">
        <v>73</v>
      </c>
      <c r="J139" s="2">
        <v>34</v>
      </c>
      <c r="K139" s="2">
        <v>26007.61</v>
      </c>
      <c r="L139" s="2">
        <v>350.13</v>
      </c>
      <c r="M139" s="2">
        <v>150.47</v>
      </c>
      <c r="N139" s="2" t="s">
        <v>30</v>
      </c>
      <c r="O139" s="2">
        <v>5</v>
      </c>
    </row>
    <row r="140" spans="1:15" x14ac:dyDescent="0.3">
      <c r="A140" s="2" t="s">
        <v>195</v>
      </c>
      <c r="B140" s="2" t="s">
        <v>25</v>
      </c>
      <c r="C140" s="1">
        <v>45903</v>
      </c>
      <c r="D140" s="2" t="s">
        <v>90</v>
      </c>
      <c r="E140" s="2" t="s">
        <v>38</v>
      </c>
      <c r="F140" s="2" t="s">
        <v>39</v>
      </c>
      <c r="G140" s="2" t="s">
        <v>35</v>
      </c>
      <c r="H140" s="2" t="s">
        <v>29</v>
      </c>
      <c r="I140" s="2">
        <v>46</v>
      </c>
      <c r="J140" s="2">
        <v>89</v>
      </c>
      <c r="K140" s="2">
        <v>5567.17</v>
      </c>
      <c r="L140" s="2">
        <v>140.32</v>
      </c>
      <c r="M140" s="2">
        <v>273.48</v>
      </c>
      <c r="N140" s="2" t="s">
        <v>30</v>
      </c>
      <c r="O140" s="2">
        <v>4</v>
      </c>
    </row>
    <row r="141" spans="1:15" x14ac:dyDescent="0.3">
      <c r="A141" s="2" t="s">
        <v>196</v>
      </c>
      <c r="B141" s="2" t="s">
        <v>51</v>
      </c>
      <c r="C141" s="1">
        <v>45930</v>
      </c>
      <c r="D141" s="2" t="s">
        <v>90</v>
      </c>
      <c r="E141" s="2" t="s">
        <v>18</v>
      </c>
      <c r="F141" s="2" t="s">
        <v>27</v>
      </c>
      <c r="G141" s="2" t="s">
        <v>28</v>
      </c>
      <c r="H141" s="2" t="s">
        <v>56</v>
      </c>
      <c r="I141" s="2">
        <v>36</v>
      </c>
      <c r="J141" s="2">
        <v>45</v>
      </c>
      <c r="K141" s="2">
        <v>37712.65</v>
      </c>
      <c r="L141" s="2">
        <v>446.07</v>
      </c>
      <c r="M141" s="2">
        <v>110.83</v>
      </c>
      <c r="N141" s="2" t="s">
        <v>30</v>
      </c>
      <c r="O141" s="2">
        <v>2</v>
      </c>
    </row>
    <row r="142" spans="1:15" x14ac:dyDescent="0.3">
      <c r="A142" s="2" t="s">
        <v>197</v>
      </c>
      <c r="B142" s="2" t="s">
        <v>60</v>
      </c>
      <c r="C142" s="1">
        <v>46117</v>
      </c>
      <c r="D142" s="2" t="s">
        <v>16</v>
      </c>
      <c r="E142" s="2" t="s">
        <v>18</v>
      </c>
      <c r="F142" s="2" t="s">
        <v>19</v>
      </c>
      <c r="G142" s="2" t="s">
        <v>64</v>
      </c>
      <c r="H142" s="2" t="s">
        <v>21</v>
      </c>
      <c r="I142" s="2">
        <v>26</v>
      </c>
      <c r="J142" s="2">
        <v>6</v>
      </c>
      <c r="K142" s="2">
        <v>45358.559999999998</v>
      </c>
      <c r="L142" s="2">
        <v>137.75</v>
      </c>
      <c r="M142" s="2">
        <v>105.43</v>
      </c>
      <c r="N142" s="2" t="s">
        <v>30</v>
      </c>
      <c r="O142" s="2">
        <v>5</v>
      </c>
    </row>
    <row r="143" spans="1:15" x14ac:dyDescent="0.3">
      <c r="A143" s="2" t="s">
        <v>198</v>
      </c>
      <c r="B143" s="2" t="s">
        <v>86</v>
      </c>
      <c r="C143" s="1">
        <v>45944</v>
      </c>
      <c r="D143" s="2" t="s">
        <v>90</v>
      </c>
      <c r="E143" s="2" t="s">
        <v>26</v>
      </c>
      <c r="F143" s="2" t="s">
        <v>19</v>
      </c>
      <c r="G143" s="2" t="s">
        <v>20</v>
      </c>
      <c r="H143" s="2" t="s">
        <v>56</v>
      </c>
      <c r="I143" s="2">
        <v>64</v>
      </c>
      <c r="J143" s="2">
        <v>21</v>
      </c>
      <c r="K143" s="2">
        <v>37300.04</v>
      </c>
      <c r="L143" s="2">
        <v>191.06</v>
      </c>
      <c r="M143" s="2">
        <v>152.79</v>
      </c>
      <c r="N143" s="2" t="s">
        <v>22</v>
      </c>
      <c r="O143" s="2">
        <v>4</v>
      </c>
    </row>
    <row r="144" spans="1:15" x14ac:dyDescent="0.3">
      <c r="A144" s="2" t="s">
        <v>199</v>
      </c>
      <c r="B144" s="2" t="s">
        <v>76</v>
      </c>
      <c r="C144" s="1">
        <v>46225</v>
      </c>
      <c r="D144" s="2" t="s">
        <v>43</v>
      </c>
      <c r="E144" s="2" t="s">
        <v>45</v>
      </c>
      <c r="F144" s="2" t="s">
        <v>19</v>
      </c>
      <c r="G144" s="2" t="s">
        <v>28</v>
      </c>
      <c r="H144" s="2" t="s">
        <v>52</v>
      </c>
      <c r="I144" s="2">
        <v>63</v>
      </c>
      <c r="J144" s="2">
        <v>70</v>
      </c>
      <c r="K144" s="2">
        <v>26874.94</v>
      </c>
      <c r="L144" s="2">
        <v>329.25</v>
      </c>
      <c r="M144" s="2">
        <v>1.02</v>
      </c>
      <c r="N144" s="2" t="s">
        <v>30</v>
      </c>
      <c r="O144" s="2">
        <v>3</v>
      </c>
    </row>
    <row r="145" spans="1:15" x14ac:dyDescent="0.3">
      <c r="A145" s="2" t="s">
        <v>200</v>
      </c>
      <c r="B145" s="2" t="s">
        <v>62</v>
      </c>
      <c r="C145" s="1">
        <v>46055</v>
      </c>
      <c r="D145" s="2" t="s">
        <v>90</v>
      </c>
      <c r="E145" s="2" t="s">
        <v>18</v>
      </c>
      <c r="F145" s="2" t="s">
        <v>27</v>
      </c>
      <c r="G145" s="2" t="s">
        <v>35</v>
      </c>
      <c r="H145" s="2" t="s">
        <v>29</v>
      </c>
      <c r="I145" s="2">
        <v>67</v>
      </c>
      <c r="J145" s="2">
        <v>96</v>
      </c>
      <c r="K145" s="2">
        <v>43103.06</v>
      </c>
      <c r="L145" s="2">
        <v>337.26</v>
      </c>
      <c r="M145" s="2">
        <v>275.33</v>
      </c>
      <c r="N145" s="2" t="s">
        <v>30</v>
      </c>
      <c r="O145" s="2">
        <v>1</v>
      </c>
    </row>
    <row r="146" spans="1:15" x14ac:dyDescent="0.3">
      <c r="A146" s="2" t="s">
        <v>201</v>
      </c>
      <c r="B146" s="2" t="s">
        <v>33</v>
      </c>
      <c r="C146" s="1">
        <v>46161</v>
      </c>
      <c r="D146" s="2" t="s">
        <v>24</v>
      </c>
      <c r="E146" s="2" t="s">
        <v>38</v>
      </c>
      <c r="F146" s="2" t="s">
        <v>34</v>
      </c>
      <c r="G146" s="2" t="s">
        <v>35</v>
      </c>
      <c r="H146" s="2" t="s">
        <v>52</v>
      </c>
      <c r="I146" s="2">
        <v>67</v>
      </c>
      <c r="J146" s="2">
        <v>105</v>
      </c>
      <c r="K146" s="2">
        <v>34898.46</v>
      </c>
      <c r="L146" s="2">
        <v>364.72</v>
      </c>
      <c r="M146" s="2">
        <v>39.49</v>
      </c>
      <c r="N146" s="2" t="s">
        <v>30</v>
      </c>
      <c r="O146" s="2">
        <v>3</v>
      </c>
    </row>
    <row r="147" spans="1:15" x14ac:dyDescent="0.3">
      <c r="A147" s="2" t="s">
        <v>202</v>
      </c>
      <c r="B147" s="2" t="s">
        <v>44</v>
      </c>
      <c r="C147" s="1">
        <v>46064</v>
      </c>
      <c r="D147" s="2" t="s">
        <v>43</v>
      </c>
      <c r="E147" s="2" t="s">
        <v>26</v>
      </c>
      <c r="F147" s="2" t="s">
        <v>34</v>
      </c>
      <c r="G147" s="2" t="s">
        <v>20</v>
      </c>
      <c r="H147" s="2" t="s">
        <v>21</v>
      </c>
      <c r="I147" s="2">
        <v>68</v>
      </c>
      <c r="J147" s="2">
        <v>48</v>
      </c>
      <c r="K147" s="2">
        <v>1022.28</v>
      </c>
      <c r="L147" s="2">
        <v>100.41</v>
      </c>
      <c r="M147" s="2">
        <v>196.82</v>
      </c>
      <c r="N147" s="2" t="s">
        <v>22</v>
      </c>
      <c r="O147" s="2">
        <v>4</v>
      </c>
    </row>
    <row r="148" spans="1:15" x14ac:dyDescent="0.3">
      <c r="A148" s="2" t="s">
        <v>203</v>
      </c>
      <c r="B148" s="2" t="s">
        <v>49</v>
      </c>
      <c r="C148" s="1">
        <v>46014</v>
      </c>
      <c r="D148" s="2" t="s">
        <v>43</v>
      </c>
      <c r="E148" s="2" t="s">
        <v>26</v>
      </c>
      <c r="F148" s="2" t="s">
        <v>68</v>
      </c>
      <c r="G148" s="2" t="s">
        <v>20</v>
      </c>
      <c r="H148" s="2" t="s">
        <v>56</v>
      </c>
      <c r="I148" s="2">
        <v>62</v>
      </c>
      <c r="J148" s="2">
        <v>107</v>
      </c>
      <c r="K148" s="2">
        <v>20007.46</v>
      </c>
      <c r="L148" s="2">
        <v>432.26</v>
      </c>
      <c r="M148" s="2">
        <v>147.25</v>
      </c>
      <c r="N148" s="2" t="s">
        <v>30</v>
      </c>
      <c r="O148" s="2">
        <v>3</v>
      </c>
    </row>
    <row r="149" spans="1:15" x14ac:dyDescent="0.3">
      <c r="A149" s="2" t="s">
        <v>204</v>
      </c>
      <c r="B149" s="2" t="s">
        <v>47</v>
      </c>
      <c r="C149" s="1">
        <v>46131</v>
      </c>
      <c r="D149" s="2" t="s">
        <v>16</v>
      </c>
      <c r="E149" s="2" t="s">
        <v>38</v>
      </c>
      <c r="F149" s="2" t="s">
        <v>19</v>
      </c>
      <c r="G149" s="2" t="s">
        <v>28</v>
      </c>
      <c r="H149" s="2" t="s">
        <v>52</v>
      </c>
      <c r="I149" s="2">
        <v>32</v>
      </c>
      <c r="J149" s="2">
        <v>39</v>
      </c>
      <c r="K149" s="2">
        <v>42622.12</v>
      </c>
      <c r="L149" s="2">
        <v>289.77999999999997</v>
      </c>
      <c r="M149" s="2">
        <v>154.85</v>
      </c>
      <c r="N149" s="2" t="s">
        <v>22</v>
      </c>
      <c r="O149" s="2">
        <v>3</v>
      </c>
    </row>
    <row r="150" spans="1:15" x14ac:dyDescent="0.3">
      <c r="A150" s="2" t="s">
        <v>205</v>
      </c>
      <c r="B150" s="2" t="s">
        <v>76</v>
      </c>
      <c r="C150" s="1">
        <v>46132</v>
      </c>
      <c r="D150" s="2" t="s">
        <v>41</v>
      </c>
      <c r="E150" s="2" t="s">
        <v>45</v>
      </c>
      <c r="F150" s="2" t="s">
        <v>34</v>
      </c>
      <c r="G150" s="2" t="s">
        <v>55</v>
      </c>
      <c r="H150" s="2" t="s">
        <v>52</v>
      </c>
      <c r="I150" s="2">
        <v>33</v>
      </c>
      <c r="J150" s="2">
        <v>31</v>
      </c>
      <c r="K150" s="2">
        <v>17620.009999999998</v>
      </c>
      <c r="L150" s="2">
        <v>262.08999999999997</v>
      </c>
      <c r="M150" s="2">
        <v>131.24</v>
      </c>
      <c r="N150" s="2" t="s">
        <v>30</v>
      </c>
      <c r="O150" s="2">
        <v>4</v>
      </c>
    </row>
    <row r="151" spans="1:15" x14ac:dyDescent="0.3">
      <c r="A151" s="2" t="s">
        <v>206</v>
      </c>
      <c r="B151" s="2" t="s">
        <v>78</v>
      </c>
      <c r="C151" s="1">
        <v>45953</v>
      </c>
      <c r="D151" s="2" t="s">
        <v>41</v>
      </c>
      <c r="E151" s="2" t="s">
        <v>38</v>
      </c>
      <c r="F151" s="2" t="s">
        <v>68</v>
      </c>
      <c r="G151" s="2" t="s">
        <v>20</v>
      </c>
      <c r="H151" s="2" t="s">
        <v>56</v>
      </c>
      <c r="I151" s="2">
        <v>24</v>
      </c>
      <c r="J151" s="2">
        <v>106</v>
      </c>
      <c r="K151" s="2">
        <v>2243.15</v>
      </c>
      <c r="L151" s="2">
        <v>491.49</v>
      </c>
      <c r="M151" s="2">
        <v>94.33</v>
      </c>
      <c r="N151" s="2" t="s">
        <v>30</v>
      </c>
      <c r="O151" s="2">
        <v>2</v>
      </c>
    </row>
    <row r="152" spans="1:15" x14ac:dyDescent="0.3">
      <c r="A152" s="2" t="s">
        <v>207</v>
      </c>
      <c r="B152" s="2" t="s">
        <v>33</v>
      </c>
      <c r="C152" s="1">
        <v>46076</v>
      </c>
      <c r="D152" s="2" t="s">
        <v>90</v>
      </c>
      <c r="E152" s="2" t="s">
        <v>45</v>
      </c>
      <c r="F152" s="2" t="s">
        <v>34</v>
      </c>
      <c r="G152" s="2" t="s">
        <v>55</v>
      </c>
      <c r="H152" s="2" t="s">
        <v>56</v>
      </c>
      <c r="I152" s="2">
        <v>59</v>
      </c>
      <c r="J152" s="2">
        <v>10</v>
      </c>
      <c r="K152" s="2">
        <v>37435.89</v>
      </c>
      <c r="L152" s="2">
        <v>383.17</v>
      </c>
      <c r="M152" s="2">
        <v>114.33</v>
      </c>
      <c r="N152" s="2" t="s">
        <v>30</v>
      </c>
      <c r="O152" s="2">
        <v>5</v>
      </c>
    </row>
    <row r="153" spans="1:15" x14ac:dyDescent="0.3">
      <c r="A153" s="2" t="s">
        <v>208</v>
      </c>
      <c r="B153" s="2" t="s">
        <v>76</v>
      </c>
      <c r="C153" s="1">
        <v>46209</v>
      </c>
      <c r="D153" s="2" t="s">
        <v>43</v>
      </c>
      <c r="E153" s="2" t="s">
        <v>38</v>
      </c>
      <c r="F153" s="2" t="s">
        <v>19</v>
      </c>
      <c r="G153" s="2" t="s">
        <v>64</v>
      </c>
      <c r="H153" s="2" t="s">
        <v>29</v>
      </c>
      <c r="I153" s="2">
        <v>74</v>
      </c>
      <c r="J153" s="2">
        <v>30</v>
      </c>
      <c r="K153" s="2">
        <v>40200.89</v>
      </c>
      <c r="L153" s="2">
        <v>103.1</v>
      </c>
      <c r="M153" s="2">
        <v>13.92</v>
      </c>
      <c r="N153" s="2" t="s">
        <v>30</v>
      </c>
      <c r="O153" s="2">
        <v>1</v>
      </c>
    </row>
    <row r="154" spans="1:15" x14ac:dyDescent="0.3">
      <c r="A154" s="2" t="s">
        <v>209</v>
      </c>
      <c r="B154" s="2" t="s">
        <v>33</v>
      </c>
      <c r="C154" s="1">
        <v>46040</v>
      </c>
      <c r="D154" s="2" t="s">
        <v>41</v>
      </c>
      <c r="E154" s="2" t="s">
        <v>38</v>
      </c>
      <c r="F154" s="2" t="s">
        <v>39</v>
      </c>
      <c r="G154" s="2" t="s">
        <v>35</v>
      </c>
      <c r="H154" s="2" t="s">
        <v>52</v>
      </c>
      <c r="I154" s="2">
        <v>22</v>
      </c>
      <c r="J154" s="2">
        <v>116</v>
      </c>
      <c r="K154" s="2">
        <v>8449.39</v>
      </c>
      <c r="L154" s="2">
        <v>390.44</v>
      </c>
      <c r="M154" s="2">
        <v>124.79</v>
      </c>
      <c r="N154" s="2" t="s">
        <v>22</v>
      </c>
      <c r="O154" s="2">
        <v>5</v>
      </c>
    </row>
    <row r="155" spans="1:15" x14ac:dyDescent="0.3">
      <c r="A155" s="2" t="s">
        <v>210</v>
      </c>
      <c r="B155" s="2" t="s">
        <v>51</v>
      </c>
      <c r="C155" s="1">
        <v>46165</v>
      </c>
      <c r="D155" s="2" t="s">
        <v>41</v>
      </c>
      <c r="E155" s="2" t="s">
        <v>58</v>
      </c>
      <c r="F155" s="2" t="s">
        <v>19</v>
      </c>
      <c r="G155" s="2" t="s">
        <v>55</v>
      </c>
      <c r="H155" s="2" t="s">
        <v>52</v>
      </c>
      <c r="I155" s="2">
        <v>46</v>
      </c>
      <c r="J155" s="2">
        <v>18</v>
      </c>
      <c r="K155" s="2">
        <v>27098.35</v>
      </c>
      <c r="L155" s="2">
        <v>92.86</v>
      </c>
      <c r="M155" s="2">
        <v>125.22</v>
      </c>
      <c r="N155" s="2" t="s">
        <v>30</v>
      </c>
      <c r="O155" s="2">
        <v>1</v>
      </c>
    </row>
    <row r="156" spans="1:15" x14ac:dyDescent="0.3">
      <c r="A156" s="2" t="s">
        <v>211</v>
      </c>
      <c r="B156" s="2" t="s">
        <v>47</v>
      </c>
      <c r="C156" s="1">
        <v>45929</v>
      </c>
      <c r="D156" s="2" t="s">
        <v>90</v>
      </c>
      <c r="E156" s="2" t="s">
        <v>26</v>
      </c>
      <c r="F156" s="2" t="s">
        <v>27</v>
      </c>
      <c r="G156" s="2" t="s">
        <v>35</v>
      </c>
      <c r="H156" s="2" t="s">
        <v>21</v>
      </c>
      <c r="I156" s="2">
        <v>47</v>
      </c>
      <c r="J156" s="2">
        <v>60</v>
      </c>
      <c r="K156" s="2">
        <v>10001.790000000001</v>
      </c>
      <c r="L156" s="2">
        <v>62.36</v>
      </c>
      <c r="M156" s="2">
        <v>178.24</v>
      </c>
      <c r="N156" s="2" t="s">
        <v>30</v>
      </c>
      <c r="O156" s="2">
        <v>5</v>
      </c>
    </row>
    <row r="157" spans="1:15" x14ac:dyDescent="0.3">
      <c r="A157" s="2" t="s">
        <v>212</v>
      </c>
      <c r="B157" s="2" t="s">
        <v>78</v>
      </c>
      <c r="C157" s="1">
        <v>45920</v>
      </c>
      <c r="D157" s="2" t="s">
        <v>41</v>
      </c>
      <c r="E157" s="2" t="s">
        <v>38</v>
      </c>
      <c r="F157" s="2" t="s">
        <v>34</v>
      </c>
      <c r="G157" s="2" t="s">
        <v>55</v>
      </c>
      <c r="H157" s="2" t="s">
        <v>29</v>
      </c>
      <c r="I157" s="2">
        <v>47</v>
      </c>
      <c r="J157" s="2">
        <v>88</v>
      </c>
      <c r="K157" s="2">
        <v>36102.1</v>
      </c>
      <c r="L157" s="2">
        <v>231.63</v>
      </c>
      <c r="M157" s="2">
        <v>151.69999999999999</v>
      </c>
      <c r="N157" s="2" t="s">
        <v>22</v>
      </c>
      <c r="O157" s="2">
        <v>3</v>
      </c>
    </row>
    <row r="158" spans="1:15" x14ac:dyDescent="0.3">
      <c r="A158" s="2" t="s">
        <v>213</v>
      </c>
      <c r="B158" s="2" t="s">
        <v>44</v>
      </c>
      <c r="C158" s="1">
        <v>46190</v>
      </c>
      <c r="D158" s="2" t="s">
        <v>32</v>
      </c>
      <c r="E158" s="2" t="s">
        <v>38</v>
      </c>
      <c r="F158" s="2" t="s">
        <v>34</v>
      </c>
      <c r="G158" s="2" t="s">
        <v>64</v>
      </c>
      <c r="H158" s="2" t="s">
        <v>21</v>
      </c>
      <c r="I158" s="2">
        <v>35</v>
      </c>
      <c r="J158" s="2">
        <v>116</v>
      </c>
      <c r="K158" s="2">
        <v>13941.75</v>
      </c>
      <c r="L158" s="2">
        <v>497.11</v>
      </c>
      <c r="M158" s="2">
        <v>15.43</v>
      </c>
      <c r="N158" s="2" t="s">
        <v>30</v>
      </c>
      <c r="O158" s="2">
        <v>2</v>
      </c>
    </row>
    <row r="159" spans="1:15" x14ac:dyDescent="0.3">
      <c r="A159" s="2" t="s">
        <v>214</v>
      </c>
      <c r="B159" s="2" t="s">
        <v>67</v>
      </c>
      <c r="C159" s="1">
        <v>46043</v>
      </c>
      <c r="D159" s="2" t="s">
        <v>54</v>
      </c>
      <c r="E159" s="2" t="s">
        <v>18</v>
      </c>
      <c r="F159" s="2" t="s">
        <v>27</v>
      </c>
      <c r="G159" s="2" t="s">
        <v>20</v>
      </c>
      <c r="H159" s="2" t="s">
        <v>52</v>
      </c>
      <c r="I159" s="2">
        <v>28</v>
      </c>
      <c r="J159" s="2">
        <v>73</v>
      </c>
      <c r="K159" s="2">
        <v>16152.65</v>
      </c>
      <c r="L159" s="2">
        <v>128.69999999999999</v>
      </c>
      <c r="M159" s="2">
        <v>61.24</v>
      </c>
      <c r="N159" s="2" t="s">
        <v>30</v>
      </c>
      <c r="O159" s="2">
        <v>3</v>
      </c>
    </row>
    <row r="160" spans="1:15" x14ac:dyDescent="0.3">
      <c r="A160" s="2" t="s">
        <v>215</v>
      </c>
      <c r="B160" s="2" t="s">
        <v>17</v>
      </c>
      <c r="C160" s="1">
        <v>45915</v>
      </c>
      <c r="D160" s="2" t="s">
        <v>16</v>
      </c>
      <c r="E160" s="2" t="s">
        <v>26</v>
      </c>
      <c r="F160" s="2" t="s">
        <v>27</v>
      </c>
      <c r="G160" s="2" t="s">
        <v>64</v>
      </c>
      <c r="H160" s="2" t="s">
        <v>21</v>
      </c>
      <c r="I160" s="2">
        <v>27</v>
      </c>
      <c r="J160" s="2">
        <v>95</v>
      </c>
      <c r="K160" s="2">
        <v>42326.06</v>
      </c>
      <c r="L160" s="2">
        <v>352.69</v>
      </c>
      <c r="M160" s="2">
        <v>131.13</v>
      </c>
      <c r="N160" s="2" t="s">
        <v>22</v>
      </c>
      <c r="O160" s="2">
        <v>2</v>
      </c>
    </row>
    <row r="161" spans="1:15" x14ac:dyDescent="0.3">
      <c r="A161" s="2" t="s">
        <v>216</v>
      </c>
      <c r="B161" s="2" t="s">
        <v>44</v>
      </c>
      <c r="C161" s="1">
        <v>46031</v>
      </c>
      <c r="D161" s="2" t="s">
        <v>54</v>
      </c>
      <c r="E161" s="2" t="s">
        <v>18</v>
      </c>
      <c r="F161" s="2" t="s">
        <v>39</v>
      </c>
      <c r="G161" s="2" t="s">
        <v>20</v>
      </c>
      <c r="H161" s="2" t="s">
        <v>52</v>
      </c>
      <c r="I161" s="2">
        <v>67</v>
      </c>
      <c r="J161" s="2">
        <v>15</v>
      </c>
      <c r="K161" s="2">
        <v>24077.96</v>
      </c>
      <c r="L161" s="2">
        <v>128.03</v>
      </c>
      <c r="M161" s="2">
        <v>47.85</v>
      </c>
      <c r="N161" s="2" t="s">
        <v>30</v>
      </c>
      <c r="O161" s="2">
        <v>4</v>
      </c>
    </row>
    <row r="162" spans="1:15" x14ac:dyDescent="0.3">
      <c r="A162" s="2" t="s">
        <v>217</v>
      </c>
      <c r="B162" s="2" t="s">
        <v>67</v>
      </c>
      <c r="C162" s="1">
        <v>46007</v>
      </c>
      <c r="D162" s="2" t="s">
        <v>90</v>
      </c>
      <c r="E162" s="2" t="s">
        <v>26</v>
      </c>
      <c r="F162" s="2" t="s">
        <v>34</v>
      </c>
      <c r="G162" s="2" t="s">
        <v>20</v>
      </c>
      <c r="H162" s="2" t="s">
        <v>52</v>
      </c>
      <c r="I162" s="2">
        <v>66</v>
      </c>
      <c r="J162" s="2">
        <v>4</v>
      </c>
      <c r="K162" s="2">
        <v>33652.85</v>
      </c>
      <c r="L162" s="2">
        <v>376.15</v>
      </c>
      <c r="M162" s="2">
        <v>56.11</v>
      </c>
      <c r="N162" s="2" t="s">
        <v>22</v>
      </c>
      <c r="O162" s="2">
        <v>1</v>
      </c>
    </row>
    <row r="163" spans="1:15" x14ac:dyDescent="0.3">
      <c r="A163" s="2" t="s">
        <v>218</v>
      </c>
      <c r="B163" s="2" t="s">
        <v>49</v>
      </c>
      <c r="C163" s="1">
        <v>45957</v>
      </c>
      <c r="D163" s="2" t="s">
        <v>24</v>
      </c>
      <c r="E163" s="2" t="s">
        <v>18</v>
      </c>
      <c r="F163" s="2" t="s">
        <v>34</v>
      </c>
      <c r="G163" s="2" t="s">
        <v>35</v>
      </c>
      <c r="H163" s="2" t="s">
        <v>21</v>
      </c>
      <c r="I163" s="2">
        <v>60</v>
      </c>
      <c r="J163" s="2">
        <v>63</v>
      </c>
      <c r="K163" s="2">
        <v>20417.47</v>
      </c>
      <c r="L163" s="2">
        <v>277.41000000000003</v>
      </c>
      <c r="M163" s="2">
        <v>164.09</v>
      </c>
      <c r="N163" s="2" t="s">
        <v>30</v>
      </c>
      <c r="O163" s="2">
        <v>1</v>
      </c>
    </row>
    <row r="164" spans="1:15" x14ac:dyDescent="0.3">
      <c r="A164" s="2" t="s">
        <v>219</v>
      </c>
      <c r="B164" s="2" t="s">
        <v>60</v>
      </c>
      <c r="C164" s="1">
        <v>45929</v>
      </c>
      <c r="D164" s="2" t="s">
        <v>16</v>
      </c>
      <c r="E164" s="2" t="s">
        <v>38</v>
      </c>
      <c r="F164" s="2" t="s">
        <v>39</v>
      </c>
      <c r="G164" s="2" t="s">
        <v>64</v>
      </c>
      <c r="H164" s="2" t="s">
        <v>21</v>
      </c>
      <c r="I164" s="2">
        <v>32</v>
      </c>
      <c r="J164" s="2">
        <v>40</v>
      </c>
      <c r="K164" s="2">
        <v>15251.34</v>
      </c>
      <c r="L164" s="2">
        <v>355.99</v>
      </c>
      <c r="M164" s="2">
        <v>116.86</v>
      </c>
      <c r="N164" s="2" t="s">
        <v>22</v>
      </c>
      <c r="O164" s="2">
        <v>4</v>
      </c>
    </row>
    <row r="165" spans="1:15" x14ac:dyDescent="0.3">
      <c r="A165" s="2" t="s">
        <v>220</v>
      </c>
      <c r="B165" s="2" t="s">
        <v>82</v>
      </c>
      <c r="C165" s="1">
        <v>46186</v>
      </c>
      <c r="D165" s="2" t="s">
        <v>90</v>
      </c>
      <c r="E165" s="2" t="s">
        <v>38</v>
      </c>
      <c r="F165" s="2" t="s">
        <v>68</v>
      </c>
      <c r="G165" s="2" t="s">
        <v>55</v>
      </c>
      <c r="H165" s="2" t="s">
        <v>56</v>
      </c>
      <c r="I165" s="2">
        <v>33</v>
      </c>
      <c r="J165" s="2">
        <v>9</v>
      </c>
      <c r="K165" s="2">
        <v>31461.16</v>
      </c>
      <c r="L165" s="2">
        <v>141.29</v>
      </c>
      <c r="M165" s="2">
        <v>101.71</v>
      </c>
      <c r="N165" s="2" t="s">
        <v>30</v>
      </c>
      <c r="O165" s="2">
        <v>5</v>
      </c>
    </row>
    <row r="166" spans="1:15" x14ac:dyDescent="0.3">
      <c r="A166" s="2" t="s">
        <v>221</v>
      </c>
      <c r="B166" s="2" t="s">
        <v>82</v>
      </c>
      <c r="C166" s="1">
        <v>46049</v>
      </c>
      <c r="D166" s="2" t="s">
        <v>43</v>
      </c>
      <c r="E166" s="2" t="s">
        <v>58</v>
      </c>
      <c r="F166" s="2" t="s">
        <v>39</v>
      </c>
      <c r="G166" s="2" t="s">
        <v>64</v>
      </c>
      <c r="H166" s="2" t="s">
        <v>56</v>
      </c>
      <c r="I166" s="2">
        <v>63</v>
      </c>
      <c r="J166" s="2">
        <v>109</v>
      </c>
      <c r="K166" s="2">
        <v>8165.45</v>
      </c>
      <c r="L166" s="2">
        <v>385.53</v>
      </c>
      <c r="M166" s="2">
        <v>63.69</v>
      </c>
      <c r="N166" s="2" t="s">
        <v>22</v>
      </c>
      <c r="O166" s="2">
        <v>4</v>
      </c>
    </row>
    <row r="167" spans="1:15" x14ac:dyDescent="0.3">
      <c r="A167" s="2" t="s">
        <v>222</v>
      </c>
      <c r="B167" s="2" t="s">
        <v>82</v>
      </c>
      <c r="C167" s="1">
        <v>45887</v>
      </c>
      <c r="D167" s="2" t="s">
        <v>24</v>
      </c>
      <c r="E167" s="2" t="s">
        <v>18</v>
      </c>
      <c r="F167" s="2" t="s">
        <v>19</v>
      </c>
      <c r="G167" s="2" t="s">
        <v>35</v>
      </c>
      <c r="H167" s="2" t="s">
        <v>56</v>
      </c>
      <c r="I167" s="2">
        <v>37</v>
      </c>
      <c r="J167" s="2">
        <v>9</v>
      </c>
      <c r="K167" s="2">
        <v>18963.490000000002</v>
      </c>
      <c r="L167" s="2">
        <v>498.03</v>
      </c>
      <c r="M167" s="2">
        <v>146.19</v>
      </c>
      <c r="N167" s="2" t="s">
        <v>30</v>
      </c>
      <c r="O167" s="2">
        <v>4</v>
      </c>
    </row>
    <row r="168" spans="1:15" x14ac:dyDescent="0.3">
      <c r="A168" s="2" t="s">
        <v>223</v>
      </c>
      <c r="B168" s="2" t="s">
        <v>62</v>
      </c>
      <c r="C168" s="1">
        <v>45980</v>
      </c>
      <c r="D168" s="2" t="s">
        <v>54</v>
      </c>
      <c r="E168" s="2" t="s">
        <v>45</v>
      </c>
      <c r="F168" s="2" t="s">
        <v>34</v>
      </c>
      <c r="G168" s="2" t="s">
        <v>20</v>
      </c>
      <c r="H168" s="2" t="s">
        <v>52</v>
      </c>
      <c r="I168" s="2">
        <v>37</v>
      </c>
      <c r="J168" s="2">
        <v>26</v>
      </c>
      <c r="K168" s="2">
        <v>10847.33</v>
      </c>
      <c r="L168" s="2">
        <v>349.54</v>
      </c>
      <c r="M168" s="2">
        <v>57.54</v>
      </c>
      <c r="N168" s="2" t="s">
        <v>22</v>
      </c>
      <c r="O168" s="2">
        <v>2</v>
      </c>
    </row>
    <row r="169" spans="1:15" x14ac:dyDescent="0.3">
      <c r="A169" s="2" t="s">
        <v>224</v>
      </c>
      <c r="B169" s="2" t="s">
        <v>25</v>
      </c>
      <c r="C169" s="1">
        <v>46096</v>
      </c>
      <c r="D169" s="2" t="s">
        <v>90</v>
      </c>
      <c r="E169" s="2" t="s">
        <v>58</v>
      </c>
      <c r="F169" s="2" t="s">
        <v>27</v>
      </c>
      <c r="G169" s="2" t="s">
        <v>35</v>
      </c>
      <c r="H169" s="2" t="s">
        <v>21</v>
      </c>
      <c r="I169" s="2">
        <v>56</v>
      </c>
      <c r="J169" s="2">
        <v>4</v>
      </c>
      <c r="K169" s="2">
        <v>34941.85</v>
      </c>
      <c r="L169" s="2">
        <v>272.07</v>
      </c>
      <c r="M169" s="2">
        <v>147.41</v>
      </c>
      <c r="N169" s="2" t="s">
        <v>30</v>
      </c>
      <c r="O169" s="2">
        <v>4</v>
      </c>
    </row>
    <row r="170" spans="1:15" x14ac:dyDescent="0.3">
      <c r="A170" s="2" t="s">
        <v>225</v>
      </c>
      <c r="B170" s="2" t="s">
        <v>37</v>
      </c>
      <c r="C170" s="1">
        <v>46025</v>
      </c>
      <c r="D170" s="2" t="s">
        <v>43</v>
      </c>
      <c r="E170" s="2" t="s">
        <v>18</v>
      </c>
      <c r="F170" s="2" t="s">
        <v>19</v>
      </c>
      <c r="G170" s="2" t="s">
        <v>28</v>
      </c>
      <c r="H170" s="2" t="s">
        <v>29</v>
      </c>
      <c r="I170" s="2">
        <v>41</v>
      </c>
      <c r="J170" s="2">
        <v>81</v>
      </c>
      <c r="K170" s="2">
        <v>47238.34</v>
      </c>
      <c r="L170" s="2">
        <v>465.43</v>
      </c>
      <c r="M170" s="2">
        <v>21.03</v>
      </c>
      <c r="N170" s="2" t="s">
        <v>30</v>
      </c>
      <c r="O170" s="2">
        <v>1</v>
      </c>
    </row>
    <row r="171" spans="1:15" x14ac:dyDescent="0.3">
      <c r="A171" s="2" t="s">
        <v>226</v>
      </c>
      <c r="B171" s="2" t="s">
        <v>86</v>
      </c>
      <c r="C171" s="1">
        <v>46064</v>
      </c>
      <c r="D171" s="2" t="s">
        <v>16</v>
      </c>
      <c r="E171" s="2" t="s">
        <v>18</v>
      </c>
      <c r="F171" s="2" t="s">
        <v>34</v>
      </c>
      <c r="G171" s="2" t="s">
        <v>28</v>
      </c>
      <c r="H171" s="2" t="s">
        <v>52</v>
      </c>
      <c r="I171" s="2">
        <v>28</v>
      </c>
      <c r="J171" s="2">
        <v>16</v>
      </c>
      <c r="K171" s="2">
        <v>49777.79</v>
      </c>
      <c r="L171" s="2">
        <v>57.13</v>
      </c>
      <c r="M171" s="2">
        <v>172.91</v>
      </c>
      <c r="N171" s="2" t="s">
        <v>30</v>
      </c>
      <c r="O171" s="2">
        <v>3</v>
      </c>
    </row>
    <row r="172" spans="1:15" x14ac:dyDescent="0.3">
      <c r="A172" s="2" t="s">
        <v>227</v>
      </c>
      <c r="B172" s="2" t="s">
        <v>86</v>
      </c>
      <c r="C172" s="1">
        <v>46015</v>
      </c>
      <c r="D172" s="2" t="s">
        <v>16</v>
      </c>
      <c r="E172" s="2" t="s">
        <v>58</v>
      </c>
      <c r="F172" s="2" t="s">
        <v>39</v>
      </c>
      <c r="G172" s="2" t="s">
        <v>55</v>
      </c>
      <c r="H172" s="2" t="s">
        <v>29</v>
      </c>
      <c r="I172" s="2">
        <v>25</v>
      </c>
      <c r="J172" s="2">
        <v>15</v>
      </c>
      <c r="K172" s="2">
        <v>22788.7</v>
      </c>
      <c r="L172" s="2">
        <v>378.47</v>
      </c>
      <c r="M172" s="2">
        <v>149.86000000000001</v>
      </c>
      <c r="N172" s="2" t="s">
        <v>22</v>
      </c>
      <c r="O172" s="2">
        <v>2</v>
      </c>
    </row>
    <row r="173" spans="1:15" x14ac:dyDescent="0.3">
      <c r="A173" s="2" t="s">
        <v>228</v>
      </c>
      <c r="B173" s="2" t="s">
        <v>25</v>
      </c>
      <c r="C173" s="1">
        <v>45978</v>
      </c>
      <c r="D173" s="2" t="s">
        <v>74</v>
      </c>
      <c r="E173" s="2" t="s">
        <v>38</v>
      </c>
      <c r="F173" s="2" t="s">
        <v>19</v>
      </c>
      <c r="G173" s="2" t="s">
        <v>35</v>
      </c>
      <c r="H173" s="2" t="s">
        <v>21</v>
      </c>
      <c r="I173" s="2">
        <v>46</v>
      </c>
      <c r="J173" s="2">
        <v>99</v>
      </c>
      <c r="K173" s="2">
        <v>13000.25</v>
      </c>
      <c r="L173" s="2">
        <v>449.94</v>
      </c>
      <c r="M173" s="2">
        <v>87.7</v>
      </c>
      <c r="N173" s="2" t="s">
        <v>22</v>
      </c>
      <c r="O173" s="2">
        <v>2</v>
      </c>
    </row>
    <row r="174" spans="1:15" x14ac:dyDescent="0.3">
      <c r="A174" s="2" t="s">
        <v>229</v>
      </c>
      <c r="B174" s="2" t="s">
        <v>82</v>
      </c>
      <c r="C174" s="1">
        <v>46165</v>
      </c>
      <c r="D174" s="2" t="s">
        <v>43</v>
      </c>
      <c r="E174" s="2" t="s">
        <v>18</v>
      </c>
      <c r="F174" s="2" t="s">
        <v>34</v>
      </c>
      <c r="G174" s="2" t="s">
        <v>55</v>
      </c>
      <c r="H174" s="2" t="s">
        <v>52</v>
      </c>
      <c r="I174" s="2">
        <v>36</v>
      </c>
      <c r="J174" s="2">
        <v>52</v>
      </c>
      <c r="K174" s="2">
        <v>22420.05</v>
      </c>
      <c r="L174" s="2">
        <v>77.75</v>
      </c>
      <c r="M174" s="2">
        <v>122.2</v>
      </c>
      <c r="N174" s="2" t="s">
        <v>30</v>
      </c>
      <c r="O174" s="2">
        <v>5</v>
      </c>
    </row>
    <row r="175" spans="1:15" x14ac:dyDescent="0.3">
      <c r="A175" s="2" t="s">
        <v>230</v>
      </c>
      <c r="B175" s="2" t="s">
        <v>17</v>
      </c>
      <c r="C175" s="1">
        <v>46231</v>
      </c>
      <c r="D175" s="2" t="s">
        <v>32</v>
      </c>
      <c r="E175" s="2" t="s">
        <v>38</v>
      </c>
      <c r="F175" s="2" t="s">
        <v>68</v>
      </c>
      <c r="G175" s="2" t="s">
        <v>55</v>
      </c>
      <c r="H175" s="2" t="s">
        <v>29</v>
      </c>
      <c r="I175" s="2">
        <v>56</v>
      </c>
      <c r="J175" s="2">
        <v>69</v>
      </c>
      <c r="K175" s="2">
        <v>42439.839999999997</v>
      </c>
      <c r="L175" s="2">
        <v>252.53</v>
      </c>
      <c r="M175" s="2">
        <v>187.26</v>
      </c>
      <c r="N175" s="2" t="s">
        <v>30</v>
      </c>
      <c r="O175" s="2">
        <v>3</v>
      </c>
    </row>
    <row r="176" spans="1:15" x14ac:dyDescent="0.3">
      <c r="A176" s="2" t="s">
        <v>231</v>
      </c>
      <c r="B176" s="2" t="s">
        <v>78</v>
      </c>
      <c r="C176" s="1">
        <v>45959</v>
      </c>
      <c r="D176" s="2" t="s">
        <v>41</v>
      </c>
      <c r="E176" s="2" t="s">
        <v>58</v>
      </c>
      <c r="F176" s="2" t="s">
        <v>68</v>
      </c>
      <c r="G176" s="2" t="s">
        <v>28</v>
      </c>
      <c r="H176" s="2" t="s">
        <v>29</v>
      </c>
      <c r="I176" s="2">
        <v>48</v>
      </c>
      <c r="J176" s="2">
        <v>119</v>
      </c>
      <c r="K176" s="2">
        <v>10697.28</v>
      </c>
      <c r="L176" s="2">
        <v>142.12</v>
      </c>
      <c r="M176" s="2">
        <v>39.619999999999997</v>
      </c>
      <c r="N176" s="2" t="s">
        <v>22</v>
      </c>
      <c r="O176" s="2">
        <v>2</v>
      </c>
    </row>
    <row r="177" spans="1:15" x14ac:dyDescent="0.3">
      <c r="A177" s="2" t="s">
        <v>232</v>
      </c>
      <c r="B177" s="2" t="s">
        <v>47</v>
      </c>
      <c r="C177" s="1">
        <v>45918</v>
      </c>
      <c r="D177" s="2" t="s">
        <v>24</v>
      </c>
      <c r="E177" s="2" t="s">
        <v>38</v>
      </c>
      <c r="F177" s="2" t="s">
        <v>27</v>
      </c>
      <c r="G177" s="2" t="s">
        <v>55</v>
      </c>
      <c r="H177" s="2" t="s">
        <v>56</v>
      </c>
      <c r="I177" s="2">
        <v>74</v>
      </c>
      <c r="J177" s="2">
        <v>5</v>
      </c>
      <c r="K177" s="2">
        <v>47628.73</v>
      </c>
      <c r="L177" s="2">
        <v>304.93</v>
      </c>
      <c r="M177" s="2">
        <v>151.25</v>
      </c>
      <c r="N177" s="2" t="s">
        <v>30</v>
      </c>
      <c r="O177" s="2">
        <v>4</v>
      </c>
    </row>
    <row r="178" spans="1:15" x14ac:dyDescent="0.3">
      <c r="A178" s="2" t="s">
        <v>233</v>
      </c>
      <c r="B178" s="2" t="s">
        <v>78</v>
      </c>
      <c r="C178" s="1">
        <v>45992</v>
      </c>
      <c r="D178" s="2" t="s">
        <v>43</v>
      </c>
      <c r="E178" s="2" t="s">
        <v>26</v>
      </c>
      <c r="F178" s="2" t="s">
        <v>34</v>
      </c>
      <c r="G178" s="2" t="s">
        <v>28</v>
      </c>
      <c r="H178" s="2" t="s">
        <v>56</v>
      </c>
      <c r="I178" s="2">
        <v>49</v>
      </c>
      <c r="J178" s="2">
        <v>20</v>
      </c>
      <c r="K178" s="2">
        <v>17422.36</v>
      </c>
      <c r="L178" s="2">
        <v>342.29</v>
      </c>
      <c r="M178" s="2">
        <v>55.19</v>
      </c>
      <c r="N178" s="2" t="s">
        <v>22</v>
      </c>
      <c r="O178" s="2">
        <v>2</v>
      </c>
    </row>
    <row r="179" spans="1:15" x14ac:dyDescent="0.3">
      <c r="A179" s="2" t="s">
        <v>234</v>
      </c>
      <c r="B179" s="2" t="s">
        <v>47</v>
      </c>
      <c r="C179" s="1">
        <v>45902</v>
      </c>
      <c r="D179" s="2" t="s">
        <v>74</v>
      </c>
      <c r="E179" s="2" t="s">
        <v>45</v>
      </c>
      <c r="F179" s="2" t="s">
        <v>68</v>
      </c>
      <c r="G179" s="2" t="s">
        <v>20</v>
      </c>
      <c r="H179" s="2" t="s">
        <v>56</v>
      </c>
      <c r="I179" s="2">
        <v>67</v>
      </c>
      <c r="J179" s="2">
        <v>79</v>
      </c>
      <c r="K179" s="2">
        <v>49297.279999999999</v>
      </c>
      <c r="L179" s="2">
        <v>186.18</v>
      </c>
      <c r="M179" s="2">
        <v>180.99</v>
      </c>
      <c r="N179" s="2" t="s">
        <v>30</v>
      </c>
      <c r="O179" s="2">
        <v>2</v>
      </c>
    </row>
    <row r="180" spans="1:15" x14ac:dyDescent="0.3">
      <c r="A180" s="2" t="s">
        <v>235</v>
      </c>
      <c r="B180" s="2" t="s">
        <v>78</v>
      </c>
      <c r="C180" s="1">
        <v>46155</v>
      </c>
      <c r="D180" s="2" t="s">
        <v>41</v>
      </c>
      <c r="E180" s="2" t="s">
        <v>18</v>
      </c>
      <c r="F180" s="2" t="s">
        <v>39</v>
      </c>
      <c r="G180" s="2" t="s">
        <v>35</v>
      </c>
      <c r="H180" s="2" t="s">
        <v>52</v>
      </c>
      <c r="I180" s="2">
        <v>32</v>
      </c>
      <c r="J180" s="2">
        <v>18</v>
      </c>
      <c r="K180" s="2">
        <v>42011.14</v>
      </c>
      <c r="L180" s="2">
        <v>256.99</v>
      </c>
      <c r="M180" s="2">
        <v>163.57</v>
      </c>
      <c r="N180" s="2" t="s">
        <v>22</v>
      </c>
      <c r="O180" s="2">
        <v>2</v>
      </c>
    </row>
    <row r="181" spans="1:15" x14ac:dyDescent="0.3">
      <c r="A181" s="2" t="s">
        <v>236</v>
      </c>
      <c r="B181" s="2" t="s">
        <v>37</v>
      </c>
      <c r="C181" s="1">
        <v>45957</v>
      </c>
      <c r="D181" s="2" t="s">
        <v>41</v>
      </c>
      <c r="E181" s="2" t="s">
        <v>45</v>
      </c>
      <c r="F181" s="2" t="s">
        <v>34</v>
      </c>
      <c r="G181" s="2" t="s">
        <v>55</v>
      </c>
      <c r="H181" s="2" t="s">
        <v>21</v>
      </c>
      <c r="I181" s="2">
        <v>57</v>
      </c>
      <c r="J181" s="2">
        <v>111</v>
      </c>
      <c r="K181" s="2">
        <v>40524.239999999998</v>
      </c>
      <c r="L181" s="2">
        <v>175.7</v>
      </c>
      <c r="M181" s="2">
        <v>69.25</v>
      </c>
      <c r="N181" s="2" t="s">
        <v>30</v>
      </c>
      <c r="O181" s="2">
        <v>5</v>
      </c>
    </row>
    <row r="182" spans="1:15" x14ac:dyDescent="0.3">
      <c r="A182" s="2" t="s">
        <v>237</v>
      </c>
      <c r="B182" s="2" t="s">
        <v>62</v>
      </c>
      <c r="C182" s="1">
        <v>46190</v>
      </c>
      <c r="D182" s="2" t="s">
        <v>90</v>
      </c>
      <c r="E182" s="2" t="s">
        <v>38</v>
      </c>
      <c r="F182" s="2" t="s">
        <v>39</v>
      </c>
      <c r="G182" s="2" t="s">
        <v>28</v>
      </c>
      <c r="H182" s="2" t="s">
        <v>21</v>
      </c>
      <c r="I182" s="2">
        <v>50</v>
      </c>
      <c r="J182" s="2">
        <v>2</v>
      </c>
      <c r="K182" s="2">
        <v>16236.28</v>
      </c>
      <c r="L182" s="2">
        <v>216.23</v>
      </c>
      <c r="M182" s="2">
        <v>161.55000000000001</v>
      </c>
      <c r="N182" s="2" t="s">
        <v>30</v>
      </c>
      <c r="O182" s="2">
        <v>2</v>
      </c>
    </row>
    <row r="183" spans="1:15" x14ac:dyDescent="0.3">
      <c r="A183" s="2" t="s">
        <v>238</v>
      </c>
      <c r="B183" s="2" t="s">
        <v>62</v>
      </c>
      <c r="C183" s="1">
        <v>46065</v>
      </c>
      <c r="D183" s="2" t="s">
        <v>41</v>
      </c>
      <c r="E183" s="2" t="s">
        <v>18</v>
      </c>
      <c r="F183" s="2" t="s">
        <v>39</v>
      </c>
      <c r="G183" s="2" t="s">
        <v>64</v>
      </c>
      <c r="H183" s="2" t="s">
        <v>56</v>
      </c>
      <c r="I183" s="2">
        <v>43</v>
      </c>
      <c r="J183" s="2">
        <v>93</v>
      </c>
      <c r="K183" s="2">
        <v>934.47</v>
      </c>
      <c r="L183" s="2">
        <v>121.79</v>
      </c>
      <c r="M183" s="2">
        <v>71.28</v>
      </c>
      <c r="N183" s="2" t="s">
        <v>22</v>
      </c>
      <c r="O183" s="2">
        <v>2</v>
      </c>
    </row>
    <row r="184" spans="1:15" x14ac:dyDescent="0.3">
      <c r="A184" s="2" t="s">
        <v>239</v>
      </c>
      <c r="B184" s="2" t="s">
        <v>82</v>
      </c>
      <c r="C184" s="1">
        <v>45956</v>
      </c>
      <c r="D184" s="2" t="s">
        <v>32</v>
      </c>
      <c r="E184" s="2" t="s">
        <v>38</v>
      </c>
      <c r="F184" s="2" t="s">
        <v>68</v>
      </c>
      <c r="G184" s="2" t="s">
        <v>55</v>
      </c>
      <c r="H184" s="2" t="s">
        <v>56</v>
      </c>
      <c r="I184" s="2">
        <v>36</v>
      </c>
      <c r="J184" s="2">
        <v>13</v>
      </c>
      <c r="K184" s="2">
        <v>19415.580000000002</v>
      </c>
      <c r="L184" s="2">
        <v>448.5</v>
      </c>
      <c r="M184" s="2">
        <v>20.190000000000001</v>
      </c>
      <c r="N184" s="2" t="s">
        <v>22</v>
      </c>
      <c r="O184" s="2">
        <v>5</v>
      </c>
    </row>
    <row r="185" spans="1:15" x14ac:dyDescent="0.3">
      <c r="A185" s="2" t="s">
        <v>240</v>
      </c>
      <c r="B185" s="2" t="s">
        <v>49</v>
      </c>
      <c r="C185" s="1">
        <v>45891</v>
      </c>
      <c r="D185" s="2" t="s">
        <v>16</v>
      </c>
      <c r="E185" s="2" t="s">
        <v>26</v>
      </c>
      <c r="F185" s="2" t="s">
        <v>34</v>
      </c>
      <c r="G185" s="2" t="s">
        <v>20</v>
      </c>
      <c r="H185" s="2" t="s">
        <v>56</v>
      </c>
      <c r="I185" s="2">
        <v>34</v>
      </c>
      <c r="J185" s="2">
        <v>4</v>
      </c>
      <c r="K185" s="2">
        <v>15439.56</v>
      </c>
      <c r="L185" s="2">
        <v>54.5</v>
      </c>
      <c r="M185" s="2">
        <v>192.38</v>
      </c>
      <c r="N185" s="2" t="s">
        <v>22</v>
      </c>
      <c r="O185" s="2">
        <v>3</v>
      </c>
    </row>
    <row r="186" spans="1:15" x14ac:dyDescent="0.3">
      <c r="A186" s="2" t="s">
        <v>241</v>
      </c>
      <c r="B186" s="2" t="s">
        <v>67</v>
      </c>
      <c r="C186" s="1">
        <v>46165</v>
      </c>
      <c r="D186" s="2" t="s">
        <v>74</v>
      </c>
      <c r="E186" s="2" t="s">
        <v>58</v>
      </c>
      <c r="F186" s="2" t="s">
        <v>19</v>
      </c>
      <c r="G186" s="2" t="s">
        <v>20</v>
      </c>
      <c r="H186" s="2" t="s">
        <v>29</v>
      </c>
      <c r="I186" s="2">
        <v>30</v>
      </c>
      <c r="J186" s="2">
        <v>42</v>
      </c>
      <c r="K186" s="2">
        <v>2351.15</v>
      </c>
      <c r="L186" s="2">
        <v>447.08</v>
      </c>
      <c r="M186" s="2">
        <v>195.78</v>
      </c>
      <c r="N186" s="2" t="s">
        <v>30</v>
      </c>
      <c r="O186" s="2">
        <v>1</v>
      </c>
    </row>
    <row r="187" spans="1:15" x14ac:dyDescent="0.3">
      <c r="A187" s="2" t="s">
        <v>242</v>
      </c>
      <c r="B187" s="2" t="s">
        <v>49</v>
      </c>
      <c r="C187" s="1">
        <v>46128</v>
      </c>
      <c r="D187" s="2" t="s">
        <v>41</v>
      </c>
      <c r="E187" s="2" t="s">
        <v>18</v>
      </c>
      <c r="F187" s="2" t="s">
        <v>68</v>
      </c>
      <c r="G187" s="2" t="s">
        <v>64</v>
      </c>
      <c r="H187" s="2" t="s">
        <v>56</v>
      </c>
      <c r="I187" s="2">
        <v>27</v>
      </c>
      <c r="J187" s="2">
        <v>109</v>
      </c>
      <c r="K187" s="2">
        <v>25515.58</v>
      </c>
      <c r="L187" s="2">
        <v>307.26</v>
      </c>
      <c r="M187" s="2">
        <v>91.22</v>
      </c>
      <c r="N187" s="2" t="s">
        <v>30</v>
      </c>
      <c r="O187" s="2">
        <v>5</v>
      </c>
    </row>
    <row r="188" spans="1:15" x14ac:dyDescent="0.3">
      <c r="A188" s="2" t="s">
        <v>243</v>
      </c>
      <c r="B188" s="2" t="s">
        <v>76</v>
      </c>
      <c r="C188" s="1">
        <v>45950</v>
      </c>
      <c r="D188" s="2" t="s">
        <v>90</v>
      </c>
      <c r="E188" s="2" t="s">
        <v>26</v>
      </c>
      <c r="F188" s="2" t="s">
        <v>68</v>
      </c>
      <c r="G188" s="2" t="s">
        <v>28</v>
      </c>
      <c r="H188" s="2" t="s">
        <v>29</v>
      </c>
      <c r="I188" s="2">
        <v>65</v>
      </c>
      <c r="J188" s="2">
        <v>74</v>
      </c>
      <c r="K188" s="2">
        <v>20450.05</v>
      </c>
      <c r="L188" s="2">
        <v>199.25</v>
      </c>
      <c r="M188" s="2">
        <v>119.32</v>
      </c>
      <c r="N188" s="2" t="s">
        <v>30</v>
      </c>
      <c r="O188" s="2">
        <v>5</v>
      </c>
    </row>
    <row r="189" spans="1:15" x14ac:dyDescent="0.3">
      <c r="A189" s="2" t="s">
        <v>244</v>
      </c>
      <c r="B189" s="2" t="s">
        <v>62</v>
      </c>
      <c r="C189" s="1">
        <v>46234</v>
      </c>
      <c r="D189" s="2" t="s">
        <v>32</v>
      </c>
      <c r="E189" s="2" t="s">
        <v>26</v>
      </c>
      <c r="F189" s="2" t="s">
        <v>34</v>
      </c>
      <c r="G189" s="2" t="s">
        <v>55</v>
      </c>
      <c r="H189" s="2" t="s">
        <v>21</v>
      </c>
      <c r="I189" s="2">
        <v>72</v>
      </c>
      <c r="J189" s="2">
        <v>61</v>
      </c>
      <c r="K189" s="2">
        <v>31910.55</v>
      </c>
      <c r="L189" s="2">
        <v>375.38</v>
      </c>
      <c r="M189" s="2">
        <v>64.94</v>
      </c>
      <c r="N189" s="2" t="s">
        <v>22</v>
      </c>
      <c r="O189" s="2">
        <v>2</v>
      </c>
    </row>
    <row r="190" spans="1:15" x14ac:dyDescent="0.3">
      <c r="A190" s="2" t="s">
        <v>245</v>
      </c>
      <c r="B190" s="2" t="s">
        <v>62</v>
      </c>
      <c r="C190" s="1">
        <v>46219</v>
      </c>
      <c r="D190" s="2" t="s">
        <v>54</v>
      </c>
      <c r="E190" s="2" t="s">
        <v>18</v>
      </c>
      <c r="F190" s="2" t="s">
        <v>34</v>
      </c>
      <c r="G190" s="2" t="s">
        <v>28</v>
      </c>
      <c r="H190" s="2" t="s">
        <v>52</v>
      </c>
      <c r="I190" s="2">
        <v>57</v>
      </c>
      <c r="J190" s="2">
        <v>95</v>
      </c>
      <c r="K190" s="2">
        <v>31248.720000000001</v>
      </c>
      <c r="L190" s="2">
        <v>278.49</v>
      </c>
      <c r="M190" s="2">
        <v>196.29</v>
      </c>
      <c r="N190" s="2" t="s">
        <v>30</v>
      </c>
      <c r="O190" s="2">
        <v>2</v>
      </c>
    </row>
    <row r="191" spans="1:15" x14ac:dyDescent="0.3">
      <c r="A191" s="2" t="s">
        <v>246</v>
      </c>
      <c r="B191" s="2" t="s">
        <v>44</v>
      </c>
      <c r="C191" s="1">
        <v>46153</v>
      </c>
      <c r="D191" s="2" t="s">
        <v>16</v>
      </c>
      <c r="E191" s="2" t="s">
        <v>38</v>
      </c>
      <c r="F191" s="2" t="s">
        <v>39</v>
      </c>
      <c r="G191" s="2" t="s">
        <v>20</v>
      </c>
      <c r="H191" s="2" t="s">
        <v>52</v>
      </c>
      <c r="I191" s="2">
        <v>49</v>
      </c>
      <c r="J191" s="2">
        <v>105</v>
      </c>
      <c r="K191" s="2">
        <v>6476.96</v>
      </c>
      <c r="L191" s="2">
        <v>274.60000000000002</v>
      </c>
      <c r="M191" s="2">
        <v>26.95</v>
      </c>
      <c r="N191" s="2" t="s">
        <v>30</v>
      </c>
      <c r="O191" s="2">
        <v>1</v>
      </c>
    </row>
    <row r="192" spans="1:15" x14ac:dyDescent="0.3">
      <c r="A192" s="2" t="s">
        <v>247</v>
      </c>
      <c r="B192" s="2" t="s">
        <v>44</v>
      </c>
      <c r="C192" s="1">
        <v>46197</v>
      </c>
      <c r="D192" s="2" t="s">
        <v>16</v>
      </c>
      <c r="E192" s="2" t="s">
        <v>26</v>
      </c>
      <c r="F192" s="2" t="s">
        <v>34</v>
      </c>
      <c r="G192" s="2" t="s">
        <v>28</v>
      </c>
      <c r="H192" s="2" t="s">
        <v>52</v>
      </c>
      <c r="I192" s="2">
        <v>23</v>
      </c>
      <c r="J192" s="2">
        <v>8</v>
      </c>
      <c r="K192" s="2">
        <v>48859.79</v>
      </c>
      <c r="L192" s="2">
        <v>99.56</v>
      </c>
      <c r="M192" s="2">
        <v>62.96</v>
      </c>
      <c r="N192" s="2" t="s">
        <v>30</v>
      </c>
      <c r="O192" s="2">
        <v>2</v>
      </c>
    </row>
    <row r="193" spans="1:15" x14ac:dyDescent="0.3">
      <c r="A193" s="2" t="s">
        <v>248</v>
      </c>
      <c r="B193" s="2" t="s">
        <v>67</v>
      </c>
      <c r="C193" s="1">
        <v>45954</v>
      </c>
      <c r="D193" s="2" t="s">
        <v>74</v>
      </c>
      <c r="E193" s="2" t="s">
        <v>45</v>
      </c>
      <c r="F193" s="2" t="s">
        <v>39</v>
      </c>
      <c r="G193" s="2" t="s">
        <v>20</v>
      </c>
      <c r="H193" s="2" t="s">
        <v>52</v>
      </c>
      <c r="I193" s="2">
        <v>35</v>
      </c>
      <c r="J193" s="2">
        <v>67</v>
      </c>
      <c r="K193" s="2">
        <v>9753.11</v>
      </c>
      <c r="L193" s="2">
        <v>225.28</v>
      </c>
      <c r="M193" s="2">
        <v>97.1</v>
      </c>
      <c r="N193" s="2" t="s">
        <v>30</v>
      </c>
      <c r="O193" s="2">
        <v>4</v>
      </c>
    </row>
    <row r="194" spans="1:15" x14ac:dyDescent="0.3">
      <c r="A194" s="2" t="s">
        <v>249</v>
      </c>
      <c r="B194" s="2" t="s">
        <v>51</v>
      </c>
      <c r="C194" s="1">
        <v>45876</v>
      </c>
      <c r="D194" s="2" t="s">
        <v>16</v>
      </c>
      <c r="E194" s="2" t="s">
        <v>26</v>
      </c>
      <c r="F194" s="2" t="s">
        <v>68</v>
      </c>
      <c r="G194" s="2" t="s">
        <v>28</v>
      </c>
      <c r="H194" s="2" t="s">
        <v>29</v>
      </c>
      <c r="I194" s="2">
        <v>56</v>
      </c>
      <c r="J194" s="2">
        <v>112</v>
      </c>
      <c r="K194" s="2">
        <v>22541.06</v>
      </c>
      <c r="L194" s="2">
        <v>158.47999999999999</v>
      </c>
      <c r="M194" s="2">
        <v>143.4</v>
      </c>
      <c r="N194" s="2" t="s">
        <v>22</v>
      </c>
      <c r="O194" s="2">
        <v>2</v>
      </c>
    </row>
    <row r="195" spans="1:15" x14ac:dyDescent="0.3">
      <c r="A195" s="2" t="s">
        <v>250</v>
      </c>
      <c r="B195" s="2" t="s">
        <v>76</v>
      </c>
      <c r="C195" s="1">
        <v>45975</v>
      </c>
      <c r="D195" s="2" t="s">
        <v>41</v>
      </c>
      <c r="E195" s="2" t="s">
        <v>38</v>
      </c>
      <c r="F195" s="2" t="s">
        <v>27</v>
      </c>
      <c r="G195" s="2" t="s">
        <v>64</v>
      </c>
      <c r="H195" s="2" t="s">
        <v>29</v>
      </c>
      <c r="I195" s="2">
        <v>67</v>
      </c>
      <c r="J195" s="2">
        <v>63</v>
      </c>
      <c r="K195" s="2">
        <v>24661.82</v>
      </c>
      <c r="L195" s="2">
        <v>57.06</v>
      </c>
      <c r="M195" s="2">
        <v>141.4</v>
      </c>
      <c r="N195" s="2" t="s">
        <v>30</v>
      </c>
      <c r="O195" s="2">
        <v>2</v>
      </c>
    </row>
    <row r="196" spans="1:15" x14ac:dyDescent="0.3">
      <c r="A196" s="2" t="s">
        <v>251</v>
      </c>
      <c r="B196" s="2" t="s">
        <v>49</v>
      </c>
      <c r="C196" s="1">
        <v>46199</v>
      </c>
      <c r="D196" s="2" t="s">
        <v>90</v>
      </c>
      <c r="E196" s="2" t="s">
        <v>38</v>
      </c>
      <c r="F196" s="2" t="s">
        <v>19</v>
      </c>
      <c r="G196" s="2" t="s">
        <v>35</v>
      </c>
      <c r="H196" s="2" t="s">
        <v>56</v>
      </c>
      <c r="I196" s="2">
        <v>66</v>
      </c>
      <c r="J196" s="2">
        <v>110</v>
      </c>
      <c r="K196" s="2">
        <v>40746.61</v>
      </c>
      <c r="L196" s="2">
        <v>212.04</v>
      </c>
      <c r="M196" s="2">
        <v>35.159999999999997</v>
      </c>
      <c r="N196" s="2" t="s">
        <v>30</v>
      </c>
      <c r="O196" s="2">
        <v>4</v>
      </c>
    </row>
    <row r="197" spans="1:15" x14ac:dyDescent="0.3">
      <c r="A197" s="2" t="s">
        <v>252</v>
      </c>
      <c r="B197" s="2" t="s">
        <v>17</v>
      </c>
      <c r="C197" s="1">
        <v>45953</v>
      </c>
      <c r="D197" s="2" t="s">
        <v>16</v>
      </c>
      <c r="E197" s="2" t="s">
        <v>45</v>
      </c>
      <c r="F197" s="2" t="s">
        <v>68</v>
      </c>
      <c r="G197" s="2" t="s">
        <v>64</v>
      </c>
      <c r="H197" s="2" t="s">
        <v>29</v>
      </c>
      <c r="I197" s="2">
        <v>72</v>
      </c>
      <c r="J197" s="2">
        <v>9</v>
      </c>
      <c r="K197" s="2">
        <v>5411.87</v>
      </c>
      <c r="L197" s="2">
        <v>90.42</v>
      </c>
      <c r="M197" s="2">
        <v>43.48</v>
      </c>
      <c r="N197" s="2" t="s">
        <v>30</v>
      </c>
      <c r="O197" s="2">
        <v>1</v>
      </c>
    </row>
    <row r="198" spans="1:15" x14ac:dyDescent="0.3">
      <c r="A198" s="2" t="s">
        <v>253</v>
      </c>
      <c r="B198" s="2" t="s">
        <v>44</v>
      </c>
      <c r="C198" s="1">
        <v>46049</v>
      </c>
      <c r="D198" s="2" t="s">
        <v>16</v>
      </c>
      <c r="E198" s="2" t="s">
        <v>26</v>
      </c>
      <c r="F198" s="2" t="s">
        <v>34</v>
      </c>
      <c r="G198" s="2" t="s">
        <v>64</v>
      </c>
      <c r="H198" s="2" t="s">
        <v>56</v>
      </c>
      <c r="I198" s="2">
        <v>39</v>
      </c>
      <c r="J198" s="2">
        <v>94</v>
      </c>
      <c r="K198" s="2">
        <v>21717.89</v>
      </c>
      <c r="L198" s="2">
        <v>165.57</v>
      </c>
      <c r="M198" s="2">
        <v>50.95</v>
      </c>
      <c r="N198" s="2" t="s">
        <v>30</v>
      </c>
      <c r="O198" s="2">
        <v>4</v>
      </c>
    </row>
    <row r="199" spans="1:15" x14ac:dyDescent="0.3">
      <c r="A199" s="2" t="s">
        <v>254</v>
      </c>
      <c r="B199" s="2" t="s">
        <v>17</v>
      </c>
      <c r="C199" s="1">
        <v>45948</v>
      </c>
      <c r="D199" s="2" t="s">
        <v>54</v>
      </c>
      <c r="E199" s="2" t="s">
        <v>38</v>
      </c>
      <c r="F199" s="2" t="s">
        <v>19</v>
      </c>
      <c r="G199" s="2" t="s">
        <v>35</v>
      </c>
      <c r="H199" s="2" t="s">
        <v>56</v>
      </c>
      <c r="I199" s="2">
        <v>33</v>
      </c>
      <c r="J199" s="2">
        <v>117</v>
      </c>
      <c r="K199" s="2">
        <v>31610.86</v>
      </c>
      <c r="L199" s="2">
        <v>91.63</v>
      </c>
      <c r="M199" s="2">
        <v>182.91</v>
      </c>
      <c r="N199" s="2" t="s">
        <v>30</v>
      </c>
      <c r="O199" s="2">
        <v>5</v>
      </c>
    </row>
    <row r="200" spans="1:15" x14ac:dyDescent="0.3">
      <c r="A200" s="2" t="s">
        <v>255</v>
      </c>
      <c r="B200" s="2" t="s">
        <v>33</v>
      </c>
      <c r="C200" s="1">
        <v>46032</v>
      </c>
      <c r="D200" s="2" t="s">
        <v>54</v>
      </c>
      <c r="E200" s="2" t="s">
        <v>18</v>
      </c>
      <c r="F200" s="2" t="s">
        <v>27</v>
      </c>
      <c r="G200" s="2" t="s">
        <v>35</v>
      </c>
      <c r="H200" s="2" t="s">
        <v>52</v>
      </c>
      <c r="I200" s="2">
        <v>62</v>
      </c>
      <c r="J200" s="2">
        <v>11</v>
      </c>
      <c r="K200" s="2">
        <v>11150.2</v>
      </c>
      <c r="L200" s="2">
        <v>95.42</v>
      </c>
      <c r="M200" s="2">
        <v>22.61</v>
      </c>
      <c r="N200" s="2" t="s">
        <v>30</v>
      </c>
      <c r="O200" s="2">
        <v>4</v>
      </c>
    </row>
    <row r="201" spans="1:15" x14ac:dyDescent="0.3">
      <c r="A201" s="2" t="s">
        <v>256</v>
      </c>
      <c r="B201" s="2" t="s">
        <v>44</v>
      </c>
      <c r="C201" s="1">
        <v>46009</v>
      </c>
      <c r="D201" s="2" t="s">
        <v>24</v>
      </c>
      <c r="E201" s="2" t="s">
        <v>58</v>
      </c>
      <c r="F201" s="2" t="s">
        <v>27</v>
      </c>
      <c r="G201" s="2" t="s">
        <v>55</v>
      </c>
      <c r="H201" s="2" t="s">
        <v>29</v>
      </c>
      <c r="I201" s="2">
        <v>41</v>
      </c>
      <c r="J201" s="2">
        <v>99</v>
      </c>
      <c r="K201" s="2">
        <v>31559.66</v>
      </c>
      <c r="L201" s="2">
        <v>139.56</v>
      </c>
      <c r="M201" s="2">
        <v>227.24</v>
      </c>
      <c r="N201" s="2" t="s">
        <v>22</v>
      </c>
      <c r="O201" s="2">
        <v>3</v>
      </c>
    </row>
    <row r="202" spans="1:15" x14ac:dyDescent="0.3">
      <c r="A202" s="2" t="s">
        <v>257</v>
      </c>
      <c r="B202" s="2" t="s">
        <v>37</v>
      </c>
      <c r="C202" s="1">
        <v>46052</v>
      </c>
      <c r="D202" s="2" t="s">
        <v>32</v>
      </c>
      <c r="E202" s="2" t="s">
        <v>58</v>
      </c>
      <c r="F202" s="2" t="s">
        <v>39</v>
      </c>
      <c r="G202" s="2" t="s">
        <v>55</v>
      </c>
      <c r="H202" s="2" t="s">
        <v>29</v>
      </c>
      <c r="I202" s="2">
        <v>57</v>
      </c>
      <c r="J202" s="2">
        <v>101</v>
      </c>
      <c r="K202" s="2">
        <v>46221.41</v>
      </c>
      <c r="L202" s="2">
        <v>499.93</v>
      </c>
      <c r="M202" s="2">
        <v>227.26</v>
      </c>
      <c r="N202" s="2" t="s">
        <v>30</v>
      </c>
      <c r="O202" s="2">
        <v>5</v>
      </c>
    </row>
    <row r="203" spans="1:15" x14ac:dyDescent="0.3">
      <c r="A203" s="2" t="s">
        <v>258</v>
      </c>
      <c r="B203" s="2" t="s">
        <v>51</v>
      </c>
      <c r="C203" s="1">
        <v>46122</v>
      </c>
      <c r="D203" s="2" t="s">
        <v>41</v>
      </c>
      <c r="E203" s="2" t="s">
        <v>58</v>
      </c>
      <c r="F203" s="2" t="s">
        <v>19</v>
      </c>
      <c r="G203" s="2" t="s">
        <v>64</v>
      </c>
      <c r="H203" s="2" t="s">
        <v>56</v>
      </c>
      <c r="I203" s="2">
        <v>47</v>
      </c>
      <c r="J203" s="2">
        <v>42</v>
      </c>
      <c r="K203" s="2">
        <v>49877.15</v>
      </c>
      <c r="L203" s="2">
        <v>50.98</v>
      </c>
      <c r="M203" s="2">
        <v>161.94999999999999</v>
      </c>
      <c r="N203" s="2" t="s">
        <v>30</v>
      </c>
      <c r="O203" s="2">
        <v>2</v>
      </c>
    </row>
    <row r="204" spans="1:15" x14ac:dyDescent="0.3">
      <c r="A204" s="2" t="s">
        <v>259</v>
      </c>
      <c r="B204" s="2" t="s">
        <v>76</v>
      </c>
      <c r="C204" s="1">
        <v>45961</v>
      </c>
      <c r="D204" s="2" t="s">
        <v>16</v>
      </c>
      <c r="E204" s="2" t="s">
        <v>26</v>
      </c>
      <c r="F204" s="2" t="s">
        <v>39</v>
      </c>
      <c r="G204" s="2" t="s">
        <v>64</v>
      </c>
      <c r="H204" s="2" t="s">
        <v>56</v>
      </c>
      <c r="I204" s="2">
        <v>72</v>
      </c>
      <c r="J204" s="2">
        <v>13</v>
      </c>
      <c r="K204" s="2">
        <v>2106.33</v>
      </c>
      <c r="L204" s="2">
        <v>337.4</v>
      </c>
      <c r="M204" s="2">
        <v>177.32</v>
      </c>
      <c r="N204" s="2" t="s">
        <v>30</v>
      </c>
      <c r="O204" s="2">
        <v>5</v>
      </c>
    </row>
    <row r="205" spans="1:15" x14ac:dyDescent="0.3">
      <c r="A205" s="2" t="s">
        <v>260</v>
      </c>
      <c r="B205" s="2" t="s">
        <v>60</v>
      </c>
      <c r="C205" s="1">
        <v>46190</v>
      </c>
      <c r="D205" s="2" t="s">
        <v>43</v>
      </c>
      <c r="E205" s="2" t="s">
        <v>45</v>
      </c>
      <c r="F205" s="2" t="s">
        <v>68</v>
      </c>
      <c r="G205" s="2" t="s">
        <v>20</v>
      </c>
      <c r="H205" s="2" t="s">
        <v>21</v>
      </c>
      <c r="I205" s="2">
        <v>49</v>
      </c>
      <c r="J205" s="2">
        <v>36</v>
      </c>
      <c r="K205" s="2">
        <v>12161.62</v>
      </c>
      <c r="L205" s="2">
        <v>113.56</v>
      </c>
      <c r="M205" s="2">
        <v>52.61</v>
      </c>
      <c r="N205" s="2" t="s">
        <v>22</v>
      </c>
      <c r="O205" s="2">
        <v>1</v>
      </c>
    </row>
    <row r="206" spans="1:15" x14ac:dyDescent="0.3">
      <c r="A206" s="2" t="s">
        <v>261</v>
      </c>
      <c r="B206" s="2" t="s">
        <v>67</v>
      </c>
      <c r="C206" s="1">
        <v>46129</v>
      </c>
      <c r="D206" s="2" t="s">
        <v>16</v>
      </c>
      <c r="E206" s="2" t="s">
        <v>38</v>
      </c>
      <c r="F206" s="2" t="s">
        <v>19</v>
      </c>
      <c r="G206" s="2" t="s">
        <v>20</v>
      </c>
      <c r="H206" s="2" t="s">
        <v>21</v>
      </c>
      <c r="I206" s="2">
        <v>40</v>
      </c>
      <c r="J206" s="2">
        <v>13</v>
      </c>
      <c r="K206" s="2">
        <v>15860.2</v>
      </c>
      <c r="L206" s="2">
        <v>464.28</v>
      </c>
      <c r="M206" s="2">
        <v>44.91</v>
      </c>
      <c r="N206" s="2" t="s">
        <v>30</v>
      </c>
      <c r="O206" s="2">
        <v>1</v>
      </c>
    </row>
    <row r="207" spans="1:15" x14ac:dyDescent="0.3">
      <c r="A207" s="2" t="s">
        <v>262</v>
      </c>
      <c r="B207" s="2" t="s">
        <v>33</v>
      </c>
      <c r="C207" s="1">
        <v>46067</v>
      </c>
      <c r="D207" s="2" t="s">
        <v>90</v>
      </c>
      <c r="E207" s="2" t="s">
        <v>18</v>
      </c>
      <c r="F207" s="2" t="s">
        <v>68</v>
      </c>
      <c r="G207" s="2" t="s">
        <v>55</v>
      </c>
      <c r="H207" s="2" t="s">
        <v>56</v>
      </c>
      <c r="I207" s="2">
        <v>45</v>
      </c>
      <c r="J207" s="2">
        <v>12</v>
      </c>
      <c r="K207" s="2">
        <v>20256.740000000002</v>
      </c>
      <c r="L207" s="2">
        <v>92.13</v>
      </c>
      <c r="M207" s="2">
        <v>93.1</v>
      </c>
      <c r="N207" s="2" t="s">
        <v>22</v>
      </c>
      <c r="O207" s="2">
        <v>4</v>
      </c>
    </row>
    <row r="208" spans="1:15" x14ac:dyDescent="0.3">
      <c r="A208" s="2" t="s">
        <v>263</v>
      </c>
      <c r="B208" s="2" t="s">
        <v>60</v>
      </c>
      <c r="C208" s="1">
        <v>46135</v>
      </c>
      <c r="D208" s="2" t="s">
        <v>24</v>
      </c>
      <c r="E208" s="2" t="s">
        <v>18</v>
      </c>
      <c r="F208" s="2" t="s">
        <v>39</v>
      </c>
      <c r="G208" s="2" t="s">
        <v>55</v>
      </c>
      <c r="H208" s="2" t="s">
        <v>21</v>
      </c>
      <c r="I208" s="2">
        <v>26</v>
      </c>
      <c r="J208" s="2">
        <v>37</v>
      </c>
      <c r="K208" s="2">
        <v>12491.73</v>
      </c>
      <c r="L208" s="2">
        <v>479.78</v>
      </c>
      <c r="M208" s="2">
        <v>53.02</v>
      </c>
      <c r="N208" s="2" t="s">
        <v>30</v>
      </c>
      <c r="O208" s="2">
        <v>5</v>
      </c>
    </row>
    <row r="209" spans="1:15" x14ac:dyDescent="0.3">
      <c r="A209" s="2" t="s">
        <v>264</v>
      </c>
      <c r="B209" s="2" t="s">
        <v>76</v>
      </c>
      <c r="C209" s="1">
        <v>45933</v>
      </c>
      <c r="D209" s="2" t="s">
        <v>32</v>
      </c>
      <c r="E209" s="2" t="s">
        <v>26</v>
      </c>
      <c r="F209" s="2" t="s">
        <v>19</v>
      </c>
      <c r="G209" s="2" t="s">
        <v>20</v>
      </c>
      <c r="H209" s="2" t="s">
        <v>21</v>
      </c>
      <c r="I209" s="2">
        <v>56</v>
      </c>
      <c r="J209" s="2">
        <v>74</v>
      </c>
      <c r="K209" s="2">
        <v>10572.66</v>
      </c>
      <c r="L209" s="2">
        <v>324.92</v>
      </c>
      <c r="M209" s="2">
        <v>146.86000000000001</v>
      </c>
      <c r="N209" s="2" t="s">
        <v>22</v>
      </c>
      <c r="O209" s="2">
        <v>2</v>
      </c>
    </row>
    <row r="210" spans="1:15" x14ac:dyDescent="0.3">
      <c r="A210" s="2" t="s">
        <v>265</v>
      </c>
      <c r="B210" s="2" t="s">
        <v>49</v>
      </c>
      <c r="C210" s="1">
        <v>45988</v>
      </c>
      <c r="D210" s="2" t="s">
        <v>43</v>
      </c>
      <c r="E210" s="2" t="s">
        <v>58</v>
      </c>
      <c r="F210" s="2" t="s">
        <v>39</v>
      </c>
      <c r="G210" s="2" t="s">
        <v>20</v>
      </c>
      <c r="H210" s="2" t="s">
        <v>56</v>
      </c>
      <c r="I210" s="2">
        <v>22</v>
      </c>
      <c r="J210" s="2">
        <v>73</v>
      </c>
      <c r="K210" s="2">
        <v>47750.42</v>
      </c>
      <c r="L210" s="2">
        <v>50.57</v>
      </c>
      <c r="M210" s="2">
        <v>127.19</v>
      </c>
      <c r="N210" s="2" t="s">
        <v>30</v>
      </c>
      <c r="O210" s="2">
        <v>1</v>
      </c>
    </row>
    <row r="211" spans="1:15" x14ac:dyDescent="0.3">
      <c r="A211" s="2" t="s">
        <v>266</v>
      </c>
      <c r="B211" s="2" t="s">
        <v>82</v>
      </c>
      <c r="C211" s="1">
        <v>45895</v>
      </c>
      <c r="D211" s="2" t="s">
        <v>24</v>
      </c>
      <c r="E211" s="2" t="s">
        <v>26</v>
      </c>
      <c r="F211" s="2" t="s">
        <v>19</v>
      </c>
      <c r="G211" s="2" t="s">
        <v>28</v>
      </c>
      <c r="H211" s="2" t="s">
        <v>56</v>
      </c>
      <c r="I211" s="2">
        <v>42</v>
      </c>
      <c r="J211" s="2">
        <v>52</v>
      </c>
      <c r="K211" s="2">
        <v>45966.82</v>
      </c>
      <c r="L211" s="2">
        <v>452.3</v>
      </c>
      <c r="M211" s="2">
        <v>175</v>
      </c>
      <c r="N211" s="2" t="s">
        <v>22</v>
      </c>
      <c r="O211" s="2">
        <v>2</v>
      </c>
    </row>
    <row r="212" spans="1:15" x14ac:dyDescent="0.3">
      <c r="A212" s="2" t="s">
        <v>267</v>
      </c>
      <c r="B212" s="2" t="s">
        <v>37</v>
      </c>
      <c r="C212" s="1">
        <v>46046</v>
      </c>
      <c r="D212" s="2" t="s">
        <v>74</v>
      </c>
      <c r="E212" s="2" t="s">
        <v>45</v>
      </c>
      <c r="F212" s="2" t="s">
        <v>39</v>
      </c>
      <c r="G212" s="2" t="s">
        <v>28</v>
      </c>
      <c r="H212" s="2" t="s">
        <v>29</v>
      </c>
      <c r="I212" s="2">
        <v>52</v>
      </c>
      <c r="J212" s="2">
        <v>71</v>
      </c>
      <c r="K212" s="2">
        <v>2826.13</v>
      </c>
      <c r="L212" s="2">
        <v>284.77</v>
      </c>
      <c r="M212" s="2">
        <v>24.83</v>
      </c>
      <c r="N212" s="2" t="s">
        <v>30</v>
      </c>
      <c r="O212" s="2">
        <v>3</v>
      </c>
    </row>
    <row r="213" spans="1:15" x14ac:dyDescent="0.3">
      <c r="A213" s="2" t="s">
        <v>268</v>
      </c>
      <c r="B213" s="2" t="s">
        <v>76</v>
      </c>
      <c r="C213" s="1">
        <v>45946</v>
      </c>
      <c r="D213" s="2" t="s">
        <v>32</v>
      </c>
      <c r="E213" s="2" t="s">
        <v>45</v>
      </c>
      <c r="F213" s="2" t="s">
        <v>27</v>
      </c>
      <c r="G213" s="2" t="s">
        <v>20</v>
      </c>
      <c r="H213" s="2" t="s">
        <v>56</v>
      </c>
      <c r="I213" s="2">
        <v>36</v>
      </c>
      <c r="J213" s="2">
        <v>2</v>
      </c>
      <c r="K213" s="2">
        <v>17271.240000000002</v>
      </c>
      <c r="L213" s="2">
        <v>168.2</v>
      </c>
      <c r="M213" s="2">
        <v>183.02</v>
      </c>
      <c r="N213" s="2" t="s">
        <v>30</v>
      </c>
      <c r="O213" s="2">
        <v>1</v>
      </c>
    </row>
    <row r="214" spans="1:15" x14ac:dyDescent="0.3">
      <c r="A214" s="2" t="s">
        <v>269</v>
      </c>
      <c r="B214" s="2" t="s">
        <v>37</v>
      </c>
      <c r="C214" s="1">
        <v>45975</v>
      </c>
      <c r="D214" s="2" t="s">
        <v>16</v>
      </c>
      <c r="E214" s="2" t="s">
        <v>38</v>
      </c>
      <c r="F214" s="2" t="s">
        <v>39</v>
      </c>
      <c r="G214" s="2" t="s">
        <v>28</v>
      </c>
      <c r="H214" s="2" t="s">
        <v>56</v>
      </c>
      <c r="I214" s="2">
        <v>38</v>
      </c>
      <c r="J214" s="2">
        <v>118</v>
      </c>
      <c r="K214" s="2">
        <v>20554.849999999999</v>
      </c>
      <c r="L214" s="2">
        <v>395.28</v>
      </c>
      <c r="M214" s="2">
        <v>58.67</v>
      </c>
      <c r="N214" s="2" t="s">
        <v>22</v>
      </c>
      <c r="O214" s="2">
        <v>4</v>
      </c>
    </row>
    <row r="215" spans="1:15" x14ac:dyDescent="0.3">
      <c r="A215" s="2" t="s">
        <v>270</v>
      </c>
      <c r="B215" s="2" t="s">
        <v>25</v>
      </c>
      <c r="C215" s="1">
        <v>45998</v>
      </c>
      <c r="D215" s="2" t="s">
        <v>16</v>
      </c>
      <c r="E215" s="2" t="s">
        <v>38</v>
      </c>
      <c r="F215" s="2" t="s">
        <v>27</v>
      </c>
      <c r="G215" s="2" t="s">
        <v>35</v>
      </c>
      <c r="H215" s="2" t="s">
        <v>52</v>
      </c>
      <c r="I215" s="2">
        <v>25</v>
      </c>
      <c r="J215" s="2">
        <v>56</v>
      </c>
      <c r="K215" s="2">
        <v>12331.22</v>
      </c>
      <c r="L215" s="2">
        <v>467</v>
      </c>
      <c r="M215" s="2">
        <v>98.14</v>
      </c>
      <c r="N215" s="2" t="s">
        <v>30</v>
      </c>
      <c r="O215" s="2">
        <v>3</v>
      </c>
    </row>
    <row r="216" spans="1:15" x14ac:dyDescent="0.3">
      <c r="A216" s="2" t="s">
        <v>271</v>
      </c>
      <c r="B216" s="2" t="s">
        <v>37</v>
      </c>
      <c r="C216" s="1">
        <v>46226</v>
      </c>
      <c r="D216" s="2" t="s">
        <v>32</v>
      </c>
      <c r="E216" s="2" t="s">
        <v>45</v>
      </c>
      <c r="F216" s="2" t="s">
        <v>39</v>
      </c>
      <c r="G216" s="2" t="s">
        <v>55</v>
      </c>
      <c r="H216" s="2" t="s">
        <v>29</v>
      </c>
      <c r="I216" s="2">
        <v>74</v>
      </c>
      <c r="J216" s="2">
        <v>60</v>
      </c>
      <c r="K216" s="2">
        <v>31629.21</v>
      </c>
      <c r="L216" s="2">
        <v>267.66000000000003</v>
      </c>
      <c r="M216" s="2">
        <v>131.58000000000001</v>
      </c>
      <c r="N216" s="2" t="s">
        <v>22</v>
      </c>
      <c r="O216" s="2">
        <v>5</v>
      </c>
    </row>
    <row r="217" spans="1:15" x14ac:dyDescent="0.3">
      <c r="A217" s="2" t="s">
        <v>272</v>
      </c>
      <c r="B217" s="2" t="s">
        <v>17</v>
      </c>
      <c r="C217" s="1">
        <v>45947</v>
      </c>
      <c r="D217" s="2" t="s">
        <v>16</v>
      </c>
      <c r="E217" s="2" t="s">
        <v>45</v>
      </c>
      <c r="F217" s="2" t="s">
        <v>19</v>
      </c>
      <c r="G217" s="2" t="s">
        <v>55</v>
      </c>
      <c r="H217" s="2" t="s">
        <v>29</v>
      </c>
      <c r="I217" s="2">
        <v>56</v>
      </c>
      <c r="J217" s="2">
        <v>23</v>
      </c>
      <c r="K217" s="2">
        <v>32198.85</v>
      </c>
      <c r="L217" s="2">
        <v>192</v>
      </c>
      <c r="M217" s="2">
        <v>228.09</v>
      </c>
      <c r="N217" s="2" t="s">
        <v>30</v>
      </c>
      <c r="O217" s="2">
        <v>2</v>
      </c>
    </row>
    <row r="218" spans="1:15" x14ac:dyDescent="0.3">
      <c r="A218" s="2" t="s">
        <v>273</v>
      </c>
      <c r="B218" s="2" t="s">
        <v>25</v>
      </c>
      <c r="C218" s="1">
        <v>46101</v>
      </c>
      <c r="D218" s="2" t="s">
        <v>41</v>
      </c>
      <c r="E218" s="2" t="s">
        <v>45</v>
      </c>
      <c r="F218" s="2" t="s">
        <v>19</v>
      </c>
      <c r="G218" s="2" t="s">
        <v>20</v>
      </c>
      <c r="H218" s="2" t="s">
        <v>29</v>
      </c>
      <c r="I218" s="2">
        <v>50</v>
      </c>
      <c r="J218" s="2">
        <v>103</v>
      </c>
      <c r="K218" s="2">
        <v>42599.96</v>
      </c>
      <c r="L218" s="2">
        <v>405.03</v>
      </c>
      <c r="M218" s="2">
        <v>126.1</v>
      </c>
      <c r="N218" s="2" t="s">
        <v>22</v>
      </c>
      <c r="O218" s="2">
        <v>1</v>
      </c>
    </row>
    <row r="219" spans="1:15" x14ac:dyDescent="0.3">
      <c r="A219" s="2" t="s">
        <v>274</v>
      </c>
      <c r="B219" s="2" t="s">
        <v>78</v>
      </c>
      <c r="C219" s="1">
        <v>46084</v>
      </c>
      <c r="D219" s="2" t="s">
        <v>32</v>
      </c>
      <c r="E219" s="2" t="s">
        <v>26</v>
      </c>
      <c r="F219" s="2" t="s">
        <v>19</v>
      </c>
      <c r="G219" s="2" t="s">
        <v>64</v>
      </c>
      <c r="H219" s="2" t="s">
        <v>52</v>
      </c>
      <c r="I219" s="2">
        <v>65</v>
      </c>
      <c r="J219" s="2">
        <v>40</v>
      </c>
      <c r="K219" s="2">
        <v>37173.03</v>
      </c>
      <c r="L219" s="2">
        <v>356.8</v>
      </c>
      <c r="M219" s="2">
        <v>188.71</v>
      </c>
      <c r="N219" s="2" t="s">
        <v>22</v>
      </c>
      <c r="O219" s="2">
        <v>3</v>
      </c>
    </row>
    <row r="220" spans="1:15" x14ac:dyDescent="0.3">
      <c r="A220" s="2" t="s">
        <v>275</v>
      </c>
      <c r="B220" s="2" t="s">
        <v>60</v>
      </c>
      <c r="C220" s="1">
        <v>46156</v>
      </c>
      <c r="D220" s="2" t="s">
        <v>24</v>
      </c>
      <c r="E220" s="2" t="s">
        <v>45</v>
      </c>
      <c r="F220" s="2" t="s">
        <v>34</v>
      </c>
      <c r="G220" s="2" t="s">
        <v>20</v>
      </c>
      <c r="H220" s="2" t="s">
        <v>56</v>
      </c>
      <c r="I220" s="2">
        <v>39</v>
      </c>
      <c r="J220" s="2">
        <v>64</v>
      </c>
      <c r="K220" s="2">
        <v>27357.38</v>
      </c>
      <c r="L220" s="2">
        <v>449.94</v>
      </c>
      <c r="M220" s="2">
        <v>180.51</v>
      </c>
      <c r="N220" s="2" t="s">
        <v>22</v>
      </c>
      <c r="O220" s="2">
        <v>3</v>
      </c>
    </row>
    <row r="221" spans="1:15" x14ac:dyDescent="0.3">
      <c r="A221" s="2" t="s">
        <v>276</v>
      </c>
      <c r="B221" s="2" t="s">
        <v>82</v>
      </c>
      <c r="C221" s="1">
        <v>46091</v>
      </c>
      <c r="D221" s="2" t="s">
        <v>32</v>
      </c>
      <c r="E221" s="2" t="s">
        <v>18</v>
      </c>
      <c r="F221" s="2" t="s">
        <v>68</v>
      </c>
      <c r="G221" s="2" t="s">
        <v>28</v>
      </c>
      <c r="H221" s="2" t="s">
        <v>29</v>
      </c>
      <c r="I221" s="2">
        <v>43</v>
      </c>
      <c r="J221" s="2">
        <v>103</v>
      </c>
      <c r="K221" s="2">
        <v>32852.550000000003</v>
      </c>
      <c r="L221" s="2">
        <v>361.63</v>
      </c>
      <c r="M221" s="2">
        <v>261.64</v>
      </c>
      <c r="N221" s="2" t="s">
        <v>22</v>
      </c>
      <c r="O221" s="2">
        <v>1</v>
      </c>
    </row>
    <row r="222" spans="1:15" x14ac:dyDescent="0.3">
      <c r="A222" s="2" t="s">
        <v>277</v>
      </c>
      <c r="B222" s="2" t="s">
        <v>25</v>
      </c>
      <c r="C222" s="1">
        <v>45998</v>
      </c>
      <c r="D222" s="2" t="s">
        <v>43</v>
      </c>
      <c r="E222" s="2" t="s">
        <v>58</v>
      </c>
      <c r="F222" s="2" t="s">
        <v>19</v>
      </c>
      <c r="G222" s="2" t="s">
        <v>64</v>
      </c>
      <c r="H222" s="2" t="s">
        <v>29</v>
      </c>
      <c r="I222" s="2">
        <v>54</v>
      </c>
      <c r="J222" s="2">
        <v>85</v>
      </c>
      <c r="K222" s="2">
        <v>14062.44</v>
      </c>
      <c r="L222" s="2">
        <v>159.59</v>
      </c>
      <c r="M222" s="2">
        <v>21.38</v>
      </c>
      <c r="N222" s="2" t="s">
        <v>22</v>
      </c>
      <c r="O222" s="2">
        <v>5</v>
      </c>
    </row>
    <row r="223" spans="1:15" x14ac:dyDescent="0.3">
      <c r="A223" s="2" t="s">
        <v>278</v>
      </c>
      <c r="B223" s="2" t="s">
        <v>49</v>
      </c>
      <c r="C223" s="1">
        <v>46182</v>
      </c>
      <c r="D223" s="2" t="s">
        <v>16</v>
      </c>
      <c r="E223" s="2" t="s">
        <v>45</v>
      </c>
      <c r="F223" s="2" t="s">
        <v>27</v>
      </c>
      <c r="G223" s="2" t="s">
        <v>28</v>
      </c>
      <c r="H223" s="2" t="s">
        <v>21</v>
      </c>
      <c r="I223" s="2">
        <v>33</v>
      </c>
      <c r="J223" s="2">
        <v>23</v>
      </c>
      <c r="K223" s="2">
        <v>29856.28</v>
      </c>
      <c r="L223" s="2">
        <v>469.25</v>
      </c>
      <c r="M223" s="2">
        <v>170.85</v>
      </c>
      <c r="N223" s="2" t="s">
        <v>22</v>
      </c>
      <c r="O223" s="2">
        <v>5</v>
      </c>
    </row>
    <row r="224" spans="1:15" x14ac:dyDescent="0.3">
      <c r="A224" s="2" t="s">
        <v>279</v>
      </c>
      <c r="B224" s="2" t="s">
        <v>33</v>
      </c>
      <c r="C224" s="1">
        <v>46025</v>
      </c>
      <c r="D224" s="2" t="s">
        <v>41</v>
      </c>
      <c r="E224" s="2" t="s">
        <v>58</v>
      </c>
      <c r="F224" s="2" t="s">
        <v>19</v>
      </c>
      <c r="G224" s="2" t="s">
        <v>35</v>
      </c>
      <c r="H224" s="2" t="s">
        <v>29</v>
      </c>
      <c r="I224" s="2">
        <v>63</v>
      </c>
      <c r="J224" s="2">
        <v>29</v>
      </c>
      <c r="K224" s="2">
        <v>24716.75</v>
      </c>
      <c r="L224" s="2">
        <v>97.18</v>
      </c>
      <c r="M224" s="2">
        <v>234.5</v>
      </c>
      <c r="N224" s="2" t="s">
        <v>30</v>
      </c>
      <c r="O224" s="2">
        <v>4</v>
      </c>
    </row>
    <row r="225" spans="1:15" x14ac:dyDescent="0.3">
      <c r="A225" s="2" t="s">
        <v>280</v>
      </c>
      <c r="B225" s="2" t="s">
        <v>76</v>
      </c>
      <c r="C225" s="1">
        <v>45881</v>
      </c>
      <c r="D225" s="2" t="s">
        <v>41</v>
      </c>
      <c r="E225" s="2" t="s">
        <v>26</v>
      </c>
      <c r="F225" s="2" t="s">
        <v>34</v>
      </c>
      <c r="G225" s="2" t="s">
        <v>28</v>
      </c>
      <c r="H225" s="2" t="s">
        <v>56</v>
      </c>
      <c r="I225" s="2">
        <v>74</v>
      </c>
      <c r="J225" s="2">
        <v>78</v>
      </c>
      <c r="K225" s="2">
        <v>7100.55</v>
      </c>
      <c r="L225" s="2">
        <v>170.57</v>
      </c>
      <c r="M225" s="2">
        <v>20.7</v>
      </c>
      <c r="N225" s="2" t="s">
        <v>30</v>
      </c>
      <c r="O225" s="2">
        <v>5</v>
      </c>
    </row>
    <row r="226" spans="1:15" x14ac:dyDescent="0.3">
      <c r="A226" s="2" t="s">
        <v>281</v>
      </c>
      <c r="B226" s="2" t="s">
        <v>47</v>
      </c>
      <c r="C226" s="1">
        <v>46214</v>
      </c>
      <c r="D226" s="2" t="s">
        <v>74</v>
      </c>
      <c r="E226" s="2" t="s">
        <v>58</v>
      </c>
      <c r="F226" s="2" t="s">
        <v>27</v>
      </c>
      <c r="G226" s="2" t="s">
        <v>35</v>
      </c>
      <c r="H226" s="2" t="s">
        <v>56</v>
      </c>
      <c r="I226" s="2">
        <v>49</v>
      </c>
      <c r="J226" s="2">
        <v>90</v>
      </c>
      <c r="K226" s="2">
        <v>12505.94</v>
      </c>
      <c r="L226" s="2">
        <v>284.08999999999997</v>
      </c>
      <c r="M226" s="2">
        <v>21.48</v>
      </c>
      <c r="N226" s="2" t="s">
        <v>22</v>
      </c>
      <c r="O226" s="2">
        <v>4</v>
      </c>
    </row>
    <row r="227" spans="1:15" x14ac:dyDescent="0.3">
      <c r="A227" s="2" t="s">
        <v>282</v>
      </c>
      <c r="B227" s="2" t="s">
        <v>33</v>
      </c>
      <c r="C227" s="1">
        <v>45955</v>
      </c>
      <c r="D227" s="2" t="s">
        <v>24</v>
      </c>
      <c r="E227" s="2" t="s">
        <v>26</v>
      </c>
      <c r="F227" s="2" t="s">
        <v>34</v>
      </c>
      <c r="G227" s="2" t="s">
        <v>35</v>
      </c>
      <c r="H227" s="2" t="s">
        <v>21</v>
      </c>
      <c r="I227" s="2">
        <v>56</v>
      </c>
      <c r="J227" s="2">
        <v>51</v>
      </c>
      <c r="K227" s="2">
        <v>14938.83</v>
      </c>
      <c r="L227" s="2">
        <v>304.58</v>
      </c>
      <c r="M227" s="2">
        <v>20.23</v>
      </c>
      <c r="N227" s="2" t="s">
        <v>22</v>
      </c>
      <c r="O227" s="2">
        <v>3</v>
      </c>
    </row>
    <row r="228" spans="1:15" x14ac:dyDescent="0.3">
      <c r="A228" s="2" t="s">
        <v>283</v>
      </c>
      <c r="B228" s="2" t="s">
        <v>78</v>
      </c>
      <c r="C228" s="1">
        <v>46207</v>
      </c>
      <c r="D228" s="2" t="s">
        <v>54</v>
      </c>
      <c r="E228" s="2" t="s">
        <v>18</v>
      </c>
      <c r="F228" s="2" t="s">
        <v>27</v>
      </c>
      <c r="G228" s="2" t="s">
        <v>28</v>
      </c>
      <c r="H228" s="2" t="s">
        <v>29</v>
      </c>
      <c r="I228" s="2">
        <v>42</v>
      </c>
      <c r="J228" s="2">
        <v>69</v>
      </c>
      <c r="K228" s="2">
        <v>46253.32</v>
      </c>
      <c r="L228" s="2">
        <v>56.89</v>
      </c>
      <c r="M228" s="2">
        <v>3.4</v>
      </c>
      <c r="N228" s="2" t="s">
        <v>22</v>
      </c>
      <c r="O228" s="2">
        <v>1</v>
      </c>
    </row>
    <row r="229" spans="1:15" x14ac:dyDescent="0.3">
      <c r="A229" s="2" t="s">
        <v>284</v>
      </c>
      <c r="B229" s="2" t="s">
        <v>33</v>
      </c>
      <c r="C229" s="1">
        <v>46109</v>
      </c>
      <c r="D229" s="2" t="s">
        <v>54</v>
      </c>
      <c r="E229" s="2" t="s">
        <v>26</v>
      </c>
      <c r="F229" s="2" t="s">
        <v>39</v>
      </c>
      <c r="G229" s="2" t="s">
        <v>28</v>
      </c>
      <c r="H229" s="2" t="s">
        <v>29</v>
      </c>
      <c r="I229" s="2">
        <v>72</v>
      </c>
      <c r="J229" s="2">
        <v>119</v>
      </c>
      <c r="K229" s="2">
        <v>11904.14</v>
      </c>
      <c r="L229" s="2">
        <v>401.26</v>
      </c>
      <c r="M229" s="2">
        <v>164.6</v>
      </c>
      <c r="N229" s="2" t="s">
        <v>22</v>
      </c>
      <c r="O229" s="2">
        <v>5</v>
      </c>
    </row>
    <row r="230" spans="1:15" x14ac:dyDescent="0.3">
      <c r="A230" s="2" t="s">
        <v>285</v>
      </c>
      <c r="B230" s="2" t="s">
        <v>62</v>
      </c>
      <c r="C230" s="1">
        <v>46153</v>
      </c>
      <c r="D230" s="2" t="s">
        <v>32</v>
      </c>
      <c r="E230" s="2" t="s">
        <v>26</v>
      </c>
      <c r="F230" s="2" t="s">
        <v>68</v>
      </c>
      <c r="G230" s="2" t="s">
        <v>35</v>
      </c>
      <c r="H230" s="2" t="s">
        <v>29</v>
      </c>
      <c r="I230" s="2">
        <v>72</v>
      </c>
      <c r="J230" s="2">
        <v>95</v>
      </c>
      <c r="K230" s="2">
        <v>14817.57</v>
      </c>
      <c r="L230" s="2">
        <v>212.72</v>
      </c>
      <c r="M230" s="2">
        <v>292.02</v>
      </c>
      <c r="N230" s="2" t="s">
        <v>22</v>
      </c>
      <c r="O230" s="2">
        <v>4</v>
      </c>
    </row>
    <row r="231" spans="1:15" x14ac:dyDescent="0.3">
      <c r="A231" s="2" t="s">
        <v>286</v>
      </c>
      <c r="B231" s="2" t="s">
        <v>49</v>
      </c>
      <c r="C231" s="1">
        <v>46090</v>
      </c>
      <c r="D231" s="2" t="s">
        <v>74</v>
      </c>
      <c r="E231" s="2" t="s">
        <v>38</v>
      </c>
      <c r="F231" s="2" t="s">
        <v>68</v>
      </c>
      <c r="G231" s="2" t="s">
        <v>64</v>
      </c>
      <c r="H231" s="2" t="s">
        <v>52</v>
      </c>
      <c r="I231" s="2">
        <v>67</v>
      </c>
      <c r="J231" s="2">
        <v>89</v>
      </c>
      <c r="K231" s="2">
        <v>18783.03</v>
      </c>
      <c r="L231" s="2">
        <v>232.89</v>
      </c>
      <c r="M231" s="2">
        <v>87.74</v>
      </c>
      <c r="N231" s="2" t="s">
        <v>30</v>
      </c>
      <c r="O231" s="2">
        <v>3</v>
      </c>
    </row>
    <row r="232" spans="1:15" x14ac:dyDescent="0.3">
      <c r="A232" s="2" t="s">
        <v>287</v>
      </c>
      <c r="B232" s="2" t="s">
        <v>47</v>
      </c>
      <c r="C232" s="1">
        <v>46041</v>
      </c>
      <c r="D232" s="2" t="s">
        <v>90</v>
      </c>
      <c r="E232" s="2" t="s">
        <v>45</v>
      </c>
      <c r="F232" s="2" t="s">
        <v>34</v>
      </c>
      <c r="G232" s="2" t="s">
        <v>35</v>
      </c>
      <c r="H232" s="2" t="s">
        <v>29</v>
      </c>
      <c r="I232" s="2">
        <v>56</v>
      </c>
      <c r="J232" s="2">
        <v>31</v>
      </c>
      <c r="K232" s="2">
        <v>33355.269999999997</v>
      </c>
      <c r="L232" s="2">
        <v>414.22</v>
      </c>
      <c r="M232" s="2">
        <v>162.22999999999999</v>
      </c>
      <c r="N232" s="2" t="s">
        <v>30</v>
      </c>
      <c r="O232" s="2">
        <v>5</v>
      </c>
    </row>
    <row r="233" spans="1:15" x14ac:dyDescent="0.3">
      <c r="A233" s="2" t="s">
        <v>288</v>
      </c>
      <c r="B233" s="2" t="s">
        <v>25</v>
      </c>
      <c r="C233" s="1">
        <v>46101</v>
      </c>
      <c r="D233" s="2" t="s">
        <v>32</v>
      </c>
      <c r="E233" s="2" t="s">
        <v>45</v>
      </c>
      <c r="F233" s="2" t="s">
        <v>68</v>
      </c>
      <c r="G233" s="2" t="s">
        <v>55</v>
      </c>
      <c r="H233" s="2" t="s">
        <v>56</v>
      </c>
      <c r="I233" s="2">
        <v>29</v>
      </c>
      <c r="J233" s="2">
        <v>50</v>
      </c>
      <c r="K233" s="2">
        <v>6352.8</v>
      </c>
      <c r="L233" s="2">
        <v>220.68</v>
      </c>
      <c r="M233" s="2">
        <v>193.59</v>
      </c>
      <c r="N233" s="2" t="s">
        <v>30</v>
      </c>
      <c r="O233" s="2">
        <v>2</v>
      </c>
    </row>
    <row r="234" spans="1:15" x14ac:dyDescent="0.3">
      <c r="A234" s="2" t="s">
        <v>289</v>
      </c>
      <c r="B234" s="2" t="s">
        <v>25</v>
      </c>
      <c r="C234" s="1">
        <v>46142</v>
      </c>
      <c r="D234" s="2" t="s">
        <v>74</v>
      </c>
      <c r="E234" s="2" t="s">
        <v>18</v>
      </c>
      <c r="F234" s="2" t="s">
        <v>34</v>
      </c>
      <c r="G234" s="2" t="s">
        <v>35</v>
      </c>
      <c r="H234" s="2" t="s">
        <v>56</v>
      </c>
      <c r="I234" s="2">
        <v>59</v>
      </c>
      <c r="J234" s="2">
        <v>20</v>
      </c>
      <c r="K234" s="2">
        <v>47720.29</v>
      </c>
      <c r="L234" s="2">
        <v>71.25</v>
      </c>
      <c r="M234" s="2">
        <v>51.04</v>
      </c>
      <c r="N234" s="2" t="s">
        <v>30</v>
      </c>
      <c r="O234" s="2">
        <v>3</v>
      </c>
    </row>
    <row r="235" spans="1:15" x14ac:dyDescent="0.3">
      <c r="A235" s="2" t="s">
        <v>290</v>
      </c>
      <c r="B235" s="2" t="s">
        <v>25</v>
      </c>
      <c r="C235" s="1">
        <v>45913</v>
      </c>
      <c r="D235" s="2" t="s">
        <v>24</v>
      </c>
      <c r="E235" s="2" t="s">
        <v>18</v>
      </c>
      <c r="F235" s="2" t="s">
        <v>34</v>
      </c>
      <c r="G235" s="2" t="s">
        <v>64</v>
      </c>
      <c r="H235" s="2" t="s">
        <v>52</v>
      </c>
      <c r="I235" s="2">
        <v>71</v>
      </c>
      <c r="J235" s="2">
        <v>108</v>
      </c>
      <c r="K235" s="2">
        <v>43345.78</v>
      </c>
      <c r="L235" s="2">
        <v>129.4</v>
      </c>
      <c r="M235" s="2">
        <v>171.69</v>
      </c>
      <c r="N235" s="2" t="s">
        <v>30</v>
      </c>
      <c r="O235" s="2">
        <v>5</v>
      </c>
    </row>
    <row r="236" spans="1:15" x14ac:dyDescent="0.3">
      <c r="A236" s="2" t="s">
        <v>291</v>
      </c>
      <c r="B236" s="2" t="s">
        <v>78</v>
      </c>
      <c r="C236" s="1">
        <v>46224</v>
      </c>
      <c r="D236" s="2" t="s">
        <v>24</v>
      </c>
      <c r="E236" s="2" t="s">
        <v>45</v>
      </c>
      <c r="F236" s="2" t="s">
        <v>34</v>
      </c>
      <c r="G236" s="2" t="s">
        <v>55</v>
      </c>
      <c r="H236" s="2" t="s">
        <v>52</v>
      </c>
      <c r="I236" s="2">
        <v>39</v>
      </c>
      <c r="J236" s="2">
        <v>55</v>
      </c>
      <c r="K236" s="2">
        <v>29072.2</v>
      </c>
      <c r="L236" s="2">
        <v>480.16</v>
      </c>
      <c r="M236" s="2">
        <v>109.28</v>
      </c>
      <c r="N236" s="2" t="s">
        <v>22</v>
      </c>
      <c r="O236" s="2">
        <v>3</v>
      </c>
    </row>
    <row r="237" spans="1:15" x14ac:dyDescent="0.3">
      <c r="A237" s="2" t="s">
        <v>292</v>
      </c>
      <c r="B237" s="2" t="s">
        <v>17</v>
      </c>
      <c r="C237" s="1">
        <v>45994</v>
      </c>
      <c r="D237" s="2" t="s">
        <v>24</v>
      </c>
      <c r="E237" s="2" t="s">
        <v>38</v>
      </c>
      <c r="F237" s="2" t="s">
        <v>68</v>
      </c>
      <c r="G237" s="2" t="s">
        <v>20</v>
      </c>
      <c r="H237" s="2" t="s">
        <v>29</v>
      </c>
      <c r="I237" s="2">
        <v>58</v>
      </c>
      <c r="J237" s="2">
        <v>81</v>
      </c>
      <c r="K237" s="2">
        <v>33864.870000000003</v>
      </c>
      <c r="L237" s="2">
        <v>81.680000000000007</v>
      </c>
      <c r="M237" s="2">
        <v>170.85</v>
      </c>
      <c r="N237" s="2" t="s">
        <v>22</v>
      </c>
      <c r="O237" s="2">
        <v>1</v>
      </c>
    </row>
    <row r="238" spans="1:15" x14ac:dyDescent="0.3">
      <c r="A238" s="2" t="s">
        <v>293</v>
      </c>
      <c r="B238" s="2" t="s">
        <v>60</v>
      </c>
      <c r="C238" s="1">
        <v>46168</v>
      </c>
      <c r="D238" s="2" t="s">
        <v>24</v>
      </c>
      <c r="E238" s="2" t="s">
        <v>45</v>
      </c>
      <c r="F238" s="2" t="s">
        <v>34</v>
      </c>
      <c r="G238" s="2" t="s">
        <v>20</v>
      </c>
      <c r="H238" s="2" t="s">
        <v>21</v>
      </c>
      <c r="I238" s="2">
        <v>26</v>
      </c>
      <c r="J238" s="2">
        <v>109</v>
      </c>
      <c r="K238" s="2">
        <v>1324.69</v>
      </c>
      <c r="L238" s="2">
        <v>209.72</v>
      </c>
      <c r="M238" s="2">
        <v>68.63</v>
      </c>
      <c r="N238" s="2" t="s">
        <v>30</v>
      </c>
      <c r="O238" s="2">
        <v>1</v>
      </c>
    </row>
    <row r="239" spans="1:15" x14ac:dyDescent="0.3">
      <c r="A239" s="2" t="s">
        <v>294</v>
      </c>
      <c r="B239" s="2" t="s">
        <v>76</v>
      </c>
      <c r="C239" s="1">
        <v>46125</v>
      </c>
      <c r="D239" s="2" t="s">
        <v>24</v>
      </c>
      <c r="E239" s="2" t="s">
        <v>38</v>
      </c>
      <c r="F239" s="2" t="s">
        <v>68</v>
      </c>
      <c r="G239" s="2" t="s">
        <v>64</v>
      </c>
      <c r="H239" s="2" t="s">
        <v>52</v>
      </c>
      <c r="I239" s="2">
        <v>72</v>
      </c>
      <c r="J239" s="2">
        <v>2</v>
      </c>
      <c r="K239" s="2">
        <v>17277.77</v>
      </c>
      <c r="L239" s="2">
        <v>276.43</v>
      </c>
      <c r="M239" s="2">
        <v>112.32</v>
      </c>
      <c r="N239" s="2" t="s">
        <v>30</v>
      </c>
      <c r="O239" s="2">
        <v>1</v>
      </c>
    </row>
    <row r="240" spans="1:15" x14ac:dyDescent="0.3">
      <c r="A240" s="2" t="s">
        <v>295</v>
      </c>
      <c r="B240" s="2" t="s">
        <v>51</v>
      </c>
      <c r="C240" s="1">
        <v>46042</v>
      </c>
      <c r="D240" s="2" t="s">
        <v>74</v>
      </c>
      <c r="E240" s="2" t="s">
        <v>18</v>
      </c>
      <c r="F240" s="2" t="s">
        <v>34</v>
      </c>
      <c r="G240" s="2" t="s">
        <v>35</v>
      </c>
      <c r="H240" s="2" t="s">
        <v>52</v>
      </c>
      <c r="I240" s="2">
        <v>67</v>
      </c>
      <c r="J240" s="2">
        <v>25</v>
      </c>
      <c r="K240" s="2">
        <v>39885.18</v>
      </c>
      <c r="L240" s="2">
        <v>271.98</v>
      </c>
      <c r="M240" s="2">
        <v>14.63</v>
      </c>
      <c r="N240" s="2" t="s">
        <v>30</v>
      </c>
      <c r="O240" s="2">
        <v>2</v>
      </c>
    </row>
    <row r="241" spans="1:15" x14ac:dyDescent="0.3">
      <c r="A241" s="2" t="s">
        <v>296</v>
      </c>
      <c r="B241" s="2" t="s">
        <v>86</v>
      </c>
      <c r="C241" s="1">
        <v>46021</v>
      </c>
      <c r="D241" s="2" t="s">
        <v>74</v>
      </c>
      <c r="E241" s="2" t="s">
        <v>58</v>
      </c>
      <c r="F241" s="2" t="s">
        <v>19</v>
      </c>
      <c r="G241" s="2" t="s">
        <v>28</v>
      </c>
      <c r="H241" s="2" t="s">
        <v>29</v>
      </c>
      <c r="I241" s="2">
        <v>35</v>
      </c>
      <c r="J241" s="2">
        <v>13</v>
      </c>
      <c r="K241" s="2">
        <v>4335.41</v>
      </c>
      <c r="L241" s="2">
        <v>51.78</v>
      </c>
      <c r="M241" s="2">
        <v>229.4</v>
      </c>
      <c r="N241" s="2" t="s">
        <v>30</v>
      </c>
      <c r="O241" s="2">
        <v>1</v>
      </c>
    </row>
    <row r="242" spans="1:15" x14ac:dyDescent="0.3">
      <c r="A242" s="2" t="s">
        <v>297</v>
      </c>
      <c r="B242" s="2" t="s">
        <v>60</v>
      </c>
      <c r="C242" s="1">
        <v>46101</v>
      </c>
      <c r="D242" s="2" t="s">
        <v>41</v>
      </c>
      <c r="E242" s="2" t="s">
        <v>18</v>
      </c>
      <c r="F242" s="2" t="s">
        <v>34</v>
      </c>
      <c r="G242" s="2" t="s">
        <v>64</v>
      </c>
      <c r="H242" s="2" t="s">
        <v>29</v>
      </c>
      <c r="I242" s="2">
        <v>40</v>
      </c>
      <c r="J242" s="2">
        <v>103</v>
      </c>
      <c r="K242" s="2">
        <v>14474.53</v>
      </c>
      <c r="L242" s="2">
        <v>275.52</v>
      </c>
      <c r="M242" s="2">
        <v>85.41</v>
      </c>
      <c r="N242" s="2" t="s">
        <v>30</v>
      </c>
      <c r="O242" s="2">
        <v>2</v>
      </c>
    </row>
    <row r="243" spans="1:15" x14ac:dyDescent="0.3">
      <c r="A243" s="2" t="s">
        <v>298</v>
      </c>
      <c r="B243" s="2" t="s">
        <v>78</v>
      </c>
      <c r="C243" s="1">
        <v>46116</v>
      </c>
      <c r="D243" s="2" t="s">
        <v>43</v>
      </c>
      <c r="E243" s="2" t="s">
        <v>18</v>
      </c>
      <c r="F243" s="2" t="s">
        <v>27</v>
      </c>
      <c r="G243" s="2" t="s">
        <v>55</v>
      </c>
      <c r="H243" s="2" t="s">
        <v>52</v>
      </c>
      <c r="I243" s="2">
        <v>29</v>
      </c>
      <c r="J243" s="2">
        <v>92</v>
      </c>
      <c r="K243" s="2">
        <v>29472.19</v>
      </c>
      <c r="L243" s="2">
        <v>222.7</v>
      </c>
      <c r="M243" s="2">
        <v>177.52</v>
      </c>
      <c r="N243" s="2" t="s">
        <v>30</v>
      </c>
      <c r="O243" s="2">
        <v>1</v>
      </c>
    </row>
    <row r="244" spans="1:15" x14ac:dyDescent="0.3">
      <c r="A244" s="2" t="s">
        <v>299</v>
      </c>
      <c r="B244" s="2" t="s">
        <v>67</v>
      </c>
      <c r="C244" s="1">
        <v>46211</v>
      </c>
      <c r="D244" s="2" t="s">
        <v>54</v>
      </c>
      <c r="E244" s="2" t="s">
        <v>26</v>
      </c>
      <c r="F244" s="2" t="s">
        <v>34</v>
      </c>
      <c r="G244" s="2" t="s">
        <v>55</v>
      </c>
      <c r="H244" s="2" t="s">
        <v>21</v>
      </c>
      <c r="I244" s="2">
        <v>52</v>
      </c>
      <c r="J244" s="2">
        <v>106</v>
      </c>
      <c r="K244" s="2">
        <v>13192.44</v>
      </c>
      <c r="L244" s="2">
        <v>487.44</v>
      </c>
      <c r="M244" s="2">
        <v>73.569999999999993</v>
      </c>
      <c r="N244" s="2" t="s">
        <v>30</v>
      </c>
      <c r="O244" s="2">
        <v>3</v>
      </c>
    </row>
    <row r="245" spans="1:15" x14ac:dyDescent="0.3">
      <c r="A245" s="2" t="s">
        <v>300</v>
      </c>
      <c r="B245" s="2" t="s">
        <v>49</v>
      </c>
      <c r="C245" s="1">
        <v>45925</v>
      </c>
      <c r="D245" s="2" t="s">
        <v>16</v>
      </c>
      <c r="E245" s="2" t="s">
        <v>26</v>
      </c>
      <c r="F245" s="2" t="s">
        <v>39</v>
      </c>
      <c r="G245" s="2" t="s">
        <v>20</v>
      </c>
      <c r="H245" s="2" t="s">
        <v>52</v>
      </c>
      <c r="I245" s="2">
        <v>24</v>
      </c>
      <c r="J245" s="2">
        <v>119</v>
      </c>
      <c r="K245" s="2">
        <v>46731.91</v>
      </c>
      <c r="L245" s="2">
        <v>121.62</v>
      </c>
      <c r="M245" s="2">
        <v>28.56</v>
      </c>
      <c r="N245" s="2" t="s">
        <v>30</v>
      </c>
      <c r="O245" s="2">
        <v>5</v>
      </c>
    </row>
    <row r="246" spans="1:15" x14ac:dyDescent="0.3">
      <c r="A246" s="2" t="s">
        <v>301</v>
      </c>
      <c r="B246" s="2" t="s">
        <v>76</v>
      </c>
      <c r="C246" s="1">
        <v>46063</v>
      </c>
      <c r="D246" s="2" t="s">
        <v>24</v>
      </c>
      <c r="E246" s="2" t="s">
        <v>26</v>
      </c>
      <c r="F246" s="2" t="s">
        <v>34</v>
      </c>
      <c r="G246" s="2" t="s">
        <v>55</v>
      </c>
      <c r="H246" s="2" t="s">
        <v>29</v>
      </c>
      <c r="I246" s="2">
        <v>70</v>
      </c>
      <c r="J246" s="2">
        <v>70</v>
      </c>
      <c r="K246" s="2">
        <v>6987.4</v>
      </c>
      <c r="L246" s="2">
        <v>209.37</v>
      </c>
      <c r="M246" s="2">
        <v>208.77</v>
      </c>
      <c r="N246" s="2" t="s">
        <v>22</v>
      </c>
      <c r="O246" s="2">
        <v>5</v>
      </c>
    </row>
    <row r="247" spans="1:15" x14ac:dyDescent="0.3">
      <c r="A247" s="2" t="s">
        <v>302</v>
      </c>
      <c r="B247" s="2" t="s">
        <v>60</v>
      </c>
      <c r="C247" s="1">
        <v>46161</v>
      </c>
      <c r="D247" s="2" t="s">
        <v>90</v>
      </c>
      <c r="E247" s="2" t="s">
        <v>26</v>
      </c>
      <c r="F247" s="2" t="s">
        <v>27</v>
      </c>
      <c r="G247" s="2" t="s">
        <v>64</v>
      </c>
      <c r="H247" s="2" t="s">
        <v>29</v>
      </c>
      <c r="I247" s="2">
        <v>38</v>
      </c>
      <c r="J247" s="2">
        <v>67</v>
      </c>
      <c r="K247" s="2">
        <v>39971.019999999997</v>
      </c>
      <c r="L247" s="2">
        <v>238.77</v>
      </c>
      <c r="M247" s="2">
        <v>49.38</v>
      </c>
      <c r="N247" s="2" t="s">
        <v>30</v>
      </c>
      <c r="O247" s="2">
        <v>1</v>
      </c>
    </row>
    <row r="248" spans="1:15" x14ac:dyDescent="0.3">
      <c r="A248" s="2" t="s">
        <v>303</v>
      </c>
      <c r="B248" s="2" t="s">
        <v>82</v>
      </c>
      <c r="C248" s="1">
        <v>46188</v>
      </c>
      <c r="D248" s="2" t="s">
        <v>16</v>
      </c>
      <c r="E248" s="2" t="s">
        <v>38</v>
      </c>
      <c r="F248" s="2" t="s">
        <v>27</v>
      </c>
      <c r="G248" s="2" t="s">
        <v>55</v>
      </c>
      <c r="H248" s="2" t="s">
        <v>52</v>
      </c>
      <c r="I248" s="2">
        <v>25</v>
      </c>
      <c r="J248" s="2">
        <v>58</v>
      </c>
      <c r="K248" s="2">
        <v>25643.46</v>
      </c>
      <c r="L248" s="2">
        <v>225.81</v>
      </c>
      <c r="M248" s="2">
        <v>150.74</v>
      </c>
      <c r="N248" s="2" t="s">
        <v>30</v>
      </c>
      <c r="O248" s="2">
        <v>5</v>
      </c>
    </row>
    <row r="249" spans="1:15" x14ac:dyDescent="0.3">
      <c r="A249" s="2" t="s">
        <v>304</v>
      </c>
      <c r="B249" s="2" t="s">
        <v>78</v>
      </c>
      <c r="C249" s="1">
        <v>46011</v>
      </c>
      <c r="D249" s="2" t="s">
        <v>74</v>
      </c>
      <c r="E249" s="2" t="s">
        <v>45</v>
      </c>
      <c r="F249" s="2" t="s">
        <v>68</v>
      </c>
      <c r="G249" s="2" t="s">
        <v>64</v>
      </c>
      <c r="H249" s="2" t="s">
        <v>21</v>
      </c>
      <c r="I249" s="2">
        <v>40</v>
      </c>
      <c r="J249" s="2">
        <v>99</v>
      </c>
      <c r="K249" s="2">
        <v>37641.370000000003</v>
      </c>
      <c r="L249" s="2">
        <v>349.62</v>
      </c>
      <c r="M249" s="2">
        <v>193.62</v>
      </c>
      <c r="N249" s="2" t="s">
        <v>30</v>
      </c>
      <c r="O249" s="2">
        <v>1</v>
      </c>
    </row>
    <row r="250" spans="1:15" x14ac:dyDescent="0.3">
      <c r="A250" s="2" t="s">
        <v>305</v>
      </c>
      <c r="B250" s="2" t="s">
        <v>62</v>
      </c>
      <c r="C250" s="1">
        <v>46182</v>
      </c>
      <c r="D250" s="2" t="s">
        <v>90</v>
      </c>
      <c r="E250" s="2" t="s">
        <v>58</v>
      </c>
      <c r="F250" s="2" t="s">
        <v>19</v>
      </c>
      <c r="G250" s="2" t="s">
        <v>28</v>
      </c>
      <c r="H250" s="2" t="s">
        <v>52</v>
      </c>
      <c r="I250" s="2">
        <v>43</v>
      </c>
      <c r="J250" s="2">
        <v>82</v>
      </c>
      <c r="K250" s="2">
        <v>15880.41</v>
      </c>
      <c r="L250" s="2">
        <v>146.97999999999999</v>
      </c>
      <c r="M250" s="2">
        <v>155.91</v>
      </c>
      <c r="N250" s="2" t="s">
        <v>30</v>
      </c>
      <c r="O250" s="2">
        <v>1</v>
      </c>
    </row>
    <row r="251" spans="1:15" x14ac:dyDescent="0.3">
      <c r="A251" s="2" t="s">
        <v>306</v>
      </c>
      <c r="B251" s="2" t="s">
        <v>86</v>
      </c>
      <c r="C251" s="1">
        <v>45936</v>
      </c>
      <c r="D251" s="2" t="s">
        <v>90</v>
      </c>
      <c r="E251" s="2" t="s">
        <v>18</v>
      </c>
      <c r="F251" s="2" t="s">
        <v>34</v>
      </c>
      <c r="G251" s="2" t="s">
        <v>20</v>
      </c>
      <c r="H251" s="2" t="s">
        <v>52</v>
      </c>
      <c r="I251" s="2">
        <v>31</v>
      </c>
      <c r="J251" s="2">
        <v>75</v>
      </c>
      <c r="K251" s="2">
        <v>25967.24</v>
      </c>
      <c r="L251" s="2">
        <v>149.47999999999999</v>
      </c>
      <c r="M251" s="2">
        <v>4.49</v>
      </c>
      <c r="N251" s="2" t="s">
        <v>22</v>
      </c>
      <c r="O251" s="2">
        <v>4</v>
      </c>
    </row>
    <row r="252" spans="1:15" x14ac:dyDescent="0.3">
      <c r="A252" s="2" t="s">
        <v>307</v>
      </c>
      <c r="B252" s="2" t="s">
        <v>62</v>
      </c>
      <c r="C252" s="1">
        <v>46090</v>
      </c>
      <c r="D252" s="2" t="s">
        <v>90</v>
      </c>
      <c r="E252" s="2" t="s">
        <v>38</v>
      </c>
      <c r="F252" s="2" t="s">
        <v>68</v>
      </c>
      <c r="G252" s="2" t="s">
        <v>55</v>
      </c>
      <c r="H252" s="2" t="s">
        <v>29</v>
      </c>
      <c r="I252" s="2">
        <v>57</v>
      </c>
      <c r="J252" s="2">
        <v>118</v>
      </c>
      <c r="K252" s="2">
        <v>42913.35</v>
      </c>
      <c r="L252" s="2">
        <v>378.14</v>
      </c>
      <c r="M252" s="2">
        <v>179.97</v>
      </c>
      <c r="N252" s="2" t="s">
        <v>22</v>
      </c>
      <c r="O252" s="2">
        <v>4</v>
      </c>
    </row>
    <row r="253" spans="1:15" x14ac:dyDescent="0.3">
      <c r="A253" s="2" t="s">
        <v>308</v>
      </c>
      <c r="B253" s="2" t="s">
        <v>25</v>
      </c>
      <c r="C253" s="1">
        <v>45898</v>
      </c>
      <c r="D253" s="2" t="s">
        <v>41</v>
      </c>
      <c r="E253" s="2" t="s">
        <v>58</v>
      </c>
      <c r="F253" s="2" t="s">
        <v>19</v>
      </c>
      <c r="G253" s="2" t="s">
        <v>64</v>
      </c>
      <c r="H253" s="2" t="s">
        <v>21</v>
      </c>
      <c r="I253" s="2">
        <v>42</v>
      </c>
      <c r="J253" s="2">
        <v>84</v>
      </c>
      <c r="K253" s="2">
        <v>23610.47</v>
      </c>
      <c r="L253" s="2">
        <v>275.13</v>
      </c>
      <c r="M253" s="2">
        <v>139.08000000000001</v>
      </c>
      <c r="N253" s="2" t="s">
        <v>30</v>
      </c>
      <c r="O253" s="2">
        <v>4</v>
      </c>
    </row>
    <row r="254" spans="1:15" x14ac:dyDescent="0.3">
      <c r="A254" s="2" t="s">
        <v>309</v>
      </c>
      <c r="B254" s="2" t="s">
        <v>86</v>
      </c>
      <c r="C254" s="1">
        <v>46118</v>
      </c>
      <c r="D254" s="2" t="s">
        <v>74</v>
      </c>
      <c r="E254" s="2" t="s">
        <v>38</v>
      </c>
      <c r="F254" s="2" t="s">
        <v>34</v>
      </c>
      <c r="G254" s="2" t="s">
        <v>35</v>
      </c>
      <c r="H254" s="2" t="s">
        <v>56</v>
      </c>
      <c r="I254" s="2">
        <v>24</v>
      </c>
      <c r="J254" s="2">
        <v>64</v>
      </c>
      <c r="K254" s="2">
        <v>18306.13</v>
      </c>
      <c r="L254" s="2">
        <v>236.82</v>
      </c>
      <c r="M254" s="2">
        <v>165.09</v>
      </c>
      <c r="N254" s="2" t="s">
        <v>22</v>
      </c>
      <c r="O254" s="2">
        <v>2</v>
      </c>
    </row>
    <row r="255" spans="1:15" x14ac:dyDescent="0.3">
      <c r="A255" s="2" t="s">
        <v>310</v>
      </c>
      <c r="B255" s="2" t="s">
        <v>60</v>
      </c>
      <c r="C255" s="1">
        <v>46192</v>
      </c>
      <c r="D255" s="2" t="s">
        <v>90</v>
      </c>
      <c r="E255" s="2" t="s">
        <v>38</v>
      </c>
      <c r="F255" s="2" t="s">
        <v>39</v>
      </c>
      <c r="G255" s="2" t="s">
        <v>20</v>
      </c>
      <c r="H255" s="2" t="s">
        <v>21</v>
      </c>
      <c r="I255" s="2">
        <v>49</v>
      </c>
      <c r="J255" s="2">
        <v>69</v>
      </c>
      <c r="K255" s="2">
        <v>27039.69</v>
      </c>
      <c r="L255" s="2">
        <v>126.14</v>
      </c>
      <c r="M255" s="2">
        <v>11.2</v>
      </c>
      <c r="N255" s="2" t="s">
        <v>30</v>
      </c>
      <c r="O255" s="2">
        <v>4</v>
      </c>
    </row>
    <row r="256" spans="1:15" x14ac:dyDescent="0.3">
      <c r="A256" s="2" t="s">
        <v>311</v>
      </c>
      <c r="B256" s="2" t="s">
        <v>82</v>
      </c>
      <c r="C256" s="1">
        <v>46167</v>
      </c>
      <c r="D256" s="2" t="s">
        <v>24</v>
      </c>
      <c r="E256" s="2" t="s">
        <v>18</v>
      </c>
      <c r="F256" s="2" t="s">
        <v>34</v>
      </c>
      <c r="G256" s="2" t="s">
        <v>28</v>
      </c>
      <c r="H256" s="2" t="s">
        <v>52</v>
      </c>
      <c r="I256" s="2">
        <v>64</v>
      </c>
      <c r="J256" s="2">
        <v>83</v>
      </c>
      <c r="K256" s="2">
        <v>36009.46</v>
      </c>
      <c r="L256" s="2">
        <v>134.38999999999999</v>
      </c>
      <c r="M256" s="2">
        <v>96.02</v>
      </c>
      <c r="N256" s="2" t="s">
        <v>22</v>
      </c>
      <c r="O256" s="2">
        <v>1</v>
      </c>
    </row>
    <row r="257" spans="1:15" x14ac:dyDescent="0.3">
      <c r="A257" s="2" t="s">
        <v>312</v>
      </c>
      <c r="B257" s="2" t="s">
        <v>25</v>
      </c>
      <c r="C257" s="1">
        <v>45931</v>
      </c>
      <c r="D257" s="2" t="s">
        <v>32</v>
      </c>
      <c r="E257" s="2" t="s">
        <v>45</v>
      </c>
      <c r="F257" s="2" t="s">
        <v>27</v>
      </c>
      <c r="G257" s="2" t="s">
        <v>64</v>
      </c>
      <c r="H257" s="2" t="s">
        <v>52</v>
      </c>
      <c r="I257" s="2">
        <v>54</v>
      </c>
      <c r="J257" s="2">
        <v>86</v>
      </c>
      <c r="K257" s="2">
        <v>22456.39</v>
      </c>
      <c r="L257" s="2">
        <v>54.75</v>
      </c>
      <c r="M257" s="2">
        <v>107.07</v>
      </c>
      <c r="N257" s="2" t="s">
        <v>30</v>
      </c>
      <c r="O257" s="2">
        <v>3</v>
      </c>
    </row>
    <row r="258" spans="1:15" x14ac:dyDescent="0.3">
      <c r="A258" s="2" t="s">
        <v>313</v>
      </c>
      <c r="B258" s="2" t="s">
        <v>51</v>
      </c>
      <c r="C258" s="1">
        <v>45966</v>
      </c>
      <c r="D258" s="2" t="s">
        <v>90</v>
      </c>
      <c r="E258" s="2" t="s">
        <v>26</v>
      </c>
      <c r="F258" s="2" t="s">
        <v>27</v>
      </c>
      <c r="G258" s="2" t="s">
        <v>28</v>
      </c>
      <c r="H258" s="2" t="s">
        <v>52</v>
      </c>
      <c r="I258" s="2">
        <v>33</v>
      </c>
      <c r="J258" s="2">
        <v>59</v>
      </c>
      <c r="K258" s="2">
        <v>46974.41</v>
      </c>
      <c r="L258" s="2">
        <v>91.14</v>
      </c>
      <c r="M258" s="2">
        <v>33.82</v>
      </c>
      <c r="N258" s="2" t="s">
        <v>30</v>
      </c>
      <c r="O258" s="2">
        <v>4</v>
      </c>
    </row>
    <row r="259" spans="1:15" x14ac:dyDescent="0.3">
      <c r="A259" s="2" t="s">
        <v>314</v>
      </c>
      <c r="B259" s="2" t="s">
        <v>49</v>
      </c>
      <c r="C259" s="1">
        <v>46131</v>
      </c>
      <c r="D259" s="2" t="s">
        <v>41</v>
      </c>
      <c r="E259" s="2" t="s">
        <v>45</v>
      </c>
      <c r="F259" s="2" t="s">
        <v>39</v>
      </c>
      <c r="G259" s="2" t="s">
        <v>28</v>
      </c>
      <c r="H259" s="2" t="s">
        <v>21</v>
      </c>
      <c r="I259" s="2">
        <v>62</v>
      </c>
      <c r="J259" s="2">
        <v>60</v>
      </c>
      <c r="K259" s="2">
        <v>15099.82</v>
      </c>
      <c r="L259" s="2">
        <v>300.58</v>
      </c>
      <c r="M259" s="2">
        <v>64.489999999999995</v>
      </c>
      <c r="N259" s="2" t="s">
        <v>22</v>
      </c>
      <c r="O259" s="2">
        <v>4</v>
      </c>
    </row>
    <row r="260" spans="1:15" x14ac:dyDescent="0.3">
      <c r="A260" s="2" t="s">
        <v>315</v>
      </c>
      <c r="B260" s="2" t="s">
        <v>67</v>
      </c>
      <c r="C260" s="1">
        <v>46172</v>
      </c>
      <c r="D260" s="2" t="s">
        <v>16</v>
      </c>
      <c r="E260" s="2" t="s">
        <v>18</v>
      </c>
      <c r="F260" s="2" t="s">
        <v>68</v>
      </c>
      <c r="G260" s="2" t="s">
        <v>55</v>
      </c>
      <c r="H260" s="2" t="s">
        <v>29</v>
      </c>
      <c r="I260" s="2">
        <v>29</v>
      </c>
      <c r="J260" s="2">
        <v>83</v>
      </c>
      <c r="K260" s="2">
        <v>24035.45</v>
      </c>
      <c r="L260" s="2">
        <v>451.34</v>
      </c>
      <c r="M260" s="2">
        <v>132.06</v>
      </c>
      <c r="N260" s="2" t="s">
        <v>22</v>
      </c>
      <c r="O260" s="2">
        <v>3</v>
      </c>
    </row>
    <row r="261" spans="1:15" x14ac:dyDescent="0.3">
      <c r="A261" s="2" t="s">
        <v>316</v>
      </c>
      <c r="B261" s="2" t="s">
        <v>76</v>
      </c>
      <c r="C261" s="1">
        <v>46122</v>
      </c>
      <c r="D261" s="2" t="s">
        <v>74</v>
      </c>
      <c r="E261" s="2" t="s">
        <v>18</v>
      </c>
      <c r="F261" s="2" t="s">
        <v>19</v>
      </c>
      <c r="G261" s="2" t="s">
        <v>55</v>
      </c>
      <c r="H261" s="2" t="s">
        <v>52</v>
      </c>
      <c r="I261" s="2">
        <v>62</v>
      </c>
      <c r="J261" s="2">
        <v>111</v>
      </c>
      <c r="K261" s="2">
        <v>37967.919999999998</v>
      </c>
      <c r="L261" s="2">
        <v>179.22</v>
      </c>
      <c r="M261" s="2">
        <v>166.64</v>
      </c>
      <c r="N261" s="2" t="s">
        <v>22</v>
      </c>
      <c r="O261" s="2">
        <v>1</v>
      </c>
    </row>
    <row r="262" spans="1:15" x14ac:dyDescent="0.3">
      <c r="A262" s="2" t="s">
        <v>317</v>
      </c>
      <c r="B262" s="2" t="s">
        <v>17</v>
      </c>
      <c r="C262" s="1">
        <v>46081</v>
      </c>
      <c r="D262" s="2" t="s">
        <v>43</v>
      </c>
      <c r="E262" s="2" t="s">
        <v>18</v>
      </c>
      <c r="F262" s="2" t="s">
        <v>34</v>
      </c>
      <c r="G262" s="2" t="s">
        <v>64</v>
      </c>
      <c r="H262" s="2" t="s">
        <v>52</v>
      </c>
      <c r="I262" s="2">
        <v>51</v>
      </c>
      <c r="J262" s="2">
        <v>62</v>
      </c>
      <c r="K262" s="2">
        <v>34611.49</v>
      </c>
      <c r="L262" s="2">
        <v>197.49</v>
      </c>
      <c r="M262" s="2">
        <v>185.88</v>
      </c>
      <c r="N262" s="2" t="s">
        <v>30</v>
      </c>
      <c r="O262" s="2">
        <v>2</v>
      </c>
    </row>
    <row r="263" spans="1:15" x14ac:dyDescent="0.3">
      <c r="A263" s="2" t="s">
        <v>318</v>
      </c>
      <c r="B263" s="2" t="s">
        <v>62</v>
      </c>
      <c r="C263" s="1">
        <v>46200</v>
      </c>
      <c r="D263" s="2" t="s">
        <v>41</v>
      </c>
      <c r="E263" s="2" t="s">
        <v>58</v>
      </c>
      <c r="F263" s="2" t="s">
        <v>27</v>
      </c>
      <c r="G263" s="2" t="s">
        <v>35</v>
      </c>
      <c r="H263" s="2" t="s">
        <v>21</v>
      </c>
      <c r="I263" s="2">
        <v>27</v>
      </c>
      <c r="J263" s="2">
        <v>16</v>
      </c>
      <c r="K263" s="2">
        <v>43250.23</v>
      </c>
      <c r="L263" s="2">
        <v>102.02</v>
      </c>
      <c r="M263" s="2">
        <v>125.68</v>
      </c>
      <c r="N263" s="2" t="s">
        <v>30</v>
      </c>
      <c r="O263" s="2">
        <v>4</v>
      </c>
    </row>
    <row r="264" spans="1:15" x14ac:dyDescent="0.3">
      <c r="A264" s="2" t="s">
        <v>319</v>
      </c>
      <c r="B264" s="2" t="s">
        <v>62</v>
      </c>
      <c r="C264" s="1">
        <v>46112</v>
      </c>
      <c r="D264" s="2" t="s">
        <v>90</v>
      </c>
      <c r="E264" s="2" t="s">
        <v>45</v>
      </c>
      <c r="F264" s="2" t="s">
        <v>68</v>
      </c>
      <c r="G264" s="2" t="s">
        <v>64</v>
      </c>
      <c r="H264" s="2" t="s">
        <v>56</v>
      </c>
      <c r="I264" s="2">
        <v>24</v>
      </c>
      <c r="J264" s="2">
        <v>88</v>
      </c>
      <c r="K264" s="2">
        <v>49842.05</v>
      </c>
      <c r="L264" s="2">
        <v>224.88</v>
      </c>
      <c r="M264" s="2">
        <v>78.989999999999995</v>
      </c>
      <c r="N264" s="2" t="s">
        <v>22</v>
      </c>
      <c r="O264" s="2">
        <v>3</v>
      </c>
    </row>
    <row r="265" spans="1:15" x14ac:dyDescent="0.3">
      <c r="A265" s="2" t="s">
        <v>320</v>
      </c>
      <c r="B265" s="2" t="s">
        <v>25</v>
      </c>
      <c r="C265" s="1">
        <v>46041</v>
      </c>
      <c r="D265" s="2" t="s">
        <v>74</v>
      </c>
      <c r="E265" s="2" t="s">
        <v>45</v>
      </c>
      <c r="F265" s="2" t="s">
        <v>39</v>
      </c>
      <c r="G265" s="2" t="s">
        <v>35</v>
      </c>
      <c r="H265" s="2" t="s">
        <v>56</v>
      </c>
      <c r="I265" s="2">
        <v>39</v>
      </c>
      <c r="J265" s="2">
        <v>105</v>
      </c>
      <c r="K265" s="2">
        <v>21629.49</v>
      </c>
      <c r="L265" s="2">
        <v>66.75</v>
      </c>
      <c r="M265" s="2">
        <v>50.81</v>
      </c>
      <c r="N265" s="2" t="s">
        <v>30</v>
      </c>
      <c r="O265" s="2">
        <v>1</v>
      </c>
    </row>
    <row r="266" spans="1:15" x14ac:dyDescent="0.3">
      <c r="A266" s="2" t="s">
        <v>321</v>
      </c>
      <c r="B266" s="2" t="s">
        <v>37</v>
      </c>
      <c r="C266" s="1">
        <v>46012</v>
      </c>
      <c r="D266" s="2" t="s">
        <v>32</v>
      </c>
      <c r="E266" s="2" t="s">
        <v>38</v>
      </c>
      <c r="F266" s="2" t="s">
        <v>27</v>
      </c>
      <c r="G266" s="2" t="s">
        <v>28</v>
      </c>
      <c r="H266" s="2" t="s">
        <v>29</v>
      </c>
      <c r="I266" s="2">
        <v>62</v>
      </c>
      <c r="J266" s="2">
        <v>68</v>
      </c>
      <c r="K266" s="2">
        <v>6001.97</v>
      </c>
      <c r="L266" s="2">
        <v>462.92</v>
      </c>
      <c r="M266" s="2">
        <v>294.64</v>
      </c>
      <c r="N266" s="2" t="s">
        <v>30</v>
      </c>
      <c r="O266" s="2">
        <v>5</v>
      </c>
    </row>
    <row r="267" spans="1:15" x14ac:dyDescent="0.3">
      <c r="A267" s="2" t="s">
        <v>322</v>
      </c>
      <c r="B267" s="2" t="s">
        <v>86</v>
      </c>
      <c r="C267" s="1">
        <v>45937</v>
      </c>
      <c r="D267" s="2" t="s">
        <v>90</v>
      </c>
      <c r="E267" s="2" t="s">
        <v>38</v>
      </c>
      <c r="F267" s="2" t="s">
        <v>39</v>
      </c>
      <c r="G267" s="2" t="s">
        <v>20</v>
      </c>
      <c r="H267" s="2" t="s">
        <v>29</v>
      </c>
      <c r="I267" s="2">
        <v>50</v>
      </c>
      <c r="J267" s="2">
        <v>15</v>
      </c>
      <c r="K267" s="2">
        <v>2005.59</v>
      </c>
      <c r="L267" s="2">
        <v>352.9</v>
      </c>
      <c r="M267" s="2">
        <v>294.89999999999998</v>
      </c>
      <c r="N267" s="2" t="s">
        <v>30</v>
      </c>
      <c r="O267" s="2">
        <v>2</v>
      </c>
    </row>
    <row r="268" spans="1:15" x14ac:dyDescent="0.3">
      <c r="A268" s="2" t="s">
        <v>323</v>
      </c>
      <c r="B268" s="2" t="s">
        <v>44</v>
      </c>
      <c r="C268" s="1">
        <v>45898</v>
      </c>
      <c r="D268" s="2" t="s">
        <v>41</v>
      </c>
      <c r="E268" s="2" t="s">
        <v>38</v>
      </c>
      <c r="F268" s="2" t="s">
        <v>34</v>
      </c>
      <c r="G268" s="2" t="s">
        <v>64</v>
      </c>
      <c r="H268" s="2" t="s">
        <v>52</v>
      </c>
      <c r="I268" s="2">
        <v>51</v>
      </c>
      <c r="J268" s="2">
        <v>89</v>
      </c>
      <c r="K268" s="2">
        <v>36480.410000000003</v>
      </c>
      <c r="L268" s="2">
        <v>495.84</v>
      </c>
      <c r="M268" s="2">
        <v>185</v>
      </c>
      <c r="N268" s="2" t="s">
        <v>30</v>
      </c>
      <c r="O268" s="2">
        <v>3</v>
      </c>
    </row>
    <row r="269" spans="1:15" x14ac:dyDescent="0.3">
      <c r="A269" s="2" t="s">
        <v>324</v>
      </c>
      <c r="B269" s="2" t="s">
        <v>51</v>
      </c>
      <c r="C269" s="1">
        <v>45896</v>
      </c>
      <c r="D269" s="2" t="s">
        <v>54</v>
      </c>
      <c r="E269" s="2" t="s">
        <v>18</v>
      </c>
      <c r="F269" s="2" t="s">
        <v>19</v>
      </c>
      <c r="G269" s="2" t="s">
        <v>64</v>
      </c>
      <c r="H269" s="2" t="s">
        <v>21</v>
      </c>
      <c r="I269" s="2">
        <v>55</v>
      </c>
      <c r="J269" s="2">
        <v>108</v>
      </c>
      <c r="K269" s="2">
        <v>43763.68</v>
      </c>
      <c r="L269" s="2">
        <v>447.27</v>
      </c>
      <c r="M269" s="2">
        <v>157.13</v>
      </c>
      <c r="N269" s="2" t="s">
        <v>30</v>
      </c>
      <c r="O269" s="2">
        <v>3</v>
      </c>
    </row>
    <row r="270" spans="1:15" x14ac:dyDescent="0.3">
      <c r="A270" s="2" t="s">
        <v>325</v>
      </c>
      <c r="B270" s="2" t="s">
        <v>76</v>
      </c>
      <c r="C270" s="1">
        <v>46026</v>
      </c>
      <c r="D270" s="2" t="s">
        <v>24</v>
      </c>
      <c r="E270" s="2" t="s">
        <v>45</v>
      </c>
      <c r="F270" s="2" t="s">
        <v>27</v>
      </c>
      <c r="G270" s="2" t="s">
        <v>35</v>
      </c>
      <c r="H270" s="2" t="s">
        <v>52</v>
      </c>
      <c r="I270" s="2">
        <v>41</v>
      </c>
      <c r="J270" s="2">
        <v>55</v>
      </c>
      <c r="K270" s="2">
        <v>11425.27</v>
      </c>
      <c r="L270" s="2">
        <v>262.85000000000002</v>
      </c>
      <c r="M270" s="2">
        <v>65.16</v>
      </c>
      <c r="N270" s="2" t="s">
        <v>30</v>
      </c>
      <c r="O270" s="2">
        <v>3</v>
      </c>
    </row>
    <row r="271" spans="1:15" x14ac:dyDescent="0.3">
      <c r="A271" s="2" t="s">
        <v>326</v>
      </c>
      <c r="B271" s="2" t="s">
        <v>86</v>
      </c>
      <c r="C271" s="1">
        <v>45888</v>
      </c>
      <c r="D271" s="2" t="s">
        <v>43</v>
      </c>
      <c r="E271" s="2" t="s">
        <v>18</v>
      </c>
      <c r="F271" s="2" t="s">
        <v>27</v>
      </c>
      <c r="G271" s="2" t="s">
        <v>28</v>
      </c>
      <c r="H271" s="2" t="s">
        <v>29</v>
      </c>
      <c r="I271" s="2">
        <v>51</v>
      </c>
      <c r="J271" s="2">
        <v>35</v>
      </c>
      <c r="K271" s="2">
        <v>8343.18</v>
      </c>
      <c r="L271" s="2">
        <v>283.86</v>
      </c>
      <c r="M271" s="2">
        <v>245.1</v>
      </c>
      <c r="N271" s="2" t="s">
        <v>30</v>
      </c>
      <c r="O271" s="2">
        <v>4</v>
      </c>
    </row>
    <row r="272" spans="1:15" x14ac:dyDescent="0.3">
      <c r="A272" s="2" t="s">
        <v>327</v>
      </c>
      <c r="B272" s="2" t="s">
        <v>37</v>
      </c>
      <c r="C272" s="1">
        <v>46028</v>
      </c>
      <c r="D272" s="2" t="s">
        <v>16</v>
      </c>
      <c r="E272" s="2" t="s">
        <v>58</v>
      </c>
      <c r="F272" s="2" t="s">
        <v>34</v>
      </c>
      <c r="G272" s="2" t="s">
        <v>28</v>
      </c>
      <c r="H272" s="2" t="s">
        <v>21</v>
      </c>
      <c r="I272" s="2">
        <v>39</v>
      </c>
      <c r="J272" s="2">
        <v>55</v>
      </c>
      <c r="K272" s="2">
        <v>3579.15</v>
      </c>
      <c r="L272" s="2">
        <v>135.76</v>
      </c>
      <c r="M272" s="2">
        <v>81.760000000000005</v>
      </c>
      <c r="N272" s="2" t="s">
        <v>22</v>
      </c>
      <c r="O272" s="2">
        <v>5</v>
      </c>
    </row>
    <row r="273" spans="1:15" x14ac:dyDescent="0.3">
      <c r="A273" s="2" t="s">
        <v>328</v>
      </c>
      <c r="B273" s="2" t="s">
        <v>33</v>
      </c>
      <c r="C273" s="1">
        <v>45980</v>
      </c>
      <c r="D273" s="2" t="s">
        <v>41</v>
      </c>
      <c r="E273" s="2" t="s">
        <v>38</v>
      </c>
      <c r="F273" s="2" t="s">
        <v>68</v>
      </c>
      <c r="G273" s="2" t="s">
        <v>35</v>
      </c>
      <c r="H273" s="2" t="s">
        <v>21</v>
      </c>
      <c r="I273" s="2">
        <v>51</v>
      </c>
      <c r="J273" s="2">
        <v>14</v>
      </c>
      <c r="K273" s="2">
        <v>41223.79</v>
      </c>
      <c r="L273" s="2">
        <v>257.92</v>
      </c>
      <c r="M273" s="2">
        <v>65.349999999999994</v>
      </c>
      <c r="N273" s="2" t="s">
        <v>30</v>
      </c>
      <c r="O273" s="2">
        <v>2</v>
      </c>
    </row>
    <row r="274" spans="1:15" x14ac:dyDescent="0.3">
      <c r="A274" s="2" t="s">
        <v>329</v>
      </c>
      <c r="B274" s="2" t="s">
        <v>86</v>
      </c>
      <c r="C274" s="1">
        <v>45908</v>
      </c>
      <c r="D274" s="2" t="s">
        <v>74</v>
      </c>
      <c r="E274" s="2" t="s">
        <v>18</v>
      </c>
      <c r="F274" s="2" t="s">
        <v>19</v>
      </c>
      <c r="G274" s="2" t="s">
        <v>28</v>
      </c>
      <c r="H274" s="2" t="s">
        <v>29</v>
      </c>
      <c r="I274" s="2">
        <v>73</v>
      </c>
      <c r="J274" s="2">
        <v>49</v>
      </c>
      <c r="K274" s="2">
        <v>15913.41</v>
      </c>
      <c r="L274" s="2">
        <v>456.36</v>
      </c>
      <c r="M274" s="2">
        <v>223.46</v>
      </c>
      <c r="N274" s="2" t="s">
        <v>30</v>
      </c>
      <c r="O274" s="2">
        <v>1</v>
      </c>
    </row>
    <row r="275" spans="1:15" x14ac:dyDescent="0.3">
      <c r="A275" s="2" t="s">
        <v>330</v>
      </c>
      <c r="B275" s="2" t="s">
        <v>17</v>
      </c>
      <c r="C275" s="1">
        <v>46150</v>
      </c>
      <c r="D275" s="2" t="s">
        <v>43</v>
      </c>
      <c r="E275" s="2" t="s">
        <v>18</v>
      </c>
      <c r="F275" s="2" t="s">
        <v>27</v>
      </c>
      <c r="G275" s="2" t="s">
        <v>55</v>
      </c>
      <c r="H275" s="2" t="s">
        <v>56</v>
      </c>
      <c r="I275" s="2">
        <v>52</v>
      </c>
      <c r="J275" s="2">
        <v>83</v>
      </c>
      <c r="K275" s="2">
        <v>20384</v>
      </c>
      <c r="L275" s="2">
        <v>72.88</v>
      </c>
      <c r="M275" s="2">
        <v>15.93</v>
      </c>
      <c r="N275" s="2" t="s">
        <v>30</v>
      </c>
      <c r="O275" s="2">
        <v>1</v>
      </c>
    </row>
    <row r="276" spans="1:15" x14ac:dyDescent="0.3">
      <c r="A276" s="2" t="s">
        <v>331</v>
      </c>
      <c r="B276" s="2" t="s">
        <v>76</v>
      </c>
      <c r="C276" s="1">
        <v>45988</v>
      </c>
      <c r="D276" s="2" t="s">
        <v>43</v>
      </c>
      <c r="E276" s="2" t="s">
        <v>58</v>
      </c>
      <c r="F276" s="2" t="s">
        <v>19</v>
      </c>
      <c r="G276" s="2" t="s">
        <v>20</v>
      </c>
      <c r="H276" s="2" t="s">
        <v>56</v>
      </c>
      <c r="I276" s="2">
        <v>22</v>
      </c>
      <c r="J276" s="2">
        <v>102</v>
      </c>
      <c r="K276" s="2">
        <v>25386.13</v>
      </c>
      <c r="L276" s="2">
        <v>438.6</v>
      </c>
      <c r="M276" s="2">
        <v>9.7100000000000009</v>
      </c>
      <c r="N276" s="2" t="s">
        <v>30</v>
      </c>
      <c r="O276" s="2">
        <v>5</v>
      </c>
    </row>
    <row r="277" spans="1:15" x14ac:dyDescent="0.3">
      <c r="A277" s="2" t="s">
        <v>332</v>
      </c>
      <c r="B277" s="2" t="s">
        <v>60</v>
      </c>
      <c r="C277" s="1">
        <v>46041</v>
      </c>
      <c r="D277" s="2" t="s">
        <v>43</v>
      </c>
      <c r="E277" s="2" t="s">
        <v>26</v>
      </c>
      <c r="F277" s="2" t="s">
        <v>27</v>
      </c>
      <c r="G277" s="2" t="s">
        <v>64</v>
      </c>
      <c r="H277" s="2" t="s">
        <v>21</v>
      </c>
      <c r="I277" s="2">
        <v>72</v>
      </c>
      <c r="J277" s="2">
        <v>100</v>
      </c>
      <c r="K277" s="2">
        <v>42052.94</v>
      </c>
      <c r="L277" s="2">
        <v>203.43</v>
      </c>
      <c r="M277" s="2">
        <v>89.59</v>
      </c>
      <c r="N277" s="2" t="s">
        <v>30</v>
      </c>
      <c r="O277" s="2">
        <v>3</v>
      </c>
    </row>
    <row r="278" spans="1:15" x14ac:dyDescent="0.3">
      <c r="A278" s="2" t="s">
        <v>333</v>
      </c>
      <c r="B278" s="2" t="s">
        <v>51</v>
      </c>
      <c r="C278" s="1">
        <v>46108</v>
      </c>
      <c r="D278" s="2" t="s">
        <v>90</v>
      </c>
      <c r="E278" s="2" t="s">
        <v>45</v>
      </c>
      <c r="F278" s="2" t="s">
        <v>19</v>
      </c>
      <c r="G278" s="2" t="s">
        <v>20</v>
      </c>
      <c r="H278" s="2" t="s">
        <v>52</v>
      </c>
      <c r="I278" s="2">
        <v>30</v>
      </c>
      <c r="J278" s="2">
        <v>7</v>
      </c>
      <c r="K278" s="2">
        <v>32716.240000000002</v>
      </c>
      <c r="L278" s="2">
        <v>454.78</v>
      </c>
      <c r="M278" s="2">
        <v>89.13</v>
      </c>
      <c r="N278" s="2" t="s">
        <v>22</v>
      </c>
      <c r="O278" s="2">
        <v>3</v>
      </c>
    </row>
    <row r="279" spans="1:15" x14ac:dyDescent="0.3">
      <c r="A279" s="2" t="s">
        <v>334</v>
      </c>
      <c r="B279" s="2" t="s">
        <v>37</v>
      </c>
      <c r="C279" s="1">
        <v>46128</v>
      </c>
      <c r="D279" s="2" t="s">
        <v>24</v>
      </c>
      <c r="E279" s="2" t="s">
        <v>26</v>
      </c>
      <c r="F279" s="2" t="s">
        <v>39</v>
      </c>
      <c r="G279" s="2" t="s">
        <v>64</v>
      </c>
      <c r="H279" s="2" t="s">
        <v>56</v>
      </c>
      <c r="I279" s="2">
        <v>22</v>
      </c>
      <c r="J279" s="2">
        <v>30</v>
      </c>
      <c r="K279" s="2">
        <v>30945.7</v>
      </c>
      <c r="L279" s="2">
        <v>473.4</v>
      </c>
      <c r="M279" s="2">
        <v>179.13</v>
      </c>
      <c r="N279" s="2" t="s">
        <v>30</v>
      </c>
      <c r="O279" s="2">
        <v>3</v>
      </c>
    </row>
    <row r="280" spans="1:15" x14ac:dyDescent="0.3">
      <c r="A280" s="2" t="s">
        <v>335</v>
      </c>
      <c r="B280" s="2" t="s">
        <v>33</v>
      </c>
      <c r="C280" s="1">
        <v>46111</v>
      </c>
      <c r="D280" s="2" t="s">
        <v>90</v>
      </c>
      <c r="E280" s="2" t="s">
        <v>38</v>
      </c>
      <c r="F280" s="2" t="s">
        <v>27</v>
      </c>
      <c r="G280" s="2" t="s">
        <v>55</v>
      </c>
      <c r="H280" s="2" t="s">
        <v>52</v>
      </c>
      <c r="I280" s="2">
        <v>22</v>
      </c>
      <c r="J280" s="2">
        <v>83</v>
      </c>
      <c r="K280" s="2">
        <v>9195.77</v>
      </c>
      <c r="L280" s="2">
        <v>351.89</v>
      </c>
      <c r="M280" s="2">
        <v>25.23</v>
      </c>
      <c r="N280" s="2" t="s">
        <v>22</v>
      </c>
      <c r="O280" s="2">
        <v>3</v>
      </c>
    </row>
    <row r="281" spans="1:15" x14ac:dyDescent="0.3">
      <c r="A281" s="2" t="s">
        <v>336</v>
      </c>
      <c r="B281" s="2" t="s">
        <v>49</v>
      </c>
      <c r="C281" s="1">
        <v>45922</v>
      </c>
      <c r="D281" s="2" t="s">
        <v>74</v>
      </c>
      <c r="E281" s="2" t="s">
        <v>18</v>
      </c>
      <c r="F281" s="2" t="s">
        <v>19</v>
      </c>
      <c r="G281" s="2" t="s">
        <v>28</v>
      </c>
      <c r="H281" s="2" t="s">
        <v>56</v>
      </c>
      <c r="I281" s="2">
        <v>44</v>
      </c>
      <c r="J281" s="2">
        <v>49</v>
      </c>
      <c r="K281" s="2">
        <v>25902.9</v>
      </c>
      <c r="L281" s="2">
        <v>348.99</v>
      </c>
      <c r="M281" s="2">
        <v>24.66</v>
      </c>
      <c r="N281" s="2" t="s">
        <v>30</v>
      </c>
      <c r="O281" s="2">
        <v>3</v>
      </c>
    </row>
    <row r="282" spans="1:15" x14ac:dyDescent="0.3">
      <c r="A282" s="2" t="s">
        <v>337</v>
      </c>
      <c r="B282" s="2" t="s">
        <v>47</v>
      </c>
      <c r="C282" s="1">
        <v>46019</v>
      </c>
      <c r="D282" s="2" t="s">
        <v>90</v>
      </c>
      <c r="E282" s="2" t="s">
        <v>58</v>
      </c>
      <c r="F282" s="2" t="s">
        <v>68</v>
      </c>
      <c r="G282" s="2" t="s">
        <v>35</v>
      </c>
      <c r="H282" s="2" t="s">
        <v>56</v>
      </c>
      <c r="I282" s="2">
        <v>37</v>
      </c>
      <c r="J282" s="2">
        <v>89</v>
      </c>
      <c r="K282" s="2">
        <v>35911.360000000001</v>
      </c>
      <c r="L282" s="2">
        <v>253.74</v>
      </c>
      <c r="M282" s="2">
        <v>29.49</v>
      </c>
      <c r="N282" s="2" t="s">
        <v>30</v>
      </c>
      <c r="O282" s="2">
        <v>5</v>
      </c>
    </row>
    <row r="283" spans="1:15" x14ac:dyDescent="0.3">
      <c r="A283" s="2" t="s">
        <v>338</v>
      </c>
      <c r="B283" s="2" t="s">
        <v>37</v>
      </c>
      <c r="C283" s="1">
        <v>45938</v>
      </c>
      <c r="D283" s="2" t="s">
        <v>54</v>
      </c>
      <c r="E283" s="2" t="s">
        <v>58</v>
      </c>
      <c r="F283" s="2" t="s">
        <v>39</v>
      </c>
      <c r="G283" s="2" t="s">
        <v>55</v>
      </c>
      <c r="H283" s="2" t="s">
        <v>52</v>
      </c>
      <c r="I283" s="2">
        <v>52</v>
      </c>
      <c r="J283" s="2">
        <v>16</v>
      </c>
      <c r="K283" s="2">
        <v>48676.41</v>
      </c>
      <c r="L283" s="2">
        <v>425.99</v>
      </c>
      <c r="M283" s="2">
        <v>5.95</v>
      </c>
      <c r="N283" s="2" t="s">
        <v>22</v>
      </c>
      <c r="O283" s="2">
        <v>4</v>
      </c>
    </row>
    <row r="284" spans="1:15" x14ac:dyDescent="0.3">
      <c r="A284" s="2" t="s">
        <v>339</v>
      </c>
      <c r="B284" s="2" t="s">
        <v>47</v>
      </c>
      <c r="C284" s="1">
        <v>45949</v>
      </c>
      <c r="D284" s="2" t="s">
        <v>24</v>
      </c>
      <c r="E284" s="2" t="s">
        <v>45</v>
      </c>
      <c r="F284" s="2" t="s">
        <v>39</v>
      </c>
      <c r="G284" s="2" t="s">
        <v>20</v>
      </c>
      <c r="H284" s="2" t="s">
        <v>29</v>
      </c>
      <c r="I284" s="2">
        <v>36</v>
      </c>
      <c r="J284" s="2">
        <v>111</v>
      </c>
      <c r="K284" s="2">
        <v>10469.61</v>
      </c>
      <c r="L284" s="2">
        <v>482.73</v>
      </c>
      <c r="M284" s="2">
        <v>21.52</v>
      </c>
      <c r="N284" s="2" t="s">
        <v>30</v>
      </c>
      <c r="O284" s="2">
        <v>2</v>
      </c>
    </row>
    <row r="285" spans="1:15" x14ac:dyDescent="0.3">
      <c r="A285" s="2" t="s">
        <v>340</v>
      </c>
      <c r="B285" s="2" t="s">
        <v>76</v>
      </c>
      <c r="C285" s="1">
        <v>45932</v>
      </c>
      <c r="D285" s="2" t="s">
        <v>24</v>
      </c>
      <c r="E285" s="2" t="s">
        <v>26</v>
      </c>
      <c r="F285" s="2" t="s">
        <v>68</v>
      </c>
      <c r="G285" s="2" t="s">
        <v>35</v>
      </c>
      <c r="H285" s="2" t="s">
        <v>56</v>
      </c>
      <c r="I285" s="2">
        <v>36</v>
      </c>
      <c r="J285" s="2">
        <v>118</v>
      </c>
      <c r="K285" s="2">
        <v>972.4</v>
      </c>
      <c r="L285" s="2">
        <v>398.79</v>
      </c>
      <c r="M285" s="2">
        <v>131.97</v>
      </c>
      <c r="N285" s="2" t="s">
        <v>30</v>
      </c>
      <c r="O285" s="2">
        <v>3</v>
      </c>
    </row>
    <row r="286" spans="1:15" x14ac:dyDescent="0.3">
      <c r="A286" s="2" t="s">
        <v>341</v>
      </c>
      <c r="B286" s="2" t="s">
        <v>62</v>
      </c>
      <c r="C286" s="1">
        <v>46115</v>
      </c>
      <c r="D286" s="2" t="s">
        <v>74</v>
      </c>
      <c r="E286" s="2" t="s">
        <v>45</v>
      </c>
      <c r="F286" s="2" t="s">
        <v>19</v>
      </c>
      <c r="G286" s="2" t="s">
        <v>28</v>
      </c>
      <c r="H286" s="2" t="s">
        <v>56</v>
      </c>
      <c r="I286" s="2">
        <v>66</v>
      </c>
      <c r="J286" s="2">
        <v>104</v>
      </c>
      <c r="K286" s="2">
        <v>4227.42</v>
      </c>
      <c r="L286" s="2">
        <v>329.87</v>
      </c>
      <c r="M286" s="2">
        <v>86.32</v>
      </c>
      <c r="N286" s="2" t="s">
        <v>30</v>
      </c>
      <c r="O286" s="2">
        <v>4</v>
      </c>
    </row>
    <row r="287" spans="1:15" x14ac:dyDescent="0.3">
      <c r="A287" s="2" t="s">
        <v>342</v>
      </c>
      <c r="B287" s="2" t="s">
        <v>37</v>
      </c>
      <c r="C287" s="1">
        <v>45900</v>
      </c>
      <c r="D287" s="2" t="s">
        <v>16</v>
      </c>
      <c r="E287" s="2" t="s">
        <v>18</v>
      </c>
      <c r="F287" s="2" t="s">
        <v>34</v>
      </c>
      <c r="G287" s="2" t="s">
        <v>55</v>
      </c>
      <c r="H287" s="2" t="s">
        <v>52</v>
      </c>
      <c r="I287" s="2">
        <v>59</v>
      </c>
      <c r="J287" s="2">
        <v>51</v>
      </c>
      <c r="K287" s="2">
        <v>19104.7</v>
      </c>
      <c r="L287" s="2">
        <v>323.06</v>
      </c>
      <c r="M287" s="2">
        <v>152.72</v>
      </c>
      <c r="N287" s="2" t="s">
        <v>30</v>
      </c>
      <c r="O287" s="2">
        <v>1</v>
      </c>
    </row>
    <row r="288" spans="1:15" x14ac:dyDescent="0.3">
      <c r="A288" s="2" t="s">
        <v>343</v>
      </c>
      <c r="B288" s="2" t="s">
        <v>49</v>
      </c>
      <c r="C288" s="1">
        <v>46228</v>
      </c>
      <c r="D288" s="2" t="s">
        <v>54</v>
      </c>
      <c r="E288" s="2" t="s">
        <v>45</v>
      </c>
      <c r="F288" s="2" t="s">
        <v>68</v>
      </c>
      <c r="G288" s="2" t="s">
        <v>35</v>
      </c>
      <c r="H288" s="2" t="s">
        <v>29</v>
      </c>
      <c r="I288" s="2">
        <v>73</v>
      </c>
      <c r="J288" s="2">
        <v>72</v>
      </c>
      <c r="K288" s="2">
        <v>41116.959999999999</v>
      </c>
      <c r="L288" s="2">
        <v>432.26</v>
      </c>
      <c r="M288" s="2">
        <v>297.77999999999997</v>
      </c>
      <c r="N288" s="2" t="s">
        <v>30</v>
      </c>
      <c r="O288" s="2">
        <v>5</v>
      </c>
    </row>
    <row r="289" spans="1:15" x14ac:dyDescent="0.3">
      <c r="A289" s="2" t="s">
        <v>344</v>
      </c>
      <c r="B289" s="2" t="s">
        <v>67</v>
      </c>
      <c r="C289" s="1">
        <v>46097</v>
      </c>
      <c r="D289" s="2" t="s">
        <v>41</v>
      </c>
      <c r="E289" s="2" t="s">
        <v>58</v>
      </c>
      <c r="F289" s="2" t="s">
        <v>19</v>
      </c>
      <c r="G289" s="2" t="s">
        <v>55</v>
      </c>
      <c r="H289" s="2" t="s">
        <v>56</v>
      </c>
      <c r="I289" s="2">
        <v>51</v>
      </c>
      <c r="J289" s="2">
        <v>82</v>
      </c>
      <c r="K289" s="2">
        <v>853.53</v>
      </c>
      <c r="L289" s="2">
        <v>293.54000000000002</v>
      </c>
      <c r="M289" s="2">
        <v>131.81</v>
      </c>
      <c r="N289" s="2" t="s">
        <v>30</v>
      </c>
      <c r="O289" s="2">
        <v>4</v>
      </c>
    </row>
    <row r="290" spans="1:15" x14ac:dyDescent="0.3">
      <c r="A290" s="2" t="s">
        <v>345</v>
      </c>
      <c r="B290" s="2" t="s">
        <v>25</v>
      </c>
      <c r="C290" s="1">
        <v>46098</v>
      </c>
      <c r="D290" s="2" t="s">
        <v>90</v>
      </c>
      <c r="E290" s="2" t="s">
        <v>58</v>
      </c>
      <c r="F290" s="2" t="s">
        <v>68</v>
      </c>
      <c r="G290" s="2" t="s">
        <v>55</v>
      </c>
      <c r="H290" s="2" t="s">
        <v>56</v>
      </c>
      <c r="I290" s="2">
        <v>63</v>
      </c>
      <c r="J290" s="2">
        <v>92</v>
      </c>
      <c r="K290" s="2">
        <v>23108.16</v>
      </c>
      <c r="L290" s="2">
        <v>411.74</v>
      </c>
      <c r="M290" s="2">
        <v>10.09</v>
      </c>
      <c r="N290" s="2" t="s">
        <v>30</v>
      </c>
      <c r="O290" s="2">
        <v>3</v>
      </c>
    </row>
    <row r="291" spans="1:15" x14ac:dyDescent="0.3">
      <c r="A291" s="2" t="s">
        <v>346</v>
      </c>
      <c r="B291" s="2" t="s">
        <v>47</v>
      </c>
      <c r="C291" s="1">
        <v>45944</v>
      </c>
      <c r="D291" s="2" t="s">
        <v>32</v>
      </c>
      <c r="E291" s="2" t="s">
        <v>38</v>
      </c>
      <c r="F291" s="2" t="s">
        <v>68</v>
      </c>
      <c r="G291" s="2" t="s">
        <v>28</v>
      </c>
      <c r="H291" s="2" t="s">
        <v>29</v>
      </c>
      <c r="I291" s="2">
        <v>44</v>
      </c>
      <c r="J291" s="2">
        <v>80</v>
      </c>
      <c r="K291" s="2">
        <v>16796.919999999998</v>
      </c>
      <c r="L291" s="2">
        <v>279</v>
      </c>
      <c r="M291" s="2">
        <v>31.36</v>
      </c>
      <c r="N291" s="2" t="s">
        <v>30</v>
      </c>
      <c r="O291" s="2">
        <v>3</v>
      </c>
    </row>
    <row r="292" spans="1:15" x14ac:dyDescent="0.3">
      <c r="A292" s="2" t="s">
        <v>347</v>
      </c>
      <c r="B292" s="2" t="s">
        <v>25</v>
      </c>
      <c r="C292" s="1">
        <v>46227</v>
      </c>
      <c r="D292" s="2" t="s">
        <v>90</v>
      </c>
      <c r="E292" s="2" t="s">
        <v>38</v>
      </c>
      <c r="F292" s="2" t="s">
        <v>27</v>
      </c>
      <c r="G292" s="2" t="s">
        <v>64</v>
      </c>
      <c r="H292" s="2" t="s">
        <v>56</v>
      </c>
      <c r="I292" s="2">
        <v>21</v>
      </c>
      <c r="J292" s="2">
        <v>116</v>
      </c>
      <c r="K292" s="2">
        <v>3097.84</v>
      </c>
      <c r="L292" s="2">
        <v>78.099999999999994</v>
      </c>
      <c r="M292" s="2">
        <v>176.2</v>
      </c>
      <c r="N292" s="2" t="s">
        <v>22</v>
      </c>
      <c r="O292" s="2">
        <v>3</v>
      </c>
    </row>
    <row r="293" spans="1:15" x14ac:dyDescent="0.3">
      <c r="A293" s="2" t="s">
        <v>348</v>
      </c>
      <c r="B293" s="2" t="s">
        <v>17</v>
      </c>
      <c r="C293" s="1">
        <v>45927</v>
      </c>
      <c r="D293" s="2" t="s">
        <v>43</v>
      </c>
      <c r="E293" s="2" t="s">
        <v>18</v>
      </c>
      <c r="F293" s="2" t="s">
        <v>19</v>
      </c>
      <c r="G293" s="2" t="s">
        <v>35</v>
      </c>
      <c r="H293" s="2" t="s">
        <v>29</v>
      </c>
      <c r="I293" s="2">
        <v>31</v>
      </c>
      <c r="J293" s="2">
        <v>83</v>
      </c>
      <c r="K293" s="2">
        <v>22786.7</v>
      </c>
      <c r="L293" s="2">
        <v>222.78</v>
      </c>
      <c r="M293" s="2">
        <v>158.25</v>
      </c>
      <c r="N293" s="2" t="s">
        <v>22</v>
      </c>
      <c r="O293" s="2">
        <v>4</v>
      </c>
    </row>
    <row r="294" spans="1:15" x14ac:dyDescent="0.3">
      <c r="A294" s="2" t="s">
        <v>349</v>
      </c>
      <c r="B294" s="2" t="s">
        <v>67</v>
      </c>
      <c r="C294" s="1">
        <v>46048</v>
      </c>
      <c r="D294" s="2" t="s">
        <v>90</v>
      </c>
      <c r="E294" s="2" t="s">
        <v>26</v>
      </c>
      <c r="F294" s="2" t="s">
        <v>34</v>
      </c>
      <c r="G294" s="2" t="s">
        <v>28</v>
      </c>
      <c r="H294" s="2" t="s">
        <v>29</v>
      </c>
      <c r="I294" s="2">
        <v>41</v>
      </c>
      <c r="J294" s="2">
        <v>42</v>
      </c>
      <c r="K294" s="2">
        <v>13110.06</v>
      </c>
      <c r="L294" s="2">
        <v>250</v>
      </c>
      <c r="M294" s="2">
        <v>247.46</v>
      </c>
      <c r="N294" s="2" t="s">
        <v>22</v>
      </c>
      <c r="O294" s="2">
        <v>3</v>
      </c>
    </row>
    <row r="295" spans="1:15" x14ac:dyDescent="0.3">
      <c r="A295" s="2" t="s">
        <v>350</v>
      </c>
      <c r="B295" s="2" t="s">
        <v>25</v>
      </c>
      <c r="C295" s="1">
        <v>46063</v>
      </c>
      <c r="D295" s="2" t="s">
        <v>41</v>
      </c>
      <c r="E295" s="2" t="s">
        <v>45</v>
      </c>
      <c r="F295" s="2" t="s">
        <v>27</v>
      </c>
      <c r="G295" s="2" t="s">
        <v>55</v>
      </c>
      <c r="H295" s="2" t="s">
        <v>52</v>
      </c>
      <c r="I295" s="2">
        <v>24</v>
      </c>
      <c r="J295" s="2">
        <v>17</v>
      </c>
      <c r="K295" s="2">
        <v>17918.3</v>
      </c>
      <c r="L295" s="2">
        <v>113.73</v>
      </c>
      <c r="M295" s="2">
        <v>171.32</v>
      </c>
      <c r="N295" s="2" t="s">
        <v>30</v>
      </c>
      <c r="O295" s="2">
        <v>4</v>
      </c>
    </row>
    <row r="296" spans="1:15" x14ac:dyDescent="0.3">
      <c r="A296" s="2" t="s">
        <v>351</v>
      </c>
      <c r="B296" s="2" t="s">
        <v>78</v>
      </c>
      <c r="C296" s="1">
        <v>46160</v>
      </c>
      <c r="D296" s="2" t="s">
        <v>90</v>
      </c>
      <c r="E296" s="2" t="s">
        <v>18</v>
      </c>
      <c r="F296" s="2" t="s">
        <v>68</v>
      </c>
      <c r="G296" s="2" t="s">
        <v>28</v>
      </c>
      <c r="H296" s="2" t="s">
        <v>21</v>
      </c>
      <c r="I296" s="2">
        <v>27</v>
      </c>
      <c r="J296" s="2">
        <v>63</v>
      </c>
      <c r="K296" s="2">
        <v>35427.96</v>
      </c>
      <c r="L296" s="2">
        <v>96.12</v>
      </c>
      <c r="M296" s="2">
        <v>185.53</v>
      </c>
      <c r="N296" s="2" t="s">
        <v>22</v>
      </c>
      <c r="O296" s="2">
        <v>3</v>
      </c>
    </row>
    <row r="297" spans="1:15" x14ac:dyDescent="0.3">
      <c r="A297" s="2" t="s">
        <v>352</v>
      </c>
      <c r="B297" s="2" t="s">
        <v>78</v>
      </c>
      <c r="C297" s="1">
        <v>46107</v>
      </c>
      <c r="D297" s="2" t="s">
        <v>54</v>
      </c>
      <c r="E297" s="2" t="s">
        <v>38</v>
      </c>
      <c r="F297" s="2" t="s">
        <v>68</v>
      </c>
      <c r="G297" s="2" t="s">
        <v>64</v>
      </c>
      <c r="H297" s="2" t="s">
        <v>29</v>
      </c>
      <c r="I297" s="2">
        <v>46</v>
      </c>
      <c r="J297" s="2">
        <v>45</v>
      </c>
      <c r="K297" s="2">
        <v>26316.77</v>
      </c>
      <c r="L297" s="2">
        <v>290.95999999999998</v>
      </c>
      <c r="M297" s="2">
        <v>284.95999999999998</v>
      </c>
      <c r="N297" s="2" t="s">
        <v>22</v>
      </c>
      <c r="O297" s="2">
        <v>1</v>
      </c>
    </row>
    <row r="298" spans="1:15" x14ac:dyDescent="0.3">
      <c r="A298" s="2" t="s">
        <v>353</v>
      </c>
      <c r="B298" s="2" t="s">
        <v>33</v>
      </c>
      <c r="C298" s="1">
        <v>45957</v>
      </c>
      <c r="D298" s="2" t="s">
        <v>54</v>
      </c>
      <c r="E298" s="2" t="s">
        <v>45</v>
      </c>
      <c r="F298" s="2" t="s">
        <v>68</v>
      </c>
      <c r="G298" s="2" t="s">
        <v>35</v>
      </c>
      <c r="H298" s="2" t="s">
        <v>52</v>
      </c>
      <c r="I298" s="2">
        <v>67</v>
      </c>
      <c r="J298" s="2">
        <v>77</v>
      </c>
      <c r="K298" s="2">
        <v>6670.05</v>
      </c>
      <c r="L298" s="2">
        <v>88.31</v>
      </c>
      <c r="M298" s="2">
        <v>110.97</v>
      </c>
      <c r="N298" s="2" t="s">
        <v>22</v>
      </c>
      <c r="O298" s="2">
        <v>1</v>
      </c>
    </row>
    <row r="299" spans="1:15" x14ac:dyDescent="0.3">
      <c r="A299" s="2" t="s">
        <v>354</v>
      </c>
      <c r="B299" s="2" t="s">
        <v>51</v>
      </c>
      <c r="C299" s="1">
        <v>45901</v>
      </c>
      <c r="D299" s="2" t="s">
        <v>24</v>
      </c>
      <c r="E299" s="2" t="s">
        <v>38</v>
      </c>
      <c r="F299" s="2" t="s">
        <v>19</v>
      </c>
      <c r="G299" s="2" t="s">
        <v>64</v>
      </c>
      <c r="H299" s="2" t="s">
        <v>21</v>
      </c>
      <c r="I299" s="2">
        <v>70</v>
      </c>
      <c r="J299" s="2">
        <v>7</v>
      </c>
      <c r="K299" s="2">
        <v>48090.02</v>
      </c>
      <c r="L299" s="2">
        <v>186.33</v>
      </c>
      <c r="M299" s="2">
        <v>68.2</v>
      </c>
      <c r="N299" s="2" t="s">
        <v>30</v>
      </c>
      <c r="O299" s="2">
        <v>2</v>
      </c>
    </row>
    <row r="300" spans="1:15" x14ac:dyDescent="0.3">
      <c r="A300" s="2" t="s">
        <v>355</v>
      </c>
      <c r="B300" s="2" t="s">
        <v>62</v>
      </c>
      <c r="C300" s="1">
        <v>46000</v>
      </c>
      <c r="D300" s="2" t="s">
        <v>74</v>
      </c>
      <c r="E300" s="2" t="s">
        <v>45</v>
      </c>
      <c r="F300" s="2" t="s">
        <v>19</v>
      </c>
      <c r="G300" s="2" t="s">
        <v>20</v>
      </c>
      <c r="H300" s="2" t="s">
        <v>56</v>
      </c>
      <c r="I300" s="2">
        <v>32</v>
      </c>
      <c r="J300" s="2">
        <v>27</v>
      </c>
      <c r="K300" s="2">
        <v>31977.58</v>
      </c>
      <c r="L300" s="2">
        <v>385.07</v>
      </c>
      <c r="M300" s="2">
        <v>192.37</v>
      </c>
      <c r="N300" s="2" t="s">
        <v>30</v>
      </c>
      <c r="O300" s="2">
        <v>3</v>
      </c>
    </row>
    <row r="301" spans="1:15" x14ac:dyDescent="0.3">
      <c r="A301" s="2" t="s">
        <v>356</v>
      </c>
      <c r="B301" s="2" t="s">
        <v>76</v>
      </c>
      <c r="C301" s="1">
        <v>45963</v>
      </c>
      <c r="D301" s="2" t="s">
        <v>16</v>
      </c>
      <c r="E301" s="2" t="s">
        <v>26</v>
      </c>
      <c r="F301" s="2" t="s">
        <v>27</v>
      </c>
      <c r="G301" s="2" t="s">
        <v>35</v>
      </c>
      <c r="H301" s="2" t="s">
        <v>21</v>
      </c>
      <c r="I301" s="2">
        <v>51</v>
      </c>
      <c r="J301" s="2">
        <v>10</v>
      </c>
      <c r="K301" s="2">
        <v>38410.49</v>
      </c>
      <c r="L301" s="2">
        <v>483.99</v>
      </c>
      <c r="M301" s="2">
        <v>109.48</v>
      </c>
      <c r="N301" s="2" t="s">
        <v>22</v>
      </c>
      <c r="O301" s="2">
        <v>3</v>
      </c>
    </row>
    <row r="302" spans="1:15" x14ac:dyDescent="0.3">
      <c r="A302" s="2" t="s">
        <v>357</v>
      </c>
      <c r="B302" s="2" t="s">
        <v>37</v>
      </c>
      <c r="C302" s="1">
        <v>46001</v>
      </c>
      <c r="D302" s="2" t="s">
        <v>32</v>
      </c>
      <c r="E302" s="2" t="s">
        <v>18</v>
      </c>
      <c r="F302" s="2" t="s">
        <v>34</v>
      </c>
      <c r="G302" s="2" t="s">
        <v>64</v>
      </c>
      <c r="H302" s="2" t="s">
        <v>29</v>
      </c>
      <c r="I302" s="2">
        <v>37</v>
      </c>
      <c r="J302" s="2">
        <v>34</v>
      </c>
      <c r="K302" s="2">
        <v>4421.05</v>
      </c>
      <c r="L302" s="2">
        <v>373.04</v>
      </c>
      <c r="M302" s="2">
        <v>19.27</v>
      </c>
      <c r="N302" s="2" t="s">
        <v>30</v>
      </c>
      <c r="O302" s="2">
        <v>4</v>
      </c>
    </row>
    <row r="303" spans="1:15" x14ac:dyDescent="0.3">
      <c r="A303" s="2" t="s">
        <v>358</v>
      </c>
      <c r="B303" s="2" t="s">
        <v>44</v>
      </c>
      <c r="C303" s="1">
        <v>46088</v>
      </c>
      <c r="D303" s="2" t="s">
        <v>43</v>
      </c>
      <c r="E303" s="2" t="s">
        <v>45</v>
      </c>
      <c r="F303" s="2" t="s">
        <v>27</v>
      </c>
      <c r="G303" s="2" t="s">
        <v>55</v>
      </c>
      <c r="H303" s="2" t="s">
        <v>29</v>
      </c>
      <c r="I303" s="2">
        <v>53</v>
      </c>
      <c r="J303" s="2">
        <v>36</v>
      </c>
      <c r="K303" s="2">
        <v>2829.39</v>
      </c>
      <c r="L303" s="2">
        <v>496.68</v>
      </c>
      <c r="M303" s="2">
        <v>192.84</v>
      </c>
      <c r="N303" s="2" t="s">
        <v>30</v>
      </c>
      <c r="O303" s="2">
        <v>4</v>
      </c>
    </row>
    <row r="304" spans="1:15" x14ac:dyDescent="0.3">
      <c r="A304" s="2" t="s">
        <v>359</v>
      </c>
      <c r="B304" s="2" t="s">
        <v>17</v>
      </c>
      <c r="C304" s="1">
        <v>46215</v>
      </c>
      <c r="D304" s="2" t="s">
        <v>90</v>
      </c>
      <c r="E304" s="2" t="s">
        <v>58</v>
      </c>
      <c r="F304" s="2" t="s">
        <v>39</v>
      </c>
      <c r="G304" s="2" t="s">
        <v>35</v>
      </c>
      <c r="H304" s="2" t="s">
        <v>29</v>
      </c>
      <c r="I304" s="2">
        <v>31</v>
      </c>
      <c r="J304" s="2">
        <v>25</v>
      </c>
      <c r="K304" s="2">
        <v>1462.68</v>
      </c>
      <c r="L304" s="2">
        <v>364.25</v>
      </c>
      <c r="M304" s="2">
        <v>176.31</v>
      </c>
      <c r="N304" s="2" t="s">
        <v>22</v>
      </c>
      <c r="O304" s="2">
        <v>3</v>
      </c>
    </row>
    <row r="305" spans="1:15" x14ac:dyDescent="0.3">
      <c r="A305" s="2" t="s">
        <v>360</v>
      </c>
      <c r="B305" s="2" t="s">
        <v>47</v>
      </c>
      <c r="C305" s="1">
        <v>45890</v>
      </c>
      <c r="D305" s="2" t="s">
        <v>90</v>
      </c>
      <c r="E305" s="2" t="s">
        <v>58</v>
      </c>
      <c r="F305" s="2" t="s">
        <v>68</v>
      </c>
      <c r="G305" s="2" t="s">
        <v>35</v>
      </c>
      <c r="H305" s="2" t="s">
        <v>29</v>
      </c>
      <c r="I305" s="2">
        <v>48</v>
      </c>
      <c r="J305" s="2">
        <v>6</v>
      </c>
      <c r="K305" s="2">
        <v>9845.2999999999993</v>
      </c>
      <c r="L305" s="2">
        <v>182.21</v>
      </c>
      <c r="M305" s="2">
        <v>268.74</v>
      </c>
      <c r="N305" s="2" t="s">
        <v>22</v>
      </c>
      <c r="O305" s="2">
        <v>2</v>
      </c>
    </row>
    <row r="306" spans="1:15" x14ac:dyDescent="0.3">
      <c r="A306" s="2" t="s">
        <v>361</v>
      </c>
      <c r="B306" s="2" t="s">
        <v>76</v>
      </c>
      <c r="C306" s="1">
        <v>46031</v>
      </c>
      <c r="D306" s="2" t="s">
        <v>41</v>
      </c>
      <c r="E306" s="2" t="s">
        <v>45</v>
      </c>
      <c r="F306" s="2" t="s">
        <v>68</v>
      </c>
      <c r="G306" s="2" t="s">
        <v>28</v>
      </c>
      <c r="H306" s="2" t="s">
        <v>29</v>
      </c>
      <c r="I306" s="2">
        <v>52</v>
      </c>
      <c r="J306" s="2">
        <v>24</v>
      </c>
      <c r="K306" s="2">
        <v>21013.22</v>
      </c>
      <c r="L306" s="2">
        <v>352.42</v>
      </c>
      <c r="M306" s="2">
        <v>195.96</v>
      </c>
      <c r="N306" s="2" t="s">
        <v>22</v>
      </c>
      <c r="O306" s="2">
        <v>3</v>
      </c>
    </row>
    <row r="307" spans="1:15" x14ac:dyDescent="0.3">
      <c r="A307" s="2" t="s">
        <v>362</v>
      </c>
      <c r="B307" s="2" t="s">
        <v>67</v>
      </c>
      <c r="C307" s="1">
        <v>45983</v>
      </c>
      <c r="D307" s="2" t="s">
        <v>74</v>
      </c>
      <c r="E307" s="2" t="s">
        <v>45</v>
      </c>
      <c r="F307" s="2" t="s">
        <v>68</v>
      </c>
      <c r="G307" s="2" t="s">
        <v>55</v>
      </c>
      <c r="H307" s="2" t="s">
        <v>52</v>
      </c>
      <c r="I307" s="2">
        <v>21</v>
      </c>
      <c r="J307" s="2">
        <v>18</v>
      </c>
      <c r="K307" s="2">
        <v>46823.39</v>
      </c>
      <c r="L307" s="2">
        <v>365.97</v>
      </c>
      <c r="M307" s="2">
        <v>69.81</v>
      </c>
      <c r="N307" s="2" t="s">
        <v>22</v>
      </c>
      <c r="O307" s="2">
        <v>4</v>
      </c>
    </row>
    <row r="308" spans="1:15" x14ac:dyDescent="0.3">
      <c r="A308" s="2" t="s">
        <v>363</v>
      </c>
      <c r="B308" s="2" t="s">
        <v>82</v>
      </c>
      <c r="C308" s="1">
        <v>46130</v>
      </c>
      <c r="D308" s="2" t="s">
        <v>54</v>
      </c>
      <c r="E308" s="2" t="s">
        <v>45</v>
      </c>
      <c r="F308" s="2" t="s">
        <v>27</v>
      </c>
      <c r="G308" s="2" t="s">
        <v>20</v>
      </c>
      <c r="H308" s="2" t="s">
        <v>29</v>
      </c>
      <c r="I308" s="2">
        <v>67</v>
      </c>
      <c r="J308" s="2">
        <v>87</v>
      </c>
      <c r="K308" s="2">
        <v>23124.45</v>
      </c>
      <c r="L308" s="2">
        <v>217.28</v>
      </c>
      <c r="M308" s="2">
        <v>289.88</v>
      </c>
      <c r="N308" s="2" t="s">
        <v>30</v>
      </c>
      <c r="O308" s="2">
        <v>3</v>
      </c>
    </row>
    <row r="309" spans="1:15" x14ac:dyDescent="0.3">
      <c r="A309" s="2" t="s">
        <v>364</v>
      </c>
      <c r="B309" s="2" t="s">
        <v>78</v>
      </c>
      <c r="C309" s="1">
        <v>45876</v>
      </c>
      <c r="D309" s="2" t="s">
        <v>32</v>
      </c>
      <c r="E309" s="2" t="s">
        <v>58</v>
      </c>
      <c r="F309" s="2" t="s">
        <v>27</v>
      </c>
      <c r="G309" s="2" t="s">
        <v>64</v>
      </c>
      <c r="H309" s="2" t="s">
        <v>52</v>
      </c>
      <c r="I309" s="2">
        <v>48</v>
      </c>
      <c r="J309" s="2">
        <v>6</v>
      </c>
      <c r="K309" s="2">
        <v>14867.63</v>
      </c>
      <c r="L309" s="2">
        <v>57.97</v>
      </c>
      <c r="M309" s="2">
        <v>160.32</v>
      </c>
      <c r="N309" s="2" t="s">
        <v>30</v>
      </c>
      <c r="O309" s="2">
        <v>4</v>
      </c>
    </row>
    <row r="310" spans="1:15" x14ac:dyDescent="0.3">
      <c r="A310" s="2" t="s">
        <v>365</v>
      </c>
      <c r="B310" s="2" t="s">
        <v>82</v>
      </c>
      <c r="C310" s="1">
        <v>45946</v>
      </c>
      <c r="D310" s="2" t="s">
        <v>24</v>
      </c>
      <c r="E310" s="2" t="s">
        <v>58</v>
      </c>
      <c r="F310" s="2" t="s">
        <v>68</v>
      </c>
      <c r="G310" s="2" t="s">
        <v>28</v>
      </c>
      <c r="H310" s="2" t="s">
        <v>56</v>
      </c>
      <c r="I310" s="2">
        <v>73</v>
      </c>
      <c r="J310" s="2">
        <v>29</v>
      </c>
      <c r="K310" s="2">
        <v>28315.8</v>
      </c>
      <c r="L310" s="2">
        <v>366.44</v>
      </c>
      <c r="M310" s="2">
        <v>126.08</v>
      </c>
      <c r="N310" s="2" t="s">
        <v>30</v>
      </c>
      <c r="O310" s="2">
        <v>3</v>
      </c>
    </row>
    <row r="311" spans="1:15" x14ac:dyDescent="0.3">
      <c r="A311" s="2" t="s">
        <v>366</v>
      </c>
      <c r="B311" s="2" t="s">
        <v>49</v>
      </c>
      <c r="C311" s="1">
        <v>46024</v>
      </c>
      <c r="D311" s="2" t="s">
        <v>54</v>
      </c>
      <c r="E311" s="2" t="s">
        <v>45</v>
      </c>
      <c r="F311" s="2" t="s">
        <v>27</v>
      </c>
      <c r="G311" s="2" t="s">
        <v>64</v>
      </c>
      <c r="H311" s="2" t="s">
        <v>29</v>
      </c>
      <c r="I311" s="2">
        <v>62</v>
      </c>
      <c r="J311" s="2">
        <v>25</v>
      </c>
      <c r="K311" s="2">
        <v>6040.76</v>
      </c>
      <c r="L311" s="2">
        <v>59.77</v>
      </c>
      <c r="M311" s="2">
        <v>87.88</v>
      </c>
      <c r="N311" s="2" t="s">
        <v>30</v>
      </c>
      <c r="O311" s="2">
        <v>5</v>
      </c>
    </row>
    <row r="312" spans="1:15" x14ac:dyDescent="0.3">
      <c r="A312" s="2" t="s">
        <v>367</v>
      </c>
      <c r="B312" s="2" t="s">
        <v>17</v>
      </c>
      <c r="C312" s="1">
        <v>46119</v>
      </c>
      <c r="D312" s="2" t="s">
        <v>43</v>
      </c>
      <c r="E312" s="2" t="s">
        <v>38</v>
      </c>
      <c r="F312" s="2" t="s">
        <v>19</v>
      </c>
      <c r="G312" s="2" t="s">
        <v>20</v>
      </c>
      <c r="H312" s="2" t="s">
        <v>29</v>
      </c>
      <c r="I312" s="2">
        <v>27</v>
      </c>
      <c r="J312" s="2">
        <v>55</v>
      </c>
      <c r="K312" s="2">
        <v>30670.54</v>
      </c>
      <c r="L312" s="2">
        <v>334.03</v>
      </c>
      <c r="M312" s="2">
        <v>112.06</v>
      </c>
      <c r="N312" s="2" t="s">
        <v>30</v>
      </c>
      <c r="O312" s="2">
        <v>4</v>
      </c>
    </row>
    <row r="313" spans="1:15" x14ac:dyDescent="0.3">
      <c r="A313" s="2" t="s">
        <v>368</v>
      </c>
      <c r="B313" s="2" t="s">
        <v>44</v>
      </c>
      <c r="C313" s="1">
        <v>46226</v>
      </c>
      <c r="D313" s="2" t="s">
        <v>74</v>
      </c>
      <c r="E313" s="2" t="s">
        <v>38</v>
      </c>
      <c r="F313" s="2" t="s">
        <v>19</v>
      </c>
      <c r="G313" s="2" t="s">
        <v>20</v>
      </c>
      <c r="H313" s="2" t="s">
        <v>21</v>
      </c>
      <c r="I313" s="2">
        <v>22</v>
      </c>
      <c r="J313" s="2">
        <v>81</v>
      </c>
      <c r="K313" s="2">
        <v>28637.38</v>
      </c>
      <c r="L313" s="2">
        <v>123.63</v>
      </c>
      <c r="M313" s="2">
        <v>133.99</v>
      </c>
      <c r="N313" s="2" t="s">
        <v>30</v>
      </c>
      <c r="O313" s="2">
        <v>2</v>
      </c>
    </row>
    <row r="314" spans="1:15" x14ac:dyDescent="0.3">
      <c r="A314" s="2" t="s">
        <v>369</v>
      </c>
      <c r="B314" s="2" t="s">
        <v>37</v>
      </c>
      <c r="C314" s="1">
        <v>46230</v>
      </c>
      <c r="D314" s="2" t="s">
        <v>43</v>
      </c>
      <c r="E314" s="2" t="s">
        <v>26</v>
      </c>
      <c r="F314" s="2" t="s">
        <v>27</v>
      </c>
      <c r="G314" s="2" t="s">
        <v>35</v>
      </c>
      <c r="H314" s="2" t="s">
        <v>56</v>
      </c>
      <c r="I314" s="2">
        <v>62</v>
      </c>
      <c r="J314" s="2">
        <v>46</v>
      </c>
      <c r="K314" s="2">
        <v>39703.660000000003</v>
      </c>
      <c r="L314" s="2">
        <v>304.52</v>
      </c>
      <c r="M314" s="2">
        <v>14.4</v>
      </c>
      <c r="N314" s="2" t="s">
        <v>30</v>
      </c>
      <c r="O314" s="2">
        <v>5</v>
      </c>
    </row>
    <row r="315" spans="1:15" x14ac:dyDescent="0.3">
      <c r="A315" s="2" t="s">
        <v>370</v>
      </c>
      <c r="B315" s="2" t="s">
        <v>33</v>
      </c>
      <c r="C315" s="1">
        <v>46007</v>
      </c>
      <c r="D315" s="2" t="s">
        <v>16</v>
      </c>
      <c r="E315" s="2" t="s">
        <v>18</v>
      </c>
      <c r="F315" s="2" t="s">
        <v>68</v>
      </c>
      <c r="G315" s="2" t="s">
        <v>20</v>
      </c>
      <c r="H315" s="2" t="s">
        <v>29</v>
      </c>
      <c r="I315" s="2">
        <v>44</v>
      </c>
      <c r="J315" s="2">
        <v>24</v>
      </c>
      <c r="K315" s="2">
        <v>49341.04</v>
      </c>
      <c r="L315" s="2">
        <v>276.76</v>
      </c>
      <c r="M315" s="2">
        <v>77.010000000000005</v>
      </c>
      <c r="N315" s="2" t="s">
        <v>22</v>
      </c>
      <c r="O315" s="2">
        <v>3</v>
      </c>
    </row>
    <row r="316" spans="1:15" x14ac:dyDescent="0.3">
      <c r="A316" s="2" t="s">
        <v>371</v>
      </c>
      <c r="B316" s="2" t="s">
        <v>44</v>
      </c>
      <c r="C316" s="1">
        <v>45963</v>
      </c>
      <c r="D316" s="2" t="s">
        <v>24</v>
      </c>
      <c r="E316" s="2" t="s">
        <v>38</v>
      </c>
      <c r="F316" s="2" t="s">
        <v>27</v>
      </c>
      <c r="G316" s="2" t="s">
        <v>64</v>
      </c>
      <c r="H316" s="2" t="s">
        <v>29</v>
      </c>
      <c r="I316" s="2">
        <v>24</v>
      </c>
      <c r="J316" s="2">
        <v>75</v>
      </c>
      <c r="K316" s="2">
        <v>12918.24</v>
      </c>
      <c r="L316" s="2">
        <v>56.08</v>
      </c>
      <c r="M316" s="2">
        <v>214.17</v>
      </c>
      <c r="N316" s="2" t="s">
        <v>22</v>
      </c>
      <c r="O316" s="2">
        <v>4</v>
      </c>
    </row>
    <row r="317" spans="1:15" x14ac:dyDescent="0.3">
      <c r="A317" s="2" t="s">
        <v>372</v>
      </c>
      <c r="B317" s="2" t="s">
        <v>17</v>
      </c>
      <c r="C317" s="1">
        <v>46090</v>
      </c>
      <c r="D317" s="2" t="s">
        <v>16</v>
      </c>
      <c r="E317" s="2" t="s">
        <v>58</v>
      </c>
      <c r="F317" s="2" t="s">
        <v>27</v>
      </c>
      <c r="G317" s="2" t="s">
        <v>55</v>
      </c>
      <c r="H317" s="2" t="s">
        <v>56</v>
      </c>
      <c r="I317" s="2">
        <v>64</v>
      </c>
      <c r="J317" s="2">
        <v>26</v>
      </c>
      <c r="K317" s="2">
        <v>25727.99</v>
      </c>
      <c r="L317" s="2">
        <v>213.29</v>
      </c>
      <c r="M317" s="2">
        <v>96</v>
      </c>
      <c r="N317" s="2" t="s">
        <v>22</v>
      </c>
      <c r="O317" s="2">
        <v>5</v>
      </c>
    </row>
    <row r="318" spans="1:15" x14ac:dyDescent="0.3">
      <c r="A318" s="2" t="s">
        <v>373</v>
      </c>
      <c r="B318" s="2" t="s">
        <v>44</v>
      </c>
      <c r="C318" s="1">
        <v>45950</v>
      </c>
      <c r="D318" s="2" t="s">
        <v>41</v>
      </c>
      <c r="E318" s="2" t="s">
        <v>38</v>
      </c>
      <c r="F318" s="2" t="s">
        <v>27</v>
      </c>
      <c r="G318" s="2" t="s">
        <v>55</v>
      </c>
      <c r="H318" s="2" t="s">
        <v>52</v>
      </c>
      <c r="I318" s="2">
        <v>39</v>
      </c>
      <c r="J318" s="2">
        <v>115</v>
      </c>
      <c r="K318" s="2">
        <v>45488.84</v>
      </c>
      <c r="L318" s="2">
        <v>320.49</v>
      </c>
      <c r="M318" s="2">
        <v>80.48</v>
      </c>
      <c r="N318" s="2" t="s">
        <v>22</v>
      </c>
      <c r="O318" s="2">
        <v>2</v>
      </c>
    </row>
    <row r="319" spans="1:15" x14ac:dyDescent="0.3">
      <c r="A319" s="2" t="s">
        <v>374</v>
      </c>
      <c r="B319" s="2" t="s">
        <v>17</v>
      </c>
      <c r="C319" s="1">
        <v>46063</v>
      </c>
      <c r="D319" s="2" t="s">
        <v>43</v>
      </c>
      <c r="E319" s="2" t="s">
        <v>26</v>
      </c>
      <c r="F319" s="2" t="s">
        <v>39</v>
      </c>
      <c r="G319" s="2" t="s">
        <v>35</v>
      </c>
      <c r="H319" s="2" t="s">
        <v>29</v>
      </c>
      <c r="I319" s="2">
        <v>46</v>
      </c>
      <c r="J319" s="2">
        <v>98</v>
      </c>
      <c r="K319" s="2">
        <v>39366.9</v>
      </c>
      <c r="L319" s="2">
        <v>431.87</v>
      </c>
      <c r="M319" s="2">
        <v>45.44</v>
      </c>
      <c r="N319" s="2" t="s">
        <v>30</v>
      </c>
      <c r="O319" s="2">
        <v>4</v>
      </c>
    </row>
    <row r="320" spans="1:15" x14ac:dyDescent="0.3">
      <c r="A320" s="2" t="s">
        <v>375</v>
      </c>
      <c r="B320" s="2" t="s">
        <v>17</v>
      </c>
      <c r="C320" s="1">
        <v>46026</v>
      </c>
      <c r="D320" s="2" t="s">
        <v>41</v>
      </c>
      <c r="E320" s="2" t="s">
        <v>26</v>
      </c>
      <c r="F320" s="2" t="s">
        <v>19</v>
      </c>
      <c r="G320" s="2" t="s">
        <v>64</v>
      </c>
      <c r="H320" s="2" t="s">
        <v>21</v>
      </c>
      <c r="I320" s="2">
        <v>31</v>
      </c>
      <c r="J320" s="2">
        <v>28</v>
      </c>
      <c r="K320" s="2">
        <v>24626.61</v>
      </c>
      <c r="L320" s="2">
        <v>449.89</v>
      </c>
      <c r="M320" s="2">
        <v>88.37</v>
      </c>
      <c r="N320" s="2" t="s">
        <v>22</v>
      </c>
      <c r="O320" s="2">
        <v>5</v>
      </c>
    </row>
    <row r="321" spans="1:15" x14ac:dyDescent="0.3">
      <c r="A321" s="2" t="s">
        <v>376</v>
      </c>
      <c r="B321" s="2" t="s">
        <v>86</v>
      </c>
      <c r="C321" s="1">
        <v>45930</v>
      </c>
      <c r="D321" s="2" t="s">
        <v>90</v>
      </c>
      <c r="E321" s="2" t="s">
        <v>18</v>
      </c>
      <c r="F321" s="2" t="s">
        <v>34</v>
      </c>
      <c r="G321" s="2" t="s">
        <v>64</v>
      </c>
      <c r="H321" s="2" t="s">
        <v>29</v>
      </c>
      <c r="I321" s="2">
        <v>60</v>
      </c>
      <c r="J321" s="2">
        <v>3</v>
      </c>
      <c r="K321" s="2">
        <v>47295.9</v>
      </c>
      <c r="L321" s="2">
        <v>267.73</v>
      </c>
      <c r="M321" s="2">
        <v>231.21</v>
      </c>
      <c r="N321" s="2" t="s">
        <v>30</v>
      </c>
      <c r="O321" s="2">
        <v>5</v>
      </c>
    </row>
    <row r="322" spans="1:15" x14ac:dyDescent="0.3">
      <c r="A322" s="2" t="s">
        <v>377</v>
      </c>
      <c r="B322" s="2" t="s">
        <v>47</v>
      </c>
      <c r="C322" s="1">
        <v>46151</v>
      </c>
      <c r="D322" s="2" t="s">
        <v>16</v>
      </c>
      <c r="E322" s="2" t="s">
        <v>38</v>
      </c>
      <c r="F322" s="2" t="s">
        <v>34</v>
      </c>
      <c r="G322" s="2" t="s">
        <v>20</v>
      </c>
      <c r="H322" s="2" t="s">
        <v>21</v>
      </c>
      <c r="I322" s="2">
        <v>70</v>
      </c>
      <c r="J322" s="2">
        <v>75</v>
      </c>
      <c r="K322" s="2">
        <v>3333.22</v>
      </c>
      <c r="L322" s="2">
        <v>377.79</v>
      </c>
      <c r="M322" s="2">
        <v>52.8</v>
      </c>
      <c r="N322" s="2" t="s">
        <v>22</v>
      </c>
      <c r="O322" s="2">
        <v>5</v>
      </c>
    </row>
    <row r="323" spans="1:15" x14ac:dyDescent="0.3">
      <c r="A323" s="2" t="s">
        <v>378</v>
      </c>
      <c r="B323" s="2" t="s">
        <v>60</v>
      </c>
      <c r="C323" s="1">
        <v>45925</v>
      </c>
      <c r="D323" s="2" t="s">
        <v>74</v>
      </c>
      <c r="E323" s="2" t="s">
        <v>58</v>
      </c>
      <c r="F323" s="2" t="s">
        <v>39</v>
      </c>
      <c r="G323" s="2" t="s">
        <v>64</v>
      </c>
      <c r="H323" s="2" t="s">
        <v>21</v>
      </c>
      <c r="I323" s="2">
        <v>63</v>
      </c>
      <c r="J323" s="2">
        <v>38</v>
      </c>
      <c r="K323" s="2">
        <v>46584.43</v>
      </c>
      <c r="L323" s="2">
        <v>192.4</v>
      </c>
      <c r="M323" s="2">
        <v>1.08</v>
      </c>
      <c r="N323" s="2" t="s">
        <v>22</v>
      </c>
      <c r="O323" s="2">
        <v>1</v>
      </c>
    </row>
    <row r="324" spans="1:15" x14ac:dyDescent="0.3">
      <c r="A324" s="2" t="s">
        <v>379</v>
      </c>
      <c r="B324" s="2" t="s">
        <v>82</v>
      </c>
      <c r="C324" s="1">
        <v>46045</v>
      </c>
      <c r="D324" s="2" t="s">
        <v>43</v>
      </c>
      <c r="E324" s="2" t="s">
        <v>58</v>
      </c>
      <c r="F324" s="2" t="s">
        <v>27</v>
      </c>
      <c r="G324" s="2" t="s">
        <v>28</v>
      </c>
      <c r="H324" s="2" t="s">
        <v>29</v>
      </c>
      <c r="I324" s="2">
        <v>31</v>
      </c>
      <c r="J324" s="2">
        <v>61</v>
      </c>
      <c r="K324" s="2">
        <v>3000.12</v>
      </c>
      <c r="L324" s="2">
        <v>203.98</v>
      </c>
      <c r="M324" s="2">
        <v>200.55</v>
      </c>
      <c r="N324" s="2" t="s">
        <v>22</v>
      </c>
      <c r="O324" s="2">
        <v>3</v>
      </c>
    </row>
    <row r="325" spans="1:15" x14ac:dyDescent="0.3">
      <c r="A325" s="2" t="s">
        <v>380</v>
      </c>
      <c r="B325" s="2" t="s">
        <v>60</v>
      </c>
      <c r="C325" s="1">
        <v>45970</v>
      </c>
      <c r="D325" s="2" t="s">
        <v>32</v>
      </c>
      <c r="E325" s="2" t="s">
        <v>45</v>
      </c>
      <c r="F325" s="2" t="s">
        <v>39</v>
      </c>
      <c r="G325" s="2" t="s">
        <v>20</v>
      </c>
      <c r="H325" s="2" t="s">
        <v>29</v>
      </c>
      <c r="I325" s="2">
        <v>65</v>
      </c>
      <c r="J325" s="2">
        <v>78</v>
      </c>
      <c r="K325" s="2">
        <v>27591.58</v>
      </c>
      <c r="L325" s="2">
        <v>137.51</v>
      </c>
      <c r="M325" s="2">
        <v>291.8</v>
      </c>
      <c r="N325" s="2" t="s">
        <v>30</v>
      </c>
      <c r="O325" s="2">
        <v>4</v>
      </c>
    </row>
    <row r="326" spans="1:15" x14ac:dyDescent="0.3">
      <c r="A326" s="2" t="s">
        <v>381</v>
      </c>
      <c r="B326" s="2" t="s">
        <v>60</v>
      </c>
      <c r="C326" s="1">
        <v>46140</v>
      </c>
      <c r="D326" s="2" t="s">
        <v>24</v>
      </c>
      <c r="E326" s="2" t="s">
        <v>58</v>
      </c>
      <c r="F326" s="2" t="s">
        <v>39</v>
      </c>
      <c r="G326" s="2" t="s">
        <v>28</v>
      </c>
      <c r="H326" s="2" t="s">
        <v>21</v>
      </c>
      <c r="I326" s="2">
        <v>23</v>
      </c>
      <c r="J326" s="2">
        <v>51</v>
      </c>
      <c r="K326" s="2">
        <v>44576.83</v>
      </c>
      <c r="L326" s="2">
        <v>302.88</v>
      </c>
      <c r="M326" s="2">
        <v>121.37</v>
      </c>
      <c r="N326" s="2" t="s">
        <v>30</v>
      </c>
      <c r="O326" s="2">
        <v>4</v>
      </c>
    </row>
    <row r="327" spans="1:15" x14ac:dyDescent="0.3">
      <c r="A327" s="2" t="s">
        <v>382</v>
      </c>
      <c r="B327" s="2" t="s">
        <v>60</v>
      </c>
      <c r="C327" s="1">
        <v>46135</v>
      </c>
      <c r="D327" s="2" t="s">
        <v>54</v>
      </c>
      <c r="E327" s="2" t="s">
        <v>18</v>
      </c>
      <c r="F327" s="2" t="s">
        <v>68</v>
      </c>
      <c r="G327" s="2" t="s">
        <v>35</v>
      </c>
      <c r="H327" s="2" t="s">
        <v>56</v>
      </c>
      <c r="I327" s="2">
        <v>32</v>
      </c>
      <c r="J327" s="2">
        <v>90</v>
      </c>
      <c r="K327" s="2">
        <v>13504.69</v>
      </c>
      <c r="L327" s="2">
        <v>191.55</v>
      </c>
      <c r="M327" s="2">
        <v>23.98</v>
      </c>
      <c r="N327" s="2" t="s">
        <v>30</v>
      </c>
      <c r="O327" s="2">
        <v>4</v>
      </c>
    </row>
    <row r="328" spans="1:15" x14ac:dyDescent="0.3">
      <c r="A328" s="2" t="s">
        <v>383</v>
      </c>
      <c r="B328" s="2" t="s">
        <v>25</v>
      </c>
      <c r="C328" s="1">
        <v>46141</v>
      </c>
      <c r="D328" s="2" t="s">
        <v>74</v>
      </c>
      <c r="E328" s="2" t="s">
        <v>18</v>
      </c>
      <c r="F328" s="2" t="s">
        <v>19</v>
      </c>
      <c r="G328" s="2" t="s">
        <v>55</v>
      </c>
      <c r="H328" s="2" t="s">
        <v>56</v>
      </c>
      <c r="I328" s="2">
        <v>23</v>
      </c>
      <c r="J328" s="2">
        <v>48</v>
      </c>
      <c r="K328" s="2">
        <v>23876.3</v>
      </c>
      <c r="L328" s="2">
        <v>87.97</v>
      </c>
      <c r="M328" s="2">
        <v>64.150000000000006</v>
      </c>
      <c r="N328" s="2" t="s">
        <v>30</v>
      </c>
      <c r="O328" s="2">
        <v>5</v>
      </c>
    </row>
    <row r="329" spans="1:15" x14ac:dyDescent="0.3">
      <c r="A329" s="2" t="s">
        <v>384</v>
      </c>
      <c r="B329" s="2" t="s">
        <v>78</v>
      </c>
      <c r="C329" s="1">
        <v>46166</v>
      </c>
      <c r="D329" s="2" t="s">
        <v>74</v>
      </c>
      <c r="E329" s="2" t="s">
        <v>58</v>
      </c>
      <c r="F329" s="2" t="s">
        <v>34</v>
      </c>
      <c r="G329" s="2" t="s">
        <v>35</v>
      </c>
      <c r="H329" s="2" t="s">
        <v>29</v>
      </c>
      <c r="I329" s="2">
        <v>62</v>
      </c>
      <c r="J329" s="2">
        <v>21</v>
      </c>
      <c r="K329" s="2">
        <v>16554.28</v>
      </c>
      <c r="L329" s="2">
        <v>358.25</v>
      </c>
      <c r="M329" s="2">
        <v>260.3</v>
      </c>
      <c r="N329" s="2" t="s">
        <v>30</v>
      </c>
      <c r="O329" s="2">
        <v>3</v>
      </c>
    </row>
    <row r="330" spans="1:15" x14ac:dyDescent="0.3">
      <c r="A330" s="2" t="s">
        <v>385</v>
      </c>
      <c r="B330" s="2" t="s">
        <v>86</v>
      </c>
      <c r="C330" s="1">
        <v>46061</v>
      </c>
      <c r="D330" s="2" t="s">
        <v>41</v>
      </c>
      <c r="E330" s="2" t="s">
        <v>58</v>
      </c>
      <c r="F330" s="2" t="s">
        <v>27</v>
      </c>
      <c r="G330" s="2" t="s">
        <v>55</v>
      </c>
      <c r="H330" s="2" t="s">
        <v>52</v>
      </c>
      <c r="I330" s="2">
        <v>47</v>
      </c>
      <c r="J330" s="2">
        <v>54</v>
      </c>
      <c r="K330" s="2">
        <v>47631.12</v>
      </c>
      <c r="L330" s="2">
        <v>368.49</v>
      </c>
      <c r="M330" s="2">
        <v>46.51</v>
      </c>
      <c r="N330" s="2" t="s">
        <v>30</v>
      </c>
      <c r="O330" s="2">
        <v>2</v>
      </c>
    </row>
    <row r="331" spans="1:15" x14ac:dyDescent="0.3">
      <c r="A331" s="2" t="s">
        <v>386</v>
      </c>
      <c r="B331" s="2" t="s">
        <v>37</v>
      </c>
      <c r="C331" s="1">
        <v>46161</v>
      </c>
      <c r="D331" s="2" t="s">
        <v>16</v>
      </c>
      <c r="E331" s="2" t="s">
        <v>45</v>
      </c>
      <c r="F331" s="2" t="s">
        <v>34</v>
      </c>
      <c r="G331" s="2" t="s">
        <v>35</v>
      </c>
      <c r="H331" s="2" t="s">
        <v>56</v>
      </c>
      <c r="I331" s="2">
        <v>69</v>
      </c>
      <c r="J331" s="2">
        <v>56</v>
      </c>
      <c r="K331" s="2">
        <v>41270.46</v>
      </c>
      <c r="L331" s="2">
        <v>212</v>
      </c>
      <c r="M331" s="2">
        <v>121.54</v>
      </c>
      <c r="N331" s="2" t="s">
        <v>30</v>
      </c>
      <c r="O331" s="2">
        <v>4</v>
      </c>
    </row>
    <row r="332" spans="1:15" x14ac:dyDescent="0.3">
      <c r="A332" s="2" t="s">
        <v>387</v>
      </c>
      <c r="B332" s="2" t="s">
        <v>86</v>
      </c>
      <c r="C332" s="1">
        <v>46089</v>
      </c>
      <c r="D332" s="2" t="s">
        <v>43</v>
      </c>
      <c r="E332" s="2" t="s">
        <v>58</v>
      </c>
      <c r="F332" s="2" t="s">
        <v>34</v>
      </c>
      <c r="G332" s="2" t="s">
        <v>64</v>
      </c>
      <c r="H332" s="2" t="s">
        <v>29</v>
      </c>
      <c r="I332" s="2">
        <v>74</v>
      </c>
      <c r="J332" s="2">
        <v>103</v>
      </c>
      <c r="K332" s="2">
        <v>35595.57</v>
      </c>
      <c r="L332" s="2">
        <v>84.53</v>
      </c>
      <c r="M332" s="2">
        <v>120.8</v>
      </c>
      <c r="N332" s="2" t="s">
        <v>30</v>
      </c>
      <c r="O332" s="2">
        <v>3</v>
      </c>
    </row>
    <row r="333" spans="1:15" x14ac:dyDescent="0.3">
      <c r="A333" s="2" t="s">
        <v>388</v>
      </c>
      <c r="B333" s="2" t="s">
        <v>62</v>
      </c>
      <c r="C333" s="1">
        <v>46050</v>
      </c>
      <c r="D333" s="2" t="s">
        <v>43</v>
      </c>
      <c r="E333" s="2" t="s">
        <v>45</v>
      </c>
      <c r="F333" s="2" t="s">
        <v>19</v>
      </c>
      <c r="G333" s="2" t="s">
        <v>28</v>
      </c>
      <c r="H333" s="2" t="s">
        <v>56</v>
      </c>
      <c r="I333" s="2">
        <v>22</v>
      </c>
      <c r="J333" s="2">
        <v>94</v>
      </c>
      <c r="K333" s="2">
        <v>29587.54</v>
      </c>
      <c r="L333" s="2">
        <v>241.83</v>
      </c>
      <c r="M333" s="2">
        <v>41.57</v>
      </c>
      <c r="N333" s="2" t="s">
        <v>22</v>
      </c>
      <c r="O333" s="2">
        <v>3</v>
      </c>
    </row>
    <row r="334" spans="1:15" x14ac:dyDescent="0.3">
      <c r="A334" s="2" t="s">
        <v>389</v>
      </c>
      <c r="B334" s="2" t="s">
        <v>62</v>
      </c>
      <c r="C334" s="1">
        <v>46124</v>
      </c>
      <c r="D334" s="2" t="s">
        <v>90</v>
      </c>
      <c r="E334" s="2" t="s">
        <v>45</v>
      </c>
      <c r="F334" s="2" t="s">
        <v>34</v>
      </c>
      <c r="G334" s="2" t="s">
        <v>55</v>
      </c>
      <c r="H334" s="2" t="s">
        <v>52</v>
      </c>
      <c r="I334" s="2">
        <v>69</v>
      </c>
      <c r="J334" s="2">
        <v>59</v>
      </c>
      <c r="K334" s="2">
        <v>41119.29</v>
      </c>
      <c r="L334" s="2">
        <v>249.05</v>
      </c>
      <c r="M334" s="2">
        <v>162.68</v>
      </c>
      <c r="N334" s="2" t="s">
        <v>30</v>
      </c>
      <c r="O334" s="2">
        <v>1</v>
      </c>
    </row>
    <row r="335" spans="1:15" x14ac:dyDescent="0.3">
      <c r="A335" s="2" t="s">
        <v>390</v>
      </c>
      <c r="B335" s="2" t="s">
        <v>25</v>
      </c>
      <c r="C335" s="1">
        <v>45901</v>
      </c>
      <c r="D335" s="2" t="s">
        <v>90</v>
      </c>
      <c r="E335" s="2" t="s">
        <v>58</v>
      </c>
      <c r="F335" s="2" t="s">
        <v>34</v>
      </c>
      <c r="G335" s="2" t="s">
        <v>20</v>
      </c>
      <c r="H335" s="2" t="s">
        <v>29</v>
      </c>
      <c r="I335" s="2">
        <v>36</v>
      </c>
      <c r="J335" s="2">
        <v>72</v>
      </c>
      <c r="K335" s="2">
        <v>19917.22</v>
      </c>
      <c r="L335" s="2">
        <v>350.9</v>
      </c>
      <c r="M335" s="2">
        <v>222.86</v>
      </c>
      <c r="N335" s="2" t="s">
        <v>22</v>
      </c>
      <c r="O335" s="2">
        <v>4</v>
      </c>
    </row>
    <row r="336" spans="1:15" x14ac:dyDescent="0.3">
      <c r="A336" s="2" t="s">
        <v>391</v>
      </c>
      <c r="B336" s="2" t="s">
        <v>78</v>
      </c>
      <c r="C336" s="1">
        <v>45917</v>
      </c>
      <c r="D336" s="2" t="s">
        <v>24</v>
      </c>
      <c r="E336" s="2" t="s">
        <v>26</v>
      </c>
      <c r="F336" s="2" t="s">
        <v>39</v>
      </c>
      <c r="G336" s="2" t="s">
        <v>28</v>
      </c>
      <c r="H336" s="2" t="s">
        <v>52</v>
      </c>
      <c r="I336" s="2">
        <v>22</v>
      </c>
      <c r="J336" s="2">
        <v>51</v>
      </c>
      <c r="K336" s="2">
        <v>22653.82</v>
      </c>
      <c r="L336" s="2">
        <v>191.94</v>
      </c>
      <c r="M336" s="2">
        <v>132.32</v>
      </c>
      <c r="N336" s="2" t="s">
        <v>22</v>
      </c>
      <c r="O336" s="2">
        <v>5</v>
      </c>
    </row>
    <row r="337" spans="1:15" x14ac:dyDescent="0.3">
      <c r="A337" s="2" t="s">
        <v>392</v>
      </c>
      <c r="B337" s="2" t="s">
        <v>44</v>
      </c>
      <c r="C337" s="1">
        <v>46045</v>
      </c>
      <c r="D337" s="2" t="s">
        <v>41</v>
      </c>
      <c r="E337" s="2" t="s">
        <v>26</v>
      </c>
      <c r="F337" s="2" t="s">
        <v>19</v>
      </c>
      <c r="G337" s="2" t="s">
        <v>20</v>
      </c>
      <c r="H337" s="2" t="s">
        <v>29</v>
      </c>
      <c r="I337" s="2">
        <v>74</v>
      </c>
      <c r="J337" s="2">
        <v>20</v>
      </c>
      <c r="K337" s="2">
        <v>36635.089999999997</v>
      </c>
      <c r="L337" s="2">
        <v>357.17</v>
      </c>
      <c r="M337" s="2">
        <v>70.900000000000006</v>
      </c>
      <c r="N337" s="2" t="s">
        <v>30</v>
      </c>
      <c r="O337" s="2">
        <v>3</v>
      </c>
    </row>
    <row r="338" spans="1:15" x14ac:dyDescent="0.3">
      <c r="A338" s="2" t="s">
        <v>393</v>
      </c>
      <c r="B338" s="2" t="s">
        <v>47</v>
      </c>
      <c r="C338" s="1">
        <v>45905</v>
      </c>
      <c r="D338" s="2" t="s">
        <v>74</v>
      </c>
      <c r="E338" s="2" t="s">
        <v>45</v>
      </c>
      <c r="F338" s="2" t="s">
        <v>68</v>
      </c>
      <c r="G338" s="2" t="s">
        <v>28</v>
      </c>
      <c r="H338" s="2" t="s">
        <v>52</v>
      </c>
      <c r="I338" s="2">
        <v>50</v>
      </c>
      <c r="J338" s="2">
        <v>112</v>
      </c>
      <c r="K338" s="2">
        <v>18208.86</v>
      </c>
      <c r="L338" s="2">
        <v>442.17</v>
      </c>
      <c r="M338" s="2">
        <v>19.57</v>
      </c>
      <c r="N338" s="2" t="s">
        <v>22</v>
      </c>
      <c r="O338" s="2">
        <v>3</v>
      </c>
    </row>
    <row r="339" spans="1:15" x14ac:dyDescent="0.3">
      <c r="A339" s="2" t="s">
        <v>394</v>
      </c>
      <c r="B339" s="2" t="s">
        <v>78</v>
      </c>
      <c r="C339" s="1">
        <v>46106</v>
      </c>
      <c r="D339" s="2" t="s">
        <v>43</v>
      </c>
      <c r="E339" s="2" t="s">
        <v>58</v>
      </c>
      <c r="F339" s="2" t="s">
        <v>27</v>
      </c>
      <c r="G339" s="2" t="s">
        <v>28</v>
      </c>
      <c r="H339" s="2" t="s">
        <v>56</v>
      </c>
      <c r="I339" s="2">
        <v>40</v>
      </c>
      <c r="J339" s="2">
        <v>96</v>
      </c>
      <c r="K339" s="2">
        <v>3663.1</v>
      </c>
      <c r="L339" s="2">
        <v>156.87</v>
      </c>
      <c r="M339" s="2">
        <v>115.23</v>
      </c>
      <c r="N339" s="2" t="s">
        <v>30</v>
      </c>
      <c r="O339" s="2">
        <v>2</v>
      </c>
    </row>
    <row r="340" spans="1:15" x14ac:dyDescent="0.3">
      <c r="A340" s="2" t="s">
        <v>395</v>
      </c>
      <c r="B340" s="2" t="s">
        <v>25</v>
      </c>
      <c r="C340" s="1">
        <v>46177</v>
      </c>
      <c r="D340" s="2" t="s">
        <v>32</v>
      </c>
      <c r="E340" s="2" t="s">
        <v>26</v>
      </c>
      <c r="F340" s="2" t="s">
        <v>34</v>
      </c>
      <c r="G340" s="2" t="s">
        <v>35</v>
      </c>
      <c r="H340" s="2" t="s">
        <v>56</v>
      </c>
      <c r="I340" s="2">
        <v>58</v>
      </c>
      <c r="J340" s="2">
        <v>86</v>
      </c>
      <c r="K340" s="2">
        <v>4179.5600000000004</v>
      </c>
      <c r="L340" s="2">
        <v>490.51</v>
      </c>
      <c r="M340" s="2">
        <v>110.74</v>
      </c>
      <c r="N340" s="2" t="s">
        <v>30</v>
      </c>
      <c r="O340" s="2">
        <v>1</v>
      </c>
    </row>
    <row r="341" spans="1:15" x14ac:dyDescent="0.3">
      <c r="A341" s="2" t="s">
        <v>396</v>
      </c>
      <c r="B341" s="2" t="s">
        <v>17</v>
      </c>
      <c r="C341" s="1">
        <v>46140</v>
      </c>
      <c r="D341" s="2" t="s">
        <v>41</v>
      </c>
      <c r="E341" s="2" t="s">
        <v>58</v>
      </c>
      <c r="F341" s="2" t="s">
        <v>27</v>
      </c>
      <c r="G341" s="2" t="s">
        <v>55</v>
      </c>
      <c r="H341" s="2" t="s">
        <v>52</v>
      </c>
      <c r="I341" s="2">
        <v>48</v>
      </c>
      <c r="J341" s="2">
        <v>59</v>
      </c>
      <c r="K341" s="2">
        <v>6210.46</v>
      </c>
      <c r="L341" s="2">
        <v>223.87</v>
      </c>
      <c r="M341" s="2">
        <v>37.68</v>
      </c>
      <c r="N341" s="2" t="s">
        <v>30</v>
      </c>
      <c r="O341" s="2">
        <v>3</v>
      </c>
    </row>
    <row r="342" spans="1:15" x14ac:dyDescent="0.3">
      <c r="A342" s="2" t="s">
        <v>397</v>
      </c>
      <c r="B342" s="2" t="s">
        <v>67</v>
      </c>
      <c r="C342" s="1">
        <v>45920</v>
      </c>
      <c r="D342" s="2" t="s">
        <v>24</v>
      </c>
      <c r="E342" s="2" t="s">
        <v>58</v>
      </c>
      <c r="F342" s="2" t="s">
        <v>68</v>
      </c>
      <c r="G342" s="2" t="s">
        <v>55</v>
      </c>
      <c r="H342" s="2" t="s">
        <v>52</v>
      </c>
      <c r="I342" s="2">
        <v>45</v>
      </c>
      <c r="J342" s="2">
        <v>71</v>
      </c>
      <c r="K342" s="2">
        <v>43549.23</v>
      </c>
      <c r="L342" s="2">
        <v>170.27</v>
      </c>
      <c r="M342" s="2">
        <v>11.25</v>
      </c>
      <c r="N342" s="2" t="s">
        <v>30</v>
      </c>
      <c r="O342" s="2">
        <v>3</v>
      </c>
    </row>
    <row r="343" spans="1:15" x14ac:dyDescent="0.3">
      <c r="A343" s="2" t="s">
        <v>398</v>
      </c>
      <c r="B343" s="2" t="s">
        <v>47</v>
      </c>
      <c r="C343" s="1">
        <v>46212</v>
      </c>
      <c r="D343" s="2" t="s">
        <v>24</v>
      </c>
      <c r="E343" s="2" t="s">
        <v>58</v>
      </c>
      <c r="F343" s="2" t="s">
        <v>27</v>
      </c>
      <c r="G343" s="2" t="s">
        <v>28</v>
      </c>
      <c r="H343" s="2" t="s">
        <v>52</v>
      </c>
      <c r="I343" s="2">
        <v>52</v>
      </c>
      <c r="J343" s="2">
        <v>9</v>
      </c>
      <c r="K343" s="2">
        <v>23875.21</v>
      </c>
      <c r="L343" s="2">
        <v>239.68</v>
      </c>
      <c r="M343" s="2">
        <v>16.14</v>
      </c>
      <c r="N343" s="2" t="s">
        <v>30</v>
      </c>
      <c r="O343" s="2">
        <v>5</v>
      </c>
    </row>
    <row r="344" spans="1:15" x14ac:dyDescent="0.3">
      <c r="A344" s="2" t="s">
        <v>399</v>
      </c>
      <c r="B344" s="2" t="s">
        <v>51</v>
      </c>
      <c r="C344" s="1">
        <v>46064</v>
      </c>
      <c r="D344" s="2" t="s">
        <v>41</v>
      </c>
      <c r="E344" s="2" t="s">
        <v>38</v>
      </c>
      <c r="F344" s="2" t="s">
        <v>68</v>
      </c>
      <c r="G344" s="2" t="s">
        <v>64</v>
      </c>
      <c r="H344" s="2" t="s">
        <v>29</v>
      </c>
      <c r="I344" s="2">
        <v>30</v>
      </c>
      <c r="J344" s="2">
        <v>109</v>
      </c>
      <c r="K344" s="2">
        <v>35787.68</v>
      </c>
      <c r="L344" s="2">
        <v>92.48</v>
      </c>
      <c r="M344" s="2">
        <v>297.83</v>
      </c>
      <c r="N344" s="2" t="s">
        <v>30</v>
      </c>
      <c r="O344" s="2">
        <v>5</v>
      </c>
    </row>
    <row r="345" spans="1:15" x14ac:dyDescent="0.3">
      <c r="A345" s="2" t="s">
        <v>400</v>
      </c>
      <c r="B345" s="2" t="s">
        <v>82</v>
      </c>
      <c r="C345" s="1">
        <v>45913</v>
      </c>
      <c r="D345" s="2" t="s">
        <v>24</v>
      </c>
      <c r="E345" s="2" t="s">
        <v>58</v>
      </c>
      <c r="F345" s="2" t="s">
        <v>39</v>
      </c>
      <c r="G345" s="2" t="s">
        <v>64</v>
      </c>
      <c r="H345" s="2" t="s">
        <v>56</v>
      </c>
      <c r="I345" s="2">
        <v>62</v>
      </c>
      <c r="J345" s="2">
        <v>1</v>
      </c>
      <c r="K345" s="2">
        <v>19949.009999999998</v>
      </c>
      <c r="L345" s="2">
        <v>106.57</v>
      </c>
      <c r="M345" s="2">
        <v>156.72</v>
      </c>
      <c r="N345" s="2" t="s">
        <v>30</v>
      </c>
      <c r="O345" s="2">
        <v>2</v>
      </c>
    </row>
    <row r="346" spans="1:15" x14ac:dyDescent="0.3">
      <c r="A346" s="2" t="s">
        <v>401</v>
      </c>
      <c r="B346" s="2" t="s">
        <v>47</v>
      </c>
      <c r="C346" s="1">
        <v>45935</v>
      </c>
      <c r="D346" s="2" t="s">
        <v>41</v>
      </c>
      <c r="E346" s="2" t="s">
        <v>38</v>
      </c>
      <c r="F346" s="2" t="s">
        <v>34</v>
      </c>
      <c r="G346" s="2" t="s">
        <v>20</v>
      </c>
      <c r="H346" s="2" t="s">
        <v>29</v>
      </c>
      <c r="I346" s="2">
        <v>60</v>
      </c>
      <c r="J346" s="2">
        <v>29</v>
      </c>
      <c r="K346" s="2">
        <v>13306.19</v>
      </c>
      <c r="L346" s="2">
        <v>236.5</v>
      </c>
      <c r="M346" s="2">
        <v>276.60000000000002</v>
      </c>
      <c r="N346" s="2" t="s">
        <v>30</v>
      </c>
      <c r="O346" s="2">
        <v>2</v>
      </c>
    </row>
    <row r="347" spans="1:15" x14ac:dyDescent="0.3">
      <c r="A347" s="2" t="s">
        <v>402</v>
      </c>
      <c r="B347" s="2" t="s">
        <v>25</v>
      </c>
      <c r="C347" s="1">
        <v>46206</v>
      </c>
      <c r="D347" s="2" t="s">
        <v>54</v>
      </c>
      <c r="E347" s="2" t="s">
        <v>45</v>
      </c>
      <c r="F347" s="2" t="s">
        <v>68</v>
      </c>
      <c r="G347" s="2" t="s">
        <v>20</v>
      </c>
      <c r="H347" s="2" t="s">
        <v>56</v>
      </c>
      <c r="I347" s="2">
        <v>53</v>
      </c>
      <c r="J347" s="2">
        <v>63</v>
      </c>
      <c r="K347" s="2">
        <v>17686.009999999998</v>
      </c>
      <c r="L347" s="2">
        <v>393.1</v>
      </c>
      <c r="M347" s="2">
        <v>39.01</v>
      </c>
      <c r="N347" s="2" t="s">
        <v>30</v>
      </c>
      <c r="O347" s="2">
        <v>2</v>
      </c>
    </row>
    <row r="348" spans="1:15" x14ac:dyDescent="0.3">
      <c r="A348" s="2" t="s">
        <v>403</v>
      </c>
      <c r="B348" s="2" t="s">
        <v>17</v>
      </c>
      <c r="C348" s="1">
        <v>45882</v>
      </c>
      <c r="D348" s="2" t="s">
        <v>41</v>
      </c>
      <c r="E348" s="2" t="s">
        <v>26</v>
      </c>
      <c r="F348" s="2" t="s">
        <v>27</v>
      </c>
      <c r="G348" s="2" t="s">
        <v>35</v>
      </c>
      <c r="H348" s="2" t="s">
        <v>21</v>
      </c>
      <c r="I348" s="2">
        <v>33</v>
      </c>
      <c r="J348" s="2">
        <v>72</v>
      </c>
      <c r="K348" s="2">
        <v>39812.03</v>
      </c>
      <c r="L348" s="2">
        <v>455.14</v>
      </c>
      <c r="M348" s="2">
        <v>192.11</v>
      </c>
      <c r="N348" s="2" t="s">
        <v>30</v>
      </c>
      <c r="O348" s="2">
        <v>5</v>
      </c>
    </row>
    <row r="349" spans="1:15" x14ac:dyDescent="0.3">
      <c r="A349" s="2" t="s">
        <v>404</v>
      </c>
      <c r="B349" s="2" t="s">
        <v>17</v>
      </c>
      <c r="C349" s="1">
        <v>45999</v>
      </c>
      <c r="D349" s="2" t="s">
        <v>16</v>
      </c>
      <c r="E349" s="2" t="s">
        <v>26</v>
      </c>
      <c r="F349" s="2" t="s">
        <v>34</v>
      </c>
      <c r="G349" s="2" t="s">
        <v>28</v>
      </c>
      <c r="H349" s="2" t="s">
        <v>29</v>
      </c>
      <c r="I349" s="2">
        <v>61</v>
      </c>
      <c r="J349" s="2">
        <v>56</v>
      </c>
      <c r="K349" s="2">
        <v>31448.2</v>
      </c>
      <c r="L349" s="2">
        <v>349.17</v>
      </c>
      <c r="M349" s="2">
        <v>42.8</v>
      </c>
      <c r="N349" s="2" t="s">
        <v>30</v>
      </c>
      <c r="O349" s="2">
        <v>5</v>
      </c>
    </row>
    <row r="350" spans="1:15" x14ac:dyDescent="0.3">
      <c r="A350" s="2" t="s">
        <v>405</v>
      </c>
      <c r="B350" s="2" t="s">
        <v>33</v>
      </c>
      <c r="C350" s="1">
        <v>46010</v>
      </c>
      <c r="D350" s="2" t="s">
        <v>41</v>
      </c>
      <c r="E350" s="2" t="s">
        <v>26</v>
      </c>
      <c r="F350" s="2" t="s">
        <v>39</v>
      </c>
      <c r="G350" s="2" t="s">
        <v>20</v>
      </c>
      <c r="H350" s="2" t="s">
        <v>56</v>
      </c>
      <c r="I350" s="2">
        <v>74</v>
      </c>
      <c r="J350" s="2">
        <v>118</v>
      </c>
      <c r="K350" s="2">
        <v>46913.17</v>
      </c>
      <c r="L350" s="2">
        <v>97.35</v>
      </c>
      <c r="M350" s="2">
        <v>101.82</v>
      </c>
      <c r="N350" s="2" t="s">
        <v>30</v>
      </c>
      <c r="O350" s="2">
        <v>1</v>
      </c>
    </row>
    <row r="351" spans="1:15" x14ac:dyDescent="0.3">
      <c r="A351" s="2" t="s">
        <v>406</v>
      </c>
      <c r="B351" s="2" t="s">
        <v>60</v>
      </c>
      <c r="C351" s="1">
        <v>45887</v>
      </c>
      <c r="D351" s="2" t="s">
        <v>24</v>
      </c>
      <c r="E351" s="2" t="s">
        <v>26</v>
      </c>
      <c r="F351" s="2" t="s">
        <v>34</v>
      </c>
      <c r="G351" s="2" t="s">
        <v>20</v>
      </c>
      <c r="H351" s="2" t="s">
        <v>56</v>
      </c>
      <c r="I351" s="2">
        <v>62</v>
      </c>
      <c r="J351" s="2">
        <v>68</v>
      </c>
      <c r="K351" s="2">
        <v>34145.39</v>
      </c>
      <c r="L351" s="2">
        <v>352.41</v>
      </c>
      <c r="M351" s="2">
        <v>165.94</v>
      </c>
      <c r="N351" s="2" t="s">
        <v>30</v>
      </c>
      <c r="O351" s="2">
        <v>4</v>
      </c>
    </row>
    <row r="352" spans="1:15" x14ac:dyDescent="0.3">
      <c r="A352" s="2" t="s">
        <v>407</v>
      </c>
      <c r="B352" s="2" t="s">
        <v>78</v>
      </c>
      <c r="C352" s="1">
        <v>46203</v>
      </c>
      <c r="D352" s="2" t="s">
        <v>43</v>
      </c>
      <c r="E352" s="2" t="s">
        <v>26</v>
      </c>
      <c r="F352" s="2" t="s">
        <v>68</v>
      </c>
      <c r="G352" s="2" t="s">
        <v>28</v>
      </c>
      <c r="H352" s="2" t="s">
        <v>29</v>
      </c>
      <c r="I352" s="2">
        <v>67</v>
      </c>
      <c r="J352" s="2">
        <v>35</v>
      </c>
      <c r="K352" s="2">
        <v>28723.99</v>
      </c>
      <c r="L352" s="2">
        <v>335.94</v>
      </c>
      <c r="M352" s="2">
        <v>104.94</v>
      </c>
      <c r="N352" s="2" t="s">
        <v>30</v>
      </c>
      <c r="O352" s="2">
        <v>4</v>
      </c>
    </row>
    <row r="353" spans="1:15" x14ac:dyDescent="0.3">
      <c r="A353" s="2" t="s">
        <v>408</v>
      </c>
      <c r="B353" s="2" t="s">
        <v>17</v>
      </c>
      <c r="C353" s="1">
        <v>46019</v>
      </c>
      <c r="D353" s="2" t="s">
        <v>16</v>
      </c>
      <c r="E353" s="2" t="s">
        <v>26</v>
      </c>
      <c r="F353" s="2" t="s">
        <v>39</v>
      </c>
      <c r="G353" s="2" t="s">
        <v>35</v>
      </c>
      <c r="H353" s="2" t="s">
        <v>29</v>
      </c>
      <c r="I353" s="2">
        <v>57</v>
      </c>
      <c r="J353" s="2">
        <v>3</v>
      </c>
      <c r="K353" s="2">
        <v>30704.7</v>
      </c>
      <c r="L353" s="2">
        <v>412.59</v>
      </c>
      <c r="M353" s="2">
        <v>127.46</v>
      </c>
      <c r="N353" s="2" t="s">
        <v>30</v>
      </c>
      <c r="O353" s="2">
        <v>1</v>
      </c>
    </row>
    <row r="354" spans="1:15" x14ac:dyDescent="0.3">
      <c r="A354" s="2" t="s">
        <v>409</v>
      </c>
      <c r="B354" s="2" t="s">
        <v>62</v>
      </c>
      <c r="C354" s="1">
        <v>45931</v>
      </c>
      <c r="D354" s="2" t="s">
        <v>24</v>
      </c>
      <c r="E354" s="2" t="s">
        <v>26</v>
      </c>
      <c r="F354" s="2" t="s">
        <v>27</v>
      </c>
      <c r="G354" s="2" t="s">
        <v>20</v>
      </c>
      <c r="H354" s="2" t="s">
        <v>56</v>
      </c>
      <c r="I354" s="2">
        <v>74</v>
      </c>
      <c r="J354" s="2">
        <v>118</v>
      </c>
      <c r="K354" s="2">
        <v>47147.39</v>
      </c>
      <c r="L354" s="2">
        <v>421.36</v>
      </c>
      <c r="M354" s="2">
        <v>25.64</v>
      </c>
      <c r="N354" s="2" t="s">
        <v>22</v>
      </c>
      <c r="O354" s="2">
        <v>4</v>
      </c>
    </row>
    <row r="355" spans="1:15" x14ac:dyDescent="0.3">
      <c r="A355" s="2" t="s">
        <v>410</v>
      </c>
      <c r="B355" s="2" t="s">
        <v>60</v>
      </c>
      <c r="C355" s="1">
        <v>45996</v>
      </c>
      <c r="D355" s="2" t="s">
        <v>90</v>
      </c>
      <c r="E355" s="2" t="s">
        <v>45</v>
      </c>
      <c r="F355" s="2" t="s">
        <v>39</v>
      </c>
      <c r="G355" s="2" t="s">
        <v>35</v>
      </c>
      <c r="H355" s="2" t="s">
        <v>29</v>
      </c>
      <c r="I355" s="2">
        <v>36</v>
      </c>
      <c r="J355" s="2">
        <v>109</v>
      </c>
      <c r="K355" s="2">
        <v>39515.949999999997</v>
      </c>
      <c r="L355" s="2">
        <v>440.69</v>
      </c>
      <c r="M355" s="2">
        <v>36.869999999999997</v>
      </c>
      <c r="N355" s="2" t="s">
        <v>30</v>
      </c>
      <c r="O355" s="2">
        <v>5</v>
      </c>
    </row>
    <row r="356" spans="1:15" x14ac:dyDescent="0.3">
      <c r="A356" s="2" t="s">
        <v>411</v>
      </c>
      <c r="B356" s="2" t="s">
        <v>37</v>
      </c>
      <c r="C356" s="1">
        <v>46139</v>
      </c>
      <c r="D356" s="2" t="s">
        <v>90</v>
      </c>
      <c r="E356" s="2" t="s">
        <v>58</v>
      </c>
      <c r="F356" s="2" t="s">
        <v>39</v>
      </c>
      <c r="G356" s="2" t="s">
        <v>55</v>
      </c>
      <c r="H356" s="2" t="s">
        <v>52</v>
      </c>
      <c r="I356" s="2">
        <v>65</v>
      </c>
      <c r="J356" s="2">
        <v>104</v>
      </c>
      <c r="K356" s="2">
        <v>1690.04</v>
      </c>
      <c r="L356" s="2">
        <v>236.36</v>
      </c>
      <c r="M356" s="2">
        <v>123.91</v>
      </c>
      <c r="N356" s="2" t="s">
        <v>22</v>
      </c>
      <c r="O356" s="2">
        <v>4</v>
      </c>
    </row>
    <row r="357" spans="1:15" x14ac:dyDescent="0.3">
      <c r="A357" s="2" t="s">
        <v>412</v>
      </c>
      <c r="B357" s="2" t="s">
        <v>67</v>
      </c>
      <c r="C357" s="1">
        <v>46144</v>
      </c>
      <c r="D357" s="2" t="s">
        <v>43</v>
      </c>
      <c r="E357" s="2" t="s">
        <v>18</v>
      </c>
      <c r="F357" s="2" t="s">
        <v>19</v>
      </c>
      <c r="G357" s="2" t="s">
        <v>35</v>
      </c>
      <c r="H357" s="2" t="s">
        <v>29</v>
      </c>
      <c r="I357" s="2">
        <v>42</v>
      </c>
      <c r="J357" s="2">
        <v>7</v>
      </c>
      <c r="K357" s="2">
        <v>26939.91</v>
      </c>
      <c r="L357" s="2">
        <v>364.04</v>
      </c>
      <c r="M357" s="2">
        <v>202.67</v>
      </c>
      <c r="N357" s="2" t="s">
        <v>22</v>
      </c>
      <c r="O357" s="2">
        <v>5</v>
      </c>
    </row>
    <row r="358" spans="1:15" x14ac:dyDescent="0.3">
      <c r="A358" s="2" t="s">
        <v>413</v>
      </c>
      <c r="B358" s="2" t="s">
        <v>25</v>
      </c>
      <c r="C358" s="1">
        <v>46173</v>
      </c>
      <c r="D358" s="2" t="s">
        <v>43</v>
      </c>
      <c r="E358" s="2" t="s">
        <v>38</v>
      </c>
      <c r="F358" s="2" t="s">
        <v>39</v>
      </c>
      <c r="G358" s="2" t="s">
        <v>64</v>
      </c>
      <c r="H358" s="2" t="s">
        <v>29</v>
      </c>
      <c r="I358" s="2">
        <v>40</v>
      </c>
      <c r="J358" s="2">
        <v>27</v>
      </c>
      <c r="K358" s="2">
        <v>34572.75</v>
      </c>
      <c r="L358" s="2">
        <v>170.71</v>
      </c>
      <c r="M358" s="2">
        <v>233.2</v>
      </c>
      <c r="N358" s="2" t="s">
        <v>30</v>
      </c>
      <c r="O358" s="2">
        <v>1</v>
      </c>
    </row>
    <row r="359" spans="1:15" x14ac:dyDescent="0.3">
      <c r="A359" s="2" t="s">
        <v>414</v>
      </c>
      <c r="B359" s="2" t="s">
        <v>82</v>
      </c>
      <c r="C359" s="1">
        <v>45914</v>
      </c>
      <c r="D359" s="2" t="s">
        <v>16</v>
      </c>
      <c r="E359" s="2" t="s">
        <v>18</v>
      </c>
      <c r="F359" s="2" t="s">
        <v>39</v>
      </c>
      <c r="G359" s="2" t="s">
        <v>64</v>
      </c>
      <c r="H359" s="2" t="s">
        <v>29</v>
      </c>
      <c r="I359" s="2">
        <v>70</v>
      </c>
      <c r="J359" s="2">
        <v>1</v>
      </c>
      <c r="K359" s="2">
        <v>37560.57</v>
      </c>
      <c r="L359" s="2">
        <v>499.7</v>
      </c>
      <c r="M359" s="2">
        <v>167.01</v>
      </c>
      <c r="N359" s="2" t="s">
        <v>30</v>
      </c>
      <c r="O359" s="2">
        <v>2</v>
      </c>
    </row>
    <row r="360" spans="1:15" x14ac:dyDescent="0.3">
      <c r="A360" s="2" t="s">
        <v>415</v>
      </c>
      <c r="B360" s="2" t="s">
        <v>78</v>
      </c>
      <c r="C360" s="1">
        <v>46076</v>
      </c>
      <c r="D360" s="2" t="s">
        <v>54</v>
      </c>
      <c r="E360" s="2" t="s">
        <v>18</v>
      </c>
      <c r="F360" s="2" t="s">
        <v>34</v>
      </c>
      <c r="G360" s="2" t="s">
        <v>35</v>
      </c>
      <c r="H360" s="2" t="s">
        <v>56</v>
      </c>
      <c r="I360" s="2">
        <v>63</v>
      </c>
      <c r="J360" s="2">
        <v>91</v>
      </c>
      <c r="K360" s="2">
        <v>11050.53</v>
      </c>
      <c r="L360" s="2">
        <v>128.9</v>
      </c>
      <c r="M360" s="2">
        <v>129.15</v>
      </c>
      <c r="N360" s="2" t="s">
        <v>22</v>
      </c>
      <c r="O360" s="2">
        <v>1</v>
      </c>
    </row>
    <row r="361" spans="1:15" x14ac:dyDescent="0.3">
      <c r="A361" s="2" t="s">
        <v>416</v>
      </c>
      <c r="B361" s="2" t="s">
        <v>76</v>
      </c>
      <c r="C361" s="1">
        <v>45979</v>
      </c>
      <c r="D361" s="2" t="s">
        <v>43</v>
      </c>
      <c r="E361" s="2" t="s">
        <v>58</v>
      </c>
      <c r="F361" s="2" t="s">
        <v>27</v>
      </c>
      <c r="G361" s="2" t="s">
        <v>64</v>
      </c>
      <c r="H361" s="2" t="s">
        <v>52</v>
      </c>
      <c r="I361" s="2">
        <v>47</v>
      </c>
      <c r="J361" s="2">
        <v>80</v>
      </c>
      <c r="K361" s="2">
        <v>43425.279999999999</v>
      </c>
      <c r="L361" s="2">
        <v>54.55</v>
      </c>
      <c r="M361" s="2">
        <v>2.7</v>
      </c>
      <c r="N361" s="2" t="s">
        <v>22</v>
      </c>
      <c r="O361" s="2">
        <v>4</v>
      </c>
    </row>
    <row r="362" spans="1:15" x14ac:dyDescent="0.3">
      <c r="A362" s="2" t="s">
        <v>417</v>
      </c>
      <c r="B362" s="2" t="s">
        <v>62</v>
      </c>
      <c r="C362" s="1">
        <v>45938</v>
      </c>
      <c r="D362" s="2" t="s">
        <v>90</v>
      </c>
      <c r="E362" s="2" t="s">
        <v>58</v>
      </c>
      <c r="F362" s="2" t="s">
        <v>34</v>
      </c>
      <c r="G362" s="2" t="s">
        <v>55</v>
      </c>
      <c r="H362" s="2" t="s">
        <v>21</v>
      </c>
      <c r="I362" s="2">
        <v>61</v>
      </c>
      <c r="J362" s="2">
        <v>102</v>
      </c>
      <c r="K362" s="2">
        <v>47814.239999999998</v>
      </c>
      <c r="L362" s="2">
        <v>116.96</v>
      </c>
      <c r="M362" s="2">
        <v>32.43</v>
      </c>
      <c r="N362" s="2" t="s">
        <v>30</v>
      </c>
      <c r="O362" s="2">
        <v>5</v>
      </c>
    </row>
    <row r="363" spans="1:15" x14ac:dyDescent="0.3">
      <c r="A363" s="2" t="s">
        <v>418</v>
      </c>
      <c r="B363" s="2" t="s">
        <v>49</v>
      </c>
      <c r="C363" s="1">
        <v>45981</v>
      </c>
      <c r="D363" s="2" t="s">
        <v>41</v>
      </c>
      <c r="E363" s="2" t="s">
        <v>58</v>
      </c>
      <c r="F363" s="2" t="s">
        <v>34</v>
      </c>
      <c r="G363" s="2" t="s">
        <v>28</v>
      </c>
      <c r="H363" s="2" t="s">
        <v>21</v>
      </c>
      <c r="I363" s="2">
        <v>36</v>
      </c>
      <c r="J363" s="2">
        <v>71</v>
      </c>
      <c r="K363" s="2">
        <v>12217.41</v>
      </c>
      <c r="L363" s="2">
        <v>399.14</v>
      </c>
      <c r="M363" s="2">
        <v>196.98</v>
      </c>
      <c r="N363" s="2" t="s">
        <v>22</v>
      </c>
      <c r="O363" s="2">
        <v>4</v>
      </c>
    </row>
    <row r="364" spans="1:15" x14ac:dyDescent="0.3">
      <c r="A364" s="2" t="s">
        <v>419</v>
      </c>
      <c r="B364" s="2" t="s">
        <v>51</v>
      </c>
      <c r="C364" s="1">
        <v>45903</v>
      </c>
      <c r="D364" s="2" t="s">
        <v>24</v>
      </c>
      <c r="E364" s="2" t="s">
        <v>26</v>
      </c>
      <c r="F364" s="2" t="s">
        <v>68</v>
      </c>
      <c r="G364" s="2" t="s">
        <v>64</v>
      </c>
      <c r="H364" s="2" t="s">
        <v>52</v>
      </c>
      <c r="I364" s="2">
        <v>54</v>
      </c>
      <c r="J364" s="2">
        <v>44</v>
      </c>
      <c r="K364" s="2">
        <v>44189.47</v>
      </c>
      <c r="L364" s="2">
        <v>251.05</v>
      </c>
      <c r="M364" s="2">
        <v>15.2</v>
      </c>
      <c r="N364" s="2" t="s">
        <v>22</v>
      </c>
      <c r="O364" s="2">
        <v>4</v>
      </c>
    </row>
    <row r="365" spans="1:15" x14ac:dyDescent="0.3">
      <c r="A365" s="2" t="s">
        <v>420</v>
      </c>
      <c r="B365" s="2" t="s">
        <v>44</v>
      </c>
      <c r="C365" s="1">
        <v>46145</v>
      </c>
      <c r="D365" s="2" t="s">
        <v>90</v>
      </c>
      <c r="E365" s="2" t="s">
        <v>45</v>
      </c>
      <c r="F365" s="2" t="s">
        <v>34</v>
      </c>
      <c r="G365" s="2" t="s">
        <v>64</v>
      </c>
      <c r="H365" s="2" t="s">
        <v>52</v>
      </c>
      <c r="I365" s="2">
        <v>52</v>
      </c>
      <c r="J365" s="2">
        <v>87</v>
      </c>
      <c r="K365" s="2">
        <v>5300.45</v>
      </c>
      <c r="L365" s="2">
        <v>251.38</v>
      </c>
      <c r="M365" s="2">
        <v>135.76</v>
      </c>
      <c r="N365" s="2" t="s">
        <v>30</v>
      </c>
      <c r="O365" s="2">
        <v>2</v>
      </c>
    </row>
    <row r="366" spans="1:15" x14ac:dyDescent="0.3">
      <c r="A366" s="2" t="s">
        <v>421</v>
      </c>
      <c r="B366" s="2" t="s">
        <v>17</v>
      </c>
      <c r="C366" s="1">
        <v>46109</v>
      </c>
      <c r="D366" s="2" t="s">
        <v>90</v>
      </c>
      <c r="E366" s="2" t="s">
        <v>26</v>
      </c>
      <c r="F366" s="2" t="s">
        <v>19</v>
      </c>
      <c r="G366" s="2" t="s">
        <v>35</v>
      </c>
      <c r="H366" s="2" t="s">
        <v>52</v>
      </c>
      <c r="I366" s="2">
        <v>46</v>
      </c>
      <c r="J366" s="2">
        <v>41</v>
      </c>
      <c r="K366" s="2">
        <v>3257.49</v>
      </c>
      <c r="L366" s="2">
        <v>479.76</v>
      </c>
      <c r="M366" s="2">
        <v>35.22</v>
      </c>
      <c r="N366" s="2" t="s">
        <v>22</v>
      </c>
      <c r="O366" s="2">
        <v>4</v>
      </c>
    </row>
    <row r="367" spans="1:15" x14ac:dyDescent="0.3">
      <c r="A367" s="2" t="s">
        <v>422</v>
      </c>
      <c r="B367" s="2" t="s">
        <v>76</v>
      </c>
      <c r="C367" s="1">
        <v>46170</v>
      </c>
      <c r="D367" s="2" t="s">
        <v>54</v>
      </c>
      <c r="E367" s="2" t="s">
        <v>45</v>
      </c>
      <c r="F367" s="2" t="s">
        <v>19</v>
      </c>
      <c r="G367" s="2" t="s">
        <v>55</v>
      </c>
      <c r="H367" s="2" t="s">
        <v>56</v>
      </c>
      <c r="I367" s="2">
        <v>45</v>
      </c>
      <c r="J367" s="2">
        <v>75</v>
      </c>
      <c r="K367" s="2">
        <v>6896.58</v>
      </c>
      <c r="L367" s="2">
        <v>463.84</v>
      </c>
      <c r="M367" s="2">
        <v>143.34</v>
      </c>
      <c r="N367" s="2" t="s">
        <v>30</v>
      </c>
      <c r="O367" s="2">
        <v>2</v>
      </c>
    </row>
    <row r="368" spans="1:15" x14ac:dyDescent="0.3">
      <c r="A368" s="2" t="s">
        <v>423</v>
      </c>
      <c r="B368" s="2" t="s">
        <v>17</v>
      </c>
      <c r="C368" s="1">
        <v>46068</v>
      </c>
      <c r="D368" s="2" t="s">
        <v>16</v>
      </c>
      <c r="E368" s="2" t="s">
        <v>45</v>
      </c>
      <c r="F368" s="2" t="s">
        <v>68</v>
      </c>
      <c r="G368" s="2" t="s">
        <v>28</v>
      </c>
      <c r="H368" s="2" t="s">
        <v>21</v>
      </c>
      <c r="I368" s="2">
        <v>22</v>
      </c>
      <c r="J368" s="2">
        <v>42</v>
      </c>
      <c r="K368" s="2">
        <v>3358.18</v>
      </c>
      <c r="L368" s="2">
        <v>190.04</v>
      </c>
      <c r="M368" s="2">
        <v>141.19999999999999</v>
      </c>
      <c r="N368" s="2" t="s">
        <v>30</v>
      </c>
      <c r="O368" s="2">
        <v>5</v>
      </c>
    </row>
    <row r="369" spans="1:15" x14ac:dyDescent="0.3">
      <c r="A369" s="2" t="s">
        <v>424</v>
      </c>
      <c r="B369" s="2" t="s">
        <v>47</v>
      </c>
      <c r="C369" s="1">
        <v>46083</v>
      </c>
      <c r="D369" s="2" t="s">
        <v>16</v>
      </c>
      <c r="E369" s="2" t="s">
        <v>18</v>
      </c>
      <c r="F369" s="2" t="s">
        <v>27</v>
      </c>
      <c r="G369" s="2" t="s">
        <v>35</v>
      </c>
      <c r="H369" s="2" t="s">
        <v>52</v>
      </c>
      <c r="I369" s="2">
        <v>32</v>
      </c>
      <c r="J369" s="2">
        <v>117</v>
      </c>
      <c r="K369" s="2">
        <v>42328.11</v>
      </c>
      <c r="L369" s="2">
        <v>144.08000000000001</v>
      </c>
      <c r="M369" s="2">
        <v>46.84</v>
      </c>
      <c r="N369" s="2" t="s">
        <v>22</v>
      </c>
      <c r="O369" s="2">
        <v>5</v>
      </c>
    </row>
    <row r="370" spans="1:15" x14ac:dyDescent="0.3">
      <c r="A370" s="2" t="s">
        <v>425</v>
      </c>
      <c r="B370" s="2" t="s">
        <v>62</v>
      </c>
      <c r="C370" s="1">
        <v>46161</v>
      </c>
      <c r="D370" s="2" t="s">
        <v>74</v>
      </c>
      <c r="E370" s="2" t="s">
        <v>18</v>
      </c>
      <c r="F370" s="2" t="s">
        <v>27</v>
      </c>
      <c r="G370" s="2" t="s">
        <v>35</v>
      </c>
      <c r="H370" s="2" t="s">
        <v>56</v>
      </c>
      <c r="I370" s="2">
        <v>60</v>
      </c>
      <c r="J370" s="2">
        <v>33</v>
      </c>
      <c r="K370" s="2">
        <v>3422.98</v>
      </c>
      <c r="L370" s="2">
        <v>431.82</v>
      </c>
      <c r="M370" s="2">
        <v>53.93</v>
      </c>
      <c r="N370" s="2" t="s">
        <v>22</v>
      </c>
      <c r="O370" s="2">
        <v>2</v>
      </c>
    </row>
    <row r="371" spans="1:15" x14ac:dyDescent="0.3">
      <c r="A371" s="2" t="s">
        <v>426</v>
      </c>
      <c r="B371" s="2" t="s">
        <v>47</v>
      </c>
      <c r="C371" s="1">
        <v>45915</v>
      </c>
      <c r="D371" s="2" t="s">
        <v>54</v>
      </c>
      <c r="E371" s="2" t="s">
        <v>45</v>
      </c>
      <c r="F371" s="2" t="s">
        <v>34</v>
      </c>
      <c r="G371" s="2" t="s">
        <v>55</v>
      </c>
      <c r="H371" s="2" t="s">
        <v>21</v>
      </c>
      <c r="I371" s="2">
        <v>29</v>
      </c>
      <c r="J371" s="2">
        <v>50</v>
      </c>
      <c r="K371" s="2">
        <v>13947.38</v>
      </c>
      <c r="L371" s="2">
        <v>457.71</v>
      </c>
      <c r="M371" s="2">
        <v>130.94999999999999</v>
      </c>
      <c r="N371" s="2" t="s">
        <v>30</v>
      </c>
      <c r="O371" s="2">
        <v>1</v>
      </c>
    </row>
    <row r="372" spans="1:15" x14ac:dyDescent="0.3">
      <c r="A372" s="2" t="s">
        <v>427</v>
      </c>
      <c r="B372" s="2" t="s">
        <v>33</v>
      </c>
      <c r="C372" s="1">
        <v>45954</v>
      </c>
      <c r="D372" s="2" t="s">
        <v>41</v>
      </c>
      <c r="E372" s="2" t="s">
        <v>45</v>
      </c>
      <c r="F372" s="2" t="s">
        <v>34</v>
      </c>
      <c r="G372" s="2" t="s">
        <v>28</v>
      </c>
      <c r="H372" s="2" t="s">
        <v>29</v>
      </c>
      <c r="I372" s="2">
        <v>32</v>
      </c>
      <c r="J372" s="2">
        <v>63</v>
      </c>
      <c r="K372" s="2">
        <v>5635.94</v>
      </c>
      <c r="L372" s="2">
        <v>293.72000000000003</v>
      </c>
      <c r="M372" s="2">
        <v>117.03</v>
      </c>
      <c r="N372" s="2" t="s">
        <v>30</v>
      </c>
      <c r="O372" s="2">
        <v>5</v>
      </c>
    </row>
    <row r="373" spans="1:15" x14ac:dyDescent="0.3">
      <c r="A373" s="2" t="s">
        <v>428</v>
      </c>
      <c r="B373" s="2" t="s">
        <v>47</v>
      </c>
      <c r="C373" s="1">
        <v>46185</v>
      </c>
      <c r="D373" s="2" t="s">
        <v>16</v>
      </c>
      <c r="E373" s="2" t="s">
        <v>26</v>
      </c>
      <c r="F373" s="2" t="s">
        <v>34</v>
      </c>
      <c r="G373" s="2" t="s">
        <v>55</v>
      </c>
      <c r="H373" s="2" t="s">
        <v>56</v>
      </c>
      <c r="I373" s="2">
        <v>46</v>
      </c>
      <c r="J373" s="2">
        <v>100</v>
      </c>
      <c r="K373" s="2">
        <v>15123.39</v>
      </c>
      <c r="L373" s="2">
        <v>333.24</v>
      </c>
      <c r="M373" s="2">
        <v>38.909999999999997</v>
      </c>
      <c r="N373" s="2" t="s">
        <v>30</v>
      </c>
      <c r="O373" s="2">
        <v>1</v>
      </c>
    </row>
    <row r="374" spans="1:15" x14ac:dyDescent="0.3">
      <c r="A374" s="2" t="s">
        <v>429</v>
      </c>
      <c r="B374" s="2" t="s">
        <v>33</v>
      </c>
      <c r="C374" s="1">
        <v>46055</v>
      </c>
      <c r="D374" s="2" t="s">
        <v>24</v>
      </c>
      <c r="E374" s="2" t="s">
        <v>26</v>
      </c>
      <c r="F374" s="2" t="s">
        <v>27</v>
      </c>
      <c r="G374" s="2" t="s">
        <v>28</v>
      </c>
      <c r="H374" s="2" t="s">
        <v>21</v>
      </c>
      <c r="I374" s="2">
        <v>29</v>
      </c>
      <c r="J374" s="2">
        <v>37</v>
      </c>
      <c r="K374" s="2">
        <v>4982.6899999999996</v>
      </c>
      <c r="L374" s="2">
        <v>165.61</v>
      </c>
      <c r="M374" s="2">
        <v>146.34</v>
      </c>
      <c r="N374" s="2" t="s">
        <v>22</v>
      </c>
      <c r="O374" s="2">
        <v>5</v>
      </c>
    </row>
    <row r="375" spans="1:15" x14ac:dyDescent="0.3">
      <c r="A375" s="2" t="s">
        <v>430</v>
      </c>
      <c r="B375" s="2" t="s">
        <v>51</v>
      </c>
      <c r="C375" s="1">
        <v>46061</v>
      </c>
      <c r="D375" s="2" t="s">
        <v>43</v>
      </c>
      <c r="E375" s="2" t="s">
        <v>18</v>
      </c>
      <c r="F375" s="2" t="s">
        <v>39</v>
      </c>
      <c r="G375" s="2" t="s">
        <v>55</v>
      </c>
      <c r="H375" s="2" t="s">
        <v>56</v>
      </c>
      <c r="I375" s="2">
        <v>30</v>
      </c>
      <c r="J375" s="2">
        <v>105</v>
      </c>
      <c r="K375" s="2">
        <v>33566.160000000003</v>
      </c>
      <c r="L375" s="2">
        <v>410.36</v>
      </c>
      <c r="M375" s="2">
        <v>30.83</v>
      </c>
      <c r="N375" s="2" t="s">
        <v>22</v>
      </c>
      <c r="O375" s="2">
        <v>5</v>
      </c>
    </row>
    <row r="376" spans="1:15" x14ac:dyDescent="0.3">
      <c r="A376" s="2" t="s">
        <v>431</v>
      </c>
      <c r="B376" s="2" t="s">
        <v>25</v>
      </c>
      <c r="C376" s="1">
        <v>45982</v>
      </c>
      <c r="D376" s="2" t="s">
        <v>54</v>
      </c>
      <c r="E376" s="2" t="s">
        <v>58</v>
      </c>
      <c r="F376" s="2" t="s">
        <v>19</v>
      </c>
      <c r="G376" s="2" t="s">
        <v>35</v>
      </c>
      <c r="H376" s="2" t="s">
        <v>21</v>
      </c>
      <c r="I376" s="2">
        <v>52</v>
      </c>
      <c r="J376" s="2">
        <v>59</v>
      </c>
      <c r="K376" s="2">
        <v>7099.68</v>
      </c>
      <c r="L376" s="2">
        <v>334.46</v>
      </c>
      <c r="M376" s="2">
        <v>171.13</v>
      </c>
      <c r="N376" s="2" t="s">
        <v>22</v>
      </c>
      <c r="O376" s="2">
        <v>3</v>
      </c>
    </row>
    <row r="377" spans="1:15" x14ac:dyDescent="0.3">
      <c r="A377" s="2" t="s">
        <v>432</v>
      </c>
      <c r="B377" s="2" t="s">
        <v>33</v>
      </c>
      <c r="C377" s="1">
        <v>46121</v>
      </c>
      <c r="D377" s="2" t="s">
        <v>43</v>
      </c>
      <c r="E377" s="2" t="s">
        <v>45</v>
      </c>
      <c r="F377" s="2" t="s">
        <v>39</v>
      </c>
      <c r="G377" s="2" t="s">
        <v>35</v>
      </c>
      <c r="H377" s="2" t="s">
        <v>21</v>
      </c>
      <c r="I377" s="2">
        <v>54</v>
      </c>
      <c r="J377" s="2">
        <v>81</v>
      </c>
      <c r="K377" s="2">
        <v>42666.37</v>
      </c>
      <c r="L377" s="2">
        <v>276.58</v>
      </c>
      <c r="M377" s="2">
        <v>102.93</v>
      </c>
      <c r="N377" s="2" t="s">
        <v>22</v>
      </c>
      <c r="O377" s="2">
        <v>4</v>
      </c>
    </row>
    <row r="378" spans="1:15" x14ac:dyDescent="0.3">
      <c r="A378" s="2" t="s">
        <v>433</v>
      </c>
      <c r="B378" s="2" t="s">
        <v>76</v>
      </c>
      <c r="C378" s="1">
        <v>45955</v>
      </c>
      <c r="D378" s="2" t="s">
        <v>90</v>
      </c>
      <c r="E378" s="2" t="s">
        <v>26</v>
      </c>
      <c r="F378" s="2" t="s">
        <v>39</v>
      </c>
      <c r="G378" s="2" t="s">
        <v>20</v>
      </c>
      <c r="H378" s="2" t="s">
        <v>29</v>
      </c>
      <c r="I378" s="2">
        <v>68</v>
      </c>
      <c r="J378" s="2">
        <v>99</v>
      </c>
      <c r="K378" s="2">
        <v>40950.959999999999</v>
      </c>
      <c r="L378" s="2">
        <v>77.05</v>
      </c>
      <c r="M378" s="2">
        <v>31.71</v>
      </c>
      <c r="N378" s="2" t="s">
        <v>30</v>
      </c>
      <c r="O378" s="2">
        <v>4</v>
      </c>
    </row>
    <row r="379" spans="1:15" x14ac:dyDescent="0.3">
      <c r="A379" s="2" t="s">
        <v>434</v>
      </c>
      <c r="B379" s="2" t="s">
        <v>60</v>
      </c>
      <c r="C379" s="1">
        <v>46110</v>
      </c>
      <c r="D379" s="2" t="s">
        <v>24</v>
      </c>
      <c r="E379" s="2" t="s">
        <v>18</v>
      </c>
      <c r="F379" s="2" t="s">
        <v>27</v>
      </c>
      <c r="G379" s="2" t="s">
        <v>64</v>
      </c>
      <c r="H379" s="2" t="s">
        <v>56</v>
      </c>
      <c r="I379" s="2">
        <v>40</v>
      </c>
      <c r="J379" s="2">
        <v>48</v>
      </c>
      <c r="K379" s="2">
        <v>1176.25</v>
      </c>
      <c r="L379" s="2">
        <v>462.17</v>
      </c>
      <c r="M379" s="2">
        <v>138.81</v>
      </c>
      <c r="N379" s="2" t="s">
        <v>30</v>
      </c>
      <c r="O379" s="2">
        <v>1</v>
      </c>
    </row>
    <row r="380" spans="1:15" x14ac:dyDescent="0.3">
      <c r="A380" s="2" t="s">
        <v>435</v>
      </c>
      <c r="B380" s="2" t="s">
        <v>17</v>
      </c>
      <c r="C380" s="1">
        <v>46034</v>
      </c>
      <c r="D380" s="2" t="s">
        <v>24</v>
      </c>
      <c r="E380" s="2" t="s">
        <v>26</v>
      </c>
      <c r="F380" s="2" t="s">
        <v>39</v>
      </c>
      <c r="G380" s="2" t="s">
        <v>55</v>
      </c>
      <c r="H380" s="2" t="s">
        <v>52</v>
      </c>
      <c r="I380" s="2">
        <v>59</v>
      </c>
      <c r="J380" s="2">
        <v>5</v>
      </c>
      <c r="K380" s="2">
        <v>44838.45</v>
      </c>
      <c r="L380" s="2">
        <v>326.95</v>
      </c>
      <c r="M380" s="2">
        <v>103.83</v>
      </c>
      <c r="N380" s="2" t="s">
        <v>30</v>
      </c>
      <c r="O380" s="2">
        <v>4</v>
      </c>
    </row>
    <row r="381" spans="1:15" x14ac:dyDescent="0.3">
      <c r="A381" s="2" t="s">
        <v>436</v>
      </c>
      <c r="B381" s="2" t="s">
        <v>44</v>
      </c>
      <c r="C381" s="1">
        <v>46025</v>
      </c>
      <c r="D381" s="2" t="s">
        <v>90</v>
      </c>
      <c r="E381" s="2" t="s">
        <v>45</v>
      </c>
      <c r="F381" s="2" t="s">
        <v>68</v>
      </c>
      <c r="G381" s="2" t="s">
        <v>20</v>
      </c>
      <c r="H381" s="2" t="s">
        <v>29</v>
      </c>
      <c r="I381" s="2">
        <v>22</v>
      </c>
      <c r="J381" s="2">
        <v>48</v>
      </c>
      <c r="K381" s="2">
        <v>1932.74</v>
      </c>
      <c r="L381" s="2">
        <v>136.71</v>
      </c>
      <c r="M381" s="2">
        <v>89.42</v>
      </c>
      <c r="N381" s="2" t="s">
        <v>22</v>
      </c>
      <c r="O381" s="2">
        <v>1</v>
      </c>
    </row>
    <row r="382" spans="1:15" x14ac:dyDescent="0.3">
      <c r="A382" s="2" t="s">
        <v>437</v>
      </c>
      <c r="B382" s="2" t="s">
        <v>60</v>
      </c>
      <c r="C382" s="1">
        <v>46086</v>
      </c>
      <c r="D382" s="2" t="s">
        <v>54</v>
      </c>
      <c r="E382" s="2" t="s">
        <v>45</v>
      </c>
      <c r="F382" s="2" t="s">
        <v>34</v>
      </c>
      <c r="G382" s="2" t="s">
        <v>64</v>
      </c>
      <c r="H382" s="2" t="s">
        <v>29</v>
      </c>
      <c r="I382" s="2">
        <v>21</v>
      </c>
      <c r="J382" s="2">
        <v>96</v>
      </c>
      <c r="K382" s="2">
        <v>12362.47</v>
      </c>
      <c r="L382" s="2">
        <v>322.87</v>
      </c>
      <c r="M382" s="2">
        <v>126.77</v>
      </c>
      <c r="N382" s="2" t="s">
        <v>30</v>
      </c>
      <c r="O382" s="2">
        <v>5</v>
      </c>
    </row>
    <row r="383" spans="1:15" x14ac:dyDescent="0.3">
      <c r="A383" s="2" t="s">
        <v>438</v>
      </c>
      <c r="B383" s="2" t="s">
        <v>82</v>
      </c>
      <c r="C383" s="1">
        <v>46206</v>
      </c>
      <c r="D383" s="2" t="s">
        <v>90</v>
      </c>
      <c r="E383" s="2" t="s">
        <v>38</v>
      </c>
      <c r="F383" s="2" t="s">
        <v>68</v>
      </c>
      <c r="G383" s="2" t="s">
        <v>55</v>
      </c>
      <c r="H383" s="2" t="s">
        <v>21</v>
      </c>
      <c r="I383" s="2">
        <v>71</v>
      </c>
      <c r="J383" s="2">
        <v>3</v>
      </c>
      <c r="K383" s="2">
        <v>2103.2600000000002</v>
      </c>
      <c r="L383" s="2">
        <v>354.86</v>
      </c>
      <c r="M383" s="2">
        <v>59.67</v>
      </c>
      <c r="N383" s="2" t="s">
        <v>30</v>
      </c>
      <c r="O383" s="2">
        <v>3</v>
      </c>
    </row>
    <row r="384" spans="1:15" x14ac:dyDescent="0.3">
      <c r="A384" s="2" t="s">
        <v>439</v>
      </c>
      <c r="B384" s="2" t="s">
        <v>25</v>
      </c>
      <c r="C384" s="1">
        <v>46082</v>
      </c>
      <c r="D384" s="2" t="s">
        <v>43</v>
      </c>
      <c r="E384" s="2" t="s">
        <v>58</v>
      </c>
      <c r="F384" s="2" t="s">
        <v>19</v>
      </c>
      <c r="G384" s="2" t="s">
        <v>28</v>
      </c>
      <c r="H384" s="2" t="s">
        <v>52</v>
      </c>
      <c r="I384" s="2">
        <v>56</v>
      </c>
      <c r="J384" s="2">
        <v>116</v>
      </c>
      <c r="K384" s="2">
        <v>17124.25</v>
      </c>
      <c r="L384" s="2">
        <v>286.60000000000002</v>
      </c>
      <c r="M384" s="2">
        <v>52.61</v>
      </c>
      <c r="N384" s="2" t="s">
        <v>30</v>
      </c>
      <c r="O384" s="2">
        <v>3</v>
      </c>
    </row>
    <row r="385" spans="1:15" x14ac:dyDescent="0.3">
      <c r="A385" s="2" t="s">
        <v>440</v>
      </c>
      <c r="B385" s="2" t="s">
        <v>47</v>
      </c>
      <c r="C385" s="1">
        <v>46077</v>
      </c>
      <c r="D385" s="2" t="s">
        <v>74</v>
      </c>
      <c r="E385" s="2" t="s">
        <v>38</v>
      </c>
      <c r="F385" s="2" t="s">
        <v>34</v>
      </c>
      <c r="G385" s="2" t="s">
        <v>64</v>
      </c>
      <c r="H385" s="2" t="s">
        <v>56</v>
      </c>
      <c r="I385" s="2">
        <v>44</v>
      </c>
      <c r="J385" s="2">
        <v>47</v>
      </c>
      <c r="K385" s="2">
        <v>25936.39</v>
      </c>
      <c r="L385" s="2">
        <v>373.15</v>
      </c>
      <c r="M385" s="2">
        <v>32.72</v>
      </c>
      <c r="N385" s="2" t="s">
        <v>30</v>
      </c>
      <c r="O385" s="2">
        <v>5</v>
      </c>
    </row>
    <row r="386" spans="1:15" x14ac:dyDescent="0.3">
      <c r="A386" s="2" t="s">
        <v>441</v>
      </c>
      <c r="B386" s="2" t="s">
        <v>49</v>
      </c>
      <c r="C386" s="1">
        <v>45929</v>
      </c>
      <c r="D386" s="2" t="s">
        <v>24</v>
      </c>
      <c r="E386" s="2" t="s">
        <v>18</v>
      </c>
      <c r="F386" s="2" t="s">
        <v>39</v>
      </c>
      <c r="G386" s="2" t="s">
        <v>35</v>
      </c>
      <c r="H386" s="2" t="s">
        <v>52</v>
      </c>
      <c r="I386" s="2">
        <v>74</v>
      </c>
      <c r="J386" s="2">
        <v>62</v>
      </c>
      <c r="K386" s="2">
        <v>39933.919999999998</v>
      </c>
      <c r="L386" s="2">
        <v>311.64999999999998</v>
      </c>
      <c r="M386" s="2">
        <v>72.55</v>
      </c>
      <c r="N386" s="2" t="s">
        <v>30</v>
      </c>
      <c r="O386" s="2">
        <v>2</v>
      </c>
    </row>
    <row r="387" spans="1:15" x14ac:dyDescent="0.3">
      <c r="A387" s="2" t="s">
        <v>442</v>
      </c>
      <c r="B387" s="2" t="s">
        <v>82</v>
      </c>
      <c r="C387" s="1">
        <v>46064</v>
      </c>
      <c r="D387" s="2" t="s">
        <v>32</v>
      </c>
      <c r="E387" s="2" t="s">
        <v>26</v>
      </c>
      <c r="F387" s="2" t="s">
        <v>19</v>
      </c>
      <c r="G387" s="2" t="s">
        <v>20</v>
      </c>
      <c r="H387" s="2" t="s">
        <v>52</v>
      </c>
      <c r="I387" s="2">
        <v>47</v>
      </c>
      <c r="J387" s="2">
        <v>99</v>
      </c>
      <c r="K387" s="2">
        <v>17230.09</v>
      </c>
      <c r="L387" s="2">
        <v>476.5</v>
      </c>
      <c r="M387" s="2">
        <v>50.2</v>
      </c>
      <c r="N387" s="2" t="s">
        <v>30</v>
      </c>
      <c r="O387" s="2">
        <v>2</v>
      </c>
    </row>
    <row r="388" spans="1:15" x14ac:dyDescent="0.3">
      <c r="A388" s="2" t="s">
        <v>443</v>
      </c>
      <c r="B388" s="2" t="s">
        <v>62</v>
      </c>
      <c r="C388" s="1">
        <v>46200</v>
      </c>
      <c r="D388" s="2" t="s">
        <v>32</v>
      </c>
      <c r="E388" s="2" t="s">
        <v>18</v>
      </c>
      <c r="F388" s="2" t="s">
        <v>34</v>
      </c>
      <c r="G388" s="2" t="s">
        <v>64</v>
      </c>
      <c r="H388" s="2" t="s">
        <v>52</v>
      </c>
      <c r="I388" s="2">
        <v>22</v>
      </c>
      <c r="J388" s="2">
        <v>116</v>
      </c>
      <c r="K388" s="2">
        <v>35421.760000000002</v>
      </c>
      <c r="L388" s="2">
        <v>74.16</v>
      </c>
      <c r="M388" s="2">
        <v>136.69</v>
      </c>
      <c r="N388" s="2" t="s">
        <v>30</v>
      </c>
      <c r="O388" s="2">
        <v>4</v>
      </c>
    </row>
    <row r="389" spans="1:15" x14ac:dyDescent="0.3">
      <c r="A389" s="2" t="s">
        <v>444</v>
      </c>
      <c r="B389" s="2" t="s">
        <v>33</v>
      </c>
      <c r="C389" s="1">
        <v>46023</v>
      </c>
      <c r="D389" s="2" t="s">
        <v>43</v>
      </c>
      <c r="E389" s="2" t="s">
        <v>45</v>
      </c>
      <c r="F389" s="2" t="s">
        <v>39</v>
      </c>
      <c r="G389" s="2" t="s">
        <v>64</v>
      </c>
      <c r="H389" s="2" t="s">
        <v>52</v>
      </c>
      <c r="I389" s="2">
        <v>51</v>
      </c>
      <c r="J389" s="2">
        <v>14</v>
      </c>
      <c r="K389" s="2">
        <v>9781.4699999999993</v>
      </c>
      <c r="L389" s="2">
        <v>97.81</v>
      </c>
      <c r="M389" s="2">
        <v>136.78</v>
      </c>
      <c r="N389" s="2" t="s">
        <v>30</v>
      </c>
      <c r="O389" s="2">
        <v>1</v>
      </c>
    </row>
    <row r="390" spans="1:15" x14ac:dyDescent="0.3">
      <c r="A390" s="2" t="s">
        <v>445</v>
      </c>
      <c r="B390" s="2" t="s">
        <v>17</v>
      </c>
      <c r="C390" s="1">
        <v>45879</v>
      </c>
      <c r="D390" s="2" t="s">
        <v>41</v>
      </c>
      <c r="E390" s="2" t="s">
        <v>38</v>
      </c>
      <c r="F390" s="2" t="s">
        <v>68</v>
      </c>
      <c r="G390" s="2" t="s">
        <v>35</v>
      </c>
      <c r="H390" s="2" t="s">
        <v>52</v>
      </c>
      <c r="I390" s="2">
        <v>34</v>
      </c>
      <c r="J390" s="2">
        <v>63</v>
      </c>
      <c r="K390" s="2">
        <v>37654.620000000003</v>
      </c>
      <c r="L390" s="2">
        <v>128.15</v>
      </c>
      <c r="M390" s="2">
        <v>100.37</v>
      </c>
      <c r="N390" s="2" t="s">
        <v>30</v>
      </c>
      <c r="O390" s="2">
        <v>3</v>
      </c>
    </row>
    <row r="391" spans="1:15" x14ac:dyDescent="0.3">
      <c r="A391" s="2" t="s">
        <v>446</v>
      </c>
      <c r="B391" s="2" t="s">
        <v>67</v>
      </c>
      <c r="C391" s="1">
        <v>46167</v>
      </c>
      <c r="D391" s="2" t="s">
        <v>16</v>
      </c>
      <c r="E391" s="2" t="s">
        <v>38</v>
      </c>
      <c r="F391" s="2" t="s">
        <v>34</v>
      </c>
      <c r="G391" s="2" t="s">
        <v>55</v>
      </c>
      <c r="H391" s="2" t="s">
        <v>21</v>
      </c>
      <c r="I391" s="2">
        <v>22</v>
      </c>
      <c r="J391" s="2">
        <v>112</v>
      </c>
      <c r="K391" s="2">
        <v>12181.83</v>
      </c>
      <c r="L391" s="2">
        <v>360.58</v>
      </c>
      <c r="M391" s="2">
        <v>155.59</v>
      </c>
      <c r="N391" s="2" t="s">
        <v>30</v>
      </c>
      <c r="O391" s="2">
        <v>4</v>
      </c>
    </row>
    <row r="392" spans="1:15" x14ac:dyDescent="0.3">
      <c r="A392" s="2" t="s">
        <v>447</v>
      </c>
      <c r="B392" s="2" t="s">
        <v>78</v>
      </c>
      <c r="C392" s="1">
        <v>46029</v>
      </c>
      <c r="D392" s="2" t="s">
        <v>90</v>
      </c>
      <c r="E392" s="2" t="s">
        <v>38</v>
      </c>
      <c r="F392" s="2" t="s">
        <v>39</v>
      </c>
      <c r="G392" s="2" t="s">
        <v>28</v>
      </c>
      <c r="H392" s="2" t="s">
        <v>21</v>
      </c>
      <c r="I392" s="2">
        <v>49</v>
      </c>
      <c r="J392" s="2">
        <v>61</v>
      </c>
      <c r="K392" s="2">
        <v>7605.47</v>
      </c>
      <c r="L392" s="2">
        <v>340.52</v>
      </c>
      <c r="M392" s="2">
        <v>168.27</v>
      </c>
      <c r="N392" s="2" t="s">
        <v>30</v>
      </c>
      <c r="O392" s="2">
        <v>5</v>
      </c>
    </row>
    <row r="393" spans="1:15" x14ac:dyDescent="0.3">
      <c r="A393" s="2" t="s">
        <v>448</v>
      </c>
      <c r="B393" s="2" t="s">
        <v>76</v>
      </c>
      <c r="C393" s="1">
        <v>46138</v>
      </c>
      <c r="D393" s="2" t="s">
        <v>90</v>
      </c>
      <c r="E393" s="2" t="s">
        <v>18</v>
      </c>
      <c r="F393" s="2" t="s">
        <v>68</v>
      </c>
      <c r="G393" s="2" t="s">
        <v>35</v>
      </c>
      <c r="H393" s="2" t="s">
        <v>29</v>
      </c>
      <c r="I393" s="2">
        <v>35</v>
      </c>
      <c r="J393" s="2">
        <v>31</v>
      </c>
      <c r="K393" s="2">
        <v>9677.74</v>
      </c>
      <c r="L393" s="2">
        <v>451.43</v>
      </c>
      <c r="M393" s="2">
        <v>173.92</v>
      </c>
      <c r="N393" s="2" t="s">
        <v>22</v>
      </c>
      <c r="O393" s="2">
        <v>3</v>
      </c>
    </row>
    <row r="394" spans="1:15" x14ac:dyDescent="0.3">
      <c r="A394" s="2" t="s">
        <v>449</v>
      </c>
      <c r="B394" s="2" t="s">
        <v>44</v>
      </c>
      <c r="C394" s="1">
        <v>46156</v>
      </c>
      <c r="D394" s="2" t="s">
        <v>41</v>
      </c>
      <c r="E394" s="2" t="s">
        <v>45</v>
      </c>
      <c r="F394" s="2" t="s">
        <v>19</v>
      </c>
      <c r="G394" s="2" t="s">
        <v>28</v>
      </c>
      <c r="H394" s="2" t="s">
        <v>21</v>
      </c>
      <c r="I394" s="2">
        <v>32</v>
      </c>
      <c r="J394" s="2">
        <v>95</v>
      </c>
      <c r="K394" s="2">
        <v>9512.1200000000008</v>
      </c>
      <c r="L394" s="2">
        <v>379.79</v>
      </c>
      <c r="M394" s="2">
        <v>123.79</v>
      </c>
      <c r="N394" s="2" t="s">
        <v>30</v>
      </c>
      <c r="O394" s="2">
        <v>1</v>
      </c>
    </row>
    <row r="395" spans="1:15" x14ac:dyDescent="0.3">
      <c r="A395" s="2" t="s">
        <v>450</v>
      </c>
      <c r="B395" s="2" t="s">
        <v>86</v>
      </c>
      <c r="C395" s="1">
        <v>45989</v>
      </c>
      <c r="D395" s="2" t="s">
        <v>41</v>
      </c>
      <c r="E395" s="2" t="s">
        <v>26</v>
      </c>
      <c r="F395" s="2" t="s">
        <v>19</v>
      </c>
      <c r="G395" s="2" t="s">
        <v>55</v>
      </c>
      <c r="H395" s="2" t="s">
        <v>29</v>
      </c>
      <c r="I395" s="2">
        <v>57</v>
      </c>
      <c r="J395" s="2">
        <v>17</v>
      </c>
      <c r="K395" s="2">
        <v>25886.71</v>
      </c>
      <c r="L395" s="2">
        <v>278.76</v>
      </c>
      <c r="M395" s="2">
        <v>84.87</v>
      </c>
      <c r="N395" s="2" t="s">
        <v>22</v>
      </c>
      <c r="O395" s="2">
        <v>1</v>
      </c>
    </row>
    <row r="396" spans="1:15" x14ac:dyDescent="0.3">
      <c r="A396" s="2" t="s">
        <v>451</v>
      </c>
      <c r="B396" s="2" t="s">
        <v>76</v>
      </c>
      <c r="C396" s="1">
        <v>45870</v>
      </c>
      <c r="D396" s="2" t="s">
        <v>43</v>
      </c>
      <c r="E396" s="2" t="s">
        <v>26</v>
      </c>
      <c r="F396" s="2" t="s">
        <v>19</v>
      </c>
      <c r="G396" s="2" t="s">
        <v>64</v>
      </c>
      <c r="H396" s="2" t="s">
        <v>29</v>
      </c>
      <c r="I396" s="2">
        <v>48</v>
      </c>
      <c r="J396" s="2">
        <v>24</v>
      </c>
      <c r="K396" s="2">
        <v>42317.48</v>
      </c>
      <c r="L396" s="2">
        <v>496.32</v>
      </c>
      <c r="M396" s="2">
        <v>268.45999999999998</v>
      </c>
      <c r="N396" s="2" t="s">
        <v>22</v>
      </c>
      <c r="O396" s="2">
        <v>2</v>
      </c>
    </row>
    <row r="397" spans="1:15" x14ac:dyDescent="0.3">
      <c r="A397" s="2" t="s">
        <v>452</v>
      </c>
      <c r="B397" s="2" t="s">
        <v>51</v>
      </c>
      <c r="C397" s="1">
        <v>46144</v>
      </c>
      <c r="D397" s="2" t="s">
        <v>43</v>
      </c>
      <c r="E397" s="2" t="s">
        <v>18</v>
      </c>
      <c r="F397" s="2" t="s">
        <v>19</v>
      </c>
      <c r="G397" s="2" t="s">
        <v>28</v>
      </c>
      <c r="H397" s="2" t="s">
        <v>56</v>
      </c>
      <c r="I397" s="2">
        <v>40</v>
      </c>
      <c r="J397" s="2">
        <v>116</v>
      </c>
      <c r="K397" s="2">
        <v>4440.45</v>
      </c>
      <c r="L397" s="2">
        <v>169.75</v>
      </c>
      <c r="M397" s="2">
        <v>4.84</v>
      </c>
      <c r="N397" s="2" t="s">
        <v>30</v>
      </c>
      <c r="O397" s="2">
        <v>4</v>
      </c>
    </row>
    <row r="398" spans="1:15" x14ac:dyDescent="0.3">
      <c r="A398" s="2" t="s">
        <v>453</v>
      </c>
      <c r="B398" s="2" t="s">
        <v>67</v>
      </c>
      <c r="C398" s="1">
        <v>46231</v>
      </c>
      <c r="D398" s="2" t="s">
        <v>41</v>
      </c>
      <c r="E398" s="2" t="s">
        <v>38</v>
      </c>
      <c r="F398" s="2" t="s">
        <v>27</v>
      </c>
      <c r="G398" s="2" t="s">
        <v>20</v>
      </c>
      <c r="H398" s="2" t="s">
        <v>52</v>
      </c>
      <c r="I398" s="2">
        <v>59</v>
      </c>
      <c r="J398" s="2">
        <v>23</v>
      </c>
      <c r="K398" s="2">
        <v>35494.339999999997</v>
      </c>
      <c r="L398" s="2">
        <v>424.94</v>
      </c>
      <c r="M398" s="2">
        <v>69.72</v>
      </c>
      <c r="N398" s="2" t="s">
        <v>30</v>
      </c>
      <c r="O398" s="2">
        <v>5</v>
      </c>
    </row>
    <row r="399" spans="1:15" x14ac:dyDescent="0.3">
      <c r="A399" s="2" t="s">
        <v>454</v>
      </c>
      <c r="B399" s="2" t="s">
        <v>49</v>
      </c>
      <c r="C399" s="1">
        <v>45958</v>
      </c>
      <c r="D399" s="2" t="s">
        <v>24</v>
      </c>
      <c r="E399" s="2" t="s">
        <v>58</v>
      </c>
      <c r="F399" s="2" t="s">
        <v>34</v>
      </c>
      <c r="G399" s="2" t="s">
        <v>20</v>
      </c>
      <c r="H399" s="2" t="s">
        <v>21</v>
      </c>
      <c r="I399" s="2">
        <v>44</v>
      </c>
      <c r="J399" s="2">
        <v>82</v>
      </c>
      <c r="K399" s="2">
        <v>32890.15</v>
      </c>
      <c r="L399" s="2">
        <v>242.06</v>
      </c>
      <c r="M399" s="2">
        <v>144.36000000000001</v>
      </c>
      <c r="N399" s="2" t="s">
        <v>22</v>
      </c>
      <c r="O399" s="2">
        <v>3</v>
      </c>
    </row>
    <row r="400" spans="1:15" x14ac:dyDescent="0.3">
      <c r="A400" s="2" t="s">
        <v>455</v>
      </c>
      <c r="B400" s="2" t="s">
        <v>78</v>
      </c>
      <c r="C400" s="1">
        <v>46111</v>
      </c>
      <c r="D400" s="2" t="s">
        <v>43</v>
      </c>
      <c r="E400" s="2" t="s">
        <v>18</v>
      </c>
      <c r="F400" s="2" t="s">
        <v>34</v>
      </c>
      <c r="G400" s="2" t="s">
        <v>35</v>
      </c>
      <c r="H400" s="2" t="s">
        <v>56</v>
      </c>
      <c r="I400" s="2">
        <v>41</v>
      </c>
      <c r="J400" s="2">
        <v>50</v>
      </c>
      <c r="K400" s="2">
        <v>43689.74</v>
      </c>
      <c r="L400" s="2">
        <v>341.93</v>
      </c>
      <c r="M400" s="2">
        <v>16.02</v>
      </c>
      <c r="N400" s="2" t="s">
        <v>22</v>
      </c>
      <c r="O400" s="2">
        <v>1</v>
      </c>
    </row>
    <row r="401" spans="1:15" x14ac:dyDescent="0.3">
      <c r="A401" s="2" t="s">
        <v>456</v>
      </c>
      <c r="B401" s="2" t="s">
        <v>67</v>
      </c>
      <c r="C401" s="1">
        <v>46219</v>
      </c>
      <c r="D401" s="2" t="s">
        <v>74</v>
      </c>
      <c r="E401" s="2" t="s">
        <v>18</v>
      </c>
      <c r="F401" s="2" t="s">
        <v>27</v>
      </c>
      <c r="G401" s="2" t="s">
        <v>55</v>
      </c>
      <c r="H401" s="2" t="s">
        <v>21</v>
      </c>
      <c r="I401" s="2">
        <v>30</v>
      </c>
      <c r="J401" s="2">
        <v>118</v>
      </c>
      <c r="K401" s="2">
        <v>12585.3</v>
      </c>
      <c r="L401" s="2">
        <v>377.27</v>
      </c>
      <c r="M401" s="2">
        <v>36.630000000000003</v>
      </c>
      <c r="N401" s="2" t="s">
        <v>22</v>
      </c>
      <c r="O401" s="2">
        <v>3</v>
      </c>
    </row>
    <row r="402" spans="1:15" x14ac:dyDescent="0.3">
      <c r="A402" s="2" t="s">
        <v>457</v>
      </c>
      <c r="B402" s="2" t="s">
        <v>47</v>
      </c>
      <c r="C402" s="1">
        <v>45913</v>
      </c>
      <c r="D402" s="2" t="s">
        <v>43</v>
      </c>
      <c r="E402" s="2" t="s">
        <v>45</v>
      </c>
      <c r="F402" s="2" t="s">
        <v>39</v>
      </c>
      <c r="G402" s="2" t="s">
        <v>35</v>
      </c>
      <c r="H402" s="2" t="s">
        <v>29</v>
      </c>
      <c r="I402" s="2">
        <v>66</v>
      </c>
      <c r="J402" s="2">
        <v>78</v>
      </c>
      <c r="K402" s="2">
        <v>22780.44</v>
      </c>
      <c r="L402" s="2">
        <v>335.19</v>
      </c>
      <c r="M402" s="2">
        <v>176.79</v>
      </c>
      <c r="N402" s="2" t="s">
        <v>22</v>
      </c>
      <c r="O402" s="2">
        <v>5</v>
      </c>
    </row>
    <row r="403" spans="1:15" x14ac:dyDescent="0.3">
      <c r="A403" s="2" t="s">
        <v>458</v>
      </c>
      <c r="B403" s="2" t="s">
        <v>33</v>
      </c>
      <c r="C403" s="1">
        <v>46092</v>
      </c>
      <c r="D403" s="2" t="s">
        <v>90</v>
      </c>
      <c r="E403" s="2" t="s">
        <v>26</v>
      </c>
      <c r="F403" s="2" t="s">
        <v>39</v>
      </c>
      <c r="G403" s="2" t="s">
        <v>35</v>
      </c>
      <c r="H403" s="2" t="s">
        <v>21</v>
      </c>
      <c r="I403" s="2">
        <v>34</v>
      </c>
      <c r="J403" s="2">
        <v>114</v>
      </c>
      <c r="K403" s="2">
        <v>46328.46</v>
      </c>
      <c r="L403" s="2">
        <v>113.23</v>
      </c>
      <c r="M403" s="2">
        <v>112</v>
      </c>
      <c r="N403" s="2" t="s">
        <v>30</v>
      </c>
      <c r="O403" s="2">
        <v>3</v>
      </c>
    </row>
    <row r="404" spans="1:15" x14ac:dyDescent="0.3">
      <c r="A404" s="2" t="s">
        <v>459</v>
      </c>
      <c r="B404" s="2" t="s">
        <v>25</v>
      </c>
      <c r="C404" s="1">
        <v>46163</v>
      </c>
      <c r="D404" s="2" t="s">
        <v>43</v>
      </c>
      <c r="E404" s="2" t="s">
        <v>18</v>
      </c>
      <c r="F404" s="2" t="s">
        <v>19</v>
      </c>
      <c r="G404" s="2" t="s">
        <v>35</v>
      </c>
      <c r="H404" s="2" t="s">
        <v>52</v>
      </c>
      <c r="I404" s="2">
        <v>57</v>
      </c>
      <c r="J404" s="2">
        <v>79</v>
      </c>
      <c r="K404" s="2">
        <v>33169.68</v>
      </c>
      <c r="L404" s="2">
        <v>249.33</v>
      </c>
      <c r="M404" s="2">
        <v>147.79</v>
      </c>
      <c r="N404" s="2" t="s">
        <v>30</v>
      </c>
      <c r="O404" s="2">
        <v>4</v>
      </c>
    </row>
    <row r="405" spans="1:15" x14ac:dyDescent="0.3">
      <c r="A405" s="2" t="s">
        <v>460</v>
      </c>
      <c r="B405" s="2" t="s">
        <v>44</v>
      </c>
      <c r="C405" s="1">
        <v>46038</v>
      </c>
      <c r="D405" s="2" t="s">
        <v>24</v>
      </c>
      <c r="E405" s="2" t="s">
        <v>18</v>
      </c>
      <c r="F405" s="2" t="s">
        <v>68</v>
      </c>
      <c r="G405" s="2" t="s">
        <v>20</v>
      </c>
      <c r="H405" s="2" t="s">
        <v>29</v>
      </c>
      <c r="I405" s="2">
        <v>38</v>
      </c>
      <c r="J405" s="2">
        <v>79</v>
      </c>
      <c r="K405" s="2">
        <v>19744.04</v>
      </c>
      <c r="L405" s="2">
        <v>302.64999999999998</v>
      </c>
      <c r="M405" s="2">
        <v>243.78</v>
      </c>
      <c r="N405" s="2" t="s">
        <v>30</v>
      </c>
      <c r="O405" s="2">
        <v>2</v>
      </c>
    </row>
    <row r="406" spans="1:15" x14ac:dyDescent="0.3">
      <c r="A406" s="2" t="s">
        <v>461</v>
      </c>
      <c r="B406" s="2" t="s">
        <v>37</v>
      </c>
      <c r="C406" s="1">
        <v>45919</v>
      </c>
      <c r="D406" s="2" t="s">
        <v>41</v>
      </c>
      <c r="E406" s="2" t="s">
        <v>38</v>
      </c>
      <c r="F406" s="2" t="s">
        <v>39</v>
      </c>
      <c r="G406" s="2" t="s">
        <v>20</v>
      </c>
      <c r="H406" s="2" t="s">
        <v>29</v>
      </c>
      <c r="I406" s="2">
        <v>44</v>
      </c>
      <c r="J406" s="2">
        <v>70</v>
      </c>
      <c r="K406" s="2">
        <v>7004.91</v>
      </c>
      <c r="L406" s="2">
        <v>432.07</v>
      </c>
      <c r="M406" s="2">
        <v>38.58</v>
      </c>
      <c r="N406" s="2" t="s">
        <v>30</v>
      </c>
      <c r="O406" s="2">
        <v>3</v>
      </c>
    </row>
    <row r="407" spans="1:15" x14ac:dyDescent="0.3">
      <c r="A407" s="2" t="s">
        <v>462</v>
      </c>
      <c r="B407" s="2" t="s">
        <v>33</v>
      </c>
      <c r="C407" s="1">
        <v>46221</v>
      </c>
      <c r="D407" s="2" t="s">
        <v>90</v>
      </c>
      <c r="E407" s="2" t="s">
        <v>38</v>
      </c>
      <c r="F407" s="2" t="s">
        <v>68</v>
      </c>
      <c r="G407" s="2" t="s">
        <v>35</v>
      </c>
      <c r="H407" s="2" t="s">
        <v>56</v>
      </c>
      <c r="I407" s="2">
        <v>34</v>
      </c>
      <c r="J407" s="2">
        <v>27</v>
      </c>
      <c r="K407" s="2">
        <v>13493.01</v>
      </c>
      <c r="L407" s="2">
        <v>249.64</v>
      </c>
      <c r="M407" s="2">
        <v>3.68</v>
      </c>
      <c r="N407" s="2" t="s">
        <v>30</v>
      </c>
      <c r="O407" s="2">
        <v>2</v>
      </c>
    </row>
    <row r="408" spans="1:15" x14ac:dyDescent="0.3">
      <c r="A408" s="2" t="s">
        <v>463</v>
      </c>
      <c r="B408" s="2" t="s">
        <v>37</v>
      </c>
      <c r="C408" s="1">
        <v>46130</v>
      </c>
      <c r="D408" s="2" t="s">
        <v>43</v>
      </c>
      <c r="E408" s="2" t="s">
        <v>58</v>
      </c>
      <c r="F408" s="2" t="s">
        <v>34</v>
      </c>
      <c r="G408" s="2" t="s">
        <v>20</v>
      </c>
      <c r="H408" s="2" t="s">
        <v>52</v>
      </c>
      <c r="I408" s="2">
        <v>54</v>
      </c>
      <c r="J408" s="2">
        <v>15</v>
      </c>
      <c r="K408" s="2">
        <v>29270.17</v>
      </c>
      <c r="L408" s="2">
        <v>463.44</v>
      </c>
      <c r="M408" s="2">
        <v>137.93</v>
      </c>
      <c r="N408" s="2" t="s">
        <v>22</v>
      </c>
      <c r="O408" s="2">
        <v>5</v>
      </c>
    </row>
    <row r="409" spans="1:15" x14ac:dyDescent="0.3">
      <c r="A409" s="2" t="s">
        <v>464</v>
      </c>
      <c r="B409" s="2" t="s">
        <v>82</v>
      </c>
      <c r="C409" s="1">
        <v>46107</v>
      </c>
      <c r="D409" s="2" t="s">
        <v>24</v>
      </c>
      <c r="E409" s="2" t="s">
        <v>45</v>
      </c>
      <c r="F409" s="2" t="s">
        <v>68</v>
      </c>
      <c r="G409" s="2" t="s">
        <v>55</v>
      </c>
      <c r="H409" s="2" t="s">
        <v>29</v>
      </c>
      <c r="I409" s="2">
        <v>32</v>
      </c>
      <c r="J409" s="2">
        <v>50</v>
      </c>
      <c r="K409" s="2">
        <v>36049.31</v>
      </c>
      <c r="L409" s="2">
        <v>248.17</v>
      </c>
      <c r="M409" s="2">
        <v>90.42</v>
      </c>
      <c r="N409" s="2" t="s">
        <v>30</v>
      </c>
      <c r="O409" s="2">
        <v>2</v>
      </c>
    </row>
    <row r="410" spans="1:15" x14ac:dyDescent="0.3">
      <c r="A410" s="2" t="s">
        <v>465</v>
      </c>
      <c r="B410" s="2" t="s">
        <v>25</v>
      </c>
      <c r="C410" s="1">
        <v>46056</v>
      </c>
      <c r="D410" s="2" t="s">
        <v>74</v>
      </c>
      <c r="E410" s="2" t="s">
        <v>58</v>
      </c>
      <c r="F410" s="2" t="s">
        <v>34</v>
      </c>
      <c r="G410" s="2" t="s">
        <v>35</v>
      </c>
      <c r="H410" s="2" t="s">
        <v>52</v>
      </c>
      <c r="I410" s="2">
        <v>42</v>
      </c>
      <c r="J410" s="2">
        <v>36</v>
      </c>
      <c r="K410" s="2">
        <v>6658.88</v>
      </c>
      <c r="L410" s="2">
        <v>296.95</v>
      </c>
      <c r="M410" s="2">
        <v>125.2</v>
      </c>
      <c r="N410" s="2" t="s">
        <v>30</v>
      </c>
      <c r="O410" s="2">
        <v>3</v>
      </c>
    </row>
    <row r="411" spans="1:15" x14ac:dyDescent="0.3">
      <c r="A411" s="2" t="s">
        <v>466</v>
      </c>
      <c r="B411" s="2" t="s">
        <v>78</v>
      </c>
      <c r="C411" s="1">
        <v>46161</v>
      </c>
      <c r="D411" s="2" t="s">
        <v>43</v>
      </c>
      <c r="E411" s="2" t="s">
        <v>38</v>
      </c>
      <c r="F411" s="2" t="s">
        <v>27</v>
      </c>
      <c r="G411" s="2" t="s">
        <v>20</v>
      </c>
      <c r="H411" s="2" t="s">
        <v>21</v>
      </c>
      <c r="I411" s="2">
        <v>26</v>
      </c>
      <c r="J411" s="2">
        <v>119</v>
      </c>
      <c r="K411" s="2">
        <v>30180.06</v>
      </c>
      <c r="L411" s="2">
        <v>408.33</v>
      </c>
      <c r="M411" s="2">
        <v>30.11</v>
      </c>
      <c r="N411" s="2" t="s">
        <v>22</v>
      </c>
      <c r="O411" s="2">
        <v>3</v>
      </c>
    </row>
    <row r="412" spans="1:15" x14ac:dyDescent="0.3">
      <c r="A412" s="2" t="s">
        <v>467</v>
      </c>
      <c r="B412" s="2" t="s">
        <v>17</v>
      </c>
      <c r="C412" s="1">
        <v>46196</v>
      </c>
      <c r="D412" s="2" t="s">
        <v>24</v>
      </c>
      <c r="E412" s="2" t="s">
        <v>26</v>
      </c>
      <c r="F412" s="2" t="s">
        <v>27</v>
      </c>
      <c r="G412" s="2" t="s">
        <v>28</v>
      </c>
      <c r="H412" s="2" t="s">
        <v>52</v>
      </c>
      <c r="I412" s="2">
        <v>56</v>
      </c>
      <c r="J412" s="2">
        <v>8</v>
      </c>
      <c r="K412" s="2">
        <v>27742.39</v>
      </c>
      <c r="L412" s="2">
        <v>312.38</v>
      </c>
      <c r="M412" s="2">
        <v>93.81</v>
      </c>
      <c r="N412" s="2" t="s">
        <v>22</v>
      </c>
      <c r="O412" s="2">
        <v>1</v>
      </c>
    </row>
    <row r="413" spans="1:15" x14ac:dyDescent="0.3">
      <c r="A413" s="2" t="s">
        <v>468</v>
      </c>
      <c r="B413" s="2" t="s">
        <v>86</v>
      </c>
      <c r="C413" s="1">
        <v>46092</v>
      </c>
      <c r="D413" s="2" t="s">
        <v>74</v>
      </c>
      <c r="E413" s="2" t="s">
        <v>38</v>
      </c>
      <c r="F413" s="2" t="s">
        <v>19</v>
      </c>
      <c r="G413" s="2" t="s">
        <v>35</v>
      </c>
      <c r="H413" s="2" t="s">
        <v>29</v>
      </c>
      <c r="I413" s="2">
        <v>65</v>
      </c>
      <c r="J413" s="2">
        <v>79</v>
      </c>
      <c r="K413" s="2">
        <v>25940.79</v>
      </c>
      <c r="L413" s="2">
        <v>482.1</v>
      </c>
      <c r="M413" s="2">
        <v>151.32</v>
      </c>
      <c r="N413" s="2" t="s">
        <v>30</v>
      </c>
      <c r="O413" s="2">
        <v>3</v>
      </c>
    </row>
    <row r="414" spans="1:15" x14ac:dyDescent="0.3">
      <c r="A414" s="2" t="s">
        <v>469</v>
      </c>
      <c r="B414" s="2" t="s">
        <v>62</v>
      </c>
      <c r="C414" s="1">
        <v>46047</v>
      </c>
      <c r="D414" s="2" t="s">
        <v>41</v>
      </c>
      <c r="E414" s="2" t="s">
        <v>45</v>
      </c>
      <c r="F414" s="2" t="s">
        <v>39</v>
      </c>
      <c r="G414" s="2" t="s">
        <v>35</v>
      </c>
      <c r="H414" s="2" t="s">
        <v>56</v>
      </c>
      <c r="I414" s="2">
        <v>56</v>
      </c>
      <c r="J414" s="2">
        <v>3</v>
      </c>
      <c r="K414" s="2">
        <v>34661.089999999997</v>
      </c>
      <c r="L414" s="2">
        <v>347.15</v>
      </c>
      <c r="M414" s="2">
        <v>117.02</v>
      </c>
      <c r="N414" s="2" t="s">
        <v>22</v>
      </c>
      <c r="O414" s="2">
        <v>2</v>
      </c>
    </row>
    <row r="415" spans="1:15" x14ac:dyDescent="0.3">
      <c r="A415" s="2" t="s">
        <v>470</v>
      </c>
      <c r="B415" s="2" t="s">
        <v>60</v>
      </c>
      <c r="C415" s="1">
        <v>46165</v>
      </c>
      <c r="D415" s="2" t="s">
        <v>43</v>
      </c>
      <c r="E415" s="2" t="s">
        <v>38</v>
      </c>
      <c r="F415" s="2" t="s">
        <v>19</v>
      </c>
      <c r="G415" s="2" t="s">
        <v>55</v>
      </c>
      <c r="H415" s="2" t="s">
        <v>29</v>
      </c>
      <c r="I415" s="2">
        <v>42</v>
      </c>
      <c r="J415" s="2">
        <v>62</v>
      </c>
      <c r="K415" s="2">
        <v>41953.75</v>
      </c>
      <c r="L415" s="2">
        <v>285.22000000000003</v>
      </c>
      <c r="M415" s="2">
        <v>153.94</v>
      </c>
      <c r="N415" s="2" t="s">
        <v>22</v>
      </c>
      <c r="O415" s="2">
        <v>1</v>
      </c>
    </row>
    <row r="416" spans="1:15" x14ac:dyDescent="0.3">
      <c r="A416" s="2" t="s">
        <v>471</v>
      </c>
      <c r="B416" s="2" t="s">
        <v>25</v>
      </c>
      <c r="C416" s="1">
        <v>46013</v>
      </c>
      <c r="D416" s="2" t="s">
        <v>74</v>
      </c>
      <c r="E416" s="2" t="s">
        <v>45</v>
      </c>
      <c r="F416" s="2" t="s">
        <v>34</v>
      </c>
      <c r="G416" s="2" t="s">
        <v>64</v>
      </c>
      <c r="H416" s="2" t="s">
        <v>52</v>
      </c>
      <c r="I416" s="2">
        <v>34</v>
      </c>
      <c r="J416" s="2">
        <v>47</v>
      </c>
      <c r="K416" s="2">
        <v>16487.990000000002</v>
      </c>
      <c r="L416" s="2">
        <v>60.62</v>
      </c>
      <c r="M416" s="2">
        <v>99.14</v>
      </c>
      <c r="N416" s="2" t="s">
        <v>30</v>
      </c>
      <c r="O416" s="2">
        <v>3</v>
      </c>
    </row>
    <row r="417" spans="1:15" x14ac:dyDescent="0.3">
      <c r="A417" s="2" t="s">
        <v>472</v>
      </c>
      <c r="B417" s="2" t="s">
        <v>33</v>
      </c>
      <c r="C417" s="1">
        <v>46116</v>
      </c>
      <c r="D417" s="2" t="s">
        <v>90</v>
      </c>
      <c r="E417" s="2" t="s">
        <v>45</v>
      </c>
      <c r="F417" s="2" t="s">
        <v>19</v>
      </c>
      <c r="G417" s="2" t="s">
        <v>64</v>
      </c>
      <c r="H417" s="2" t="s">
        <v>52</v>
      </c>
      <c r="I417" s="2">
        <v>36</v>
      </c>
      <c r="J417" s="2">
        <v>77</v>
      </c>
      <c r="K417" s="2">
        <v>44506.1</v>
      </c>
      <c r="L417" s="2">
        <v>236.18</v>
      </c>
      <c r="M417" s="2">
        <v>66.55</v>
      </c>
      <c r="N417" s="2" t="s">
        <v>30</v>
      </c>
      <c r="O417" s="2">
        <v>3</v>
      </c>
    </row>
    <row r="418" spans="1:15" x14ac:dyDescent="0.3">
      <c r="A418" s="2" t="s">
        <v>473</v>
      </c>
      <c r="B418" s="2" t="s">
        <v>44</v>
      </c>
      <c r="C418" s="1">
        <v>46152</v>
      </c>
      <c r="D418" s="2" t="s">
        <v>41</v>
      </c>
      <c r="E418" s="2" t="s">
        <v>45</v>
      </c>
      <c r="F418" s="2" t="s">
        <v>68</v>
      </c>
      <c r="G418" s="2" t="s">
        <v>55</v>
      </c>
      <c r="H418" s="2" t="s">
        <v>29</v>
      </c>
      <c r="I418" s="2">
        <v>56</v>
      </c>
      <c r="J418" s="2">
        <v>105</v>
      </c>
      <c r="K418" s="2">
        <v>8451.36</v>
      </c>
      <c r="L418" s="2">
        <v>184.66</v>
      </c>
      <c r="M418" s="2">
        <v>21.36</v>
      </c>
      <c r="N418" s="2" t="s">
        <v>30</v>
      </c>
      <c r="O418" s="2">
        <v>5</v>
      </c>
    </row>
    <row r="419" spans="1:15" x14ac:dyDescent="0.3">
      <c r="A419" s="2" t="s">
        <v>474</v>
      </c>
      <c r="B419" s="2" t="s">
        <v>60</v>
      </c>
      <c r="C419" s="1">
        <v>45905</v>
      </c>
      <c r="D419" s="2" t="s">
        <v>90</v>
      </c>
      <c r="E419" s="2" t="s">
        <v>45</v>
      </c>
      <c r="F419" s="2" t="s">
        <v>34</v>
      </c>
      <c r="G419" s="2" t="s">
        <v>55</v>
      </c>
      <c r="H419" s="2" t="s">
        <v>52</v>
      </c>
      <c r="I419" s="2">
        <v>45</v>
      </c>
      <c r="J419" s="2">
        <v>98</v>
      </c>
      <c r="K419" s="2">
        <v>9064.68</v>
      </c>
      <c r="L419" s="2">
        <v>386.65</v>
      </c>
      <c r="M419" s="2">
        <v>17.899999999999999</v>
      </c>
      <c r="N419" s="2" t="s">
        <v>30</v>
      </c>
      <c r="O419" s="2">
        <v>1</v>
      </c>
    </row>
    <row r="420" spans="1:15" x14ac:dyDescent="0.3">
      <c r="A420" s="2" t="s">
        <v>475</v>
      </c>
      <c r="B420" s="2" t="s">
        <v>51</v>
      </c>
      <c r="C420" s="1">
        <v>45907</v>
      </c>
      <c r="D420" s="2" t="s">
        <v>32</v>
      </c>
      <c r="E420" s="2" t="s">
        <v>45</v>
      </c>
      <c r="F420" s="2" t="s">
        <v>27</v>
      </c>
      <c r="G420" s="2" t="s">
        <v>55</v>
      </c>
      <c r="H420" s="2" t="s">
        <v>21</v>
      </c>
      <c r="I420" s="2">
        <v>52</v>
      </c>
      <c r="J420" s="2">
        <v>88</v>
      </c>
      <c r="K420" s="2">
        <v>13705.22</v>
      </c>
      <c r="L420" s="2">
        <v>143.72</v>
      </c>
      <c r="M420" s="2">
        <v>86.76</v>
      </c>
      <c r="N420" s="2" t="s">
        <v>30</v>
      </c>
      <c r="O420" s="2">
        <v>5</v>
      </c>
    </row>
    <row r="421" spans="1:15" x14ac:dyDescent="0.3">
      <c r="A421" s="2" t="s">
        <v>476</v>
      </c>
      <c r="B421" s="2" t="s">
        <v>51</v>
      </c>
      <c r="C421" s="1">
        <v>45958</v>
      </c>
      <c r="D421" s="2" t="s">
        <v>54</v>
      </c>
      <c r="E421" s="2" t="s">
        <v>26</v>
      </c>
      <c r="F421" s="2" t="s">
        <v>39</v>
      </c>
      <c r="G421" s="2" t="s">
        <v>64</v>
      </c>
      <c r="H421" s="2" t="s">
        <v>29</v>
      </c>
      <c r="I421" s="2">
        <v>53</v>
      </c>
      <c r="J421" s="2">
        <v>104</v>
      </c>
      <c r="K421" s="2">
        <v>6416.78</v>
      </c>
      <c r="L421" s="2">
        <v>142.35</v>
      </c>
      <c r="M421" s="2">
        <v>106.74</v>
      </c>
      <c r="N421" s="2" t="s">
        <v>22</v>
      </c>
      <c r="O421" s="2">
        <v>5</v>
      </c>
    </row>
    <row r="422" spans="1:15" x14ac:dyDescent="0.3">
      <c r="A422" s="2" t="s">
        <v>477</v>
      </c>
      <c r="B422" s="2" t="s">
        <v>67</v>
      </c>
      <c r="C422" s="1">
        <v>45894</v>
      </c>
      <c r="D422" s="2" t="s">
        <v>43</v>
      </c>
      <c r="E422" s="2" t="s">
        <v>58</v>
      </c>
      <c r="F422" s="2" t="s">
        <v>34</v>
      </c>
      <c r="G422" s="2" t="s">
        <v>55</v>
      </c>
      <c r="H422" s="2" t="s">
        <v>56</v>
      </c>
      <c r="I422" s="2">
        <v>65</v>
      </c>
      <c r="J422" s="2">
        <v>96</v>
      </c>
      <c r="K422" s="2">
        <v>11900.8</v>
      </c>
      <c r="L422" s="2">
        <v>135.28</v>
      </c>
      <c r="M422" s="2">
        <v>103.23</v>
      </c>
      <c r="N422" s="2" t="s">
        <v>22</v>
      </c>
      <c r="O422" s="2">
        <v>5</v>
      </c>
    </row>
    <row r="423" spans="1:15" x14ac:dyDescent="0.3">
      <c r="A423" s="2" t="s">
        <v>478</v>
      </c>
      <c r="B423" s="2" t="s">
        <v>60</v>
      </c>
      <c r="C423" s="1">
        <v>45957</v>
      </c>
      <c r="D423" s="2" t="s">
        <v>74</v>
      </c>
      <c r="E423" s="2" t="s">
        <v>18</v>
      </c>
      <c r="F423" s="2" t="s">
        <v>34</v>
      </c>
      <c r="G423" s="2" t="s">
        <v>20</v>
      </c>
      <c r="H423" s="2" t="s">
        <v>29</v>
      </c>
      <c r="I423" s="2">
        <v>56</v>
      </c>
      <c r="J423" s="2">
        <v>61</v>
      </c>
      <c r="K423" s="2">
        <v>5767.38</v>
      </c>
      <c r="L423" s="2">
        <v>106.53</v>
      </c>
      <c r="M423" s="2">
        <v>91.46</v>
      </c>
      <c r="N423" s="2" t="s">
        <v>22</v>
      </c>
      <c r="O423" s="2">
        <v>4</v>
      </c>
    </row>
    <row r="424" spans="1:15" x14ac:dyDescent="0.3">
      <c r="A424" s="2" t="s">
        <v>479</v>
      </c>
      <c r="B424" s="2" t="s">
        <v>44</v>
      </c>
      <c r="C424" s="1">
        <v>45999</v>
      </c>
      <c r="D424" s="2" t="s">
        <v>54</v>
      </c>
      <c r="E424" s="2" t="s">
        <v>58</v>
      </c>
      <c r="F424" s="2" t="s">
        <v>68</v>
      </c>
      <c r="G424" s="2" t="s">
        <v>35</v>
      </c>
      <c r="H424" s="2" t="s">
        <v>21</v>
      </c>
      <c r="I424" s="2">
        <v>40</v>
      </c>
      <c r="J424" s="2">
        <v>32</v>
      </c>
      <c r="K424" s="2">
        <v>41176.74</v>
      </c>
      <c r="L424" s="2">
        <v>189.95</v>
      </c>
      <c r="M424" s="2">
        <v>137.58000000000001</v>
      </c>
      <c r="N424" s="2" t="s">
        <v>22</v>
      </c>
      <c r="O424" s="2">
        <v>5</v>
      </c>
    </row>
    <row r="425" spans="1:15" x14ac:dyDescent="0.3">
      <c r="A425" s="2" t="s">
        <v>480</v>
      </c>
      <c r="B425" s="2" t="s">
        <v>78</v>
      </c>
      <c r="C425" s="1">
        <v>45955</v>
      </c>
      <c r="D425" s="2" t="s">
        <v>54</v>
      </c>
      <c r="E425" s="2" t="s">
        <v>45</v>
      </c>
      <c r="F425" s="2" t="s">
        <v>39</v>
      </c>
      <c r="G425" s="2" t="s">
        <v>35</v>
      </c>
      <c r="H425" s="2" t="s">
        <v>21</v>
      </c>
      <c r="I425" s="2">
        <v>38</v>
      </c>
      <c r="J425" s="2">
        <v>94</v>
      </c>
      <c r="K425" s="2">
        <v>7378.97</v>
      </c>
      <c r="L425" s="2">
        <v>448.66</v>
      </c>
      <c r="M425" s="2">
        <v>172.79</v>
      </c>
      <c r="N425" s="2" t="s">
        <v>22</v>
      </c>
      <c r="O425" s="2">
        <v>2</v>
      </c>
    </row>
    <row r="426" spans="1:15" x14ac:dyDescent="0.3">
      <c r="A426" s="2" t="s">
        <v>481</v>
      </c>
      <c r="B426" s="2" t="s">
        <v>82</v>
      </c>
      <c r="C426" s="1">
        <v>46218</v>
      </c>
      <c r="D426" s="2" t="s">
        <v>74</v>
      </c>
      <c r="E426" s="2" t="s">
        <v>26</v>
      </c>
      <c r="F426" s="2" t="s">
        <v>27</v>
      </c>
      <c r="G426" s="2" t="s">
        <v>28</v>
      </c>
      <c r="H426" s="2" t="s">
        <v>21</v>
      </c>
      <c r="I426" s="2">
        <v>58</v>
      </c>
      <c r="J426" s="2">
        <v>116</v>
      </c>
      <c r="K426" s="2">
        <v>37491.230000000003</v>
      </c>
      <c r="L426" s="2">
        <v>398.72</v>
      </c>
      <c r="M426" s="2">
        <v>59.77</v>
      </c>
      <c r="N426" s="2" t="s">
        <v>30</v>
      </c>
      <c r="O426" s="2">
        <v>3</v>
      </c>
    </row>
    <row r="427" spans="1:15" x14ac:dyDescent="0.3">
      <c r="A427" s="2" t="s">
        <v>482</v>
      </c>
      <c r="B427" s="2" t="s">
        <v>37</v>
      </c>
      <c r="C427" s="1">
        <v>46065</v>
      </c>
      <c r="D427" s="2" t="s">
        <v>41</v>
      </c>
      <c r="E427" s="2" t="s">
        <v>38</v>
      </c>
      <c r="F427" s="2" t="s">
        <v>34</v>
      </c>
      <c r="G427" s="2" t="s">
        <v>28</v>
      </c>
      <c r="H427" s="2" t="s">
        <v>21</v>
      </c>
      <c r="I427" s="2">
        <v>23</v>
      </c>
      <c r="J427" s="2">
        <v>113</v>
      </c>
      <c r="K427" s="2">
        <v>2871.74</v>
      </c>
      <c r="L427" s="2">
        <v>380.86</v>
      </c>
      <c r="M427" s="2">
        <v>38.6</v>
      </c>
      <c r="N427" s="2" t="s">
        <v>30</v>
      </c>
      <c r="O427" s="2">
        <v>4</v>
      </c>
    </row>
    <row r="428" spans="1:15" x14ac:dyDescent="0.3">
      <c r="A428" s="2" t="s">
        <v>483</v>
      </c>
      <c r="B428" s="2" t="s">
        <v>67</v>
      </c>
      <c r="C428" s="1">
        <v>45988</v>
      </c>
      <c r="D428" s="2" t="s">
        <v>43</v>
      </c>
      <c r="E428" s="2" t="s">
        <v>26</v>
      </c>
      <c r="F428" s="2" t="s">
        <v>34</v>
      </c>
      <c r="G428" s="2" t="s">
        <v>35</v>
      </c>
      <c r="H428" s="2" t="s">
        <v>21</v>
      </c>
      <c r="I428" s="2">
        <v>43</v>
      </c>
      <c r="J428" s="2">
        <v>13</v>
      </c>
      <c r="K428" s="2">
        <v>47451.76</v>
      </c>
      <c r="L428" s="2">
        <v>408.8</v>
      </c>
      <c r="M428" s="2">
        <v>23.24</v>
      </c>
      <c r="N428" s="2" t="s">
        <v>22</v>
      </c>
      <c r="O428" s="2">
        <v>5</v>
      </c>
    </row>
    <row r="429" spans="1:15" x14ac:dyDescent="0.3">
      <c r="A429" s="2" t="s">
        <v>484</v>
      </c>
      <c r="B429" s="2" t="s">
        <v>51</v>
      </c>
      <c r="C429" s="1">
        <v>45876</v>
      </c>
      <c r="D429" s="2" t="s">
        <v>32</v>
      </c>
      <c r="E429" s="2" t="s">
        <v>45</v>
      </c>
      <c r="F429" s="2" t="s">
        <v>68</v>
      </c>
      <c r="G429" s="2" t="s">
        <v>20</v>
      </c>
      <c r="H429" s="2" t="s">
        <v>56</v>
      </c>
      <c r="I429" s="2">
        <v>52</v>
      </c>
      <c r="J429" s="2">
        <v>1</v>
      </c>
      <c r="K429" s="2">
        <v>35702.42</v>
      </c>
      <c r="L429" s="2">
        <v>171.24</v>
      </c>
      <c r="M429" s="2">
        <v>123.25</v>
      </c>
      <c r="N429" s="2" t="s">
        <v>30</v>
      </c>
      <c r="O429" s="2">
        <v>3</v>
      </c>
    </row>
    <row r="430" spans="1:15" x14ac:dyDescent="0.3">
      <c r="A430" s="2" t="s">
        <v>485</v>
      </c>
      <c r="B430" s="2" t="s">
        <v>62</v>
      </c>
      <c r="C430" s="1">
        <v>46151</v>
      </c>
      <c r="D430" s="2" t="s">
        <v>90</v>
      </c>
      <c r="E430" s="2" t="s">
        <v>26</v>
      </c>
      <c r="F430" s="2" t="s">
        <v>19</v>
      </c>
      <c r="G430" s="2" t="s">
        <v>64</v>
      </c>
      <c r="H430" s="2" t="s">
        <v>52</v>
      </c>
      <c r="I430" s="2">
        <v>65</v>
      </c>
      <c r="J430" s="2">
        <v>34</v>
      </c>
      <c r="K430" s="2">
        <v>836.43</v>
      </c>
      <c r="L430" s="2">
        <v>449.35</v>
      </c>
      <c r="M430" s="2">
        <v>88.77</v>
      </c>
      <c r="N430" s="2" t="s">
        <v>30</v>
      </c>
      <c r="O430" s="2">
        <v>1</v>
      </c>
    </row>
    <row r="431" spans="1:15" x14ac:dyDescent="0.3">
      <c r="A431" s="2" t="s">
        <v>486</v>
      </c>
      <c r="B431" s="2" t="s">
        <v>62</v>
      </c>
      <c r="C431" s="1">
        <v>46133</v>
      </c>
      <c r="D431" s="2" t="s">
        <v>24</v>
      </c>
      <c r="E431" s="2" t="s">
        <v>26</v>
      </c>
      <c r="F431" s="2" t="s">
        <v>27</v>
      </c>
      <c r="G431" s="2" t="s">
        <v>64</v>
      </c>
      <c r="H431" s="2" t="s">
        <v>21</v>
      </c>
      <c r="I431" s="2">
        <v>36</v>
      </c>
      <c r="J431" s="2">
        <v>62</v>
      </c>
      <c r="K431" s="2">
        <v>38310.9</v>
      </c>
      <c r="L431" s="2">
        <v>111.79</v>
      </c>
      <c r="M431" s="2">
        <v>37.6</v>
      </c>
      <c r="N431" s="2" t="s">
        <v>30</v>
      </c>
      <c r="O431" s="2">
        <v>1</v>
      </c>
    </row>
    <row r="432" spans="1:15" x14ac:dyDescent="0.3">
      <c r="A432" s="2" t="s">
        <v>487</v>
      </c>
      <c r="B432" s="2" t="s">
        <v>33</v>
      </c>
      <c r="C432" s="1">
        <v>46056</v>
      </c>
      <c r="D432" s="2" t="s">
        <v>90</v>
      </c>
      <c r="E432" s="2" t="s">
        <v>45</v>
      </c>
      <c r="F432" s="2" t="s">
        <v>39</v>
      </c>
      <c r="G432" s="2" t="s">
        <v>20</v>
      </c>
      <c r="H432" s="2" t="s">
        <v>21</v>
      </c>
      <c r="I432" s="2">
        <v>25</v>
      </c>
      <c r="J432" s="2">
        <v>79</v>
      </c>
      <c r="K432" s="2">
        <v>25947.06</v>
      </c>
      <c r="L432" s="2">
        <v>201.36</v>
      </c>
      <c r="M432" s="2">
        <v>130.63</v>
      </c>
      <c r="N432" s="2" t="s">
        <v>22</v>
      </c>
      <c r="O432" s="2">
        <v>3</v>
      </c>
    </row>
    <row r="433" spans="1:15" x14ac:dyDescent="0.3">
      <c r="A433" s="2" t="s">
        <v>488</v>
      </c>
      <c r="B433" s="2" t="s">
        <v>78</v>
      </c>
      <c r="C433" s="1">
        <v>46081</v>
      </c>
      <c r="D433" s="2" t="s">
        <v>24</v>
      </c>
      <c r="E433" s="2" t="s">
        <v>26</v>
      </c>
      <c r="F433" s="2" t="s">
        <v>34</v>
      </c>
      <c r="G433" s="2" t="s">
        <v>64</v>
      </c>
      <c r="H433" s="2" t="s">
        <v>29</v>
      </c>
      <c r="I433" s="2">
        <v>24</v>
      </c>
      <c r="J433" s="2">
        <v>108</v>
      </c>
      <c r="K433" s="2">
        <v>39078.58</v>
      </c>
      <c r="L433" s="2">
        <v>314.04000000000002</v>
      </c>
      <c r="M433" s="2">
        <v>44.55</v>
      </c>
      <c r="N433" s="2" t="s">
        <v>30</v>
      </c>
      <c r="O433" s="2">
        <v>2</v>
      </c>
    </row>
    <row r="434" spans="1:15" x14ac:dyDescent="0.3">
      <c r="A434" s="2" t="s">
        <v>489</v>
      </c>
      <c r="B434" s="2" t="s">
        <v>17</v>
      </c>
      <c r="C434" s="1">
        <v>46116</v>
      </c>
      <c r="D434" s="2" t="s">
        <v>90</v>
      </c>
      <c r="E434" s="2" t="s">
        <v>18</v>
      </c>
      <c r="F434" s="2" t="s">
        <v>34</v>
      </c>
      <c r="G434" s="2" t="s">
        <v>55</v>
      </c>
      <c r="H434" s="2" t="s">
        <v>56</v>
      </c>
      <c r="I434" s="2">
        <v>41</v>
      </c>
      <c r="J434" s="2">
        <v>78</v>
      </c>
      <c r="K434" s="2">
        <v>26363.59</v>
      </c>
      <c r="L434" s="2">
        <v>96.31</v>
      </c>
      <c r="M434" s="2">
        <v>110.86</v>
      </c>
      <c r="N434" s="2" t="s">
        <v>22</v>
      </c>
      <c r="O434" s="2">
        <v>3</v>
      </c>
    </row>
    <row r="435" spans="1:15" x14ac:dyDescent="0.3">
      <c r="A435" s="2" t="s">
        <v>490</v>
      </c>
      <c r="B435" s="2" t="s">
        <v>51</v>
      </c>
      <c r="C435" s="1">
        <v>45884</v>
      </c>
      <c r="D435" s="2" t="s">
        <v>74</v>
      </c>
      <c r="E435" s="2" t="s">
        <v>18</v>
      </c>
      <c r="F435" s="2" t="s">
        <v>27</v>
      </c>
      <c r="G435" s="2" t="s">
        <v>35</v>
      </c>
      <c r="H435" s="2" t="s">
        <v>56</v>
      </c>
      <c r="I435" s="2">
        <v>60</v>
      </c>
      <c r="J435" s="2">
        <v>93</v>
      </c>
      <c r="K435" s="2">
        <v>32230.73</v>
      </c>
      <c r="L435" s="2">
        <v>378.56</v>
      </c>
      <c r="M435" s="2">
        <v>105.43</v>
      </c>
      <c r="N435" s="2" t="s">
        <v>30</v>
      </c>
      <c r="O435" s="2">
        <v>3</v>
      </c>
    </row>
    <row r="436" spans="1:15" x14ac:dyDescent="0.3">
      <c r="A436" s="2" t="s">
        <v>491</v>
      </c>
      <c r="B436" s="2" t="s">
        <v>49</v>
      </c>
      <c r="C436" s="1">
        <v>46109</v>
      </c>
      <c r="D436" s="2" t="s">
        <v>32</v>
      </c>
      <c r="E436" s="2" t="s">
        <v>26</v>
      </c>
      <c r="F436" s="2" t="s">
        <v>19</v>
      </c>
      <c r="G436" s="2" t="s">
        <v>35</v>
      </c>
      <c r="H436" s="2" t="s">
        <v>52</v>
      </c>
      <c r="I436" s="2">
        <v>71</v>
      </c>
      <c r="J436" s="2">
        <v>98</v>
      </c>
      <c r="K436" s="2">
        <v>39423.42</v>
      </c>
      <c r="L436" s="2">
        <v>224.26</v>
      </c>
      <c r="M436" s="2">
        <v>146.85</v>
      </c>
      <c r="N436" s="2" t="s">
        <v>22</v>
      </c>
      <c r="O436" s="2">
        <v>4</v>
      </c>
    </row>
    <row r="437" spans="1:15" x14ac:dyDescent="0.3">
      <c r="A437" s="2" t="s">
        <v>492</v>
      </c>
      <c r="B437" s="2" t="s">
        <v>78</v>
      </c>
      <c r="C437" s="1">
        <v>46128</v>
      </c>
      <c r="D437" s="2" t="s">
        <v>43</v>
      </c>
      <c r="E437" s="2" t="s">
        <v>38</v>
      </c>
      <c r="F437" s="2" t="s">
        <v>34</v>
      </c>
      <c r="G437" s="2" t="s">
        <v>20</v>
      </c>
      <c r="H437" s="2" t="s">
        <v>56</v>
      </c>
      <c r="I437" s="2">
        <v>34</v>
      </c>
      <c r="J437" s="2">
        <v>82</v>
      </c>
      <c r="K437" s="2">
        <v>20552.849999999999</v>
      </c>
      <c r="L437" s="2">
        <v>402.98</v>
      </c>
      <c r="M437" s="2">
        <v>11.02</v>
      </c>
      <c r="N437" s="2" t="s">
        <v>30</v>
      </c>
      <c r="O437" s="2">
        <v>1</v>
      </c>
    </row>
    <row r="438" spans="1:15" x14ac:dyDescent="0.3">
      <c r="A438" s="2" t="s">
        <v>493</v>
      </c>
      <c r="B438" s="2" t="s">
        <v>82</v>
      </c>
      <c r="C438" s="1">
        <v>46052</v>
      </c>
      <c r="D438" s="2" t="s">
        <v>24</v>
      </c>
      <c r="E438" s="2" t="s">
        <v>45</v>
      </c>
      <c r="F438" s="2" t="s">
        <v>27</v>
      </c>
      <c r="G438" s="2" t="s">
        <v>64</v>
      </c>
      <c r="H438" s="2" t="s">
        <v>29</v>
      </c>
      <c r="I438" s="2">
        <v>59</v>
      </c>
      <c r="J438" s="2">
        <v>118</v>
      </c>
      <c r="K438" s="2">
        <v>634.04999999999995</v>
      </c>
      <c r="L438" s="2">
        <v>271.8</v>
      </c>
      <c r="M438" s="2">
        <v>266.36</v>
      </c>
      <c r="N438" s="2" t="s">
        <v>22</v>
      </c>
      <c r="O438" s="2">
        <v>1</v>
      </c>
    </row>
    <row r="439" spans="1:15" x14ac:dyDescent="0.3">
      <c r="A439" s="2" t="s">
        <v>494</v>
      </c>
      <c r="B439" s="2" t="s">
        <v>37</v>
      </c>
      <c r="C439" s="1">
        <v>46224</v>
      </c>
      <c r="D439" s="2" t="s">
        <v>43</v>
      </c>
      <c r="E439" s="2" t="s">
        <v>18</v>
      </c>
      <c r="F439" s="2" t="s">
        <v>68</v>
      </c>
      <c r="G439" s="2" t="s">
        <v>28</v>
      </c>
      <c r="H439" s="2" t="s">
        <v>29</v>
      </c>
      <c r="I439" s="2">
        <v>51</v>
      </c>
      <c r="J439" s="2">
        <v>71</v>
      </c>
      <c r="K439" s="2">
        <v>42572.35</v>
      </c>
      <c r="L439" s="2">
        <v>131.38999999999999</v>
      </c>
      <c r="M439" s="2">
        <v>210.9</v>
      </c>
      <c r="N439" s="2" t="s">
        <v>30</v>
      </c>
      <c r="O439" s="2">
        <v>5</v>
      </c>
    </row>
    <row r="440" spans="1:15" x14ac:dyDescent="0.3">
      <c r="A440" s="2" t="s">
        <v>495</v>
      </c>
      <c r="B440" s="2" t="s">
        <v>44</v>
      </c>
      <c r="C440" s="1">
        <v>46008</v>
      </c>
      <c r="D440" s="2" t="s">
        <v>43</v>
      </c>
      <c r="E440" s="2" t="s">
        <v>38</v>
      </c>
      <c r="F440" s="2" t="s">
        <v>19</v>
      </c>
      <c r="G440" s="2" t="s">
        <v>28</v>
      </c>
      <c r="H440" s="2" t="s">
        <v>52</v>
      </c>
      <c r="I440" s="2">
        <v>34</v>
      </c>
      <c r="J440" s="2">
        <v>93</v>
      </c>
      <c r="K440" s="2">
        <v>19354.07</v>
      </c>
      <c r="L440" s="2">
        <v>380.64</v>
      </c>
      <c r="M440" s="2">
        <v>43.23</v>
      </c>
      <c r="N440" s="2" t="s">
        <v>22</v>
      </c>
      <c r="O440" s="2">
        <v>3</v>
      </c>
    </row>
    <row r="441" spans="1:15" x14ac:dyDescent="0.3">
      <c r="A441" s="2" t="s">
        <v>496</v>
      </c>
      <c r="B441" s="2" t="s">
        <v>60</v>
      </c>
      <c r="C441" s="1">
        <v>46091</v>
      </c>
      <c r="D441" s="2" t="s">
        <v>43</v>
      </c>
      <c r="E441" s="2" t="s">
        <v>26</v>
      </c>
      <c r="F441" s="2" t="s">
        <v>39</v>
      </c>
      <c r="G441" s="2" t="s">
        <v>64</v>
      </c>
      <c r="H441" s="2" t="s">
        <v>29</v>
      </c>
      <c r="I441" s="2">
        <v>26</v>
      </c>
      <c r="J441" s="2">
        <v>119</v>
      </c>
      <c r="K441" s="2">
        <v>25054.11</v>
      </c>
      <c r="L441" s="2">
        <v>163.46</v>
      </c>
      <c r="M441" s="2">
        <v>55.02</v>
      </c>
      <c r="N441" s="2" t="s">
        <v>30</v>
      </c>
      <c r="O441" s="2">
        <v>3</v>
      </c>
    </row>
    <row r="442" spans="1:15" x14ac:dyDescent="0.3">
      <c r="A442" s="2" t="s">
        <v>497</v>
      </c>
      <c r="B442" s="2" t="s">
        <v>51</v>
      </c>
      <c r="C442" s="1">
        <v>46144</v>
      </c>
      <c r="D442" s="2" t="s">
        <v>16</v>
      </c>
      <c r="E442" s="2" t="s">
        <v>38</v>
      </c>
      <c r="F442" s="2" t="s">
        <v>34</v>
      </c>
      <c r="G442" s="2" t="s">
        <v>28</v>
      </c>
      <c r="H442" s="2" t="s">
        <v>21</v>
      </c>
      <c r="I442" s="2">
        <v>32</v>
      </c>
      <c r="J442" s="2">
        <v>31</v>
      </c>
      <c r="K442" s="2">
        <v>884.45</v>
      </c>
      <c r="L442" s="2">
        <v>270.86</v>
      </c>
      <c r="M442" s="2">
        <v>86.33</v>
      </c>
      <c r="N442" s="2" t="s">
        <v>30</v>
      </c>
      <c r="O442" s="2">
        <v>2</v>
      </c>
    </row>
    <row r="443" spans="1:15" x14ac:dyDescent="0.3">
      <c r="A443" s="2" t="s">
        <v>498</v>
      </c>
      <c r="B443" s="2" t="s">
        <v>60</v>
      </c>
      <c r="C443" s="1">
        <v>46056</v>
      </c>
      <c r="D443" s="2" t="s">
        <v>41</v>
      </c>
      <c r="E443" s="2" t="s">
        <v>58</v>
      </c>
      <c r="F443" s="2" t="s">
        <v>27</v>
      </c>
      <c r="G443" s="2" t="s">
        <v>20</v>
      </c>
      <c r="H443" s="2" t="s">
        <v>21</v>
      </c>
      <c r="I443" s="2">
        <v>36</v>
      </c>
      <c r="J443" s="2">
        <v>64</v>
      </c>
      <c r="K443" s="2">
        <v>24858.55</v>
      </c>
      <c r="L443" s="2">
        <v>83.99</v>
      </c>
      <c r="M443" s="2">
        <v>163.51</v>
      </c>
      <c r="N443" s="2" t="s">
        <v>30</v>
      </c>
      <c r="O443" s="2">
        <v>1</v>
      </c>
    </row>
    <row r="444" spans="1:15" x14ac:dyDescent="0.3">
      <c r="A444" s="2" t="s">
        <v>499</v>
      </c>
      <c r="B444" s="2" t="s">
        <v>62</v>
      </c>
      <c r="C444" s="1">
        <v>45944</v>
      </c>
      <c r="D444" s="2" t="s">
        <v>90</v>
      </c>
      <c r="E444" s="2" t="s">
        <v>18</v>
      </c>
      <c r="F444" s="2" t="s">
        <v>68</v>
      </c>
      <c r="G444" s="2" t="s">
        <v>20</v>
      </c>
      <c r="H444" s="2" t="s">
        <v>29</v>
      </c>
      <c r="I444" s="2">
        <v>37</v>
      </c>
      <c r="J444" s="2">
        <v>25</v>
      </c>
      <c r="K444" s="2">
        <v>49331.13</v>
      </c>
      <c r="L444" s="2">
        <v>328.04</v>
      </c>
      <c r="M444" s="2">
        <v>252.88</v>
      </c>
      <c r="N444" s="2" t="s">
        <v>30</v>
      </c>
      <c r="O444" s="2">
        <v>2</v>
      </c>
    </row>
    <row r="445" spans="1:15" x14ac:dyDescent="0.3">
      <c r="A445" s="2" t="s">
        <v>500</v>
      </c>
      <c r="B445" s="2" t="s">
        <v>44</v>
      </c>
      <c r="C445" s="1">
        <v>46231</v>
      </c>
      <c r="D445" s="2" t="s">
        <v>43</v>
      </c>
      <c r="E445" s="2" t="s">
        <v>26</v>
      </c>
      <c r="F445" s="2" t="s">
        <v>39</v>
      </c>
      <c r="G445" s="2" t="s">
        <v>64</v>
      </c>
      <c r="H445" s="2" t="s">
        <v>52</v>
      </c>
      <c r="I445" s="2">
        <v>65</v>
      </c>
      <c r="J445" s="2">
        <v>38</v>
      </c>
      <c r="K445" s="2">
        <v>14274.25</v>
      </c>
      <c r="L445" s="2">
        <v>349.64</v>
      </c>
      <c r="M445" s="2">
        <v>104.09</v>
      </c>
      <c r="N445" s="2" t="s">
        <v>30</v>
      </c>
      <c r="O445" s="2">
        <v>4</v>
      </c>
    </row>
    <row r="446" spans="1:15" x14ac:dyDescent="0.3">
      <c r="A446" s="2" t="s">
        <v>501</v>
      </c>
      <c r="B446" s="2" t="s">
        <v>44</v>
      </c>
      <c r="C446" s="1">
        <v>46079</v>
      </c>
      <c r="D446" s="2" t="s">
        <v>90</v>
      </c>
      <c r="E446" s="2" t="s">
        <v>45</v>
      </c>
      <c r="F446" s="2" t="s">
        <v>27</v>
      </c>
      <c r="G446" s="2" t="s">
        <v>28</v>
      </c>
      <c r="H446" s="2" t="s">
        <v>56</v>
      </c>
      <c r="I446" s="2">
        <v>43</v>
      </c>
      <c r="J446" s="2">
        <v>14</v>
      </c>
      <c r="K446" s="2">
        <v>20073.2</v>
      </c>
      <c r="L446" s="2">
        <v>220.4</v>
      </c>
      <c r="M446" s="2">
        <v>172.16</v>
      </c>
      <c r="N446" s="2" t="s">
        <v>30</v>
      </c>
      <c r="O446" s="2">
        <v>5</v>
      </c>
    </row>
    <row r="447" spans="1:15" x14ac:dyDescent="0.3">
      <c r="A447" s="2" t="s">
        <v>502</v>
      </c>
      <c r="B447" s="2" t="s">
        <v>44</v>
      </c>
      <c r="C447" s="1">
        <v>45944</v>
      </c>
      <c r="D447" s="2" t="s">
        <v>43</v>
      </c>
      <c r="E447" s="2" t="s">
        <v>26</v>
      </c>
      <c r="F447" s="2" t="s">
        <v>27</v>
      </c>
      <c r="G447" s="2" t="s">
        <v>20</v>
      </c>
      <c r="H447" s="2" t="s">
        <v>52</v>
      </c>
      <c r="I447" s="2">
        <v>34</v>
      </c>
      <c r="J447" s="2">
        <v>8</v>
      </c>
      <c r="K447" s="2">
        <v>34515.9</v>
      </c>
      <c r="L447" s="2">
        <v>479.49</v>
      </c>
      <c r="M447" s="2">
        <v>1.0900000000000001</v>
      </c>
      <c r="N447" s="2" t="s">
        <v>22</v>
      </c>
      <c r="O447" s="2">
        <v>2</v>
      </c>
    </row>
    <row r="448" spans="1:15" x14ac:dyDescent="0.3">
      <c r="A448" s="2" t="s">
        <v>503</v>
      </c>
      <c r="B448" s="2" t="s">
        <v>62</v>
      </c>
      <c r="C448" s="1">
        <v>46016</v>
      </c>
      <c r="D448" s="2" t="s">
        <v>24</v>
      </c>
      <c r="E448" s="2" t="s">
        <v>45</v>
      </c>
      <c r="F448" s="2" t="s">
        <v>39</v>
      </c>
      <c r="G448" s="2" t="s">
        <v>20</v>
      </c>
      <c r="H448" s="2" t="s">
        <v>56</v>
      </c>
      <c r="I448" s="2">
        <v>27</v>
      </c>
      <c r="J448" s="2">
        <v>91</v>
      </c>
      <c r="K448" s="2">
        <v>40832.29</v>
      </c>
      <c r="L448" s="2">
        <v>443.38</v>
      </c>
      <c r="M448" s="2">
        <v>7.03</v>
      </c>
      <c r="N448" s="2" t="s">
        <v>22</v>
      </c>
      <c r="O448" s="2">
        <v>1</v>
      </c>
    </row>
    <row r="449" spans="1:15" x14ac:dyDescent="0.3">
      <c r="A449" s="2" t="s">
        <v>504</v>
      </c>
      <c r="B449" s="2" t="s">
        <v>82</v>
      </c>
      <c r="C449" s="1">
        <v>46126</v>
      </c>
      <c r="D449" s="2" t="s">
        <v>41</v>
      </c>
      <c r="E449" s="2" t="s">
        <v>26</v>
      </c>
      <c r="F449" s="2" t="s">
        <v>68</v>
      </c>
      <c r="G449" s="2" t="s">
        <v>55</v>
      </c>
      <c r="H449" s="2" t="s">
        <v>29</v>
      </c>
      <c r="I449" s="2">
        <v>66</v>
      </c>
      <c r="J449" s="2">
        <v>54</v>
      </c>
      <c r="K449" s="2">
        <v>21160.89</v>
      </c>
      <c r="L449" s="2">
        <v>368.57</v>
      </c>
      <c r="M449" s="2">
        <v>273.54000000000002</v>
      </c>
      <c r="N449" s="2" t="s">
        <v>30</v>
      </c>
      <c r="O449" s="2">
        <v>4</v>
      </c>
    </row>
    <row r="450" spans="1:15" x14ac:dyDescent="0.3">
      <c r="A450" s="2" t="s">
        <v>505</v>
      </c>
      <c r="B450" s="2" t="s">
        <v>60</v>
      </c>
      <c r="C450" s="1">
        <v>46232</v>
      </c>
      <c r="D450" s="2" t="s">
        <v>41</v>
      </c>
      <c r="E450" s="2" t="s">
        <v>38</v>
      </c>
      <c r="F450" s="2" t="s">
        <v>68</v>
      </c>
      <c r="G450" s="2" t="s">
        <v>55</v>
      </c>
      <c r="H450" s="2" t="s">
        <v>29</v>
      </c>
      <c r="I450" s="2">
        <v>52</v>
      </c>
      <c r="J450" s="2">
        <v>2</v>
      </c>
      <c r="K450" s="2">
        <v>15828.61</v>
      </c>
      <c r="L450" s="2">
        <v>371.14</v>
      </c>
      <c r="M450" s="2">
        <v>232.6</v>
      </c>
      <c r="N450" s="2" t="s">
        <v>22</v>
      </c>
      <c r="O450" s="2">
        <v>3</v>
      </c>
    </row>
    <row r="451" spans="1:15" x14ac:dyDescent="0.3">
      <c r="A451" s="2" t="s">
        <v>506</v>
      </c>
      <c r="B451" s="2" t="s">
        <v>76</v>
      </c>
      <c r="C451" s="1">
        <v>46225</v>
      </c>
      <c r="D451" s="2" t="s">
        <v>74</v>
      </c>
      <c r="E451" s="2" t="s">
        <v>38</v>
      </c>
      <c r="F451" s="2" t="s">
        <v>19</v>
      </c>
      <c r="G451" s="2" t="s">
        <v>20</v>
      </c>
      <c r="H451" s="2" t="s">
        <v>21</v>
      </c>
      <c r="I451" s="2">
        <v>35</v>
      </c>
      <c r="J451" s="2">
        <v>81</v>
      </c>
      <c r="K451" s="2">
        <v>46922.38</v>
      </c>
      <c r="L451" s="2">
        <v>163.58000000000001</v>
      </c>
      <c r="M451" s="2">
        <v>90.14</v>
      </c>
      <c r="N451" s="2" t="s">
        <v>30</v>
      </c>
      <c r="O451" s="2">
        <v>4</v>
      </c>
    </row>
    <row r="452" spans="1:15" x14ac:dyDescent="0.3">
      <c r="A452" s="2" t="s">
        <v>507</v>
      </c>
      <c r="B452" s="2" t="s">
        <v>60</v>
      </c>
      <c r="C452" s="1">
        <v>46208</v>
      </c>
      <c r="D452" s="2" t="s">
        <v>16</v>
      </c>
      <c r="E452" s="2" t="s">
        <v>38</v>
      </c>
      <c r="F452" s="2" t="s">
        <v>34</v>
      </c>
      <c r="G452" s="2" t="s">
        <v>64</v>
      </c>
      <c r="H452" s="2" t="s">
        <v>56</v>
      </c>
      <c r="I452" s="2">
        <v>64</v>
      </c>
      <c r="J452" s="2">
        <v>101</v>
      </c>
      <c r="K452" s="2">
        <v>34018.68</v>
      </c>
      <c r="L452" s="2">
        <v>345.57</v>
      </c>
      <c r="M452" s="2">
        <v>150.72</v>
      </c>
      <c r="N452" s="2" t="s">
        <v>30</v>
      </c>
      <c r="O452" s="2">
        <v>2</v>
      </c>
    </row>
    <row r="453" spans="1:15" x14ac:dyDescent="0.3">
      <c r="A453" s="2" t="s">
        <v>508</v>
      </c>
      <c r="B453" s="2" t="s">
        <v>47</v>
      </c>
      <c r="C453" s="1">
        <v>45983</v>
      </c>
      <c r="D453" s="2" t="s">
        <v>74</v>
      </c>
      <c r="E453" s="2" t="s">
        <v>58</v>
      </c>
      <c r="F453" s="2" t="s">
        <v>39</v>
      </c>
      <c r="G453" s="2" t="s">
        <v>35</v>
      </c>
      <c r="H453" s="2" t="s">
        <v>52</v>
      </c>
      <c r="I453" s="2">
        <v>37</v>
      </c>
      <c r="J453" s="2">
        <v>78</v>
      </c>
      <c r="K453" s="2">
        <v>6391.55</v>
      </c>
      <c r="L453" s="2">
        <v>139.19</v>
      </c>
      <c r="M453" s="2">
        <v>191.13</v>
      </c>
      <c r="N453" s="2" t="s">
        <v>30</v>
      </c>
      <c r="O453" s="2">
        <v>1</v>
      </c>
    </row>
    <row r="454" spans="1:15" x14ac:dyDescent="0.3">
      <c r="A454" s="2" t="s">
        <v>509</v>
      </c>
      <c r="B454" s="2" t="s">
        <v>37</v>
      </c>
      <c r="C454" s="1">
        <v>46024</v>
      </c>
      <c r="D454" s="2" t="s">
        <v>74</v>
      </c>
      <c r="E454" s="2" t="s">
        <v>45</v>
      </c>
      <c r="F454" s="2" t="s">
        <v>39</v>
      </c>
      <c r="G454" s="2" t="s">
        <v>35</v>
      </c>
      <c r="H454" s="2" t="s">
        <v>29</v>
      </c>
      <c r="I454" s="2">
        <v>61</v>
      </c>
      <c r="J454" s="2">
        <v>89</v>
      </c>
      <c r="K454" s="2">
        <v>3911.93</v>
      </c>
      <c r="L454" s="2">
        <v>114.8</v>
      </c>
      <c r="M454" s="2">
        <v>231.63</v>
      </c>
      <c r="N454" s="2" t="s">
        <v>30</v>
      </c>
      <c r="O454" s="2">
        <v>2</v>
      </c>
    </row>
    <row r="455" spans="1:15" x14ac:dyDescent="0.3">
      <c r="A455" s="2" t="s">
        <v>510</v>
      </c>
      <c r="B455" s="2" t="s">
        <v>49</v>
      </c>
      <c r="C455" s="1">
        <v>46216</v>
      </c>
      <c r="D455" s="2" t="s">
        <v>74</v>
      </c>
      <c r="E455" s="2" t="s">
        <v>38</v>
      </c>
      <c r="F455" s="2" t="s">
        <v>39</v>
      </c>
      <c r="G455" s="2" t="s">
        <v>20</v>
      </c>
      <c r="H455" s="2" t="s">
        <v>52</v>
      </c>
      <c r="I455" s="2">
        <v>74</v>
      </c>
      <c r="J455" s="2">
        <v>56</v>
      </c>
      <c r="K455" s="2">
        <v>24435.72</v>
      </c>
      <c r="L455" s="2">
        <v>499.76</v>
      </c>
      <c r="M455" s="2">
        <v>168.47</v>
      </c>
      <c r="N455" s="2" t="s">
        <v>30</v>
      </c>
      <c r="O455" s="2">
        <v>3</v>
      </c>
    </row>
    <row r="456" spans="1:15" x14ac:dyDescent="0.3">
      <c r="A456" s="2" t="s">
        <v>511</v>
      </c>
      <c r="B456" s="2" t="s">
        <v>76</v>
      </c>
      <c r="C456" s="1">
        <v>45983</v>
      </c>
      <c r="D456" s="2" t="s">
        <v>74</v>
      </c>
      <c r="E456" s="2" t="s">
        <v>58</v>
      </c>
      <c r="F456" s="2" t="s">
        <v>68</v>
      </c>
      <c r="G456" s="2" t="s">
        <v>20</v>
      </c>
      <c r="H456" s="2" t="s">
        <v>21</v>
      </c>
      <c r="I456" s="2">
        <v>67</v>
      </c>
      <c r="J456" s="2">
        <v>94</v>
      </c>
      <c r="K456" s="2">
        <v>11394.46</v>
      </c>
      <c r="L456" s="2">
        <v>330.07</v>
      </c>
      <c r="M456" s="2">
        <v>152.12</v>
      </c>
      <c r="N456" s="2" t="s">
        <v>22</v>
      </c>
      <c r="O456" s="2">
        <v>3</v>
      </c>
    </row>
    <row r="457" spans="1:15" x14ac:dyDescent="0.3">
      <c r="A457" s="2" t="s">
        <v>512</v>
      </c>
      <c r="B457" s="2" t="s">
        <v>37</v>
      </c>
      <c r="C457" s="1">
        <v>46111</v>
      </c>
      <c r="D457" s="2" t="s">
        <v>74</v>
      </c>
      <c r="E457" s="2" t="s">
        <v>45</v>
      </c>
      <c r="F457" s="2" t="s">
        <v>34</v>
      </c>
      <c r="G457" s="2" t="s">
        <v>20</v>
      </c>
      <c r="H457" s="2" t="s">
        <v>56</v>
      </c>
      <c r="I457" s="2">
        <v>64</v>
      </c>
      <c r="J457" s="2">
        <v>93</v>
      </c>
      <c r="K457" s="2">
        <v>13072.25</v>
      </c>
      <c r="L457" s="2">
        <v>243.94</v>
      </c>
      <c r="M457" s="2">
        <v>33.64</v>
      </c>
      <c r="N457" s="2" t="s">
        <v>30</v>
      </c>
      <c r="O457" s="2">
        <v>1</v>
      </c>
    </row>
    <row r="458" spans="1:15" x14ac:dyDescent="0.3">
      <c r="A458" s="2" t="s">
        <v>513</v>
      </c>
      <c r="B458" s="2" t="s">
        <v>67</v>
      </c>
      <c r="C458" s="1">
        <v>46003</v>
      </c>
      <c r="D458" s="2" t="s">
        <v>32</v>
      </c>
      <c r="E458" s="2" t="s">
        <v>26</v>
      </c>
      <c r="F458" s="2" t="s">
        <v>19</v>
      </c>
      <c r="G458" s="2" t="s">
        <v>64</v>
      </c>
      <c r="H458" s="2" t="s">
        <v>56</v>
      </c>
      <c r="I458" s="2">
        <v>54</v>
      </c>
      <c r="J458" s="2">
        <v>84</v>
      </c>
      <c r="K458" s="2">
        <v>43945.760000000002</v>
      </c>
      <c r="L458" s="2">
        <v>179.67</v>
      </c>
      <c r="M458" s="2">
        <v>166.71</v>
      </c>
      <c r="N458" s="2" t="s">
        <v>30</v>
      </c>
      <c r="O458" s="2">
        <v>5</v>
      </c>
    </row>
    <row r="459" spans="1:15" x14ac:dyDescent="0.3">
      <c r="A459" s="2" t="s">
        <v>514</v>
      </c>
      <c r="B459" s="2" t="s">
        <v>78</v>
      </c>
      <c r="C459" s="1">
        <v>46169</v>
      </c>
      <c r="D459" s="2" t="s">
        <v>41</v>
      </c>
      <c r="E459" s="2" t="s">
        <v>58</v>
      </c>
      <c r="F459" s="2" t="s">
        <v>27</v>
      </c>
      <c r="G459" s="2" t="s">
        <v>55</v>
      </c>
      <c r="H459" s="2" t="s">
        <v>29</v>
      </c>
      <c r="I459" s="2">
        <v>25</v>
      </c>
      <c r="J459" s="2">
        <v>85</v>
      </c>
      <c r="K459" s="2">
        <v>4933.5200000000004</v>
      </c>
      <c r="L459" s="2">
        <v>321.76</v>
      </c>
      <c r="M459" s="2">
        <v>58.53</v>
      </c>
      <c r="N459" s="2" t="s">
        <v>30</v>
      </c>
      <c r="O459" s="2">
        <v>4</v>
      </c>
    </row>
    <row r="460" spans="1:15" x14ac:dyDescent="0.3">
      <c r="A460" s="2" t="s">
        <v>515</v>
      </c>
      <c r="B460" s="2" t="s">
        <v>78</v>
      </c>
      <c r="C460" s="1">
        <v>45957</v>
      </c>
      <c r="D460" s="2" t="s">
        <v>74</v>
      </c>
      <c r="E460" s="2" t="s">
        <v>18</v>
      </c>
      <c r="F460" s="2" t="s">
        <v>27</v>
      </c>
      <c r="G460" s="2" t="s">
        <v>20</v>
      </c>
      <c r="H460" s="2" t="s">
        <v>56</v>
      </c>
      <c r="I460" s="2">
        <v>65</v>
      </c>
      <c r="J460" s="2">
        <v>61</v>
      </c>
      <c r="K460" s="2">
        <v>35910.519999999997</v>
      </c>
      <c r="L460" s="2">
        <v>72.319999999999993</v>
      </c>
      <c r="M460" s="2">
        <v>178.52</v>
      </c>
      <c r="N460" s="2" t="s">
        <v>22</v>
      </c>
      <c r="O460" s="2">
        <v>4</v>
      </c>
    </row>
    <row r="461" spans="1:15" x14ac:dyDescent="0.3">
      <c r="A461" s="2" t="s">
        <v>516</v>
      </c>
      <c r="B461" s="2" t="s">
        <v>86</v>
      </c>
      <c r="C461" s="1">
        <v>45933</v>
      </c>
      <c r="D461" s="2" t="s">
        <v>43</v>
      </c>
      <c r="E461" s="2" t="s">
        <v>58</v>
      </c>
      <c r="F461" s="2" t="s">
        <v>39</v>
      </c>
      <c r="G461" s="2" t="s">
        <v>20</v>
      </c>
      <c r="H461" s="2" t="s">
        <v>29</v>
      </c>
      <c r="I461" s="2">
        <v>47</v>
      </c>
      <c r="J461" s="2">
        <v>117</v>
      </c>
      <c r="K461" s="2">
        <v>13921.54</v>
      </c>
      <c r="L461" s="2">
        <v>92.61</v>
      </c>
      <c r="M461" s="2">
        <v>137.6</v>
      </c>
      <c r="N461" s="2" t="s">
        <v>30</v>
      </c>
      <c r="O461" s="2">
        <v>3</v>
      </c>
    </row>
    <row r="462" spans="1:15" x14ac:dyDescent="0.3">
      <c r="A462" s="2" t="s">
        <v>517</v>
      </c>
      <c r="B462" s="2" t="s">
        <v>78</v>
      </c>
      <c r="C462" s="1">
        <v>46080</v>
      </c>
      <c r="D462" s="2" t="s">
        <v>41</v>
      </c>
      <c r="E462" s="2" t="s">
        <v>58</v>
      </c>
      <c r="F462" s="2" t="s">
        <v>34</v>
      </c>
      <c r="G462" s="2" t="s">
        <v>28</v>
      </c>
      <c r="H462" s="2" t="s">
        <v>21</v>
      </c>
      <c r="I462" s="2">
        <v>72</v>
      </c>
      <c r="J462" s="2">
        <v>22</v>
      </c>
      <c r="K462" s="2">
        <v>38136.25</v>
      </c>
      <c r="L462" s="2">
        <v>64.790000000000006</v>
      </c>
      <c r="M462" s="2">
        <v>135.4</v>
      </c>
      <c r="N462" s="2" t="s">
        <v>22</v>
      </c>
      <c r="O462" s="2">
        <v>2</v>
      </c>
    </row>
    <row r="463" spans="1:15" x14ac:dyDescent="0.3">
      <c r="A463" s="2" t="s">
        <v>518</v>
      </c>
      <c r="B463" s="2" t="s">
        <v>60</v>
      </c>
      <c r="C463" s="1">
        <v>46086</v>
      </c>
      <c r="D463" s="2" t="s">
        <v>41</v>
      </c>
      <c r="E463" s="2" t="s">
        <v>45</v>
      </c>
      <c r="F463" s="2" t="s">
        <v>68</v>
      </c>
      <c r="G463" s="2" t="s">
        <v>64</v>
      </c>
      <c r="H463" s="2" t="s">
        <v>56</v>
      </c>
      <c r="I463" s="2">
        <v>43</v>
      </c>
      <c r="J463" s="2">
        <v>35</v>
      </c>
      <c r="K463" s="2">
        <v>36259.360000000001</v>
      </c>
      <c r="L463" s="2">
        <v>274.63</v>
      </c>
      <c r="M463" s="2">
        <v>99.45</v>
      </c>
      <c r="N463" s="2" t="s">
        <v>22</v>
      </c>
      <c r="O463" s="2">
        <v>2</v>
      </c>
    </row>
    <row r="464" spans="1:15" x14ac:dyDescent="0.3">
      <c r="A464" s="2" t="s">
        <v>519</v>
      </c>
      <c r="B464" s="2" t="s">
        <v>62</v>
      </c>
      <c r="C464" s="1">
        <v>45918</v>
      </c>
      <c r="D464" s="2" t="s">
        <v>54</v>
      </c>
      <c r="E464" s="2" t="s">
        <v>26</v>
      </c>
      <c r="F464" s="2" t="s">
        <v>34</v>
      </c>
      <c r="G464" s="2" t="s">
        <v>20</v>
      </c>
      <c r="H464" s="2" t="s">
        <v>29</v>
      </c>
      <c r="I464" s="2">
        <v>60</v>
      </c>
      <c r="J464" s="2">
        <v>101</v>
      </c>
      <c r="K464" s="2">
        <v>865.9</v>
      </c>
      <c r="L464" s="2">
        <v>320.27</v>
      </c>
      <c r="M464" s="2">
        <v>28.2</v>
      </c>
      <c r="N464" s="2" t="s">
        <v>22</v>
      </c>
      <c r="O464" s="2">
        <v>5</v>
      </c>
    </row>
    <row r="465" spans="1:15" x14ac:dyDescent="0.3">
      <c r="A465" s="2" t="s">
        <v>520</v>
      </c>
      <c r="B465" s="2" t="s">
        <v>49</v>
      </c>
      <c r="C465" s="1">
        <v>46180</v>
      </c>
      <c r="D465" s="2" t="s">
        <v>32</v>
      </c>
      <c r="E465" s="2" t="s">
        <v>18</v>
      </c>
      <c r="F465" s="2" t="s">
        <v>34</v>
      </c>
      <c r="G465" s="2" t="s">
        <v>28</v>
      </c>
      <c r="H465" s="2" t="s">
        <v>52</v>
      </c>
      <c r="I465" s="2">
        <v>34</v>
      </c>
      <c r="J465" s="2">
        <v>16</v>
      </c>
      <c r="K465" s="2">
        <v>25702.2</v>
      </c>
      <c r="L465" s="2">
        <v>78.12</v>
      </c>
      <c r="M465" s="2">
        <v>58.14</v>
      </c>
      <c r="N465" s="2" t="s">
        <v>22</v>
      </c>
      <c r="O465" s="2">
        <v>2</v>
      </c>
    </row>
    <row r="466" spans="1:15" x14ac:dyDescent="0.3">
      <c r="A466" s="2" t="s">
        <v>521</v>
      </c>
      <c r="B466" s="2" t="s">
        <v>17</v>
      </c>
      <c r="C466" s="1">
        <v>46057</v>
      </c>
      <c r="D466" s="2" t="s">
        <v>74</v>
      </c>
      <c r="E466" s="2" t="s">
        <v>38</v>
      </c>
      <c r="F466" s="2" t="s">
        <v>68</v>
      </c>
      <c r="G466" s="2" t="s">
        <v>35</v>
      </c>
      <c r="H466" s="2" t="s">
        <v>29</v>
      </c>
      <c r="I466" s="2">
        <v>35</v>
      </c>
      <c r="J466" s="2">
        <v>50</v>
      </c>
      <c r="K466" s="2">
        <v>7396.31</v>
      </c>
      <c r="L466" s="2">
        <v>374.55</v>
      </c>
      <c r="M466" s="2">
        <v>295.12</v>
      </c>
      <c r="N466" s="2" t="s">
        <v>30</v>
      </c>
      <c r="O466" s="2">
        <v>4</v>
      </c>
    </row>
    <row r="467" spans="1:15" x14ac:dyDescent="0.3">
      <c r="A467" s="2" t="s">
        <v>522</v>
      </c>
      <c r="B467" s="2" t="s">
        <v>33</v>
      </c>
      <c r="C467" s="1">
        <v>45943</v>
      </c>
      <c r="D467" s="2" t="s">
        <v>90</v>
      </c>
      <c r="E467" s="2" t="s">
        <v>38</v>
      </c>
      <c r="F467" s="2" t="s">
        <v>39</v>
      </c>
      <c r="G467" s="2" t="s">
        <v>20</v>
      </c>
      <c r="H467" s="2" t="s">
        <v>56</v>
      </c>
      <c r="I467" s="2">
        <v>63</v>
      </c>
      <c r="J467" s="2">
        <v>113</v>
      </c>
      <c r="K467" s="2">
        <v>43378.239999999998</v>
      </c>
      <c r="L467" s="2">
        <v>153.68</v>
      </c>
      <c r="M467" s="2">
        <v>192.14</v>
      </c>
      <c r="N467" s="2" t="s">
        <v>22</v>
      </c>
      <c r="O467" s="2">
        <v>2</v>
      </c>
    </row>
    <row r="468" spans="1:15" x14ac:dyDescent="0.3">
      <c r="A468" s="2" t="s">
        <v>523</v>
      </c>
      <c r="B468" s="2" t="s">
        <v>86</v>
      </c>
      <c r="C468" s="1">
        <v>45875</v>
      </c>
      <c r="D468" s="2" t="s">
        <v>24</v>
      </c>
      <c r="E468" s="2" t="s">
        <v>58</v>
      </c>
      <c r="F468" s="2" t="s">
        <v>34</v>
      </c>
      <c r="G468" s="2" t="s">
        <v>20</v>
      </c>
      <c r="H468" s="2" t="s">
        <v>21</v>
      </c>
      <c r="I468" s="2">
        <v>53</v>
      </c>
      <c r="J468" s="2">
        <v>43</v>
      </c>
      <c r="K468" s="2">
        <v>43643.5</v>
      </c>
      <c r="L468" s="2">
        <v>358.34</v>
      </c>
      <c r="M468" s="2">
        <v>64.099999999999994</v>
      </c>
      <c r="N468" s="2" t="s">
        <v>30</v>
      </c>
      <c r="O468" s="2">
        <v>5</v>
      </c>
    </row>
    <row r="469" spans="1:15" x14ac:dyDescent="0.3">
      <c r="A469" s="2" t="s">
        <v>524</v>
      </c>
      <c r="B469" s="2" t="s">
        <v>25</v>
      </c>
      <c r="C469" s="1">
        <v>46165</v>
      </c>
      <c r="D469" s="2" t="s">
        <v>16</v>
      </c>
      <c r="E469" s="2" t="s">
        <v>45</v>
      </c>
      <c r="F469" s="2" t="s">
        <v>27</v>
      </c>
      <c r="G469" s="2" t="s">
        <v>28</v>
      </c>
      <c r="H469" s="2" t="s">
        <v>56</v>
      </c>
      <c r="I469" s="2">
        <v>73</v>
      </c>
      <c r="J469" s="2">
        <v>17</v>
      </c>
      <c r="K469" s="2">
        <v>21208.12</v>
      </c>
      <c r="L469" s="2">
        <v>491.85</v>
      </c>
      <c r="M469" s="2">
        <v>199.26</v>
      </c>
      <c r="N469" s="2" t="s">
        <v>22</v>
      </c>
      <c r="O469" s="2">
        <v>4</v>
      </c>
    </row>
    <row r="470" spans="1:15" x14ac:dyDescent="0.3">
      <c r="A470" s="2" t="s">
        <v>525</v>
      </c>
      <c r="B470" s="2" t="s">
        <v>25</v>
      </c>
      <c r="C470" s="1">
        <v>46206</v>
      </c>
      <c r="D470" s="2" t="s">
        <v>43</v>
      </c>
      <c r="E470" s="2" t="s">
        <v>45</v>
      </c>
      <c r="F470" s="2" t="s">
        <v>68</v>
      </c>
      <c r="G470" s="2" t="s">
        <v>64</v>
      </c>
      <c r="H470" s="2" t="s">
        <v>56</v>
      </c>
      <c r="I470" s="2">
        <v>51</v>
      </c>
      <c r="J470" s="2">
        <v>80</v>
      </c>
      <c r="K470" s="2">
        <v>22497.58</v>
      </c>
      <c r="L470" s="2">
        <v>361</v>
      </c>
      <c r="M470" s="2">
        <v>169.11</v>
      </c>
      <c r="N470" s="2" t="s">
        <v>22</v>
      </c>
      <c r="O470" s="2">
        <v>2</v>
      </c>
    </row>
    <row r="471" spans="1:15" x14ac:dyDescent="0.3">
      <c r="A471" s="2" t="s">
        <v>526</v>
      </c>
      <c r="B471" s="2" t="s">
        <v>33</v>
      </c>
      <c r="C471" s="1">
        <v>46225</v>
      </c>
      <c r="D471" s="2" t="s">
        <v>90</v>
      </c>
      <c r="E471" s="2" t="s">
        <v>38</v>
      </c>
      <c r="F471" s="2" t="s">
        <v>19</v>
      </c>
      <c r="G471" s="2" t="s">
        <v>20</v>
      </c>
      <c r="H471" s="2" t="s">
        <v>29</v>
      </c>
      <c r="I471" s="2">
        <v>55</v>
      </c>
      <c r="J471" s="2">
        <v>58</v>
      </c>
      <c r="K471" s="2">
        <v>15512.51</v>
      </c>
      <c r="L471" s="2">
        <v>447.44</v>
      </c>
      <c r="M471" s="2">
        <v>183.28</v>
      </c>
      <c r="N471" s="2" t="s">
        <v>22</v>
      </c>
      <c r="O471" s="2">
        <v>4</v>
      </c>
    </row>
    <row r="472" spans="1:15" x14ac:dyDescent="0.3">
      <c r="A472" s="2" t="s">
        <v>527</v>
      </c>
      <c r="B472" s="2" t="s">
        <v>37</v>
      </c>
      <c r="C472" s="1">
        <v>45896</v>
      </c>
      <c r="D472" s="2" t="s">
        <v>32</v>
      </c>
      <c r="E472" s="2" t="s">
        <v>18</v>
      </c>
      <c r="F472" s="2" t="s">
        <v>39</v>
      </c>
      <c r="G472" s="2" t="s">
        <v>35</v>
      </c>
      <c r="H472" s="2" t="s">
        <v>52</v>
      </c>
      <c r="I472" s="2">
        <v>37</v>
      </c>
      <c r="J472" s="2">
        <v>119</v>
      </c>
      <c r="K472" s="2">
        <v>35972.01</v>
      </c>
      <c r="L472" s="2">
        <v>476.69</v>
      </c>
      <c r="M472" s="2">
        <v>8.02</v>
      </c>
      <c r="N472" s="2" t="s">
        <v>30</v>
      </c>
      <c r="O472" s="2">
        <v>3</v>
      </c>
    </row>
    <row r="473" spans="1:15" x14ac:dyDescent="0.3">
      <c r="A473" s="2" t="s">
        <v>528</v>
      </c>
      <c r="B473" s="2" t="s">
        <v>33</v>
      </c>
      <c r="C473" s="1">
        <v>45931</v>
      </c>
      <c r="D473" s="2" t="s">
        <v>24</v>
      </c>
      <c r="E473" s="2" t="s">
        <v>26</v>
      </c>
      <c r="F473" s="2" t="s">
        <v>68</v>
      </c>
      <c r="G473" s="2" t="s">
        <v>20</v>
      </c>
      <c r="H473" s="2" t="s">
        <v>56</v>
      </c>
      <c r="I473" s="2">
        <v>48</v>
      </c>
      <c r="J473" s="2">
        <v>2</v>
      </c>
      <c r="K473" s="2">
        <v>18253.740000000002</v>
      </c>
      <c r="L473" s="2">
        <v>269.04000000000002</v>
      </c>
      <c r="M473" s="2">
        <v>180.29</v>
      </c>
      <c r="N473" s="2" t="s">
        <v>30</v>
      </c>
      <c r="O473" s="2">
        <v>3</v>
      </c>
    </row>
    <row r="474" spans="1:15" x14ac:dyDescent="0.3">
      <c r="A474" s="2" t="s">
        <v>529</v>
      </c>
      <c r="B474" s="2" t="s">
        <v>33</v>
      </c>
      <c r="C474" s="1">
        <v>46194</v>
      </c>
      <c r="D474" s="2" t="s">
        <v>32</v>
      </c>
      <c r="E474" s="2" t="s">
        <v>18</v>
      </c>
      <c r="F474" s="2" t="s">
        <v>19</v>
      </c>
      <c r="G474" s="2" t="s">
        <v>35</v>
      </c>
      <c r="H474" s="2" t="s">
        <v>52</v>
      </c>
      <c r="I474" s="2">
        <v>39</v>
      </c>
      <c r="J474" s="2">
        <v>4</v>
      </c>
      <c r="K474" s="2">
        <v>13755.73</v>
      </c>
      <c r="L474" s="2">
        <v>366.05</v>
      </c>
      <c r="M474" s="2">
        <v>111.49</v>
      </c>
      <c r="N474" s="2" t="s">
        <v>22</v>
      </c>
      <c r="O474" s="2">
        <v>3</v>
      </c>
    </row>
    <row r="475" spans="1:15" x14ac:dyDescent="0.3">
      <c r="A475" s="2" t="s">
        <v>530</v>
      </c>
      <c r="B475" s="2" t="s">
        <v>25</v>
      </c>
      <c r="C475" s="1">
        <v>46005</v>
      </c>
      <c r="D475" s="2" t="s">
        <v>43</v>
      </c>
      <c r="E475" s="2" t="s">
        <v>26</v>
      </c>
      <c r="F475" s="2" t="s">
        <v>19</v>
      </c>
      <c r="G475" s="2" t="s">
        <v>55</v>
      </c>
      <c r="H475" s="2" t="s">
        <v>29</v>
      </c>
      <c r="I475" s="2">
        <v>66</v>
      </c>
      <c r="J475" s="2">
        <v>85</v>
      </c>
      <c r="K475" s="2">
        <v>21895.439999999999</v>
      </c>
      <c r="L475" s="2">
        <v>433.39</v>
      </c>
      <c r="M475" s="2">
        <v>260.55</v>
      </c>
      <c r="N475" s="2" t="s">
        <v>30</v>
      </c>
      <c r="O475" s="2">
        <v>2</v>
      </c>
    </row>
    <row r="476" spans="1:15" x14ac:dyDescent="0.3">
      <c r="A476" s="2" t="s">
        <v>531</v>
      </c>
      <c r="B476" s="2" t="s">
        <v>86</v>
      </c>
      <c r="C476" s="1">
        <v>45889</v>
      </c>
      <c r="D476" s="2" t="s">
        <v>41</v>
      </c>
      <c r="E476" s="2" t="s">
        <v>38</v>
      </c>
      <c r="F476" s="2" t="s">
        <v>34</v>
      </c>
      <c r="G476" s="2" t="s">
        <v>55</v>
      </c>
      <c r="H476" s="2" t="s">
        <v>52</v>
      </c>
      <c r="I476" s="2">
        <v>74</v>
      </c>
      <c r="J476" s="2">
        <v>39</v>
      </c>
      <c r="K476" s="2">
        <v>5028.63</v>
      </c>
      <c r="L476" s="2">
        <v>210.47</v>
      </c>
      <c r="M476" s="2">
        <v>166.89</v>
      </c>
      <c r="N476" s="2" t="s">
        <v>30</v>
      </c>
      <c r="O476" s="2">
        <v>5</v>
      </c>
    </row>
    <row r="477" spans="1:15" x14ac:dyDescent="0.3">
      <c r="A477" s="2" t="s">
        <v>532</v>
      </c>
      <c r="B477" s="2" t="s">
        <v>67</v>
      </c>
      <c r="C477" s="1">
        <v>46005</v>
      </c>
      <c r="D477" s="2" t="s">
        <v>24</v>
      </c>
      <c r="E477" s="2" t="s">
        <v>26</v>
      </c>
      <c r="F477" s="2" t="s">
        <v>34</v>
      </c>
      <c r="G477" s="2" t="s">
        <v>35</v>
      </c>
      <c r="H477" s="2" t="s">
        <v>29</v>
      </c>
      <c r="I477" s="2">
        <v>43</v>
      </c>
      <c r="J477" s="2">
        <v>98</v>
      </c>
      <c r="K477" s="2">
        <v>37456.86</v>
      </c>
      <c r="L477" s="2">
        <v>167.63</v>
      </c>
      <c r="M477" s="2">
        <v>249.9</v>
      </c>
      <c r="N477" s="2" t="s">
        <v>30</v>
      </c>
      <c r="O477" s="2">
        <v>4</v>
      </c>
    </row>
    <row r="478" spans="1:15" x14ac:dyDescent="0.3">
      <c r="A478" s="2" t="s">
        <v>533</v>
      </c>
      <c r="B478" s="2" t="s">
        <v>60</v>
      </c>
      <c r="C478" s="1">
        <v>46052</v>
      </c>
      <c r="D478" s="2" t="s">
        <v>41</v>
      </c>
      <c r="E478" s="2" t="s">
        <v>45</v>
      </c>
      <c r="F478" s="2" t="s">
        <v>34</v>
      </c>
      <c r="G478" s="2" t="s">
        <v>64</v>
      </c>
      <c r="H478" s="2" t="s">
        <v>21</v>
      </c>
      <c r="I478" s="2">
        <v>52</v>
      </c>
      <c r="J478" s="2">
        <v>94</v>
      </c>
      <c r="K478" s="2">
        <v>1123.52</v>
      </c>
      <c r="L478" s="2">
        <v>475.97</v>
      </c>
      <c r="M478" s="2">
        <v>139.63</v>
      </c>
      <c r="N478" s="2" t="s">
        <v>22</v>
      </c>
      <c r="O478" s="2">
        <v>1</v>
      </c>
    </row>
    <row r="479" spans="1:15" x14ac:dyDescent="0.3">
      <c r="A479" s="2" t="s">
        <v>534</v>
      </c>
      <c r="B479" s="2" t="s">
        <v>44</v>
      </c>
      <c r="C479" s="1">
        <v>46163</v>
      </c>
      <c r="D479" s="2" t="s">
        <v>43</v>
      </c>
      <c r="E479" s="2" t="s">
        <v>58</v>
      </c>
      <c r="F479" s="2" t="s">
        <v>68</v>
      </c>
      <c r="G479" s="2" t="s">
        <v>20</v>
      </c>
      <c r="H479" s="2" t="s">
        <v>52</v>
      </c>
      <c r="I479" s="2">
        <v>60</v>
      </c>
      <c r="J479" s="2">
        <v>6</v>
      </c>
      <c r="K479" s="2">
        <v>32402.01</v>
      </c>
      <c r="L479" s="2">
        <v>376.84</v>
      </c>
      <c r="M479" s="2">
        <v>58.28</v>
      </c>
      <c r="N479" s="2" t="s">
        <v>30</v>
      </c>
      <c r="O479" s="2">
        <v>3</v>
      </c>
    </row>
    <row r="480" spans="1:15" x14ac:dyDescent="0.3">
      <c r="A480" s="2" t="s">
        <v>535</v>
      </c>
      <c r="B480" s="2" t="s">
        <v>78</v>
      </c>
      <c r="C480" s="1">
        <v>46009</v>
      </c>
      <c r="D480" s="2" t="s">
        <v>90</v>
      </c>
      <c r="E480" s="2" t="s">
        <v>58</v>
      </c>
      <c r="F480" s="2" t="s">
        <v>68</v>
      </c>
      <c r="G480" s="2" t="s">
        <v>20</v>
      </c>
      <c r="H480" s="2" t="s">
        <v>52</v>
      </c>
      <c r="I480" s="2">
        <v>33</v>
      </c>
      <c r="J480" s="2">
        <v>81</v>
      </c>
      <c r="K480" s="2">
        <v>9551.7900000000009</v>
      </c>
      <c r="L480" s="2">
        <v>148.86000000000001</v>
      </c>
      <c r="M480" s="2">
        <v>67.23</v>
      </c>
      <c r="N480" s="2" t="s">
        <v>30</v>
      </c>
      <c r="O480" s="2">
        <v>3</v>
      </c>
    </row>
    <row r="481" spans="1:15" x14ac:dyDescent="0.3">
      <c r="A481" s="2" t="s">
        <v>536</v>
      </c>
      <c r="B481" s="2" t="s">
        <v>78</v>
      </c>
      <c r="C481" s="1">
        <v>45923</v>
      </c>
      <c r="D481" s="2" t="s">
        <v>43</v>
      </c>
      <c r="E481" s="2" t="s">
        <v>38</v>
      </c>
      <c r="F481" s="2" t="s">
        <v>39</v>
      </c>
      <c r="G481" s="2" t="s">
        <v>55</v>
      </c>
      <c r="H481" s="2" t="s">
        <v>21</v>
      </c>
      <c r="I481" s="2">
        <v>40</v>
      </c>
      <c r="J481" s="2">
        <v>103</v>
      </c>
      <c r="K481" s="2">
        <v>12004</v>
      </c>
      <c r="L481" s="2">
        <v>252.09</v>
      </c>
      <c r="M481" s="2">
        <v>61.69</v>
      </c>
      <c r="N481" s="2" t="s">
        <v>30</v>
      </c>
      <c r="O481" s="2">
        <v>1</v>
      </c>
    </row>
    <row r="482" spans="1:15" x14ac:dyDescent="0.3">
      <c r="A482" s="2" t="s">
        <v>537</v>
      </c>
      <c r="B482" s="2" t="s">
        <v>62</v>
      </c>
      <c r="C482" s="1">
        <v>46192</v>
      </c>
      <c r="D482" s="2" t="s">
        <v>90</v>
      </c>
      <c r="E482" s="2" t="s">
        <v>45</v>
      </c>
      <c r="F482" s="2" t="s">
        <v>34</v>
      </c>
      <c r="G482" s="2" t="s">
        <v>35</v>
      </c>
      <c r="H482" s="2" t="s">
        <v>52</v>
      </c>
      <c r="I482" s="2">
        <v>55</v>
      </c>
      <c r="J482" s="2">
        <v>89</v>
      </c>
      <c r="K482" s="2">
        <v>31963.78</v>
      </c>
      <c r="L482" s="2">
        <v>408.4</v>
      </c>
      <c r="M482" s="2">
        <v>4.01</v>
      </c>
      <c r="N482" s="2" t="s">
        <v>30</v>
      </c>
      <c r="O482" s="2">
        <v>1</v>
      </c>
    </row>
    <row r="483" spans="1:15" x14ac:dyDescent="0.3">
      <c r="A483" s="2" t="s">
        <v>538</v>
      </c>
      <c r="B483" s="2" t="s">
        <v>86</v>
      </c>
      <c r="C483" s="1">
        <v>46153</v>
      </c>
      <c r="D483" s="2" t="s">
        <v>24</v>
      </c>
      <c r="E483" s="2" t="s">
        <v>18</v>
      </c>
      <c r="F483" s="2" t="s">
        <v>19</v>
      </c>
      <c r="G483" s="2" t="s">
        <v>20</v>
      </c>
      <c r="H483" s="2" t="s">
        <v>21</v>
      </c>
      <c r="I483" s="2">
        <v>25</v>
      </c>
      <c r="J483" s="2">
        <v>69</v>
      </c>
      <c r="K483" s="2">
        <v>49650.7</v>
      </c>
      <c r="L483" s="2">
        <v>296.18</v>
      </c>
      <c r="M483" s="2">
        <v>116.51</v>
      </c>
      <c r="N483" s="2" t="s">
        <v>22</v>
      </c>
      <c r="O483" s="2">
        <v>2</v>
      </c>
    </row>
    <row r="484" spans="1:15" x14ac:dyDescent="0.3">
      <c r="A484" s="2" t="s">
        <v>539</v>
      </c>
      <c r="B484" s="2" t="s">
        <v>62</v>
      </c>
      <c r="C484" s="1">
        <v>45910</v>
      </c>
      <c r="D484" s="2" t="s">
        <v>24</v>
      </c>
      <c r="E484" s="2" t="s">
        <v>45</v>
      </c>
      <c r="F484" s="2" t="s">
        <v>27</v>
      </c>
      <c r="G484" s="2" t="s">
        <v>20</v>
      </c>
      <c r="H484" s="2" t="s">
        <v>56</v>
      </c>
      <c r="I484" s="2">
        <v>29</v>
      </c>
      <c r="J484" s="2">
        <v>69</v>
      </c>
      <c r="K484" s="2">
        <v>38997.019999999997</v>
      </c>
      <c r="L484" s="2">
        <v>342.48</v>
      </c>
      <c r="M484" s="2">
        <v>139.77000000000001</v>
      </c>
      <c r="N484" s="2" t="s">
        <v>22</v>
      </c>
      <c r="O484" s="2">
        <v>4</v>
      </c>
    </row>
    <row r="485" spans="1:15" x14ac:dyDescent="0.3">
      <c r="A485" s="2" t="s">
        <v>540</v>
      </c>
      <c r="B485" s="2" t="s">
        <v>17</v>
      </c>
      <c r="C485" s="1">
        <v>45902</v>
      </c>
      <c r="D485" s="2" t="s">
        <v>74</v>
      </c>
      <c r="E485" s="2" t="s">
        <v>58</v>
      </c>
      <c r="F485" s="2" t="s">
        <v>39</v>
      </c>
      <c r="G485" s="2" t="s">
        <v>64</v>
      </c>
      <c r="H485" s="2" t="s">
        <v>29</v>
      </c>
      <c r="I485" s="2">
        <v>49</v>
      </c>
      <c r="J485" s="2">
        <v>20</v>
      </c>
      <c r="K485" s="2">
        <v>11679.06</v>
      </c>
      <c r="L485" s="2">
        <v>389.2</v>
      </c>
      <c r="M485" s="2">
        <v>256.16000000000003</v>
      </c>
      <c r="N485" s="2" t="s">
        <v>22</v>
      </c>
      <c r="O485" s="2">
        <v>3</v>
      </c>
    </row>
    <row r="486" spans="1:15" x14ac:dyDescent="0.3">
      <c r="A486" s="2" t="s">
        <v>541</v>
      </c>
      <c r="B486" s="2" t="s">
        <v>17</v>
      </c>
      <c r="C486" s="1">
        <v>45993</v>
      </c>
      <c r="D486" s="2" t="s">
        <v>32</v>
      </c>
      <c r="E486" s="2" t="s">
        <v>58</v>
      </c>
      <c r="F486" s="2" t="s">
        <v>68</v>
      </c>
      <c r="G486" s="2" t="s">
        <v>28</v>
      </c>
      <c r="H486" s="2" t="s">
        <v>21</v>
      </c>
      <c r="I486" s="2">
        <v>26</v>
      </c>
      <c r="J486" s="2">
        <v>64</v>
      </c>
      <c r="K486" s="2">
        <v>9213.23</v>
      </c>
      <c r="L486" s="2">
        <v>329.9</v>
      </c>
      <c r="M486" s="2">
        <v>28.03</v>
      </c>
      <c r="N486" s="2" t="s">
        <v>30</v>
      </c>
      <c r="O486" s="2">
        <v>5</v>
      </c>
    </row>
    <row r="487" spans="1:15" x14ac:dyDescent="0.3">
      <c r="A487" s="2" t="s">
        <v>542</v>
      </c>
      <c r="B487" s="2" t="s">
        <v>62</v>
      </c>
      <c r="C487" s="1">
        <v>45937</v>
      </c>
      <c r="D487" s="2" t="s">
        <v>74</v>
      </c>
      <c r="E487" s="2" t="s">
        <v>45</v>
      </c>
      <c r="F487" s="2" t="s">
        <v>39</v>
      </c>
      <c r="G487" s="2" t="s">
        <v>55</v>
      </c>
      <c r="H487" s="2" t="s">
        <v>52</v>
      </c>
      <c r="I487" s="2">
        <v>45</v>
      </c>
      <c r="J487" s="2">
        <v>16</v>
      </c>
      <c r="K487" s="2">
        <v>43378.53</v>
      </c>
      <c r="L487" s="2">
        <v>293.04000000000002</v>
      </c>
      <c r="M487" s="2">
        <v>108.84</v>
      </c>
      <c r="N487" s="2" t="s">
        <v>22</v>
      </c>
      <c r="O487" s="2">
        <v>2</v>
      </c>
    </row>
    <row r="488" spans="1:15" x14ac:dyDescent="0.3">
      <c r="A488" s="2" t="s">
        <v>543</v>
      </c>
      <c r="B488" s="2" t="s">
        <v>86</v>
      </c>
      <c r="C488" s="1">
        <v>46118</v>
      </c>
      <c r="D488" s="2" t="s">
        <v>32</v>
      </c>
      <c r="E488" s="2" t="s">
        <v>45</v>
      </c>
      <c r="F488" s="2" t="s">
        <v>39</v>
      </c>
      <c r="G488" s="2" t="s">
        <v>55</v>
      </c>
      <c r="H488" s="2" t="s">
        <v>21</v>
      </c>
      <c r="I488" s="2">
        <v>51</v>
      </c>
      <c r="J488" s="2">
        <v>51</v>
      </c>
      <c r="K488" s="2">
        <v>22487.11</v>
      </c>
      <c r="L488" s="2">
        <v>387.33</v>
      </c>
      <c r="M488" s="2">
        <v>1.6</v>
      </c>
      <c r="N488" s="2" t="s">
        <v>30</v>
      </c>
      <c r="O488" s="2">
        <v>2</v>
      </c>
    </row>
    <row r="489" spans="1:15" x14ac:dyDescent="0.3">
      <c r="A489" s="2" t="s">
        <v>544</v>
      </c>
      <c r="B489" s="2" t="s">
        <v>62</v>
      </c>
      <c r="C489" s="1">
        <v>46209</v>
      </c>
      <c r="D489" s="2" t="s">
        <v>74</v>
      </c>
      <c r="E489" s="2" t="s">
        <v>58</v>
      </c>
      <c r="F489" s="2" t="s">
        <v>39</v>
      </c>
      <c r="G489" s="2" t="s">
        <v>28</v>
      </c>
      <c r="H489" s="2" t="s">
        <v>52</v>
      </c>
      <c r="I489" s="2">
        <v>42</v>
      </c>
      <c r="J489" s="2">
        <v>105</v>
      </c>
      <c r="K489" s="2">
        <v>7284.11</v>
      </c>
      <c r="L489" s="2">
        <v>377.4</v>
      </c>
      <c r="M489" s="2">
        <v>19.02</v>
      </c>
      <c r="N489" s="2" t="s">
        <v>30</v>
      </c>
      <c r="O489" s="2">
        <v>5</v>
      </c>
    </row>
    <row r="490" spans="1:15" x14ac:dyDescent="0.3">
      <c r="A490" s="2" t="s">
        <v>545</v>
      </c>
      <c r="B490" s="2" t="s">
        <v>78</v>
      </c>
      <c r="C490" s="1">
        <v>46183</v>
      </c>
      <c r="D490" s="2" t="s">
        <v>41</v>
      </c>
      <c r="E490" s="2" t="s">
        <v>18</v>
      </c>
      <c r="F490" s="2" t="s">
        <v>39</v>
      </c>
      <c r="G490" s="2" t="s">
        <v>20</v>
      </c>
      <c r="H490" s="2" t="s">
        <v>56</v>
      </c>
      <c r="I490" s="2">
        <v>22</v>
      </c>
      <c r="J490" s="2">
        <v>37</v>
      </c>
      <c r="K490" s="2">
        <v>43179.47</v>
      </c>
      <c r="L490" s="2">
        <v>333.44</v>
      </c>
      <c r="M490" s="2">
        <v>10.84</v>
      </c>
      <c r="N490" s="2" t="s">
        <v>30</v>
      </c>
      <c r="O490" s="2">
        <v>5</v>
      </c>
    </row>
    <row r="491" spans="1:15" x14ac:dyDescent="0.3">
      <c r="A491" s="2" t="s">
        <v>546</v>
      </c>
      <c r="B491" s="2" t="s">
        <v>76</v>
      </c>
      <c r="C491" s="1">
        <v>45872</v>
      </c>
      <c r="D491" s="2" t="s">
        <v>24</v>
      </c>
      <c r="E491" s="2" t="s">
        <v>38</v>
      </c>
      <c r="F491" s="2" t="s">
        <v>27</v>
      </c>
      <c r="G491" s="2" t="s">
        <v>64</v>
      </c>
      <c r="H491" s="2" t="s">
        <v>21</v>
      </c>
      <c r="I491" s="2">
        <v>65</v>
      </c>
      <c r="J491" s="2">
        <v>104</v>
      </c>
      <c r="K491" s="2">
        <v>40896.57</v>
      </c>
      <c r="L491" s="2">
        <v>211.91</v>
      </c>
      <c r="M491" s="2">
        <v>145.1</v>
      </c>
      <c r="N491" s="2" t="s">
        <v>30</v>
      </c>
      <c r="O491" s="2">
        <v>5</v>
      </c>
    </row>
    <row r="492" spans="1:15" x14ac:dyDescent="0.3">
      <c r="A492" s="2" t="s">
        <v>547</v>
      </c>
      <c r="B492" s="2" t="s">
        <v>47</v>
      </c>
      <c r="C492" s="1">
        <v>46185</v>
      </c>
      <c r="D492" s="2" t="s">
        <v>90</v>
      </c>
      <c r="E492" s="2" t="s">
        <v>38</v>
      </c>
      <c r="F492" s="2" t="s">
        <v>34</v>
      </c>
      <c r="G492" s="2" t="s">
        <v>64</v>
      </c>
      <c r="H492" s="2" t="s">
        <v>56</v>
      </c>
      <c r="I492" s="2">
        <v>25</v>
      </c>
      <c r="J492" s="2">
        <v>73</v>
      </c>
      <c r="K492" s="2">
        <v>49203.37</v>
      </c>
      <c r="L492" s="2">
        <v>232.62</v>
      </c>
      <c r="M492" s="2">
        <v>16.21</v>
      </c>
      <c r="N492" s="2" t="s">
        <v>30</v>
      </c>
      <c r="O492" s="2">
        <v>1</v>
      </c>
    </row>
    <row r="493" spans="1:15" x14ac:dyDescent="0.3">
      <c r="A493" s="2" t="s">
        <v>548</v>
      </c>
      <c r="B493" s="2" t="s">
        <v>25</v>
      </c>
      <c r="C493" s="1">
        <v>46136</v>
      </c>
      <c r="D493" s="2" t="s">
        <v>32</v>
      </c>
      <c r="E493" s="2" t="s">
        <v>45</v>
      </c>
      <c r="F493" s="2" t="s">
        <v>19</v>
      </c>
      <c r="G493" s="2" t="s">
        <v>55</v>
      </c>
      <c r="H493" s="2" t="s">
        <v>29</v>
      </c>
      <c r="I493" s="2">
        <v>47</v>
      </c>
      <c r="J493" s="2">
        <v>69</v>
      </c>
      <c r="K493" s="2">
        <v>45532.31</v>
      </c>
      <c r="L493" s="2">
        <v>486.7</v>
      </c>
      <c r="M493" s="2">
        <v>214.94</v>
      </c>
      <c r="N493" s="2" t="s">
        <v>30</v>
      </c>
      <c r="O493" s="2">
        <v>3</v>
      </c>
    </row>
    <row r="494" spans="1:15" x14ac:dyDescent="0.3">
      <c r="A494" s="2" t="s">
        <v>549</v>
      </c>
      <c r="B494" s="2" t="s">
        <v>25</v>
      </c>
      <c r="C494" s="1">
        <v>46110</v>
      </c>
      <c r="D494" s="2" t="s">
        <v>43</v>
      </c>
      <c r="E494" s="2" t="s">
        <v>38</v>
      </c>
      <c r="F494" s="2" t="s">
        <v>39</v>
      </c>
      <c r="G494" s="2" t="s">
        <v>64</v>
      </c>
      <c r="H494" s="2" t="s">
        <v>52</v>
      </c>
      <c r="I494" s="2">
        <v>45</v>
      </c>
      <c r="J494" s="2">
        <v>42</v>
      </c>
      <c r="K494" s="2">
        <v>42663.62</v>
      </c>
      <c r="L494" s="2">
        <v>100.57</v>
      </c>
      <c r="M494" s="2">
        <v>49.92</v>
      </c>
      <c r="N494" s="2" t="s">
        <v>30</v>
      </c>
      <c r="O494" s="2">
        <v>1</v>
      </c>
    </row>
    <row r="495" spans="1:15" x14ac:dyDescent="0.3">
      <c r="A495" s="2" t="s">
        <v>550</v>
      </c>
      <c r="B495" s="2" t="s">
        <v>49</v>
      </c>
      <c r="C495" s="1">
        <v>46230</v>
      </c>
      <c r="D495" s="2" t="s">
        <v>32</v>
      </c>
      <c r="E495" s="2" t="s">
        <v>58</v>
      </c>
      <c r="F495" s="2" t="s">
        <v>39</v>
      </c>
      <c r="G495" s="2" t="s">
        <v>28</v>
      </c>
      <c r="H495" s="2" t="s">
        <v>52</v>
      </c>
      <c r="I495" s="2">
        <v>28</v>
      </c>
      <c r="J495" s="2">
        <v>57</v>
      </c>
      <c r="K495" s="2">
        <v>3102.43</v>
      </c>
      <c r="L495" s="2">
        <v>170.83</v>
      </c>
      <c r="M495" s="2">
        <v>175.54</v>
      </c>
      <c r="N495" s="2" t="s">
        <v>30</v>
      </c>
      <c r="O495" s="2">
        <v>3</v>
      </c>
    </row>
    <row r="496" spans="1:15" x14ac:dyDescent="0.3">
      <c r="A496" s="2" t="s">
        <v>551</v>
      </c>
      <c r="B496" s="2" t="s">
        <v>33</v>
      </c>
      <c r="C496" s="1">
        <v>46205</v>
      </c>
      <c r="D496" s="2" t="s">
        <v>90</v>
      </c>
      <c r="E496" s="2" t="s">
        <v>58</v>
      </c>
      <c r="F496" s="2" t="s">
        <v>39</v>
      </c>
      <c r="G496" s="2" t="s">
        <v>20</v>
      </c>
      <c r="H496" s="2" t="s">
        <v>56</v>
      </c>
      <c r="I496" s="2">
        <v>21</v>
      </c>
      <c r="J496" s="2">
        <v>66</v>
      </c>
      <c r="K496" s="2">
        <v>5668.56</v>
      </c>
      <c r="L496" s="2">
        <v>271.58</v>
      </c>
      <c r="M496" s="2">
        <v>162.63</v>
      </c>
      <c r="N496" s="2" t="s">
        <v>22</v>
      </c>
      <c r="O496" s="2">
        <v>1</v>
      </c>
    </row>
    <row r="497" spans="1:15" x14ac:dyDescent="0.3">
      <c r="A497" s="2" t="s">
        <v>552</v>
      </c>
      <c r="B497" s="2" t="s">
        <v>47</v>
      </c>
      <c r="C497" s="1">
        <v>46210</v>
      </c>
      <c r="D497" s="2" t="s">
        <v>74</v>
      </c>
      <c r="E497" s="2" t="s">
        <v>45</v>
      </c>
      <c r="F497" s="2" t="s">
        <v>34</v>
      </c>
      <c r="G497" s="2" t="s">
        <v>28</v>
      </c>
      <c r="H497" s="2" t="s">
        <v>29</v>
      </c>
      <c r="I497" s="2">
        <v>40</v>
      </c>
      <c r="J497" s="2">
        <v>9</v>
      </c>
      <c r="K497" s="2">
        <v>28664.67</v>
      </c>
      <c r="L497" s="2">
        <v>426.53</v>
      </c>
      <c r="M497" s="2">
        <v>287.36</v>
      </c>
      <c r="N497" s="2" t="s">
        <v>30</v>
      </c>
      <c r="O497" s="2">
        <v>4</v>
      </c>
    </row>
    <row r="498" spans="1:15" x14ac:dyDescent="0.3">
      <c r="A498" s="2" t="s">
        <v>553</v>
      </c>
      <c r="B498" s="2" t="s">
        <v>60</v>
      </c>
      <c r="C498" s="1">
        <v>46039</v>
      </c>
      <c r="D498" s="2" t="s">
        <v>32</v>
      </c>
      <c r="E498" s="2" t="s">
        <v>45</v>
      </c>
      <c r="F498" s="2" t="s">
        <v>68</v>
      </c>
      <c r="G498" s="2" t="s">
        <v>35</v>
      </c>
      <c r="H498" s="2" t="s">
        <v>21</v>
      </c>
      <c r="I498" s="2">
        <v>64</v>
      </c>
      <c r="J498" s="2">
        <v>107</v>
      </c>
      <c r="K498" s="2">
        <v>26808.22</v>
      </c>
      <c r="L498" s="2">
        <v>123.65</v>
      </c>
      <c r="M498" s="2">
        <v>176.75</v>
      </c>
      <c r="N498" s="2" t="s">
        <v>22</v>
      </c>
      <c r="O498" s="2">
        <v>3</v>
      </c>
    </row>
    <row r="499" spans="1:15" x14ac:dyDescent="0.3">
      <c r="A499" s="2" t="s">
        <v>554</v>
      </c>
      <c r="B499" s="2" t="s">
        <v>86</v>
      </c>
      <c r="C499" s="1">
        <v>45951</v>
      </c>
      <c r="D499" s="2" t="s">
        <v>16</v>
      </c>
      <c r="E499" s="2" t="s">
        <v>45</v>
      </c>
      <c r="F499" s="2" t="s">
        <v>68</v>
      </c>
      <c r="G499" s="2" t="s">
        <v>55</v>
      </c>
      <c r="H499" s="2" t="s">
        <v>21</v>
      </c>
      <c r="I499" s="2">
        <v>43</v>
      </c>
      <c r="J499" s="2">
        <v>100</v>
      </c>
      <c r="K499" s="2">
        <v>23169.18</v>
      </c>
      <c r="L499" s="2">
        <v>174.63</v>
      </c>
      <c r="M499" s="2">
        <v>186.67</v>
      </c>
      <c r="N499" s="2" t="s">
        <v>30</v>
      </c>
      <c r="O499" s="2">
        <v>2</v>
      </c>
    </row>
    <row r="500" spans="1:15" x14ac:dyDescent="0.3">
      <c r="A500" s="2" t="s">
        <v>555</v>
      </c>
      <c r="B500" s="2" t="s">
        <v>82</v>
      </c>
      <c r="C500" s="1">
        <v>45932</v>
      </c>
      <c r="D500" s="2" t="s">
        <v>41</v>
      </c>
      <c r="E500" s="2" t="s">
        <v>18</v>
      </c>
      <c r="F500" s="2" t="s">
        <v>27</v>
      </c>
      <c r="G500" s="2" t="s">
        <v>64</v>
      </c>
      <c r="H500" s="2" t="s">
        <v>52</v>
      </c>
      <c r="I500" s="2">
        <v>52</v>
      </c>
      <c r="J500" s="2">
        <v>86</v>
      </c>
      <c r="K500" s="2">
        <v>20141.07</v>
      </c>
      <c r="L500" s="2">
        <v>79.61</v>
      </c>
      <c r="M500" s="2">
        <v>171.75</v>
      </c>
      <c r="N500" s="2" t="s">
        <v>22</v>
      </c>
      <c r="O500" s="2">
        <v>3</v>
      </c>
    </row>
    <row r="501" spans="1:15" x14ac:dyDescent="0.3">
      <c r="A501" s="2" t="s">
        <v>556</v>
      </c>
      <c r="B501" s="2" t="s">
        <v>47</v>
      </c>
      <c r="C501" s="1">
        <v>45953</v>
      </c>
      <c r="D501" s="2" t="s">
        <v>24</v>
      </c>
      <c r="E501" s="2" t="s">
        <v>38</v>
      </c>
      <c r="F501" s="2" t="s">
        <v>68</v>
      </c>
      <c r="G501" s="2" t="s">
        <v>35</v>
      </c>
      <c r="H501" s="2" t="s">
        <v>56</v>
      </c>
      <c r="I501" s="2">
        <v>31</v>
      </c>
      <c r="J501" s="2">
        <v>64</v>
      </c>
      <c r="K501" s="2">
        <v>21844.92</v>
      </c>
      <c r="L501" s="2">
        <v>367.69</v>
      </c>
      <c r="M501" s="2">
        <v>138.68</v>
      </c>
      <c r="N501" s="2" t="s">
        <v>22</v>
      </c>
      <c r="O501" s="2">
        <v>3</v>
      </c>
    </row>
    <row r="502" spans="1:15" x14ac:dyDescent="0.3">
      <c r="A502" s="2" t="s">
        <v>557</v>
      </c>
      <c r="B502" s="2" t="s">
        <v>49</v>
      </c>
      <c r="C502" s="1">
        <v>46042</v>
      </c>
      <c r="D502" s="2" t="s">
        <v>90</v>
      </c>
      <c r="E502" s="2" t="s">
        <v>45</v>
      </c>
      <c r="F502" s="2" t="s">
        <v>39</v>
      </c>
      <c r="G502" s="2" t="s">
        <v>64</v>
      </c>
      <c r="H502" s="2" t="s">
        <v>56</v>
      </c>
      <c r="I502" s="2">
        <v>59</v>
      </c>
      <c r="J502" s="2">
        <v>86</v>
      </c>
      <c r="K502" s="2">
        <v>28680.25</v>
      </c>
      <c r="L502" s="2">
        <v>157.19</v>
      </c>
      <c r="M502" s="2">
        <v>34.049999999999997</v>
      </c>
      <c r="N502" s="2" t="s">
        <v>22</v>
      </c>
      <c r="O502" s="2">
        <v>3</v>
      </c>
    </row>
    <row r="503" spans="1:15" x14ac:dyDescent="0.3">
      <c r="A503" s="2" t="s">
        <v>558</v>
      </c>
      <c r="B503" s="2" t="s">
        <v>17</v>
      </c>
      <c r="C503" s="1">
        <v>46234</v>
      </c>
      <c r="D503" s="2" t="s">
        <v>24</v>
      </c>
      <c r="E503" s="2" t="s">
        <v>26</v>
      </c>
      <c r="F503" s="2" t="s">
        <v>39</v>
      </c>
      <c r="G503" s="2" t="s">
        <v>20</v>
      </c>
      <c r="H503" s="2" t="s">
        <v>21</v>
      </c>
      <c r="I503" s="2">
        <v>67</v>
      </c>
      <c r="J503" s="2">
        <v>22</v>
      </c>
      <c r="K503" s="2">
        <v>602.79</v>
      </c>
      <c r="L503" s="2">
        <v>224.9</v>
      </c>
      <c r="M503" s="2">
        <v>54.34</v>
      </c>
      <c r="N503" s="2" t="s">
        <v>22</v>
      </c>
      <c r="O503" s="2">
        <v>4</v>
      </c>
    </row>
    <row r="504" spans="1:15" x14ac:dyDescent="0.3">
      <c r="A504" s="2" t="s">
        <v>559</v>
      </c>
      <c r="B504" s="2" t="s">
        <v>37</v>
      </c>
      <c r="C504" s="1">
        <v>46162</v>
      </c>
      <c r="D504" s="2" t="s">
        <v>16</v>
      </c>
      <c r="E504" s="2" t="s">
        <v>26</v>
      </c>
      <c r="F504" s="2" t="s">
        <v>39</v>
      </c>
      <c r="G504" s="2" t="s">
        <v>20</v>
      </c>
      <c r="H504" s="2" t="s">
        <v>29</v>
      </c>
      <c r="I504" s="2">
        <v>74</v>
      </c>
      <c r="J504" s="2">
        <v>34</v>
      </c>
      <c r="K504" s="2">
        <v>13405.08</v>
      </c>
      <c r="L504" s="2">
        <v>249.67</v>
      </c>
      <c r="M504" s="2">
        <v>63.82</v>
      </c>
      <c r="N504" s="2" t="s">
        <v>30</v>
      </c>
      <c r="O504" s="2">
        <v>1</v>
      </c>
    </row>
    <row r="505" spans="1:15" x14ac:dyDescent="0.3">
      <c r="A505" s="2" t="s">
        <v>560</v>
      </c>
      <c r="B505" s="2" t="s">
        <v>33</v>
      </c>
      <c r="C505" s="1">
        <v>45911</v>
      </c>
      <c r="D505" s="2" t="s">
        <v>32</v>
      </c>
      <c r="E505" s="2" t="s">
        <v>58</v>
      </c>
      <c r="F505" s="2" t="s">
        <v>27</v>
      </c>
      <c r="G505" s="2" t="s">
        <v>20</v>
      </c>
      <c r="H505" s="2" t="s">
        <v>29</v>
      </c>
      <c r="I505" s="2">
        <v>44</v>
      </c>
      <c r="J505" s="2">
        <v>55</v>
      </c>
      <c r="K505" s="2">
        <v>26154.85</v>
      </c>
      <c r="L505" s="2">
        <v>451.09</v>
      </c>
      <c r="M505" s="2">
        <v>181.08</v>
      </c>
      <c r="N505" s="2" t="s">
        <v>30</v>
      </c>
      <c r="O505" s="2">
        <v>2</v>
      </c>
    </row>
    <row r="506" spans="1:15" x14ac:dyDescent="0.3">
      <c r="A506" s="2" t="s">
        <v>561</v>
      </c>
      <c r="B506" s="2" t="s">
        <v>49</v>
      </c>
      <c r="C506" s="1">
        <v>45960</v>
      </c>
      <c r="D506" s="2" t="s">
        <v>32</v>
      </c>
      <c r="E506" s="2" t="s">
        <v>38</v>
      </c>
      <c r="F506" s="2" t="s">
        <v>39</v>
      </c>
      <c r="G506" s="2" t="s">
        <v>64</v>
      </c>
      <c r="H506" s="2" t="s">
        <v>21</v>
      </c>
      <c r="I506" s="2">
        <v>31</v>
      </c>
      <c r="J506" s="2">
        <v>29</v>
      </c>
      <c r="K506" s="2">
        <v>36249.699999999997</v>
      </c>
      <c r="L506" s="2">
        <v>235.1</v>
      </c>
      <c r="M506" s="2">
        <v>100.72</v>
      </c>
      <c r="N506" s="2" t="s">
        <v>30</v>
      </c>
      <c r="O506" s="2">
        <v>1</v>
      </c>
    </row>
    <row r="507" spans="1:15" x14ac:dyDescent="0.3">
      <c r="A507" s="2" t="s">
        <v>562</v>
      </c>
      <c r="B507" s="2" t="s">
        <v>44</v>
      </c>
      <c r="C507" s="1">
        <v>45910</v>
      </c>
      <c r="D507" s="2" t="s">
        <v>43</v>
      </c>
      <c r="E507" s="2" t="s">
        <v>45</v>
      </c>
      <c r="F507" s="2" t="s">
        <v>68</v>
      </c>
      <c r="G507" s="2" t="s">
        <v>35</v>
      </c>
      <c r="H507" s="2" t="s">
        <v>21</v>
      </c>
      <c r="I507" s="2">
        <v>49</v>
      </c>
      <c r="J507" s="2">
        <v>38</v>
      </c>
      <c r="K507" s="2">
        <v>9120.76</v>
      </c>
      <c r="L507" s="2">
        <v>115.35</v>
      </c>
      <c r="M507" s="2">
        <v>173.42</v>
      </c>
      <c r="N507" s="2" t="s">
        <v>30</v>
      </c>
      <c r="O507" s="2">
        <v>1</v>
      </c>
    </row>
    <row r="508" spans="1:15" x14ac:dyDescent="0.3">
      <c r="A508" s="2" t="s">
        <v>563</v>
      </c>
      <c r="B508" s="2" t="s">
        <v>82</v>
      </c>
      <c r="C508" s="1">
        <v>45925</v>
      </c>
      <c r="D508" s="2" t="s">
        <v>16</v>
      </c>
      <c r="E508" s="2" t="s">
        <v>26</v>
      </c>
      <c r="F508" s="2" t="s">
        <v>34</v>
      </c>
      <c r="G508" s="2" t="s">
        <v>20</v>
      </c>
      <c r="H508" s="2" t="s">
        <v>56</v>
      </c>
      <c r="I508" s="2">
        <v>74</v>
      </c>
      <c r="J508" s="2">
        <v>110</v>
      </c>
      <c r="K508" s="2">
        <v>27570.62</v>
      </c>
      <c r="L508" s="2">
        <v>285.94</v>
      </c>
      <c r="M508" s="2">
        <v>190.53</v>
      </c>
      <c r="N508" s="2" t="s">
        <v>30</v>
      </c>
      <c r="O508" s="2">
        <v>5</v>
      </c>
    </row>
    <row r="509" spans="1:15" x14ac:dyDescent="0.3">
      <c r="A509" s="2" t="s">
        <v>564</v>
      </c>
      <c r="B509" s="2" t="s">
        <v>86</v>
      </c>
      <c r="C509" s="1">
        <v>46215</v>
      </c>
      <c r="D509" s="2" t="s">
        <v>90</v>
      </c>
      <c r="E509" s="2" t="s">
        <v>38</v>
      </c>
      <c r="F509" s="2" t="s">
        <v>34</v>
      </c>
      <c r="G509" s="2" t="s">
        <v>35</v>
      </c>
      <c r="H509" s="2" t="s">
        <v>29</v>
      </c>
      <c r="I509" s="2">
        <v>46</v>
      </c>
      <c r="J509" s="2">
        <v>97</v>
      </c>
      <c r="K509" s="2">
        <v>35865.75</v>
      </c>
      <c r="L509" s="2">
        <v>483.33</v>
      </c>
      <c r="M509" s="2">
        <v>121.46</v>
      </c>
      <c r="N509" s="2" t="s">
        <v>22</v>
      </c>
      <c r="O509" s="2">
        <v>4</v>
      </c>
    </row>
    <row r="510" spans="1:15" x14ac:dyDescent="0.3">
      <c r="A510" s="2" t="s">
        <v>565</v>
      </c>
      <c r="B510" s="2" t="s">
        <v>33</v>
      </c>
      <c r="C510" s="1">
        <v>46084</v>
      </c>
      <c r="D510" s="2" t="s">
        <v>43</v>
      </c>
      <c r="E510" s="2" t="s">
        <v>58</v>
      </c>
      <c r="F510" s="2" t="s">
        <v>19</v>
      </c>
      <c r="G510" s="2" t="s">
        <v>64</v>
      </c>
      <c r="H510" s="2" t="s">
        <v>21</v>
      </c>
      <c r="I510" s="2">
        <v>36</v>
      </c>
      <c r="J510" s="2">
        <v>18</v>
      </c>
      <c r="K510" s="2">
        <v>22509.07</v>
      </c>
      <c r="L510" s="2">
        <v>323.45999999999998</v>
      </c>
      <c r="M510" s="2">
        <v>101.27</v>
      </c>
      <c r="N510" s="2" t="s">
        <v>30</v>
      </c>
      <c r="O510" s="2">
        <v>5</v>
      </c>
    </row>
    <row r="511" spans="1:15" x14ac:dyDescent="0.3">
      <c r="A511" s="2" t="s">
        <v>566</v>
      </c>
      <c r="B511" s="2" t="s">
        <v>60</v>
      </c>
      <c r="C511" s="1">
        <v>46235</v>
      </c>
      <c r="D511" s="2" t="s">
        <v>41</v>
      </c>
      <c r="E511" s="2" t="s">
        <v>18</v>
      </c>
      <c r="F511" s="2" t="s">
        <v>68</v>
      </c>
      <c r="G511" s="2" t="s">
        <v>35</v>
      </c>
      <c r="H511" s="2" t="s">
        <v>21</v>
      </c>
      <c r="I511" s="2">
        <v>55</v>
      </c>
      <c r="J511" s="2">
        <v>71</v>
      </c>
      <c r="K511" s="2">
        <v>1840.52</v>
      </c>
      <c r="L511" s="2">
        <v>492.52</v>
      </c>
      <c r="M511" s="2">
        <v>194.3</v>
      </c>
      <c r="N511" s="2" t="s">
        <v>30</v>
      </c>
      <c r="O511" s="2">
        <v>4</v>
      </c>
    </row>
    <row r="512" spans="1:15" x14ac:dyDescent="0.3">
      <c r="A512" s="2" t="s">
        <v>567</v>
      </c>
      <c r="B512" s="2" t="s">
        <v>47</v>
      </c>
      <c r="C512" s="1">
        <v>45939</v>
      </c>
      <c r="D512" s="2" t="s">
        <v>43</v>
      </c>
      <c r="E512" s="2" t="s">
        <v>38</v>
      </c>
      <c r="F512" s="2" t="s">
        <v>39</v>
      </c>
      <c r="G512" s="2" t="s">
        <v>64</v>
      </c>
      <c r="H512" s="2" t="s">
        <v>52</v>
      </c>
      <c r="I512" s="2">
        <v>40</v>
      </c>
      <c r="J512" s="2">
        <v>65</v>
      </c>
      <c r="K512" s="2">
        <v>22738.77</v>
      </c>
      <c r="L512" s="2">
        <v>428.5</v>
      </c>
      <c r="M512" s="2">
        <v>55.25</v>
      </c>
      <c r="N512" s="2" t="s">
        <v>22</v>
      </c>
      <c r="O512" s="2">
        <v>1</v>
      </c>
    </row>
    <row r="513" spans="1:15" x14ac:dyDescent="0.3">
      <c r="A513" s="2" t="s">
        <v>568</v>
      </c>
      <c r="B513" s="2" t="s">
        <v>17</v>
      </c>
      <c r="C513" s="1">
        <v>46024</v>
      </c>
      <c r="D513" s="2" t="s">
        <v>54</v>
      </c>
      <c r="E513" s="2" t="s">
        <v>38</v>
      </c>
      <c r="F513" s="2" t="s">
        <v>34</v>
      </c>
      <c r="G513" s="2" t="s">
        <v>64</v>
      </c>
      <c r="H513" s="2" t="s">
        <v>21</v>
      </c>
      <c r="I513" s="2">
        <v>66</v>
      </c>
      <c r="J513" s="2">
        <v>97</v>
      </c>
      <c r="K513" s="2">
        <v>15174.02</v>
      </c>
      <c r="L513" s="2">
        <v>66.180000000000007</v>
      </c>
      <c r="M513" s="2">
        <v>158.47999999999999</v>
      </c>
      <c r="N513" s="2" t="s">
        <v>22</v>
      </c>
      <c r="O513" s="2">
        <v>1</v>
      </c>
    </row>
    <row r="514" spans="1:15" x14ac:dyDescent="0.3">
      <c r="A514" s="2" t="s">
        <v>569</v>
      </c>
      <c r="B514" s="2" t="s">
        <v>67</v>
      </c>
      <c r="C514" s="1">
        <v>46000</v>
      </c>
      <c r="D514" s="2" t="s">
        <v>90</v>
      </c>
      <c r="E514" s="2" t="s">
        <v>18</v>
      </c>
      <c r="F514" s="2" t="s">
        <v>68</v>
      </c>
      <c r="G514" s="2" t="s">
        <v>55</v>
      </c>
      <c r="H514" s="2" t="s">
        <v>21</v>
      </c>
      <c r="I514" s="2">
        <v>23</v>
      </c>
      <c r="J514" s="2">
        <v>1</v>
      </c>
      <c r="K514" s="2">
        <v>46517.66</v>
      </c>
      <c r="L514" s="2">
        <v>346.28</v>
      </c>
      <c r="M514" s="2">
        <v>45.05</v>
      </c>
      <c r="N514" s="2" t="s">
        <v>22</v>
      </c>
      <c r="O514" s="2">
        <v>4</v>
      </c>
    </row>
    <row r="515" spans="1:15" x14ac:dyDescent="0.3">
      <c r="A515" s="2" t="s">
        <v>570</v>
      </c>
      <c r="B515" s="2" t="s">
        <v>76</v>
      </c>
      <c r="C515" s="1">
        <v>46139</v>
      </c>
      <c r="D515" s="2" t="s">
        <v>54</v>
      </c>
      <c r="E515" s="2" t="s">
        <v>38</v>
      </c>
      <c r="F515" s="2" t="s">
        <v>34</v>
      </c>
      <c r="G515" s="2" t="s">
        <v>64</v>
      </c>
      <c r="H515" s="2" t="s">
        <v>29</v>
      </c>
      <c r="I515" s="2">
        <v>21</v>
      </c>
      <c r="J515" s="2">
        <v>88</v>
      </c>
      <c r="K515" s="2">
        <v>6668.36</v>
      </c>
      <c r="L515" s="2">
        <v>179.05</v>
      </c>
      <c r="M515" s="2">
        <v>204.44</v>
      </c>
      <c r="N515" s="2" t="s">
        <v>22</v>
      </c>
      <c r="O515" s="2">
        <v>1</v>
      </c>
    </row>
    <row r="516" spans="1:15" x14ac:dyDescent="0.3">
      <c r="A516" s="2" t="s">
        <v>571</v>
      </c>
      <c r="B516" s="2" t="s">
        <v>44</v>
      </c>
      <c r="C516" s="1">
        <v>46046</v>
      </c>
      <c r="D516" s="2" t="s">
        <v>16</v>
      </c>
      <c r="E516" s="2" t="s">
        <v>58</v>
      </c>
      <c r="F516" s="2" t="s">
        <v>39</v>
      </c>
      <c r="G516" s="2" t="s">
        <v>64</v>
      </c>
      <c r="H516" s="2" t="s">
        <v>56</v>
      </c>
      <c r="I516" s="2">
        <v>73</v>
      </c>
      <c r="J516" s="2">
        <v>4</v>
      </c>
      <c r="K516" s="2">
        <v>32797.56</v>
      </c>
      <c r="L516" s="2">
        <v>301.83</v>
      </c>
      <c r="M516" s="2">
        <v>50.72</v>
      </c>
      <c r="N516" s="2" t="s">
        <v>30</v>
      </c>
      <c r="O516" s="2">
        <v>1</v>
      </c>
    </row>
    <row r="517" spans="1:15" x14ac:dyDescent="0.3">
      <c r="A517" s="2" t="s">
        <v>572</v>
      </c>
      <c r="B517" s="2" t="s">
        <v>82</v>
      </c>
      <c r="C517" s="1">
        <v>46184</v>
      </c>
      <c r="D517" s="2" t="s">
        <v>74</v>
      </c>
      <c r="E517" s="2" t="s">
        <v>58</v>
      </c>
      <c r="F517" s="2" t="s">
        <v>34</v>
      </c>
      <c r="G517" s="2" t="s">
        <v>28</v>
      </c>
      <c r="H517" s="2" t="s">
        <v>29</v>
      </c>
      <c r="I517" s="2">
        <v>67</v>
      </c>
      <c r="J517" s="2">
        <v>4</v>
      </c>
      <c r="K517" s="2">
        <v>3109.63</v>
      </c>
      <c r="L517" s="2">
        <v>175.71</v>
      </c>
      <c r="M517" s="2">
        <v>265.12</v>
      </c>
      <c r="N517" s="2" t="s">
        <v>30</v>
      </c>
      <c r="O517" s="2">
        <v>2</v>
      </c>
    </row>
    <row r="518" spans="1:15" x14ac:dyDescent="0.3">
      <c r="A518" s="2" t="s">
        <v>573</v>
      </c>
      <c r="B518" s="2" t="s">
        <v>76</v>
      </c>
      <c r="C518" s="1">
        <v>46212</v>
      </c>
      <c r="D518" s="2" t="s">
        <v>54</v>
      </c>
      <c r="E518" s="2" t="s">
        <v>18</v>
      </c>
      <c r="F518" s="2" t="s">
        <v>19</v>
      </c>
      <c r="G518" s="2" t="s">
        <v>20</v>
      </c>
      <c r="H518" s="2" t="s">
        <v>56</v>
      </c>
      <c r="I518" s="2">
        <v>21</v>
      </c>
      <c r="J518" s="2">
        <v>82</v>
      </c>
      <c r="K518" s="2">
        <v>22585.439999999999</v>
      </c>
      <c r="L518" s="2">
        <v>206.99</v>
      </c>
      <c r="M518" s="2">
        <v>112.3</v>
      </c>
      <c r="N518" s="2" t="s">
        <v>22</v>
      </c>
      <c r="O518" s="2">
        <v>5</v>
      </c>
    </row>
    <row r="519" spans="1:15" x14ac:dyDescent="0.3">
      <c r="A519" s="2" t="s">
        <v>574</v>
      </c>
      <c r="B519" s="2" t="s">
        <v>33</v>
      </c>
      <c r="C519" s="1">
        <v>46053</v>
      </c>
      <c r="D519" s="2" t="s">
        <v>41</v>
      </c>
      <c r="E519" s="2" t="s">
        <v>45</v>
      </c>
      <c r="F519" s="2" t="s">
        <v>19</v>
      </c>
      <c r="G519" s="2" t="s">
        <v>55</v>
      </c>
      <c r="H519" s="2" t="s">
        <v>52</v>
      </c>
      <c r="I519" s="2">
        <v>37</v>
      </c>
      <c r="J519" s="2">
        <v>27</v>
      </c>
      <c r="K519" s="2">
        <v>27921.98</v>
      </c>
      <c r="L519" s="2">
        <v>465.43</v>
      </c>
      <c r="M519" s="2">
        <v>37.19</v>
      </c>
      <c r="N519" s="2" t="s">
        <v>22</v>
      </c>
      <c r="O519" s="2">
        <v>5</v>
      </c>
    </row>
    <row r="520" spans="1:15" x14ac:dyDescent="0.3">
      <c r="A520" s="2" t="s">
        <v>575</v>
      </c>
      <c r="B520" s="2" t="s">
        <v>17</v>
      </c>
      <c r="C520" s="1">
        <v>46007</v>
      </c>
      <c r="D520" s="2" t="s">
        <v>43</v>
      </c>
      <c r="E520" s="2" t="s">
        <v>26</v>
      </c>
      <c r="F520" s="2" t="s">
        <v>34</v>
      </c>
      <c r="G520" s="2" t="s">
        <v>55</v>
      </c>
      <c r="H520" s="2" t="s">
        <v>21</v>
      </c>
      <c r="I520" s="2">
        <v>22</v>
      </c>
      <c r="J520" s="2">
        <v>43</v>
      </c>
      <c r="K520" s="2">
        <v>15248.77</v>
      </c>
      <c r="L520" s="2">
        <v>142.99</v>
      </c>
      <c r="M520" s="2">
        <v>44.87</v>
      </c>
      <c r="N520" s="2" t="s">
        <v>22</v>
      </c>
      <c r="O520" s="2">
        <v>5</v>
      </c>
    </row>
    <row r="521" spans="1:15" x14ac:dyDescent="0.3">
      <c r="A521" s="2" t="s">
        <v>576</v>
      </c>
      <c r="B521" s="2" t="s">
        <v>17</v>
      </c>
      <c r="C521" s="1">
        <v>46062</v>
      </c>
      <c r="D521" s="2" t="s">
        <v>74</v>
      </c>
      <c r="E521" s="2" t="s">
        <v>45</v>
      </c>
      <c r="F521" s="2" t="s">
        <v>68</v>
      </c>
      <c r="G521" s="2" t="s">
        <v>55</v>
      </c>
      <c r="H521" s="2" t="s">
        <v>52</v>
      </c>
      <c r="I521" s="2">
        <v>49</v>
      </c>
      <c r="J521" s="2">
        <v>59</v>
      </c>
      <c r="K521" s="2">
        <v>23026.240000000002</v>
      </c>
      <c r="L521" s="2">
        <v>443.35</v>
      </c>
      <c r="M521" s="2">
        <v>98.77</v>
      </c>
      <c r="N521" s="2" t="s">
        <v>30</v>
      </c>
      <c r="O521" s="2">
        <v>3</v>
      </c>
    </row>
    <row r="522" spans="1:15" x14ac:dyDescent="0.3">
      <c r="A522" s="2" t="s">
        <v>577</v>
      </c>
      <c r="B522" s="2" t="s">
        <v>49</v>
      </c>
      <c r="C522" s="1">
        <v>46130</v>
      </c>
      <c r="D522" s="2" t="s">
        <v>43</v>
      </c>
      <c r="E522" s="2" t="s">
        <v>38</v>
      </c>
      <c r="F522" s="2" t="s">
        <v>68</v>
      </c>
      <c r="G522" s="2" t="s">
        <v>28</v>
      </c>
      <c r="H522" s="2" t="s">
        <v>56</v>
      </c>
      <c r="I522" s="2">
        <v>40</v>
      </c>
      <c r="J522" s="2">
        <v>32</v>
      </c>
      <c r="K522" s="2">
        <v>8595.91</v>
      </c>
      <c r="L522" s="2">
        <v>63.71</v>
      </c>
      <c r="M522" s="2">
        <v>192.32</v>
      </c>
      <c r="N522" s="2" t="s">
        <v>22</v>
      </c>
      <c r="O522" s="2">
        <v>2</v>
      </c>
    </row>
    <row r="523" spans="1:15" x14ac:dyDescent="0.3">
      <c r="A523" s="2" t="s">
        <v>578</v>
      </c>
      <c r="B523" s="2" t="s">
        <v>25</v>
      </c>
      <c r="C523" s="1">
        <v>45998</v>
      </c>
      <c r="D523" s="2" t="s">
        <v>54</v>
      </c>
      <c r="E523" s="2" t="s">
        <v>26</v>
      </c>
      <c r="F523" s="2" t="s">
        <v>68</v>
      </c>
      <c r="G523" s="2" t="s">
        <v>64</v>
      </c>
      <c r="H523" s="2" t="s">
        <v>29</v>
      </c>
      <c r="I523" s="2">
        <v>26</v>
      </c>
      <c r="J523" s="2">
        <v>33</v>
      </c>
      <c r="K523" s="2">
        <v>15554.13</v>
      </c>
      <c r="L523" s="2">
        <v>90.89</v>
      </c>
      <c r="M523" s="2">
        <v>230.9</v>
      </c>
      <c r="N523" s="2" t="s">
        <v>30</v>
      </c>
      <c r="O523" s="2">
        <v>5</v>
      </c>
    </row>
    <row r="524" spans="1:15" x14ac:dyDescent="0.3">
      <c r="A524" s="2" t="s">
        <v>579</v>
      </c>
      <c r="B524" s="2" t="s">
        <v>25</v>
      </c>
      <c r="C524" s="1">
        <v>46174</v>
      </c>
      <c r="D524" s="2" t="s">
        <v>43</v>
      </c>
      <c r="E524" s="2" t="s">
        <v>18</v>
      </c>
      <c r="F524" s="2" t="s">
        <v>34</v>
      </c>
      <c r="G524" s="2" t="s">
        <v>20</v>
      </c>
      <c r="H524" s="2" t="s">
        <v>29</v>
      </c>
      <c r="I524" s="2">
        <v>28</v>
      </c>
      <c r="J524" s="2">
        <v>28</v>
      </c>
      <c r="K524" s="2">
        <v>31244.76</v>
      </c>
      <c r="L524" s="2">
        <v>434.6</v>
      </c>
      <c r="M524" s="2">
        <v>146.49</v>
      </c>
      <c r="N524" s="2" t="s">
        <v>30</v>
      </c>
      <c r="O524" s="2">
        <v>5</v>
      </c>
    </row>
    <row r="525" spans="1:15" x14ac:dyDescent="0.3">
      <c r="A525" s="2" t="s">
        <v>580</v>
      </c>
      <c r="B525" s="2" t="s">
        <v>47</v>
      </c>
      <c r="C525" s="1">
        <v>46081</v>
      </c>
      <c r="D525" s="2" t="s">
        <v>16</v>
      </c>
      <c r="E525" s="2" t="s">
        <v>18</v>
      </c>
      <c r="F525" s="2" t="s">
        <v>68</v>
      </c>
      <c r="G525" s="2" t="s">
        <v>35</v>
      </c>
      <c r="H525" s="2" t="s">
        <v>52</v>
      </c>
      <c r="I525" s="2">
        <v>49</v>
      </c>
      <c r="J525" s="2">
        <v>106</v>
      </c>
      <c r="K525" s="2">
        <v>15439.1</v>
      </c>
      <c r="L525" s="2">
        <v>333.75</v>
      </c>
      <c r="M525" s="2">
        <v>67.540000000000006</v>
      </c>
      <c r="N525" s="2" t="s">
        <v>30</v>
      </c>
      <c r="O525" s="2">
        <v>2</v>
      </c>
    </row>
    <row r="526" spans="1:15" x14ac:dyDescent="0.3">
      <c r="A526" s="2" t="s">
        <v>581</v>
      </c>
      <c r="B526" s="2" t="s">
        <v>49</v>
      </c>
      <c r="C526" s="1">
        <v>46092</v>
      </c>
      <c r="D526" s="2" t="s">
        <v>74</v>
      </c>
      <c r="E526" s="2" t="s">
        <v>26</v>
      </c>
      <c r="F526" s="2" t="s">
        <v>39</v>
      </c>
      <c r="G526" s="2" t="s">
        <v>64</v>
      </c>
      <c r="H526" s="2" t="s">
        <v>56</v>
      </c>
      <c r="I526" s="2">
        <v>68</v>
      </c>
      <c r="J526" s="2">
        <v>105</v>
      </c>
      <c r="K526" s="2">
        <v>45037.279999999999</v>
      </c>
      <c r="L526" s="2">
        <v>386.26</v>
      </c>
      <c r="M526" s="2">
        <v>109.85</v>
      </c>
      <c r="N526" s="2" t="s">
        <v>30</v>
      </c>
      <c r="O526" s="2">
        <v>1</v>
      </c>
    </row>
    <row r="527" spans="1:15" x14ac:dyDescent="0.3">
      <c r="A527" s="2" t="s">
        <v>582</v>
      </c>
      <c r="B527" s="2" t="s">
        <v>78</v>
      </c>
      <c r="C527" s="1">
        <v>46211</v>
      </c>
      <c r="D527" s="2" t="s">
        <v>16</v>
      </c>
      <c r="E527" s="2" t="s">
        <v>58</v>
      </c>
      <c r="F527" s="2" t="s">
        <v>19</v>
      </c>
      <c r="G527" s="2" t="s">
        <v>28</v>
      </c>
      <c r="H527" s="2" t="s">
        <v>52</v>
      </c>
      <c r="I527" s="2">
        <v>71</v>
      </c>
      <c r="J527" s="2">
        <v>55</v>
      </c>
      <c r="K527" s="2">
        <v>31606.14</v>
      </c>
      <c r="L527" s="2">
        <v>144.24</v>
      </c>
      <c r="M527" s="2">
        <v>149.66999999999999</v>
      </c>
      <c r="N527" s="2" t="s">
        <v>30</v>
      </c>
      <c r="O527" s="2">
        <v>5</v>
      </c>
    </row>
    <row r="528" spans="1:15" x14ac:dyDescent="0.3">
      <c r="A528" s="2" t="s">
        <v>583</v>
      </c>
      <c r="B528" s="2" t="s">
        <v>47</v>
      </c>
      <c r="C528" s="1">
        <v>46078</v>
      </c>
      <c r="D528" s="2" t="s">
        <v>54</v>
      </c>
      <c r="E528" s="2" t="s">
        <v>26</v>
      </c>
      <c r="F528" s="2" t="s">
        <v>39</v>
      </c>
      <c r="G528" s="2" t="s">
        <v>64</v>
      </c>
      <c r="H528" s="2" t="s">
        <v>52</v>
      </c>
      <c r="I528" s="2">
        <v>53</v>
      </c>
      <c r="J528" s="2">
        <v>100</v>
      </c>
      <c r="K528" s="2">
        <v>22213.13</v>
      </c>
      <c r="L528" s="2">
        <v>291.69</v>
      </c>
      <c r="M528" s="2">
        <v>156.79</v>
      </c>
      <c r="N528" s="2" t="s">
        <v>30</v>
      </c>
      <c r="O528" s="2">
        <v>1</v>
      </c>
    </row>
    <row r="529" spans="1:15" x14ac:dyDescent="0.3">
      <c r="A529" s="2" t="s">
        <v>584</v>
      </c>
      <c r="B529" s="2" t="s">
        <v>78</v>
      </c>
      <c r="C529" s="1">
        <v>46097</v>
      </c>
      <c r="D529" s="2" t="s">
        <v>16</v>
      </c>
      <c r="E529" s="2" t="s">
        <v>38</v>
      </c>
      <c r="F529" s="2" t="s">
        <v>68</v>
      </c>
      <c r="G529" s="2" t="s">
        <v>64</v>
      </c>
      <c r="H529" s="2" t="s">
        <v>21</v>
      </c>
      <c r="I529" s="2">
        <v>23</v>
      </c>
      <c r="J529" s="2">
        <v>60</v>
      </c>
      <c r="K529" s="2">
        <v>2418.4699999999998</v>
      </c>
      <c r="L529" s="2">
        <v>381.75</v>
      </c>
      <c r="M529" s="2">
        <v>64.92</v>
      </c>
      <c r="N529" s="2" t="s">
        <v>30</v>
      </c>
      <c r="O529" s="2">
        <v>5</v>
      </c>
    </row>
    <row r="530" spans="1:15" x14ac:dyDescent="0.3">
      <c r="A530" s="2" t="s">
        <v>585</v>
      </c>
      <c r="B530" s="2" t="s">
        <v>25</v>
      </c>
      <c r="C530" s="1">
        <v>45912</v>
      </c>
      <c r="D530" s="2" t="s">
        <v>41</v>
      </c>
      <c r="E530" s="2" t="s">
        <v>58</v>
      </c>
      <c r="F530" s="2" t="s">
        <v>39</v>
      </c>
      <c r="G530" s="2" t="s">
        <v>28</v>
      </c>
      <c r="H530" s="2" t="s">
        <v>52</v>
      </c>
      <c r="I530" s="2">
        <v>55</v>
      </c>
      <c r="J530" s="2">
        <v>70</v>
      </c>
      <c r="K530" s="2">
        <v>25227.64</v>
      </c>
      <c r="L530" s="2">
        <v>332.29</v>
      </c>
      <c r="M530" s="2">
        <v>144.22999999999999</v>
      </c>
      <c r="N530" s="2" t="s">
        <v>30</v>
      </c>
      <c r="O530" s="2">
        <v>4</v>
      </c>
    </row>
    <row r="531" spans="1:15" x14ac:dyDescent="0.3">
      <c r="A531" s="2" t="s">
        <v>586</v>
      </c>
      <c r="B531" s="2" t="s">
        <v>49</v>
      </c>
      <c r="C531" s="1">
        <v>46153</v>
      </c>
      <c r="D531" s="2" t="s">
        <v>54</v>
      </c>
      <c r="E531" s="2" t="s">
        <v>18</v>
      </c>
      <c r="F531" s="2" t="s">
        <v>68</v>
      </c>
      <c r="G531" s="2" t="s">
        <v>55</v>
      </c>
      <c r="H531" s="2" t="s">
        <v>21</v>
      </c>
      <c r="I531" s="2">
        <v>25</v>
      </c>
      <c r="J531" s="2">
        <v>62</v>
      </c>
      <c r="K531" s="2">
        <v>38356.42</v>
      </c>
      <c r="L531" s="2">
        <v>262.26</v>
      </c>
      <c r="M531" s="2">
        <v>131.56</v>
      </c>
      <c r="N531" s="2" t="s">
        <v>22</v>
      </c>
      <c r="O531" s="2">
        <v>3</v>
      </c>
    </row>
    <row r="532" spans="1:15" x14ac:dyDescent="0.3">
      <c r="A532" s="2" t="s">
        <v>587</v>
      </c>
      <c r="B532" s="2" t="s">
        <v>78</v>
      </c>
      <c r="C532" s="1">
        <v>46134</v>
      </c>
      <c r="D532" s="2" t="s">
        <v>54</v>
      </c>
      <c r="E532" s="2" t="s">
        <v>26</v>
      </c>
      <c r="F532" s="2" t="s">
        <v>34</v>
      </c>
      <c r="G532" s="2" t="s">
        <v>55</v>
      </c>
      <c r="H532" s="2" t="s">
        <v>21</v>
      </c>
      <c r="I532" s="2">
        <v>47</v>
      </c>
      <c r="J532" s="2">
        <v>80</v>
      </c>
      <c r="K532" s="2">
        <v>13645.1</v>
      </c>
      <c r="L532" s="2">
        <v>481.9</v>
      </c>
      <c r="M532" s="2">
        <v>191.82</v>
      </c>
      <c r="N532" s="2" t="s">
        <v>22</v>
      </c>
      <c r="O532" s="2">
        <v>5</v>
      </c>
    </row>
    <row r="533" spans="1:15" x14ac:dyDescent="0.3">
      <c r="A533" s="2" t="s">
        <v>588</v>
      </c>
      <c r="B533" s="2" t="s">
        <v>44</v>
      </c>
      <c r="C533" s="1">
        <v>46009</v>
      </c>
      <c r="D533" s="2" t="s">
        <v>54</v>
      </c>
      <c r="E533" s="2" t="s">
        <v>45</v>
      </c>
      <c r="F533" s="2" t="s">
        <v>39</v>
      </c>
      <c r="G533" s="2" t="s">
        <v>20</v>
      </c>
      <c r="H533" s="2" t="s">
        <v>29</v>
      </c>
      <c r="I533" s="2">
        <v>64</v>
      </c>
      <c r="J533" s="2">
        <v>34</v>
      </c>
      <c r="K533" s="2">
        <v>40435.29</v>
      </c>
      <c r="L533" s="2">
        <v>354.27</v>
      </c>
      <c r="M533" s="2">
        <v>279.33</v>
      </c>
      <c r="N533" s="2" t="s">
        <v>30</v>
      </c>
      <c r="O533" s="2">
        <v>4</v>
      </c>
    </row>
    <row r="534" spans="1:15" x14ac:dyDescent="0.3">
      <c r="A534" s="2" t="s">
        <v>589</v>
      </c>
      <c r="B534" s="2" t="s">
        <v>49</v>
      </c>
      <c r="C534" s="1">
        <v>46081</v>
      </c>
      <c r="D534" s="2" t="s">
        <v>90</v>
      </c>
      <c r="E534" s="2" t="s">
        <v>45</v>
      </c>
      <c r="F534" s="2" t="s">
        <v>34</v>
      </c>
      <c r="G534" s="2" t="s">
        <v>20</v>
      </c>
      <c r="H534" s="2" t="s">
        <v>21</v>
      </c>
      <c r="I534" s="2">
        <v>32</v>
      </c>
      <c r="J534" s="2">
        <v>87</v>
      </c>
      <c r="K534" s="2">
        <v>12964.43</v>
      </c>
      <c r="L534" s="2">
        <v>458.49</v>
      </c>
      <c r="M534" s="2">
        <v>157.88</v>
      </c>
      <c r="N534" s="2" t="s">
        <v>30</v>
      </c>
      <c r="O534" s="2">
        <v>2</v>
      </c>
    </row>
    <row r="535" spans="1:15" x14ac:dyDescent="0.3">
      <c r="A535" s="2" t="s">
        <v>590</v>
      </c>
      <c r="B535" s="2" t="s">
        <v>25</v>
      </c>
      <c r="C535" s="1">
        <v>46230</v>
      </c>
      <c r="D535" s="2" t="s">
        <v>43</v>
      </c>
      <c r="E535" s="2" t="s">
        <v>38</v>
      </c>
      <c r="F535" s="2" t="s">
        <v>34</v>
      </c>
      <c r="G535" s="2" t="s">
        <v>55</v>
      </c>
      <c r="H535" s="2" t="s">
        <v>21</v>
      </c>
      <c r="I535" s="2">
        <v>40</v>
      </c>
      <c r="J535" s="2">
        <v>114</v>
      </c>
      <c r="K535" s="2">
        <v>41275.449999999997</v>
      </c>
      <c r="L535" s="2">
        <v>378.4</v>
      </c>
      <c r="M535" s="2">
        <v>144.68</v>
      </c>
      <c r="N535" s="2" t="s">
        <v>22</v>
      </c>
      <c r="O535" s="2">
        <v>4</v>
      </c>
    </row>
    <row r="536" spans="1:15" x14ac:dyDescent="0.3">
      <c r="A536" s="2" t="s">
        <v>591</v>
      </c>
      <c r="B536" s="2" t="s">
        <v>47</v>
      </c>
      <c r="C536" s="1">
        <v>46155</v>
      </c>
      <c r="D536" s="2" t="s">
        <v>90</v>
      </c>
      <c r="E536" s="2" t="s">
        <v>45</v>
      </c>
      <c r="F536" s="2" t="s">
        <v>27</v>
      </c>
      <c r="G536" s="2" t="s">
        <v>35</v>
      </c>
      <c r="H536" s="2" t="s">
        <v>29</v>
      </c>
      <c r="I536" s="2">
        <v>65</v>
      </c>
      <c r="J536" s="2">
        <v>106</v>
      </c>
      <c r="K536" s="2">
        <v>4720.78</v>
      </c>
      <c r="L536" s="2">
        <v>380.96</v>
      </c>
      <c r="M536" s="2">
        <v>82.22</v>
      </c>
      <c r="N536" s="2" t="s">
        <v>30</v>
      </c>
      <c r="O536" s="2">
        <v>2</v>
      </c>
    </row>
    <row r="537" spans="1:15" x14ac:dyDescent="0.3">
      <c r="A537" s="2" t="s">
        <v>592</v>
      </c>
      <c r="B537" s="2" t="s">
        <v>51</v>
      </c>
      <c r="C537" s="1">
        <v>46069</v>
      </c>
      <c r="D537" s="2" t="s">
        <v>90</v>
      </c>
      <c r="E537" s="2" t="s">
        <v>26</v>
      </c>
      <c r="F537" s="2" t="s">
        <v>68</v>
      </c>
      <c r="G537" s="2" t="s">
        <v>64</v>
      </c>
      <c r="H537" s="2" t="s">
        <v>52</v>
      </c>
      <c r="I537" s="2">
        <v>40</v>
      </c>
      <c r="J537" s="2">
        <v>88</v>
      </c>
      <c r="K537" s="2">
        <v>43376.09</v>
      </c>
      <c r="L537" s="2">
        <v>86.01</v>
      </c>
      <c r="M537" s="2">
        <v>169.19</v>
      </c>
      <c r="N537" s="2" t="s">
        <v>30</v>
      </c>
      <c r="O537" s="2">
        <v>5</v>
      </c>
    </row>
    <row r="538" spans="1:15" x14ac:dyDescent="0.3">
      <c r="A538" s="2" t="s">
        <v>593</v>
      </c>
      <c r="B538" s="2" t="s">
        <v>49</v>
      </c>
      <c r="C538" s="1">
        <v>46007</v>
      </c>
      <c r="D538" s="2" t="s">
        <v>41</v>
      </c>
      <c r="E538" s="2" t="s">
        <v>26</v>
      </c>
      <c r="F538" s="2" t="s">
        <v>19</v>
      </c>
      <c r="G538" s="2" t="s">
        <v>35</v>
      </c>
      <c r="H538" s="2" t="s">
        <v>56</v>
      </c>
      <c r="I538" s="2">
        <v>29</v>
      </c>
      <c r="J538" s="2">
        <v>56</v>
      </c>
      <c r="K538" s="2">
        <v>25209.73</v>
      </c>
      <c r="L538" s="2">
        <v>211.76</v>
      </c>
      <c r="M538" s="2">
        <v>85.5</v>
      </c>
      <c r="N538" s="2" t="s">
        <v>30</v>
      </c>
      <c r="O538" s="2">
        <v>2</v>
      </c>
    </row>
    <row r="539" spans="1:15" x14ac:dyDescent="0.3">
      <c r="A539" s="2" t="s">
        <v>594</v>
      </c>
      <c r="B539" s="2" t="s">
        <v>67</v>
      </c>
      <c r="C539" s="1">
        <v>46209</v>
      </c>
      <c r="D539" s="2" t="s">
        <v>74</v>
      </c>
      <c r="E539" s="2" t="s">
        <v>45</v>
      </c>
      <c r="F539" s="2" t="s">
        <v>68</v>
      </c>
      <c r="G539" s="2" t="s">
        <v>64</v>
      </c>
      <c r="H539" s="2" t="s">
        <v>56</v>
      </c>
      <c r="I539" s="2">
        <v>59</v>
      </c>
      <c r="J539" s="2">
        <v>113</v>
      </c>
      <c r="K539" s="2">
        <v>15178.61</v>
      </c>
      <c r="L539" s="2">
        <v>436.27</v>
      </c>
      <c r="M539" s="2">
        <v>54.45</v>
      </c>
      <c r="N539" s="2" t="s">
        <v>22</v>
      </c>
      <c r="O539" s="2">
        <v>4</v>
      </c>
    </row>
    <row r="540" spans="1:15" x14ac:dyDescent="0.3">
      <c r="A540" s="2" t="s">
        <v>595</v>
      </c>
      <c r="B540" s="2" t="s">
        <v>82</v>
      </c>
      <c r="C540" s="1">
        <v>46107</v>
      </c>
      <c r="D540" s="2" t="s">
        <v>43</v>
      </c>
      <c r="E540" s="2" t="s">
        <v>26</v>
      </c>
      <c r="F540" s="2" t="s">
        <v>19</v>
      </c>
      <c r="G540" s="2" t="s">
        <v>55</v>
      </c>
      <c r="H540" s="2" t="s">
        <v>56</v>
      </c>
      <c r="I540" s="2">
        <v>24</v>
      </c>
      <c r="J540" s="2">
        <v>13</v>
      </c>
      <c r="K540" s="2">
        <v>13623.11</v>
      </c>
      <c r="L540" s="2">
        <v>154.66999999999999</v>
      </c>
      <c r="M540" s="2">
        <v>76.83</v>
      </c>
      <c r="N540" s="2" t="s">
        <v>30</v>
      </c>
      <c r="O540" s="2">
        <v>3</v>
      </c>
    </row>
    <row r="541" spans="1:15" x14ac:dyDescent="0.3">
      <c r="A541" s="2" t="s">
        <v>596</v>
      </c>
      <c r="B541" s="2" t="s">
        <v>25</v>
      </c>
      <c r="C541" s="1">
        <v>46063</v>
      </c>
      <c r="D541" s="2" t="s">
        <v>16</v>
      </c>
      <c r="E541" s="2" t="s">
        <v>38</v>
      </c>
      <c r="F541" s="2" t="s">
        <v>68</v>
      </c>
      <c r="G541" s="2" t="s">
        <v>20</v>
      </c>
      <c r="H541" s="2" t="s">
        <v>52</v>
      </c>
      <c r="I541" s="2">
        <v>71</v>
      </c>
      <c r="J541" s="2">
        <v>56</v>
      </c>
      <c r="K541" s="2">
        <v>21884.52</v>
      </c>
      <c r="L541" s="2">
        <v>101.98</v>
      </c>
      <c r="M541" s="2">
        <v>167.19</v>
      </c>
      <c r="N541" s="2" t="s">
        <v>30</v>
      </c>
      <c r="O541" s="2">
        <v>1</v>
      </c>
    </row>
    <row r="542" spans="1:15" x14ac:dyDescent="0.3">
      <c r="A542" s="2" t="s">
        <v>597</v>
      </c>
      <c r="B542" s="2" t="s">
        <v>62</v>
      </c>
      <c r="C542" s="1">
        <v>46090</v>
      </c>
      <c r="D542" s="2" t="s">
        <v>32</v>
      </c>
      <c r="E542" s="2" t="s">
        <v>58</v>
      </c>
      <c r="F542" s="2" t="s">
        <v>34</v>
      </c>
      <c r="G542" s="2" t="s">
        <v>20</v>
      </c>
      <c r="H542" s="2" t="s">
        <v>21</v>
      </c>
      <c r="I542" s="2">
        <v>74</v>
      </c>
      <c r="J542" s="2">
        <v>18</v>
      </c>
      <c r="K542" s="2">
        <v>49952.95</v>
      </c>
      <c r="L542" s="2">
        <v>196.75</v>
      </c>
      <c r="M542" s="2">
        <v>29.73</v>
      </c>
      <c r="N542" s="2" t="s">
        <v>30</v>
      </c>
      <c r="O542" s="2">
        <v>1</v>
      </c>
    </row>
    <row r="543" spans="1:15" x14ac:dyDescent="0.3">
      <c r="A543" s="2" t="s">
        <v>598</v>
      </c>
      <c r="B543" s="2" t="s">
        <v>62</v>
      </c>
      <c r="C543" s="1">
        <v>45905</v>
      </c>
      <c r="D543" s="2" t="s">
        <v>54</v>
      </c>
      <c r="E543" s="2" t="s">
        <v>38</v>
      </c>
      <c r="F543" s="2" t="s">
        <v>39</v>
      </c>
      <c r="G543" s="2" t="s">
        <v>35</v>
      </c>
      <c r="H543" s="2" t="s">
        <v>56</v>
      </c>
      <c r="I543" s="2">
        <v>39</v>
      </c>
      <c r="J543" s="2">
        <v>54</v>
      </c>
      <c r="K543" s="2">
        <v>11406.21</v>
      </c>
      <c r="L543" s="2">
        <v>149.19999999999999</v>
      </c>
      <c r="M543" s="2">
        <v>91.23</v>
      </c>
      <c r="N543" s="2" t="s">
        <v>30</v>
      </c>
      <c r="O543" s="2">
        <v>3</v>
      </c>
    </row>
    <row r="544" spans="1:15" x14ac:dyDescent="0.3">
      <c r="A544" s="2" t="s">
        <v>599</v>
      </c>
      <c r="B544" s="2" t="s">
        <v>47</v>
      </c>
      <c r="C544" s="1">
        <v>46019</v>
      </c>
      <c r="D544" s="2" t="s">
        <v>16</v>
      </c>
      <c r="E544" s="2" t="s">
        <v>38</v>
      </c>
      <c r="F544" s="2" t="s">
        <v>39</v>
      </c>
      <c r="G544" s="2" t="s">
        <v>20</v>
      </c>
      <c r="H544" s="2" t="s">
        <v>52</v>
      </c>
      <c r="I544" s="2">
        <v>58</v>
      </c>
      <c r="J544" s="2">
        <v>77</v>
      </c>
      <c r="K544" s="2">
        <v>5609.22</v>
      </c>
      <c r="L544" s="2">
        <v>466.38</v>
      </c>
      <c r="M544" s="2">
        <v>98.47</v>
      </c>
      <c r="N544" s="2" t="s">
        <v>30</v>
      </c>
      <c r="O544" s="2">
        <v>1</v>
      </c>
    </row>
    <row r="545" spans="1:15" x14ac:dyDescent="0.3">
      <c r="A545" s="2" t="s">
        <v>600</v>
      </c>
      <c r="B545" s="2" t="s">
        <v>47</v>
      </c>
      <c r="C545" s="1">
        <v>45929</v>
      </c>
      <c r="D545" s="2" t="s">
        <v>54</v>
      </c>
      <c r="E545" s="2" t="s">
        <v>26</v>
      </c>
      <c r="F545" s="2" t="s">
        <v>27</v>
      </c>
      <c r="G545" s="2" t="s">
        <v>55</v>
      </c>
      <c r="H545" s="2" t="s">
        <v>21</v>
      </c>
      <c r="I545" s="2">
        <v>47</v>
      </c>
      <c r="J545" s="2">
        <v>113</v>
      </c>
      <c r="K545" s="2">
        <v>29459.24</v>
      </c>
      <c r="L545" s="2">
        <v>440.58</v>
      </c>
      <c r="M545" s="2">
        <v>7.33</v>
      </c>
      <c r="N545" s="2" t="s">
        <v>30</v>
      </c>
      <c r="O545" s="2">
        <v>5</v>
      </c>
    </row>
    <row r="546" spans="1:15" x14ac:dyDescent="0.3">
      <c r="A546" s="2" t="s">
        <v>601</v>
      </c>
      <c r="B546" s="2" t="s">
        <v>76</v>
      </c>
      <c r="C546" s="1">
        <v>45905</v>
      </c>
      <c r="D546" s="2" t="s">
        <v>41</v>
      </c>
      <c r="E546" s="2" t="s">
        <v>58</v>
      </c>
      <c r="F546" s="2" t="s">
        <v>19</v>
      </c>
      <c r="G546" s="2" t="s">
        <v>35</v>
      </c>
      <c r="H546" s="2" t="s">
        <v>29</v>
      </c>
      <c r="I546" s="2">
        <v>65</v>
      </c>
      <c r="J546" s="2">
        <v>101</v>
      </c>
      <c r="K546" s="2">
        <v>24682.85</v>
      </c>
      <c r="L546" s="2">
        <v>274.86</v>
      </c>
      <c r="M546" s="2">
        <v>58.72</v>
      </c>
      <c r="N546" s="2" t="s">
        <v>30</v>
      </c>
      <c r="O546" s="2">
        <v>5</v>
      </c>
    </row>
    <row r="547" spans="1:15" x14ac:dyDescent="0.3">
      <c r="A547" s="2" t="s">
        <v>602</v>
      </c>
      <c r="B547" s="2" t="s">
        <v>82</v>
      </c>
      <c r="C547" s="1">
        <v>45973</v>
      </c>
      <c r="D547" s="2" t="s">
        <v>54</v>
      </c>
      <c r="E547" s="2" t="s">
        <v>26</v>
      </c>
      <c r="F547" s="2" t="s">
        <v>19</v>
      </c>
      <c r="G547" s="2" t="s">
        <v>64</v>
      </c>
      <c r="H547" s="2" t="s">
        <v>56</v>
      </c>
      <c r="I547" s="2">
        <v>63</v>
      </c>
      <c r="J547" s="2">
        <v>43</v>
      </c>
      <c r="K547" s="2">
        <v>26447.72</v>
      </c>
      <c r="L547" s="2">
        <v>77.599999999999994</v>
      </c>
      <c r="M547" s="2">
        <v>165.35</v>
      </c>
      <c r="N547" s="2" t="s">
        <v>22</v>
      </c>
      <c r="O547" s="2">
        <v>4</v>
      </c>
    </row>
    <row r="548" spans="1:15" x14ac:dyDescent="0.3">
      <c r="A548" s="2" t="s">
        <v>603</v>
      </c>
      <c r="B548" s="2" t="s">
        <v>82</v>
      </c>
      <c r="C548" s="1">
        <v>46183</v>
      </c>
      <c r="D548" s="2" t="s">
        <v>90</v>
      </c>
      <c r="E548" s="2" t="s">
        <v>18</v>
      </c>
      <c r="F548" s="2" t="s">
        <v>19</v>
      </c>
      <c r="G548" s="2" t="s">
        <v>20</v>
      </c>
      <c r="H548" s="2" t="s">
        <v>21</v>
      </c>
      <c r="I548" s="2">
        <v>33</v>
      </c>
      <c r="J548" s="2">
        <v>39</v>
      </c>
      <c r="K548" s="2">
        <v>33513.300000000003</v>
      </c>
      <c r="L548" s="2">
        <v>371.55</v>
      </c>
      <c r="M548" s="2">
        <v>166.15</v>
      </c>
      <c r="N548" s="2" t="s">
        <v>22</v>
      </c>
      <c r="O548" s="2">
        <v>4</v>
      </c>
    </row>
    <row r="549" spans="1:15" x14ac:dyDescent="0.3">
      <c r="A549" s="2" t="s">
        <v>604</v>
      </c>
      <c r="B549" s="2" t="s">
        <v>44</v>
      </c>
      <c r="C549" s="1">
        <v>45921</v>
      </c>
      <c r="D549" s="2" t="s">
        <v>43</v>
      </c>
      <c r="E549" s="2" t="s">
        <v>26</v>
      </c>
      <c r="F549" s="2" t="s">
        <v>34</v>
      </c>
      <c r="G549" s="2" t="s">
        <v>28</v>
      </c>
      <c r="H549" s="2" t="s">
        <v>56</v>
      </c>
      <c r="I549" s="2">
        <v>33</v>
      </c>
      <c r="J549" s="2">
        <v>61</v>
      </c>
      <c r="K549" s="2">
        <v>13723.63</v>
      </c>
      <c r="L549" s="2">
        <v>330.54</v>
      </c>
      <c r="M549" s="2">
        <v>58.48</v>
      </c>
      <c r="N549" s="2" t="s">
        <v>22</v>
      </c>
      <c r="O549" s="2">
        <v>2</v>
      </c>
    </row>
    <row r="550" spans="1:15" x14ac:dyDescent="0.3">
      <c r="A550" s="2" t="s">
        <v>605</v>
      </c>
      <c r="B550" s="2" t="s">
        <v>47</v>
      </c>
      <c r="C550" s="1">
        <v>45963</v>
      </c>
      <c r="D550" s="2" t="s">
        <v>32</v>
      </c>
      <c r="E550" s="2" t="s">
        <v>26</v>
      </c>
      <c r="F550" s="2" t="s">
        <v>19</v>
      </c>
      <c r="G550" s="2" t="s">
        <v>20</v>
      </c>
      <c r="H550" s="2" t="s">
        <v>56</v>
      </c>
      <c r="I550" s="2">
        <v>42</v>
      </c>
      <c r="J550" s="2">
        <v>42</v>
      </c>
      <c r="K550" s="2">
        <v>45577.919999999998</v>
      </c>
      <c r="L550" s="2">
        <v>486.75</v>
      </c>
      <c r="M550" s="2">
        <v>174.98</v>
      </c>
      <c r="N550" s="2" t="s">
        <v>22</v>
      </c>
      <c r="O550" s="2">
        <v>4</v>
      </c>
    </row>
    <row r="551" spans="1:15" x14ac:dyDescent="0.3">
      <c r="A551" s="2" t="s">
        <v>606</v>
      </c>
      <c r="B551" s="2" t="s">
        <v>82</v>
      </c>
      <c r="C551" s="1">
        <v>46095</v>
      </c>
      <c r="D551" s="2" t="s">
        <v>24</v>
      </c>
      <c r="E551" s="2" t="s">
        <v>26</v>
      </c>
      <c r="F551" s="2" t="s">
        <v>39</v>
      </c>
      <c r="G551" s="2" t="s">
        <v>64</v>
      </c>
      <c r="H551" s="2" t="s">
        <v>56</v>
      </c>
      <c r="I551" s="2">
        <v>48</v>
      </c>
      <c r="J551" s="2">
        <v>81</v>
      </c>
      <c r="K551" s="2">
        <v>22065.77</v>
      </c>
      <c r="L551" s="2">
        <v>301.52999999999997</v>
      </c>
      <c r="M551" s="2">
        <v>154.36000000000001</v>
      </c>
      <c r="N551" s="2" t="s">
        <v>30</v>
      </c>
      <c r="O551" s="2">
        <v>5</v>
      </c>
    </row>
    <row r="552" spans="1:15" x14ac:dyDescent="0.3">
      <c r="A552" s="2" t="s">
        <v>607</v>
      </c>
      <c r="B552" s="2" t="s">
        <v>60</v>
      </c>
      <c r="C552" s="1">
        <v>46016</v>
      </c>
      <c r="D552" s="2" t="s">
        <v>54</v>
      </c>
      <c r="E552" s="2" t="s">
        <v>58</v>
      </c>
      <c r="F552" s="2" t="s">
        <v>34</v>
      </c>
      <c r="G552" s="2" t="s">
        <v>35</v>
      </c>
      <c r="H552" s="2" t="s">
        <v>21</v>
      </c>
      <c r="I552" s="2">
        <v>72</v>
      </c>
      <c r="J552" s="2">
        <v>79</v>
      </c>
      <c r="K552" s="2">
        <v>6889.77</v>
      </c>
      <c r="L552" s="2">
        <v>201.38</v>
      </c>
      <c r="M552" s="2">
        <v>83.58</v>
      </c>
      <c r="N552" s="2" t="s">
        <v>22</v>
      </c>
      <c r="O552" s="2">
        <v>4</v>
      </c>
    </row>
    <row r="553" spans="1:15" x14ac:dyDescent="0.3">
      <c r="A553" s="2" t="s">
        <v>608</v>
      </c>
      <c r="B553" s="2" t="s">
        <v>76</v>
      </c>
      <c r="C553" s="1">
        <v>46233</v>
      </c>
      <c r="D553" s="2" t="s">
        <v>16</v>
      </c>
      <c r="E553" s="2" t="s">
        <v>26</v>
      </c>
      <c r="F553" s="2" t="s">
        <v>68</v>
      </c>
      <c r="G553" s="2" t="s">
        <v>64</v>
      </c>
      <c r="H553" s="2" t="s">
        <v>52</v>
      </c>
      <c r="I553" s="2">
        <v>67</v>
      </c>
      <c r="J553" s="2">
        <v>18</v>
      </c>
      <c r="K553" s="2">
        <v>37243.79</v>
      </c>
      <c r="L553" s="2">
        <v>283.56</v>
      </c>
      <c r="M553" s="2">
        <v>149.68</v>
      </c>
      <c r="N553" s="2" t="s">
        <v>30</v>
      </c>
      <c r="O553" s="2">
        <v>1</v>
      </c>
    </row>
    <row r="554" spans="1:15" x14ac:dyDescent="0.3">
      <c r="A554" s="2" t="s">
        <v>609</v>
      </c>
      <c r="B554" s="2" t="s">
        <v>78</v>
      </c>
      <c r="C554" s="1">
        <v>45960</v>
      </c>
      <c r="D554" s="2" t="s">
        <v>90</v>
      </c>
      <c r="E554" s="2" t="s">
        <v>58</v>
      </c>
      <c r="F554" s="2" t="s">
        <v>19</v>
      </c>
      <c r="G554" s="2" t="s">
        <v>28</v>
      </c>
      <c r="H554" s="2" t="s">
        <v>21</v>
      </c>
      <c r="I554" s="2">
        <v>73</v>
      </c>
      <c r="J554" s="2">
        <v>23</v>
      </c>
      <c r="K554" s="2">
        <v>32333.67</v>
      </c>
      <c r="L554" s="2">
        <v>490.67</v>
      </c>
      <c r="M554" s="2">
        <v>192.27</v>
      </c>
      <c r="N554" s="2" t="s">
        <v>30</v>
      </c>
      <c r="O554" s="2">
        <v>2</v>
      </c>
    </row>
    <row r="555" spans="1:15" x14ac:dyDescent="0.3">
      <c r="A555" s="2" t="s">
        <v>610</v>
      </c>
      <c r="B555" s="2" t="s">
        <v>17</v>
      </c>
      <c r="C555" s="1">
        <v>45875</v>
      </c>
      <c r="D555" s="2" t="s">
        <v>24</v>
      </c>
      <c r="E555" s="2" t="s">
        <v>45</v>
      </c>
      <c r="F555" s="2" t="s">
        <v>19</v>
      </c>
      <c r="G555" s="2" t="s">
        <v>55</v>
      </c>
      <c r="H555" s="2" t="s">
        <v>56</v>
      </c>
      <c r="I555" s="2">
        <v>65</v>
      </c>
      <c r="J555" s="2">
        <v>54</v>
      </c>
      <c r="K555" s="2">
        <v>16129.3</v>
      </c>
      <c r="L555" s="2">
        <v>363.36</v>
      </c>
      <c r="M555" s="2">
        <v>91.79</v>
      </c>
      <c r="N555" s="2" t="s">
        <v>22</v>
      </c>
      <c r="O555" s="2">
        <v>2</v>
      </c>
    </row>
    <row r="556" spans="1:15" x14ac:dyDescent="0.3">
      <c r="A556" s="2" t="s">
        <v>611</v>
      </c>
      <c r="B556" s="2" t="s">
        <v>17</v>
      </c>
      <c r="C556" s="1">
        <v>45926</v>
      </c>
      <c r="D556" s="2" t="s">
        <v>32</v>
      </c>
      <c r="E556" s="2" t="s">
        <v>18</v>
      </c>
      <c r="F556" s="2" t="s">
        <v>68</v>
      </c>
      <c r="G556" s="2" t="s">
        <v>20</v>
      </c>
      <c r="H556" s="2" t="s">
        <v>21</v>
      </c>
      <c r="I556" s="2">
        <v>42</v>
      </c>
      <c r="J556" s="2">
        <v>115</v>
      </c>
      <c r="K556" s="2">
        <v>31265.18</v>
      </c>
      <c r="L556" s="2">
        <v>352.39</v>
      </c>
      <c r="M556" s="2">
        <v>47.69</v>
      </c>
      <c r="N556" s="2" t="s">
        <v>22</v>
      </c>
      <c r="O556" s="2">
        <v>5</v>
      </c>
    </row>
    <row r="557" spans="1:15" x14ac:dyDescent="0.3">
      <c r="A557" s="2" t="s">
        <v>612</v>
      </c>
      <c r="B557" s="2" t="s">
        <v>78</v>
      </c>
      <c r="C557" s="1">
        <v>45879</v>
      </c>
      <c r="D557" s="2" t="s">
        <v>24</v>
      </c>
      <c r="E557" s="2" t="s">
        <v>58</v>
      </c>
      <c r="F557" s="2" t="s">
        <v>19</v>
      </c>
      <c r="G557" s="2" t="s">
        <v>35</v>
      </c>
      <c r="H557" s="2" t="s">
        <v>29</v>
      </c>
      <c r="I557" s="2">
        <v>63</v>
      </c>
      <c r="J557" s="2">
        <v>30</v>
      </c>
      <c r="K557" s="2">
        <v>11383.17</v>
      </c>
      <c r="L557" s="2">
        <v>158.31</v>
      </c>
      <c r="M557" s="2">
        <v>282.54000000000002</v>
      </c>
      <c r="N557" s="2" t="s">
        <v>22</v>
      </c>
      <c r="O557" s="2">
        <v>4</v>
      </c>
    </row>
    <row r="558" spans="1:15" x14ac:dyDescent="0.3">
      <c r="A558" s="2" t="s">
        <v>613</v>
      </c>
      <c r="B558" s="2" t="s">
        <v>86</v>
      </c>
      <c r="C558" s="1">
        <v>45890</v>
      </c>
      <c r="D558" s="2" t="s">
        <v>90</v>
      </c>
      <c r="E558" s="2" t="s">
        <v>45</v>
      </c>
      <c r="F558" s="2" t="s">
        <v>68</v>
      </c>
      <c r="G558" s="2" t="s">
        <v>55</v>
      </c>
      <c r="H558" s="2" t="s">
        <v>52</v>
      </c>
      <c r="I558" s="2">
        <v>39</v>
      </c>
      <c r="J558" s="2">
        <v>98</v>
      </c>
      <c r="K558" s="2">
        <v>22519.55</v>
      </c>
      <c r="L558" s="2">
        <v>384.62</v>
      </c>
      <c r="M558" s="2">
        <v>120.75</v>
      </c>
      <c r="N558" s="2" t="s">
        <v>30</v>
      </c>
      <c r="O558" s="2">
        <v>1</v>
      </c>
    </row>
    <row r="559" spans="1:15" x14ac:dyDescent="0.3">
      <c r="A559" s="2" t="s">
        <v>614</v>
      </c>
      <c r="B559" s="2" t="s">
        <v>25</v>
      </c>
      <c r="C559" s="1">
        <v>46194</v>
      </c>
      <c r="D559" s="2" t="s">
        <v>43</v>
      </c>
      <c r="E559" s="2" t="s">
        <v>58</v>
      </c>
      <c r="F559" s="2" t="s">
        <v>34</v>
      </c>
      <c r="G559" s="2" t="s">
        <v>64</v>
      </c>
      <c r="H559" s="2" t="s">
        <v>21</v>
      </c>
      <c r="I559" s="2">
        <v>28</v>
      </c>
      <c r="J559" s="2">
        <v>58</v>
      </c>
      <c r="K559" s="2">
        <v>45020.92</v>
      </c>
      <c r="L559" s="2">
        <v>387.62</v>
      </c>
      <c r="M559" s="2">
        <v>21.05</v>
      </c>
      <c r="N559" s="2" t="s">
        <v>22</v>
      </c>
      <c r="O559" s="2">
        <v>4</v>
      </c>
    </row>
    <row r="560" spans="1:15" x14ac:dyDescent="0.3">
      <c r="A560" s="2" t="s">
        <v>615</v>
      </c>
      <c r="B560" s="2" t="s">
        <v>76</v>
      </c>
      <c r="C560" s="1">
        <v>46012</v>
      </c>
      <c r="D560" s="2" t="s">
        <v>43</v>
      </c>
      <c r="E560" s="2" t="s">
        <v>58</v>
      </c>
      <c r="F560" s="2" t="s">
        <v>39</v>
      </c>
      <c r="G560" s="2" t="s">
        <v>35</v>
      </c>
      <c r="H560" s="2" t="s">
        <v>29</v>
      </c>
      <c r="I560" s="2">
        <v>72</v>
      </c>
      <c r="J560" s="2">
        <v>68</v>
      </c>
      <c r="K560" s="2">
        <v>7109.94</v>
      </c>
      <c r="L560" s="2">
        <v>192.78</v>
      </c>
      <c r="M560" s="2">
        <v>171.81</v>
      </c>
      <c r="N560" s="2" t="s">
        <v>22</v>
      </c>
      <c r="O560" s="2">
        <v>3</v>
      </c>
    </row>
    <row r="561" spans="1:15" x14ac:dyDescent="0.3">
      <c r="A561" s="2" t="s">
        <v>616</v>
      </c>
      <c r="B561" s="2" t="s">
        <v>60</v>
      </c>
      <c r="C561" s="1">
        <v>46094</v>
      </c>
      <c r="D561" s="2" t="s">
        <v>74</v>
      </c>
      <c r="E561" s="2" t="s">
        <v>18</v>
      </c>
      <c r="F561" s="2" t="s">
        <v>68</v>
      </c>
      <c r="G561" s="2" t="s">
        <v>55</v>
      </c>
      <c r="H561" s="2" t="s">
        <v>52</v>
      </c>
      <c r="I561" s="2">
        <v>28</v>
      </c>
      <c r="J561" s="2">
        <v>67</v>
      </c>
      <c r="K561" s="2">
        <v>19641.47</v>
      </c>
      <c r="L561" s="2">
        <v>267.67</v>
      </c>
      <c r="M561" s="2">
        <v>100.12</v>
      </c>
      <c r="N561" s="2" t="s">
        <v>30</v>
      </c>
      <c r="O561" s="2">
        <v>4</v>
      </c>
    </row>
    <row r="562" spans="1:15" x14ac:dyDescent="0.3">
      <c r="A562" s="2" t="s">
        <v>617</v>
      </c>
      <c r="B562" s="2" t="s">
        <v>82</v>
      </c>
      <c r="C562" s="1">
        <v>45979</v>
      </c>
      <c r="D562" s="2" t="s">
        <v>43</v>
      </c>
      <c r="E562" s="2" t="s">
        <v>38</v>
      </c>
      <c r="F562" s="2" t="s">
        <v>27</v>
      </c>
      <c r="G562" s="2" t="s">
        <v>35</v>
      </c>
      <c r="H562" s="2" t="s">
        <v>29</v>
      </c>
      <c r="I562" s="2">
        <v>62</v>
      </c>
      <c r="J562" s="2">
        <v>71</v>
      </c>
      <c r="K562" s="2">
        <v>41146.550000000003</v>
      </c>
      <c r="L562" s="2">
        <v>182.57</v>
      </c>
      <c r="M562" s="2">
        <v>256.68</v>
      </c>
      <c r="N562" s="2" t="s">
        <v>30</v>
      </c>
      <c r="O562" s="2">
        <v>5</v>
      </c>
    </row>
    <row r="563" spans="1:15" x14ac:dyDescent="0.3">
      <c r="A563" s="2" t="s">
        <v>618</v>
      </c>
      <c r="B563" s="2" t="s">
        <v>51</v>
      </c>
      <c r="C563" s="1">
        <v>46194</v>
      </c>
      <c r="D563" s="2" t="s">
        <v>74</v>
      </c>
      <c r="E563" s="2" t="s">
        <v>38</v>
      </c>
      <c r="F563" s="2" t="s">
        <v>68</v>
      </c>
      <c r="G563" s="2" t="s">
        <v>28</v>
      </c>
      <c r="H563" s="2" t="s">
        <v>52</v>
      </c>
      <c r="I563" s="2">
        <v>46</v>
      </c>
      <c r="J563" s="2">
        <v>18</v>
      </c>
      <c r="K563" s="2">
        <v>48489.8</v>
      </c>
      <c r="L563" s="2">
        <v>166.42</v>
      </c>
      <c r="M563" s="2">
        <v>106.14</v>
      </c>
      <c r="N563" s="2" t="s">
        <v>30</v>
      </c>
      <c r="O563" s="2">
        <v>4</v>
      </c>
    </row>
    <row r="564" spans="1:15" x14ac:dyDescent="0.3">
      <c r="A564" s="2" t="s">
        <v>619</v>
      </c>
      <c r="B564" s="2" t="s">
        <v>76</v>
      </c>
      <c r="C564" s="1">
        <v>45986</v>
      </c>
      <c r="D564" s="2" t="s">
        <v>24</v>
      </c>
      <c r="E564" s="2" t="s">
        <v>58</v>
      </c>
      <c r="F564" s="2" t="s">
        <v>19</v>
      </c>
      <c r="G564" s="2" t="s">
        <v>28</v>
      </c>
      <c r="H564" s="2" t="s">
        <v>21</v>
      </c>
      <c r="I564" s="2">
        <v>68</v>
      </c>
      <c r="J564" s="2">
        <v>106</v>
      </c>
      <c r="K564" s="2">
        <v>22969.34</v>
      </c>
      <c r="L564" s="2">
        <v>61.65</v>
      </c>
      <c r="M564" s="2">
        <v>51.05</v>
      </c>
      <c r="N564" s="2" t="s">
        <v>22</v>
      </c>
      <c r="O564" s="2">
        <v>2</v>
      </c>
    </row>
    <row r="565" spans="1:15" x14ac:dyDescent="0.3">
      <c r="A565" s="2" t="s">
        <v>620</v>
      </c>
      <c r="B565" s="2" t="s">
        <v>49</v>
      </c>
      <c r="C565" s="1">
        <v>45972</v>
      </c>
      <c r="D565" s="2" t="s">
        <v>41</v>
      </c>
      <c r="E565" s="2" t="s">
        <v>26</v>
      </c>
      <c r="F565" s="2" t="s">
        <v>34</v>
      </c>
      <c r="G565" s="2" t="s">
        <v>20</v>
      </c>
      <c r="H565" s="2" t="s">
        <v>29</v>
      </c>
      <c r="I565" s="2">
        <v>71</v>
      </c>
      <c r="J565" s="2">
        <v>7</v>
      </c>
      <c r="K565" s="2">
        <v>25596.48</v>
      </c>
      <c r="L565" s="2">
        <v>178.35</v>
      </c>
      <c r="M565" s="2">
        <v>202.7</v>
      </c>
      <c r="N565" s="2" t="s">
        <v>30</v>
      </c>
      <c r="O565" s="2">
        <v>1</v>
      </c>
    </row>
    <row r="566" spans="1:15" x14ac:dyDescent="0.3">
      <c r="A566" s="2" t="s">
        <v>621</v>
      </c>
      <c r="B566" s="2" t="s">
        <v>78</v>
      </c>
      <c r="C566" s="1">
        <v>45978</v>
      </c>
      <c r="D566" s="2" t="s">
        <v>16</v>
      </c>
      <c r="E566" s="2" t="s">
        <v>45</v>
      </c>
      <c r="F566" s="2" t="s">
        <v>34</v>
      </c>
      <c r="G566" s="2" t="s">
        <v>20</v>
      </c>
      <c r="H566" s="2" t="s">
        <v>56</v>
      </c>
      <c r="I566" s="2">
        <v>46</v>
      </c>
      <c r="J566" s="2">
        <v>40</v>
      </c>
      <c r="K566" s="2">
        <v>28822.51</v>
      </c>
      <c r="L566" s="2">
        <v>299.29000000000002</v>
      </c>
      <c r="M566" s="2">
        <v>108.52</v>
      </c>
      <c r="N566" s="2" t="s">
        <v>30</v>
      </c>
      <c r="O566" s="2">
        <v>5</v>
      </c>
    </row>
    <row r="567" spans="1:15" x14ac:dyDescent="0.3">
      <c r="A567" s="2" t="s">
        <v>622</v>
      </c>
      <c r="B567" s="2" t="s">
        <v>60</v>
      </c>
      <c r="C567" s="1">
        <v>45919</v>
      </c>
      <c r="D567" s="2" t="s">
        <v>16</v>
      </c>
      <c r="E567" s="2" t="s">
        <v>26</v>
      </c>
      <c r="F567" s="2" t="s">
        <v>68</v>
      </c>
      <c r="G567" s="2" t="s">
        <v>28</v>
      </c>
      <c r="H567" s="2" t="s">
        <v>29</v>
      </c>
      <c r="I567" s="2">
        <v>43</v>
      </c>
      <c r="J567" s="2">
        <v>70</v>
      </c>
      <c r="K567" s="2">
        <v>46651.23</v>
      </c>
      <c r="L567" s="2">
        <v>50.72</v>
      </c>
      <c r="M567" s="2">
        <v>69.91</v>
      </c>
      <c r="N567" s="2" t="s">
        <v>30</v>
      </c>
      <c r="O567" s="2">
        <v>3</v>
      </c>
    </row>
    <row r="568" spans="1:15" x14ac:dyDescent="0.3">
      <c r="A568" s="2" t="s">
        <v>623</v>
      </c>
      <c r="B568" s="2" t="s">
        <v>67</v>
      </c>
      <c r="C568" s="1">
        <v>46226</v>
      </c>
      <c r="D568" s="2" t="s">
        <v>24</v>
      </c>
      <c r="E568" s="2" t="s">
        <v>26</v>
      </c>
      <c r="F568" s="2" t="s">
        <v>39</v>
      </c>
      <c r="G568" s="2" t="s">
        <v>35</v>
      </c>
      <c r="H568" s="2" t="s">
        <v>52</v>
      </c>
      <c r="I568" s="2">
        <v>63</v>
      </c>
      <c r="J568" s="2">
        <v>86</v>
      </c>
      <c r="K568" s="2">
        <v>42981.24</v>
      </c>
      <c r="L568" s="2">
        <v>177.45</v>
      </c>
      <c r="M568" s="2">
        <v>114.73</v>
      </c>
      <c r="N568" s="2" t="s">
        <v>30</v>
      </c>
      <c r="O568" s="2">
        <v>1</v>
      </c>
    </row>
    <row r="569" spans="1:15" x14ac:dyDescent="0.3">
      <c r="A569" s="2" t="s">
        <v>624</v>
      </c>
      <c r="B569" s="2" t="s">
        <v>37</v>
      </c>
      <c r="C569" s="1">
        <v>46147</v>
      </c>
      <c r="D569" s="2" t="s">
        <v>54</v>
      </c>
      <c r="E569" s="2" t="s">
        <v>58</v>
      </c>
      <c r="F569" s="2" t="s">
        <v>27</v>
      </c>
      <c r="G569" s="2" t="s">
        <v>28</v>
      </c>
      <c r="H569" s="2" t="s">
        <v>21</v>
      </c>
      <c r="I569" s="2">
        <v>33</v>
      </c>
      <c r="J569" s="2">
        <v>65</v>
      </c>
      <c r="K569" s="2">
        <v>8944.76</v>
      </c>
      <c r="L569" s="2">
        <v>446.63</v>
      </c>
      <c r="M569" s="2">
        <v>164.31</v>
      </c>
      <c r="N569" s="2" t="s">
        <v>22</v>
      </c>
      <c r="O569" s="2">
        <v>1</v>
      </c>
    </row>
    <row r="570" spans="1:15" x14ac:dyDescent="0.3">
      <c r="A570" s="2" t="s">
        <v>625</v>
      </c>
      <c r="B570" s="2" t="s">
        <v>33</v>
      </c>
      <c r="C570" s="1">
        <v>45911</v>
      </c>
      <c r="D570" s="2" t="s">
        <v>54</v>
      </c>
      <c r="E570" s="2" t="s">
        <v>58</v>
      </c>
      <c r="F570" s="2" t="s">
        <v>34</v>
      </c>
      <c r="G570" s="2" t="s">
        <v>20</v>
      </c>
      <c r="H570" s="2" t="s">
        <v>52</v>
      </c>
      <c r="I570" s="2">
        <v>48</v>
      </c>
      <c r="J570" s="2">
        <v>68</v>
      </c>
      <c r="K570" s="2">
        <v>22119.51</v>
      </c>
      <c r="L570" s="2">
        <v>317.14</v>
      </c>
      <c r="M570" s="2">
        <v>5.71</v>
      </c>
      <c r="N570" s="2" t="s">
        <v>30</v>
      </c>
      <c r="O570" s="2">
        <v>2</v>
      </c>
    </row>
    <row r="571" spans="1:15" x14ac:dyDescent="0.3">
      <c r="A571" s="2" t="s">
        <v>626</v>
      </c>
      <c r="B571" s="2" t="s">
        <v>25</v>
      </c>
      <c r="C571" s="1">
        <v>46214</v>
      </c>
      <c r="D571" s="2" t="s">
        <v>43</v>
      </c>
      <c r="E571" s="2" t="s">
        <v>58</v>
      </c>
      <c r="F571" s="2" t="s">
        <v>19</v>
      </c>
      <c r="G571" s="2" t="s">
        <v>28</v>
      </c>
      <c r="H571" s="2" t="s">
        <v>29</v>
      </c>
      <c r="I571" s="2">
        <v>29</v>
      </c>
      <c r="J571" s="2">
        <v>110</v>
      </c>
      <c r="K571" s="2">
        <v>23468.02</v>
      </c>
      <c r="L571" s="2">
        <v>323.54000000000002</v>
      </c>
      <c r="M571" s="2">
        <v>189.26</v>
      </c>
      <c r="N571" s="2" t="s">
        <v>22</v>
      </c>
      <c r="O571" s="2">
        <v>2</v>
      </c>
    </row>
    <row r="572" spans="1:15" x14ac:dyDescent="0.3">
      <c r="A572" s="2" t="s">
        <v>627</v>
      </c>
      <c r="B572" s="2" t="s">
        <v>78</v>
      </c>
      <c r="C572" s="1">
        <v>46203</v>
      </c>
      <c r="D572" s="2" t="s">
        <v>16</v>
      </c>
      <c r="E572" s="2" t="s">
        <v>58</v>
      </c>
      <c r="F572" s="2" t="s">
        <v>19</v>
      </c>
      <c r="G572" s="2" t="s">
        <v>28</v>
      </c>
      <c r="H572" s="2" t="s">
        <v>29</v>
      </c>
      <c r="I572" s="2">
        <v>40</v>
      </c>
      <c r="J572" s="2">
        <v>49</v>
      </c>
      <c r="K572" s="2">
        <v>39560.26</v>
      </c>
      <c r="L572" s="2">
        <v>231.51</v>
      </c>
      <c r="M572" s="2">
        <v>104.88</v>
      </c>
      <c r="N572" s="2" t="s">
        <v>22</v>
      </c>
      <c r="O572" s="2">
        <v>2</v>
      </c>
    </row>
    <row r="573" spans="1:15" x14ac:dyDescent="0.3">
      <c r="A573" s="2" t="s">
        <v>628</v>
      </c>
      <c r="B573" s="2" t="s">
        <v>51</v>
      </c>
      <c r="C573" s="1">
        <v>46069</v>
      </c>
      <c r="D573" s="2" t="s">
        <v>16</v>
      </c>
      <c r="E573" s="2" t="s">
        <v>38</v>
      </c>
      <c r="F573" s="2" t="s">
        <v>39</v>
      </c>
      <c r="G573" s="2" t="s">
        <v>35</v>
      </c>
      <c r="H573" s="2" t="s">
        <v>56</v>
      </c>
      <c r="I573" s="2">
        <v>39</v>
      </c>
      <c r="J573" s="2">
        <v>52</v>
      </c>
      <c r="K573" s="2">
        <v>30343.200000000001</v>
      </c>
      <c r="L573" s="2">
        <v>354.41</v>
      </c>
      <c r="M573" s="2">
        <v>58.53</v>
      </c>
      <c r="N573" s="2" t="s">
        <v>22</v>
      </c>
      <c r="O573" s="2">
        <v>5</v>
      </c>
    </row>
    <row r="574" spans="1:15" x14ac:dyDescent="0.3">
      <c r="A574" s="2" t="s">
        <v>629</v>
      </c>
      <c r="B574" s="2" t="s">
        <v>82</v>
      </c>
      <c r="C574" s="1">
        <v>46022</v>
      </c>
      <c r="D574" s="2" t="s">
        <v>74</v>
      </c>
      <c r="E574" s="2" t="s">
        <v>58</v>
      </c>
      <c r="F574" s="2" t="s">
        <v>34</v>
      </c>
      <c r="G574" s="2" t="s">
        <v>55</v>
      </c>
      <c r="H574" s="2" t="s">
        <v>21</v>
      </c>
      <c r="I574" s="2">
        <v>68</v>
      </c>
      <c r="J574" s="2">
        <v>114</v>
      </c>
      <c r="K574" s="2">
        <v>32883.910000000003</v>
      </c>
      <c r="L574" s="2">
        <v>135.47</v>
      </c>
      <c r="M574" s="2">
        <v>78.52</v>
      </c>
      <c r="N574" s="2" t="s">
        <v>30</v>
      </c>
      <c r="O574" s="2">
        <v>4</v>
      </c>
    </row>
    <row r="575" spans="1:15" x14ac:dyDescent="0.3">
      <c r="A575" s="2" t="s">
        <v>630</v>
      </c>
      <c r="B575" s="2" t="s">
        <v>51</v>
      </c>
      <c r="C575" s="1">
        <v>45971</v>
      </c>
      <c r="D575" s="2" t="s">
        <v>41</v>
      </c>
      <c r="E575" s="2" t="s">
        <v>38</v>
      </c>
      <c r="F575" s="2" t="s">
        <v>68</v>
      </c>
      <c r="G575" s="2" t="s">
        <v>20</v>
      </c>
      <c r="H575" s="2" t="s">
        <v>21</v>
      </c>
      <c r="I575" s="2">
        <v>59</v>
      </c>
      <c r="J575" s="2">
        <v>107</v>
      </c>
      <c r="K575" s="2">
        <v>49910.9</v>
      </c>
      <c r="L575" s="2">
        <v>418.44</v>
      </c>
      <c r="M575" s="2">
        <v>68.400000000000006</v>
      </c>
      <c r="N575" s="2" t="s">
        <v>30</v>
      </c>
      <c r="O575" s="2">
        <v>1</v>
      </c>
    </row>
    <row r="576" spans="1:15" x14ac:dyDescent="0.3">
      <c r="A576" s="2" t="s">
        <v>631</v>
      </c>
      <c r="B576" s="2" t="s">
        <v>51</v>
      </c>
      <c r="C576" s="1">
        <v>46132</v>
      </c>
      <c r="D576" s="2" t="s">
        <v>90</v>
      </c>
      <c r="E576" s="2" t="s">
        <v>38</v>
      </c>
      <c r="F576" s="2" t="s">
        <v>19</v>
      </c>
      <c r="G576" s="2" t="s">
        <v>35</v>
      </c>
      <c r="H576" s="2" t="s">
        <v>29</v>
      </c>
      <c r="I576" s="2">
        <v>71</v>
      </c>
      <c r="J576" s="2">
        <v>29</v>
      </c>
      <c r="K576" s="2">
        <v>4210.5200000000004</v>
      </c>
      <c r="L576" s="2">
        <v>102.51</v>
      </c>
      <c r="M576" s="2">
        <v>249.68</v>
      </c>
      <c r="N576" s="2" t="s">
        <v>30</v>
      </c>
      <c r="O576" s="2">
        <v>4</v>
      </c>
    </row>
    <row r="577" spans="1:15" x14ac:dyDescent="0.3">
      <c r="A577" s="2" t="s">
        <v>632</v>
      </c>
      <c r="B577" s="2" t="s">
        <v>47</v>
      </c>
      <c r="C577" s="1">
        <v>46195</v>
      </c>
      <c r="D577" s="2" t="s">
        <v>54</v>
      </c>
      <c r="E577" s="2" t="s">
        <v>58</v>
      </c>
      <c r="F577" s="2" t="s">
        <v>39</v>
      </c>
      <c r="G577" s="2" t="s">
        <v>28</v>
      </c>
      <c r="H577" s="2" t="s">
        <v>21</v>
      </c>
      <c r="I577" s="2">
        <v>32</v>
      </c>
      <c r="J577" s="2">
        <v>21</v>
      </c>
      <c r="K577" s="2">
        <v>11538.99</v>
      </c>
      <c r="L577" s="2">
        <v>345.2</v>
      </c>
      <c r="M577" s="2">
        <v>54.96</v>
      </c>
      <c r="N577" s="2" t="s">
        <v>30</v>
      </c>
      <c r="O577" s="2">
        <v>4</v>
      </c>
    </row>
    <row r="578" spans="1:15" x14ac:dyDescent="0.3">
      <c r="A578" s="2" t="s">
        <v>633</v>
      </c>
      <c r="B578" s="2" t="s">
        <v>47</v>
      </c>
      <c r="C578" s="1">
        <v>45929</v>
      </c>
      <c r="D578" s="2" t="s">
        <v>16</v>
      </c>
      <c r="E578" s="2" t="s">
        <v>18</v>
      </c>
      <c r="F578" s="2" t="s">
        <v>34</v>
      </c>
      <c r="G578" s="2" t="s">
        <v>28</v>
      </c>
      <c r="H578" s="2" t="s">
        <v>56</v>
      </c>
      <c r="I578" s="2">
        <v>35</v>
      </c>
      <c r="J578" s="2">
        <v>90</v>
      </c>
      <c r="K578" s="2">
        <v>20690.849999999999</v>
      </c>
      <c r="L578" s="2">
        <v>203.52</v>
      </c>
      <c r="M578" s="2">
        <v>146.63</v>
      </c>
      <c r="N578" s="2" t="s">
        <v>30</v>
      </c>
      <c r="O578" s="2">
        <v>2</v>
      </c>
    </row>
    <row r="579" spans="1:15" x14ac:dyDescent="0.3">
      <c r="A579" s="2" t="s">
        <v>634</v>
      </c>
      <c r="B579" s="2" t="s">
        <v>44</v>
      </c>
      <c r="C579" s="1">
        <v>46107</v>
      </c>
      <c r="D579" s="2" t="s">
        <v>74</v>
      </c>
      <c r="E579" s="2" t="s">
        <v>45</v>
      </c>
      <c r="F579" s="2" t="s">
        <v>34</v>
      </c>
      <c r="G579" s="2" t="s">
        <v>55</v>
      </c>
      <c r="H579" s="2" t="s">
        <v>52</v>
      </c>
      <c r="I579" s="2">
        <v>51</v>
      </c>
      <c r="J579" s="2">
        <v>78</v>
      </c>
      <c r="K579" s="2">
        <v>17715.23</v>
      </c>
      <c r="L579" s="2">
        <v>386.38</v>
      </c>
      <c r="M579" s="2">
        <v>18.809999999999999</v>
      </c>
      <c r="N579" s="2" t="s">
        <v>22</v>
      </c>
      <c r="O579" s="2">
        <v>4</v>
      </c>
    </row>
    <row r="580" spans="1:15" x14ac:dyDescent="0.3">
      <c r="A580" s="2" t="s">
        <v>635</v>
      </c>
      <c r="B580" s="2" t="s">
        <v>78</v>
      </c>
      <c r="C580" s="1">
        <v>45943</v>
      </c>
      <c r="D580" s="2" t="s">
        <v>32</v>
      </c>
      <c r="E580" s="2" t="s">
        <v>26</v>
      </c>
      <c r="F580" s="2" t="s">
        <v>34</v>
      </c>
      <c r="G580" s="2" t="s">
        <v>20</v>
      </c>
      <c r="H580" s="2" t="s">
        <v>21</v>
      </c>
      <c r="I580" s="2">
        <v>34</v>
      </c>
      <c r="J580" s="2">
        <v>9</v>
      </c>
      <c r="K580" s="2">
        <v>1571.46</v>
      </c>
      <c r="L580" s="2">
        <v>297.39</v>
      </c>
      <c r="M580" s="2">
        <v>190.28</v>
      </c>
      <c r="N580" s="2" t="s">
        <v>30</v>
      </c>
      <c r="O580" s="2">
        <v>1</v>
      </c>
    </row>
    <row r="581" spans="1:15" x14ac:dyDescent="0.3">
      <c r="A581" s="2" t="s">
        <v>636</v>
      </c>
      <c r="B581" s="2" t="s">
        <v>44</v>
      </c>
      <c r="C581" s="1">
        <v>46205</v>
      </c>
      <c r="D581" s="2" t="s">
        <v>74</v>
      </c>
      <c r="E581" s="2" t="s">
        <v>38</v>
      </c>
      <c r="F581" s="2" t="s">
        <v>34</v>
      </c>
      <c r="G581" s="2" t="s">
        <v>20</v>
      </c>
      <c r="H581" s="2" t="s">
        <v>29</v>
      </c>
      <c r="I581" s="2">
        <v>31</v>
      </c>
      <c r="J581" s="2">
        <v>47</v>
      </c>
      <c r="K581" s="2">
        <v>5042.99</v>
      </c>
      <c r="L581" s="2">
        <v>253.56</v>
      </c>
      <c r="M581" s="2">
        <v>186.69</v>
      </c>
      <c r="N581" s="2" t="s">
        <v>30</v>
      </c>
      <c r="O581" s="2">
        <v>1</v>
      </c>
    </row>
    <row r="582" spans="1:15" x14ac:dyDescent="0.3">
      <c r="A582" s="2" t="s">
        <v>637</v>
      </c>
      <c r="B582" s="2" t="s">
        <v>78</v>
      </c>
      <c r="C582" s="1">
        <v>46177</v>
      </c>
      <c r="D582" s="2" t="s">
        <v>54</v>
      </c>
      <c r="E582" s="2" t="s">
        <v>45</v>
      </c>
      <c r="F582" s="2" t="s">
        <v>34</v>
      </c>
      <c r="G582" s="2" t="s">
        <v>64</v>
      </c>
      <c r="H582" s="2" t="s">
        <v>52</v>
      </c>
      <c r="I582" s="2">
        <v>46</v>
      </c>
      <c r="J582" s="2">
        <v>76</v>
      </c>
      <c r="K582" s="2">
        <v>34207.19</v>
      </c>
      <c r="L582" s="2">
        <v>126.24</v>
      </c>
      <c r="M582" s="2">
        <v>141.34</v>
      </c>
      <c r="N582" s="2" t="s">
        <v>30</v>
      </c>
      <c r="O582" s="2">
        <v>3</v>
      </c>
    </row>
    <row r="583" spans="1:15" x14ac:dyDescent="0.3">
      <c r="A583" s="2" t="s">
        <v>638</v>
      </c>
      <c r="B583" s="2" t="s">
        <v>25</v>
      </c>
      <c r="C583" s="1">
        <v>45998</v>
      </c>
      <c r="D583" s="2" t="s">
        <v>54</v>
      </c>
      <c r="E583" s="2" t="s">
        <v>18</v>
      </c>
      <c r="F583" s="2" t="s">
        <v>19</v>
      </c>
      <c r="G583" s="2" t="s">
        <v>20</v>
      </c>
      <c r="H583" s="2" t="s">
        <v>52</v>
      </c>
      <c r="I583" s="2">
        <v>62</v>
      </c>
      <c r="J583" s="2">
        <v>42</v>
      </c>
      <c r="K583" s="2">
        <v>44026.559999999998</v>
      </c>
      <c r="L583" s="2">
        <v>336.57</v>
      </c>
      <c r="M583" s="2">
        <v>59.61</v>
      </c>
      <c r="N583" s="2" t="s">
        <v>30</v>
      </c>
      <c r="O583" s="2">
        <v>5</v>
      </c>
    </row>
    <row r="584" spans="1:15" x14ac:dyDescent="0.3">
      <c r="A584" s="2" t="s">
        <v>639</v>
      </c>
      <c r="B584" s="2" t="s">
        <v>76</v>
      </c>
      <c r="C584" s="1">
        <v>46038</v>
      </c>
      <c r="D584" s="2" t="s">
        <v>74</v>
      </c>
      <c r="E584" s="2" t="s">
        <v>26</v>
      </c>
      <c r="F584" s="2" t="s">
        <v>39</v>
      </c>
      <c r="G584" s="2" t="s">
        <v>55</v>
      </c>
      <c r="H584" s="2" t="s">
        <v>56</v>
      </c>
      <c r="I584" s="2">
        <v>47</v>
      </c>
      <c r="J584" s="2">
        <v>51</v>
      </c>
      <c r="K584" s="2">
        <v>25954.240000000002</v>
      </c>
      <c r="L584" s="2">
        <v>488.65</v>
      </c>
      <c r="M584" s="2">
        <v>82.42</v>
      </c>
      <c r="N584" s="2" t="s">
        <v>22</v>
      </c>
      <c r="O584" s="2">
        <v>4</v>
      </c>
    </row>
    <row r="585" spans="1:15" x14ac:dyDescent="0.3">
      <c r="A585" s="2" t="s">
        <v>640</v>
      </c>
      <c r="B585" s="2" t="s">
        <v>33</v>
      </c>
      <c r="C585" s="1">
        <v>46118</v>
      </c>
      <c r="D585" s="2" t="s">
        <v>90</v>
      </c>
      <c r="E585" s="2" t="s">
        <v>26</v>
      </c>
      <c r="F585" s="2" t="s">
        <v>34</v>
      </c>
      <c r="G585" s="2" t="s">
        <v>64</v>
      </c>
      <c r="H585" s="2" t="s">
        <v>29</v>
      </c>
      <c r="I585" s="2">
        <v>31</v>
      </c>
      <c r="J585" s="2">
        <v>56</v>
      </c>
      <c r="K585" s="2">
        <v>27189.96</v>
      </c>
      <c r="L585" s="2">
        <v>421.52</v>
      </c>
      <c r="M585" s="2">
        <v>67.14</v>
      </c>
      <c r="N585" s="2" t="s">
        <v>30</v>
      </c>
      <c r="O585" s="2">
        <v>5</v>
      </c>
    </row>
    <row r="586" spans="1:15" x14ac:dyDescent="0.3">
      <c r="A586" s="2" t="s">
        <v>641</v>
      </c>
      <c r="B586" s="2" t="s">
        <v>51</v>
      </c>
      <c r="C586" s="1">
        <v>45874</v>
      </c>
      <c r="D586" s="2" t="s">
        <v>24</v>
      </c>
      <c r="E586" s="2" t="s">
        <v>38</v>
      </c>
      <c r="F586" s="2" t="s">
        <v>27</v>
      </c>
      <c r="G586" s="2" t="s">
        <v>64</v>
      </c>
      <c r="H586" s="2" t="s">
        <v>21</v>
      </c>
      <c r="I586" s="2">
        <v>58</v>
      </c>
      <c r="J586" s="2">
        <v>51</v>
      </c>
      <c r="K586" s="2">
        <v>13127.12</v>
      </c>
      <c r="L586" s="2">
        <v>77</v>
      </c>
      <c r="M586" s="2">
        <v>186.51</v>
      </c>
      <c r="N586" s="2" t="s">
        <v>30</v>
      </c>
      <c r="O586" s="2">
        <v>5</v>
      </c>
    </row>
    <row r="587" spans="1:15" x14ac:dyDescent="0.3">
      <c r="A587" s="2" t="s">
        <v>642</v>
      </c>
      <c r="B587" s="2" t="s">
        <v>25</v>
      </c>
      <c r="C587" s="1">
        <v>46096</v>
      </c>
      <c r="D587" s="2" t="s">
        <v>54</v>
      </c>
      <c r="E587" s="2" t="s">
        <v>58</v>
      </c>
      <c r="F587" s="2" t="s">
        <v>27</v>
      </c>
      <c r="G587" s="2" t="s">
        <v>28</v>
      </c>
      <c r="H587" s="2" t="s">
        <v>29</v>
      </c>
      <c r="I587" s="2">
        <v>54</v>
      </c>
      <c r="J587" s="2">
        <v>70</v>
      </c>
      <c r="K587" s="2">
        <v>38509.879999999997</v>
      </c>
      <c r="L587" s="2">
        <v>219.3</v>
      </c>
      <c r="M587" s="2">
        <v>146.43</v>
      </c>
      <c r="N587" s="2" t="s">
        <v>22</v>
      </c>
      <c r="O587" s="2">
        <v>5</v>
      </c>
    </row>
    <row r="588" spans="1:15" x14ac:dyDescent="0.3">
      <c r="A588" s="2" t="s">
        <v>643</v>
      </c>
      <c r="B588" s="2" t="s">
        <v>76</v>
      </c>
      <c r="C588" s="1">
        <v>46227</v>
      </c>
      <c r="D588" s="2" t="s">
        <v>74</v>
      </c>
      <c r="E588" s="2" t="s">
        <v>18</v>
      </c>
      <c r="F588" s="2" t="s">
        <v>39</v>
      </c>
      <c r="G588" s="2" t="s">
        <v>28</v>
      </c>
      <c r="H588" s="2" t="s">
        <v>52</v>
      </c>
      <c r="I588" s="2">
        <v>63</v>
      </c>
      <c r="J588" s="2">
        <v>20</v>
      </c>
      <c r="K588" s="2">
        <v>37713.83</v>
      </c>
      <c r="L588" s="2">
        <v>466.51</v>
      </c>
      <c r="M588" s="2">
        <v>126.09</v>
      </c>
      <c r="N588" s="2" t="s">
        <v>30</v>
      </c>
      <c r="O588" s="2">
        <v>5</v>
      </c>
    </row>
    <row r="589" spans="1:15" x14ac:dyDescent="0.3">
      <c r="A589" s="2" t="s">
        <v>644</v>
      </c>
      <c r="B589" s="2" t="s">
        <v>37</v>
      </c>
      <c r="C589" s="1">
        <v>46164</v>
      </c>
      <c r="D589" s="2" t="s">
        <v>16</v>
      </c>
      <c r="E589" s="2" t="s">
        <v>38</v>
      </c>
      <c r="F589" s="2" t="s">
        <v>68</v>
      </c>
      <c r="G589" s="2" t="s">
        <v>20</v>
      </c>
      <c r="H589" s="2" t="s">
        <v>29</v>
      </c>
      <c r="I589" s="2">
        <v>39</v>
      </c>
      <c r="J589" s="2">
        <v>88</v>
      </c>
      <c r="K589" s="2">
        <v>29624.1</v>
      </c>
      <c r="L589" s="2">
        <v>276.37</v>
      </c>
      <c r="M589" s="2">
        <v>220.27</v>
      </c>
      <c r="N589" s="2" t="s">
        <v>30</v>
      </c>
      <c r="O589" s="2">
        <v>1</v>
      </c>
    </row>
    <row r="590" spans="1:15" x14ac:dyDescent="0.3">
      <c r="A590" s="2" t="s">
        <v>645</v>
      </c>
      <c r="B590" s="2" t="s">
        <v>17</v>
      </c>
      <c r="C590" s="1">
        <v>46121</v>
      </c>
      <c r="D590" s="2" t="s">
        <v>74</v>
      </c>
      <c r="E590" s="2" t="s">
        <v>18</v>
      </c>
      <c r="F590" s="2" t="s">
        <v>68</v>
      </c>
      <c r="G590" s="2" t="s">
        <v>64</v>
      </c>
      <c r="H590" s="2" t="s">
        <v>21</v>
      </c>
      <c r="I590" s="2">
        <v>26</v>
      </c>
      <c r="J590" s="2">
        <v>27</v>
      </c>
      <c r="K590" s="2">
        <v>11026.88</v>
      </c>
      <c r="L590" s="2">
        <v>347.95</v>
      </c>
      <c r="M590" s="2">
        <v>74.22</v>
      </c>
      <c r="N590" s="2" t="s">
        <v>30</v>
      </c>
      <c r="O590" s="2">
        <v>4</v>
      </c>
    </row>
    <row r="591" spans="1:15" x14ac:dyDescent="0.3">
      <c r="A591" s="2" t="s">
        <v>646</v>
      </c>
      <c r="B591" s="2" t="s">
        <v>62</v>
      </c>
      <c r="C591" s="1">
        <v>46120</v>
      </c>
      <c r="D591" s="2" t="s">
        <v>41</v>
      </c>
      <c r="E591" s="2" t="s">
        <v>58</v>
      </c>
      <c r="F591" s="2" t="s">
        <v>68</v>
      </c>
      <c r="G591" s="2" t="s">
        <v>28</v>
      </c>
      <c r="H591" s="2" t="s">
        <v>21</v>
      </c>
      <c r="I591" s="2">
        <v>66</v>
      </c>
      <c r="J591" s="2">
        <v>38</v>
      </c>
      <c r="K591" s="2">
        <v>5302.4</v>
      </c>
      <c r="L591" s="2">
        <v>460.67</v>
      </c>
      <c r="M591" s="2">
        <v>144.02000000000001</v>
      </c>
      <c r="N591" s="2" t="s">
        <v>30</v>
      </c>
      <c r="O591" s="2">
        <v>3</v>
      </c>
    </row>
    <row r="592" spans="1:15" x14ac:dyDescent="0.3">
      <c r="A592" s="2" t="s">
        <v>647</v>
      </c>
      <c r="B592" s="2" t="s">
        <v>49</v>
      </c>
      <c r="C592" s="1">
        <v>45871</v>
      </c>
      <c r="D592" s="2" t="s">
        <v>24</v>
      </c>
      <c r="E592" s="2" t="s">
        <v>58</v>
      </c>
      <c r="F592" s="2" t="s">
        <v>27</v>
      </c>
      <c r="G592" s="2" t="s">
        <v>55</v>
      </c>
      <c r="H592" s="2" t="s">
        <v>56</v>
      </c>
      <c r="I592" s="2">
        <v>72</v>
      </c>
      <c r="J592" s="2">
        <v>72</v>
      </c>
      <c r="K592" s="2">
        <v>3679.81</v>
      </c>
      <c r="L592" s="2">
        <v>443.21</v>
      </c>
      <c r="M592" s="2">
        <v>135.19999999999999</v>
      </c>
      <c r="N592" s="2" t="s">
        <v>30</v>
      </c>
      <c r="O592" s="2">
        <v>5</v>
      </c>
    </row>
    <row r="593" spans="1:15" x14ac:dyDescent="0.3">
      <c r="A593" s="2" t="s">
        <v>648</v>
      </c>
      <c r="B593" s="2" t="s">
        <v>60</v>
      </c>
      <c r="C593" s="1">
        <v>45932</v>
      </c>
      <c r="D593" s="2" t="s">
        <v>32</v>
      </c>
      <c r="E593" s="2" t="s">
        <v>38</v>
      </c>
      <c r="F593" s="2" t="s">
        <v>68</v>
      </c>
      <c r="G593" s="2" t="s">
        <v>28</v>
      </c>
      <c r="H593" s="2" t="s">
        <v>21</v>
      </c>
      <c r="I593" s="2">
        <v>58</v>
      </c>
      <c r="J593" s="2">
        <v>65</v>
      </c>
      <c r="K593" s="2">
        <v>29838.46</v>
      </c>
      <c r="L593" s="2">
        <v>275.82</v>
      </c>
      <c r="M593" s="2">
        <v>141.13</v>
      </c>
      <c r="N593" s="2" t="s">
        <v>30</v>
      </c>
      <c r="O593" s="2">
        <v>3</v>
      </c>
    </row>
    <row r="594" spans="1:15" x14ac:dyDescent="0.3">
      <c r="A594" s="2" t="s">
        <v>649</v>
      </c>
      <c r="B594" s="2" t="s">
        <v>78</v>
      </c>
      <c r="C594" s="1">
        <v>46105</v>
      </c>
      <c r="D594" s="2" t="s">
        <v>90</v>
      </c>
      <c r="E594" s="2" t="s">
        <v>58</v>
      </c>
      <c r="F594" s="2" t="s">
        <v>19</v>
      </c>
      <c r="G594" s="2" t="s">
        <v>28</v>
      </c>
      <c r="H594" s="2" t="s">
        <v>21</v>
      </c>
      <c r="I594" s="2">
        <v>69</v>
      </c>
      <c r="J594" s="2">
        <v>54</v>
      </c>
      <c r="K594" s="2">
        <v>41339.25</v>
      </c>
      <c r="L594" s="2">
        <v>246.94</v>
      </c>
      <c r="M594" s="2">
        <v>97.85</v>
      </c>
      <c r="N594" s="2" t="s">
        <v>22</v>
      </c>
      <c r="O594" s="2">
        <v>1</v>
      </c>
    </row>
    <row r="595" spans="1:15" x14ac:dyDescent="0.3">
      <c r="A595" s="2" t="s">
        <v>650</v>
      </c>
      <c r="B595" s="2" t="s">
        <v>37</v>
      </c>
      <c r="C595" s="1">
        <v>46120</v>
      </c>
      <c r="D595" s="2" t="s">
        <v>43</v>
      </c>
      <c r="E595" s="2" t="s">
        <v>45</v>
      </c>
      <c r="F595" s="2" t="s">
        <v>34</v>
      </c>
      <c r="G595" s="2" t="s">
        <v>64</v>
      </c>
      <c r="H595" s="2" t="s">
        <v>29</v>
      </c>
      <c r="I595" s="2">
        <v>62</v>
      </c>
      <c r="J595" s="2">
        <v>113</v>
      </c>
      <c r="K595" s="2">
        <v>42987.360000000001</v>
      </c>
      <c r="L595" s="2">
        <v>202.86</v>
      </c>
      <c r="M595" s="2">
        <v>114.88</v>
      </c>
      <c r="N595" s="2" t="s">
        <v>30</v>
      </c>
      <c r="O595" s="2">
        <v>1</v>
      </c>
    </row>
    <row r="596" spans="1:15" x14ac:dyDescent="0.3">
      <c r="A596" s="2" t="s">
        <v>651</v>
      </c>
      <c r="B596" s="2" t="s">
        <v>17</v>
      </c>
      <c r="C596" s="1">
        <v>45876</v>
      </c>
      <c r="D596" s="2" t="s">
        <v>32</v>
      </c>
      <c r="E596" s="2" t="s">
        <v>26</v>
      </c>
      <c r="F596" s="2" t="s">
        <v>27</v>
      </c>
      <c r="G596" s="2" t="s">
        <v>64</v>
      </c>
      <c r="H596" s="2" t="s">
        <v>29</v>
      </c>
      <c r="I596" s="2">
        <v>48</v>
      </c>
      <c r="J596" s="2">
        <v>113</v>
      </c>
      <c r="K596" s="2">
        <v>23449.29</v>
      </c>
      <c r="L596" s="2">
        <v>373.56</v>
      </c>
      <c r="M596" s="2">
        <v>66.63</v>
      </c>
      <c r="N596" s="2" t="s">
        <v>22</v>
      </c>
      <c r="O596" s="2">
        <v>2</v>
      </c>
    </row>
    <row r="597" spans="1:15" x14ac:dyDescent="0.3">
      <c r="A597" s="2" t="s">
        <v>652</v>
      </c>
      <c r="B597" s="2" t="s">
        <v>82</v>
      </c>
      <c r="C597" s="1">
        <v>46058</v>
      </c>
      <c r="D597" s="2" t="s">
        <v>24</v>
      </c>
      <c r="E597" s="2" t="s">
        <v>38</v>
      </c>
      <c r="F597" s="2" t="s">
        <v>39</v>
      </c>
      <c r="G597" s="2" t="s">
        <v>35</v>
      </c>
      <c r="H597" s="2" t="s">
        <v>52</v>
      </c>
      <c r="I597" s="2">
        <v>21</v>
      </c>
      <c r="J597" s="2">
        <v>24</v>
      </c>
      <c r="K597" s="2">
        <v>39321.43</v>
      </c>
      <c r="L597" s="2">
        <v>179.14</v>
      </c>
      <c r="M597" s="2">
        <v>164.93</v>
      </c>
      <c r="N597" s="2" t="s">
        <v>22</v>
      </c>
      <c r="O597" s="2">
        <v>5</v>
      </c>
    </row>
    <row r="598" spans="1:15" x14ac:dyDescent="0.3">
      <c r="A598" s="2" t="s">
        <v>653</v>
      </c>
      <c r="B598" s="2" t="s">
        <v>86</v>
      </c>
      <c r="C598" s="1">
        <v>46022</v>
      </c>
      <c r="D598" s="2" t="s">
        <v>24</v>
      </c>
      <c r="E598" s="2" t="s">
        <v>18</v>
      </c>
      <c r="F598" s="2" t="s">
        <v>39</v>
      </c>
      <c r="G598" s="2" t="s">
        <v>55</v>
      </c>
      <c r="H598" s="2" t="s">
        <v>56</v>
      </c>
      <c r="I598" s="2">
        <v>55</v>
      </c>
      <c r="J598" s="2">
        <v>47</v>
      </c>
      <c r="K598" s="2">
        <v>47370.57</v>
      </c>
      <c r="L598" s="2">
        <v>162.44999999999999</v>
      </c>
      <c r="M598" s="2">
        <v>121.67</v>
      </c>
      <c r="N598" s="2" t="s">
        <v>30</v>
      </c>
      <c r="O598" s="2">
        <v>2</v>
      </c>
    </row>
    <row r="599" spans="1:15" x14ac:dyDescent="0.3">
      <c r="A599" s="2" t="s">
        <v>654</v>
      </c>
      <c r="B599" s="2" t="s">
        <v>33</v>
      </c>
      <c r="C599" s="1">
        <v>46196</v>
      </c>
      <c r="D599" s="2" t="s">
        <v>24</v>
      </c>
      <c r="E599" s="2" t="s">
        <v>45</v>
      </c>
      <c r="F599" s="2" t="s">
        <v>34</v>
      </c>
      <c r="G599" s="2" t="s">
        <v>64</v>
      </c>
      <c r="H599" s="2" t="s">
        <v>29</v>
      </c>
      <c r="I599" s="2">
        <v>60</v>
      </c>
      <c r="J599" s="2">
        <v>71</v>
      </c>
      <c r="K599" s="2">
        <v>14120.92</v>
      </c>
      <c r="L599" s="2">
        <v>210.31</v>
      </c>
      <c r="M599" s="2">
        <v>133.30000000000001</v>
      </c>
      <c r="N599" s="2" t="s">
        <v>30</v>
      </c>
      <c r="O599" s="2">
        <v>3</v>
      </c>
    </row>
    <row r="600" spans="1:15" x14ac:dyDescent="0.3">
      <c r="A600" s="2" t="s">
        <v>655</v>
      </c>
      <c r="B600" s="2" t="s">
        <v>60</v>
      </c>
      <c r="C600" s="1">
        <v>45924</v>
      </c>
      <c r="D600" s="2" t="s">
        <v>32</v>
      </c>
      <c r="E600" s="2" t="s">
        <v>38</v>
      </c>
      <c r="F600" s="2" t="s">
        <v>27</v>
      </c>
      <c r="G600" s="2" t="s">
        <v>20</v>
      </c>
      <c r="H600" s="2" t="s">
        <v>21</v>
      </c>
      <c r="I600" s="2">
        <v>28</v>
      </c>
      <c r="J600" s="2">
        <v>83</v>
      </c>
      <c r="K600" s="2">
        <v>20199.04</v>
      </c>
      <c r="L600" s="2">
        <v>129.75</v>
      </c>
      <c r="M600" s="2">
        <v>188.8</v>
      </c>
      <c r="N600" s="2" t="s">
        <v>30</v>
      </c>
      <c r="O600" s="2">
        <v>4</v>
      </c>
    </row>
    <row r="601" spans="1:15" x14ac:dyDescent="0.3">
      <c r="A601" s="2" t="s">
        <v>656</v>
      </c>
      <c r="B601" s="2" t="s">
        <v>44</v>
      </c>
      <c r="C601" s="1">
        <v>45871</v>
      </c>
      <c r="D601" s="2" t="s">
        <v>16</v>
      </c>
      <c r="E601" s="2" t="s">
        <v>58</v>
      </c>
      <c r="F601" s="2" t="s">
        <v>68</v>
      </c>
      <c r="G601" s="2" t="s">
        <v>55</v>
      </c>
      <c r="H601" s="2" t="s">
        <v>52</v>
      </c>
      <c r="I601" s="2">
        <v>72</v>
      </c>
      <c r="J601" s="2">
        <v>86</v>
      </c>
      <c r="K601" s="2">
        <v>46608.21</v>
      </c>
      <c r="L601" s="2">
        <v>362.8</v>
      </c>
      <c r="M601" s="2">
        <v>9.57</v>
      </c>
      <c r="N601" s="2" t="s">
        <v>22</v>
      </c>
      <c r="O601" s="2">
        <v>2</v>
      </c>
    </row>
    <row r="602" spans="1:15" x14ac:dyDescent="0.3">
      <c r="A602" s="2" t="s">
        <v>657</v>
      </c>
      <c r="B602" s="2" t="s">
        <v>44</v>
      </c>
      <c r="C602" s="1">
        <v>46041</v>
      </c>
      <c r="D602" s="2" t="s">
        <v>24</v>
      </c>
      <c r="E602" s="2" t="s">
        <v>58</v>
      </c>
      <c r="F602" s="2" t="s">
        <v>68</v>
      </c>
      <c r="G602" s="2" t="s">
        <v>55</v>
      </c>
      <c r="H602" s="2" t="s">
        <v>29</v>
      </c>
      <c r="I602" s="2">
        <v>74</v>
      </c>
      <c r="J602" s="2">
        <v>63</v>
      </c>
      <c r="K602" s="2">
        <v>17242.43</v>
      </c>
      <c r="L602" s="2">
        <v>327.31</v>
      </c>
      <c r="M602" s="2">
        <v>255.04</v>
      </c>
      <c r="N602" s="2" t="s">
        <v>30</v>
      </c>
      <c r="O602" s="2">
        <v>1</v>
      </c>
    </row>
    <row r="603" spans="1:15" x14ac:dyDescent="0.3">
      <c r="A603" s="2" t="s">
        <v>658</v>
      </c>
      <c r="B603" s="2" t="s">
        <v>76</v>
      </c>
      <c r="C603" s="1">
        <v>45912</v>
      </c>
      <c r="D603" s="2" t="s">
        <v>74</v>
      </c>
      <c r="E603" s="2" t="s">
        <v>58</v>
      </c>
      <c r="F603" s="2" t="s">
        <v>19</v>
      </c>
      <c r="G603" s="2" t="s">
        <v>64</v>
      </c>
      <c r="H603" s="2" t="s">
        <v>56</v>
      </c>
      <c r="I603" s="2">
        <v>67</v>
      </c>
      <c r="J603" s="2">
        <v>57</v>
      </c>
      <c r="K603" s="2">
        <v>45736.88</v>
      </c>
      <c r="L603" s="2">
        <v>267.3</v>
      </c>
      <c r="M603" s="2">
        <v>199.52</v>
      </c>
      <c r="N603" s="2" t="s">
        <v>22</v>
      </c>
      <c r="O603" s="2">
        <v>5</v>
      </c>
    </row>
    <row r="604" spans="1:15" x14ac:dyDescent="0.3">
      <c r="A604" s="2" t="s">
        <v>659</v>
      </c>
      <c r="B604" s="2" t="s">
        <v>60</v>
      </c>
      <c r="C604" s="1">
        <v>45896</v>
      </c>
      <c r="D604" s="2" t="s">
        <v>32</v>
      </c>
      <c r="E604" s="2" t="s">
        <v>58</v>
      </c>
      <c r="F604" s="2" t="s">
        <v>19</v>
      </c>
      <c r="G604" s="2" t="s">
        <v>55</v>
      </c>
      <c r="H604" s="2" t="s">
        <v>56</v>
      </c>
      <c r="I604" s="2">
        <v>27</v>
      </c>
      <c r="J604" s="2">
        <v>55</v>
      </c>
      <c r="K604" s="2">
        <v>49061.72</v>
      </c>
      <c r="L604" s="2">
        <v>225.65</v>
      </c>
      <c r="M604" s="2">
        <v>177.39</v>
      </c>
      <c r="N604" s="2" t="s">
        <v>30</v>
      </c>
      <c r="O604" s="2">
        <v>3</v>
      </c>
    </row>
    <row r="605" spans="1:15" x14ac:dyDescent="0.3">
      <c r="A605" s="2" t="s">
        <v>660</v>
      </c>
      <c r="B605" s="2" t="s">
        <v>47</v>
      </c>
      <c r="C605" s="1">
        <v>46187</v>
      </c>
      <c r="D605" s="2" t="s">
        <v>43</v>
      </c>
      <c r="E605" s="2" t="s">
        <v>18</v>
      </c>
      <c r="F605" s="2" t="s">
        <v>68</v>
      </c>
      <c r="G605" s="2" t="s">
        <v>64</v>
      </c>
      <c r="H605" s="2" t="s">
        <v>52</v>
      </c>
      <c r="I605" s="2">
        <v>31</v>
      </c>
      <c r="J605" s="2">
        <v>60</v>
      </c>
      <c r="K605" s="2">
        <v>33259.629999999997</v>
      </c>
      <c r="L605" s="2">
        <v>459.08</v>
      </c>
      <c r="M605" s="2">
        <v>162.09</v>
      </c>
      <c r="N605" s="2" t="s">
        <v>22</v>
      </c>
      <c r="O605" s="2">
        <v>1</v>
      </c>
    </row>
    <row r="606" spans="1:15" x14ac:dyDescent="0.3">
      <c r="A606" s="2" t="s">
        <v>661</v>
      </c>
      <c r="B606" s="2" t="s">
        <v>17</v>
      </c>
      <c r="C606" s="1">
        <v>46098</v>
      </c>
      <c r="D606" s="2" t="s">
        <v>24</v>
      </c>
      <c r="E606" s="2" t="s">
        <v>45</v>
      </c>
      <c r="F606" s="2" t="s">
        <v>39</v>
      </c>
      <c r="G606" s="2" t="s">
        <v>28</v>
      </c>
      <c r="H606" s="2" t="s">
        <v>52</v>
      </c>
      <c r="I606" s="2">
        <v>59</v>
      </c>
      <c r="J606" s="2">
        <v>99</v>
      </c>
      <c r="K606" s="2">
        <v>40936.07</v>
      </c>
      <c r="L606" s="2">
        <v>63.11</v>
      </c>
      <c r="M606" s="2">
        <v>74.86</v>
      </c>
      <c r="N606" s="2" t="s">
        <v>30</v>
      </c>
      <c r="O606" s="2">
        <v>4</v>
      </c>
    </row>
    <row r="607" spans="1:15" x14ac:dyDescent="0.3">
      <c r="A607" s="2" t="s">
        <v>662</v>
      </c>
      <c r="B607" s="2" t="s">
        <v>86</v>
      </c>
      <c r="C607" s="1">
        <v>45879</v>
      </c>
      <c r="D607" s="2" t="s">
        <v>74</v>
      </c>
      <c r="E607" s="2" t="s">
        <v>26</v>
      </c>
      <c r="F607" s="2" t="s">
        <v>39</v>
      </c>
      <c r="G607" s="2" t="s">
        <v>35</v>
      </c>
      <c r="H607" s="2" t="s">
        <v>52</v>
      </c>
      <c r="I607" s="2">
        <v>24</v>
      </c>
      <c r="J607" s="2">
        <v>62</v>
      </c>
      <c r="K607" s="2">
        <v>37602.51</v>
      </c>
      <c r="L607" s="2">
        <v>396.1</v>
      </c>
      <c r="M607" s="2">
        <v>46.26</v>
      </c>
      <c r="N607" s="2" t="s">
        <v>30</v>
      </c>
      <c r="O607" s="2">
        <v>5</v>
      </c>
    </row>
    <row r="608" spans="1:15" x14ac:dyDescent="0.3">
      <c r="A608" s="2" t="s">
        <v>663</v>
      </c>
      <c r="B608" s="2" t="s">
        <v>37</v>
      </c>
      <c r="C608" s="1">
        <v>46060</v>
      </c>
      <c r="D608" s="2" t="s">
        <v>16</v>
      </c>
      <c r="E608" s="2" t="s">
        <v>18</v>
      </c>
      <c r="F608" s="2" t="s">
        <v>19</v>
      </c>
      <c r="G608" s="2" t="s">
        <v>28</v>
      </c>
      <c r="H608" s="2" t="s">
        <v>52</v>
      </c>
      <c r="I608" s="2">
        <v>45</v>
      </c>
      <c r="J608" s="2">
        <v>30</v>
      </c>
      <c r="K608" s="2">
        <v>35126.949999999997</v>
      </c>
      <c r="L608" s="2">
        <v>455.86</v>
      </c>
      <c r="M608" s="2">
        <v>146.97</v>
      </c>
      <c r="N608" s="2" t="s">
        <v>30</v>
      </c>
      <c r="O608" s="2">
        <v>4</v>
      </c>
    </row>
    <row r="609" spans="1:15" x14ac:dyDescent="0.3">
      <c r="A609" s="2" t="s">
        <v>664</v>
      </c>
      <c r="B609" s="2" t="s">
        <v>33</v>
      </c>
      <c r="C609" s="1">
        <v>46206</v>
      </c>
      <c r="D609" s="2" t="s">
        <v>41</v>
      </c>
      <c r="E609" s="2" t="s">
        <v>18</v>
      </c>
      <c r="F609" s="2" t="s">
        <v>34</v>
      </c>
      <c r="G609" s="2" t="s">
        <v>64</v>
      </c>
      <c r="H609" s="2" t="s">
        <v>52</v>
      </c>
      <c r="I609" s="2">
        <v>32</v>
      </c>
      <c r="J609" s="2">
        <v>93</v>
      </c>
      <c r="K609" s="2">
        <v>15693.09</v>
      </c>
      <c r="L609" s="2">
        <v>250.86</v>
      </c>
      <c r="M609" s="2">
        <v>60.92</v>
      </c>
      <c r="N609" s="2" t="s">
        <v>30</v>
      </c>
      <c r="O609" s="2">
        <v>4</v>
      </c>
    </row>
    <row r="610" spans="1:15" x14ac:dyDescent="0.3">
      <c r="A610" s="2" t="s">
        <v>665</v>
      </c>
      <c r="B610" s="2" t="s">
        <v>25</v>
      </c>
      <c r="C610" s="1">
        <v>46113</v>
      </c>
      <c r="D610" s="2" t="s">
        <v>16</v>
      </c>
      <c r="E610" s="2" t="s">
        <v>26</v>
      </c>
      <c r="F610" s="2" t="s">
        <v>68</v>
      </c>
      <c r="G610" s="2" t="s">
        <v>64</v>
      </c>
      <c r="H610" s="2" t="s">
        <v>21</v>
      </c>
      <c r="I610" s="2">
        <v>46</v>
      </c>
      <c r="J610" s="2">
        <v>22</v>
      </c>
      <c r="K610" s="2">
        <v>3326.17</v>
      </c>
      <c r="L610" s="2">
        <v>297.81</v>
      </c>
      <c r="M610" s="2">
        <v>35.21</v>
      </c>
      <c r="N610" s="2" t="s">
        <v>30</v>
      </c>
      <c r="O610" s="2">
        <v>5</v>
      </c>
    </row>
    <row r="611" spans="1:15" x14ac:dyDescent="0.3">
      <c r="A611" s="2" t="s">
        <v>666</v>
      </c>
      <c r="B611" s="2" t="s">
        <v>17</v>
      </c>
      <c r="C611" s="1">
        <v>45870</v>
      </c>
      <c r="D611" s="2" t="s">
        <v>43</v>
      </c>
      <c r="E611" s="2" t="s">
        <v>26</v>
      </c>
      <c r="F611" s="2" t="s">
        <v>19</v>
      </c>
      <c r="G611" s="2" t="s">
        <v>28</v>
      </c>
      <c r="H611" s="2" t="s">
        <v>21</v>
      </c>
      <c r="I611" s="2">
        <v>58</v>
      </c>
      <c r="J611" s="2">
        <v>75</v>
      </c>
      <c r="K611" s="2">
        <v>17481.060000000001</v>
      </c>
      <c r="L611" s="2">
        <v>475.01</v>
      </c>
      <c r="M611" s="2">
        <v>157.31</v>
      </c>
      <c r="N611" s="2" t="s">
        <v>22</v>
      </c>
      <c r="O611" s="2">
        <v>5</v>
      </c>
    </row>
    <row r="612" spans="1:15" x14ac:dyDescent="0.3">
      <c r="A612" s="2" t="s">
        <v>667</v>
      </c>
      <c r="B612" s="2" t="s">
        <v>86</v>
      </c>
      <c r="C612" s="1">
        <v>46099</v>
      </c>
      <c r="D612" s="2" t="s">
        <v>24</v>
      </c>
      <c r="E612" s="2" t="s">
        <v>58</v>
      </c>
      <c r="F612" s="2" t="s">
        <v>19</v>
      </c>
      <c r="G612" s="2" t="s">
        <v>20</v>
      </c>
      <c r="H612" s="2" t="s">
        <v>29</v>
      </c>
      <c r="I612" s="2">
        <v>66</v>
      </c>
      <c r="J612" s="2">
        <v>84</v>
      </c>
      <c r="K612" s="2">
        <v>33513.33</v>
      </c>
      <c r="L612" s="2">
        <v>145.52000000000001</v>
      </c>
      <c r="M612" s="2">
        <v>93.76</v>
      </c>
      <c r="N612" s="2" t="s">
        <v>22</v>
      </c>
      <c r="O612" s="2">
        <v>4</v>
      </c>
    </row>
    <row r="613" spans="1:15" x14ac:dyDescent="0.3">
      <c r="A613" s="2" t="s">
        <v>668</v>
      </c>
      <c r="B613" s="2" t="s">
        <v>62</v>
      </c>
      <c r="C613" s="1">
        <v>46013</v>
      </c>
      <c r="D613" s="2" t="s">
        <v>43</v>
      </c>
      <c r="E613" s="2" t="s">
        <v>18</v>
      </c>
      <c r="F613" s="2" t="s">
        <v>68</v>
      </c>
      <c r="G613" s="2" t="s">
        <v>20</v>
      </c>
      <c r="H613" s="2" t="s">
        <v>56</v>
      </c>
      <c r="I613" s="2">
        <v>32</v>
      </c>
      <c r="J613" s="2">
        <v>29</v>
      </c>
      <c r="K613" s="2">
        <v>5575.2</v>
      </c>
      <c r="L613" s="2">
        <v>284.06</v>
      </c>
      <c r="M613" s="2">
        <v>182.89</v>
      </c>
      <c r="N613" s="2" t="s">
        <v>22</v>
      </c>
      <c r="O613" s="2">
        <v>3</v>
      </c>
    </row>
    <row r="614" spans="1:15" x14ac:dyDescent="0.3">
      <c r="A614" s="2" t="s">
        <v>669</v>
      </c>
      <c r="B614" s="2" t="s">
        <v>78</v>
      </c>
      <c r="C614" s="1">
        <v>46197</v>
      </c>
      <c r="D614" s="2" t="s">
        <v>32</v>
      </c>
      <c r="E614" s="2" t="s">
        <v>38</v>
      </c>
      <c r="F614" s="2" t="s">
        <v>68</v>
      </c>
      <c r="G614" s="2" t="s">
        <v>20</v>
      </c>
      <c r="H614" s="2" t="s">
        <v>21</v>
      </c>
      <c r="I614" s="2">
        <v>63</v>
      </c>
      <c r="J614" s="2">
        <v>115</v>
      </c>
      <c r="K614" s="2">
        <v>1089.94</v>
      </c>
      <c r="L614" s="2">
        <v>263.62</v>
      </c>
      <c r="M614" s="2">
        <v>168.13</v>
      </c>
      <c r="N614" s="2" t="s">
        <v>30</v>
      </c>
      <c r="O614" s="2">
        <v>5</v>
      </c>
    </row>
    <row r="615" spans="1:15" x14ac:dyDescent="0.3">
      <c r="A615" s="2" t="s">
        <v>670</v>
      </c>
      <c r="B615" s="2" t="s">
        <v>25</v>
      </c>
      <c r="C615" s="1">
        <v>46196</v>
      </c>
      <c r="D615" s="2" t="s">
        <v>54</v>
      </c>
      <c r="E615" s="2" t="s">
        <v>26</v>
      </c>
      <c r="F615" s="2" t="s">
        <v>39</v>
      </c>
      <c r="G615" s="2" t="s">
        <v>64</v>
      </c>
      <c r="H615" s="2" t="s">
        <v>21</v>
      </c>
      <c r="I615" s="2">
        <v>71</v>
      </c>
      <c r="J615" s="2">
        <v>41</v>
      </c>
      <c r="K615" s="2">
        <v>7414.77</v>
      </c>
      <c r="L615" s="2">
        <v>166.28</v>
      </c>
      <c r="M615" s="2">
        <v>169.53</v>
      </c>
      <c r="N615" s="2" t="s">
        <v>30</v>
      </c>
      <c r="O615" s="2">
        <v>1</v>
      </c>
    </row>
    <row r="616" spans="1:15" x14ac:dyDescent="0.3">
      <c r="A616" s="2" t="s">
        <v>671</v>
      </c>
      <c r="B616" s="2" t="s">
        <v>44</v>
      </c>
      <c r="C616" s="1">
        <v>46103</v>
      </c>
      <c r="D616" s="2" t="s">
        <v>24</v>
      </c>
      <c r="E616" s="2" t="s">
        <v>26</v>
      </c>
      <c r="F616" s="2" t="s">
        <v>34</v>
      </c>
      <c r="G616" s="2" t="s">
        <v>55</v>
      </c>
      <c r="H616" s="2" t="s">
        <v>21</v>
      </c>
      <c r="I616" s="2">
        <v>73</v>
      </c>
      <c r="J616" s="2">
        <v>42</v>
      </c>
      <c r="K616" s="2">
        <v>35928.93</v>
      </c>
      <c r="L616" s="2">
        <v>418.37</v>
      </c>
      <c r="M616" s="2">
        <v>154.31</v>
      </c>
      <c r="N616" s="2" t="s">
        <v>30</v>
      </c>
      <c r="O616" s="2">
        <v>2</v>
      </c>
    </row>
    <row r="617" spans="1:15" x14ac:dyDescent="0.3">
      <c r="A617" s="2" t="s">
        <v>672</v>
      </c>
      <c r="B617" s="2" t="s">
        <v>25</v>
      </c>
      <c r="C617" s="1">
        <v>46221</v>
      </c>
      <c r="D617" s="2" t="s">
        <v>54</v>
      </c>
      <c r="E617" s="2" t="s">
        <v>45</v>
      </c>
      <c r="F617" s="2" t="s">
        <v>34</v>
      </c>
      <c r="G617" s="2" t="s">
        <v>64</v>
      </c>
      <c r="H617" s="2" t="s">
        <v>29</v>
      </c>
      <c r="I617" s="2">
        <v>57</v>
      </c>
      <c r="J617" s="2">
        <v>98</v>
      </c>
      <c r="K617" s="2">
        <v>48653.29</v>
      </c>
      <c r="L617" s="2">
        <v>454.82</v>
      </c>
      <c r="M617" s="2">
        <v>264.27</v>
      </c>
      <c r="N617" s="2" t="s">
        <v>30</v>
      </c>
      <c r="O617" s="2">
        <v>3</v>
      </c>
    </row>
    <row r="618" spans="1:15" x14ac:dyDescent="0.3">
      <c r="A618" s="2" t="s">
        <v>673</v>
      </c>
      <c r="B618" s="2" t="s">
        <v>37</v>
      </c>
      <c r="C618" s="1">
        <v>46167</v>
      </c>
      <c r="D618" s="2" t="s">
        <v>74</v>
      </c>
      <c r="E618" s="2" t="s">
        <v>38</v>
      </c>
      <c r="F618" s="2" t="s">
        <v>68</v>
      </c>
      <c r="G618" s="2" t="s">
        <v>55</v>
      </c>
      <c r="H618" s="2" t="s">
        <v>52</v>
      </c>
      <c r="I618" s="2">
        <v>66</v>
      </c>
      <c r="J618" s="2">
        <v>65</v>
      </c>
      <c r="K618" s="2">
        <v>49161.7</v>
      </c>
      <c r="L618" s="2">
        <v>401.87</v>
      </c>
      <c r="M618" s="2">
        <v>161.15</v>
      </c>
      <c r="N618" s="2" t="s">
        <v>30</v>
      </c>
      <c r="O618" s="2">
        <v>5</v>
      </c>
    </row>
    <row r="619" spans="1:15" x14ac:dyDescent="0.3">
      <c r="A619" s="2" t="s">
        <v>674</v>
      </c>
      <c r="B619" s="2" t="s">
        <v>44</v>
      </c>
      <c r="C619" s="1">
        <v>46193</v>
      </c>
      <c r="D619" s="2" t="s">
        <v>41</v>
      </c>
      <c r="E619" s="2" t="s">
        <v>38</v>
      </c>
      <c r="F619" s="2" t="s">
        <v>27</v>
      </c>
      <c r="G619" s="2" t="s">
        <v>28</v>
      </c>
      <c r="H619" s="2" t="s">
        <v>29</v>
      </c>
      <c r="I619" s="2">
        <v>73</v>
      </c>
      <c r="J619" s="2">
        <v>31</v>
      </c>
      <c r="K619" s="2">
        <v>24951.97</v>
      </c>
      <c r="L619" s="2">
        <v>137.91</v>
      </c>
      <c r="M619" s="2">
        <v>180.75</v>
      </c>
      <c r="N619" s="2" t="s">
        <v>30</v>
      </c>
      <c r="O619" s="2">
        <v>5</v>
      </c>
    </row>
    <row r="620" spans="1:15" x14ac:dyDescent="0.3">
      <c r="A620" s="2" t="s">
        <v>675</v>
      </c>
      <c r="B620" s="2" t="s">
        <v>37</v>
      </c>
      <c r="C620" s="1">
        <v>45976</v>
      </c>
      <c r="D620" s="2" t="s">
        <v>90</v>
      </c>
      <c r="E620" s="2" t="s">
        <v>26</v>
      </c>
      <c r="F620" s="2" t="s">
        <v>19</v>
      </c>
      <c r="G620" s="2" t="s">
        <v>35</v>
      </c>
      <c r="H620" s="2" t="s">
        <v>56</v>
      </c>
      <c r="I620" s="2">
        <v>44</v>
      </c>
      <c r="J620" s="2">
        <v>30</v>
      </c>
      <c r="K620" s="2">
        <v>43532.94</v>
      </c>
      <c r="L620" s="2">
        <v>89.04</v>
      </c>
      <c r="M620" s="2">
        <v>59.16</v>
      </c>
      <c r="N620" s="2" t="s">
        <v>30</v>
      </c>
      <c r="O620" s="2">
        <v>3</v>
      </c>
    </row>
    <row r="621" spans="1:15" x14ac:dyDescent="0.3">
      <c r="A621" s="2" t="s">
        <v>676</v>
      </c>
      <c r="B621" s="2" t="s">
        <v>76</v>
      </c>
      <c r="C621" s="1">
        <v>46091</v>
      </c>
      <c r="D621" s="2" t="s">
        <v>43</v>
      </c>
      <c r="E621" s="2" t="s">
        <v>58</v>
      </c>
      <c r="F621" s="2" t="s">
        <v>19</v>
      </c>
      <c r="G621" s="2" t="s">
        <v>55</v>
      </c>
      <c r="H621" s="2" t="s">
        <v>56</v>
      </c>
      <c r="I621" s="2">
        <v>36</v>
      </c>
      <c r="J621" s="2">
        <v>112</v>
      </c>
      <c r="K621" s="2">
        <v>36972.910000000003</v>
      </c>
      <c r="L621" s="2">
        <v>322.45</v>
      </c>
      <c r="M621" s="2">
        <v>177.64</v>
      </c>
      <c r="N621" s="2" t="s">
        <v>30</v>
      </c>
      <c r="O621" s="2">
        <v>2</v>
      </c>
    </row>
    <row r="622" spans="1:15" x14ac:dyDescent="0.3">
      <c r="A622" s="2" t="s">
        <v>677</v>
      </c>
      <c r="B622" s="2" t="s">
        <v>47</v>
      </c>
      <c r="C622" s="1">
        <v>46130</v>
      </c>
      <c r="D622" s="2" t="s">
        <v>16</v>
      </c>
      <c r="E622" s="2" t="s">
        <v>45</v>
      </c>
      <c r="F622" s="2" t="s">
        <v>68</v>
      </c>
      <c r="G622" s="2" t="s">
        <v>20</v>
      </c>
      <c r="H622" s="2" t="s">
        <v>56</v>
      </c>
      <c r="I622" s="2">
        <v>33</v>
      </c>
      <c r="J622" s="2">
        <v>18</v>
      </c>
      <c r="K622" s="2">
        <v>25301.49</v>
      </c>
      <c r="L622" s="2">
        <v>75.69</v>
      </c>
      <c r="M622" s="2">
        <v>168.12</v>
      </c>
      <c r="N622" s="2" t="s">
        <v>30</v>
      </c>
      <c r="O622" s="2">
        <v>4</v>
      </c>
    </row>
    <row r="623" spans="1:15" x14ac:dyDescent="0.3">
      <c r="A623" s="2" t="s">
        <v>678</v>
      </c>
      <c r="B623" s="2" t="s">
        <v>37</v>
      </c>
      <c r="C623" s="1">
        <v>46225</v>
      </c>
      <c r="D623" s="2" t="s">
        <v>41</v>
      </c>
      <c r="E623" s="2" t="s">
        <v>38</v>
      </c>
      <c r="F623" s="2" t="s">
        <v>27</v>
      </c>
      <c r="G623" s="2" t="s">
        <v>64</v>
      </c>
      <c r="H623" s="2" t="s">
        <v>56</v>
      </c>
      <c r="I623" s="2">
        <v>45</v>
      </c>
      <c r="J623" s="2">
        <v>119</v>
      </c>
      <c r="K623" s="2">
        <v>28851.65</v>
      </c>
      <c r="L623" s="2">
        <v>352.77</v>
      </c>
      <c r="M623" s="2">
        <v>94.58</v>
      </c>
      <c r="N623" s="2" t="s">
        <v>22</v>
      </c>
      <c r="O623" s="2">
        <v>1</v>
      </c>
    </row>
    <row r="624" spans="1:15" x14ac:dyDescent="0.3">
      <c r="A624" s="2" t="s">
        <v>679</v>
      </c>
      <c r="B624" s="2" t="s">
        <v>44</v>
      </c>
      <c r="C624" s="1">
        <v>46151</v>
      </c>
      <c r="D624" s="2" t="s">
        <v>24</v>
      </c>
      <c r="E624" s="2" t="s">
        <v>26</v>
      </c>
      <c r="F624" s="2" t="s">
        <v>39</v>
      </c>
      <c r="G624" s="2" t="s">
        <v>28</v>
      </c>
      <c r="H624" s="2" t="s">
        <v>21</v>
      </c>
      <c r="I624" s="2">
        <v>74</v>
      </c>
      <c r="J624" s="2">
        <v>17</v>
      </c>
      <c r="K624" s="2">
        <v>7292.74</v>
      </c>
      <c r="L624" s="2">
        <v>288.69</v>
      </c>
      <c r="M624" s="2">
        <v>7.82</v>
      </c>
      <c r="N624" s="2" t="s">
        <v>30</v>
      </c>
      <c r="O624" s="2">
        <v>5</v>
      </c>
    </row>
    <row r="625" spans="1:15" x14ac:dyDescent="0.3">
      <c r="A625" s="2" t="s">
        <v>680</v>
      </c>
      <c r="B625" s="2" t="s">
        <v>76</v>
      </c>
      <c r="C625" s="1">
        <v>46013</v>
      </c>
      <c r="D625" s="2" t="s">
        <v>54</v>
      </c>
      <c r="E625" s="2" t="s">
        <v>38</v>
      </c>
      <c r="F625" s="2" t="s">
        <v>68</v>
      </c>
      <c r="G625" s="2" t="s">
        <v>20</v>
      </c>
      <c r="H625" s="2" t="s">
        <v>21</v>
      </c>
      <c r="I625" s="2">
        <v>74</v>
      </c>
      <c r="J625" s="2">
        <v>38</v>
      </c>
      <c r="K625" s="2">
        <v>46914.239999999998</v>
      </c>
      <c r="L625" s="2">
        <v>348.25</v>
      </c>
      <c r="M625" s="2">
        <v>127.71</v>
      </c>
      <c r="N625" s="2" t="s">
        <v>22</v>
      </c>
      <c r="O625" s="2">
        <v>2</v>
      </c>
    </row>
    <row r="626" spans="1:15" x14ac:dyDescent="0.3">
      <c r="A626" s="2" t="s">
        <v>681</v>
      </c>
      <c r="B626" s="2" t="s">
        <v>37</v>
      </c>
      <c r="C626" s="1">
        <v>46109</v>
      </c>
      <c r="D626" s="2" t="s">
        <v>16</v>
      </c>
      <c r="E626" s="2" t="s">
        <v>45</v>
      </c>
      <c r="F626" s="2" t="s">
        <v>68</v>
      </c>
      <c r="G626" s="2" t="s">
        <v>28</v>
      </c>
      <c r="H626" s="2" t="s">
        <v>29</v>
      </c>
      <c r="I626" s="2">
        <v>72</v>
      </c>
      <c r="J626" s="2">
        <v>14</v>
      </c>
      <c r="K626" s="2">
        <v>17920.52</v>
      </c>
      <c r="L626" s="2">
        <v>315.58</v>
      </c>
      <c r="M626" s="2">
        <v>15.18</v>
      </c>
      <c r="N626" s="2" t="s">
        <v>22</v>
      </c>
      <c r="O626" s="2">
        <v>1</v>
      </c>
    </row>
    <row r="627" spans="1:15" x14ac:dyDescent="0.3">
      <c r="A627" s="2" t="s">
        <v>682</v>
      </c>
      <c r="B627" s="2" t="s">
        <v>62</v>
      </c>
      <c r="C627" s="1">
        <v>46113</v>
      </c>
      <c r="D627" s="2" t="s">
        <v>54</v>
      </c>
      <c r="E627" s="2" t="s">
        <v>45</v>
      </c>
      <c r="F627" s="2" t="s">
        <v>19</v>
      </c>
      <c r="G627" s="2" t="s">
        <v>35</v>
      </c>
      <c r="H627" s="2" t="s">
        <v>52</v>
      </c>
      <c r="I627" s="2">
        <v>74</v>
      </c>
      <c r="J627" s="2">
        <v>87</v>
      </c>
      <c r="K627" s="2">
        <v>22584.39</v>
      </c>
      <c r="L627" s="2">
        <v>240.22</v>
      </c>
      <c r="M627" s="2">
        <v>185.26</v>
      </c>
      <c r="N627" s="2" t="s">
        <v>30</v>
      </c>
      <c r="O627" s="2">
        <v>3</v>
      </c>
    </row>
    <row r="628" spans="1:15" x14ac:dyDescent="0.3">
      <c r="A628" s="2" t="s">
        <v>683</v>
      </c>
      <c r="B628" s="2" t="s">
        <v>25</v>
      </c>
      <c r="C628" s="1">
        <v>45904</v>
      </c>
      <c r="D628" s="2" t="s">
        <v>32</v>
      </c>
      <c r="E628" s="2" t="s">
        <v>18</v>
      </c>
      <c r="F628" s="2" t="s">
        <v>68</v>
      </c>
      <c r="G628" s="2" t="s">
        <v>64</v>
      </c>
      <c r="H628" s="2" t="s">
        <v>56</v>
      </c>
      <c r="I628" s="2">
        <v>24</v>
      </c>
      <c r="J628" s="2">
        <v>89</v>
      </c>
      <c r="K628" s="2">
        <v>33747.18</v>
      </c>
      <c r="L628" s="2">
        <v>140.38999999999999</v>
      </c>
      <c r="M628" s="2">
        <v>192.33</v>
      </c>
      <c r="N628" s="2" t="s">
        <v>30</v>
      </c>
      <c r="O628" s="2">
        <v>5</v>
      </c>
    </row>
    <row r="629" spans="1:15" x14ac:dyDescent="0.3">
      <c r="A629" s="2" t="s">
        <v>684</v>
      </c>
      <c r="B629" s="2" t="s">
        <v>47</v>
      </c>
      <c r="C629" s="1">
        <v>46029</v>
      </c>
      <c r="D629" s="2" t="s">
        <v>54</v>
      </c>
      <c r="E629" s="2" t="s">
        <v>26</v>
      </c>
      <c r="F629" s="2" t="s">
        <v>68</v>
      </c>
      <c r="G629" s="2" t="s">
        <v>64</v>
      </c>
      <c r="H629" s="2" t="s">
        <v>29</v>
      </c>
      <c r="I629" s="2">
        <v>31</v>
      </c>
      <c r="J629" s="2">
        <v>79</v>
      </c>
      <c r="K629" s="2">
        <v>17028.169999999998</v>
      </c>
      <c r="L629" s="2">
        <v>187.57</v>
      </c>
      <c r="M629" s="2">
        <v>56.85</v>
      </c>
      <c r="N629" s="2" t="s">
        <v>30</v>
      </c>
      <c r="O629" s="2">
        <v>4</v>
      </c>
    </row>
    <row r="630" spans="1:15" x14ac:dyDescent="0.3">
      <c r="A630" s="2" t="s">
        <v>685</v>
      </c>
      <c r="B630" s="2" t="s">
        <v>37</v>
      </c>
      <c r="C630" s="1">
        <v>46186</v>
      </c>
      <c r="D630" s="2" t="s">
        <v>32</v>
      </c>
      <c r="E630" s="2" t="s">
        <v>45</v>
      </c>
      <c r="F630" s="2" t="s">
        <v>68</v>
      </c>
      <c r="G630" s="2" t="s">
        <v>35</v>
      </c>
      <c r="H630" s="2" t="s">
        <v>21</v>
      </c>
      <c r="I630" s="2">
        <v>52</v>
      </c>
      <c r="J630" s="2">
        <v>110</v>
      </c>
      <c r="K630" s="2">
        <v>13085.83</v>
      </c>
      <c r="L630" s="2">
        <v>286.02999999999997</v>
      </c>
      <c r="M630" s="2">
        <v>135.28</v>
      </c>
      <c r="N630" s="2" t="s">
        <v>22</v>
      </c>
      <c r="O630" s="2">
        <v>3</v>
      </c>
    </row>
    <row r="631" spans="1:15" x14ac:dyDescent="0.3">
      <c r="A631" s="2" t="s">
        <v>686</v>
      </c>
      <c r="B631" s="2" t="s">
        <v>76</v>
      </c>
      <c r="C631" s="1">
        <v>46185</v>
      </c>
      <c r="D631" s="2" t="s">
        <v>74</v>
      </c>
      <c r="E631" s="2" t="s">
        <v>18</v>
      </c>
      <c r="F631" s="2" t="s">
        <v>19</v>
      </c>
      <c r="G631" s="2" t="s">
        <v>64</v>
      </c>
      <c r="H631" s="2" t="s">
        <v>21</v>
      </c>
      <c r="I631" s="2">
        <v>69</v>
      </c>
      <c r="J631" s="2">
        <v>56</v>
      </c>
      <c r="K631" s="2">
        <v>31736.94</v>
      </c>
      <c r="L631" s="2">
        <v>343.34</v>
      </c>
      <c r="M631" s="2">
        <v>18.45</v>
      </c>
      <c r="N631" s="2" t="s">
        <v>30</v>
      </c>
      <c r="O631" s="2">
        <v>5</v>
      </c>
    </row>
    <row r="632" spans="1:15" x14ac:dyDescent="0.3">
      <c r="A632" s="2" t="s">
        <v>687</v>
      </c>
      <c r="B632" s="2" t="s">
        <v>82</v>
      </c>
      <c r="C632" s="1">
        <v>45984</v>
      </c>
      <c r="D632" s="2" t="s">
        <v>16</v>
      </c>
      <c r="E632" s="2" t="s">
        <v>18</v>
      </c>
      <c r="F632" s="2" t="s">
        <v>39</v>
      </c>
      <c r="G632" s="2" t="s">
        <v>55</v>
      </c>
      <c r="H632" s="2" t="s">
        <v>52</v>
      </c>
      <c r="I632" s="2">
        <v>27</v>
      </c>
      <c r="J632" s="2">
        <v>22</v>
      </c>
      <c r="K632" s="2">
        <v>1736.71</v>
      </c>
      <c r="L632" s="2">
        <v>400.77</v>
      </c>
      <c r="M632" s="2">
        <v>145.9</v>
      </c>
      <c r="N632" s="2" t="s">
        <v>22</v>
      </c>
      <c r="O632" s="2">
        <v>2</v>
      </c>
    </row>
    <row r="633" spans="1:15" x14ac:dyDescent="0.3">
      <c r="A633" s="2" t="s">
        <v>688</v>
      </c>
      <c r="B633" s="2" t="s">
        <v>17</v>
      </c>
      <c r="C633" s="1">
        <v>45994</v>
      </c>
      <c r="D633" s="2" t="s">
        <v>16</v>
      </c>
      <c r="E633" s="2" t="s">
        <v>38</v>
      </c>
      <c r="F633" s="2" t="s">
        <v>39</v>
      </c>
      <c r="G633" s="2" t="s">
        <v>28</v>
      </c>
      <c r="H633" s="2" t="s">
        <v>52</v>
      </c>
      <c r="I633" s="2">
        <v>66</v>
      </c>
      <c r="J633" s="2">
        <v>67</v>
      </c>
      <c r="K633" s="2">
        <v>36175.89</v>
      </c>
      <c r="L633" s="2">
        <v>395.23</v>
      </c>
      <c r="M633" s="2">
        <v>69.459999999999994</v>
      </c>
      <c r="N633" s="2" t="s">
        <v>30</v>
      </c>
      <c r="O633" s="2">
        <v>1</v>
      </c>
    </row>
    <row r="634" spans="1:15" x14ac:dyDescent="0.3">
      <c r="A634" s="2" t="s">
        <v>689</v>
      </c>
      <c r="B634" s="2" t="s">
        <v>67</v>
      </c>
      <c r="C634" s="1">
        <v>46082</v>
      </c>
      <c r="D634" s="2" t="s">
        <v>90</v>
      </c>
      <c r="E634" s="2" t="s">
        <v>38</v>
      </c>
      <c r="F634" s="2" t="s">
        <v>68</v>
      </c>
      <c r="G634" s="2" t="s">
        <v>20</v>
      </c>
      <c r="H634" s="2" t="s">
        <v>52</v>
      </c>
      <c r="I634" s="2">
        <v>31</v>
      </c>
      <c r="J634" s="2">
        <v>56</v>
      </c>
      <c r="K634" s="2">
        <v>25944.16</v>
      </c>
      <c r="L634" s="2">
        <v>487.71</v>
      </c>
      <c r="M634" s="2">
        <v>136.21</v>
      </c>
      <c r="N634" s="2" t="s">
        <v>22</v>
      </c>
      <c r="O634" s="2">
        <v>1</v>
      </c>
    </row>
    <row r="635" spans="1:15" x14ac:dyDescent="0.3">
      <c r="A635" s="2" t="s">
        <v>690</v>
      </c>
      <c r="B635" s="2" t="s">
        <v>86</v>
      </c>
      <c r="C635" s="1">
        <v>45919</v>
      </c>
      <c r="D635" s="2" t="s">
        <v>24</v>
      </c>
      <c r="E635" s="2" t="s">
        <v>18</v>
      </c>
      <c r="F635" s="2" t="s">
        <v>19</v>
      </c>
      <c r="G635" s="2" t="s">
        <v>35</v>
      </c>
      <c r="H635" s="2" t="s">
        <v>29</v>
      </c>
      <c r="I635" s="2">
        <v>48</v>
      </c>
      <c r="J635" s="2">
        <v>119</v>
      </c>
      <c r="K635" s="2">
        <v>30484.81</v>
      </c>
      <c r="L635" s="2">
        <v>178.63</v>
      </c>
      <c r="M635" s="2">
        <v>111.87</v>
      </c>
      <c r="N635" s="2" t="s">
        <v>22</v>
      </c>
      <c r="O635" s="2">
        <v>5</v>
      </c>
    </row>
    <row r="636" spans="1:15" x14ac:dyDescent="0.3">
      <c r="A636" s="2" t="s">
        <v>691</v>
      </c>
      <c r="B636" s="2" t="s">
        <v>67</v>
      </c>
      <c r="C636" s="1">
        <v>46021</v>
      </c>
      <c r="D636" s="2" t="s">
        <v>32</v>
      </c>
      <c r="E636" s="2" t="s">
        <v>38</v>
      </c>
      <c r="F636" s="2" t="s">
        <v>39</v>
      </c>
      <c r="G636" s="2" t="s">
        <v>55</v>
      </c>
      <c r="H636" s="2" t="s">
        <v>21</v>
      </c>
      <c r="I636" s="2">
        <v>74</v>
      </c>
      <c r="J636" s="2">
        <v>19</v>
      </c>
      <c r="K636" s="2">
        <v>31778.07</v>
      </c>
      <c r="L636" s="2">
        <v>82</v>
      </c>
      <c r="M636" s="2">
        <v>29.11</v>
      </c>
      <c r="N636" s="2" t="s">
        <v>30</v>
      </c>
      <c r="O636" s="2">
        <v>3</v>
      </c>
    </row>
    <row r="637" spans="1:15" x14ac:dyDescent="0.3">
      <c r="A637" s="2" t="s">
        <v>692</v>
      </c>
      <c r="B637" s="2" t="s">
        <v>82</v>
      </c>
      <c r="C637" s="1">
        <v>46026</v>
      </c>
      <c r="D637" s="2" t="s">
        <v>90</v>
      </c>
      <c r="E637" s="2" t="s">
        <v>45</v>
      </c>
      <c r="F637" s="2" t="s">
        <v>39</v>
      </c>
      <c r="G637" s="2" t="s">
        <v>20</v>
      </c>
      <c r="H637" s="2" t="s">
        <v>21</v>
      </c>
      <c r="I637" s="2">
        <v>61</v>
      </c>
      <c r="J637" s="2">
        <v>57</v>
      </c>
      <c r="K637" s="2">
        <v>26588.98</v>
      </c>
      <c r="L637" s="2">
        <v>205.55</v>
      </c>
      <c r="M637" s="2">
        <v>81.22</v>
      </c>
      <c r="N637" s="2" t="s">
        <v>30</v>
      </c>
      <c r="O637" s="2">
        <v>4</v>
      </c>
    </row>
    <row r="638" spans="1:15" x14ac:dyDescent="0.3">
      <c r="A638" s="2" t="s">
        <v>693</v>
      </c>
      <c r="B638" s="2" t="s">
        <v>67</v>
      </c>
      <c r="C638" s="1">
        <v>46156</v>
      </c>
      <c r="D638" s="2" t="s">
        <v>54</v>
      </c>
      <c r="E638" s="2" t="s">
        <v>58</v>
      </c>
      <c r="F638" s="2" t="s">
        <v>39</v>
      </c>
      <c r="G638" s="2" t="s">
        <v>20</v>
      </c>
      <c r="H638" s="2" t="s">
        <v>52</v>
      </c>
      <c r="I638" s="2">
        <v>43</v>
      </c>
      <c r="J638" s="2">
        <v>44</v>
      </c>
      <c r="K638" s="2">
        <v>29335.42</v>
      </c>
      <c r="L638" s="2">
        <v>384.48</v>
      </c>
      <c r="M638" s="2">
        <v>22.53</v>
      </c>
      <c r="N638" s="2" t="s">
        <v>30</v>
      </c>
      <c r="O638" s="2">
        <v>2</v>
      </c>
    </row>
    <row r="639" spans="1:15" x14ac:dyDescent="0.3">
      <c r="A639" s="2" t="s">
        <v>694</v>
      </c>
      <c r="B639" s="2" t="s">
        <v>82</v>
      </c>
      <c r="C639" s="1">
        <v>46118</v>
      </c>
      <c r="D639" s="2" t="s">
        <v>54</v>
      </c>
      <c r="E639" s="2" t="s">
        <v>45</v>
      </c>
      <c r="F639" s="2" t="s">
        <v>19</v>
      </c>
      <c r="G639" s="2" t="s">
        <v>35</v>
      </c>
      <c r="H639" s="2" t="s">
        <v>56</v>
      </c>
      <c r="I639" s="2">
        <v>65</v>
      </c>
      <c r="J639" s="2">
        <v>98</v>
      </c>
      <c r="K639" s="2">
        <v>34347.519999999997</v>
      </c>
      <c r="L639" s="2">
        <v>247.15</v>
      </c>
      <c r="M639" s="2">
        <v>115.38</v>
      </c>
      <c r="N639" s="2" t="s">
        <v>30</v>
      </c>
      <c r="O639" s="2">
        <v>5</v>
      </c>
    </row>
    <row r="640" spans="1:15" x14ac:dyDescent="0.3">
      <c r="A640" s="2" t="s">
        <v>695</v>
      </c>
      <c r="B640" s="2" t="s">
        <v>33</v>
      </c>
      <c r="C640" s="1">
        <v>46136</v>
      </c>
      <c r="D640" s="2" t="s">
        <v>90</v>
      </c>
      <c r="E640" s="2" t="s">
        <v>18</v>
      </c>
      <c r="F640" s="2" t="s">
        <v>19</v>
      </c>
      <c r="G640" s="2" t="s">
        <v>55</v>
      </c>
      <c r="H640" s="2" t="s">
        <v>52</v>
      </c>
      <c r="I640" s="2">
        <v>43</v>
      </c>
      <c r="J640" s="2">
        <v>35</v>
      </c>
      <c r="K640" s="2">
        <v>37779.379999999997</v>
      </c>
      <c r="L640" s="2">
        <v>418</v>
      </c>
      <c r="M640" s="2">
        <v>8.19</v>
      </c>
      <c r="N640" s="2" t="s">
        <v>30</v>
      </c>
      <c r="O640" s="2">
        <v>2</v>
      </c>
    </row>
    <row r="641" spans="1:15" x14ac:dyDescent="0.3">
      <c r="A641" s="2" t="s">
        <v>696</v>
      </c>
      <c r="B641" s="2" t="s">
        <v>82</v>
      </c>
      <c r="C641" s="1">
        <v>46112</v>
      </c>
      <c r="D641" s="2" t="s">
        <v>16</v>
      </c>
      <c r="E641" s="2" t="s">
        <v>18</v>
      </c>
      <c r="F641" s="2" t="s">
        <v>68</v>
      </c>
      <c r="G641" s="2" t="s">
        <v>20</v>
      </c>
      <c r="H641" s="2" t="s">
        <v>29</v>
      </c>
      <c r="I641" s="2">
        <v>70</v>
      </c>
      <c r="J641" s="2">
        <v>114</v>
      </c>
      <c r="K641" s="2">
        <v>36508.89</v>
      </c>
      <c r="L641" s="2">
        <v>297.2</v>
      </c>
      <c r="M641" s="2">
        <v>158.19</v>
      </c>
      <c r="N641" s="2" t="s">
        <v>22</v>
      </c>
      <c r="O641" s="2">
        <v>1</v>
      </c>
    </row>
    <row r="642" spans="1:15" x14ac:dyDescent="0.3">
      <c r="A642" s="2" t="s">
        <v>697</v>
      </c>
      <c r="B642" s="2" t="s">
        <v>82</v>
      </c>
      <c r="C642" s="1">
        <v>45953</v>
      </c>
      <c r="D642" s="2" t="s">
        <v>54</v>
      </c>
      <c r="E642" s="2" t="s">
        <v>45</v>
      </c>
      <c r="F642" s="2" t="s">
        <v>34</v>
      </c>
      <c r="G642" s="2" t="s">
        <v>20</v>
      </c>
      <c r="H642" s="2" t="s">
        <v>52</v>
      </c>
      <c r="I642" s="2">
        <v>48</v>
      </c>
      <c r="J642" s="2">
        <v>1</v>
      </c>
      <c r="K642" s="2">
        <v>43546.01</v>
      </c>
      <c r="L642" s="2">
        <v>468.41</v>
      </c>
      <c r="M642" s="2">
        <v>177.27</v>
      </c>
      <c r="N642" s="2" t="s">
        <v>30</v>
      </c>
      <c r="O642" s="2">
        <v>4</v>
      </c>
    </row>
    <row r="643" spans="1:15" x14ac:dyDescent="0.3">
      <c r="A643" s="2" t="s">
        <v>698</v>
      </c>
      <c r="B643" s="2" t="s">
        <v>51</v>
      </c>
      <c r="C643" s="1">
        <v>45924</v>
      </c>
      <c r="D643" s="2" t="s">
        <v>43</v>
      </c>
      <c r="E643" s="2" t="s">
        <v>38</v>
      </c>
      <c r="F643" s="2" t="s">
        <v>39</v>
      </c>
      <c r="G643" s="2" t="s">
        <v>55</v>
      </c>
      <c r="H643" s="2" t="s">
        <v>52</v>
      </c>
      <c r="I643" s="2">
        <v>63</v>
      </c>
      <c r="J643" s="2">
        <v>52</v>
      </c>
      <c r="K643" s="2">
        <v>9877.4500000000007</v>
      </c>
      <c r="L643" s="2">
        <v>476.54</v>
      </c>
      <c r="M643" s="2">
        <v>167.57</v>
      </c>
      <c r="N643" s="2" t="s">
        <v>22</v>
      </c>
      <c r="O643" s="2">
        <v>2</v>
      </c>
    </row>
    <row r="644" spans="1:15" x14ac:dyDescent="0.3">
      <c r="A644" s="2" t="s">
        <v>699</v>
      </c>
      <c r="B644" s="2" t="s">
        <v>82</v>
      </c>
      <c r="C644" s="1">
        <v>45901</v>
      </c>
      <c r="D644" s="2" t="s">
        <v>74</v>
      </c>
      <c r="E644" s="2" t="s">
        <v>38</v>
      </c>
      <c r="F644" s="2" t="s">
        <v>34</v>
      </c>
      <c r="G644" s="2" t="s">
        <v>64</v>
      </c>
      <c r="H644" s="2" t="s">
        <v>29</v>
      </c>
      <c r="I644" s="2">
        <v>67</v>
      </c>
      <c r="J644" s="2">
        <v>85</v>
      </c>
      <c r="K644" s="2">
        <v>20356.82</v>
      </c>
      <c r="L644" s="2">
        <v>81.19</v>
      </c>
      <c r="M644" s="2">
        <v>264.83999999999997</v>
      </c>
      <c r="N644" s="2" t="s">
        <v>22</v>
      </c>
      <c r="O644" s="2">
        <v>5</v>
      </c>
    </row>
    <row r="645" spans="1:15" x14ac:dyDescent="0.3">
      <c r="A645" s="2" t="s">
        <v>700</v>
      </c>
      <c r="B645" s="2" t="s">
        <v>62</v>
      </c>
      <c r="C645" s="1">
        <v>45964</v>
      </c>
      <c r="D645" s="2" t="s">
        <v>74</v>
      </c>
      <c r="E645" s="2" t="s">
        <v>18</v>
      </c>
      <c r="F645" s="2" t="s">
        <v>19</v>
      </c>
      <c r="G645" s="2" t="s">
        <v>20</v>
      </c>
      <c r="H645" s="2" t="s">
        <v>52</v>
      </c>
      <c r="I645" s="2">
        <v>46</v>
      </c>
      <c r="J645" s="2">
        <v>93</v>
      </c>
      <c r="K645" s="2">
        <v>47415.91</v>
      </c>
      <c r="L645" s="2">
        <v>255.39</v>
      </c>
      <c r="M645" s="2">
        <v>184.41</v>
      </c>
      <c r="N645" s="2" t="s">
        <v>30</v>
      </c>
      <c r="O645" s="2">
        <v>4</v>
      </c>
    </row>
    <row r="646" spans="1:15" x14ac:dyDescent="0.3">
      <c r="A646" s="2" t="s">
        <v>701</v>
      </c>
      <c r="B646" s="2" t="s">
        <v>17</v>
      </c>
      <c r="C646" s="1">
        <v>45926</v>
      </c>
      <c r="D646" s="2" t="s">
        <v>43</v>
      </c>
      <c r="E646" s="2" t="s">
        <v>26</v>
      </c>
      <c r="F646" s="2" t="s">
        <v>19</v>
      </c>
      <c r="G646" s="2" t="s">
        <v>28</v>
      </c>
      <c r="H646" s="2" t="s">
        <v>21</v>
      </c>
      <c r="I646" s="2">
        <v>45</v>
      </c>
      <c r="J646" s="2">
        <v>70</v>
      </c>
      <c r="K646" s="2">
        <v>20131.23</v>
      </c>
      <c r="L646" s="2">
        <v>324.36</v>
      </c>
      <c r="M646" s="2">
        <v>20.91</v>
      </c>
      <c r="N646" s="2" t="s">
        <v>22</v>
      </c>
      <c r="O646" s="2">
        <v>3</v>
      </c>
    </row>
    <row r="647" spans="1:15" x14ac:dyDescent="0.3">
      <c r="A647" s="2" t="s">
        <v>702</v>
      </c>
      <c r="B647" s="2" t="s">
        <v>78</v>
      </c>
      <c r="C647" s="1">
        <v>46220</v>
      </c>
      <c r="D647" s="2" t="s">
        <v>90</v>
      </c>
      <c r="E647" s="2" t="s">
        <v>38</v>
      </c>
      <c r="F647" s="2" t="s">
        <v>19</v>
      </c>
      <c r="G647" s="2" t="s">
        <v>55</v>
      </c>
      <c r="H647" s="2" t="s">
        <v>56</v>
      </c>
      <c r="I647" s="2">
        <v>74</v>
      </c>
      <c r="J647" s="2">
        <v>37</v>
      </c>
      <c r="K647" s="2">
        <v>6681.07</v>
      </c>
      <c r="L647" s="2">
        <v>165.14</v>
      </c>
      <c r="M647" s="2">
        <v>25.75</v>
      </c>
      <c r="N647" s="2" t="s">
        <v>30</v>
      </c>
      <c r="O647" s="2">
        <v>5</v>
      </c>
    </row>
    <row r="648" spans="1:15" x14ac:dyDescent="0.3">
      <c r="A648" s="2" t="s">
        <v>703</v>
      </c>
      <c r="B648" s="2" t="s">
        <v>37</v>
      </c>
      <c r="C648" s="1">
        <v>46184</v>
      </c>
      <c r="D648" s="2" t="s">
        <v>43</v>
      </c>
      <c r="E648" s="2" t="s">
        <v>45</v>
      </c>
      <c r="F648" s="2" t="s">
        <v>34</v>
      </c>
      <c r="G648" s="2" t="s">
        <v>20</v>
      </c>
      <c r="H648" s="2" t="s">
        <v>52</v>
      </c>
      <c r="I648" s="2">
        <v>49</v>
      </c>
      <c r="J648" s="2">
        <v>65</v>
      </c>
      <c r="K648" s="2">
        <v>26509.53</v>
      </c>
      <c r="L648" s="2">
        <v>233.18</v>
      </c>
      <c r="M648" s="2">
        <v>111.4</v>
      </c>
      <c r="N648" s="2" t="s">
        <v>22</v>
      </c>
      <c r="O648" s="2">
        <v>2</v>
      </c>
    </row>
    <row r="649" spans="1:15" x14ac:dyDescent="0.3">
      <c r="A649" s="2" t="s">
        <v>704</v>
      </c>
      <c r="B649" s="2" t="s">
        <v>86</v>
      </c>
      <c r="C649" s="1">
        <v>46067</v>
      </c>
      <c r="D649" s="2" t="s">
        <v>32</v>
      </c>
      <c r="E649" s="2" t="s">
        <v>38</v>
      </c>
      <c r="F649" s="2" t="s">
        <v>19</v>
      </c>
      <c r="G649" s="2" t="s">
        <v>35</v>
      </c>
      <c r="H649" s="2" t="s">
        <v>29</v>
      </c>
      <c r="I649" s="2">
        <v>39</v>
      </c>
      <c r="J649" s="2">
        <v>51</v>
      </c>
      <c r="K649" s="2">
        <v>5919.8</v>
      </c>
      <c r="L649" s="2">
        <v>354.96</v>
      </c>
      <c r="M649" s="2">
        <v>268.18</v>
      </c>
      <c r="N649" s="2" t="s">
        <v>30</v>
      </c>
      <c r="O649" s="2">
        <v>4</v>
      </c>
    </row>
    <row r="650" spans="1:15" x14ac:dyDescent="0.3">
      <c r="A650" s="2" t="s">
        <v>705</v>
      </c>
      <c r="B650" s="2" t="s">
        <v>47</v>
      </c>
      <c r="C650" s="1">
        <v>45879</v>
      </c>
      <c r="D650" s="2" t="s">
        <v>32</v>
      </c>
      <c r="E650" s="2" t="s">
        <v>45</v>
      </c>
      <c r="F650" s="2" t="s">
        <v>68</v>
      </c>
      <c r="G650" s="2" t="s">
        <v>28</v>
      </c>
      <c r="H650" s="2" t="s">
        <v>56</v>
      </c>
      <c r="I650" s="2">
        <v>53</v>
      </c>
      <c r="J650" s="2">
        <v>1</v>
      </c>
      <c r="K650" s="2">
        <v>10541.24</v>
      </c>
      <c r="L650" s="2">
        <v>152.03</v>
      </c>
      <c r="M650" s="2">
        <v>194.87</v>
      </c>
      <c r="N650" s="2" t="s">
        <v>30</v>
      </c>
      <c r="O650" s="2">
        <v>5</v>
      </c>
    </row>
    <row r="651" spans="1:15" x14ac:dyDescent="0.3">
      <c r="A651" s="2" t="s">
        <v>706</v>
      </c>
      <c r="B651" s="2" t="s">
        <v>17</v>
      </c>
      <c r="C651" s="1">
        <v>46121</v>
      </c>
      <c r="D651" s="2" t="s">
        <v>90</v>
      </c>
      <c r="E651" s="2" t="s">
        <v>18</v>
      </c>
      <c r="F651" s="2" t="s">
        <v>19</v>
      </c>
      <c r="G651" s="2" t="s">
        <v>20</v>
      </c>
      <c r="H651" s="2" t="s">
        <v>29</v>
      </c>
      <c r="I651" s="2">
        <v>56</v>
      </c>
      <c r="J651" s="2">
        <v>91</v>
      </c>
      <c r="K651" s="2">
        <v>49916.78</v>
      </c>
      <c r="L651" s="2">
        <v>320.89</v>
      </c>
      <c r="M651" s="2">
        <v>13.88</v>
      </c>
      <c r="N651" s="2" t="s">
        <v>30</v>
      </c>
      <c r="O651" s="2">
        <v>4</v>
      </c>
    </row>
    <row r="652" spans="1:15" x14ac:dyDescent="0.3">
      <c r="A652" s="2" t="s">
        <v>707</v>
      </c>
      <c r="B652" s="2" t="s">
        <v>44</v>
      </c>
      <c r="C652" s="1">
        <v>46075</v>
      </c>
      <c r="D652" s="2" t="s">
        <v>43</v>
      </c>
      <c r="E652" s="2" t="s">
        <v>38</v>
      </c>
      <c r="F652" s="2" t="s">
        <v>27</v>
      </c>
      <c r="G652" s="2" t="s">
        <v>28</v>
      </c>
      <c r="H652" s="2" t="s">
        <v>56</v>
      </c>
      <c r="I652" s="2">
        <v>34</v>
      </c>
      <c r="J652" s="2">
        <v>21</v>
      </c>
      <c r="K652" s="2">
        <v>27297.45</v>
      </c>
      <c r="L652" s="2">
        <v>363.85</v>
      </c>
      <c r="M652" s="2">
        <v>71.150000000000006</v>
      </c>
      <c r="N652" s="2" t="s">
        <v>30</v>
      </c>
      <c r="O652" s="2">
        <v>4</v>
      </c>
    </row>
    <row r="653" spans="1:15" x14ac:dyDescent="0.3">
      <c r="A653" s="2" t="s">
        <v>708</v>
      </c>
      <c r="B653" s="2" t="s">
        <v>78</v>
      </c>
      <c r="C653" s="1">
        <v>46162</v>
      </c>
      <c r="D653" s="2" t="s">
        <v>32</v>
      </c>
      <c r="E653" s="2" t="s">
        <v>45</v>
      </c>
      <c r="F653" s="2" t="s">
        <v>34</v>
      </c>
      <c r="G653" s="2" t="s">
        <v>28</v>
      </c>
      <c r="H653" s="2" t="s">
        <v>56</v>
      </c>
      <c r="I653" s="2">
        <v>34</v>
      </c>
      <c r="J653" s="2">
        <v>53</v>
      </c>
      <c r="K653" s="2">
        <v>14560.89</v>
      </c>
      <c r="L653" s="2">
        <v>90.72</v>
      </c>
      <c r="M653" s="2">
        <v>42.58</v>
      </c>
      <c r="N653" s="2" t="s">
        <v>30</v>
      </c>
      <c r="O653" s="2">
        <v>4</v>
      </c>
    </row>
    <row r="654" spans="1:15" x14ac:dyDescent="0.3">
      <c r="A654" s="2" t="s">
        <v>709</v>
      </c>
      <c r="B654" s="2" t="s">
        <v>33</v>
      </c>
      <c r="C654" s="1">
        <v>45962</v>
      </c>
      <c r="D654" s="2" t="s">
        <v>16</v>
      </c>
      <c r="E654" s="2" t="s">
        <v>18</v>
      </c>
      <c r="F654" s="2" t="s">
        <v>27</v>
      </c>
      <c r="G654" s="2" t="s">
        <v>64</v>
      </c>
      <c r="H654" s="2" t="s">
        <v>52</v>
      </c>
      <c r="I654" s="2">
        <v>55</v>
      </c>
      <c r="J654" s="2">
        <v>16</v>
      </c>
      <c r="K654" s="2">
        <v>49741.36</v>
      </c>
      <c r="L654" s="2">
        <v>273.89</v>
      </c>
      <c r="M654" s="2">
        <v>151.19</v>
      </c>
      <c r="N654" s="2" t="s">
        <v>30</v>
      </c>
      <c r="O654" s="2">
        <v>2</v>
      </c>
    </row>
    <row r="655" spans="1:15" x14ac:dyDescent="0.3">
      <c r="A655" s="2" t="s">
        <v>710</v>
      </c>
      <c r="B655" s="2" t="s">
        <v>33</v>
      </c>
      <c r="C655" s="1">
        <v>45955</v>
      </c>
      <c r="D655" s="2" t="s">
        <v>43</v>
      </c>
      <c r="E655" s="2" t="s">
        <v>26</v>
      </c>
      <c r="F655" s="2" t="s">
        <v>19</v>
      </c>
      <c r="G655" s="2" t="s">
        <v>28</v>
      </c>
      <c r="H655" s="2" t="s">
        <v>21</v>
      </c>
      <c r="I655" s="2">
        <v>50</v>
      </c>
      <c r="J655" s="2">
        <v>108</v>
      </c>
      <c r="K655" s="2">
        <v>48344.67</v>
      </c>
      <c r="L655" s="2">
        <v>168.39</v>
      </c>
      <c r="M655" s="2">
        <v>128.04</v>
      </c>
      <c r="N655" s="2" t="s">
        <v>30</v>
      </c>
      <c r="O655" s="2">
        <v>5</v>
      </c>
    </row>
    <row r="656" spans="1:15" x14ac:dyDescent="0.3">
      <c r="A656" s="2" t="s">
        <v>711</v>
      </c>
      <c r="B656" s="2" t="s">
        <v>49</v>
      </c>
      <c r="C656" s="1">
        <v>46187</v>
      </c>
      <c r="D656" s="2" t="s">
        <v>16</v>
      </c>
      <c r="E656" s="2" t="s">
        <v>45</v>
      </c>
      <c r="F656" s="2" t="s">
        <v>68</v>
      </c>
      <c r="G656" s="2" t="s">
        <v>64</v>
      </c>
      <c r="H656" s="2" t="s">
        <v>52</v>
      </c>
      <c r="I656" s="2">
        <v>48</v>
      </c>
      <c r="J656" s="2">
        <v>61</v>
      </c>
      <c r="K656" s="2">
        <v>22316.58</v>
      </c>
      <c r="L656" s="2">
        <v>375.97</v>
      </c>
      <c r="M656" s="2">
        <v>23.98</v>
      </c>
      <c r="N656" s="2" t="s">
        <v>22</v>
      </c>
      <c r="O656" s="2">
        <v>1</v>
      </c>
    </row>
    <row r="657" spans="1:15" x14ac:dyDescent="0.3">
      <c r="A657" s="2" t="s">
        <v>712</v>
      </c>
      <c r="B657" s="2" t="s">
        <v>25</v>
      </c>
      <c r="C657" s="1">
        <v>45999</v>
      </c>
      <c r="D657" s="2" t="s">
        <v>32</v>
      </c>
      <c r="E657" s="2" t="s">
        <v>26</v>
      </c>
      <c r="F657" s="2" t="s">
        <v>39</v>
      </c>
      <c r="G657" s="2" t="s">
        <v>55</v>
      </c>
      <c r="H657" s="2" t="s">
        <v>29</v>
      </c>
      <c r="I657" s="2">
        <v>37</v>
      </c>
      <c r="J657" s="2">
        <v>54</v>
      </c>
      <c r="K657" s="2">
        <v>13389.95</v>
      </c>
      <c r="L657" s="2">
        <v>135.30000000000001</v>
      </c>
      <c r="M657" s="2">
        <v>145.05000000000001</v>
      </c>
      <c r="N657" s="2" t="s">
        <v>30</v>
      </c>
      <c r="O657" s="2">
        <v>1</v>
      </c>
    </row>
    <row r="658" spans="1:15" x14ac:dyDescent="0.3">
      <c r="A658" s="2" t="s">
        <v>713</v>
      </c>
      <c r="B658" s="2" t="s">
        <v>82</v>
      </c>
      <c r="C658" s="1">
        <v>46164</v>
      </c>
      <c r="D658" s="2" t="s">
        <v>74</v>
      </c>
      <c r="E658" s="2" t="s">
        <v>26</v>
      </c>
      <c r="F658" s="2" t="s">
        <v>19</v>
      </c>
      <c r="G658" s="2" t="s">
        <v>64</v>
      </c>
      <c r="H658" s="2" t="s">
        <v>29</v>
      </c>
      <c r="I658" s="2">
        <v>23</v>
      </c>
      <c r="J658" s="2">
        <v>40</v>
      </c>
      <c r="K658" s="2">
        <v>42000.78</v>
      </c>
      <c r="L658" s="2">
        <v>451.51</v>
      </c>
      <c r="M658" s="2">
        <v>205.64</v>
      </c>
      <c r="N658" s="2" t="s">
        <v>30</v>
      </c>
      <c r="O658" s="2">
        <v>2</v>
      </c>
    </row>
    <row r="659" spans="1:15" x14ac:dyDescent="0.3">
      <c r="A659" s="2" t="s">
        <v>714</v>
      </c>
      <c r="B659" s="2" t="s">
        <v>17</v>
      </c>
      <c r="C659" s="1">
        <v>46020</v>
      </c>
      <c r="D659" s="2" t="s">
        <v>32</v>
      </c>
      <c r="E659" s="2" t="s">
        <v>58</v>
      </c>
      <c r="F659" s="2" t="s">
        <v>68</v>
      </c>
      <c r="G659" s="2" t="s">
        <v>35</v>
      </c>
      <c r="H659" s="2" t="s">
        <v>56</v>
      </c>
      <c r="I659" s="2">
        <v>36</v>
      </c>
      <c r="J659" s="2">
        <v>26</v>
      </c>
      <c r="K659" s="2">
        <v>35923.230000000003</v>
      </c>
      <c r="L659" s="2">
        <v>243.92</v>
      </c>
      <c r="M659" s="2">
        <v>155.80000000000001</v>
      </c>
      <c r="N659" s="2" t="s">
        <v>22</v>
      </c>
      <c r="O659" s="2">
        <v>2</v>
      </c>
    </row>
    <row r="660" spans="1:15" x14ac:dyDescent="0.3">
      <c r="A660" s="2" t="s">
        <v>715</v>
      </c>
      <c r="B660" s="2" t="s">
        <v>76</v>
      </c>
      <c r="C660" s="1">
        <v>45936</v>
      </c>
      <c r="D660" s="2" t="s">
        <v>16</v>
      </c>
      <c r="E660" s="2" t="s">
        <v>38</v>
      </c>
      <c r="F660" s="2" t="s">
        <v>34</v>
      </c>
      <c r="G660" s="2" t="s">
        <v>20</v>
      </c>
      <c r="H660" s="2" t="s">
        <v>56</v>
      </c>
      <c r="I660" s="2">
        <v>66</v>
      </c>
      <c r="J660" s="2">
        <v>80</v>
      </c>
      <c r="K660" s="2">
        <v>34503.599999999999</v>
      </c>
      <c r="L660" s="2">
        <v>139.1</v>
      </c>
      <c r="M660" s="2">
        <v>4.01</v>
      </c>
      <c r="N660" s="2" t="s">
        <v>22</v>
      </c>
      <c r="O660" s="2">
        <v>4</v>
      </c>
    </row>
    <row r="661" spans="1:15" x14ac:dyDescent="0.3">
      <c r="A661" s="2" t="s">
        <v>716</v>
      </c>
      <c r="B661" s="2" t="s">
        <v>51</v>
      </c>
      <c r="C661" s="1">
        <v>45930</v>
      </c>
      <c r="D661" s="2" t="s">
        <v>41</v>
      </c>
      <c r="E661" s="2" t="s">
        <v>45</v>
      </c>
      <c r="F661" s="2" t="s">
        <v>27</v>
      </c>
      <c r="G661" s="2" t="s">
        <v>55</v>
      </c>
      <c r="H661" s="2" t="s">
        <v>21</v>
      </c>
      <c r="I661" s="2">
        <v>50</v>
      </c>
      <c r="J661" s="2">
        <v>92</v>
      </c>
      <c r="K661" s="2">
        <v>44709.13</v>
      </c>
      <c r="L661" s="2">
        <v>247.11</v>
      </c>
      <c r="M661" s="2">
        <v>178.09</v>
      </c>
      <c r="N661" s="2" t="s">
        <v>22</v>
      </c>
      <c r="O661" s="2">
        <v>5</v>
      </c>
    </row>
    <row r="662" spans="1:15" x14ac:dyDescent="0.3">
      <c r="A662" s="2" t="s">
        <v>717</v>
      </c>
      <c r="B662" s="2" t="s">
        <v>67</v>
      </c>
      <c r="C662" s="1">
        <v>46101</v>
      </c>
      <c r="D662" s="2" t="s">
        <v>24</v>
      </c>
      <c r="E662" s="2" t="s">
        <v>26</v>
      </c>
      <c r="F662" s="2" t="s">
        <v>27</v>
      </c>
      <c r="G662" s="2" t="s">
        <v>55</v>
      </c>
      <c r="H662" s="2" t="s">
        <v>52</v>
      </c>
      <c r="I662" s="2">
        <v>72</v>
      </c>
      <c r="J662" s="2">
        <v>65</v>
      </c>
      <c r="K662" s="2">
        <v>34626.15</v>
      </c>
      <c r="L662" s="2">
        <v>233.93</v>
      </c>
      <c r="M662" s="2">
        <v>113.86</v>
      </c>
      <c r="N662" s="2" t="s">
        <v>30</v>
      </c>
      <c r="O662" s="2">
        <v>5</v>
      </c>
    </row>
    <row r="663" spans="1:15" x14ac:dyDescent="0.3">
      <c r="A663" s="2" t="s">
        <v>718</v>
      </c>
      <c r="B663" s="2" t="s">
        <v>44</v>
      </c>
      <c r="C663" s="1">
        <v>46185</v>
      </c>
      <c r="D663" s="2" t="s">
        <v>54</v>
      </c>
      <c r="E663" s="2" t="s">
        <v>58</v>
      </c>
      <c r="F663" s="2" t="s">
        <v>27</v>
      </c>
      <c r="G663" s="2" t="s">
        <v>35</v>
      </c>
      <c r="H663" s="2" t="s">
        <v>29</v>
      </c>
      <c r="I663" s="2">
        <v>49</v>
      </c>
      <c r="J663" s="2">
        <v>100</v>
      </c>
      <c r="K663" s="2">
        <v>14548</v>
      </c>
      <c r="L663" s="2">
        <v>243.01</v>
      </c>
      <c r="M663" s="2">
        <v>243.57</v>
      </c>
      <c r="N663" s="2" t="s">
        <v>30</v>
      </c>
      <c r="O663" s="2">
        <v>3</v>
      </c>
    </row>
    <row r="664" spans="1:15" x14ac:dyDescent="0.3">
      <c r="A664" s="2" t="s">
        <v>719</v>
      </c>
      <c r="B664" s="2" t="s">
        <v>33</v>
      </c>
      <c r="C664" s="1">
        <v>46107</v>
      </c>
      <c r="D664" s="2" t="s">
        <v>43</v>
      </c>
      <c r="E664" s="2" t="s">
        <v>18</v>
      </c>
      <c r="F664" s="2" t="s">
        <v>34</v>
      </c>
      <c r="G664" s="2" t="s">
        <v>64</v>
      </c>
      <c r="H664" s="2" t="s">
        <v>56</v>
      </c>
      <c r="I664" s="2">
        <v>65</v>
      </c>
      <c r="J664" s="2">
        <v>74</v>
      </c>
      <c r="K664" s="2">
        <v>34846.230000000003</v>
      </c>
      <c r="L664" s="2">
        <v>313.5</v>
      </c>
      <c r="M664" s="2">
        <v>161.59</v>
      </c>
      <c r="N664" s="2" t="s">
        <v>30</v>
      </c>
      <c r="O664" s="2">
        <v>3</v>
      </c>
    </row>
    <row r="665" spans="1:15" x14ac:dyDescent="0.3">
      <c r="A665" s="2" t="s">
        <v>720</v>
      </c>
      <c r="B665" s="2" t="s">
        <v>86</v>
      </c>
      <c r="C665" s="1">
        <v>45920</v>
      </c>
      <c r="D665" s="2" t="s">
        <v>41</v>
      </c>
      <c r="E665" s="2" t="s">
        <v>45</v>
      </c>
      <c r="F665" s="2" t="s">
        <v>68</v>
      </c>
      <c r="G665" s="2" t="s">
        <v>20</v>
      </c>
      <c r="H665" s="2" t="s">
        <v>21</v>
      </c>
      <c r="I665" s="2">
        <v>35</v>
      </c>
      <c r="J665" s="2">
        <v>64</v>
      </c>
      <c r="K665" s="2">
        <v>15637.77</v>
      </c>
      <c r="L665" s="2">
        <v>284.52999999999997</v>
      </c>
      <c r="M665" s="2">
        <v>37.97</v>
      </c>
      <c r="N665" s="2" t="s">
        <v>30</v>
      </c>
      <c r="O665" s="2">
        <v>1</v>
      </c>
    </row>
    <row r="666" spans="1:15" x14ac:dyDescent="0.3">
      <c r="A666" s="2" t="s">
        <v>721</v>
      </c>
      <c r="B666" s="2" t="s">
        <v>33</v>
      </c>
      <c r="C666" s="1">
        <v>45985</v>
      </c>
      <c r="D666" s="2" t="s">
        <v>32</v>
      </c>
      <c r="E666" s="2" t="s">
        <v>26</v>
      </c>
      <c r="F666" s="2" t="s">
        <v>34</v>
      </c>
      <c r="G666" s="2" t="s">
        <v>64</v>
      </c>
      <c r="H666" s="2" t="s">
        <v>29</v>
      </c>
      <c r="I666" s="2">
        <v>66</v>
      </c>
      <c r="J666" s="2">
        <v>43</v>
      </c>
      <c r="K666" s="2">
        <v>38082.33</v>
      </c>
      <c r="L666" s="2">
        <v>117.4</v>
      </c>
      <c r="M666" s="2">
        <v>33.04</v>
      </c>
      <c r="N666" s="2" t="s">
        <v>22</v>
      </c>
      <c r="O666" s="2">
        <v>3</v>
      </c>
    </row>
    <row r="667" spans="1:15" x14ac:dyDescent="0.3">
      <c r="A667" s="2" t="s">
        <v>722</v>
      </c>
      <c r="B667" s="2" t="s">
        <v>47</v>
      </c>
      <c r="C667" s="1">
        <v>45908</v>
      </c>
      <c r="D667" s="2" t="s">
        <v>74</v>
      </c>
      <c r="E667" s="2" t="s">
        <v>38</v>
      </c>
      <c r="F667" s="2" t="s">
        <v>27</v>
      </c>
      <c r="G667" s="2" t="s">
        <v>28</v>
      </c>
      <c r="H667" s="2" t="s">
        <v>56</v>
      </c>
      <c r="I667" s="2">
        <v>45</v>
      </c>
      <c r="J667" s="2">
        <v>17</v>
      </c>
      <c r="K667" s="2">
        <v>31177.52</v>
      </c>
      <c r="L667" s="2">
        <v>79.510000000000005</v>
      </c>
      <c r="M667" s="2">
        <v>144.26</v>
      </c>
      <c r="N667" s="2" t="s">
        <v>30</v>
      </c>
      <c r="O667" s="2">
        <v>3</v>
      </c>
    </row>
    <row r="668" spans="1:15" x14ac:dyDescent="0.3">
      <c r="A668" s="2" t="s">
        <v>723</v>
      </c>
      <c r="B668" s="2" t="s">
        <v>37</v>
      </c>
      <c r="C668" s="1">
        <v>46137</v>
      </c>
      <c r="D668" s="2" t="s">
        <v>90</v>
      </c>
      <c r="E668" s="2" t="s">
        <v>58</v>
      </c>
      <c r="F668" s="2" t="s">
        <v>19</v>
      </c>
      <c r="G668" s="2" t="s">
        <v>64</v>
      </c>
      <c r="H668" s="2" t="s">
        <v>29</v>
      </c>
      <c r="I668" s="2">
        <v>71</v>
      </c>
      <c r="J668" s="2">
        <v>59</v>
      </c>
      <c r="K668" s="2">
        <v>4331.87</v>
      </c>
      <c r="L668" s="2">
        <v>378.24</v>
      </c>
      <c r="M668" s="2">
        <v>46.94</v>
      </c>
      <c r="N668" s="2" t="s">
        <v>22</v>
      </c>
      <c r="O668" s="2">
        <v>1</v>
      </c>
    </row>
    <row r="669" spans="1:15" x14ac:dyDescent="0.3">
      <c r="A669" s="2" t="s">
        <v>724</v>
      </c>
      <c r="B669" s="2" t="s">
        <v>33</v>
      </c>
      <c r="C669" s="1">
        <v>45930</v>
      </c>
      <c r="D669" s="2" t="s">
        <v>32</v>
      </c>
      <c r="E669" s="2" t="s">
        <v>26</v>
      </c>
      <c r="F669" s="2" t="s">
        <v>39</v>
      </c>
      <c r="G669" s="2" t="s">
        <v>55</v>
      </c>
      <c r="H669" s="2" t="s">
        <v>21</v>
      </c>
      <c r="I669" s="2">
        <v>58</v>
      </c>
      <c r="J669" s="2">
        <v>23</v>
      </c>
      <c r="K669" s="2">
        <v>25885.35</v>
      </c>
      <c r="L669" s="2">
        <v>301.87</v>
      </c>
      <c r="M669" s="2">
        <v>169.99</v>
      </c>
      <c r="N669" s="2" t="s">
        <v>30</v>
      </c>
      <c r="O669" s="2">
        <v>1</v>
      </c>
    </row>
    <row r="670" spans="1:15" x14ac:dyDescent="0.3">
      <c r="A670" s="2" t="s">
        <v>725</v>
      </c>
      <c r="B670" s="2" t="s">
        <v>47</v>
      </c>
      <c r="C670" s="1">
        <v>45921</v>
      </c>
      <c r="D670" s="2" t="s">
        <v>74</v>
      </c>
      <c r="E670" s="2" t="s">
        <v>38</v>
      </c>
      <c r="F670" s="2" t="s">
        <v>34</v>
      </c>
      <c r="G670" s="2" t="s">
        <v>20</v>
      </c>
      <c r="H670" s="2" t="s">
        <v>21</v>
      </c>
      <c r="I670" s="2">
        <v>62</v>
      </c>
      <c r="J670" s="2">
        <v>7</v>
      </c>
      <c r="K670" s="2">
        <v>17493.400000000001</v>
      </c>
      <c r="L670" s="2">
        <v>211.55</v>
      </c>
      <c r="M670" s="2">
        <v>145.24</v>
      </c>
      <c r="N670" s="2" t="s">
        <v>22</v>
      </c>
      <c r="O670" s="2">
        <v>3</v>
      </c>
    </row>
    <row r="671" spans="1:15" x14ac:dyDescent="0.3">
      <c r="A671" s="2" t="s">
        <v>726</v>
      </c>
      <c r="B671" s="2" t="s">
        <v>17</v>
      </c>
      <c r="C671" s="1">
        <v>45980</v>
      </c>
      <c r="D671" s="2" t="s">
        <v>24</v>
      </c>
      <c r="E671" s="2" t="s">
        <v>26</v>
      </c>
      <c r="F671" s="2" t="s">
        <v>34</v>
      </c>
      <c r="G671" s="2" t="s">
        <v>64</v>
      </c>
      <c r="H671" s="2" t="s">
        <v>29</v>
      </c>
      <c r="I671" s="2">
        <v>67</v>
      </c>
      <c r="J671" s="2">
        <v>44</v>
      </c>
      <c r="K671" s="2">
        <v>16764.25</v>
      </c>
      <c r="L671" s="2">
        <v>413.76</v>
      </c>
      <c r="M671" s="2">
        <v>252.56</v>
      </c>
      <c r="N671" s="2" t="s">
        <v>30</v>
      </c>
      <c r="O671" s="2">
        <v>5</v>
      </c>
    </row>
    <row r="672" spans="1:15" x14ac:dyDescent="0.3">
      <c r="A672" s="2" t="s">
        <v>727</v>
      </c>
      <c r="B672" s="2" t="s">
        <v>17</v>
      </c>
      <c r="C672" s="1">
        <v>46067</v>
      </c>
      <c r="D672" s="2" t="s">
        <v>32</v>
      </c>
      <c r="E672" s="2" t="s">
        <v>45</v>
      </c>
      <c r="F672" s="2" t="s">
        <v>68</v>
      </c>
      <c r="G672" s="2" t="s">
        <v>20</v>
      </c>
      <c r="H672" s="2" t="s">
        <v>52</v>
      </c>
      <c r="I672" s="2">
        <v>73</v>
      </c>
      <c r="J672" s="2">
        <v>53</v>
      </c>
      <c r="K672" s="2">
        <v>30311.69</v>
      </c>
      <c r="L672" s="2">
        <v>224.63</v>
      </c>
      <c r="M672" s="2">
        <v>59.8</v>
      </c>
      <c r="N672" s="2" t="s">
        <v>22</v>
      </c>
      <c r="O672" s="2">
        <v>3</v>
      </c>
    </row>
    <row r="673" spans="1:15" x14ac:dyDescent="0.3">
      <c r="A673" s="2" t="s">
        <v>728</v>
      </c>
      <c r="B673" s="2" t="s">
        <v>51</v>
      </c>
      <c r="C673" s="1">
        <v>45959</v>
      </c>
      <c r="D673" s="2" t="s">
        <v>16</v>
      </c>
      <c r="E673" s="2" t="s">
        <v>45</v>
      </c>
      <c r="F673" s="2" t="s">
        <v>68</v>
      </c>
      <c r="G673" s="2" t="s">
        <v>20</v>
      </c>
      <c r="H673" s="2" t="s">
        <v>29</v>
      </c>
      <c r="I673" s="2">
        <v>74</v>
      </c>
      <c r="J673" s="2">
        <v>71</v>
      </c>
      <c r="K673" s="2">
        <v>16455.080000000002</v>
      </c>
      <c r="L673" s="2">
        <v>408.18</v>
      </c>
      <c r="M673" s="2">
        <v>94.98</v>
      </c>
      <c r="N673" s="2" t="s">
        <v>22</v>
      </c>
      <c r="O673" s="2">
        <v>4</v>
      </c>
    </row>
    <row r="674" spans="1:15" x14ac:dyDescent="0.3">
      <c r="A674" s="2" t="s">
        <v>729</v>
      </c>
      <c r="B674" s="2" t="s">
        <v>25</v>
      </c>
      <c r="C674" s="1">
        <v>46162</v>
      </c>
      <c r="D674" s="2" t="s">
        <v>90</v>
      </c>
      <c r="E674" s="2" t="s">
        <v>45</v>
      </c>
      <c r="F674" s="2" t="s">
        <v>34</v>
      </c>
      <c r="G674" s="2" t="s">
        <v>28</v>
      </c>
      <c r="H674" s="2" t="s">
        <v>56</v>
      </c>
      <c r="I674" s="2">
        <v>72</v>
      </c>
      <c r="J674" s="2">
        <v>108</v>
      </c>
      <c r="K674" s="2">
        <v>38956.239999999998</v>
      </c>
      <c r="L674" s="2">
        <v>187.59</v>
      </c>
      <c r="M674" s="2">
        <v>134.24</v>
      </c>
      <c r="N674" s="2" t="s">
        <v>22</v>
      </c>
      <c r="O674" s="2">
        <v>4</v>
      </c>
    </row>
    <row r="675" spans="1:15" x14ac:dyDescent="0.3">
      <c r="A675" s="2" t="s">
        <v>730</v>
      </c>
      <c r="B675" s="2" t="s">
        <v>49</v>
      </c>
      <c r="C675" s="1">
        <v>46118</v>
      </c>
      <c r="D675" s="2" t="s">
        <v>74</v>
      </c>
      <c r="E675" s="2" t="s">
        <v>58</v>
      </c>
      <c r="F675" s="2" t="s">
        <v>27</v>
      </c>
      <c r="G675" s="2" t="s">
        <v>28</v>
      </c>
      <c r="H675" s="2" t="s">
        <v>52</v>
      </c>
      <c r="I675" s="2">
        <v>58</v>
      </c>
      <c r="J675" s="2">
        <v>79</v>
      </c>
      <c r="K675" s="2">
        <v>4004.18</v>
      </c>
      <c r="L675" s="2">
        <v>82.78</v>
      </c>
      <c r="M675" s="2">
        <v>6.29</v>
      </c>
      <c r="N675" s="2" t="s">
        <v>30</v>
      </c>
      <c r="O675" s="2">
        <v>4</v>
      </c>
    </row>
    <row r="676" spans="1:15" x14ac:dyDescent="0.3">
      <c r="A676" s="2" t="s">
        <v>731</v>
      </c>
      <c r="B676" s="2" t="s">
        <v>78</v>
      </c>
      <c r="C676" s="1">
        <v>46119</v>
      </c>
      <c r="D676" s="2" t="s">
        <v>74</v>
      </c>
      <c r="E676" s="2" t="s">
        <v>45</v>
      </c>
      <c r="F676" s="2" t="s">
        <v>39</v>
      </c>
      <c r="G676" s="2" t="s">
        <v>55</v>
      </c>
      <c r="H676" s="2" t="s">
        <v>56</v>
      </c>
      <c r="I676" s="2">
        <v>43</v>
      </c>
      <c r="J676" s="2">
        <v>34</v>
      </c>
      <c r="K676" s="2">
        <v>33189.22</v>
      </c>
      <c r="L676" s="2">
        <v>469.69</v>
      </c>
      <c r="M676" s="2">
        <v>145.30000000000001</v>
      </c>
      <c r="N676" s="2" t="s">
        <v>30</v>
      </c>
      <c r="O676" s="2">
        <v>2</v>
      </c>
    </row>
    <row r="677" spans="1:15" x14ac:dyDescent="0.3">
      <c r="A677" s="2" t="s">
        <v>732</v>
      </c>
      <c r="B677" s="2" t="s">
        <v>33</v>
      </c>
      <c r="C677" s="1">
        <v>46176</v>
      </c>
      <c r="D677" s="2" t="s">
        <v>74</v>
      </c>
      <c r="E677" s="2" t="s">
        <v>38</v>
      </c>
      <c r="F677" s="2" t="s">
        <v>68</v>
      </c>
      <c r="G677" s="2" t="s">
        <v>35</v>
      </c>
      <c r="H677" s="2" t="s">
        <v>29</v>
      </c>
      <c r="I677" s="2">
        <v>45</v>
      </c>
      <c r="J677" s="2">
        <v>46</v>
      </c>
      <c r="K677" s="2">
        <v>40555.14</v>
      </c>
      <c r="L677" s="2">
        <v>227.55</v>
      </c>
      <c r="M677" s="2">
        <v>250.74</v>
      </c>
      <c r="N677" s="2" t="s">
        <v>22</v>
      </c>
      <c r="O677" s="2">
        <v>4</v>
      </c>
    </row>
    <row r="678" spans="1:15" x14ac:dyDescent="0.3">
      <c r="A678" s="2" t="s">
        <v>733</v>
      </c>
      <c r="B678" s="2" t="s">
        <v>86</v>
      </c>
      <c r="C678" s="1">
        <v>45900</v>
      </c>
      <c r="D678" s="2" t="s">
        <v>24</v>
      </c>
      <c r="E678" s="2" t="s">
        <v>26</v>
      </c>
      <c r="F678" s="2" t="s">
        <v>27</v>
      </c>
      <c r="G678" s="2" t="s">
        <v>20</v>
      </c>
      <c r="H678" s="2" t="s">
        <v>52</v>
      </c>
      <c r="I678" s="2">
        <v>62</v>
      </c>
      <c r="J678" s="2">
        <v>109</v>
      </c>
      <c r="K678" s="2">
        <v>33805.17</v>
      </c>
      <c r="L678" s="2">
        <v>406.71</v>
      </c>
      <c r="M678" s="2">
        <v>83.03</v>
      </c>
      <c r="N678" s="2" t="s">
        <v>30</v>
      </c>
      <c r="O678" s="2">
        <v>5</v>
      </c>
    </row>
    <row r="679" spans="1:15" x14ac:dyDescent="0.3">
      <c r="A679" s="2" t="s">
        <v>734</v>
      </c>
      <c r="B679" s="2" t="s">
        <v>33</v>
      </c>
      <c r="C679" s="1">
        <v>46157</v>
      </c>
      <c r="D679" s="2" t="s">
        <v>32</v>
      </c>
      <c r="E679" s="2" t="s">
        <v>18</v>
      </c>
      <c r="F679" s="2" t="s">
        <v>19</v>
      </c>
      <c r="G679" s="2" t="s">
        <v>35</v>
      </c>
      <c r="H679" s="2" t="s">
        <v>56</v>
      </c>
      <c r="I679" s="2">
        <v>27</v>
      </c>
      <c r="J679" s="2">
        <v>68</v>
      </c>
      <c r="K679" s="2">
        <v>25112.85</v>
      </c>
      <c r="L679" s="2">
        <v>175.61</v>
      </c>
      <c r="M679" s="2">
        <v>152.97999999999999</v>
      </c>
      <c r="N679" s="2" t="s">
        <v>30</v>
      </c>
      <c r="O679" s="2">
        <v>2</v>
      </c>
    </row>
    <row r="680" spans="1:15" x14ac:dyDescent="0.3">
      <c r="A680" s="2" t="s">
        <v>735</v>
      </c>
      <c r="B680" s="2" t="s">
        <v>49</v>
      </c>
      <c r="C680" s="1">
        <v>45888</v>
      </c>
      <c r="D680" s="2" t="s">
        <v>24</v>
      </c>
      <c r="E680" s="2" t="s">
        <v>38</v>
      </c>
      <c r="F680" s="2" t="s">
        <v>68</v>
      </c>
      <c r="G680" s="2" t="s">
        <v>55</v>
      </c>
      <c r="H680" s="2" t="s">
        <v>29</v>
      </c>
      <c r="I680" s="2">
        <v>42</v>
      </c>
      <c r="J680" s="2">
        <v>78</v>
      </c>
      <c r="K680" s="2">
        <v>47540.2</v>
      </c>
      <c r="L680" s="2">
        <v>340.86</v>
      </c>
      <c r="M680" s="2">
        <v>52.38</v>
      </c>
      <c r="N680" s="2" t="s">
        <v>30</v>
      </c>
      <c r="O680" s="2">
        <v>2</v>
      </c>
    </row>
    <row r="681" spans="1:15" x14ac:dyDescent="0.3">
      <c r="A681" s="2" t="s">
        <v>736</v>
      </c>
      <c r="B681" s="2" t="s">
        <v>60</v>
      </c>
      <c r="C681" s="1">
        <v>46043</v>
      </c>
      <c r="D681" s="2" t="s">
        <v>43</v>
      </c>
      <c r="E681" s="2" t="s">
        <v>38</v>
      </c>
      <c r="F681" s="2" t="s">
        <v>27</v>
      </c>
      <c r="G681" s="2" t="s">
        <v>20</v>
      </c>
      <c r="H681" s="2" t="s">
        <v>29</v>
      </c>
      <c r="I681" s="2">
        <v>37</v>
      </c>
      <c r="J681" s="2">
        <v>78</v>
      </c>
      <c r="K681" s="2">
        <v>15346.96</v>
      </c>
      <c r="L681" s="2">
        <v>442.99</v>
      </c>
      <c r="M681" s="2">
        <v>96.68</v>
      </c>
      <c r="N681" s="2" t="s">
        <v>30</v>
      </c>
      <c r="O681" s="2">
        <v>4</v>
      </c>
    </row>
    <row r="682" spans="1:15" x14ac:dyDescent="0.3">
      <c r="A682" s="2" t="s">
        <v>737</v>
      </c>
      <c r="B682" s="2" t="s">
        <v>86</v>
      </c>
      <c r="C682" s="1">
        <v>46004</v>
      </c>
      <c r="D682" s="2" t="s">
        <v>54</v>
      </c>
      <c r="E682" s="2" t="s">
        <v>45</v>
      </c>
      <c r="F682" s="2" t="s">
        <v>27</v>
      </c>
      <c r="G682" s="2" t="s">
        <v>20</v>
      </c>
      <c r="H682" s="2" t="s">
        <v>52</v>
      </c>
      <c r="I682" s="2">
        <v>38</v>
      </c>
      <c r="J682" s="2">
        <v>16</v>
      </c>
      <c r="K682" s="2">
        <v>1448.81</v>
      </c>
      <c r="L682" s="2">
        <v>68.739999999999995</v>
      </c>
      <c r="M682" s="2">
        <v>194.86</v>
      </c>
      <c r="N682" s="2" t="s">
        <v>30</v>
      </c>
      <c r="O682" s="2">
        <v>3</v>
      </c>
    </row>
    <row r="683" spans="1:15" x14ac:dyDescent="0.3">
      <c r="A683" s="2" t="s">
        <v>738</v>
      </c>
      <c r="B683" s="2" t="s">
        <v>62</v>
      </c>
      <c r="C683" s="1">
        <v>46138</v>
      </c>
      <c r="D683" s="2" t="s">
        <v>54</v>
      </c>
      <c r="E683" s="2" t="s">
        <v>58</v>
      </c>
      <c r="F683" s="2" t="s">
        <v>39</v>
      </c>
      <c r="G683" s="2" t="s">
        <v>35</v>
      </c>
      <c r="H683" s="2" t="s">
        <v>29</v>
      </c>
      <c r="I683" s="2">
        <v>69</v>
      </c>
      <c r="J683" s="2">
        <v>71</v>
      </c>
      <c r="K683" s="2">
        <v>21883.47</v>
      </c>
      <c r="L683" s="2">
        <v>423.79</v>
      </c>
      <c r="M683" s="2">
        <v>295.91000000000003</v>
      </c>
      <c r="N683" s="2" t="s">
        <v>30</v>
      </c>
      <c r="O683" s="2">
        <v>1</v>
      </c>
    </row>
    <row r="684" spans="1:15" x14ac:dyDescent="0.3">
      <c r="A684" s="2" t="s">
        <v>739</v>
      </c>
      <c r="B684" s="2" t="s">
        <v>82</v>
      </c>
      <c r="C684" s="1">
        <v>46191</v>
      </c>
      <c r="D684" s="2" t="s">
        <v>43</v>
      </c>
      <c r="E684" s="2" t="s">
        <v>26</v>
      </c>
      <c r="F684" s="2" t="s">
        <v>39</v>
      </c>
      <c r="G684" s="2" t="s">
        <v>64</v>
      </c>
      <c r="H684" s="2" t="s">
        <v>21</v>
      </c>
      <c r="I684" s="2">
        <v>61</v>
      </c>
      <c r="J684" s="2">
        <v>96</v>
      </c>
      <c r="K684" s="2">
        <v>2134.09</v>
      </c>
      <c r="L684" s="2">
        <v>307.10000000000002</v>
      </c>
      <c r="M684" s="2">
        <v>102.52</v>
      </c>
      <c r="N684" s="2" t="s">
        <v>30</v>
      </c>
      <c r="O684" s="2">
        <v>3</v>
      </c>
    </row>
    <row r="685" spans="1:15" x14ac:dyDescent="0.3">
      <c r="A685" s="2" t="s">
        <v>740</v>
      </c>
      <c r="B685" s="2" t="s">
        <v>78</v>
      </c>
      <c r="C685" s="1">
        <v>45922</v>
      </c>
      <c r="D685" s="2" t="s">
        <v>32</v>
      </c>
      <c r="E685" s="2" t="s">
        <v>58</v>
      </c>
      <c r="F685" s="2" t="s">
        <v>19</v>
      </c>
      <c r="G685" s="2" t="s">
        <v>28</v>
      </c>
      <c r="H685" s="2" t="s">
        <v>56</v>
      </c>
      <c r="I685" s="2">
        <v>30</v>
      </c>
      <c r="J685" s="2">
        <v>19</v>
      </c>
      <c r="K685" s="2">
        <v>47719.87</v>
      </c>
      <c r="L685" s="2">
        <v>323.36</v>
      </c>
      <c r="M685" s="2">
        <v>186.85</v>
      </c>
      <c r="N685" s="2" t="s">
        <v>30</v>
      </c>
      <c r="O685" s="2">
        <v>3</v>
      </c>
    </row>
    <row r="686" spans="1:15" x14ac:dyDescent="0.3">
      <c r="A686" s="2" t="s">
        <v>741</v>
      </c>
      <c r="B686" s="2" t="s">
        <v>62</v>
      </c>
      <c r="C686" s="1">
        <v>46034</v>
      </c>
      <c r="D686" s="2" t="s">
        <v>16</v>
      </c>
      <c r="E686" s="2" t="s">
        <v>26</v>
      </c>
      <c r="F686" s="2" t="s">
        <v>27</v>
      </c>
      <c r="G686" s="2" t="s">
        <v>64</v>
      </c>
      <c r="H686" s="2" t="s">
        <v>56</v>
      </c>
      <c r="I686" s="2">
        <v>30</v>
      </c>
      <c r="J686" s="2">
        <v>2</v>
      </c>
      <c r="K686" s="2">
        <v>10890.94</v>
      </c>
      <c r="L686" s="2">
        <v>285.42</v>
      </c>
      <c r="M686" s="2">
        <v>104.55</v>
      </c>
      <c r="N686" s="2" t="s">
        <v>30</v>
      </c>
      <c r="O686" s="2">
        <v>2</v>
      </c>
    </row>
    <row r="687" spans="1:15" x14ac:dyDescent="0.3">
      <c r="A687" s="2" t="s">
        <v>742</v>
      </c>
      <c r="B687" s="2" t="s">
        <v>60</v>
      </c>
      <c r="C687" s="1">
        <v>45915</v>
      </c>
      <c r="D687" s="2" t="s">
        <v>24</v>
      </c>
      <c r="E687" s="2" t="s">
        <v>26</v>
      </c>
      <c r="F687" s="2" t="s">
        <v>27</v>
      </c>
      <c r="G687" s="2" t="s">
        <v>35</v>
      </c>
      <c r="H687" s="2" t="s">
        <v>29</v>
      </c>
      <c r="I687" s="2">
        <v>27</v>
      </c>
      <c r="J687" s="2">
        <v>10</v>
      </c>
      <c r="K687" s="2">
        <v>39551.89</v>
      </c>
      <c r="L687" s="2">
        <v>443.51</v>
      </c>
      <c r="M687" s="2">
        <v>87.48</v>
      </c>
      <c r="N687" s="2" t="s">
        <v>30</v>
      </c>
      <c r="O687" s="2">
        <v>2</v>
      </c>
    </row>
    <row r="688" spans="1:15" x14ac:dyDescent="0.3">
      <c r="A688" s="2" t="s">
        <v>743</v>
      </c>
      <c r="B688" s="2" t="s">
        <v>60</v>
      </c>
      <c r="C688" s="1">
        <v>45955</v>
      </c>
      <c r="D688" s="2" t="s">
        <v>90</v>
      </c>
      <c r="E688" s="2" t="s">
        <v>58</v>
      </c>
      <c r="F688" s="2" t="s">
        <v>39</v>
      </c>
      <c r="G688" s="2" t="s">
        <v>28</v>
      </c>
      <c r="H688" s="2" t="s">
        <v>29</v>
      </c>
      <c r="I688" s="2">
        <v>68</v>
      </c>
      <c r="J688" s="2">
        <v>50</v>
      </c>
      <c r="K688" s="2">
        <v>38841.32</v>
      </c>
      <c r="L688" s="2">
        <v>69.55</v>
      </c>
      <c r="M688" s="2">
        <v>80.069999999999993</v>
      </c>
      <c r="N688" s="2" t="s">
        <v>30</v>
      </c>
      <c r="O688" s="2">
        <v>2</v>
      </c>
    </row>
    <row r="689" spans="1:15" x14ac:dyDescent="0.3">
      <c r="A689" s="2" t="s">
        <v>744</v>
      </c>
      <c r="B689" s="2" t="s">
        <v>49</v>
      </c>
      <c r="C689" s="1">
        <v>46043</v>
      </c>
      <c r="D689" s="2" t="s">
        <v>74</v>
      </c>
      <c r="E689" s="2" t="s">
        <v>38</v>
      </c>
      <c r="F689" s="2" t="s">
        <v>68</v>
      </c>
      <c r="G689" s="2" t="s">
        <v>64</v>
      </c>
      <c r="H689" s="2" t="s">
        <v>21</v>
      </c>
      <c r="I689" s="2">
        <v>70</v>
      </c>
      <c r="J689" s="2">
        <v>81</v>
      </c>
      <c r="K689" s="2">
        <v>11277.58</v>
      </c>
      <c r="L689" s="2">
        <v>167.46</v>
      </c>
      <c r="M689" s="2">
        <v>185.9</v>
      </c>
      <c r="N689" s="2" t="s">
        <v>22</v>
      </c>
      <c r="O689" s="2">
        <v>5</v>
      </c>
    </row>
    <row r="690" spans="1:15" x14ac:dyDescent="0.3">
      <c r="A690" s="2" t="s">
        <v>745</v>
      </c>
      <c r="B690" s="2" t="s">
        <v>33</v>
      </c>
      <c r="C690" s="1">
        <v>46221</v>
      </c>
      <c r="D690" s="2" t="s">
        <v>74</v>
      </c>
      <c r="E690" s="2" t="s">
        <v>26</v>
      </c>
      <c r="F690" s="2" t="s">
        <v>68</v>
      </c>
      <c r="G690" s="2" t="s">
        <v>28</v>
      </c>
      <c r="H690" s="2" t="s">
        <v>52</v>
      </c>
      <c r="I690" s="2">
        <v>58</v>
      </c>
      <c r="J690" s="2">
        <v>101</v>
      </c>
      <c r="K690" s="2">
        <v>31250.71</v>
      </c>
      <c r="L690" s="2">
        <v>444.09</v>
      </c>
      <c r="M690" s="2">
        <v>34.49</v>
      </c>
      <c r="N690" s="2" t="s">
        <v>22</v>
      </c>
      <c r="O690" s="2">
        <v>5</v>
      </c>
    </row>
    <row r="691" spans="1:15" x14ac:dyDescent="0.3">
      <c r="A691" s="2" t="s">
        <v>746</v>
      </c>
      <c r="B691" s="2" t="s">
        <v>49</v>
      </c>
      <c r="C691" s="1">
        <v>46208</v>
      </c>
      <c r="D691" s="2" t="s">
        <v>32</v>
      </c>
      <c r="E691" s="2" t="s">
        <v>58</v>
      </c>
      <c r="F691" s="2" t="s">
        <v>34</v>
      </c>
      <c r="G691" s="2" t="s">
        <v>20</v>
      </c>
      <c r="H691" s="2" t="s">
        <v>29</v>
      </c>
      <c r="I691" s="2">
        <v>47</v>
      </c>
      <c r="J691" s="2">
        <v>12</v>
      </c>
      <c r="K691" s="2">
        <v>2879.91</v>
      </c>
      <c r="L691" s="2">
        <v>388.56</v>
      </c>
      <c r="M691" s="2">
        <v>173.9</v>
      </c>
      <c r="N691" s="2" t="s">
        <v>22</v>
      </c>
      <c r="O691" s="2">
        <v>1</v>
      </c>
    </row>
    <row r="692" spans="1:15" x14ac:dyDescent="0.3">
      <c r="A692" s="2" t="s">
        <v>747</v>
      </c>
      <c r="B692" s="2" t="s">
        <v>49</v>
      </c>
      <c r="C692" s="1">
        <v>46140</v>
      </c>
      <c r="D692" s="2" t="s">
        <v>16</v>
      </c>
      <c r="E692" s="2" t="s">
        <v>26</v>
      </c>
      <c r="F692" s="2" t="s">
        <v>39</v>
      </c>
      <c r="G692" s="2" t="s">
        <v>64</v>
      </c>
      <c r="H692" s="2" t="s">
        <v>29</v>
      </c>
      <c r="I692" s="2">
        <v>72</v>
      </c>
      <c r="J692" s="2">
        <v>70</v>
      </c>
      <c r="K692" s="2">
        <v>24436.94</v>
      </c>
      <c r="L692" s="2">
        <v>57.94</v>
      </c>
      <c r="M692" s="2">
        <v>166.66</v>
      </c>
      <c r="N692" s="2" t="s">
        <v>22</v>
      </c>
      <c r="O692" s="2">
        <v>2</v>
      </c>
    </row>
    <row r="693" spans="1:15" x14ac:dyDescent="0.3">
      <c r="A693" s="2" t="s">
        <v>748</v>
      </c>
      <c r="B693" s="2" t="s">
        <v>60</v>
      </c>
      <c r="C693" s="1">
        <v>46220</v>
      </c>
      <c r="D693" s="2" t="s">
        <v>54</v>
      </c>
      <c r="E693" s="2" t="s">
        <v>18</v>
      </c>
      <c r="F693" s="2" t="s">
        <v>34</v>
      </c>
      <c r="G693" s="2" t="s">
        <v>28</v>
      </c>
      <c r="H693" s="2" t="s">
        <v>29</v>
      </c>
      <c r="I693" s="2">
        <v>53</v>
      </c>
      <c r="J693" s="2">
        <v>22</v>
      </c>
      <c r="K693" s="2">
        <v>1225.03</v>
      </c>
      <c r="L693" s="2">
        <v>282.64999999999998</v>
      </c>
      <c r="M693" s="2">
        <v>221.88</v>
      </c>
      <c r="N693" s="2" t="s">
        <v>30</v>
      </c>
      <c r="O693" s="2">
        <v>4</v>
      </c>
    </row>
    <row r="694" spans="1:15" x14ac:dyDescent="0.3">
      <c r="A694" s="2" t="s">
        <v>749</v>
      </c>
      <c r="B694" s="2" t="s">
        <v>78</v>
      </c>
      <c r="C694" s="1">
        <v>46077</v>
      </c>
      <c r="D694" s="2" t="s">
        <v>54</v>
      </c>
      <c r="E694" s="2" t="s">
        <v>38</v>
      </c>
      <c r="F694" s="2" t="s">
        <v>39</v>
      </c>
      <c r="G694" s="2" t="s">
        <v>28</v>
      </c>
      <c r="H694" s="2" t="s">
        <v>29</v>
      </c>
      <c r="I694" s="2">
        <v>21</v>
      </c>
      <c r="J694" s="2">
        <v>32</v>
      </c>
      <c r="K694" s="2">
        <v>46096.62</v>
      </c>
      <c r="L694" s="2">
        <v>288.31</v>
      </c>
      <c r="M694" s="2">
        <v>149.77000000000001</v>
      </c>
      <c r="N694" s="2" t="s">
        <v>22</v>
      </c>
      <c r="O694" s="2">
        <v>2</v>
      </c>
    </row>
    <row r="695" spans="1:15" x14ac:dyDescent="0.3">
      <c r="A695" s="2" t="s">
        <v>750</v>
      </c>
      <c r="B695" s="2" t="s">
        <v>62</v>
      </c>
      <c r="C695" s="1">
        <v>46061</v>
      </c>
      <c r="D695" s="2" t="s">
        <v>74</v>
      </c>
      <c r="E695" s="2" t="s">
        <v>45</v>
      </c>
      <c r="F695" s="2" t="s">
        <v>19</v>
      </c>
      <c r="G695" s="2" t="s">
        <v>28</v>
      </c>
      <c r="H695" s="2" t="s">
        <v>56</v>
      </c>
      <c r="I695" s="2">
        <v>64</v>
      </c>
      <c r="J695" s="2">
        <v>105</v>
      </c>
      <c r="K695" s="2">
        <v>48816.26</v>
      </c>
      <c r="L695" s="2">
        <v>230.4</v>
      </c>
      <c r="M695" s="2">
        <v>54.46</v>
      </c>
      <c r="N695" s="2" t="s">
        <v>30</v>
      </c>
      <c r="O695" s="2">
        <v>5</v>
      </c>
    </row>
    <row r="696" spans="1:15" x14ac:dyDescent="0.3">
      <c r="A696" s="2" t="s">
        <v>751</v>
      </c>
      <c r="B696" s="2" t="s">
        <v>67</v>
      </c>
      <c r="C696" s="1">
        <v>46017</v>
      </c>
      <c r="D696" s="2" t="s">
        <v>32</v>
      </c>
      <c r="E696" s="2" t="s">
        <v>26</v>
      </c>
      <c r="F696" s="2" t="s">
        <v>27</v>
      </c>
      <c r="G696" s="2" t="s">
        <v>64</v>
      </c>
      <c r="H696" s="2" t="s">
        <v>29</v>
      </c>
      <c r="I696" s="2">
        <v>73</v>
      </c>
      <c r="J696" s="2">
        <v>84</v>
      </c>
      <c r="K696" s="2">
        <v>11503</v>
      </c>
      <c r="L696" s="2">
        <v>183.83</v>
      </c>
      <c r="M696" s="2">
        <v>50.82</v>
      </c>
      <c r="N696" s="2" t="s">
        <v>30</v>
      </c>
      <c r="O696" s="2">
        <v>2</v>
      </c>
    </row>
    <row r="697" spans="1:15" x14ac:dyDescent="0.3">
      <c r="A697" s="2" t="s">
        <v>752</v>
      </c>
      <c r="B697" s="2" t="s">
        <v>33</v>
      </c>
      <c r="C697" s="1">
        <v>46008</v>
      </c>
      <c r="D697" s="2" t="s">
        <v>24</v>
      </c>
      <c r="E697" s="2" t="s">
        <v>18</v>
      </c>
      <c r="F697" s="2" t="s">
        <v>19</v>
      </c>
      <c r="G697" s="2" t="s">
        <v>55</v>
      </c>
      <c r="H697" s="2" t="s">
        <v>56</v>
      </c>
      <c r="I697" s="2">
        <v>54</v>
      </c>
      <c r="J697" s="2">
        <v>1</v>
      </c>
      <c r="K697" s="2">
        <v>10801.25</v>
      </c>
      <c r="L697" s="2">
        <v>356.78</v>
      </c>
      <c r="M697" s="2">
        <v>124.16</v>
      </c>
      <c r="N697" s="2" t="s">
        <v>30</v>
      </c>
      <c r="O697" s="2">
        <v>5</v>
      </c>
    </row>
    <row r="698" spans="1:15" x14ac:dyDescent="0.3">
      <c r="A698" s="2" t="s">
        <v>753</v>
      </c>
      <c r="B698" s="2" t="s">
        <v>60</v>
      </c>
      <c r="C698" s="1">
        <v>46219</v>
      </c>
      <c r="D698" s="2" t="s">
        <v>54</v>
      </c>
      <c r="E698" s="2" t="s">
        <v>45</v>
      </c>
      <c r="F698" s="2" t="s">
        <v>39</v>
      </c>
      <c r="G698" s="2" t="s">
        <v>64</v>
      </c>
      <c r="H698" s="2" t="s">
        <v>29</v>
      </c>
      <c r="I698" s="2">
        <v>24</v>
      </c>
      <c r="J698" s="2">
        <v>54</v>
      </c>
      <c r="K698" s="2">
        <v>37809.15</v>
      </c>
      <c r="L698" s="2">
        <v>143.51</v>
      </c>
      <c r="M698" s="2">
        <v>215.7</v>
      </c>
      <c r="N698" s="2" t="s">
        <v>30</v>
      </c>
      <c r="O698" s="2">
        <v>2</v>
      </c>
    </row>
    <row r="699" spans="1:15" x14ac:dyDescent="0.3">
      <c r="A699" s="2" t="s">
        <v>754</v>
      </c>
      <c r="B699" s="2" t="s">
        <v>62</v>
      </c>
      <c r="C699" s="1">
        <v>46014</v>
      </c>
      <c r="D699" s="2" t="s">
        <v>24</v>
      </c>
      <c r="E699" s="2" t="s">
        <v>45</v>
      </c>
      <c r="F699" s="2" t="s">
        <v>27</v>
      </c>
      <c r="G699" s="2" t="s">
        <v>35</v>
      </c>
      <c r="H699" s="2" t="s">
        <v>52</v>
      </c>
      <c r="I699" s="2">
        <v>37</v>
      </c>
      <c r="J699" s="2">
        <v>111</v>
      </c>
      <c r="K699" s="2">
        <v>13042.28</v>
      </c>
      <c r="L699" s="2">
        <v>409.53</v>
      </c>
      <c r="M699" s="2">
        <v>113.9</v>
      </c>
      <c r="N699" s="2" t="s">
        <v>30</v>
      </c>
      <c r="O699" s="2">
        <v>4</v>
      </c>
    </row>
    <row r="700" spans="1:15" x14ac:dyDescent="0.3">
      <c r="A700" s="2" t="s">
        <v>755</v>
      </c>
      <c r="B700" s="2" t="s">
        <v>25</v>
      </c>
      <c r="C700" s="1">
        <v>46142</v>
      </c>
      <c r="D700" s="2" t="s">
        <v>16</v>
      </c>
      <c r="E700" s="2" t="s">
        <v>26</v>
      </c>
      <c r="F700" s="2" t="s">
        <v>68</v>
      </c>
      <c r="G700" s="2" t="s">
        <v>64</v>
      </c>
      <c r="H700" s="2" t="s">
        <v>21</v>
      </c>
      <c r="I700" s="2">
        <v>24</v>
      </c>
      <c r="J700" s="2">
        <v>117</v>
      </c>
      <c r="K700" s="2">
        <v>44806.29</v>
      </c>
      <c r="L700" s="2">
        <v>411.37</v>
      </c>
      <c r="M700" s="2">
        <v>147.66999999999999</v>
      </c>
      <c r="N700" s="2" t="s">
        <v>30</v>
      </c>
      <c r="O700" s="2">
        <v>1</v>
      </c>
    </row>
    <row r="701" spans="1:15" x14ac:dyDescent="0.3">
      <c r="A701" s="2" t="s">
        <v>756</v>
      </c>
      <c r="B701" s="2" t="s">
        <v>67</v>
      </c>
      <c r="C701" s="1">
        <v>45895</v>
      </c>
      <c r="D701" s="2" t="s">
        <v>54</v>
      </c>
      <c r="E701" s="2" t="s">
        <v>58</v>
      </c>
      <c r="F701" s="2" t="s">
        <v>68</v>
      </c>
      <c r="G701" s="2" t="s">
        <v>28</v>
      </c>
      <c r="H701" s="2" t="s">
        <v>52</v>
      </c>
      <c r="I701" s="2">
        <v>63</v>
      </c>
      <c r="J701" s="2">
        <v>58</v>
      </c>
      <c r="K701" s="2">
        <v>28909.49</v>
      </c>
      <c r="L701" s="2">
        <v>236.87</v>
      </c>
      <c r="M701" s="2">
        <v>28.3</v>
      </c>
      <c r="N701" s="2" t="s">
        <v>22</v>
      </c>
      <c r="O701" s="2">
        <v>4</v>
      </c>
    </row>
    <row r="702" spans="1:15" x14ac:dyDescent="0.3">
      <c r="A702" s="2" t="s">
        <v>757</v>
      </c>
      <c r="B702" s="2" t="s">
        <v>67</v>
      </c>
      <c r="C702" s="1">
        <v>45905</v>
      </c>
      <c r="D702" s="2" t="s">
        <v>54</v>
      </c>
      <c r="E702" s="2" t="s">
        <v>26</v>
      </c>
      <c r="F702" s="2" t="s">
        <v>34</v>
      </c>
      <c r="G702" s="2" t="s">
        <v>20</v>
      </c>
      <c r="H702" s="2" t="s">
        <v>29</v>
      </c>
      <c r="I702" s="2">
        <v>74</v>
      </c>
      <c r="J702" s="2">
        <v>70</v>
      </c>
      <c r="K702" s="2">
        <v>17863.490000000002</v>
      </c>
      <c r="L702" s="2">
        <v>177.6</v>
      </c>
      <c r="M702" s="2">
        <v>264.74</v>
      </c>
      <c r="N702" s="2" t="s">
        <v>30</v>
      </c>
      <c r="O702" s="2">
        <v>5</v>
      </c>
    </row>
    <row r="703" spans="1:15" x14ac:dyDescent="0.3">
      <c r="A703" s="2" t="s">
        <v>758</v>
      </c>
      <c r="B703" s="2" t="s">
        <v>17</v>
      </c>
      <c r="C703" s="1">
        <v>45870</v>
      </c>
      <c r="D703" s="2" t="s">
        <v>41</v>
      </c>
      <c r="E703" s="2" t="s">
        <v>18</v>
      </c>
      <c r="F703" s="2" t="s">
        <v>39</v>
      </c>
      <c r="G703" s="2" t="s">
        <v>64</v>
      </c>
      <c r="H703" s="2" t="s">
        <v>29</v>
      </c>
      <c r="I703" s="2">
        <v>46</v>
      </c>
      <c r="J703" s="2">
        <v>83</v>
      </c>
      <c r="K703" s="2">
        <v>41718.339999999997</v>
      </c>
      <c r="L703" s="2">
        <v>177.75</v>
      </c>
      <c r="M703" s="2">
        <v>174.72</v>
      </c>
      <c r="N703" s="2" t="s">
        <v>30</v>
      </c>
      <c r="O703" s="2">
        <v>3</v>
      </c>
    </row>
    <row r="704" spans="1:15" x14ac:dyDescent="0.3">
      <c r="A704" s="2" t="s">
        <v>759</v>
      </c>
      <c r="B704" s="2" t="s">
        <v>51</v>
      </c>
      <c r="C704" s="1">
        <v>45986</v>
      </c>
      <c r="D704" s="2" t="s">
        <v>54</v>
      </c>
      <c r="E704" s="2" t="s">
        <v>45</v>
      </c>
      <c r="F704" s="2" t="s">
        <v>39</v>
      </c>
      <c r="G704" s="2" t="s">
        <v>64</v>
      </c>
      <c r="H704" s="2" t="s">
        <v>29</v>
      </c>
      <c r="I704" s="2">
        <v>24</v>
      </c>
      <c r="J704" s="2">
        <v>18</v>
      </c>
      <c r="K704" s="2">
        <v>24923.63</v>
      </c>
      <c r="L704" s="2">
        <v>267.02999999999997</v>
      </c>
      <c r="M704" s="2">
        <v>38.06</v>
      </c>
      <c r="N704" s="2" t="s">
        <v>30</v>
      </c>
      <c r="O704" s="2">
        <v>4</v>
      </c>
    </row>
    <row r="705" spans="1:15" x14ac:dyDescent="0.3">
      <c r="A705" s="2" t="s">
        <v>760</v>
      </c>
      <c r="B705" s="2" t="s">
        <v>33</v>
      </c>
      <c r="C705" s="1">
        <v>46205</v>
      </c>
      <c r="D705" s="2" t="s">
        <v>43</v>
      </c>
      <c r="E705" s="2" t="s">
        <v>26</v>
      </c>
      <c r="F705" s="2" t="s">
        <v>68</v>
      </c>
      <c r="G705" s="2" t="s">
        <v>28</v>
      </c>
      <c r="H705" s="2" t="s">
        <v>52</v>
      </c>
      <c r="I705" s="2">
        <v>21</v>
      </c>
      <c r="J705" s="2">
        <v>6</v>
      </c>
      <c r="K705" s="2">
        <v>45625.83</v>
      </c>
      <c r="L705" s="2">
        <v>373.81</v>
      </c>
      <c r="M705" s="2">
        <v>92.39</v>
      </c>
      <c r="N705" s="2" t="s">
        <v>30</v>
      </c>
      <c r="O705" s="2">
        <v>2</v>
      </c>
    </row>
    <row r="706" spans="1:15" x14ac:dyDescent="0.3">
      <c r="A706" s="2" t="s">
        <v>761</v>
      </c>
      <c r="B706" s="2" t="s">
        <v>67</v>
      </c>
      <c r="C706" s="1">
        <v>46161</v>
      </c>
      <c r="D706" s="2" t="s">
        <v>90</v>
      </c>
      <c r="E706" s="2" t="s">
        <v>58</v>
      </c>
      <c r="F706" s="2" t="s">
        <v>19</v>
      </c>
      <c r="G706" s="2" t="s">
        <v>20</v>
      </c>
      <c r="H706" s="2" t="s">
        <v>29</v>
      </c>
      <c r="I706" s="2">
        <v>27</v>
      </c>
      <c r="J706" s="2">
        <v>45</v>
      </c>
      <c r="K706" s="2">
        <v>46436.7</v>
      </c>
      <c r="L706" s="2">
        <v>211.49</v>
      </c>
      <c r="M706" s="2">
        <v>253.44</v>
      </c>
      <c r="N706" s="2" t="s">
        <v>30</v>
      </c>
      <c r="O706" s="2">
        <v>1</v>
      </c>
    </row>
    <row r="707" spans="1:15" x14ac:dyDescent="0.3">
      <c r="A707" s="2" t="s">
        <v>762</v>
      </c>
      <c r="B707" s="2" t="s">
        <v>60</v>
      </c>
      <c r="C707" s="1">
        <v>46216</v>
      </c>
      <c r="D707" s="2" t="s">
        <v>43</v>
      </c>
      <c r="E707" s="2" t="s">
        <v>26</v>
      </c>
      <c r="F707" s="2" t="s">
        <v>27</v>
      </c>
      <c r="G707" s="2" t="s">
        <v>20</v>
      </c>
      <c r="H707" s="2" t="s">
        <v>52</v>
      </c>
      <c r="I707" s="2">
        <v>50</v>
      </c>
      <c r="J707" s="2">
        <v>97</v>
      </c>
      <c r="K707" s="2">
        <v>8688.2999999999993</v>
      </c>
      <c r="L707" s="2">
        <v>324.52</v>
      </c>
      <c r="M707" s="2">
        <v>179.51</v>
      </c>
      <c r="N707" s="2" t="s">
        <v>22</v>
      </c>
      <c r="O707" s="2">
        <v>2</v>
      </c>
    </row>
    <row r="708" spans="1:15" x14ac:dyDescent="0.3">
      <c r="A708" s="2" t="s">
        <v>763</v>
      </c>
      <c r="B708" s="2" t="s">
        <v>17</v>
      </c>
      <c r="C708" s="1">
        <v>45887</v>
      </c>
      <c r="D708" s="2" t="s">
        <v>32</v>
      </c>
      <c r="E708" s="2" t="s">
        <v>38</v>
      </c>
      <c r="F708" s="2" t="s">
        <v>19</v>
      </c>
      <c r="G708" s="2" t="s">
        <v>35</v>
      </c>
      <c r="H708" s="2" t="s">
        <v>56</v>
      </c>
      <c r="I708" s="2">
        <v>70</v>
      </c>
      <c r="J708" s="2">
        <v>23</v>
      </c>
      <c r="K708" s="2">
        <v>615.01</v>
      </c>
      <c r="L708" s="2">
        <v>222.12</v>
      </c>
      <c r="M708" s="2">
        <v>52.93</v>
      </c>
      <c r="N708" s="2" t="s">
        <v>30</v>
      </c>
      <c r="O708" s="2">
        <v>2</v>
      </c>
    </row>
    <row r="709" spans="1:15" x14ac:dyDescent="0.3">
      <c r="A709" s="2" t="s">
        <v>764</v>
      </c>
      <c r="B709" s="2" t="s">
        <v>62</v>
      </c>
      <c r="C709" s="1">
        <v>46188</v>
      </c>
      <c r="D709" s="2" t="s">
        <v>32</v>
      </c>
      <c r="E709" s="2" t="s">
        <v>58</v>
      </c>
      <c r="F709" s="2" t="s">
        <v>19</v>
      </c>
      <c r="G709" s="2" t="s">
        <v>64</v>
      </c>
      <c r="H709" s="2" t="s">
        <v>21</v>
      </c>
      <c r="I709" s="2">
        <v>29</v>
      </c>
      <c r="J709" s="2">
        <v>23</v>
      </c>
      <c r="K709" s="2">
        <v>49204.58</v>
      </c>
      <c r="L709" s="2">
        <v>187.04</v>
      </c>
      <c r="M709" s="2">
        <v>142.25</v>
      </c>
      <c r="N709" s="2" t="s">
        <v>30</v>
      </c>
      <c r="O709" s="2">
        <v>4</v>
      </c>
    </row>
    <row r="710" spans="1:15" x14ac:dyDescent="0.3">
      <c r="A710" s="2" t="s">
        <v>765</v>
      </c>
      <c r="B710" s="2" t="s">
        <v>25</v>
      </c>
      <c r="C710" s="1">
        <v>46198</v>
      </c>
      <c r="D710" s="2" t="s">
        <v>24</v>
      </c>
      <c r="E710" s="2" t="s">
        <v>18</v>
      </c>
      <c r="F710" s="2" t="s">
        <v>68</v>
      </c>
      <c r="G710" s="2" t="s">
        <v>20</v>
      </c>
      <c r="H710" s="2" t="s">
        <v>21</v>
      </c>
      <c r="I710" s="2">
        <v>55</v>
      </c>
      <c r="J710" s="2">
        <v>26</v>
      </c>
      <c r="K710" s="2">
        <v>45353.81</v>
      </c>
      <c r="L710" s="2">
        <v>61.19</v>
      </c>
      <c r="M710" s="2">
        <v>20</v>
      </c>
      <c r="N710" s="2" t="s">
        <v>30</v>
      </c>
      <c r="O710" s="2">
        <v>1</v>
      </c>
    </row>
    <row r="711" spans="1:15" x14ac:dyDescent="0.3">
      <c r="A711" s="2" t="s">
        <v>766</v>
      </c>
      <c r="B711" s="2" t="s">
        <v>47</v>
      </c>
      <c r="C711" s="1">
        <v>46114</v>
      </c>
      <c r="D711" s="2" t="s">
        <v>43</v>
      </c>
      <c r="E711" s="2" t="s">
        <v>45</v>
      </c>
      <c r="F711" s="2" t="s">
        <v>68</v>
      </c>
      <c r="G711" s="2" t="s">
        <v>20</v>
      </c>
      <c r="H711" s="2" t="s">
        <v>52</v>
      </c>
      <c r="I711" s="2">
        <v>28</v>
      </c>
      <c r="J711" s="2">
        <v>77</v>
      </c>
      <c r="K711" s="2">
        <v>3244.54</v>
      </c>
      <c r="L711" s="2">
        <v>51.76</v>
      </c>
      <c r="M711" s="2">
        <v>6.71</v>
      </c>
      <c r="N711" s="2" t="s">
        <v>30</v>
      </c>
      <c r="O711" s="2">
        <v>3</v>
      </c>
    </row>
    <row r="712" spans="1:15" x14ac:dyDescent="0.3">
      <c r="A712" s="2" t="s">
        <v>767</v>
      </c>
      <c r="B712" s="2" t="s">
        <v>33</v>
      </c>
      <c r="C712" s="1">
        <v>46099</v>
      </c>
      <c r="D712" s="2" t="s">
        <v>43</v>
      </c>
      <c r="E712" s="2" t="s">
        <v>26</v>
      </c>
      <c r="F712" s="2" t="s">
        <v>68</v>
      </c>
      <c r="G712" s="2" t="s">
        <v>55</v>
      </c>
      <c r="H712" s="2" t="s">
        <v>56</v>
      </c>
      <c r="I712" s="2">
        <v>44</v>
      </c>
      <c r="J712" s="2">
        <v>7</v>
      </c>
      <c r="K712" s="2">
        <v>41735.199999999997</v>
      </c>
      <c r="L712" s="2">
        <v>152.24</v>
      </c>
      <c r="M712" s="2">
        <v>112.08</v>
      </c>
      <c r="N712" s="2" t="s">
        <v>22</v>
      </c>
      <c r="O712" s="2">
        <v>2</v>
      </c>
    </row>
    <row r="713" spans="1:15" x14ac:dyDescent="0.3">
      <c r="A713" s="2" t="s">
        <v>768</v>
      </c>
      <c r="B713" s="2" t="s">
        <v>78</v>
      </c>
      <c r="C713" s="1">
        <v>46118</v>
      </c>
      <c r="D713" s="2" t="s">
        <v>43</v>
      </c>
      <c r="E713" s="2" t="s">
        <v>58</v>
      </c>
      <c r="F713" s="2" t="s">
        <v>34</v>
      </c>
      <c r="G713" s="2" t="s">
        <v>55</v>
      </c>
      <c r="H713" s="2" t="s">
        <v>52</v>
      </c>
      <c r="I713" s="2">
        <v>39</v>
      </c>
      <c r="J713" s="2">
        <v>79</v>
      </c>
      <c r="K713" s="2">
        <v>23161.34</v>
      </c>
      <c r="L713" s="2">
        <v>232.88</v>
      </c>
      <c r="M713" s="2">
        <v>138.97</v>
      </c>
      <c r="N713" s="2" t="s">
        <v>30</v>
      </c>
      <c r="O713" s="2">
        <v>1</v>
      </c>
    </row>
    <row r="714" spans="1:15" x14ac:dyDescent="0.3">
      <c r="A714" s="2" t="s">
        <v>769</v>
      </c>
      <c r="B714" s="2" t="s">
        <v>49</v>
      </c>
      <c r="C714" s="1">
        <v>46203</v>
      </c>
      <c r="D714" s="2" t="s">
        <v>16</v>
      </c>
      <c r="E714" s="2" t="s">
        <v>38</v>
      </c>
      <c r="F714" s="2" t="s">
        <v>19</v>
      </c>
      <c r="G714" s="2" t="s">
        <v>20</v>
      </c>
      <c r="H714" s="2" t="s">
        <v>56</v>
      </c>
      <c r="I714" s="2">
        <v>56</v>
      </c>
      <c r="J714" s="2">
        <v>44</v>
      </c>
      <c r="K714" s="2">
        <v>13318.6</v>
      </c>
      <c r="L714" s="2">
        <v>433.07</v>
      </c>
      <c r="M714" s="2">
        <v>159.16</v>
      </c>
      <c r="N714" s="2" t="s">
        <v>22</v>
      </c>
      <c r="O714" s="2">
        <v>3</v>
      </c>
    </row>
    <row r="715" spans="1:15" x14ac:dyDescent="0.3">
      <c r="A715" s="2" t="s">
        <v>770</v>
      </c>
      <c r="B715" s="2" t="s">
        <v>86</v>
      </c>
      <c r="C715" s="1">
        <v>46208</v>
      </c>
      <c r="D715" s="2" t="s">
        <v>54</v>
      </c>
      <c r="E715" s="2" t="s">
        <v>58</v>
      </c>
      <c r="F715" s="2" t="s">
        <v>39</v>
      </c>
      <c r="G715" s="2" t="s">
        <v>35</v>
      </c>
      <c r="H715" s="2" t="s">
        <v>29</v>
      </c>
      <c r="I715" s="2">
        <v>70</v>
      </c>
      <c r="J715" s="2">
        <v>27</v>
      </c>
      <c r="K715" s="2">
        <v>43997.95</v>
      </c>
      <c r="L715" s="2">
        <v>409.32</v>
      </c>
      <c r="M715" s="2">
        <v>102.06</v>
      </c>
      <c r="N715" s="2" t="s">
        <v>22</v>
      </c>
      <c r="O715" s="2">
        <v>2</v>
      </c>
    </row>
    <row r="716" spans="1:15" x14ac:dyDescent="0.3">
      <c r="A716" s="2" t="s">
        <v>771</v>
      </c>
      <c r="B716" s="2" t="s">
        <v>86</v>
      </c>
      <c r="C716" s="1">
        <v>46032</v>
      </c>
      <c r="D716" s="2" t="s">
        <v>90</v>
      </c>
      <c r="E716" s="2" t="s">
        <v>38</v>
      </c>
      <c r="F716" s="2" t="s">
        <v>27</v>
      </c>
      <c r="G716" s="2" t="s">
        <v>20</v>
      </c>
      <c r="H716" s="2" t="s">
        <v>56</v>
      </c>
      <c r="I716" s="2">
        <v>72</v>
      </c>
      <c r="J716" s="2">
        <v>26</v>
      </c>
      <c r="K716" s="2">
        <v>10235.030000000001</v>
      </c>
      <c r="L716" s="2">
        <v>170.22</v>
      </c>
      <c r="M716" s="2">
        <v>1.31</v>
      </c>
      <c r="N716" s="2" t="s">
        <v>22</v>
      </c>
      <c r="O716" s="2">
        <v>1</v>
      </c>
    </row>
    <row r="717" spans="1:15" x14ac:dyDescent="0.3">
      <c r="A717" s="2" t="s">
        <v>772</v>
      </c>
      <c r="B717" s="2" t="s">
        <v>62</v>
      </c>
      <c r="C717" s="1">
        <v>46007</v>
      </c>
      <c r="D717" s="2" t="s">
        <v>24</v>
      </c>
      <c r="E717" s="2" t="s">
        <v>18</v>
      </c>
      <c r="F717" s="2" t="s">
        <v>34</v>
      </c>
      <c r="G717" s="2" t="s">
        <v>28</v>
      </c>
      <c r="H717" s="2" t="s">
        <v>56</v>
      </c>
      <c r="I717" s="2">
        <v>63</v>
      </c>
      <c r="J717" s="2">
        <v>97</v>
      </c>
      <c r="K717" s="2">
        <v>47391.35</v>
      </c>
      <c r="L717" s="2">
        <v>160.04</v>
      </c>
      <c r="M717" s="2">
        <v>95.9</v>
      </c>
      <c r="N717" s="2" t="s">
        <v>22</v>
      </c>
      <c r="O717" s="2">
        <v>4</v>
      </c>
    </row>
    <row r="718" spans="1:15" x14ac:dyDescent="0.3">
      <c r="A718" s="2" t="s">
        <v>773</v>
      </c>
      <c r="B718" s="2" t="s">
        <v>76</v>
      </c>
      <c r="C718" s="1">
        <v>46167</v>
      </c>
      <c r="D718" s="2" t="s">
        <v>43</v>
      </c>
      <c r="E718" s="2" t="s">
        <v>45</v>
      </c>
      <c r="F718" s="2" t="s">
        <v>39</v>
      </c>
      <c r="G718" s="2" t="s">
        <v>64</v>
      </c>
      <c r="H718" s="2" t="s">
        <v>56</v>
      </c>
      <c r="I718" s="2">
        <v>47</v>
      </c>
      <c r="J718" s="2">
        <v>79</v>
      </c>
      <c r="K718" s="2">
        <v>10678.26</v>
      </c>
      <c r="L718" s="2">
        <v>152.29</v>
      </c>
      <c r="M718" s="2">
        <v>3.17</v>
      </c>
      <c r="N718" s="2" t="s">
        <v>30</v>
      </c>
      <c r="O718" s="2">
        <v>2</v>
      </c>
    </row>
    <row r="719" spans="1:15" x14ac:dyDescent="0.3">
      <c r="A719" s="2" t="s">
        <v>774</v>
      </c>
      <c r="B719" s="2" t="s">
        <v>76</v>
      </c>
      <c r="C719" s="1">
        <v>45894</v>
      </c>
      <c r="D719" s="2" t="s">
        <v>43</v>
      </c>
      <c r="E719" s="2" t="s">
        <v>18</v>
      </c>
      <c r="F719" s="2" t="s">
        <v>19</v>
      </c>
      <c r="G719" s="2" t="s">
        <v>35</v>
      </c>
      <c r="H719" s="2" t="s">
        <v>21</v>
      </c>
      <c r="I719" s="2">
        <v>52</v>
      </c>
      <c r="J719" s="2">
        <v>36</v>
      </c>
      <c r="K719" s="2">
        <v>30877.32</v>
      </c>
      <c r="L719" s="2">
        <v>202.66</v>
      </c>
      <c r="M719" s="2">
        <v>18.399999999999999</v>
      </c>
      <c r="N719" s="2" t="s">
        <v>30</v>
      </c>
      <c r="O719" s="2">
        <v>2</v>
      </c>
    </row>
    <row r="720" spans="1:15" x14ac:dyDescent="0.3">
      <c r="A720" s="2" t="s">
        <v>775</v>
      </c>
      <c r="B720" s="2" t="s">
        <v>62</v>
      </c>
      <c r="C720" s="1">
        <v>46126</v>
      </c>
      <c r="D720" s="2" t="s">
        <v>41</v>
      </c>
      <c r="E720" s="2" t="s">
        <v>26</v>
      </c>
      <c r="F720" s="2" t="s">
        <v>68</v>
      </c>
      <c r="G720" s="2" t="s">
        <v>28</v>
      </c>
      <c r="H720" s="2" t="s">
        <v>56</v>
      </c>
      <c r="I720" s="2">
        <v>34</v>
      </c>
      <c r="J720" s="2">
        <v>109</v>
      </c>
      <c r="K720" s="2">
        <v>11542.77</v>
      </c>
      <c r="L720" s="2">
        <v>274.19</v>
      </c>
      <c r="M720" s="2">
        <v>65.34</v>
      </c>
      <c r="N720" s="2" t="s">
        <v>30</v>
      </c>
      <c r="O720" s="2">
        <v>1</v>
      </c>
    </row>
    <row r="721" spans="1:15" x14ac:dyDescent="0.3">
      <c r="A721" s="2" t="s">
        <v>776</v>
      </c>
      <c r="B721" s="2" t="s">
        <v>60</v>
      </c>
      <c r="C721" s="1">
        <v>46211</v>
      </c>
      <c r="D721" s="2" t="s">
        <v>24</v>
      </c>
      <c r="E721" s="2" t="s">
        <v>58</v>
      </c>
      <c r="F721" s="2" t="s">
        <v>19</v>
      </c>
      <c r="G721" s="2" t="s">
        <v>35</v>
      </c>
      <c r="H721" s="2" t="s">
        <v>29</v>
      </c>
      <c r="I721" s="2">
        <v>38</v>
      </c>
      <c r="J721" s="2">
        <v>55</v>
      </c>
      <c r="K721" s="2">
        <v>27510.6</v>
      </c>
      <c r="L721" s="2">
        <v>247.4</v>
      </c>
      <c r="M721" s="2">
        <v>131.15</v>
      </c>
      <c r="N721" s="2" t="s">
        <v>22</v>
      </c>
      <c r="O721" s="2">
        <v>2</v>
      </c>
    </row>
    <row r="722" spans="1:15" x14ac:dyDescent="0.3">
      <c r="A722" s="2" t="s">
        <v>777</v>
      </c>
      <c r="B722" s="2" t="s">
        <v>67</v>
      </c>
      <c r="C722" s="1">
        <v>45902</v>
      </c>
      <c r="D722" s="2" t="s">
        <v>43</v>
      </c>
      <c r="E722" s="2" t="s">
        <v>38</v>
      </c>
      <c r="F722" s="2" t="s">
        <v>27</v>
      </c>
      <c r="G722" s="2" t="s">
        <v>28</v>
      </c>
      <c r="H722" s="2" t="s">
        <v>29</v>
      </c>
      <c r="I722" s="2">
        <v>48</v>
      </c>
      <c r="J722" s="2">
        <v>64</v>
      </c>
      <c r="K722" s="2">
        <v>34356.769999999997</v>
      </c>
      <c r="L722" s="2">
        <v>148.22</v>
      </c>
      <c r="M722" s="2">
        <v>83.84</v>
      </c>
      <c r="N722" s="2" t="s">
        <v>22</v>
      </c>
      <c r="O722" s="2">
        <v>3</v>
      </c>
    </row>
    <row r="723" spans="1:15" x14ac:dyDescent="0.3">
      <c r="A723" s="2" t="s">
        <v>778</v>
      </c>
      <c r="B723" s="2" t="s">
        <v>51</v>
      </c>
      <c r="C723" s="1">
        <v>46073</v>
      </c>
      <c r="D723" s="2" t="s">
        <v>24</v>
      </c>
      <c r="E723" s="2" t="s">
        <v>38</v>
      </c>
      <c r="F723" s="2" t="s">
        <v>34</v>
      </c>
      <c r="G723" s="2" t="s">
        <v>64</v>
      </c>
      <c r="H723" s="2" t="s">
        <v>29</v>
      </c>
      <c r="I723" s="2">
        <v>49</v>
      </c>
      <c r="J723" s="2">
        <v>91</v>
      </c>
      <c r="K723" s="2">
        <v>9916.2800000000007</v>
      </c>
      <c r="L723" s="2">
        <v>108.7</v>
      </c>
      <c r="M723" s="2">
        <v>174.56</v>
      </c>
      <c r="N723" s="2" t="s">
        <v>22</v>
      </c>
      <c r="O723" s="2">
        <v>2</v>
      </c>
    </row>
    <row r="724" spans="1:15" x14ac:dyDescent="0.3">
      <c r="A724" s="2" t="s">
        <v>779</v>
      </c>
      <c r="B724" s="2" t="s">
        <v>33</v>
      </c>
      <c r="C724" s="1">
        <v>46146</v>
      </c>
      <c r="D724" s="2" t="s">
        <v>54</v>
      </c>
      <c r="E724" s="2" t="s">
        <v>58</v>
      </c>
      <c r="F724" s="2" t="s">
        <v>34</v>
      </c>
      <c r="G724" s="2" t="s">
        <v>64</v>
      </c>
      <c r="H724" s="2" t="s">
        <v>56</v>
      </c>
      <c r="I724" s="2">
        <v>36</v>
      </c>
      <c r="J724" s="2">
        <v>57</v>
      </c>
      <c r="K724" s="2">
        <v>26283.85</v>
      </c>
      <c r="L724" s="2">
        <v>55.66</v>
      </c>
      <c r="M724" s="2">
        <v>11.07</v>
      </c>
      <c r="N724" s="2" t="s">
        <v>22</v>
      </c>
      <c r="O724" s="2">
        <v>5</v>
      </c>
    </row>
    <row r="725" spans="1:15" x14ac:dyDescent="0.3">
      <c r="A725" s="2" t="s">
        <v>780</v>
      </c>
      <c r="B725" s="2" t="s">
        <v>86</v>
      </c>
      <c r="C725" s="1">
        <v>45990</v>
      </c>
      <c r="D725" s="2" t="s">
        <v>41</v>
      </c>
      <c r="E725" s="2" t="s">
        <v>58</v>
      </c>
      <c r="F725" s="2" t="s">
        <v>27</v>
      </c>
      <c r="G725" s="2" t="s">
        <v>55</v>
      </c>
      <c r="H725" s="2" t="s">
        <v>52</v>
      </c>
      <c r="I725" s="2">
        <v>55</v>
      </c>
      <c r="J725" s="2">
        <v>69</v>
      </c>
      <c r="K725" s="2">
        <v>23718.46</v>
      </c>
      <c r="L725" s="2">
        <v>119.28</v>
      </c>
      <c r="M725" s="2">
        <v>28.92</v>
      </c>
      <c r="N725" s="2" t="s">
        <v>30</v>
      </c>
      <c r="O725" s="2">
        <v>3</v>
      </c>
    </row>
    <row r="726" spans="1:15" x14ac:dyDescent="0.3">
      <c r="A726" s="2" t="s">
        <v>781</v>
      </c>
      <c r="B726" s="2" t="s">
        <v>86</v>
      </c>
      <c r="C726" s="1">
        <v>46215</v>
      </c>
      <c r="D726" s="2" t="s">
        <v>24</v>
      </c>
      <c r="E726" s="2" t="s">
        <v>26</v>
      </c>
      <c r="F726" s="2" t="s">
        <v>39</v>
      </c>
      <c r="G726" s="2" t="s">
        <v>28</v>
      </c>
      <c r="H726" s="2" t="s">
        <v>52</v>
      </c>
      <c r="I726" s="2">
        <v>67</v>
      </c>
      <c r="J726" s="2">
        <v>61</v>
      </c>
      <c r="K726" s="2">
        <v>4016.35</v>
      </c>
      <c r="L726" s="2">
        <v>367.41</v>
      </c>
      <c r="M726" s="2">
        <v>139.05000000000001</v>
      </c>
      <c r="N726" s="2" t="s">
        <v>30</v>
      </c>
      <c r="O726" s="2">
        <v>1</v>
      </c>
    </row>
    <row r="727" spans="1:15" x14ac:dyDescent="0.3">
      <c r="A727" s="2" t="s">
        <v>782</v>
      </c>
      <c r="B727" s="2" t="s">
        <v>51</v>
      </c>
      <c r="C727" s="1">
        <v>45981</v>
      </c>
      <c r="D727" s="2" t="s">
        <v>90</v>
      </c>
      <c r="E727" s="2" t="s">
        <v>18</v>
      </c>
      <c r="F727" s="2" t="s">
        <v>39</v>
      </c>
      <c r="G727" s="2" t="s">
        <v>55</v>
      </c>
      <c r="H727" s="2" t="s">
        <v>29</v>
      </c>
      <c r="I727" s="2">
        <v>51</v>
      </c>
      <c r="J727" s="2">
        <v>2</v>
      </c>
      <c r="K727" s="2">
        <v>41006.239999999998</v>
      </c>
      <c r="L727" s="2">
        <v>159.63999999999999</v>
      </c>
      <c r="M727" s="2">
        <v>42.64</v>
      </c>
      <c r="N727" s="2" t="s">
        <v>30</v>
      </c>
      <c r="O727" s="2">
        <v>3</v>
      </c>
    </row>
    <row r="728" spans="1:15" x14ac:dyDescent="0.3">
      <c r="A728" s="2" t="s">
        <v>783</v>
      </c>
      <c r="B728" s="2" t="s">
        <v>67</v>
      </c>
      <c r="C728" s="1">
        <v>45925</v>
      </c>
      <c r="D728" s="2" t="s">
        <v>90</v>
      </c>
      <c r="E728" s="2" t="s">
        <v>38</v>
      </c>
      <c r="F728" s="2" t="s">
        <v>34</v>
      </c>
      <c r="G728" s="2" t="s">
        <v>28</v>
      </c>
      <c r="H728" s="2" t="s">
        <v>21</v>
      </c>
      <c r="I728" s="2">
        <v>24</v>
      </c>
      <c r="J728" s="2">
        <v>55</v>
      </c>
      <c r="K728" s="2">
        <v>17116.28</v>
      </c>
      <c r="L728" s="2">
        <v>260.87</v>
      </c>
      <c r="M728" s="2">
        <v>127.96</v>
      </c>
      <c r="N728" s="2" t="s">
        <v>22</v>
      </c>
      <c r="O728" s="2">
        <v>5</v>
      </c>
    </row>
    <row r="729" spans="1:15" x14ac:dyDescent="0.3">
      <c r="A729" s="2" t="s">
        <v>784</v>
      </c>
      <c r="B729" s="2" t="s">
        <v>86</v>
      </c>
      <c r="C729" s="1">
        <v>46088</v>
      </c>
      <c r="D729" s="2" t="s">
        <v>32</v>
      </c>
      <c r="E729" s="2" t="s">
        <v>26</v>
      </c>
      <c r="F729" s="2" t="s">
        <v>34</v>
      </c>
      <c r="G729" s="2" t="s">
        <v>55</v>
      </c>
      <c r="H729" s="2" t="s">
        <v>52</v>
      </c>
      <c r="I729" s="2">
        <v>57</v>
      </c>
      <c r="J729" s="2">
        <v>97</v>
      </c>
      <c r="K729" s="2">
        <v>28941.82</v>
      </c>
      <c r="L729" s="2">
        <v>316.08999999999997</v>
      </c>
      <c r="M729" s="2">
        <v>10.94</v>
      </c>
      <c r="N729" s="2" t="s">
        <v>22</v>
      </c>
      <c r="O729" s="2">
        <v>5</v>
      </c>
    </row>
    <row r="730" spans="1:15" x14ac:dyDescent="0.3">
      <c r="A730" s="2" t="s">
        <v>785</v>
      </c>
      <c r="B730" s="2" t="s">
        <v>49</v>
      </c>
      <c r="C730" s="1">
        <v>46183</v>
      </c>
      <c r="D730" s="2" t="s">
        <v>41</v>
      </c>
      <c r="E730" s="2" t="s">
        <v>18</v>
      </c>
      <c r="F730" s="2" t="s">
        <v>68</v>
      </c>
      <c r="G730" s="2" t="s">
        <v>64</v>
      </c>
      <c r="H730" s="2" t="s">
        <v>56</v>
      </c>
      <c r="I730" s="2">
        <v>37</v>
      </c>
      <c r="J730" s="2">
        <v>80</v>
      </c>
      <c r="K730" s="2">
        <v>25981.82</v>
      </c>
      <c r="L730" s="2">
        <v>449.08</v>
      </c>
      <c r="M730" s="2">
        <v>81.48</v>
      </c>
      <c r="N730" s="2" t="s">
        <v>22</v>
      </c>
      <c r="O730" s="2">
        <v>2</v>
      </c>
    </row>
    <row r="731" spans="1:15" x14ac:dyDescent="0.3">
      <c r="A731" s="2" t="s">
        <v>786</v>
      </c>
      <c r="B731" s="2" t="s">
        <v>78</v>
      </c>
      <c r="C731" s="1">
        <v>46030</v>
      </c>
      <c r="D731" s="2" t="s">
        <v>41</v>
      </c>
      <c r="E731" s="2" t="s">
        <v>26</v>
      </c>
      <c r="F731" s="2" t="s">
        <v>39</v>
      </c>
      <c r="G731" s="2" t="s">
        <v>35</v>
      </c>
      <c r="H731" s="2" t="s">
        <v>52</v>
      </c>
      <c r="I731" s="2">
        <v>59</v>
      </c>
      <c r="J731" s="2">
        <v>87</v>
      </c>
      <c r="K731" s="2">
        <v>25906.39</v>
      </c>
      <c r="L731" s="2">
        <v>449.98</v>
      </c>
      <c r="M731" s="2">
        <v>35.479999999999997</v>
      </c>
      <c r="N731" s="2" t="s">
        <v>22</v>
      </c>
      <c r="O731" s="2">
        <v>2</v>
      </c>
    </row>
    <row r="732" spans="1:15" x14ac:dyDescent="0.3">
      <c r="A732" s="2" t="s">
        <v>787</v>
      </c>
      <c r="B732" s="2" t="s">
        <v>33</v>
      </c>
      <c r="C732" s="1">
        <v>45925</v>
      </c>
      <c r="D732" s="2" t="s">
        <v>32</v>
      </c>
      <c r="E732" s="2" t="s">
        <v>38</v>
      </c>
      <c r="F732" s="2" t="s">
        <v>27</v>
      </c>
      <c r="G732" s="2" t="s">
        <v>55</v>
      </c>
      <c r="H732" s="2" t="s">
        <v>29</v>
      </c>
      <c r="I732" s="2">
        <v>68</v>
      </c>
      <c r="J732" s="2">
        <v>38</v>
      </c>
      <c r="K732" s="2">
        <v>5807.51</v>
      </c>
      <c r="L732" s="2">
        <v>385.58</v>
      </c>
      <c r="M732" s="2">
        <v>32.89</v>
      </c>
      <c r="N732" s="2" t="s">
        <v>22</v>
      </c>
      <c r="O732" s="2">
        <v>4</v>
      </c>
    </row>
    <row r="733" spans="1:15" x14ac:dyDescent="0.3">
      <c r="A733" s="2" t="s">
        <v>788</v>
      </c>
      <c r="B733" s="2" t="s">
        <v>37</v>
      </c>
      <c r="C733" s="1">
        <v>45882</v>
      </c>
      <c r="D733" s="2" t="s">
        <v>24</v>
      </c>
      <c r="E733" s="2" t="s">
        <v>58</v>
      </c>
      <c r="F733" s="2" t="s">
        <v>39</v>
      </c>
      <c r="G733" s="2" t="s">
        <v>28</v>
      </c>
      <c r="H733" s="2" t="s">
        <v>21</v>
      </c>
      <c r="I733" s="2">
        <v>66</v>
      </c>
      <c r="J733" s="2">
        <v>119</v>
      </c>
      <c r="K733" s="2">
        <v>21462.36</v>
      </c>
      <c r="L733" s="2">
        <v>65.819999999999993</v>
      </c>
      <c r="M733" s="2">
        <v>113.41</v>
      </c>
      <c r="N733" s="2" t="s">
        <v>22</v>
      </c>
      <c r="O733" s="2">
        <v>3</v>
      </c>
    </row>
    <row r="734" spans="1:15" x14ac:dyDescent="0.3">
      <c r="A734" s="2" t="s">
        <v>789</v>
      </c>
      <c r="B734" s="2" t="s">
        <v>86</v>
      </c>
      <c r="C734" s="1">
        <v>45934</v>
      </c>
      <c r="D734" s="2" t="s">
        <v>41</v>
      </c>
      <c r="E734" s="2" t="s">
        <v>58</v>
      </c>
      <c r="F734" s="2" t="s">
        <v>68</v>
      </c>
      <c r="G734" s="2" t="s">
        <v>28</v>
      </c>
      <c r="H734" s="2" t="s">
        <v>52</v>
      </c>
      <c r="I734" s="2">
        <v>46</v>
      </c>
      <c r="J734" s="2">
        <v>80</v>
      </c>
      <c r="K734" s="2">
        <v>22892.15</v>
      </c>
      <c r="L734" s="2">
        <v>308.77999999999997</v>
      </c>
      <c r="M734" s="2">
        <v>185.67</v>
      </c>
      <c r="N734" s="2" t="s">
        <v>22</v>
      </c>
      <c r="O734" s="2">
        <v>4</v>
      </c>
    </row>
    <row r="735" spans="1:15" x14ac:dyDescent="0.3">
      <c r="A735" s="2" t="s">
        <v>790</v>
      </c>
      <c r="B735" s="2" t="s">
        <v>62</v>
      </c>
      <c r="C735" s="1">
        <v>45944</v>
      </c>
      <c r="D735" s="2" t="s">
        <v>90</v>
      </c>
      <c r="E735" s="2" t="s">
        <v>18</v>
      </c>
      <c r="F735" s="2" t="s">
        <v>34</v>
      </c>
      <c r="G735" s="2" t="s">
        <v>64</v>
      </c>
      <c r="H735" s="2" t="s">
        <v>52</v>
      </c>
      <c r="I735" s="2">
        <v>68</v>
      </c>
      <c r="J735" s="2">
        <v>78</v>
      </c>
      <c r="K735" s="2">
        <v>36815.32</v>
      </c>
      <c r="L735" s="2">
        <v>403.96</v>
      </c>
      <c r="M735" s="2">
        <v>10.96</v>
      </c>
      <c r="N735" s="2" t="s">
        <v>30</v>
      </c>
      <c r="O735" s="2">
        <v>5</v>
      </c>
    </row>
    <row r="736" spans="1:15" x14ac:dyDescent="0.3">
      <c r="A736" s="2" t="s">
        <v>791</v>
      </c>
      <c r="B736" s="2" t="s">
        <v>78</v>
      </c>
      <c r="C736" s="1">
        <v>45913</v>
      </c>
      <c r="D736" s="2" t="s">
        <v>90</v>
      </c>
      <c r="E736" s="2" t="s">
        <v>45</v>
      </c>
      <c r="F736" s="2" t="s">
        <v>34</v>
      </c>
      <c r="G736" s="2" t="s">
        <v>28</v>
      </c>
      <c r="H736" s="2" t="s">
        <v>29</v>
      </c>
      <c r="I736" s="2">
        <v>59</v>
      </c>
      <c r="J736" s="2">
        <v>29</v>
      </c>
      <c r="K736" s="2">
        <v>42080.93</v>
      </c>
      <c r="L736" s="2">
        <v>57.78</v>
      </c>
      <c r="M736" s="2">
        <v>126.46</v>
      </c>
      <c r="N736" s="2" t="s">
        <v>22</v>
      </c>
      <c r="O736" s="2">
        <v>2</v>
      </c>
    </row>
    <row r="737" spans="1:15" x14ac:dyDescent="0.3">
      <c r="A737" s="2" t="s">
        <v>792</v>
      </c>
      <c r="B737" s="2" t="s">
        <v>86</v>
      </c>
      <c r="C737" s="1">
        <v>46020</v>
      </c>
      <c r="D737" s="2" t="s">
        <v>43</v>
      </c>
      <c r="E737" s="2" t="s">
        <v>18</v>
      </c>
      <c r="F737" s="2" t="s">
        <v>68</v>
      </c>
      <c r="G737" s="2" t="s">
        <v>20</v>
      </c>
      <c r="H737" s="2" t="s">
        <v>21</v>
      </c>
      <c r="I737" s="2">
        <v>61</v>
      </c>
      <c r="J737" s="2">
        <v>26</v>
      </c>
      <c r="K737" s="2">
        <v>27476.62</v>
      </c>
      <c r="L737" s="2">
        <v>297.36</v>
      </c>
      <c r="M737" s="2">
        <v>141.51</v>
      </c>
      <c r="N737" s="2" t="s">
        <v>30</v>
      </c>
      <c r="O737" s="2">
        <v>2</v>
      </c>
    </row>
    <row r="738" spans="1:15" x14ac:dyDescent="0.3">
      <c r="A738" s="2" t="s">
        <v>793</v>
      </c>
      <c r="B738" s="2" t="s">
        <v>82</v>
      </c>
      <c r="C738" s="1">
        <v>46160</v>
      </c>
      <c r="D738" s="2" t="s">
        <v>54</v>
      </c>
      <c r="E738" s="2" t="s">
        <v>45</v>
      </c>
      <c r="F738" s="2" t="s">
        <v>27</v>
      </c>
      <c r="G738" s="2" t="s">
        <v>35</v>
      </c>
      <c r="H738" s="2" t="s">
        <v>21</v>
      </c>
      <c r="I738" s="2">
        <v>24</v>
      </c>
      <c r="J738" s="2">
        <v>35</v>
      </c>
      <c r="K738" s="2">
        <v>4795.76</v>
      </c>
      <c r="L738" s="2">
        <v>435.99</v>
      </c>
      <c r="M738" s="2">
        <v>92.54</v>
      </c>
      <c r="N738" s="2" t="s">
        <v>22</v>
      </c>
      <c r="O738" s="2">
        <v>2</v>
      </c>
    </row>
    <row r="739" spans="1:15" x14ac:dyDescent="0.3">
      <c r="A739" s="2" t="s">
        <v>794</v>
      </c>
      <c r="B739" s="2" t="s">
        <v>25</v>
      </c>
      <c r="C739" s="1">
        <v>45973</v>
      </c>
      <c r="D739" s="2" t="s">
        <v>41</v>
      </c>
      <c r="E739" s="2" t="s">
        <v>26</v>
      </c>
      <c r="F739" s="2" t="s">
        <v>34</v>
      </c>
      <c r="G739" s="2" t="s">
        <v>55</v>
      </c>
      <c r="H739" s="2" t="s">
        <v>29</v>
      </c>
      <c r="I739" s="2">
        <v>50</v>
      </c>
      <c r="J739" s="2">
        <v>79</v>
      </c>
      <c r="K739" s="2">
        <v>12224.05</v>
      </c>
      <c r="L739" s="2">
        <v>263.35000000000002</v>
      </c>
      <c r="M739" s="2">
        <v>241.95</v>
      </c>
      <c r="N739" s="2" t="s">
        <v>30</v>
      </c>
      <c r="O739" s="2">
        <v>1</v>
      </c>
    </row>
    <row r="740" spans="1:15" x14ac:dyDescent="0.3">
      <c r="A740" s="2" t="s">
        <v>795</v>
      </c>
      <c r="B740" s="2" t="s">
        <v>49</v>
      </c>
      <c r="C740" s="1">
        <v>46025</v>
      </c>
      <c r="D740" s="2" t="s">
        <v>24</v>
      </c>
      <c r="E740" s="2" t="s">
        <v>26</v>
      </c>
      <c r="F740" s="2" t="s">
        <v>19</v>
      </c>
      <c r="G740" s="2" t="s">
        <v>35</v>
      </c>
      <c r="H740" s="2" t="s">
        <v>56</v>
      </c>
      <c r="I740" s="2">
        <v>50</v>
      </c>
      <c r="J740" s="2">
        <v>67</v>
      </c>
      <c r="K740" s="2">
        <v>8664.23</v>
      </c>
      <c r="L740" s="2">
        <v>51.85</v>
      </c>
      <c r="M740" s="2">
        <v>35.93</v>
      </c>
      <c r="N740" s="2" t="s">
        <v>30</v>
      </c>
      <c r="O740" s="2">
        <v>5</v>
      </c>
    </row>
    <row r="741" spans="1:15" x14ac:dyDescent="0.3">
      <c r="A741" s="2" t="s">
        <v>796</v>
      </c>
      <c r="B741" s="2" t="s">
        <v>78</v>
      </c>
      <c r="C741" s="1">
        <v>46172</v>
      </c>
      <c r="D741" s="2" t="s">
        <v>32</v>
      </c>
      <c r="E741" s="2" t="s">
        <v>38</v>
      </c>
      <c r="F741" s="2" t="s">
        <v>34</v>
      </c>
      <c r="G741" s="2" t="s">
        <v>64</v>
      </c>
      <c r="H741" s="2" t="s">
        <v>52</v>
      </c>
      <c r="I741" s="2">
        <v>42</v>
      </c>
      <c r="J741" s="2">
        <v>87</v>
      </c>
      <c r="K741" s="2">
        <v>6668.45</v>
      </c>
      <c r="L741" s="2">
        <v>54.96</v>
      </c>
      <c r="M741" s="2">
        <v>191.92</v>
      </c>
      <c r="N741" s="2" t="s">
        <v>22</v>
      </c>
      <c r="O741" s="2">
        <v>2</v>
      </c>
    </row>
    <row r="742" spans="1:15" x14ac:dyDescent="0.3">
      <c r="A742" s="2" t="s">
        <v>797</v>
      </c>
      <c r="B742" s="2" t="s">
        <v>17</v>
      </c>
      <c r="C742" s="1">
        <v>45946</v>
      </c>
      <c r="D742" s="2" t="s">
        <v>32</v>
      </c>
      <c r="E742" s="2" t="s">
        <v>45</v>
      </c>
      <c r="F742" s="2" t="s">
        <v>19</v>
      </c>
      <c r="G742" s="2" t="s">
        <v>55</v>
      </c>
      <c r="H742" s="2" t="s">
        <v>56</v>
      </c>
      <c r="I742" s="2">
        <v>31</v>
      </c>
      <c r="J742" s="2">
        <v>29</v>
      </c>
      <c r="K742" s="2">
        <v>18612.02</v>
      </c>
      <c r="L742" s="2">
        <v>237.49</v>
      </c>
      <c r="M742" s="2">
        <v>77.03</v>
      </c>
      <c r="N742" s="2" t="s">
        <v>30</v>
      </c>
      <c r="O742" s="2">
        <v>5</v>
      </c>
    </row>
    <row r="743" spans="1:15" x14ac:dyDescent="0.3">
      <c r="A743" s="2" t="s">
        <v>798</v>
      </c>
      <c r="B743" s="2" t="s">
        <v>37</v>
      </c>
      <c r="C743" s="1">
        <v>46034</v>
      </c>
      <c r="D743" s="2" t="s">
        <v>24</v>
      </c>
      <c r="E743" s="2" t="s">
        <v>38</v>
      </c>
      <c r="F743" s="2" t="s">
        <v>68</v>
      </c>
      <c r="G743" s="2" t="s">
        <v>55</v>
      </c>
      <c r="H743" s="2" t="s">
        <v>52</v>
      </c>
      <c r="I743" s="2">
        <v>22</v>
      </c>
      <c r="J743" s="2">
        <v>34</v>
      </c>
      <c r="K743" s="2">
        <v>11854.98</v>
      </c>
      <c r="L743" s="2">
        <v>119.75</v>
      </c>
      <c r="M743" s="2">
        <v>68.31</v>
      </c>
      <c r="N743" s="2" t="s">
        <v>22</v>
      </c>
      <c r="O743" s="2">
        <v>2</v>
      </c>
    </row>
    <row r="744" spans="1:15" x14ac:dyDescent="0.3">
      <c r="A744" s="2" t="s">
        <v>799</v>
      </c>
      <c r="B744" s="2" t="s">
        <v>25</v>
      </c>
      <c r="C744" s="1">
        <v>45922</v>
      </c>
      <c r="D744" s="2" t="s">
        <v>16</v>
      </c>
      <c r="E744" s="2" t="s">
        <v>58</v>
      </c>
      <c r="F744" s="2" t="s">
        <v>68</v>
      </c>
      <c r="G744" s="2" t="s">
        <v>20</v>
      </c>
      <c r="H744" s="2" t="s">
        <v>52</v>
      </c>
      <c r="I744" s="2">
        <v>64</v>
      </c>
      <c r="J744" s="2">
        <v>97</v>
      </c>
      <c r="K744" s="2">
        <v>11306</v>
      </c>
      <c r="L744" s="2">
        <v>349</v>
      </c>
      <c r="M744" s="2">
        <v>174.92</v>
      </c>
      <c r="N744" s="2" t="s">
        <v>30</v>
      </c>
      <c r="O744" s="2">
        <v>3</v>
      </c>
    </row>
    <row r="745" spans="1:15" x14ac:dyDescent="0.3">
      <c r="A745" s="2" t="s">
        <v>800</v>
      </c>
      <c r="B745" s="2" t="s">
        <v>44</v>
      </c>
      <c r="C745" s="1">
        <v>45933</v>
      </c>
      <c r="D745" s="2" t="s">
        <v>74</v>
      </c>
      <c r="E745" s="2" t="s">
        <v>45</v>
      </c>
      <c r="F745" s="2" t="s">
        <v>34</v>
      </c>
      <c r="G745" s="2" t="s">
        <v>64</v>
      </c>
      <c r="H745" s="2" t="s">
        <v>56</v>
      </c>
      <c r="I745" s="2">
        <v>32</v>
      </c>
      <c r="J745" s="2">
        <v>41</v>
      </c>
      <c r="K745" s="2">
        <v>3207.31</v>
      </c>
      <c r="L745" s="2">
        <v>368.96</v>
      </c>
      <c r="M745" s="2">
        <v>112.77</v>
      </c>
      <c r="N745" s="2" t="s">
        <v>30</v>
      </c>
      <c r="O745" s="2">
        <v>5</v>
      </c>
    </row>
    <row r="746" spans="1:15" x14ac:dyDescent="0.3">
      <c r="A746" s="2" t="s">
        <v>801</v>
      </c>
      <c r="B746" s="2" t="s">
        <v>62</v>
      </c>
      <c r="C746" s="1">
        <v>45979</v>
      </c>
      <c r="D746" s="2" t="s">
        <v>54</v>
      </c>
      <c r="E746" s="2" t="s">
        <v>18</v>
      </c>
      <c r="F746" s="2" t="s">
        <v>39</v>
      </c>
      <c r="G746" s="2" t="s">
        <v>28</v>
      </c>
      <c r="H746" s="2" t="s">
        <v>29</v>
      </c>
      <c r="I746" s="2">
        <v>50</v>
      </c>
      <c r="J746" s="2">
        <v>41</v>
      </c>
      <c r="K746" s="2">
        <v>1374.67</v>
      </c>
      <c r="L746" s="2">
        <v>130.05000000000001</v>
      </c>
      <c r="M746" s="2">
        <v>154.94</v>
      </c>
      <c r="N746" s="2" t="s">
        <v>30</v>
      </c>
      <c r="O746" s="2">
        <v>4</v>
      </c>
    </row>
    <row r="747" spans="1:15" x14ac:dyDescent="0.3">
      <c r="A747" s="2" t="s">
        <v>802</v>
      </c>
      <c r="B747" s="2" t="s">
        <v>62</v>
      </c>
      <c r="C747" s="1">
        <v>46171</v>
      </c>
      <c r="D747" s="2" t="s">
        <v>32</v>
      </c>
      <c r="E747" s="2" t="s">
        <v>58</v>
      </c>
      <c r="F747" s="2" t="s">
        <v>19</v>
      </c>
      <c r="G747" s="2" t="s">
        <v>20</v>
      </c>
      <c r="H747" s="2" t="s">
        <v>29</v>
      </c>
      <c r="I747" s="2">
        <v>56</v>
      </c>
      <c r="J747" s="2">
        <v>23</v>
      </c>
      <c r="K747" s="2">
        <v>5587.03</v>
      </c>
      <c r="L747" s="2">
        <v>449.84</v>
      </c>
      <c r="M747" s="2">
        <v>218.1</v>
      </c>
      <c r="N747" s="2" t="s">
        <v>30</v>
      </c>
      <c r="O747" s="2">
        <v>1</v>
      </c>
    </row>
    <row r="748" spans="1:15" x14ac:dyDescent="0.3">
      <c r="A748" s="2" t="s">
        <v>803</v>
      </c>
      <c r="B748" s="2" t="s">
        <v>33</v>
      </c>
      <c r="C748" s="1">
        <v>45952</v>
      </c>
      <c r="D748" s="2" t="s">
        <v>41</v>
      </c>
      <c r="E748" s="2" t="s">
        <v>58</v>
      </c>
      <c r="F748" s="2" t="s">
        <v>27</v>
      </c>
      <c r="G748" s="2" t="s">
        <v>20</v>
      </c>
      <c r="H748" s="2" t="s">
        <v>52</v>
      </c>
      <c r="I748" s="2">
        <v>38</v>
      </c>
      <c r="J748" s="2">
        <v>71</v>
      </c>
      <c r="K748" s="2">
        <v>9023.7800000000007</v>
      </c>
      <c r="L748" s="2">
        <v>248.86</v>
      </c>
      <c r="M748" s="2">
        <v>115.97</v>
      </c>
      <c r="N748" s="2" t="s">
        <v>30</v>
      </c>
      <c r="O748" s="2">
        <v>4</v>
      </c>
    </row>
    <row r="749" spans="1:15" x14ac:dyDescent="0.3">
      <c r="A749" s="2" t="s">
        <v>804</v>
      </c>
      <c r="B749" s="2" t="s">
        <v>51</v>
      </c>
      <c r="C749" s="1">
        <v>46195</v>
      </c>
      <c r="D749" s="2" t="s">
        <v>54</v>
      </c>
      <c r="E749" s="2" t="s">
        <v>18</v>
      </c>
      <c r="F749" s="2" t="s">
        <v>34</v>
      </c>
      <c r="G749" s="2" t="s">
        <v>35</v>
      </c>
      <c r="H749" s="2" t="s">
        <v>29</v>
      </c>
      <c r="I749" s="2">
        <v>46</v>
      </c>
      <c r="J749" s="2">
        <v>3</v>
      </c>
      <c r="K749" s="2">
        <v>21833.69</v>
      </c>
      <c r="L749" s="2">
        <v>114.28</v>
      </c>
      <c r="M749" s="2">
        <v>48.75</v>
      </c>
      <c r="N749" s="2" t="s">
        <v>30</v>
      </c>
      <c r="O749" s="2">
        <v>5</v>
      </c>
    </row>
    <row r="750" spans="1:15" x14ac:dyDescent="0.3">
      <c r="A750" s="2" t="s">
        <v>805</v>
      </c>
      <c r="B750" s="2" t="s">
        <v>25</v>
      </c>
      <c r="C750" s="1">
        <v>45887</v>
      </c>
      <c r="D750" s="2" t="s">
        <v>41</v>
      </c>
      <c r="E750" s="2" t="s">
        <v>58</v>
      </c>
      <c r="F750" s="2" t="s">
        <v>27</v>
      </c>
      <c r="G750" s="2" t="s">
        <v>35</v>
      </c>
      <c r="H750" s="2" t="s">
        <v>52</v>
      </c>
      <c r="I750" s="2">
        <v>73</v>
      </c>
      <c r="J750" s="2">
        <v>58</v>
      </c>
      <c r="K750" s="2">
        <v>25770.75</v>
      </c>
      <c r="L750" s="2">
        <v>393.91</v>
      </c>
      <c r="M750" s="2">
        <v>134.84</v>
      </c>
      <c r="N750" s="2" t="s">
        <v>30</v>
      </c>
      <c r="O750" s="2">
        <v>2</v>
      </c>
    </row>
    <row r="751" spans="1:15" x14ac:dyDescent="0.3">
      <c r="A751" s="2" t="s">
        <v>806</v>
      </c>
      <c r="B751" s="2" t="s">
        <v>78</v>
      </c>
      <c r="C751" s="1">
        <v>46164</v>
      </c>
      <c r="D751" s="2" t="s">
        <v>16</v>
      </c>
      <c r="E751" s="2" t="s">
        <v>45</v>
      </c>
      <c r="F751" s="2" t="s">
        <v>34</v>
      </c>
      <c r="G751" s="2" t="s">
        <v>35</v>
      </c>
      <c r="H751" s="2" t="s">
        <v>29</v>
      </c>
      <c r="I751" s="2">
        <v>27</v>
      </c>
      <c r="J751" s="2">
        <v>32</v>
      </c>
      <c r="K751" s="2">
        <v>7459.3</v>
      </c>
      <c r="L751" s="2">
        <v>405.49</v>
      </c>
      <c r="M751" s="2">
        <v>40.04</v>
      </c>
      <c r="N751" s="2" t="s">
        <v>30</v>
      </c>
      <c r="O751" s="2">
        <v>5</v>
      </c>
    </row>
    <row r="752" spans="1:15" x14ac:dyDescent="0.3">
      <c r="A752" s="2" t="s">
        <v>807</v>
      </c>
      <c r="B752" s="2" t="s">
        <v>67</v>
      </c>
      <c r="C752" s="1">
        <v>46077</v>
      </c>
      <c r="D752" s="2" t="s">
        <v>90</v>
      </c>
      <c r="E752" s="2" t="s">
        <v>38</v>
      </c>
      <c r="F752" s="2" t="s">
        <v>39</v>
      </c>
      <c r="G752" s="2" t="s">
        <v>20</v>
      </c>
      <c r="H752" s="2" t="s">
        <v>52</v>
      </c>
      <c r="I752" s="2">
        <v>21</v>
      </c>
      <c r="J752" s="2">
        <v>31</v>
      </c>
      <c r="K752" s="2">
        <v>21526.78</v>
      </c>
      <c r="L752" s="2">
        <v>337.68</v>
      </c>
      <c r="M752" s="2">
        <v>161.16999999999999</v>
      </c>
      <c r="N752" s="2" t="s">
        <v>30</v>
      </c>
      <c r="O752" s="2">
        <v>1</v>
      </c>
    </row>
    <row r="753" spans="1:15" x14ac:dyDescent="0.3">
      <c r="A753" s="2" t="s">
        <v>808</v>
      </c>
      <c r="B753" s="2" t="s">
        <v>62</v>
      </c>
      <c r="C753" s="1">
        <v>46085</v>
      </c>
      <c r="D753" s="2" t="s">
        <v>54</v>
      </c>
      <c r="E753" s="2" t="s">
        <v>58</v>
      </c>
      <c r="F753" s="2" t="s">
        <v>39</v>
      </c>
      <c r="G753" s="2" t="s">
        <v>28</v>
      </c>
      <c r="H753" s="2" t="s">
        <v>29</v>
      </c>
      <c r="I753" s="2">
        <v>46</v>
      </c>
      <c r="J753" s="2">
        <v>82</v>
      </c>
      <c r="K753" s="2">
        <v>17416.57</v>
      </c>
      <c r="L753" s="2">
        <v>434.06</v>
      </c>
      <c r="M753" s="2">
        <v>296.92</v>
      </c>
      <c r="N753" s="2" t="s">
        <v>22</v>
      </c>
      <c r="O753" s="2">
        <v>5</v>
      </c>
    </row>
    <row r="754" spans="1:15" x14ac:dyDescent="0.3">
      <c r="A754" s="2" t="s">
        <v>809</v>
      </c>
      <c r="B754" s="2" t="s">
        <v>78</v>
      </c>
      <c r="C754" s="1">
        <v>46059</v>
      </c>
      <c r="D754" s="2" t="s">
        <v>43</v>
      </c>
      <c r="E754" s="2" t="s">
        <v>45</v>
      </c>
      <c r="F754" s="2" t="s">
        <v>39</v>
      </c>
      <c r="G754" s="2" t="s">
        <v>55</v>
      </c>
      <c r="H754" s="2" t="s">
        <v>21</v>
      </c>
      <c r="I754" s="2">
        <v>43</v>
      </c>
      <c r="J754" s="2">
        <v>43</v>
      </c>
      <c r="K754" s="2">
        <v>9579.4699999999993</v>
      </c>
      <c r="L754" s="2">
        <v>381.82</v>
      </c>
      <c r="M754" s="2">
        <v>75.48</v>
      </c>
      <c r="N754" s="2" t="s">
        <v>30</v>
      </c>
      <c r="O754" s="2">
        <v>2</v>
      </c>
    </row>
    <row r="755" spans="1:15" x14ac:dyDescent="0.3">
      <c r="A755" s="2" t="s">
        <v>810</v>
      </c>
      <c r="B755" s="2" t="s">
        <v>60</v>
      </c>
      <c r="C755" s="1">
        <v>46018</v>
      </c>
      <c r="D755" s="2" t="s">
        <v>32</v>
      </c>
      <c r="E755" s="2" t="s">
        <v>26</v>
      </c>
      <c r="F755" s="2" t="s">
        <v>39</v>
      </c>
      <c r="G755" s="2" t="s">
        <v>35</v>
      </c>
      <c r="H755" s="2" t="s">
        <v>56</v>
      </c>
      <c r="I755" s="2">
        <v>46</v>
      </c>
      <c r="J755" s="2">
        <v>7</v>
      </c>
      <c r="K755" s="2">
        <v>838.62</v>
      </c>
      <c r="L755" s="2">
        <v>446.99</v>
      </c>
      <c r="M755" s="2">
        <v>88.95</v>
      </c>
      <c r="N755" s="2" t="s">
        <v>30</v>
      </c>
      <c r="O755" s="2">
        <v>4</v>
      </c>
    </row>
    <row r="756" spans="1:15" x14ac:dyDescent="0.3">
      <c r="A756" s="2" t="s">
        <v>811</v>
      </c>
      <c r="B756" s="2" t="s">
        <v>78</v>
      </c>
      <c r="C756" s="1">
        <v>46185</v>
      </c>
      <c r="D756" s="2" t="s">
        <v>54</v>
      </c>
      <c r="E756" s="2" t="s">
        <v>45</v>
      </c>
      <c r="F756" s="2" t="s">
        <v>68</v>
      </c>
      <c r="G756" s="2" t="s">
        <v>28</v>
      </c>
      <c r="H756" s="2" t="s">
        <v>21</v>
      </c>
      <c r="I756" s="2">
        <v>65</v>
      </c>
      <c r="J756" s="2">
        <v>105</v>
      </c>
      <c r="K756" s="2">
        <v>23617.38</v>
      </c>
      <c r="L756" s="2">
        <v>245.25</v>
      </c>
      <c r="M756" s="2">
        <v>9.2899999999999991</v>
      </c>
      <c r="N756" s="2" t="s">
        <v>22</v>
      </c>
      <c r="O756" s="2">
        <v>3</v>
      </c>
    </row>
    <row r="757" spans="1:15" x14ac:dyDescent="0.3">
      <c r="A757" s="2" t="s">
        <v>812</v>
      </c>
      <c r="B757" s="2" t="s">
        <v>60</v>
      </c>
      <c r="C757" s="1">
        <v>46231</v>
      </c>
      <c r="D757" s="2" t="s">
        <v>54</v>
      </c>
      <c r="E757" s="2" t="s">
        <v>38</v>
      </c>
      <c r="F757" s="2" t="s">
        <v>68</v>
      </c>
      <c r="G757" s="2" t="s">
        <v>64</v>
      </c>
      <c r="H757" s="2" t="s">
        <v>56</v>
      </c>
      <c r="I757" s="2">
        <v>26</v>
      </c>
      <c r="J757" s="2">
        <v>1</v>
      </c>
      <c r="K757" s="2">
        <v>34439.760000000002</v>
      </c>
      <c r="L757" s="2">
        <v>386.42</v>
      </c>
      <c r="M757" s="2">
        <v>2.75</v>
      </c>
      <c r="N757" s="2" t="s">
        <v>30</v>
      </c>
      <c r="O757" s="2">
        <v>4</v>
      </c>
    </row>
    <row r="758" spans="1:15" x14ac:dyDescent="0.3">
      <c r="A758" s="2" t="s">
        <v>813</v>
      </c>
      <c r="B758" s="2" t="s">
        <v>82</v>
      </c>
      <c r="C758" s="1">
        <v>46211</v>
      </c>
      <c r="D758" s="2" t="s">
        <v>54</v>
      </c>
      <c r="E758" s="2" t="s">
        <v>45</v>
      </c>
      <c r="F758" s="2" t="s">
        <v>19</v>
      </c>
      <c r="G758" s="2" t="s">
        <v>35</v>
      </c>
      <c r="H758" s="2" t="s">
        <v>56</v>
      </c>
      <c r="I758" s="2">
        <v>26</v>
      </c>
      <c r="J758" s="2">
        <v>61</v>
      </c>
      <c r="K758" s="2">
        <v>11700.73</v>
      </c>
      <c r="L758" s="2">
        <v>499.89</v>
      </c>
      <c r="M758" s="2">
        <v>184.28</v>
      </c>
      <c r="N758" s="2" t="s">
        <v>22</v>
      </c>
      <c r="O758" s="2">
        <v>2</v>
      </c>
    </row>
    <row r="759" spans="1:15" x14ac:dyDescent="0.3">
      <c r="A759" s="2" t="s">
        <v>814</v>
      </c>
      <c r="B759" s="2" t="s">
        <v>47</v>
      </c>
      <c r="C759" s="1">
        <v>46208</v>
      </c>
      <c r="D759" s="2" t="s">
        <v>74</v>
      </c>
      <c r="E759" s="2" t="s">
        <v>18</v>
      </c>
      <c r="F759" s="2" t="s">
        <v>27</v>
      </c>
      <c r="G759" s="2" t="s">
        <v>55</v>
      </c>
      <c r="H759" s="2" t="s">
        <v>52</v>
      </c>
      <c r="I759" s="2">
        <v>64</v>
      </c>
      <c r="J759" s="2">
        <v>14</v>
      </c>
      <c r="K759" s="2">
        <v>7024.44</v>
      </c>
      <c r="L759" s="2">
        <v>376.22</v>
      </c>
      <c r="M759" s="2">
        <v>25.72</v>
      </c>
      <c r="N759" s="2" t="s">
        <v>22</v>
      </c>
      <c r="O759" s="2">
        <v>2</v>
      </c>
    </row>
    <row r="760" spans="1:15" x14ac:dyDescent="0.3">
      <c r="A760" s="2" t="s">
        <v>815</v>
      </c>
      <c r="B760" s="2" t="s">
        <v>47</v>
      </c>
      <c r="C760" s="1">
        <v>46180</v>
      </c>
      <c r="D760" s="2" t="s">
        <v>54</v>
      </c>
      <c r="E760" s="2" t="s">
        <v>38</v>
      </c>
      <c r="F760" s="2" t="s">
        <v>34</v>
      </c>
      <c r="G760" s="2" t="s">
        <v>64</v>
      </c>
      <c r="H760" s="2" t="s">
        <v>56</v>
      </c>
      <c r="I760" s="2">
        <v>28</v>
      </c>
      <c r="J760" s="2">
        <v>52</v>
      </c>
      <c r="K760" s="2">
        <v>44408.62</v>
      </c>
      <c r="L760" s="2">
        <v>101.38</v>
      </c>
      <c r="M760" s="2">
        <v>89.16</v>
      </c>
      <c r="N760" s="2" t="s">
        <v>22</v>
      </c>
      <c r="O760" s="2">
        <v>1</v>
      </c>
    </row>
    <row r="761" spans="1:15" x14ac:dyDescent="0.3">
      <c r="A761" s="2" t="s">
        <v>816</v>
      </c>
      <c r="B761" s="2" t="s">
        <v>44</v>
      </c>
      <c r="C761" s="1">
        <v>46217</v>
      </c>
      <c r="D761" s="2" t="s">
        <v>41</v>
      </c>
      <c r="E761" s="2" t="s">
        <v>26</v>
      </c>
      <c r="F761" s="2" t="s">
        <v>34</v>
      </c>
      <c r="G761" s="2" t="s">
        <v>64</v>
      </c>
      <c r="H761" s="2" t="s">
        <v>21</v>
      </c>
      <c r="I761" s="2">
        <v>44</v>
      </c>
      <c r="J761" s="2">
        <v>96</v>
      </c>
      <c r="K761" s="2">
        <v>14113.73</v>
      </c>
      <c r="L761" s="2">
        <v>283.24</v>
      </c>
      <c r="M761" s="2">
        <v>163.07</v>
      </c>
      <c r="N761" s="2" t="s">
        <v>30</v>
      </c>
      <c r="O761" s="2">
        <v>5</v>
      </c>
    </row>
    <row r="762" spans="1:15" x14ac:dyDescent="0.3">
      <c r="A762" s="2" t="s">
        <v>817</v>
      </c>
      <c r="B762" s="2" t="s">
        <v>17</v>
      </c>
      <c r="C762" s="1">
        <v>45976</v>
      </c>
      <c r="D762" s="2" t="s">
        <v>90</v>
      </c>
      <c r="E762" s="2" t="s">
        <v>18</v>
      </c>
      <c r="F762" s="2" t="s">
        <v>68</v>
      </c>
      <c r="G762" s="2" t="s">
        <v>55</v>
      </c>
      <c r="H762" s="2" t="s">
        <v>21</v>
      </c>
      <c r="I762" s="2">
        <v>42</v>
      </c>
      <c r="J762" s="2">
        <v>6</v>
      </c>
      <c r="K762" s="2">
        <v>11568.82</v>
      </c>
      <c r="L762" s="2">
        <v>314.31</v>
      </c>
      <c r="M762" s="2">
        <v>177.86</v>
      </c>
      <c r="N762" s="2" t="s">
        <v>22</v>
      </c>
      <c r="O762" s="2">
        <v>5</v>
      </c>
    </row>
    <row r="763" spans="1:15" x14ac:dyDescent="0.3">
      <c r="A763" s="2" t="s">
        <v>818</v>
      </c>
      <c r="B763" s="2" t="s">
        <v>44</v>
      </c>
      <c r="C763" s="1">
        <v>46209</v>
      </c>
      <c r="D763" s="2" t="s">
        <v>16</v>
      </c>
      <c r="E763" s="2" t="s">
        <v>45</v>
      </c>
      <c r="F763" s="2" t="s">
        <v>34</v>
      </c>
      <c r="G763" s="2" t="s">
        <v>35</v>
      </c>
      <c r="H763" s="2" t="s">
        <v>29</v>
      </c>
      <c r="I763" s="2">
        <v>39</v>
      </c>
      <c r="J763" s="2">
        <v>103</v>
      </c>
      <c r="K763" s="2">
        <v>42926.3</v>
      </c>
      <c r="L763" s="2">
        <v>128.38999999999999</v>
      </c>
      <c r="M763" s="2">
        <v>155.82</v>
      </c>
      <c r="N763" s="2" t="s">
        <v>22</v>
      </c>
      <c r="O763" s="2">
        <v>4</v>
      </c>
    </row>
    <row r="764" spans="1:15" x14ac:dyDescent="0.3">
      <c r="A764" s="2" t="s">
        <v>819</v>
      </c>
      <c r="B764" s="2" t="s">
        <v>60</v>
      </c>
      <c r="C764" s="1">
        <v>46164</v>
      </c>
      <c r="D764" s="2" t="s">
        <v>24</v>
      </c>
      <c r="E764" s="2" t="s">
        <v>38</v>
      </c>
      <c r="F764" s="2" t="s">
        <v>68</v>
      </c>
      <c r="G764" s="2" t="s">
        <v>20</v>
      </c>
      <c r="H764" s="2" t="s">
        <v>21</v>
      </c>
      <c r="I764" s="2">
        <v>57</v>
      </c>
      <c r="J764" s="2">
        <v>10</v>
      </c>
      <c r="K764" s="2">
        <v>40946.800000000003</v>
      </c>
      <c r="L764" s="2">
        <v>483.3</v>
      </c>
      <c r="M764" s="2">
        <v>113.01</v>
      </c>
      <c r="N764" s="2" t="s">
        <v>30</v>
      </c>
      <c r="O764" s="2">
        <v>3</v>
      </c>
    </row>
    <row r="765" spans="1:15" x14ac:dyDescent="0.3">
      <c r="A765" s="2" t="s">
        <v>820</v>
      </c>
      <c r="B765" s="2" t="s">
        <v>25</v>
      </c>
      <c r="C765" s="1">
        <v>46121</v>
      </c>
      <c r="D765" s="2" t="s">
        <v>54</v>
      </c>
      <c r="E765" s="2" t="s">
        <v>26</v>
      </c>
      <c r="F765" s="2" t="s">
        <v>19</v>
      </c>
      <c r="G765" s="2" t="s">
        <v>55</v>
      </c>
      <c r="H765" s="2" t="s">
        <v>29</v>
      </c>
      <c r="I765" s="2">
        <v>38</v>
      </c>
      <c r="J765" s="2">
        <v>71</v>
      </c>
      <c r="K765" s="2">
        <v>22693.15</v>
      </c>
      <c r="L765" s="2">
        <v>129.01</v>
      </c>
      <c r="M765" s="2">
        <v>200.91</v>
      </c>
      <c r="N765" s="2" t="s">
        <v>30</v>
      </c>
      <c r="O765" s="2">
        <v>3</v>
      </c>
    </row>
    <row r="766" spans="1:15" x14ac:dyDescent="0.3">
      <c r="A766" s="2" t="s">
        <v>821</v>
      </c>
      <c r="B766" s="2" t="s">
        <v>86</v>
      </c>
      <c r="C766" s="1">
        <v>45900</v>
      </c>
      <c r="D766" s="2" t="s">
        <v>32</v>
      </c>
      <c r="E766" s="2" t="s">
        <v>18</v>
      </c>
      <c r="F766" s="2" t="s">
        <v>27</v>
      </c>
      <c r="G766" s="2" t="s">
        <v>55</v>
      </c>
      <c r="H766" s="2" t="s">
        <v>56</v>
      </c>
      <c r="I766" s="2">
        <v>51</v>
      </c>
      <c r="J766" s="2">
        <v>90</v>
      </c>
      <c r="K766" s="2">
        <v>24717.32</v>
      </c>
      <c r="L766" s="2">
        <v>129.9</v>
      </c>
      <c r="M766" s="2">
        <v>192.28</v>
      </c>
      <c r="N766" s="2" t="s">
        <v>30</v>
      </c>
      <c r="O766" s="2">
        <v>1</v>
      </c>
    </row>
    <row r="767" spans="1:15" x14ac:dyDescent="0.3">
      <c r="A767" s="2" t="s">
        <v>822</v>
      </c>
      <c r="B767" s="2" t="s">
        <v>67</v>
      </c>
      <c r="C767" s="1">
        <v>45966</v>
      </c>
      <c r="D767" s="2" t="s">
        <v>54</v>
      </c>
      <c r="E767" s="2" t="s">
        <v>26</v>
      </c>
      <c r="F767" s="2" t="s">
        <v>19</v>
      </c>
      <c r="G767" s="2" t="s">
        <v>55</v>
      </c>
      <c r="H767" s="2" t="s">
        <v>21</v>
      </c>
      <c r="I767" s="2">
        <v>57</v>
      </c>
      <c r="J767" s="2">
        <v>98</v>
      </c>
      <c r="K767" s="2">
        <v>11278.56</v>
      </c>
      <c r="L767" s="2">
        <v>461.83</v>
      </c>
      <c r="M767" s="2">
        <v>120.53</v>
      </c>
      <c r="N767" s="2" t="s">
        <v>22</v>
      </c>
      <c r="O767" s="2">
        <v>2</v>
      </c>
    </row>
    <row r="768" spans="1:15" x14ac:dyDescent="0.3">
      <c r="A768" s="2" t="s">
        <v>823</v>
      </c>
      <c r="B768" s="2" t="s">
        <v>86</v>
      </c>
      <c r="C768" s="1">
        <v>45985</v>
      </c>
      <c r="D768" s="2" t="s">
        <v>32</v>
      </c>
      <c r="E768" s="2" t="s">
        <v>45</v>
      </c>
      <c r="F768" s="2" t="s">
        <v>39</v>
      </c>
      <c r="G768" s="2" t="s">
        <v>64</v>
      </c>
      <c r="H768" s="2" t="s">
        <v>56</v>
      </c>
      <c r="I768" s="2">
        <v>50</v>
      </c>
      <c r="J768" s="2">
        <v>30</v>
      </c>
      <c r="K768" s="2">
        <v>4375.93</v>
      </c>
      <c r="L768" s="2">
        <v>259.33999999999997</v>
      </c>
      <c r="M768" s="2">
        <v>111.9</v>
      </c>
      <c r="N768" s="2" t="s">
        <v>30</v>
      </c>
      <c r="O768" s="2">
        <v>1</v>
      </c>
    </row>
    <row r="769" spans="1:15" x14ac:dyDescent="0.3">
      <c r="A769" s="2" t="s">
        <v>824</v>
      </c>
      <c r="B769" s="2" t="s">
        <v>76</v>
      </c>
      <c r="C769" s="1">
        <v>45956</v>
      </c>
      <c r="D769" s="2" t="s">
        <v>41</v>
      </c>
      <c r="E769" s="2" t="s">
        <v>26</v>
      </c>
      <c r="F769" s="2" t="s">
        <v>39</v>
      </c>
      <c r="G769" s="2" t="s">
        <v>28</v>
      </c>
      <c r="H769" s="2" t="s">
        <v>21</v>
      </c>
      <c r="I769" s="2">
        <v>62</v>
      </c>
      <c r="J769" s="2">
        <v>100</v>
      </c>
      <c r="K769" s="2">
        <v>28884.880000000001</v>
      </c>
      <c r="L769" s="2">
        <v>78.430000000000007</v>
      </c>
      <c r="M769" s="2">
        <v>2.91</v>
      </c>
      <c r="N769" s="2" t="s">
        <v>22</v>
      </c>
      <c r="O769" s="2">
        <v>5</v>
      </c>
    </row>
    <row r="770" spans="1:15" x14ac:dyDescent="0.3">
      <c r="A770" s="2" t="s">
        <v>825</v>
      </c>
      <c r="B770" s="2" t="s">
        <v>86</v>
      </c>
      <c r="C770" s="1">
        <v>46229</v>
      </c>
      <c r="D770" s="2" t="s">
        <v>32</v>
      </c>
      <c r="E770" s="2" t="s">
        <v>58</v>
      </c>
      <c r="F770" s="2" t="s">
        <v>39</v>
      </c>
      <c r="G770" s="2" t="s">
        <v>20</v>
      </c>
      <c r="H770" s="2" t="s">
        <v>21</v>
      </c>
      <c r="I770" s="2">
        <v>53</v>
      </c>
      <c r="J770" s="2">
        <v>21</v>
      </c>
      <c r="K770" s="2">
        <v>5368.07</v>
      </c>
      <c r="L770" s="2">
        <v>319.18</v>
      </c>
      <c r="M770" s="2">
        <v>16.190000000000001</v>
      </c>
      <c r="N770" s="2" t="s">
        <v>30</v>
      </c>
      <c r="O770" s="2">
        <v>2</v>
      </c>
    </row>
    <row r="771" spans="1:15" x14ac:dyDescent="0.3">
      <c r="A771" s="2" t="s">
        <v>826</v>
      </c>
      <c r="B771" s="2" t="s">
        <v>33</v>
      </c>
      <c r="C771" s="1">
        <v>46134</v>
      </c>
      <c r="D771" s="2" t="s">
        <v>43</v>
      </c>
      <c r="E771" s="2" t="s">
        <v>18</v>
      </c>
      <c r="F771" s="2" t="s">
        <v>19</v>
      </c>
      <c r="G771" s="2" t="s">
        <v>35</v>
      </c>
      <c r="H771" s="2" t="s">
        <v>29</v>
      </c>
      <c r="I771" s="2">
        <v>30</v>
      </c>
      <c r="J771" s="2">
        <v>60</v>
      </c>
      <c r="K771" s="2">
        <v>22739.09</v>
      </c>
      <c r="L771" s="2">
        <v>320.82</v>
      </c>
      <c r="M771" s="2">
        <v>173.14</v>
      </c>
      <c r="N771" s="2" t="s">
        <v>22</v>
      </c>
      <c r="O771" s="2">
        <v>1</v>
      </c>
    </row>
    <row r="772" spans="1:15" x14ac:dyDescent="0.3">
      <c r="A772" s="2" t="s">
        <v>827</v>
      </c>
      <c r="B772" s="2" t="s">
        <v>86</v>
      </c>
      <c r="C772" s="1">
        <v>46018</v>
      </c>
      <c r="D772" s="2" t="s">
        <v>24</v>
      </c>
      <c r="E772" s="2" t="s">
        <v>26</v>
      </c>
      <c r="F772" s="2" t="s">
        <v>34</v>
      </c>
      <c r="G772" s="2" t="s">
        <v>35</v>
      </c>
      <c r="H772" s="2" t="s">
        <v>56</v>
      </c>
      <c r="I772" s="2">
        <v>57</v>
      </c>
      <c r="J772" s="2">
        <v>81</v>
      </c>
      <c r="K772" s="2">
        <v>47054.61</v>
      </c>
      <c r="L772" s="2">
        <v>79.03</v>
      </c>
      <c r="M772" s="2">
        <v>187.25</v>
      </c>
      <c r="N772" s="2" t="s">
        <v>30</v>
      </c>
      <c r="O772" s="2">
        <v>4</v>
      </c>
    </row>
    <row r="773" spans="1:15" x14ac:dyDescent="0.3">
      <c r="A773" s="2" t="s">
        <v>828</v>
      </c>
      <c r="B773" s="2" t="s">
        <v>44</v>
      </c>
      <c r="C773" s="1">
        <v>45999</v>
      </c>
      <c r="D773" s="2" t="s">
        <v>90</v>
      </c>
      <c r="E773" s="2" t="s">
        <v>45</v>
      </c>
      <c r="F773" s="2" t="s">
        <v>27</v>
      </c>
      <c r="G773" s="2" t="s">
        <v>28</v>
      </c>
      <c r="H773" s="2" t="s">
        <v>21</v>
      </c>
      <c r="I773" s="2">
        <v>32</v>
      </c>
      <c r="J773" s="2">
        <v>97</v>
      </c>
      <c r="K773" s="2">
        <v>47665.3</v>
      </c>
      <c r="L773" s="2">
        <v>487.64</v>
      </c>
      <c r="M773" s="2">
        <v>173.34</v>
      </c>
      <c r="N773" s="2" t="s">
        <v>30</v>
      </c>
      <c r="O773" s="2">
        <v>5</v>
      </c>
    </row>
    <row r="774" spans="1:15" x14ac:dyDescent="0.3">
      <c r="A774" s="2" t="s">
        <v>829</v>
      </c>
      <c r="B774" s="2" t="s">
        <v>62</v>
      </c>
      <c r="C774" s="1">
        <v>46035</v>
      </c>
      <c r="D774" s="2" t="s">
        <v>32</v>
      </c>
      <c r="E774" s="2" t="s">
        <v>45</v>
      </c>
      <c r="F774" s="2" t="s">
        <v>39</v>
      </c>
      <c r="G774" s="2" t="s">
        <v>55</v>
      </c>
      <c r="H774" s="2" t="s">
        <v>52</v>
      </c>
      <c r="I774" s="2">
        <v>74</v>
      </c>
      <c r="J774" s="2">
        <v>74</v>
      </c>
      <c r="K774" s="2">
        <v>12346.95</v>
      </c>
      <c r="L774" s="2">
        <v>294.81</v>
      </c>
      <c r="M774" s="2">
        <v>196.52</v>
      </c>
      <c r="N774" s="2" t="s">
        <v>30</v>
      </c>
      <c r="O774" s="2">
        <v>3</v>
      </c>
    </row>
    <row r="775" spans="1:15" x14ac:dyDescent="0.3">
      <c r="A775" s="2" t="s">
        <v>830</v>
      </c>
      <c r="B775" s="2" t="s">
        <v>49</v>
      </c>
      <c r="C775" s="1">
        <v>46181</v>
      </c>
      <c r="D775" s="2" t="s">
        <v>32</v>
      </c>
      <c r="E775" s="2" t="s">
        <v>26</v>
      </c>
      <c r="F775" s="2" t="s">
        <v>39</v>
      </c>
      <c r="G775" s="2" t="s">
        <v>20</v>
      </c>
      <c r="H775" s="2" t="s">
        <v>56</v>
      </c>
      <c r="I775" s="2">
        <v>50</v>
      </c>
      <c r="J775" s="2">
        <v>115</v>
      </c>
      <c r="K775" s="2">
        <v>31393.61</v>
      </c>
      <c r="L775" s="2">
        <v>301.91000000000003</v>
      </c>
      <c r="M775" s="2">
        <v>105.57</v>
      </c>
      <c r="N775" s="2" t="s">
        <v>30</v>
      </c>
      <c r="O775" s="2">
        <v>1</v>
      </c>
    </row>
    <row r="776" spans="1:15" x14ac:dyDescent="0.3">
      <c r="A776" s="2" t="s">
        <v>831</v>
      </c>
      <c r="B776" s="2" t="s">
        <v>62</v>
      </c>
      <c r="C776" s="1">
        <v>45892</v>
      </c>
      <c r="D776" s="2" t="s">
        <v>90</v>
      </c>
      <c r="E776" s="2" t="s">
        <v>45</v>
      </c>
      <c r="F776" s="2" t="s">
        <v>39</v>
      </c>
      <c r="G776" s="2" t="s">
        <v>35</v>
      </c>
      <c r="H776" s="2" t="s">
        <v>56</v>
      </c>
      <c r="I776" s="2">
        <v>47</v>
      </c>
      <c r="J776" s="2">
        <v>63</v>
      </c>
      <c r="K776" s="2">
        <v>23966.78</v>
      </c>
      <c r="L776" s="2">
        <v>284.05</v>
      </c>
      <c r="M776" s="2">
        <v>157.59</v>
      </c>
      <c r="N776" s="2" t="s">
        <v>30</v>
      </c>
      <c r="O776" s="2">
        <v>5</v>
      </c>
    </row>
    <row r="777" spans="1:15" x14ac:dyDescent="0.3">
      <c r="A777" s="2" t="s">
        <v>832</v>
      </c>
      <c r="B777" s="2" t="s">
        <v>47</v>
      </c>
      <c r="C777" s="1">
        <v>46099</v>
      </c>
      <c r="D777" s="2" t="s">
        <v>24</v>
      </c>
      <c r="E777" s="2" t="s">
        <v>38</v>
      </c>
      <c r="F777" s="2" t="s">
        <v>27</v>
      </c>
      <c r="G777" s="2" t="s">
        <v>35</v>
      </c>
      <c r="H777" s="2" t="s">
        <v>56</v>
      </c>
      <c r="I777" s="2">
        <v>59</v>
      </c>
      <c r="J777" s="2">
        <v>111</v>
      </c>
      <c r="K777" s="2">
        <v>43846.41</v>
      </c>
      <c r="L777" s="2">
        <v>324.83</v>
      </c>
      <c r="M777" s="2">
        <v>168.08</v>
      </c>
      <c r="N777" s="2" t="s">
        <v>30</v>
      </c>
      <c r="O777" s="2">
        <v>5</v>
      </c>
    </row>
    <row r="778" spans="1:15" x14ac:dyDescent="0.3">
      <c r="A778" s="2" t="s">
        <v>833</v>
      </c>
      <c r="B778" s="2" t="s">
        <v>49</v>
      </c>
      <c r="C778" s="1">
        <v>45973</v>
      </c>
      <c r="D778" s="2" t="s">
        <v>54</v>
      </c>
      <c r="E778" s="2" t="s">
        <v>38</v>
      </c>
      <c r="F778" s="2" t="s">
        <v>39</v>
      </c>
      <c r="G778" s="2" t="s">
        <v>55</v>
      </c>
      <c r="H778" s="2" t="s">
        <v>29</v>
      </c>
      <c r="I778" s="2">
        <v>29</v>
      </c>
      <c r="J778" s="2">
        <v>42</v>
      </c>
      <c r="K778" s="2">
        <v>13935.83</v>
      </c>
      <c r="L778" s="2">
        <v>168.93</v>
      </c>
      <c r="M778" s="2">
        <v>194.42</v>
      </c>
      <c r="N778" s="2" t="s">
        <v>30</v>
      </c>
      <c r="O778" s="2">
        <v>3</v>
      </c>
    </row>
    <row r="779" spans="1:15" x14ac:dyDescent="0.3">
      <c r="A779" s="2" t="s">
        <v>834</v>
      </c>
      <c r="B779" s="2" t="s">
        <v>51</v>
      </c>
      <c r="C779" s="1">
        <v>46181</v>
      </c>
      <c r="D779" s="2" t="s">
        <v>32</v>
      </c>
      <c r="E779" s="2" t="s">
        <v>38</v>
      </c>
      <c r="F779" s="2" t="s">
        <v>27</v>
      </c>
      <c r="G779" s="2" t="s">
        <v>28</v>
      </c>
      <c r="H779" s="2" t="s">
        <v>52</v>
      </c>
      <c r="I779" s="2">
        <v>74</v>
      </c>
      <c r="J779" s="2">
        <v>51</v>
      </c>
      <c r="K779" s="2">
        <v>683.27</v>
      </c>
      <c r="L779" s="2">
        <v>179.26</v>
      </c>
      <c r="M779" s="2">
        <v>67.75</v>
      </c>
      <c r="N779" s="2" t="s">
        <v>22</v>
      </c>
      <c r="O779" s="2">
        <v>3</v>
      </c>
    </row>
    <row r="780" spans="1:15" x14ac:dyDescent="0.3">
      <c r="A780" s="2" t="s">
        <v>835</v>
      </c>
      <c r="B780" s="2" t="s">
        <v>67</v>
      </c>
      <c r="C780" s="1">
        <v>46219</v>
      </c>
      <c r="D780" s="2" t="s">
        <v>90</v>
      </c>
      <c r="E780" s="2" t="s">
        <v>58</v>
      </c>
      <c r="F780" s="2" t="s">
        <v>39</v>
      </c>
      <c r="G780" s="2" t="s">
        <v>20</v>
      </c>
      <c r="H780" s="2" t="s">
        <v>56</v>
      </c>
      <c r="I780" s="2">
        <v>41</v>
      </c>
      <c r="J780" s="2">
        <v>64</v>
      </c>
      <c r="K780" s="2">
        <v>8546.7800000000007</v>
      </c>
      <c r="L780" s="2">
        <v>280.10000000000002</v>
      </c>
      <c r="M780" s="2">
        <v>94</v>
      </c>
      <c r="N780" s="2" t="s">
        <v>22</v>
      </c>
      <c r="O780" s="2">
        <v>3</v>
      </c>
    </row>
    <row r="781" spans="1:15" x14ac:dyDescent="0.3">
      <c r="A781" s="2" t="s">
        <v>836</v>
      </c>
      <c r="B781" s="2" t="s">
        <v>67</v>
      </c>
      <c r="C781" s="1">
        <v>45910</v>
      </c>
      <c r="D781" s="2" t="s">
        <v>43</v>
      </c>
      <c r="E781" s="2" t="s">
        <v>26</v>
      </c>
      <c r="F781" s="2" t="s">
        <v>19</v>
      </c>
      <c r="G781" s="2" t="s">
        <v>28</v>
      </c>
      <c r="H781" s="2" t="s">
        <v>21</v>
      </c>
      <c r="I781" s="2">
        <v>32</v>
      </c>
      <c r="J781" s="2">
        <v>76</v>
      </c>
      <c r="K781" s="2">
        <v>17801.38</v>
      </c>
      <c r="L781" s="2">
        <v>413.01</v>
      </c>
      <c r="M781" s="2">
        <v>171.58</v>
      </c>
      <c r="N781" s="2" t="s">
        <v>30</v>
      </c>
      <c r="O781" s="2">
        <v>1</v>
      </c>
    </row>
    <row r="782" spans="1:15" x14ac:dyDescent="0.3">
      <c r="A782" s="2" t="s">
        <v>837</v>
      </c>
      <c r="B782" s="2" t="s">
        <v>33</v>
      </c>
      <c r="C782" s="1">
        <v>45910</v>
      </c>
      <c r="D782" s="2" t="s">
        <v>43</v>
      </c>
      <c r="E782" s="2" t="s">
        <v>58</v>
      </c>
      <c r="F782" s="2" t="s">
        <v>19</v>
      </c>
      <c r="G782" s="2" t="s">
        <v>28</v>
      </c>
      <c r="H782" s="2" t="s">
        <v>21</v>
      </c>
      <c r="I782" s="2">
        <v>49</v>
      </c>
      <c r="J782" s="2">
        <v>56</v>
      </c>
      <c r="K782" s="2">
        <v>16128.2</v>
      </c>
      <c r="L782" s="2">
        <v>72.44</v>
      </c>
      <c r="M782" s="2">
        <v>59.71</v>
      </c>
      <c r="N782" s="2" t="s">
        <v>30</v>
      </c>
      <c r="O782" s="2">
        <v>3</v>
      </c>
    </row>
    <row r="783" spans="1:15" x14ac:dyDescent="0.3">
      <c r="A783" s="2" t="s">
        <v>838</v>
      </c>
      <c r="B783" s="2" t="s">
        <v>25</v>
      </c>
      <c r="C783" s="1">
        <v>46178</v>
      </c>
      <c r="D783" s="2" t="s">
        <v>41</v>
      </c>
      <c r="E783" s="2" t="s">
        <v>45</v>
      </c>
      <c r="F783" s="2" t="s">
        <v>27</v>
      </c>
      <c r="G783" s="2" t="s">
        <v>20</v>
      </c>
      <c r="H783" s="2" t="s">
        <v>29</v>
      </c>
      <c r="I783" s="2">
        <v>53</v>
      </c>
      <c r="J783" s="2">
        <v>80</v>
      </c>
      <c r="K783" s="2">
        <v>39672.46</v>
      </c>
      <c r="L783" s="2">
        <v>321.52999999999997</v>
      </c>
      <c r="M783" s="2">
        <v>277.12</v>
      </c>
      <c r="N783" s="2" t="s">
        <v>30</v>
      </c>
      <c r="O783" s="2">
        <v>4</v>
      </c>
    </row>
    <row r="784" spans="1:15" x14ac:dyDescent="0.3">
      <c r="A784" s="2" t="s">
        <v>839</v>
      </c>
      <c r="B784" s="2" t="s">
        <v>44</v>
      </c>
      <c r="C784" s="1">
        <v>46041</v>
      </c>
      <c r="D784" s="2" t="s">
        <v>90</v>
      </c>
      <c r="E784" s="2" t="s">
        <v>58</v>
      </c>
      <c r="F784" s="2" t="s">
        <v>19</v>
      </c>
      <c r="G784" s="2" t="s">
        <v>20</v>
      </c>
      <c r="H784" s="2" t="s">
        <v>21</v>
      </c>
      <c r="I784" s="2">
        <v>63</v>
      </c>
      <c r="J784" s="2">
        <v>41</v>
      </c>
      <c r="K784" s="2">
        <v>34187.75</v>
      </c>
      <c r="L784" s="2">
        <v>413.05</v>
      </c>
      <c r="M784" s="2">
        <v>45.96</v>
      </c>
      <c r="N784" s="2" t="s">
        <v>22</v>
      </c>
      <c r="O784" s="2">
        <v>5</v>
      </c>
    </row>
    <row r="785" spans="1:15" x14ac:dyDescent="0.3">
      <c r="A785" s="2" t="s">
        <v>840</v>
      </c>
      <c r="B785" s="2" t="s">
        <v>47</v>
      </c>
      <c r="C785" s="1">
        <v>46126</v>
      </c>
      <c r="D785" s="2" t="s">
        <v>41</v>
      </c>
      <c r="E785" s="2" t="s">
        <v>45</v>
      </c>
      <c r="F785" s="2" t="s">
        <v>27</v>
      </c>
      <c r="G785" s="2" t="s">
        <v>35</v>
      </c>
      <c r="H785" s="2" t="s">
        <v>56</v>
      </c>
      <c r="I785" s="2">
        <v>73</v>
      </c>
      <c r="J785" s="2">
        <v>32</v>
      </c>
      <c r="K785" s="2">
        <v>15328.04</v>
      </c>
      <c r="L785" s="2">
        <v>120.61</v>
      </c>
      <c r="M785" s="2">
        <v>149.9</v>
      </c>
      <c r="N785" s="2" t="s">
        <v>30</v>
      </c>
      <c r="O785" s="2">
        <v>3</v>
      </c>
    </row>
    <row r="786" spans="1:15" x14ac:dyDescent="0.3">
      <c r="A786" s="2" t="s">
        <v>841</v>
      </c>
      <c r="B786" s="2" t="s">
        <v>82</v>
      </c>
      <c r="C786" s="1">
        <v>46050</v>
      </c>
      <c r="D786" s="2" t="s">
        <v>43</v>
      </c>
      <c r="E786" s="2" t="s">
        <v>45</v>
      </c>
      <c r="F786" s="2" t="s">
        <v>19</v>
      </c>
      <c r="G786" s="2" t="s">
        <v>35</v>
      </c>
      <c r="H786" s="2" t="s">
        <v>21</v>
      </c>
      <c r="I786" s="2">
        <v>35</v>
      </c>
      <c r="J786" s="2">
        <v>15</v>
      </c>
      <c r="K786" s="2">
        <v>23158.32</v>
      </c>
      <c r="L786" s="2">
        <v>56.76</v>
      </c>
      <c r="M786" s="2">
        <v>126.11</v>
      </c>
      <c r="N786" s="2" t="s">
        <v>30</v>
      </c>
      <c r="O786" s="2">
        <v>5</v>
      </c>
    </row>
    <row r="787" spans="1:15" x14ac:dyDescent="0.3">
      <c r="A787" s="2" t="s">
        <v>842</v>
      </c>
      <c r="B787" s="2" t="s">
        <v>76</v>
      </c>
      <c r="C787" s="1">
        <v>46197</v>
      </c>
      <c r="D787" s="2" t="s">
        <v>24</v>
      </c>
      <c r="E787" s="2" t="s">
        <v>18</v>
      </c>
      <c r="F787" s="2" t="s">
        <v>19</v>
      </c>
      <c r="G787" s="2" t="s">
        <v>20</v>
      </c>
      <c r="H787" s="2" t="s">
        <v>56</v>
      </c>
      <c r="I787" s="2">
        <v>22</v>
      </c>
      <c r="J787" s="2">
        <v>62</v>
      </c>
      <c r="K787" s="2">
        <v>5230.18</v>
      </c>
      <c r="L787" s="2">
        <v>190.72</v>
      </c>
      <c r="M787" s="2">
        <v>149.91999999999999</v>
      </c>
      <c r="N787" s="2" t="s">
        <v>30</v>
      </c>
      <c r="O787" s="2">
        <v>2</v>
      </c>
    </row>
    <row r="788" spans="1:15" x14ac:dyDescent="0.3">
      <c r="A788" s="2" t="s">
        <v>843</v>
      </c>
      <c r="B788" s="2" t="s">
        <v>25</v>
      </c>
      <c r="C788" s="1">
        <v>45969</v>
      </c>
      <c r="D788" s="2" t="s">
        <v>54</v>
      </c>
      <c r="E788" s="2" t="s">
        <v>38</v>
      </c>
      <c r="F788" s="2" t="s">
        <v>27</v>
      </c>
      <c r="G788" s="2" t="s">
        <v>64</v>
      </c>
      <c r="H788" s="2" t="s">
        <v>21</v>
      </c>
      <c r="I788" s="2">
        <v>72</v>
      </c>
      <c r="J788" s="2">
        <v>27</v>
      </c>
      <c r="K788" s="2">
        <v>44958.25</v>
      </c>
      <c r="L788" s="2">
        <v>314.66000000000003</v>
      </c>
      <c r="M788" s="2">
        <v>87.47</v>
      </c>
      <c r="N788" s="2" t="s">
        <v>22</v>
      </c>
      <c r="O788" s="2">
        <v>2</v>
      </c>
    </row>
    <row r="789" spans="1:15" x14ac:dyDescent="0.3">
      <c r="A789" s="2" t="s">
        <v>844</v>
      </c>
      <c r="B789" s="2" t="s">
        <v>67</v>
      </c>
      <c r="C789" s="1">
        <v>45937</v>
      </c>
      <c r="D789" s="2" t="s">
        <v>90</v>
      </c>
      <c r="E789" s="2" t="s">
        <v>45</v>
      </c>
      <c r="F789" s="2" t="s">
        <v>34</v>
      </c>
      <c r="G789" s="2" t="s">
        <v>35</v>
      </c>
      <c r="H789" s="2" t="s">
        <v>52</v>
      </c>
      <c r="I789" s="2">
        <v>59</v>
      </c>
      <c r="J789" s="2">
        <v>28</v>
      </c>
      <c r="K789" s="2">
        <v>46803.53</v>
      </c>
      <c r="L789" s="2">
        <v>112.23</v>
      </c>
      <c r="M789" s="2">
        <v>186.53</v>
      </c>
      <c r="N789" s="2" t="s">
        <v>30</v>
      </c>
      <c r="O789" s="2">
        <v>3</v>
      </c>
    </row>
    <row r="790" spans="1:15" x14ac:dyDescent="0.3">
      <c r="A790" s="2" t="s">
        <v>845</v>
      </c>
      <c r="B790" s="2" t="s">
        <v>62</v>
      </c>
      <c r="C790" s="1">
        <v>46123</v>
      </c>
      <c r="D790" s="2" t="s">
        <v>16</v>
      </c>
      <c r="E790" s="2" t="s">
        <v>18</v>
      </c>
      <c r="F790" s="2" t="s">
        <v>19</v>
      </c>
      <c r="G790" s="2" t="s">
        <v>64</v>
      </c>
      <c r="H790" s="2" t="s">
        <v>29</v>
      </c>
      <c r="I790" s="2">
        <v>73</v>
      </c>
      <c r="J790" s="2">
        <v>81</v>
      </c>
      <c r="K790" s="2">
        <v>49000.28</v>
      </c>
      <c r="L790" s="2">
        <v>241.76</v>
      </c>
      <c r="M790" s="2">
        <v>189.74</v>
      </c>
      <c r="N790" s="2" t="s">
        <v>22</v>
      </c>
      <c r="O790" s="2">
        <v>5</v>
      </c>
    </row>
    <row r="791" spans="1:15" x14ac:dyDescent="0.3">
      <c r="A791" s="2" t="s">
        <v>846</v>
      </c>
      <c r="B791" s="2" t="s">
        <v>86</v>
      </c>
      <c r="C791" s="1">
        <v>46130</v>
      </c>
      <c r="D791" s="2" t="s">
        <v>43</v>
      </c>
      <c r="E791" s="2" t="s">
        <v>38</v>
      </c>
      <c r="F791" s="2" t="s">
        <v>39</v>
      </c>
      <c r="G791" s="2" t="s">
        <v>20</v>
      </c>
      <c r="H791" s="2" t="s">
        <v>29</v>
      </c>
      <c r="I791" s="2">
        <v>64</v>
      </c>
      <c r="J791" s="2">
        <v>64</v>
      </c>
      <c r="K791" s="2">
        <v>43493.37</v>
      </c>
      <c r="L791" s="2">
        <v>298.54000000000002</v>
      </c>
      <c r="M791" s="2">
        <v>86.49</v>
      </c>
      <c r="N791" s="2" t="s">
        <v>30</v>
      </c>
      <c r="O791" s="2">
        <v>2</v>
      </c>
    </row>
    <row r="792" spans="1:15" x14ac:dyDescent="0.3">
      <c r="A792" s="2" t="s">
        <v>847</v>
      </c>
      <c r="B792" s="2" t="s">
        <v>86</v>
      </c>
      <c r="C792" s="1">
        <v>46186</v>
      </c>
      <c r="D792" s="2" t="s">
        <v>43</v>
      </c>
      <c r="E792" s="2" t="s">
        <v>45</v>
      </c>
      <c r="F792" s="2" t="s">
        <v>34</v>
      </c>
      <c r="G792" s="2" t="s">
        <v>35</v>
      </c>
      <c r="H792" s="2" t="s">
        <v>52</v>
      </c>
      <c r="I792" s="2">
        <v>74</v>
      </c>
      <c r="J792" s="2">
        <v>110</v>
      </c>
      <c r="K792" s="2">
        <v>9111.06</v>
      </c>
      <c r="L792" s="2">
        <v>319.5</v>
      </c>
      <c r="M792" s="2">
        <v>127.69</v>
      </c>
      <c r="N792" s="2" t="s">
        <v>30</v>
      </c>
      <c r="O792" s="2">
        <v>3</v>
      </c>
    </row>
    <row r="793" spans="1:15" x14ac:dyDescent="0.3">
      <c r="A793" s="2" t="s">
        <v>848</v>
      </c>
      <c r="B793" s="2" t="s">
        <v>51</v>
      </c>
      <c r="C793" s="1">
        <v>46123</v>
      </c>
      <c r="D793" s="2" t="s">
        <v>16</v>
      </c>
      <c r="E793" s="2" t="s">
        <v>45</v>
      </c>
      <c r="F793" s="2" t="s">
        <v>27</v>
      </c>
      <c r="G793" s="2" t="s">
        <v>28</v>
      </c>
      <c r="H793" s="2" t="s">
        <v>52</v>
      </c>
      <c r="I793" s="2">
        <v>38</v>
      </c>
      <c r="J793" s="2">
        <v>59</v>
      </c>
      <c r="K793" s="2">
        <v>2786.73</v>
      </c>
      <c r="L793" s="2">
        <v>173.49</v>
      </c>
      <c r="M793" s="2">
        <v>57.36</v>
      </c>
      <c r="N793" s="2" t="s">
        <v>30</v>
      </c>
      <c r="O793" s="2">
        <v>5</v>
      </c>
    </row>
    <row r="794" spans="1:15" x14ac:dyDescent="0.3">
      <c r="A794" s="2" t="s">
        <v>849</v>
      </c>
      <c r="B794" s="2" t="s">
        <v>47</v>
      </c>
      <c r="C794" s="1">
        <v>45912</v>
      </c>
      <c r="D794" s="2" t="s">
        <v>74</v>
      </c>
      <c r="E794" s="2" t="s">
        <v>58</v>
      </c>
      <c r="F794" s="2" t="s">
        <v>34</v>
      </c>
      <c r="G794" s="2" t="s">
        <v>20</v>
      </c>
      <c r="H794" s="2" t="s">
        <v>29</v>
      </c>
      <c r="I794" s="2">
        <v>23</v>
      </c>
      <c r="J794" s="2">
        <v>114</v>
      </c>
      <c r="K794" s="2">
        <v>29190.04</v>
      </c>
      <c r="L794" s="2">
        <v>230.01</v>
      </c>
      <c r="M794" s="2">
        <v>88.1</v>
      </c>
      <c r="N794" s="2" t="s">
        <v>30</v>
      </c>
      <c r="O794" s="2">
        <v>3</v>
      </c>
    </row>
    <row r="795" spans="1:15" x14ac:dyDescent="0.3">
      <c r="A795" s="2" t="s">
        <v>850</v>
      </c>
      <c r="B795" s="2" t="s">
        <v>44</v>
      </c>
      <c r="C795" s="1">
        <v>46064</v>
      </c>
      <c r="D795" s="2" t="s">
        <v>43</v>
      </c>
      <c r="E795" s="2" t="s">
        <v>58</v>
      </c>
      <c r="F795" s="2" t="s">
        <v>68</v>
      </c>
      <c r="G795" s="2" t="s">
        <v>55</v>
      </c>
      <c r="H795" s="2" t="s">
        <v>52</v>
      </c>
      <c r="I795" s="2">
        <v>27</v>
      </c>
      <c r="J795" s="2">
        <v>58</v>
      </c>
      <c r="K795" s="2">
        <v>45673.95</v>
      </c>
      <c r="L795" s="2">
        <v>400.25</v>
      </c>
      <c r="M795" s="2">
        <v>79.92</v>
      </c>
      <c r="N795" s="2" t="s">
        <v>30</v>
      </c>
      <c r="O795" s="2">
        <v>5</v>
      </c>
    </row>
    <row r="796" spans="1:15" x14ac:dyDescent="0.3">
      <c r="A796" s="2" t="s">
        <v>851</v>
      </c>
      <c r="B796" s="2" t="s">
        <v>44</v>
      </c>
      <c r="C796" s="1">
        <v>46149</v>
      </c>
      <c r="D796" s="2" t="s">
        <v>32</v>
      </c>
      <c r="E796" s="2" t="s">
        <v>38</v>
      </c>
      <c r="F796" s="2" t="s">
        <v>68</v>
      </c>
      <c r="G796" s="2" t="s">
        <v>64</v>
      </c>
      <c r="H796" s="2" t="s">
        <v>56</v>
      </c>
      <c r="I796" s="2">
        <v>63</v>
      </c>
      <c r="J796" s="2">
        <v>2</v>
      </c>
      <c r="K796" s="2">
        <v>9278.89</v>
      </c>
      <c r="L796" s="2">
        <v>473.55</v>
      </c>
      <c r="M796" s="2">
        <v>170.49</v>
      </c>
      <c r="N796" s="2" t="s">
        <v>30</v>
      </c>
      <c r="O796" s="2">
        <v>2</v>
      </c>
    </row>
    <row r="797" spans="1:15" x14ac:dyDescent="0.3">
      <c r="A797" s="2" t="s">
        <v>852</v>
      </c>
      <c r="B797" s="2" t="s">
        <v>17</v>
      </c>
      <c r="C797" s="1">
        <v>46061</v>
      </c>
      <c r="D797" s="2" t="s">
        <v>24</v>
      </c>
      <c r="E797" s="2" t="s">
        <v>45</v>
      </c>
      <c r="F797" s="2" t="s">
        <v>19</v>
      </c>
      <c r="G797" s="2" t="s">
        <v>20</v>
      </c>
      <c r="H797" s="2" t="s">
        <v>21</v>
      </c>
      <c r="I797" s="2">
        <v>38</v>
      </c>
      <c r="J797" s="2">
        <v>36</v>
      </c>
      <c r="K797" s="2">
        <v>848.62</v>
      </c>
      <c r="L797" s="2">
        <v>437.85</v>
      </c>
      <c r="M797" s="2">
        <v>100.06</v>
      </c>
      <c r="N797" s="2" t="s">
        <v>30</v>
      </c>
      <c r="O797" s="2">
        <v>3</v>
      </c>
    </row>
    <row r="798" spans="1:15" x14ac:dyDescent="0.3">
      <c r="A798" s="2" t="s">
        <v>853</v>
      </c>
      <c r="B798" s="2" t="s">
        <v>60</v>
      </c>
      <c r="C798" s="1">
        <v>45978</v>
      </c>
      <c r="D798" s="2" t="s">
        <v>90</v>
      </c>
      <c r="E798" s="2" t="s">
        <v>26</v>
      </c>
      <c r="F798" s="2" t="s">
        <v>19</v>
      </c>
      <c r="G798" s="2" t="s">
        <v>20</v>
      </c>
      <c r="H798" s="2" t="s">
        <v>29</v>
      </c>
      <c r="I798" s="2">
        <v>64</v>
      </c>
      <c r="J798" s="2">
        <v>114</v>
      </c>
      <c r="K798" s="2">
        <v>40372.050000000003</v>
      </c>
      <c r="L798" s="2">
        <v>303.93</v>
      </c>
      <c r="M798" s="2">
        <v>203.67</v>
      </c>
      <c r="N798" s="2" t="s">
        <v>30</v>
      </c>
      <c r="O798" s="2">
        <v>2</v>
      </c>
    </row>
    <row r="799" spans="1:15" x14ac:dyDescent="0.3">
      <c r="A799" s="2" t="s">
        <v>854</v>
      </c>
      <c r="B799" s="2" t="s">
        <v>37</v>
      </c>
      <c r="C799" s="1">
        <v>46102</v>
      </c>
      <c r="D799" s="2" t="s">
        <v>16</v>
      </c>
      <c r="E799" s="2" t="s">
        <v>58</v>
      </c>
      <c r="F799" s="2" t="s">
        <v>39</v>
      </c>
      <c r="G799" s="2" t="s">
        <v>35</v>
      </c>
      <c r="H799" s="2" t="s">
        <v>52</v>
      </c>
      <c r="I799" s="2">
        <v>58</v>
      </c>
      <c r="J799" s="2">
        <v>71</v>
      </c>
      <c r="K799" s="2">
        <v>4301.3900000000003</v>
      </c>
      <c r="L799" s="2">
        <v>234.63</v>
      </c>
      <c r="M799" s="2">
        <v>78.39</v>
      </c>
      <c r="N799" s="2" t="s">
        <v>30</v>
      </c>
      <c r="O799" s="2">
        <v>3</v>
      </c>
    </row>
    <row r="800" spans="1:15" x14ac:dyDescent="0.3">
      <c r="A800" s="2" t="s">
        <v>855</v>
      </c>
      <c r="B800" s="2" t="s">
        <v>67</v>
      </c>
      <c r="C800" s="1">
        <v>45920</v>
      </c>
      <c r="D800" s="2" t="s">
        <v>32</v>
      </c>
      <c r="E800" s="2" t="s">
        <v>38</v>
      </c>
      <c r="F800" s="2" t="s">
        <v>34</v>
      </c>
      <c r="G800" s="2" t="s">
        <v>35</v>
      </c>
      <c r="H800" s="2" t="s">
        <v>56</v>
      </c>
      <c r="I800" s="2">
        <v>57</v>
      </c>
      <c r="J800" s="2">
        <v>13</v>
      </c>
      <c r="K800" s="2">
        <v>20978.45</v>
      </c>
      <c r="L800" s="2">
        <v>199.83</v>
      </c>
      <c r="M800" s="2">
        <v>52.72</v>
      </c>
      <c r="N800" s="2" t="s">
        <v>22</v>
      </c>
      <c r="O800" s="2">
        <v>1</v>
      </c>
    </row>
    <row r="801" spans="1:15" x14ac:dyDescent="0.3">
      <c r="A801" s="2" t="s">
        <v>856</v>
      </c>
      <c r="B801" s="2" t="s">
        <v>44</v>
      </c>
      <c r="C801" s="1">
        <v>46144</v>
      </c>
      <c r="D801" s="2" t="s">
        <v>16</v>
      </c>
      <c r="E801" s="2" t="s">
        <v>45</v>
      </c>
      <c r="F801" s="2" t="s">
        <v>68</v>
      </c>
      <c r="G801" s="2" t="s">
        <v>35</v>
      </c>
      <c r="H801" s="2" t="s">
        <v>29</v>
      </c>
      <c r="I801" s="2">
        <v>53</v>
      </c>
      <c r="J801" s="2">
        <v>15</v>
      </c>
      <c r="K801" s="2">
        <v>34104.92</v>
      </c>
      <c r="L801" s="2">
        <v>106.23</v>
      </c>
      <c r="M801" s="2">
        <v>286.39999999999998</v>
      </c>
      <c r="N801" s="2" t="s">
        <v>30</v>
      </c>
      <c r="O801" s="2">
        <v>2</v>
      </c>
    </row>
    <row r="802" spans="1:15" x14ac:dyDescent="0.3">
      <c r="A802" s="2" t="s">
        <v>857</v>
      </c>
      <c r="B802" s="2" t="s">
        <v>51</v>
      </c>
      <c r="C802" s="1">
        <v>46059</v>
      </c>
      <c r="D802" s="2" t="s">
        <v>90</v>
      </c>
      <c r="E802" s="2" t="s">
        <v>45</v>
      </c>
      <c r="F802" s="2" t="s">
        <v>19</v>
      </c>
      <c r="G802" s="2" t="s">
        <v>55</v>
      </c>
      <c r="H802" s="2" t="s">
        <v>52</v>
      </c>
      <c r="I802" s="2">
        <v>64</v>
      </c>
      <c r="J802" s="2">
        <v>89</v>
      </c>
      <c r="K802" s="2">
        <v>12221.48</v>
      </c>
      <c r="L802" s="2">
        <v>97.95</v>
      </c>
      <c r="M802" s="2">
        <v>120.72</v>
      </c>
      <c r="N802" s="2" t="s">
        <v>30</v>
      </c>
      <c r="O802" s="2">
        <v>2</v>
      </c>
    </row>
    <row r="803" spans="1:15" x14ac:dyDescent="0.3">
      <c r="A803" s="2" t="s">
        <v>858</v>
      </c>
      <c r="B803" s="2" t="s">
        <v>62</v>
      </c>
      <c r="C803" s="1">
        <v>46068</v>
      </c>
      <c r="D803" s="2" t="s">
        <v>41</v>
      </c>
      <c r="E803" s="2" t="s">
        <v>26</v>
      </c>
      <c r="F803" s="2" t="s">
        <v>34</v>
      </c>
      <c r="G803" s="2" t="s">
        <v>35</v>
      </c>
      <c r="H803" s="2" t="s">
        <v>29</v>
      </c>
      <c r="I803" s="2">
        <v>51</v>
      </c>
      <c r="J803" s="2">
        <v>87</v>
      </c>
      <c r="K803" s="2">
        <v>4656.1499999999996</v>
      </c>
      <c r="L803" s="2">
        <v>359.76</v>
      </c>
      <c r="M803" s="2">
        <v>280.18</v>
      </c>
      <c r="N803" s="2" t="s">
        <v>30</v>
      </c>
      <c r="O803" s="2">
        <v>4</v>
      </c>
    </row>
    <row r="804" spans="1:15" x14ac:dyDescent="0.3">
      <c r="A804" s="2" t="s">
        <v>859</v>
      </c>
      <c r="B804" s="2" t="s">
        <v>47</v>
      </c>
      <c r="C804" s="1">
        <v>45943</v>
      </c>
      <c r="D804" s="2" t="s">
        <v>90</v>
      </c>
      <c r="E804" s="2" t="s">
        <v>38</v>
      </c>
      <c r="F804" s="2" t="s">
        <v>19</v>
      </c>
      <c r="G804" s="2" t="s">
        <v>20</v>
      </c>
      <c r="H804" s="2" t="s">
        <v>52</v>
      </c>
      <c r="I804" s="2">
        <v>31</v>
      </c>
      <c r="J804" s="2">
        <v>60</v>
      </c>
      <c r="K804" s="2">
        <v>38616.050000000003</v>
      </c>
      <c r="L804" s="2">
        <v>166.91</v>
      </c>
      <c r="M804" s="2">
        <v>40.68</v>
      </c>
      <c r="N804" s="2" t="s">
        <v>30</v>
      </c>
      <c r="O804" s="2">
        <v>2</v>
      </c>
    </row>
    <row r="805" spans="1:15" x14ac:dyDescent="0.3">
      <c r="A805" s="2" t="s">
        <v>860</v>
      </c>
      <c r="B805" s="2" t="s">
        <v>76</v>
      </c>
      <c r="C805" s="1">
        <v>45966</v>
      </c>
      <c r="D805" s="2" t="s">
        <v>74</v>
      </c>
      <c r="E805" s="2" t="s">
        <v>45</v>
      </c>
      <c r="F805" s="2" t="s">
        <v>19</v>
      </c>
      <c r="G805" s="2" t="s">
        <v>35</v>
      </c>
      <c r="H805" s="2" t="s">
        <v>29</v>
      </c>
      <c r="I805" s="2">
        <v>24</v>
      </c>
      <c r="J805" s="2">
        <v>22</v>
      </c>
      <c r="K805" s="2">
        <v>31693.67</v>
      </c>
      <c r="L805" s="2">
        <v>164.6</v>
      </c>
      <c r="M805" s="2">
        <v>44.07</v>
      </c>
      <c r="N805" s="2" t="s">
        <v>30</v>
      </c>
      <c r="O805" s="2">
        <v>5</v>
      </c>
    </row>
    <row r="806" spans="1:15" x14ac:dyDescent="0.3">
      <c r="A806" s="2" t="s">
        <v>861</v>
      </c>
      <c r="B806" s="2" t="s">
        <v>17</v>
      </c>
      <c r="C806" s="1">
        <v>46182</v>
      </c>
      <c r="D806" s="2" t="s">
        <v>90</v>
      </c>
      <c r="E806" s="2" t="s">
        <v>58</v>
      </c>
      <c r="F806" s="2" t="s">
        <v>68</v>
      </c>
      <c r="G806" s="2" t="s">
        <v>28</v>
      </c>
      <c r="H806" s="2" t="s">
        <v>56</v>
      </c>
      <c r="I806" s="2">
        <v>38</v>
      </c>
      <c r="J806" s="2">
        <v>63</v>
      </c>
      <c r="K806" s="2">
        <v>49430.28</v>
      </c>
      <c r="L806" s="2">
        <v>499.19</v>
      </c>
      <c r="M806" s="2">
        <v>171.16</v>
      </c>
      <c r="N806" s="2" t="s">
        <v>30</v>
      </c>
      <c r="O806" s="2">
        <v>3</v>
      </c>
    </row>
    <row r="807" spans="1:15" x14ac:dyDescent="0.3">
      <c r="A807" s="2" t="s">
        <v>862</v>
      </c>
      <c r="B807" s="2" t="s">
        <v>51</v>
      </c>
      <c r="C807" s="1">
        <v>45899</v>
      </c>
      <c r="D807" s="2" t="s">
        <v>90</v>
      </c>
      <c r="E807" s="2" t="s">
        <v>26</v>
      </c>
      <c r="F807" s="2" t="s">
        <v>68</v>
      </c>
      <c r="G807" s="2" t="s">
        <v>35</v>
      </c>
      <c r="H807" s="2" t="s">
        <v>56</v>
      </c>
      <c r="I807" s="2">
        <v>24</v>
      </c>
      <c r="J807" s="2">
        <v>90</v>
      </c>
      <c r="K807" s="2">
        <v>17543.25</v>
      </c>
      <c r="L807" s="2">
        <v>134.57</v>
      </c>
      <c r="M807" s="2">
        <v>136.18</v>
      </c>
      <c r="N807" s="2" t="s">
        <v>30</v>
      </c>
      <c r="O807" s="2">
        <v>1</v>
      </c>
    </row>
    <row r="808" spans="1:15" x14ac:dyDescent="0.3">
      <c r="A808" s="2" t="s">
        <v>863</v>
      </c>
      <c r="B808" s="2" t="s">
        <v>78</v>
      </c>
      <c r="C808" s="1">
        <v>46173</v>
      </c>
      <c r="D808" s="2" t="s">
        <v>74</v>
      </c>
      <c r="E808" s="2" t="s">
        <v>38</v>
      </c>
      <c r="F808" s="2" t="s">
        <v>19</v>
      </c>
      <c r="G808" s="2" t="s">
        <v>55</v>
      </c>
      <c r="H808" s="2" t="s">
        <v>21</v>
      </c>
      <c r="I808" s="2">
        <v>69</v>
      </c>
      <c r="J808" s="2">
        <v>97</v>
      </c>
      <c r="K808" s="2">
        <v>3557.24</v>
      </c>
      <c r="L808" s="2">
        <v>116.63</v>
      </c>
      <c r="M808" s="2">
        <v>37.32</v>
      </c>
      <c r="N808" s="2" t="s">
        <v>30</v>
      </c>
      <c r="O808" s="2">
        <v>5</v>
      </c>
    </row>
    <row r="809" spans="1:15" x14ac:dyDescent="0.3">
      <c r="A809" s="2" t="s">
        <v>864</v>
      </c>
      <c r="B809" s="2" t="s">
        <v>33</v>
      </c>
      <c r="C809" s="1">
        <v>46058</v>
      </c>
      <c r="D809" s="2" t="s">
        <v>24</v>
      </c>
      <c r="E809" s="2" t="s">
        <v>26</v>
      </c>
      <c r="F809" s="2" t="s">
        <v>27</v>
      </c>
      <c r="G809" s="2" t="s">
        <v>28</v>
      </c>
      <c r="H809" s="2" t="s">
        <v>29</v>
      </c>
      <c r="I809" s="2">
        <v>54</v>
      </c>
      <c r="J809" s="2">
        <v>75</v>
      </c>
      <c r="K809" s="2">
        <v>36850.33</v>
      </c>
      <c r="L809" s="2">
        <v>94.41</v>
      </c>
      <c r="M809" s="2">
        <v>80.8</v>
      </c>
      <c r="N809" s="2" t="s">
        <v>22</v>
      </c>
      <c r="O809" s="2">
        <v>5</v>
      </c>
    </row>
    <row r="810" spans="1:15" x14ac:dyDescent="0.3">
      <c r="A810" s="2" t="s">
        <v>865</v>
      </c>
      <c r="B810" s="2" t="s">
        <v>76</v>
      </c>
      <c r="C810" s="1">
        <v>46215</v>
      </c>
      <c r="D810" s="2" t="s">
        <v>43</v>
      </c>
      <c r="E810" s="2" t="s">
        <v>58</v>
      </c>
      <c r="F810" s="2" t="s">
        <v>19</v>
      </c>
      <c r="G810" s="2" t="s">
        <v>20</v>
      </c>
      <c r="H810" s="2" t="s">
        <v>21</v>
      </c>
      <c r="I810" s="2">
        <v>49</v>
      </c>
      <c r="J810" s="2">
        <v>74</v>
      </c>
      <c r="K810" s="2">
        <v>26325.8</v>
      </c>
      <c r="L810" s="2">
        <v>310.91000000000003</v>
      </c>
      <c r="M810" s="2">
        <v>160.13</v>
      </c>
      <c r="N810" s="2" t="s">
        <v>30</v>
      </c>
      <c r="O810" s="2">
        <v>5</v>
      </c>
    </row>
    <row r="811" spans="1:15" x14ac:dyDescent="0.3">
      <c r="A811" s="2" t="s">
        <v>866</v>
      </c>
      <c r="B811" s="2" t="s">
        <v>60</v>
      </c>
      <c r="C811" s="1">
        <v>45972</v>
      </c>
      <c r="D811" s="2" t="s">
        <v>90</v>
      </c>
      <c r="E811" s="2" t="s">
        <v>38</v>
      </c>
      <c r="F811" s="2" t="s">
        <v>19</v>
      </c>
      <c r="G811" s="2" t="s">
        <v>20</v>
      </c>
      <c r="H811" s="2" t="s">
        <v>29</v>
      </c>
      <c r="I811" s="2">
        <v>44</v>
      </c>
      <c r="J811" s="2">
        <v>25</v>
      </c>
      <c r="K811" s="2">
        <v>11053.59</v>
      </c>
      <c r="L811" s="2">
        <v>332.54</v>
      </c>
      <c r="M811" s="2">
        <v>136.16</v>
      </c>
      <c r="N811" s="2" t="s">
        <v>30</v>
      </c>
      <c r="O811" s="2">
        <v>5</v>
      </c>
    </row>
    <row r="812" spans="1:15" x14ac:dyDescent="0.3">
      <c r="A812" s="2" t="s">
        <v>867</v>
      </c>
      <c r="B812" s="2" t="s">
        <v>78</v>
      </c>
      <c r="C812" s="1">
        <v>45896</v>
      </c>
      <c r="D812" s="2" t="s">
        <v>74</v>
      </c>
      <c r="E812" s="2" t="s">
        <v>26</v>
      </c>
      <c r="F812" s="2" t="s">
        <v>39</v>
      </c>
      <c r="G812" s="2" t="s">
        <v>64</v>
      </c>
      <c r="H812" s="2" t="s">
        <v>52</v>
      </c>
      <c r="I812" s="2">
        <v>42</v>
      </c>
      <c r="J812" s="2">
        <v>101</v>
      </c>
      <c r="K812" s="2">
        <v>39195.58</v>
      </c>
      <c r="L812" s="2">
        <v>214.35</v>
      </c>
      <c r="M812" s="2">
        <v>134.11000000000001</v>
      </c>
      <c r="N812" s="2" t="s">
        <v>30</v>
      </c>
      <c r="O812" s="2">
        <v>1</v>
      </c>
    </row>
    <row r="813" spans="1:15" x14ac:dyDescent="0.3">
      <c r="A813" s="2" t="s">
        <v>868</v>
      </c>
      <c r="B813" s="2" t="s">
        <v>82</v>
      </c>
      <c r="C813" s="1">
        <v>46183</v>
      </c>
      <c r="D813" s="2" t="s">
        <v>32</v>
      </c>
      <c r="E813" s="2" t="s">
        <v>18</v>
      </c>
      <c r="F813" s="2" t="s">
        <v>39</v>
      </c>
      <c r="G813" s="2" t="s">
        <v>28</v>
      </c>
      <c r="H813" s="2" t="s">
        <v>52</v>
      </c>
      <c r="I813" s="2">
        <v>22</v>
      </c>
      <c r="J813" s="2">
        <v>48</v>
      </c>
      <c r="K813" s="2">
        <v>10585.9</v>
      </c>
      <c r="L813" s="2">
        <v>290.94</v>
      </c>
      <c r="M813" s="2">
        <v>63.67</v>
      </c>
      <c r="N813" s="2" t="s">
        <v>30</v>
      </c>
      <c r="O813" s="2">
        <v>4</v>
      </c>
    </row>
    <row r="814" spans="1:15" x14ac:dyDescent="0.3">
      <c r="A814" s="2" t="s">
        <v>869</v>
      </c>
      <c r="B814" s="2" t="s">
        <v>60</v>
      </c>
      <c r="C814" s="1">
        <v>46007</v>
      </c>
      <c r="D814" s="2" t="s">
        <v>41</v>
      </c>
      <c r="E814" s="2" t="s">
        <v>58</v>
      </c>
      <c r="F814" s="2" t="s">
        <v>39</v>
      </c>
      <c r="G814" s="2" t="s">
        <v>64</v>
      </c>
      <c r="H814" s="2" t="s">
        <v>21</v>
      </c>
      <c r="I814" s="2">
        <v>64</v>
      </c>
      <c r="J814" s="2">
        <v>43</v>
      </c>
      <c r="K814" s="2">
        <v>13402.75</v>
      </c>
      <c r="L814" s="2">
        <v>404.78</v>
      </c>
      <c r="M814" s="2">
        <v>76.25</v>
      </c>
      <c r="N814" s="2" t="s">
        <v>22</v>
      </c>
      <c r="O814" s="2">
        <v>2</v>
      </c>
    </row>
    <row r="815" spans="1:15" x14ac:dyDescent="0.3">
      <c r="A815" s="2" t="s">
        <v>870</v>
      </c>
      <c r="B815" s="2" t="s">
        <v>86</v>
      </c>
      <c r="C815" s="1">
        <v>46054</v>
      </c>
      <c r="D815" s="2" t="s">
        <v>41</v>
      </c>
      <c r="E815" s="2" t="s">
        <v>58</v>
      </c>
      <c r="F815" s="2" t="s">
        <v>27</v>
      </c>
      <c r="G815" s="2" t="s">
        <v>28</v>
      </c>
      <c r="H815" s="2" t="s">
        <v>29</v>
      </c>
      <c r="I815" s="2">
        <v>26</v>
      </c>
      <c r="J815" s="2">
        <v>117</v>
      </c>
      <c r="K815" s="2">
        <v>5080.16</v>
      </c>
      <c r="L815" s="2">
        <v>418.15</v>
      </c>
      <c r="M815" s="2">
        <v>297.20999999999998</v>
      </c>
      <c r="N815" s="2" t="s">
        <v>30</v>
      </c>
      <c r="O815" s="2">
        <v>5</v>
      </c>
    </row>
    <row r="816" spans="1:15" x14ac:dyDescent="0.3">
      <c r="A816" s="2" t="s">
        <v>871</v>
      </c>
      <c r="B816" s="2" t="s">
        <v>33</v>
      </c>
      <c r="C816" s="1">
        <v>45992</v>
      </c>
      <c r="D816" s="2" t="s">
        <v>90</v>
      </c>
      <c r="E816" s="2" t="s">
        <v>58</v>
      </c>
      <c r="F816" s="2" t="s">
        <v>27</v>
      </c>
      <c r="G816" s="2" t="s">
        <v>28</v>
      </c>
      <c r="H816" s="2" t="s">
        <v>21</v>
      </c>
      <c r="I816" s="2">
        <v>62</v>
      </c>
      <c r="J816" s="2">
        <v>38</v>
      </c>
      <c r="K816" s="2">
        <v>20271.900000000001</v>
      </c>
      <c r="L816" s="2">
        <v>481.06</v>
      </c>
      <c r="M816" s="2">
        <v>49.52</v>
      </c>
      <c r="N816" s="2" t="s">
        <v>30</v>
      </c>
      <c r="O816" s="2">
        <v>2</v>
      </c>
    </row>
    <row r="817" spans="1:15" x14ac:dyDescent="0.3">
      <c r="A817" s="2" t="s">
        <v>872</v>
      </c>
      <c r="B817" s="2" t="s">
        <v>67</v>
      </c>
      <c r="C817" s="1">
        <v>45989</v>
      </c>
      <c r="D817" s="2" t="s">
        <v>24</v>
      </c>
      <c r="E817" s="2" t="s">
        <v>18</v>
      </c>
      <c r="F817" s="2" t="s">
        <v>19</v>
      </c>
      <c r="G817" s="2" t="s">
        <v>55</v>
      </c>
      <c r="H817" s="2" t="s">
        <v>56</v>
      </c>
      <c r="I817" s="2">
        <v>45</v>
      </c>
      <c r="J817" s="2">
        <v>41</v>
      </c>
      <c r="K817" s="2">
        <v>21237</v>
      </c>
      <c r="L817" s="2">
        <v>420.92</v>
      </c>
      <c r="M817" s="2">
        <v>101.29</v>
      </c>
      <c r="N817" s="2" t="s">
        <v>30</v>
      </c>
      <c r="O817" s="2">
        <v>2</v>
      </c>
    </row>
    <row r="818" spans="1:15" x14ac:dyDescent="0.3">
      <c r="A818" s="2" t="s">
        <v>873</v>
      </c>
      <c r="B818" s="2" t="s">
        <v>62</v>
      </c>
      <c r="C818" s="1">
        <v>45928</v>
      </c>
      <c r="D818" s="2" t="s">
        <v>24</v>
      </c>
      <c r="E818" s="2" t="s">
        <v>18</v>
      </c>
      <c r="F818" s="2" t="s">
        <v>39</v>
      </c>
      <c r="G818" s="2" t="s">
        <v>64</v>
      </c>
      <c r="H818" s="2" t="s">
        <v>21</v>
      </c>
      <c r="I818" s="2">
        <v>41</v>
      </c>
      <c r="J818" s="2">
        <v>45</v>
      </c>
      <c r="K818" s="2">
        <v>25970.81</v>
      </c>
      <c r="L818" s="2">
        <v>304.18</v>
      </c>
      <c r="M818" s="2">
        <v>168.88</v>
      </c>
      <c r="N818" s="2" t="s">
        <v>30</v>
      </c>
      <c r="O818" s="2">
        <v>5</v>
      </c>
    </row>
    <row r="819" spans="1:15" x14ac:dyDescent="0.3">
      <c r="A819" s="2" t="s">
        <v>874</v>
      </c>
      <c r="B819" s="2" t="s">
        <v>33</v>
      </c>
      <c r="C819" s="1">
        <v>45896</v>
      </c>
      <c r="D819" s="2" t="s">
        <v>32</v>
      </c>
      <c r="E819" s="2" t="s">
        <v>45</v>
      </c>
      <c r="F819" s="2" t="s">
        <v>27</v>
      </c>
      <c r="G819" s="2" t="s">
        <v>55</v>
      </c>
      <c r="H819" s="2" t="s">
        <v>21</v>
      </c>
      <c r="I819" s="2">
        <v>36</v>
      </c>
      <c r="J819" s="2">
        <v>88</v>
      </c>
      <c r="K819" s="2">
        <v>35593.730000000003</v>
      </c>
      <c r="L819" s="2">
        <v>130.85</v>
      </c>
      <c r="M819" s="2">
        <v>47.84</v>
      </c>
      <c r="N819" s="2" t="s">
        <v>22</v>
      </c>
      <c r="O819" s="2">
        <v>4</v>
      </c>
    </row>
    <row r="820" spans="1:15" x14ac:dyDescent="0.3">
      <c r="A820" s="2" t="s">
        <v>875</v>
      </c>
      <c r="B820" s="2" t="s">
        <v>60</v>
      </c>
      <c r="C820" s="1">
        <v>46007</v>
      </c>
      <c r="D820" s="2" t="s">
        <v>90</v>
      </c>
      <c r="E820" s="2" t="s">
        <v>26</v>
      </c>
      <c r="F820" s="2" t="s">
        <v>68</v>
      </c>
      <c r="G820" s="2" t="s">
        <v>28</v>
      </c>
      <c r="H820" s="2" t="s">
        <v>52</v>
      </c>
      <c r="I820" s="2">
        <v>51</v>
      </c>
      <c r="J820" s="2">
        <v>40</v>
      </c>
      <c r="K820" s="2">
        <v>45352</v>
      </c>
      <c r="L820" s="2">
        <v>94.89</v>
      </c>
      <c r="M820" s="2">
        <v>83.04</v>
      </c>
      <c r="N820" s="2" t="s">
        <v>30</v>
      </c>
      <c r="O820" s="2">
        <v>2</v>
      </c>
    </row>
    <row r="821" spans="1:15" x14ac:dyDescent="0.3">
      <c r="A821" s="2" t="s">
        <v>876</v>
      </c>
      <c r="B821" s="2" t="s">
        <v>37</v>
      </c>
      <c r="C821" s="1">
        <v>46068</v>
      </c>
      <c r="D821" s="2" t="s">
        <v>41</v>
      </c>
      <c r="E821" s="2" t="s">
        <v>45</v>
      </c>
      <c r="F821" s="2" t="s">
        <v>19</v>
      </c>
      <c r="G821" s="2" t="s">
        <v>20</v>
      </c>
      <c r="H821" s="2" t="s">
        <v>21</v>
      </c>
      <c r="I821" s="2">
        <v>34</v>
      </c>
      <c r="J821" s="2">
        <v>110</v>
      </c>
      <c r="K821" s="2">
        <v>7317.84</v>
      </c>
      <c r="L821" s="2">
        <v>74.53</v>
      </c>
      <c r="M821" s="2">
        <v>123.02</v>
      </c>
      <c r="N821" s="2" t="s">
        <v>30</v>
      </c>
      <c r="O821" s="2">
        <v>3</v>
      </c>
    </row>
    <row r="822" spans="1:15" x14ac:dyDescent="0.3">
      <c r="A822" s="2" t="s">
        <v>877</v>
      </c>
      <c r="B822" s="2" t="s">
        <v>78</v>
      </c>
      <c r="C822" s="1">
        <v>45926</v>
      </c>
      <c r="D822" s="2" t="s">
        <v>24</v>
      </c>
      <c r="E822" s="2" t="s">
        <v>26</v>
      </c>
      <c r="F822" s="2" t="s">
        <v>34</v>
      </c>
      <c r="G822" s="2" t="s">
        <v>28</v>
      </c>
      <c r="H822" s="2" t="s">
        <v>29</v>
      </c>
      <c r="I822" s="2">
        <v>59</v>
      </c>
      <c r="J822" s="2">
        <v>97</v>
      </c>
      <c r="K822" s="2">
        <v>3190.23</v>
      </c>
      <c r="L822" s="2">
        <v>349.94</v>
      </c>
      <c r="M822" s="2">
        <v>144.36000000000001</v>
      </c>
      <c r="N822" s="2" t="s">
        <v>30</v>
      </c>
      <c r="O822" s="2">
        <v>2</v>
      </c>
    </row>
    <row r="823" spans="1:15" x14ac:dyDescent="0.3">
      <c r="A823" s="2" t="s">
        <v>878</v>
      </c>
      <c r="B823" s="2" t="s">
        <v>67</v>
      </c>
      <c r="C823" s="1">
        <v>46068</v>
      </c>
      <c r="D823" s="2" t="s">
        <v>90</v>
      </c>
      <c r="E823" s="2" t="s">
        <v>18</v>
      </c>
      <c r="F823" s="2" t="s">
        <v>19</v>
      </c>
      <c r="G823" s="2" t="s">
        <v>55</v>
      </c>
      <c r="H823" s="2" t="s">
        <v>52</v>
      </c>
      <c r="I823" s="2">
        <v>48</v>
      </c>
      <c r="J823" s="2">
        <v>17</v>
      </c>
      <c r="K823" s="2">
        <v>1417.3</v>
      </c>
      <c r="L823" s="2">
        <v>413.39</v>
      </c>
      <c r="M823" s="2">
        <v>91.9</v>
      </c>
      <c r="N823" s="2" t="s">
        <v>30</v>
      </c>
      <c r="O823" s="2">
        <v>5</v>
      </c>
    </row>
    <row r="824" spans="1:15" x14ac:dyDescent="0.3">
      <c r="A824" s="2" t="s">
        <v>879</v>
      </c>
      <c r="B824" s="2" t="s">
        <v>49</v>
      </c>
      <c r="C824" s="1">
        <v>46073</v>
      </c>
      <c r="D824" s="2" t="s">
        <v>16</v>
      </c>
      <c r="E824" s="2" t="s">
        <v>18</v>
      </c>
      <c r="F824" s="2" t="s">
        <v>34</v>
      </c>
      <c r="G824" s="2" t="s">
        <v>64</v>
      </c>
      <c r="H824" s="2" t="s">
        <v>21</v>
      </c>
      <c r="I824" s="2">
        <v>52</v>
      </c>
      <c r="J824" s="2">
        <v>88</v>
      </c>
      <c r="K824" s="2">
        <v>7609.26</v>
      </c>
      <c r="L824" s="2">
        <v>278.91000000000003</v>
      </c>
      <c r="M824" s="2">
        <v>72.5</v>
      </c>
      <c r="N824" s="2" t="s">
        <v>30</v>
      </c>
      <c r="O824" s="2">
        <v>1</v>
      </c>
    </row>
    <row r="825" spans="1:15" x14ac:dyDescent="0.3">
      <c r="A825" s="2" t="s">
        <v>880</v>
      </c>
      <c r="B825" s="2" t="s">
        <v>37</v>
      </c>
      <c r="C825" s="1">
        <v>46103</v>
      </c>
      <c r="D825" s="2" t="s">
        <v>24</v>
      </c>
      <c r="E825" s="2" t="s">
        <v>45</v>
      </c>
      <c r="F825" s="2" t="s">
        <v>39</v>
      </c>
      <c r="G825" s="2" t="s">
        <v>64</v>
      </c>
      <c r="H825" s="2" t="s">
        <v>56</v>
      </c>
      <c r="I825" s="2">
        <v>48</v>
      </c>
      <c r="J825" s="2">
        <v>101</v>
      </c>
      <c r="K825" s="2">
        <v>33068.5</v>
      </c>
      <c r="L825" s="2">
        <v>74.62</v>
      </c>
      <c r="M825" s="2">
        <v>117.33</v>
      </c>
      <c r="N825" s="2" t="s">
        <v>30</v>
      </c>
      <c r="O825" s="2">
        <v>2</v>
      </c>
    </row>
    <row r="826" spans="1:15" x14ac:dyDescent="0.3">
      <c r="A826" s="2" t="s">
        <v>881</v>
      </c>
      <c r="B826" s="2" t="s">
        <v>86</v>
      </c>
      <c r="C826" s="1">
        <v>45905</v>
      </c>
      <c r="D826" s="2" t="s">
        <v>74</v>
      </c>
      <c r="E826" s="2" t="s">
        <v>38</v>
      </c>
      <c r="F826" s="2" t="s">
        <v>34</v>
      </c>
      <c r="G826" s="2" t="s">
        <v>55</v>
      </c>
      <c r="H826" s="2" t="s">
        <v>21</v>
      </c>
      <c r="I826" s="2">
        <v>71</v>
      </c>
      <c r="J826" s="2">
        <v>57</v>
      </c>
      <c r="K826" s="2">
        <v>36510.120000000003</v>
      </c>
      <c r="L826" s="2">
        <v>290.95999999999998</v>
      </c>
      <c r="M826" s="2">
        <v>124.87</v>
      </c>
      <c r="N826" s="2" t="s">
        <v>22</v>
      </c>
      <c r="O826" s="2">
        <v>4</v>
      </c>
    </row>
    <row r="827" spans="1:15" x14ac:dyDescent="0.3">
      <c r="A827" s="2" t="s">
        <v>882</v>
      </c>
      <c r="B827" s="2" t="s">
        <v>37</v>
      </c>
      <c r="C827" s="1">
        <v>45977</v>
      </c>
      <c r="D827" s="2" t="s">
        <v>16</v>
      </c>
      <c r="E827" s="2" t="s">
        <v>45</v>
      </c>
      <c r="F827" s="2" t="s">
        <v>39</v>
      </c>
      <c r="G827" s="2" t="s">
        <v>64</v>
      </c>
      <c r="H827" s="2" t="s">
        <v>21</v>
      </c>
      <c r="I827" s="2">
        <v>69</v>
      </c>
      <c r="J827" s="2">
        <v>2</v>
      </c>
      <c r="K827" s="2">
        <v>39432.03</v>
      </c>
      <c r="L827" s="2">
        <v>471.09</v>
      </c>
      <c r="M827" s="2">
        <v>130.66</v>
      </c>
      <c r="N827" s="2" t="s">
        <v>30</v>
      </c>
      <c r="O827" s="2">
        <v>3</v>
      </c>
    </row>
    <row r="828" spans="1:15" x14ac:dyDescent="0.3">
      <c r="A828" s="2" t="s">
        <v>883</v>
      </c>
      <c r="B828" s="2" t="s">
        <v>17</v>
      </c>
      <c r="C828" s="1">
        <v>45968</v>
      </c>
      <c r="D828" s="2" t="s">
        <v>43</v>
      </c>
      <c r="E828" s="2" t="s">
        <v>26</v>
      </c>
      <c r="F828" s="2" t="s">
        <v>68</v>
      </c>
      <c r="G828" s="2" t="s">
        <v>35</v>
      </c>
      <c r="H828" s="2" t="s">
        <v>21</v>
      </c>
      <c r="I828" s="2">
        <v>29</v>
      </c>
      <c r="J828" s="2">
        <v>96</v>
      </c>
      <c r="K828" s="2">
        <v>12563.56</v>
      </c>
      <c r="L828" s="2">
        <v>318.93</v>
      </c>
      <c r="M828" s="2">
        <v>14.07</v>
      </c>
      <c r="N828" s="2" t="s">
        <v>30</v>
      </c>
      <c r="O828" s="2">
        <v>3</v>
      </c>
    </row>
    <row r="829" spans="1:15" x14ac:dyDescent="0.3">
      <c r="A829" s="2" t="s">
        <v>884</v>
      </c>
      <c r="B829" s="2" t="s">
        <v>17</v>
      </c>
      <c r="C829" s="1">
        <v>45947</v>
      </c>
      <c r="D829" s="2" t="s">
        <v>24</v>
      </c>
      <c r="E829" s="2" t="s">
        <v>45</v>
      </c>
      <c r="F829" s="2" t="s">
        <v>34</v>
      </c>
      <c r="G829" s="2" t="s">
        <v>20</v>
      </c>
      <c r="H829" s="2" t="s">
        <v>52</v>
      </c>
      <c r="I829" s="2">
        <v>65</v>
      </c>
      <c r="J829" s="2">
        <v>62</v>
      </c>
      <c r="K829" s="2">
        <v>15641.79</v>
      </c>
      <c r="L829" s="2">
        <v>414.24</v>
      </c>
      <c r="M829" s="2">
        <v>126.21</v>
      </c>
      <c r="N829" s="2" t="s">
        <v>30</v>
      </c>
      <c r="O829" s="2">
        <v>1</v>
      </c>
    </row>
    <row r="830" spans="1:15" x14ac:dyDescent="0.3">
      <c r="A830" s="2" t="s">
        <v>885</v>
      </c>
      <c r="B830" s="2" t="s">
        <v>82</v>
      </c>
      <c r="C830" s="1">
        <v>45920</v>
      </c>
      <c r="D830" s="2" t="s">
        <v>41</v>
      </c>
      <c r="E830" s="2" t="s">
        <v>58</v>
      </c>
      <c r="F830" s="2" t="s">
        <v>19</v>
      </c>
      <c r="G830" s="2" t="s">
        <v>20</v>
      </c>
      <c r="H830" s="2" t="s">
        <v>29</v>
      </c>
      <c r="I830" s="2">
        <v>42</v>
      </c>
      <c r="J830" s="2">
        <v>88</v>
      </c>
      <c r="K830" s="2">
        <v>24415.16</v>
      </c>
      <c r="L830" s="2">
        <v>410.07</v>
      </c>
      <c r="M830" s="2">
        <v>285.98</v>
      </c>
      <c r="N830" s="2" t="s">
        <v>30</v>
      </c>
      <c r="O830" s="2">
        <v>1</v>
      </c>
    </row>
    <row r="831" spans="1:15" x14ac:dyDescent="0.3">
      <c r="A831" s="2" t="s">
        <v>886</v>
      </c>
      <c r="B831" s="2" t="s">
        <v>60</v>
      </c>
      <c r="C831" s="1">
        <v>45870</v>
      </c>
      <c r="D831" s="2" t="s">
        <v>54</v>
      </c>
      <c r="E831" s="2" t="s">
        <v>26</v>
      </c>
      <c r="F831" s="2" t="s">
        <v>39</v>
      </c>
      <c r="G831" s="2" t="s">
        <v>20</v>
      </c>
      <c r="H831" s="2" t="s">
        <v>56</v>
      </c>
      <c r="I831" s="2">
        <v>52</v>
      </c>
      <c r="J831" s="2">
        <v>9</v>
      </c>
      <c r="K831" s="2">
        <v>3627.56</v>
      </c>
      <c r="L831" s="2">
        <v>469.46</v>
      </c>
      <c r="M831" s="2">
        <v>108.2</v>
      </c>
      <c r="N831" s="2" t="s">
        <v>30</v>
      </c>
      <c r="O831" s="2">
        <v>2</v>
      </c>
    </row>
    <row r="832" spans="1:15" x14ac:dyDescent="0.3">
      <c r="A832" s="2" t="s">
        <v>887</v>
      </c>
      <c r="B832" s="2" t="s">
        <v>47</v>
      </c>
      <c r="C832" s="1">
        <v>46165</v>
      </c>
      <c r="D832" s="2" t="s">
        <v>16</v>
      </c>
      <c r="E832" s="2" t="s">
        <v>26</v>
      </c>
      <c r="F832" s="2" t="s">
        <v>19</v>
      </c>
      <c r="G832" s="2" t="s">
        <v>64</v>
      </c>
      <c r="H832" s="2" t="s">
        <v>21</v>
      </c>
      <c r="I832" s="2">
        <v>25</v>
      </c>
      <c r="J832" s="2">
        <v>68</v>
      </c>
      <c r="K832" s="2">
        <v>30751.51</v>
      </c>
      <c r="L832" s="2">
        <v>396.6</v>
      </c>
      <c r="M832" s="2">
        <v>143.05000000000001</v>
      </c>
      <c r="N832" s="2" t="s">
        <v>22</v>
      </c>
      <c r="O832" s="2">
        <v>5</v>
      </c>
    </row>
    <row r="833" spans="1:15" x14ac:dyDescent="0.3">
      <c r="A833" s="2" t="s">
        <v>888</v>
      </c>
      <c r="B833" s="2" t="s">
        <v>76</v>
      </c>
      <c r="C833" s="1">
        <v>46211</v>
      </c>
      <c r="D833" s="2" t="s">
        <v>43</v>
      </c>
      <c r="E833" s="2" t="s">
        <v>38</v>
      </c>
      <c r="F833" s="2" t="s">
        <v>27</v>
      </c>
      <c r="G833" s="2" t="s">
        <v>64</v>
      </c>
      <c r="H833" s="2" t="s">
        <v>29</v>
      </c>
      <c r="I833" s="2">
        <v>43</v>
      </c>
      <c r="J833" s="2">
        <v>81</v>
      </c>
      <c r="K833" s="2">
        <v>49194.879999999997</v>
      </c>
      <c r="L833" s="2">
        <v>386.47</v>
      </c>
      <c r="M833" s="2">
        <v>167.02</v>
      </c>
      <c r="N833" s="2" t="s">
        <v>22</v>
      </c>
      <c r="O833" s="2">
        <v>4</v>
      </c>
    </row>
    <row r="834" spans="1:15" x14ac:dyDescent="0.3">
      <c r="A834" s="2" t="s">
        <v>889</v>
      </c>
      <c r="B834" s="2" t="s">
        <v>76</v>
      </c>
      <c r="C834" s="1">
        <v>45883</v>
      </c>
      <c r="D834" s="2" t="s">
        <v>32</v>
      </c>
      <c r="E834" s="2" t="s">
        <v>18</v>
      </c>
      <c r="F834" s="2" t="s">
        <v>39</v>
      </c>
      <c r="G834" s="2" t="s">
        <v>28</v>
      </c>
      <c r="H834" s="2" t="s">
        <v>29</v>
      </c>
      <c r="I834" s="2">
        <v>25</v>
      </c>
      <c r="J834" s="2">
        <v>17</v>
      </c>
      <c r="K834" s="2">
        <v>18359.91</v>
      </c>
      <c r="L834" s="2">
        <v>155.35</v>
      </c>
      <c r="M834" s="2">
        <v>256.42</v>
      </c>
      <c r="N834" s="2" t="s">
        <v>30</v>
      </c>
      <c r="O834" s="2">
        <v>3</v>
      </c>
    </row>
    <row r="835" spans="1:15" x14ac:dyDescent="0.3">
      <c r="A835" s="2" t="s">
        <v>890</v>
      </c>
      <c r="B835" s="2" t="s">
        <v>49</v>
      </c>
      <c r="C835" s="1">
        <v>45974</v>
      </c>
      <c r="D835" s="2" t="s">
        <v>32</v>
      </c>
      <c r="E835" s="2" t="s">
        <v>26</v>
      </c>
      <c r="F835" s="2" t="s">
        <v>34</v>
      </c>
      <c r="G835" s="2" t="s">
        <v>28</v>
      </c>
      <c r="H835" s="2" t="s">
        <v>52</v>
      </c>
      <c r="I835" s="2">
        <v>62</v>
      </c>
      <c r="J835" s="2">
        <v>117</v>
      </c>
      <c r="K835" s="2">
        <v>37765.949999999997</v>
      </c>
      <c r="L835" s="2">
        <v>76.97</v>
      </c>
      <c r="M835" s="2">
        <v>185.92</v>
      </c>
      <c r="N835" s="2" t="s">
        <v>30</v>
      </c>
      <c r="O835" s="2">
        <v>1</v>
      </c>
    </row>
    <row r="836" spans="1:15" x14ac:dyDescent="0.3">
      <c r="A836" s="2" t="s">
        <v>891</v>
      </c>
      <c r="B836" s="2" t="s">
        <v>49</v>
      </c>
      <c r="C836" s="1">
        <v>46033</v>
      </c>
      <c r="D836" s="2" t="s">
        <v>41</v>
      </c>
      <c r="E836" s="2" t="s">
        <v>18</v>
      </c>
      <c r="F836" s="2" t="s">
        <v>39</v>
      </c>
      <c r="G836" s="2" t="s">
        <v>20</v>
      </c>
      <c r="H836" s="2" t="s">
        <v>56</v>
      </c>
      <c r="I836" s="2">
        <v>73</v>
      </c>
      <c r="J836" s="2">
        <v>50</v>
      </c>
      <c r="K836" s="2">
        <v>25251.68</v>
      </c>
      <c r="L836" s="2">
        <v>282.92</v>
      </c>
      <c r="M836" s="2">
        <v>36.840000000000003</v>
      </c>
      <c r="N836" s="2" t="s">
        <v>30</v>
      </c>
      <c r="O836" s="2">
        <v>4</v>
      </c>
    </row>
    <row r="837" spans="1:15" x14ac:dyDescent="0.3">
      <c r="A837" s="2" t="s">
        <v>892</v>
      </c>
      <c r="B837" s="2" t="s">
        <v>67</v>
      </c>
      <c r="C837" s="1">
        <v>46085</v>
      </c>
      <c r="D837" s="2" t="s">
        <v>24</v>
      </c>
      <c r="E837" s="2" t="s">
        <v>45</v>
      </c>
      <c r="F837" s="2" t="s">
        <v>19</v>
      </c>
      <c r="G837" s="2" t="s">
        <v>35</v>
      </c>
      <c r="H837" s="2" t="s">
        <v>52</v>
      </c>
      <c r="I837" s="2">
        <v>52</v>
      </c>
      <c r="J837" s="2">
        <v>112</v>
      </c>
      <c r="K837" s="2">
        <v>6826.69</v>
      </c>
      <c r="L837" s="2">
        <v>106</v>
      </c>
      <c r="M837" s="2">
        <v>87.37</v>
      </c>
      <c r="N837" s="2" t="s">
        <v>30</v>
      </c>
      <c r="O837" s="2">
        <v>5</v>
      </c>
    </row>
    <row r="838" spans="1:15" x14ac:dyDescent="0.3">
      <c r="A838" s="2" t="s">
        <v>893</v>
      </c>
      <c r="B838" s="2" t="s">
        <v>86</v>
      </c>
      <c r="C838" s="1">
        <v>45977</v>
      </c>
      <c r="D838" s="2" t="s">
        <v>90</v>
      </c>
      <c r="E838" s="2" t="s">
        <v>58</v>
      </c>
      <c r="F838" s="2" t="s">
        <v>68</v>
      </c>
      <c r="G838" s="2" t="s">
        <v>28</v>
      </c>
      <c r="H838" s="2" t="s">
        <v>29</v>
      </c>
      <c r="I838" s="2">
        <v>30</v>
      </c>
      <c r="J838" s="2">
        <v>94</v>
      </c>
      <c r="K838" s="2">
        <v>29320.75</v>
      </c>
      <c r="L838" s="2">
        <v>482.99</v>
      </c>
      <c r="M838" s="2">
        <v>117.72</v>
      </c>
      <c r="N838" s="2" t="s">
        <v>22</v>
      </c>
      <c r="O838" s="2">
        <v>3</v>
      </c>
    </row>
    <row r="839" spans="1:15" x14ac:dyDescent="0.3">
      <c r="A839" s="2" t="s">
        <v>894</v>
      </c>
      <c r="B839" s="2" t="s">
        <v>44</v>
      </c>
      <c r="C839" s="1">
        <v>46137</v>
      </c>
      <c r="D839" s="2" t="s">
        <v>24</v>
      </c>
      <c r="E839" s="2" t="s">
        <v>38</v>
      </c>
      <c r="F839" s="2" t="s">
        <v>39</v>
      </c>
      <c r="G839" s="2" t="s">
        <v>28</v>
      </c>
      <c r="H839" s="2" t="s">
        <v>29</v>
      </c>
      <c r="I839" s="2">
        <v>59</v>
      </c>
      <c r="J839" s="2">
        <v>40</v>
      </c>
      <c r="K839" s="2">
        <v>15343.78</v>
      </c>
      <c r="L839" s="2">
        <v>180.47</v>
      </c>
      <c r="M839" s="2">
        <v>121.56</v>
      </c>
      <c r="N839" s="2" t="s">
        <v>30</v>
      </c>
      <c r="O839" s="2">
        <v>3</v>
      </c>
    </row>
    <row r="840" spans="1:15" x14ac:dyDescent="0.3">
      <c r="A840" s="2" t="s">
        <v>895</v>
      </c>
      <c r="B840" s="2" t="s">
        <v>82</v>
      </c>
      <c r="C840" s="1">
        <v>45907</v>
      </c>
      <c r="D840" s="2" t="s">
        <v>41</v>
      </c>
      <c r="E840" s="2" t="s">
        <v>18</v>
      </c>
      <c r="F840" s="2" t="s">
        <v>34</v>
      </c>
      <c r="G840" s="2" t="s">
        <v>64</v>
      </c>
      <c r="H840" s="2" t="s">
        <v>29</v>
      </c>
      <c r="I840" s="2">
        <v>35</v>
      </c>
      <c r="J840" s="2">
        <v>58</v>
      </c>
      <c r="K840" s="2">
        <v>2202.96</v>
      </c>
      <c r="L840" s="2">
        <v>433.82</v>
      </c>
      <c r="M840" s="2">
        <v>37.65</v>
      </c>
      <c r="N840" s="2" t="s">
        <v>30</v>
      </c>
      <c r="O840" s="2">
        <v>5</v>
      </c>
    </row>
    <row r="841" spans="1:15" x14ac:dyDescent="0.3">
      <c r="A841" s="2" t="s">
        <v>896</v>
      </c>
      <c r="B841" s="2" t="s">
        <v>17</v>
      </c>
      <c r="C841" s="1">
        <v>46177</v>
      </c>
      <c r="D841" s="2" t="s">
        <v>32</v>
      </c>
      <c r="E841" s="2" t="s">
        <v>26</v>
      </c>
      <c r="F841" s="2" t="s">
        <v>27</v>
      </c>
      <c r="G841" s="2" t="s">
        <v>35</v>
      </c>
      <c r="H841" s="2" t="s">
        <v>52</v>
      </c>
      <c r="I841" s="2">
        <v>27</v>
      </c>
      <c r="J841" s="2">
        <v>75</v>
      </c>
      <c r="K841" s="2">
        <v>31929.02</v>
      </c>
      <c r="L841" s="2">
        <v>224.43</v>
      </c>
      <c r="M841" s="2">
        <v>162.72</v>
      </c>
      <c r="N841" s="2" t="s">
        <v>22</v>
      </c>
      <c r="O841" s="2">
        <v>3</v>
      </c>
    </row>
    <row r="842" spans="1:15" x14ac:dyDescent="0.3">
      <c r="A842" s="2" t="s">
        <v>897</v>
      </c>
      <c r="B842" s="2" t="s">
        <v>67</v>
      </c>
      <c r="C842" s="1">
        <v>46075</v>
      </c>
      <c r="D842" s="2" t="s">
        <v>24</v>
      </c>
      <c r="E842" s="2" t="s">
        <v>18</v>
      </c>
      <c r="F842" s="2" t="s">
        <v>68</v>
      </c>
      <c r="G842" s="2" t="s">
        <v>20</v>
      </c>
      <c r="H842" s="2" t="s">
        <v>56</v>
      </c>
      <c r="I842" s="2">
        <v>49</v>
      </c>
      <c r="J842" s="2">
        <v>85</v>
      </c>
      <c r="K842" s="2">
        <v>43017.15</v>
      </c>
      <c r="L842" s="2">
        <v>195.44</v>
      </c>
      <c r="M842" s="2">
        <v>7.15</v>
      </c>
      <c r="N842" s="2" t="s">
        <v>30</v>
      </c>
      <c r="O842" s="2">
        <v>5</v>
      </c>
    </row>
    <row r="843" spans="1:15" x14ac:dyDescent="0.3">
      <c r="A843" s="2" t="s">
        <v>898</v>
      </c>
      <c r="B843" s="2" t="s">
        <v>44</v>
      </c>
      <c r="C843" s="1">
        <v>46210</v>
      </c>
      <c r="D843" s="2" t="s">
        <v>32</v>
      </c>
      <c r="E843" s="2" t="s">
        <v>26</v>
      </c>
      <c r="F843" s="2" t="s">
        <v>27</v>
      </c>
      <c r="G843" s="2" t="s">
        <v>28</v>
      </c>
      <c r="H843" s="2" t="s">
        <v>21</v>
      </c>
      <c r="I843" s="2">
        <v>67</v>
      </c>
      <c r="J843" s="2">
        <v>21</v>
      </c>
      <c r="K843" s="2">
        <v>17566.099999999999</v>
      </c>
      <c r="L843" s="2">
        <v>470.82</v>
      </c>
      <c r="M843" s="2">
        <v>105.65</v>
      </c>
      <c r="N843" s="2" t="s">
        <v>22</v>
      </c>
      <c r="O843" s="2">
        <v>3</v>
      </c>
    </row>
    <row r="844" spans="1:15" x14ac:dyDescent="0.3">
      <c r="A844" s="2" t="s">
        <v>899</v>
      </c>
      <c r="B844" s="2" t="s">
        <v>76</v>
      </c>
      <c r="C844" s="1">
        <v>46037</v>
      </c>
      <c r="D844" s="2" t="s">
        <v>16</v>
      </c>
      <c r="E844" s="2" t="s">
        <v>18</v>
      </c>
      <c r="F844" s="2" t="s">
        <v>39</v>
      </c>
      <c r="G844" s="2" t="s">
        <v>35</v>
      </c>
      <c r="H844" s="2" t="s">
        <v>52</v>
      </c>
      <c r="I844" s="2">
        <v>23</v>
      </c>
      <c r="J844" s="2">
        <v>18</v>
      </c>
      <c r="K844" s="2">
        <v>19819.63</v>
      </c>
      <c r="L844" s="2">
        <v>213.5</v>
      </c>
      <c r="M844" s="2">
        <v>132.38</v>
      </c>
      <c r="N844" s="2" t="s">
        <v>22</v>
      </c>
      <c r="O844" s="2">
        <v>2</v>
      </c>
    </row>
    <row r="845" spans="1:15" x14ac:dyDescent="0.3">
      <c r="A845" s="2" t="s">
        <v>900</v>
      </c>
      <c r="B845" s="2" t="s">
        <v>47</v>
      </c>
      <c r="C845" s="1">
        <v>45994</v>
      </c>
      <c r="D845" s="2" t="s">
        <v>43</v>
      </c>
      <c r="E845" s="2" t="s">
        <v>26</v>
      </c>
      <c r="F845" s="2" t="s">
        <v>19</v>
      </c>
      <c r="G845" s="2" t="s">
        <v>35</v>
      </c>
      <c r="H845" s="2" t="s">
        <v>29</v>
      </c>
      <c r="I845" s="2">
        <v>39</v>
      </c>
      <c r="J845" s="2">
        <v>55</v>
      </c>
      <c r="K845" s="2">
        <v>44605.57</v>
      </c>
      <c r="L845" s="2">
        <v>225.63</v>
      </c>
      <c r="M845" s="2">
        <v>62.24</v>
      </c>
      <c r="N845" s="2" t="s">
        <v>30</v>
      </c>
      <c r="O845" s="2">
        <v>5</v>
      </c>
    </row>
    <row r="846" spans="1:15" x14ac:dyDescent="0.3">
      <c r="A846" s="2" t="s">
        <v>901</v>
      </c>
      <c r="B846" s="2" t="s">
        <v>37</v>
      </c>
      <c r="C846" s="1">
        <v>45959</v>
      </c>
      <c r="D846" s="2" t="s">
        <v>90</v>
      </c>
      <c r="E846" s="2" t="s">
        <v>45</v>
      </c>
      <c r="F846" s="2" t="s">
        <v>19</v>
      </c>
      <c r="G846" s="2" t="s">
        <v>20</v>
      </c>
      <c r="H846" s="2" t="s">
        <v>52</v>
      </c>
      <c r="I846" s="2">
        <v>30</v>
      </c>
      <c r="J846" s="2">
        <v>29</v>
      </c>
      <c r="K846" s="2">
        <v>40773.64</v>
      </c>
      <c r="L846" s="2">
        <v>97.74</v>
      </c>
      <c r="M846" s="2">
        <v>181.17</v>
      </c>
      <c r="N846" s="2" t="s">
        <v>30</v>
      </c>
      <c r="O846" s="2">
        <v>4</v>
      </c>
    </row>
    <row r="847" spans="1:15" x14ac:dyDescent="0.3">
      <c r="A847" s="2" t="s">
        <v>902</v>
      </c>
      <c r="B847" s="2" t="s">
        <v>17</v>
      </c>
      <c r="C847" s="1">
        <v>45965</v>
      </c>
      <c r="D847" s="2" t="s">
        <v>16</v>
      </c>
      <c r="E847" s="2" t="s">
        <v>26</v>
      </c>
      <c r="F847" s="2" t="s">
        <v>34</v>
      </c>
      <c r="G847" s="2" t="s">
        <v>35</v>
      </c>
      <c r="H847" s="2" t="s">
        <v>29</v>
      </c>
      <c r="I847" s="2">
        <v>48</v>
      </c>
      <c r="J847" s="2">
        <v>24</v>
      </c>
      <c r="K847" s="2">
        <v>35890.160000000003</v>
      </c>
      <c r="L847" s="2">
        <v>351.7</v>
      </c>
      <c r="M847" s="2">
        <v>251.56</v>
      </c>
      <c r="N847" s="2" t="s">
        <v>22</v>
      </c>
      <c r="O847" s="2">
        <v>2</v>
      </c>
    </row>
    <row r="848" spans="1:15" x14ac:dyDescent="0.3">
      <c r="A848" s="2" t="s">
        <v>903</v>
      </c>
      <c r="B848" s="2" t="s">
        <v>67</v>
      </c>
      <c r="C848" s="1">
        <v>46006</v>
      </c>
      <c r="D848" s="2" t="s">
        <v>32</v>
      </c>
      <c r="E848" s="2" t="s">
        <v>26</v>
      </c>
      <c r="F848" s="2" t="s">
        <v>19</v>
      </c>
      <c r="G848" s="2" t="s">
        <v>35</v>
      </c>
      <c r="H848" s="2" t="s">
        <v>21</v>
      </c>
      <c r="I848" s="2">
        <v>49</v>
      </c>
      <c r="J848" s="2">
        <v>74</v>
      </c>
      <c r="K848" s="2">
        <v>12815.45</v>
      </c>
      <c r="L848" s="2">
        <v>179.98</v>
      </c>
      <c r="M848" s="2">
        <v>94.22</v>
      </c>
      <c r="N848" s="2" t="s">
        <v>22</v>
      </c>
      <c r="O848" s="2">
        <v>4</v>
      </c>
    </row>
    <row r="849" spans="1:15" x14ac:dyDescent="0.3">
      <c r="A849" s="2" t="s">
        <v>904</v>
      </c>
      <c r="B849" s="2" t="s">
        <v>33</v>
      </c>
      <c r="C849" s="1">
        <v>45961</v>
      </c>
      <c r="D849" s="2" t="s">
        <v>32</v>
      </c>
      <c r="E849" s="2" t="s">
        <v>58</v>
      </c>
      <c r="F849" s="2" t="s">
        <v>68</v>
      </c>
      <c r="G849" s="2" t="s">
        <v>35</v>
      </c>
      <c r="H849" s="2" t="s">
        <v>21</v>
      </c>
      <c r="I849" s="2">
        <v>35</v>
      </c>
      <c r="J849" s="2">
        <v>109</v>
      </c>
      <c r="K849" s="2">
        <v>45555.72</v>
      </c>
      <c r="L849" s="2">
        <v>313.52</v>
      </c>
      <c r="M849" s="2">
        <v>82.23</v>
      </c>
      <c r="N849" s="2" t="s">
        <v>30</v>
      </c>
      <c r="O849" s="2">
        <v>3</v>
      </c>
    </row>
    <row r="850" spans="1:15" x14ac:dyDescent="0.3">
      <c r="A850" s="2" t="s">
        <v>905</v>
      </c>
      <c r="B850" s="2" t="s">
        <v>44</v>
      </c>
      <c r="C850" s="1">
        <v>45888</v>
      </c>
      <c r="D850" s="2" t="s">
        <v>54</v>
      </c>
      <c r="E850" s="2" t="s">
        <v>26</v>
      </c>
      <c r="F850" s="2" t="s">
        <v>19</v>
      </c>
      <c r="G850" s="2" t="s">
        <v>28</v>
      </c>
      <c r="H850" s="2" t="s">
        <v>56</v>
      </c>
      <c r="I850" s="2">
        <v>55</v>
      </c>
      <c r="J850" s="2">
        <v>17</v>
      </c>
      <c r="K850" s="2">
        <v>8143.58</v>
      </c>
      <c r="L850" s="2">
        <v>316.11</v>
      </c>
      <c r="M850" s="2">
        <v>47.31</v>
      </c>
      <c r="N850" s="2" t="s">
        <v>30</v>
      </c>
      <c r="O850" s="2">
        <v>4</v>
      </c>
    </row>
    <row r="851" spans="1:15" x14ac:dyDescent="0.3">
      <c r="A851" s="2" t="s">
        <v>906</v>
      </c>
      <c r="B851" s="2" t="s">
        <v>37</v>
      </c>
      <c r="C851" s="1">
        <v>46043</v>
      </c>
      <c r="D851" s="2" t="s">
        <v>54</v>
      </c>
      <c r="E851" s="2" t="s">
        <v>58</v>
      </c>
      <c r="F851" s="2" t="s">
        <v>34</v>
      </c>
      <c r="G851" s="2" t="s">
        <v>20</v>
      </c>
      <c r="H851" s="2" t="s">
        <v>29</v>
      </c>
      <c r="I851" s="2">
        <v>26</v>
      </c>
      <c r="J851" s="2">
        <v>18</v>
      </c>
      <c r="K851" s="2">
        <v>31525.14</v>
      </c>
      <c r="L851" s="2">
        <v>373.64</v>
      </c>
      <c r="M851" s="2">
        <v>219</v>
      </c>
      <c r="N851" s="2" t="s">
        <v>30</v>
      </c>
      <c r="O851" s="2">
        <v>2</v>
      </c>
    </row>
    <row r="852" spans="1:15" x14ac:dyDescent="0.3">
      <c r="A852" s="2" t="s">
        <v>907</v>
      </c>
      <c r="B852" s="2" t="s">
        <v>17</v>
      </c>
      <c r="C852" s="1">
        <v>46221</v>
      </c>
      <c r="D852" s="2" t="s">
        <v>16</v>
      </c>
      <c r="E852" s="2" t="s">
        <v>38</v>
      </c>
      <c r="F852" s="2" t="s">
        <v>39</v>
      </c>
      <c r="G852" s="2" t="s">
        <v>35</v>
      </c>
      <c r="H852" s="2" t="s">
        <v>56</v>
      </c>
      <c r="I852" s="2">
        <v>32</v>
      </c>
      <c r="J852" s="2">
        <v>42</v>
      </c>
      <c r="K852" s="2">
        <v>1925.66</v>
      </c>
      <c r="L852" s="2">
        <v>385.36</v>
      </c>
      <c r="M852" s="2">
        <v>26.35</v>
      </c>
      <c r="N852" s="2" t="s">
        <v>30</v>
      </c>
      <c r="O852" s="2">
        <v>5</v>
      </c>
    </row>
    <row r="853" spans="1:15" x14ac:dyDescent="0.3">
      <c r="A853" s="2" t="s">
        <v>908</v>
      </c>
      <c r="B853" s="2" t="s">
        <v>76</v>
      </c>
      <c r="C853" s="1">
        <v>45963</v>
      </c>
      <c r="D853" s="2" t="s">
        <v>74</v>
      </c>
      <c r="E853" s="2" t="s">
        <v>58</v>
      </c>
      <c r="F853" s="2" t="s">
        <v>39</v>
      </c>
      <c r="G853" s="2" t="s">
        <v>35</v>
      </c>
      <c r="H853" s="2" t="s">
        <v>56</v>
      </c>
      <c r="I853" s="2">
        <v>67</v>
      </c>
      <c r="J853" s="2">
        <v>112</v>
      </c>
      <c r="K853" s="2">
        <v>32364.13</v>
      </c>
      <c r="L853" s="2">
        <v>281.5</v>
      </c>
      <c r="M853" s="2">
        <v>136.05000000000001</v>
      </c>
      <c r="N853" s="2" t="s">
        <v>30</v>
      </c>
      <c r="O853" s="2">
        <v>1</v>
      </c>
    </row>
    <row r="854" spans="1:15" x14ac:dyDescent="0.3">
      <c r="A854" s="2" t="s">
        <v>909</v>
      </c>
      <c r="B854" s="2" t="s">
        <v>51</v>
      </c>
      <c r="C854" s="1">
        <v>46100</v>
      </c>
      <c r="D854" s="2" t="s">
        <v>16</v>
      </c>
      <c r="E854" s="2" t="s">
        <v>45</v>
      </c>
      <c r="F854" s="2" t="s">
        <v>19</v>
      </c>
      <c r="G854" s="2" t="s">
        <v>28</v>
      </c>
      <c r="H854" s="2" t="s">
        <v>21</v>
      </c>
      <c r="I854" s="2">
        <v>58</v>
      </c>
      <c r="J854" s="2">
        <v>84</v>
      </c>
      <c r="K854" s="2">
        <v>14218.65</v>
      </c>
      <c r="L854" s="2">
        <v>198.95</v>
      </c>
      <c r="M854" s="2">
        <v>168.49</v>
      </c>
      <c r="N854" s="2" t="s">
        <v>30</v>
      </c>
      <c r="O854" s="2">
        <v>4</v>
      </c>
    </row>
    <row r="855" spans="1:15" x14ac:dyDescent="0.3">
      <c r="A855" s="2" t="s">
        <v>910</v>
      </c>
      <c r="B855" s="2" t="s">
        <v>86</v>
      </c>
      <c r="C855" s="1">
        <v>46087</v>
      </c>
      <c r="D855" s="2" t="s">
        <v>54</v>
      </c>
      <c r="E855" s="2" t="s">
        <v>58</v>
      </c>
      <c r="F855" s="2" t="s">
        <v>27</v>
      </c>
      <c r="G855" s="2" t="s">
        <v>20</v>
      </c>
      <c r="H855" s="2" t="s">
        <v>52</v>
      </c>
      <c r="I855" s="2">
        <v>33</v>
      </c>
      <c r="J855" s="2">
        <v>101</v>
      </c>
      <c r="K855" s="2">
        <v>22759.01</v>
      </c>
      <c r="L855" s="2">
        <v>426.85</v>
      </c>
      <c r="M855" s="2">
        <v>45.69</v>
      </c>
      <c r="N855" s="2" t="s">
        <v>30</v>
      </c>
      <c r="O855" s="2">
        <v>1</v>
      </c>
    </row>
    <row r="856" spans="1:15" x14ac:dyDescent="0.3">
      <c r="A856" s="2" t="s">
        <v>911</v>
      </c>
      <c r="B856" s="2" t="s">
        <v>44</v>
      </c>
      <c r="C856" s="1">
        <v>45982</v>
      </c>
      <c r="D856" s="2" t="s">
        <v>32</v>
      </c>
      <c r="E856" s="2" t="s">
        <v>38</v>
      </c>
      <c r="F856" s="2" t="s">
        <v>39</v>
      </c>
      <c r="G856" s="2" t="s">
        <v>64</v>
      </c>
      <c r="H856" s="2" t="s">
        <v>52</v>
      </c>
      <c r="I856" s="2">
        <v>49</v>
      </c>
      <c r="J856" s="2">
        <v>45</v>
      </c>
      <c r="K856" s="2">
        <v>17590.599999999999</v>
      </c>
      <c r="L856" s="2">
        <v>189.44</v>
      </c>
      <c r="M856" s="2">
        <v>173.29</v>
      </c>
      <c r="N856" s="2" t="s">
        <v>30</v>
      </c>
      <c r="O856" s="2">
        <v>4</v>
      </c>
    </row>
    <row r="857" spans="1:15" x14ac:dyDescent="0.3">
      <c r="A857" s="2" t="s">
        <v>912</v>
      </c>
      <c r="B857" s="2" t="s">
        <v>76</v>
      </c>
      <c r="C857" s="1">
        <v>46178</v>
      </c>
      <c r="D857" s="2" t="s">
        <v>41</v>
      </c>
      <c r="E857" s="2" t="s">
        <v>45</v>
      </c>
      <c r="F857" s="2" t="s">
        <v>19</v>
      </c>
      <c r="G857" s="2" t="s">
        <v>28</v>
      </c>
      <c r="H857" s="2" t="s">
        <v>56</v>
      </c>
      <c r="I857" s="2">
        <v>39</v>
      </c>
      <c r="J857" s="2">
        <v>82</v>
      </c>
      <c r="K857" s="2">
        <v>9051.4599999999991</v>
      </c>
      <c r="L857" s="2">
        <v>278.38</v>
      </c>
      <c r="M857" s="2">
        <v>6.66</v>
      </c>
      <c r="N857" s="2" t="s">
        <v>22</v>
      </c>
      <c r="O857" s="2">
        <v>4</v>
      </c>
    </row>
    <row r="858" spans="1:15" x14ac:dyDescent="0.3">
      <c r="A858" s="2" t="s">
        <v>913</v>
      </c>
      <c r="B858" s="2" t="s">
        <v>17</v>
      </c>
      <c r="C858" s="1">
        <v>46141</v>
      </c>
      <c r="D858" s="2" t="s">
        <v>16</v>
      </c>
      <c r="E858" s="2" t="s">
        <v>18</v>
      </c>
      <c r="F858" s="2" t="s">
        <v>34</v>
      </c>
      <c r="G858" s="2" t="s">
        <v>20</v>
      </c>
      <c r="H858" s="2" t="s">
        <v>21</v>
      </c>
      <c r="I858" s="2">
        <v>23</v>
      </c>
      <c r="J858" s="2">
        <v>17</v>
      </c>
      <c r="K858" s="2">
        <v>31288.05</v>
      </c>
      <c r="L858" s="2">
        <v>230.56</v>
      </c>
      <c r="M858" s="2">
        <v>182.56</v>
      </c>
      <c r="N858" s="2" t="s">
        <v>22</v>
      </c>
      <c r="O858" s="2">
        <v>5</v>
      </c>
    </row>
    <row r="859" spans="1:15" x14ac:dyDescent="0.3">
      <c r="A859" s="2" t="s">
        <v>914</v>
      </c>
      <c r="B859" s="2" t="s">
        <v>44</v>
      </c>
      <c r="C859" s="1">
        <v>46209</v>
      </c>
      <c r="D859" s="2" t="s">
        <v>32</v>
      </c>
      <c r="E859" s="2" t="s">
        <v>18</v>
      </c>
      <c r="F859" s="2" t="s">
        <v>19</v>
      </c>
      <c r="G859" s="2" t="s">
        <v>35</v>
      </c>
      <c r="H859" s="2" t="s">
        <v>29</v>
      </c>
      <c r="I859" s="2">
        <v>28</v>
      </c>
      <c r="J859" s="2">
        <v>73</v>
      </c>
      <c r="K859" s="2">
        <v>44157.79</v>
      </c>
      <c r="L859" s="2">
        <v>434.79</v>
      </c>
      <c r="M859" s="2">
        <v>35.51</v>
      </c>
      <c r="N859" s="2" t="s">
        <v>30</v>
      </c>
      <c r="O859" s="2">
        <v>3</v>
      </c>
    </row>
    <row r="860" spans="1:15" x14ac:dyDescent="0.3">
      <c r="A860" s="2" t="s">
        <v>915</v>
      </c>
      <c r="B860" s="2" t="s">
        <v>82</v>
      </c>
      <c r="C860" s="1">
        <v>46006</v>
      </c>
      <c r="D860" s="2" t="s">
        <v>41</v>
      </c>
      <c r="E860" s="2" t="s">
        <v>58</v>
      </c>
      <c r="F860" s="2" t="s">
        <v>39</v>
      </c>
      <c r="G860" s="2" t="s">
        <v>20</v>
      </c>
      <c r="H860" s="2" t="s">
        <v>52</v>
      </c>
      <c r="I860" s="2">
        <v>28</v>
      </c>
      <c r="J860" s="2">
        <v>14</v>
      </c>
      <c r="K860" s="2">
        <v>47974.67</v>
      </c>
      <c r="L860" s="2">
        <v>244.36</v>
      </c>
      <c r="M860" s="2">
        <v>129.15</v>
      </c>
      <c r="N860" s="2" t="s">
        <v>30</v>
      </c>
      <c r="O860" s="2">
        <v>2</v>
      </c>
    </row>
    <row r="861" spans="1:15" x14ac:dyDescent="0.3">
      <c r="A861" s="2" t="s">
        <v>916</v>
      </c>
      <c r="B861" s="2" t="s">
        <v>37</v>
      </c>
      <c r="C861" s="1">
        <v>46186</v>
      </c>
      <c r="D861" s="2" t="s">
        <v>41</v>
      </c>
      <c r="E861" s="2" t="s">
        <v>58</v>
      </c>
      <c r="F861" s="2" t="s">
        <v>34</v>
      </c>
      <c r="G861" s="2" t="s">
        <v>20</v>
      </c>
      <c r="H861" s="2" t="s">
        <v>56</v>
      </c>
      <c r="I861" s="2">
        <v>40</v>
      </c>
      <c r="J861" s="2">
        <v>49</v>
      </c>
      <c r="K861" s="2">
        <v>10021.14</v>
      </c>
      <c r="L861" s="2">
        <v>223.74</v>
      </c>
      <c r="M861" s="2">
        <v>50.02</v>
      </c>
      <c r="N861" s="2" t="s">
        <v>30</v>
      </c>
      <c r="O861" s="2">
        <v>2</v>
      </c>
    </row>
    <row r="862" spans="1:15" x14ac:dyDescent="0.3">
      <c r="A862" s="2" t="s">
        <v>917</v>
      </c>
      <c r="B862" s="2" t="s">
        <v>25</v>
      </c>
      <c r="C862" s="1">
        <v>45909</v>
      </c>
      <c r="D862" s="2" t="s">
        <v>54</v>
      </c>
      <c r="E862" s="2" t="s">
        <v>38</v>
      </c>
      <c r="F862" s="2" t="s">
        <v>19</v>
      </c>
      <c r="G862" s="2" t="s">
        <v>20</v>
      </c>
      <c r="H862" s="2" t="s">
        <v>52</v>
      </c>
      <c r="I862" s="2">
        <v>67</v>
      </c>
      <c r="J862" s="2">
        <v>29</v>
      </c>
      <c r="K862" s="2">
        <v>36009.949999999997</v>
      </c>
      <c r="L862" s="2">
        <v>360.42</v>
      </c>
      <c r="M862" s="2">
        <v>167.31</v>
      </c>
      <c r="N862" s="2" t="s">
        <v>30</v>
      </c>
      <c r="O862" s="2">
        <v>2</v>
      </c>
    </row>
    <row r="863" spans="1:15" x14ac:dyDescent="0.3">
      <c r="A863" s="2" t="s">
        <v>918</v>
      </c>
      <c r="B863" s="2" t="s">
        <v>17</v>
      </c>
      <c r="C863" s="1">
        <v>46093</v>
      </c>
      <c r="D863" s="2" t="s">
        <v>16</v>
      </c>
      <c r="E863" s="2" t="s">
        <v>38</v>
      </c>
      <c r="F863" s="2" t="s">
        <v>68</v>
      </c>
      <c r="G863" s="2" t="s">
        <v>64</v>
      </c>
      <c r="H863" s="2" t="s">
        <v>52</v>
      </c>
      <c r="I863" s="2">
        <v>24</v>
      </c>
      <c r="J863" s="2">
        <v>95</v>
      </c>
      <c r="K863" s="2">
        <v>33384.800000000003</v>
      </c>
      <c r="L863" s="2">
        <v>321.10000000000002</v>
      </c>
      <c r="M863" s="2">
        <v>102.46</v>
      </c>
      <c r="N863" s="2" t="s">
        <v>22</v>
      </c>
      <c r="O863" s="2">
        <v>3</v>
      </c>
    </row>
    <row r="864" spans="1:15" x14ac:dyDescent="0.3">
      <c r="A864" s="2" t="s">
        <v>919</v>
      </c>
      <c r="B864" s="2" t="s">
        <v>82</v>
      </c>
      <c r="C864" s="1">
        <v>46030</v>
      </c>
      <c r="D864" s="2" t="s">
        <v>24</v>
      </c>
      <c r="E864" s="2" t="s">
        <v>26</v>
      </c>
      <c r="F864" s="2" t="s">
        <v>34</v>
      </c>
      <c r="G864" s="2" t="s">
        <v>20</v>
      </c>
      <c r="H864" s="2" t="s">
        <v>29</v>
      </c>
      <c r="I864" s="2">
        <v>71</v>
      </c>
      <c r="J864" s="2">
        <v>4</v>
      </c>
      <c r="K864" s="2">
        <v>17497.2</v>
      </c>
      <c r="L864" s="2">
        <v>98.26</v>
      </c>
      <c r="M864" s="2">
        <v>40.58</v>
      </c>
      <c r="N864" s="2" t="s">
        <v>30</v>
      </c>
      <c r="O864" s="2">
        <v>1</v>
      </c>
    </row>
    <row r="865" spans="1:15" x14ac:dyDescent="0.3">
      <c r="A865" s="2" t="s">
        <v>920</v>
      </c>
      <c r="B865" s="2" t="s">
        <v>78</v>
      </c>
      <c r="C865" s="1">
        <v>46083</v>
      </c>
      <c r="D865" s="2" t="s">
        <v>90</v>
      </c>
      <c r="E865" s="2" t="s">
        <v>38</v>
      </c>
      <c r="F865" s="2" t="s">
        <v>68</v>
      </c>
      <c r="G865" s="2" t="s">
        <v>64</v>
      </c>
      <c r="H865" s="2" t="s">
        <v>21</v>
      </c>
      <c r="I865" s="2">
        <v>41</v>
      </c>
      <c r="J865" s="2">
        <v>82</v>
      </c>
      <c r="K865" s="2">
        <v>1445.41</v>
      </c>
      <c r="L865" s="2">
        <v>278.68</v>
      </c>
      <c r="M865" s="2">
        <v>114.2</v>
      </c>
      <c r="N865" s="2" t="s">
        <v>22</v>
      </c>
      <c r="O865" s="2">
        <v>2</v>
      </c>
    </row>
    <row r="866" spans="1:15" x14ac:dyDescent="0.3">
      <c r="A866" s="2" t="s">
        <v>921</v>
      </c>
      <c r="B866" s="2" t="s">
        <v>67</v>
      </c>
      <c r="C866" s="1">
        <v>46135</v>
      </c>
      <c r="D866" s="2" t="s">
        <v>54</v>
      </c>
      <c r="E866" s="2" t="s">
        <v>26</v>
      </c>
      <c r="F866" s="2" t="s">
        <v>27</v>
      </c>
      <c r="G866" s="2" t="s">
        <v>35</v>
      </c>
      <c r="H866" s="2" t="s">
        <v>29</v>
      </c>
      <c r="I866" s="2">
        <v>23</v>
      </c>
      <c r="J866" s="2">
        <v>20</v>
      </c>
      <c r="K866" s="2">
        <v>34644.67</v>
      </c>
      <c r="L866" s="2">
        <v>380.97</v>
      </c>
      <c r="M866" s="2">
        <v>122.37</v>
      </c>
      <c r="N866" s="2" t="s">
        <v>30</v>
      </c>
      <c r="O866" s="2">
        <v>1</v>
      </c>
    </row>
    <row r="867" spans="1:15" x14ac:dyDescent="0.3">
      <c r="A867" s="2" t="s">
        <v>922</v>
      </c>
      <c r="B867" s="2" t="s">
        <v>51</v>
      </c>
      <c r="C867" s="1">
        <v>46135</v>
      </c>
      <c r="D867" s="2" t="s">
        <v>54</v>
      </c>
      <c r="E867" s="2" t="s">
        <v>45</v>
      </c>
      <c r="F867" s="2" t="s">
        <v>34</v>
      </c>
      <c r="G867" s="2" t="s">
        <v>64</v>
      </c>
      <c r="H867" s="2" t="s">
        <v>21</v>
      </c>
      <c r="I867" s="2">
        <v>65</v>
      </c>
      <c r="J867" s="2">
        <v>47</v>
      </c>
      <c r="K867" s="2">
        <v>47302</v>
      </c>
      <c r="L867" s="2">
        <v>496.43</v>
      </c>
      <c r="M867" s="2">
        <v>132.29</v>
      </c>
      <c r="N867" s="2" t="s">
        <v>30</v>
      </c>
      <c r="O867" s="2">
        <v>3</v>
      </c>
    </row>
    <row r="868" spans="1:15" x14ac:dyDescent="0.3">
      <c r="A868" s="2" t="s">
        <v>923</v>
      </c>
      <c r="B868" s="2" t="s">
        <v>49</v>
      </c>
      <c r="C868" s="1">
        <v>45928</v>
      </c>
      <c r="D868" s="2" t="s">
        <v>24</v>
      </c>
      <c r="E868" s="2" t="s">
        <v>58</v>
      </c>
      <c r="F868" s="2" t="s">
        <v>68</v>
      </c>
      <c r="G868" s="2" t="s">
        <v>35</v>
      </c>
      <c r="H868" s="2" t="s">
        <v>52</v>
      </c>
      <c r="I868" s="2">
        <v>28</v>
      </c>
      <c r="J868" s="2">
        <v>107</v>
      </c>
      <c r="K868" s="2">
        <v>31789.95</v>
      </c>
      <c r="L868" s="2">
        <v>333.12</v>
      </c>
      <c r="M868" s="2">
        <v>176.38</v>
      </c>
      <c r="N868" s="2" t="s">
        <v>30</v>
      </c>
      <c r="O868" s="2">
        <v>3</v>
      </c>
    </row>
    <row r="869" spans="1:15" x14ac:dyDescent="0.3">
      <c r="A869" s="2" t="s">
        <v>924</v>
      </c>
      <c r="B869" s="2" t="s">
        <v>37</v>
      </c>
      <c r="C869" s="1">
        <v>46120</v>
      </c>
      <c r="D869" s="2" t="s">
        <v>90</v>
      </c>
      <c r="E869" s="2" t="s">
        <v>45</v>
      </c>
      <c r="F869" s="2" t="s">
        <v>39</v>
      </c>
      <c r="G869" s="2" t="s">
        <v>35</v>
      </c>
      <c r="H869" s="2" t="s">
        <v>56</v>
      </c>
      <c r="I869" s="2">
        <v>43</v>
      </c>
      <c r="J869" s="2">
        <v>108</v>
      </c>
      <c r="K869" s="2">
        <v>22046.99</v>
      </c>
      <c r="L869" s="2">
        <v>216.63</v>
      </c>
      <c r="M869" s="2">
        <v>81.88</v>
      </c>
      <c r="N869" s="2" t="s">
        <v>30</v>
      </c>
      <c r="O869" s="2">
        <v>5</v>
      </c>
    </row>
    <row r="870" spans="1:15" x14ac:dyDescent="0.3">
      <c r="A870" s="2" t="s">
        <v>925</v>
      </c>
      <c r="B870" s="2" t="s">
        <v>44</v>
      </c>
      <c r="C870" s="1">
        <v>46156</v>
      </c>
      <c r="D870" s="2" t="s">
        <v>32</v>
      </c>
      <c r="E870" s="2" t="s">
        <v>38</v>
      </c>
      <c r="F870" s="2" t="s">
        <v>39</v>
      </c>
      <c r="G870" s="2" t="s">
        <v>64</v>
      </c>
      <c r="H870" s="2" t="s">
        <v>29</v>
      </c>
      <c r="I870" s="2">
        <v>36</v>
      </c>
      <c r="J870" s="2">
        <v>9</v>
      </c>
      <c r="K870" s="2">
        <v>26495.119999999999</v>
      </c>
      <c r="L870" s="2">
        <v>151.77000000000001</v>
      </c>
      <c r="M870" s="2">
        <v>86.97</v>
      </c>
      <c r="N870" s="2" t="s">
        <v>30</v>
      </c>
      <c r="O870" s="2">
        <v>2</v>
      </c>
    </row>
    <row r="871" spans="1:15" x14ac:dyDescent="0.3">
      <c r="A871" s="2" t="s">
        <v>926</v>
      </c>
      <c r="B871" s="2" t="s">
        <v>86</v>
      </c>
      <c r="C871" s="1">
        <v>46042</v>
      </c>
      <c r="D871" s="2" t="s">
        <v>74</v>
      </c>
      <c r="E871" s="2" t="s">
        <v>45</v>
      </c>
      <c r="F871" s="2" t="s">
        <v>27</v>
      </c>
      <c r="G871" s="2" t="s">
        <v>28</v>
      </c>
      <c r="H871" s="2" t="s">
        <v>21</v>
      </c>
      <c r="I871" s="2">
        <v>33</v>
      </c>
      <c r="J871" s="2">
        <v>77</v>
      </c>
      <c r="K871" s="2">
        <v>10381.629999999999</v>
      </c>
      <c r="L871" s="2">
        <v>442.77</v>
      </c>
      <c r="M871" s="2">
        <v>2.9</v>
      </c>
      <c r="N871" s="2" t="s">
        <v>22</v>
      </c>
      <c r="O871" s="2">
        <v>5</v>
      </c>
    </row>
    <row r="872" spans="1:15" x14ac:dyDescent="0.3">
      <c r="A872" s="2" t="s">
        <v>927</v>
      </c>
      <c r="B872" s="2" t="s">
        <v>76</v>
      </c>
      <c r="C872" s="1">
        <v>46136</v>
      </c>
      <c r="D872" s="2" t="s">
        <v>16</v>
      </c>
      <c r="E872" s="2" t="s">
        <v>45</v>
      </c>
      <c r="F872" s="2" t="s">
        <v>34</v>
      </c>
      <c r="G872" s="2" t="s">
        <v>55</v>
      </c>
      <c r="H872" s="2" t="s">
        <v>52</v>
      </c>
      <c r="I872" s="2">
        <v>23</v>
      </c>
      <c r="J872" s="2">
        <v>79</v>
      </c>
      <c r="K872" s="2">
        <v>37651.94</v>
      </c>
      <c r="L872" s="2">
        <v>416.55</v>
      </c>
      <c r="M872" s="2">
        <v>114.97</v>
      </c>
      <c r="N872" s="2" t="s">
        <v>22</v>
      </c>
      <c r="O872" s="2">
        <v>2</v>
      </c>
    </row>
    <row r="873" spans="1:15" x14ac:dyDescent="0.3">
      <c r="A873" s="2" t="s">
        <v>928</v>
      </c>
      <c r="B873" s="2" t="s">
        <v>49</v>
      </c>
      <c r="C873" s="1">
        <v>46089</v>
      </c>
      <c r="D873" s="2" t="s">
        <v>74</v>
      </c>
      <c r="E873" s="2" t="s">
        <v>45</v>
      </c>
      <c r="F873" s="2" t="s">
        <v>34</v>
      </c>
      <c r="G873" s="2" t="s">
        <v>20</v>
      </c>
      <c r="H873" s="2" t="s">
        <v>21</v>
      </c>
      <c r="I873" s="2">
        <v>68</v>
      </c>
      <c r="J873" s="2">
        <v>27</v>
      </c>
      <c r="K873" s="2">
        <v>37447.78</v>
      </c>
      <c r="L873" s="2">
        <v>155.27000000000001</v>
      </c>
      <c r="M873" s="2">
        <v>80.45</v>
      </c>
      <c r="N873" s="2" t="s">
        <v>22</v>
      </c>
      <c r="O873" s="2">
        <v>3</v>
      </c>
    </row>
    <row r="874" spans="1:15" x14ac:dyDescent="0.3">
      <c r="A874" s="2" t="s">
        <v>929</v>
      </c>
      <c r="B874" s="2" t="s">
        <v>33</v>
      </c>
      <c r="C874" s="1">
        <v>46199</v>
      </c>
      <c r="D874" s="2" t="s">
        <v>32</v>
      </c>
      <c r="E874" s="2" t="s">
        <v>38</v>
      </c>
      <c r="F874" s="2" t="s">
        <v>34</v>
      </c>
      <c r="G874" s="2" t="s">
        <v>55</v>
      </c>
      <c r="H874" s="2" t="s">
        <v>21</v>
      </c>
      <c r="I874" s="2">
        <v>29</v>
      </c>
      <c r="J874" s="2">
        <v>15</v>
      </c>
      <c r="K874" s="2">
        <v>7703.11</v>
      </c>
      <c r="L874" s="2">
        <v>140.28</v>
      </c>
      <c r="M874" s="2">
        <v>74.930000000000007</v>
      </c>
      <c r="N874" s="2" t="s">
        <v>22</v>
      </c>
      <c r="O874" s="2">
        <v>3</v>
      </c>
    </row>
    <row r="875" spans="1:15" x14ac:dyDescent="0.3">
      <c r="A875" s="2" t="s">
        <v>930</v>
      </c>
      <c r="B875" s="2" t="s">
        <v>76</v>
      </c>
      <c r="C875" s="1">
        <v>46038</v>
      </c>
      <c r="D875" s="2" t="s">
        <v>43</v>
      </c>
      <c r="E875" s="2" t="s">
        <v>45</v>
      </c>
      <c r="F875" s="2" t="s">
        <v>27</v>
      </c>
      <c r="G875" s="2" t="s">
        <v>20</v>
      </c>
      <c r="H875" s="2" t="s">
        <v>21</v>
      </c>
      <c r="I875" s="2">
        <v>34</v>
      </c>
      <c r="J875" s="2">
        <v>92</v>
      </c>
      <c r="K875" s="2">
        <v>43959.93</v>
      </c>
      <c r="L875" s="2">
        <v>371.81</v>
      </c>
      <c r="M875" s="2">
        <v>36.590000000000003</v>
      </c>
      <c r="N875" s="2" t="s">
        <v>22</v>
      </c>
      <c r="O875" s="2">
        <v>4</v>
      </c>
    </row>
    <row r="876" spans="1:15" x14ac:dyDescent="0.3">
      <c r="A876" s="2" t="s">
        <v>931</v>
      </c>
      <c r="B876" s="2" t="s">
        <v>44</v>
      </c>
      <c r="C876" s="1">
        <v>46185</v>
      </c>
      <c r="D876" s="2" t="s">
        <v>54</v>
      </c>
      <c r="E876" s="2" t="s">
        <v>26</v>
      </c>
      <c r="F876" s="2" t="s">
        <v>34</v>
      </c>
      <c r="G876" s="2" t="s">
        <v>20</v>
      </c>
      <c r="H876" s="2" t="s">
        <v>52</v>
      </c>
      <c r="I876" s="2">
        <v>33</v>
      </c>
      <c r="J876" s="2">
        <v>101</v>
      </c>
      <c r="K876" s="2">
        <v>13824.89</v>
      </c>
      <c r="L876" s="2">
        <v>191.73</v>
      </c>
      <c r="M876" s="2">
        <v>86.01</v>
      </c>
      <c r="N876" s="2" t="s">
        <v>30</v>
      </c>
      <c r="O876" s="2">
        <v>4</v>
      </c>
    </row>
    <row r="877" spans="1:15" x14ac:dyDescent="0.3">
      <c r="A877" s="2" t="s">
        <v>932</v>
      </c>
      <c r="B877" s="2" t="s">
        <v>51</v>
      </c>
      <c r="C877" s="1">
        <v>46012</v>
      </c>
      <c r="D877" s="2" t="s">
        <v>90</v>
      </c>
      <c r="E877" s="2" t="s">
        <v>38</v>
      </c>
      <c r="F877" s="2" t="s">
        <v>39</v>
      </c>
      <c r="G877" s="2" t="s">
        <v>35</v>
      </c>
      <c r="H877" s="2" t="s">
        <v>56</v>
      </c>
      <c r="I877" s="2">
        <v>73</v>
      </c>
      <c r="J877" s="2">
        <v>119</v>
      </c>
      <c r="K877" s="2">
        <v>49121.68</v>
      </c>
      <c r="L877" s="2">
        <v>187.88</v>
      </c>
      <c r="M877" s="2">
        <v>196.89</v>
      </c>
      <c r="N877" s="2" t="s">
        <v>30</v>
      </c>
      <c r="O877" s="2">
        <v>3</v>
      </c>
    </row>
    <row r="878" spans="1:15" x14ac:dyDescent="0.3">
      <c r="A878" s="2" t="s">
        <v>933</v>
      </c>
      <c r="B878" s="2" t="s">
        <v>60</v>
      </c>
      <c r="C878" s="1">
        <v>45976</v>
      </c>
      <c r="D878" s="2" t="s">
        <v>54</v>
      </c>
      <c r="E878" s="2" t="s">
        <v>45</v>
      </c>
      <c r="F878" s="2" t="s">
        <v>68</v>
      </c>
      <c r="G878" s="2" t="s">
        <v>20</v>
      </c>
      <c r="H878" s="2" t="s">
        <v>56</v>
      </c>
      <c r="I878" s="2">
        <v>27</v>
      </c>
      <c r="J878" s="2">
        <v>19</v>
      </c>
      <c r="K878" s="2">
        <v>19453.7</v>
      </c>
      <c r="L878" s="2">
        <v>118.53</v>
      </c>
      <c r="M878" s="2">
        <v>59.55</v>
      </c>
      <c r="N878" s="2" t="s">
        <v>22</v>
      </c>
      <c r="O878" s="2">
        <v>3</v>
      </c>
    </row>
    <row r="879" spans="1:15" x14ac:dyDescent="0.3">
      <c r="A879" s="2" t="s">
        <v>934</v>
      </c>
      <c r="B879" s="2" t="s">
        <v>76</v>
      </c>
      <c r="C879" s="1">
        <v>45895</v>
      </c>
      <c r="D879" s="2" t="s">
        <v>41</v>
      </c>
      <c r="E879" s="2" t="s">
        <v>38</v>
      </c>
      <c r="F879" s="2" t="s">
        <v>39</v>
      </c>
      <c r="G879" s="2" t="s">
        <v>20</v>
      </c>
      <c r="H879" s="2" t="s">
        <v>56</v>
      </c>
      <c r="I879" s="2">
        <v>35</v>
      </c>
      <c r="J879" s="2">
        <v>90</v>
      </c>
      <c r="K879" s="2">
        <v>9305.26</v>
      </c>
      <c r="L879" s="2">
        <v>168.79</v>
      </c>
      <c r="M879" s="2">
        <v>119.94</v>
      </c>
      <c r="N879" s="2" t="s">
        <v>30</v>
      </c>
      <c r="O879" s="2">
        <v>1</v>
      </c>
    </row>
    <row r="880" spans="1:15" x14ac:dyDescent="0.3">
      <c r="A880" s="2" t="s">
        <v>935</v>
      </c>
      <c r="B880" s="2" t="s">
        <v>60</v>
      </c>
      <c r="C880" s="1">
        <v>46099</v>
      </c>
      <c r="D880" s="2" t="s">
        <v>54</v>
      </c>
      <c r="E880" s="2" t="s">
        <v>18</v>
      </c>
      <c r="F880" s="2" t="s">
        <v>39</v>
      </c>
      <c r="G880" s="2" t="s">
        <v>64</v>
      </c>
      <c r="H880" s="2" t="s">
        <v>21</v>
      </c>
      <c r="I880" s="2">
        <v>27</v>
      </c>
      <c r="J880" s="2">
        <v>52</v>
      </c>
      <c r="K880" s="2">
        <v>17910.150000000001</v>
      </c>
      <c r="L880" s="2">
        <v>242.38</v>
      </c>
      <c r="M880" s="2">
        <v>155.30000000000001</v>
      </c>
      <c r="N880" s="2" t="s">
        <v>22</v>
      </c>
      <c r="O880" s="2">
        <v>1</v>
      </c>
    </row>
    <row r="881" spans="1:15" x14ac:dyDescent="0.3">
      <c r="A881" s="2" t="s">
        <v>936</v>
      </c>
      <c r="B881" s="2" t="s">
        <v>67</v>
      </c>
      <c r="C881" s="1">
        <v>46131</v>
      </c>
      <c r="D881" s="2" t="s">
        <v>54</v>
      </c>
      <c r="E881" s="2" t="s">
        <v>26</v>
      </c>
      <c r="F881" s="2" t="s">
        <v>68</v>
      </c>
      <c r="G881" s="2" t="s">
        <v>55</v>
      </c>
      <c r="H881" s="2" t="s">
        <v>52</v>
      </c>
      <c r="I881" s="2">
        <v>58</v>
      </c>
      <c r="J881" s="2">
        <v>26</v>
      </c>
      <c r="K881" s="2">
        <v>22288.93</v>
      </c>
      <c r="L881" s="2">
        <v>379.78</v>
      </c>
      <c r="M881" s="2">
        <v>149.83000000000001</v>
      </c>
      <c r="N881" s="2" t="s">
        <v>30</v>
      </c>
      <c r="O881" s="2">
        <v>5</v>
      </c>
    </row>
    <row r="882" spans="1:15" x14ac:dyDescent="0.3">
      <c r="A882" s="2" t="s">
        <v>937</v>
      </c>
      <c r="B882" s="2" t="s">
        <v>51</v>
      </c>
      <c r="C882" s="1">
        <v>45904</v>
      </c>
      <c r="D882" s="2" t="s">
        <v>32</v>
      </c>
      <c r="E882" s="2" t="s">
        <v>45</v>
      </c>
      <c r="F882" s="2" t="s">
        <v>39</v>
      </c>
      <c r="G882" s="2" t="s">
        <v>64</v>
      </c>
      <c r="H882" s="2" t="s">
        <v>21</v>
      </c>
      <c r="I882" s="2">
        <v>54</v>
      </c>
      <c r="J882" s="2">
        <v>89</v>
      </c>
      <c r="K882" s="2">
        <v>3930.73</v>
      </c>
      <c r="L882" s="2">
        <v>201.34</v>
      </c>
      <c r="M882" s="2">
        <v>65.75</v>
      </c>
      <c r="N882" s="2" t="s">
        <v>30</v>
      </c>
      <c r="O882" s="2">
        <v>4</v>
      </c>
    </row>
    <row r="883" spans="1:15" x14ac:dyDescent="0.3">
      <c r="A883" s="2" t="s">
        <v>938</v>
      </c>
      <c r="B883" s="2" t="s">
        <v>17</v>
      </c>
      <c r="C883" s="1">
        <v>46088</v>
      </c>
      <c r="D883" s="2" t="s">
        <v>32</v>
      </c>
      <c r="E883" s="2" t="s">
        <v>18</v>
      </c>
      <c r="F883" s="2" t="s">
        <v>27</v>
      </c>
      <c r="G883" s="2" t="s">
        <v>20</v>
      </c>
      <c r="H883" s="2" t="s">
        <v>56</v>
      </c>
      <c r="I883" s="2">
        <v>61</v>
      </c>
      <c r="J883" s="2">
        <v>26</v>
      </c>
      <c r="K883" s="2">
        <v>29121.81</v>
      </c>
      <c r="L883" s="2">
        <v>197.87</v>
      </c>
      <c r="M883" s="2">
        <v>122.17</v>
      </c>
      <c r="N883" s="2" t="s">
        <v>22</v>
      </c>
      <c r="O883" s="2">
        <v>4</v>
      </c>
    </row>
    <row r="884" spans="1:15" x14ac:dyDescent="0.3">
      <c r="A884" s="2" t="s">
        <v>939</v>
      </c>
      <c r="B884" s="2" t="s">
        <v>82</v>
      </c>
      <c r="C884" s="1">
        <v>45920</v>
      </c>
      <c r="D884" s="2" t="s">
        <v>32</v>
      </c>
      <c r="E884" s="2" t="s">
        <v>18</v>
      </c>
      <c r="F884" s="2" t="s">
        <v>68</v>
      </c>
      <c r="G884" s="2" t="s">
        <v>35</v>
      </c>
      <c r="H884" s="2" t="s">
        <v>56</v>
      </c>
      <c r="I884" s="2">
        <v>42</v>
      </c>
      <c r="J884" s="2">
        <v>26</v>
      </c>
      <c r="K884" s="2">
        <v>30082.81</v>
      </c>
      <c r="L884" s="2">
        <v>178.21</v>
      </c>
      <c r="M884" s="2">
        <v>174.25</v>
      </c>
      <c r="N884" s="2" t="s">
        <v>30</v>
      </c>
      <c r="O884" s="2">
        <v>3</v>
      </c>
    </row>
    <row r="885" spans="1:15" x14ac:dyDescent="0.3">
      <c r="A885" s="2" t="s">
        <v>940</v>
      </c>
      <c r="B885" s="2" t="s">
        <v>33</v>
      </c>
      <c r="C885" s="1">
        <v>46197</v>
      </c>
      <c r="D885" s="2" t="s">
        <v>74</v>
      </c>
      <c r="E885" s="2" t="s">
        <v>38</v>
      </c>
      <c r="F885" s="2" t="s">
        <v>39</v>
      </c>
      <c r="G885" s="2" t="s">
        <v>64</v>
      </c>
      <c r="H885" s="2" t="s">
        <v>52</v>
      </c>
      <c r="I885" s="2">
        <v>44</v>
      </c>
      <c r="J885" s="2">
        <v>46</v>
      </c>
      <c r="K885" s="2">
        <v>37077.06</v>
      </c>
      <c r="L885" s="2">
        <v>265.23</v>
      </c>
      <c r="M885" s="2">
        <v>3.09</v>
      </c>
      <c r="N885" s="2" t="s">
        <v>30</v>
      </c>
      <c r="O885" s="2">
        <v>3</v>
      </c>
    </row>
    <row r="886" spans="1:15" x14ac:dyDescent="0.3">
      <c r="A886" s="2" t="s">
        <v>941</v>
      </c>
      <c r="B886" s="2" t="s">
        <v>62</v>
      </c>
      <c r="C886" s="1">
        <v>45995</v>
      </c>
      <c r="D886" s="2" t="s">
        <v>41</v>
      </c>
      <c r="E886" s="2" t="s">
        <v>18</v>
      </c>
      <c r="F886" s="2" t="s">
        <v>19</v>
      </c>
      <c r="G886" s="2" t="s">
        <v>64</v>
      </c>
      <c r="H886" s="2" t="s">
        <v>21</v>
      </c>
      <c r="I886" s="2">
        <v>69</v>
      </c>
      <c r="J886" s="2">
        <v>92</v>
      </c>
      <c r="K886" s="2">
        <v>1943.91</v>
      </c>
      <c r="L886" s="2">
        <v>131.29</v>
      </c>
      <c r="M886" s="2">
        <v>87.15</v>
      </c>
      <c r="N886" s="2" t="s">
        <v>22</v>
      </c>
      <c r="O886" s="2">
        <v>5</v>
      </c>
    </row>
    <row r="887" spans="1:15" x14ac:dyDescent="0.3">
      <c r="A887" s="2" t="s">
        <v>942</v>
      </c>
      <c r="B887" s="2" t="s">
        <v>44</v>
      </c>
      <c r="C887" s="1">
        <v>46081</v>
      </c>
      <c r="D887" s="2" t="s">
        <v>43</v>
      </c>
      <c r="E887" s="2" t="s">
        <v>26</v>
      </c>
      <c r="F887" s="2" t="s">
        <v>39</v>
      </c>
      <c r="G887" s="2" t="s">
        <v>28</v>
      </c>
      <c r="H887" s="2" t="s">
        <v>29</v>
      </c>
      <c r="I887" s="2">
        <v>57</v>
      </c>
      <c r="J887" s="2">
        <v>49</v>
      </c>
      <c r="K887" s="2">
        <v>27291.29</v>
      </c>
      <c r="L887" s="2">
        <v>268.52999999999997</v>
      </c>
      <c r="M887" s="2">
        <v>67.28</v>
      </c>
      <c r="N887" s="2" t="s">
        <v>22</v>
      </c>
      <c r="O887" s="2">
        <v>4</v>
      </c>
    </row>
    <row r="888" spans="1:15" x14ac:dyDescent="0.3">
      <c r="A888" s="2" t="s">
        <v>943</v>
      </c>
      <c r="B888" s="2" t="s">
        <v>47</v>
      </c>
      <c r="C888" s="1">
        <v>46197</v>
      </c>
      <c r="D888" s="2" t="s">
        <v>43</v>
      </c>
      <c r="E888" s="2" t="s">
        <v>26</v>
      </c>
      <c r="F888" s="2" t="s">
        <v>27</v>
      </c>
      <c r="G888" s="2" t="s">
        <v>20</v>
      </c>
      <c r="H888" s="2" t="s">
        <v>29</v>
      </c>
      <c r="I888" s="2">
        <v>64</v>
      </c>
      <c r="J888" s="2">
        <v>82</v>
      </c>
      <c r="K888" s="2">
        <v>3118.92</v>
      </c>
      <c r="L888" s="2">
        <v>366.88</v>
      </c>
      <c r="M888" s="2">
        <v>116.6</v>
      </c>
      <c r="N888" s="2" t="s">
        <v>30</v>
      </c>
      <c r="O888" s="2">
        <v>1</v>
      </c>
    </row>
    <row r="889" spans="1:15" x14ac:dyDescent="0.3">
      <c r="A889" s="2" t="s">
        <v>944</v>
      </c>
      <c r="B889" s="2" t="s">
        <v>62</v>
      </c>
      <c r="C889" s="1">
        <v>45969</v>
      </c>
      <c r="D889" s="2" t="s">
        <v>32</v>
      </c>
      <c r="E889" s="2" t="s">
        <v>58</v>
      </c>
      <c r="F889" s="2" t="s">
        <v>34</v>
      </c>
      <c r="G889" s="2" t="s">
        <v>35</v>
      </c>
      <c r="H889" s="2" t="s">
        <v>56</v>
      </c>
      <c r="I889" s="2">
        <v>21</v>
      </c>
      <c r="J889" s="2">
        <v>96</v>
      </c>
      <c r="K889" s="2">
        <v>35206.639999999999</v>
      </c>
      <c r="L889" s="2">
        <v>63.41</v>
      </c>
      <c r="M889" s="2">
        <v>83.2</v>
      </c>
      <c r="N889" s="2" t="s">
        <v>22</v>
      </c>
      <c r="O889" s="2">
        <v>2</v>
      </c>
    </row>
    <row r="890" spans="1:15" x14ac:dyDescent="0.3">
      <c r="A890" s="2" t="s">
        <v>945</v>
      </c>
      <c r="B890" s="2" t="s">
        <v>76</v>
      </c>
      <c r="C890" s="1">
        <v>45991</v>
      </c>
      <c r="D890" s="2" t="s">
        <v>90</v>
      </c>
      <c r="E890" s="2" t="s">
        <v>26</v>
      </c>
      <c r="F890" s="2" t="s">
        <v>39</v>
      </c>
      <c r="G890" s="2" t="s">
        <v>64</v>
      </c>
      <c r="H890" s="2" t="s">
        <v>52</v>
      </c>
      <c r="I890" s="2">
        <v>30</v>
      </c>
      <c r="J890" s="2">
        <v>53</v>
      </c>
      <c r="K890" s="2">
        <v>3258.54</v>
      </c>
      <c r="L890" s="2">
        <v>54.4</v>
      </c>
      <c r="M890" s="2">
        <v>149.33000000000001</v>
      </c>
      <c r="N890" s="2" t="s">
        <v>22</v>
      </c>
      <c r="O890" s="2">
        <v>5</v>
      </c>
    </row>
    <row r="891" spans="1:15" x14ac:dyDescent="0.3">
      <c r="A891" s="2" t="s">
        <v>946</v>
      </c>
      <c r="B891" s="2" t="s">
        <v>49</v>
      </c>
      <c r="C891" s="1">
        <v>45950</v>
      </c>
      <c r="D891" s="2" t="s">
        <v>74</v>
      </c>
      <c r="E891" s="2" t="s">
        <v>18</v>
      </c>
      <c r="F891" s="2" t="s">
        <v>34</v>
      </c>
      <c r="G891" s="2" t="s">
        <v>64</v>
      </c>
      <c r="H891" s="2" t="s">
        <v>21</v>
      </c>
      <c r="I891" s="2">
        <v>63</v>
      </c>
      <c r="J891" s="2">
        <v>3</v>
      </c>
      <c r="K891" s="2">
        <v>45630.53</v>
      </c>
      <c r="L891" s="2">
        <v>83.81</v>
      </c>
      <c r="M891" s="2">
        <v>18.760000000000002</v>
      </c>
      <c r="N891" s="2" t="s">
        <v>22</v>
      </c>
      <c r="O891" s="2">
        <v>2</v>
      </c>
    </row>
    <row r="892" spans="1:15" x14ac:dyDescent="0.3">
      <c r="A892" s="2" t="s">
        <v>947</v>
      </c>
      <c r="B892" s="2" t="s">
        <v>44</v>
      </c>
      <c r="C892" s="1">
        <v>46130</v>
      </c>
      <c r="D892" s="2" t="s">
        <v>24</v>
      </c>
      <c r="E892" s="2" t="s">
        <v>26</v>
      </c>
      <c r="F892" s="2" t="s">
        <v>19</v>
      </c>
      <c r="G892" s="2" t="s">
        <v>35</v>
      </c>
      <c r="H892" s="2" t="s">
        <v>21</v>
      </c>
      <c r="I892" s="2">
        <v>36</v>
      </c>
      <c r="J892" s="2">
        <v>66</v>
      </c>
      <c r="K892" s="2">
        <v>35253.089999999997</v>
      </c>
      <c r="L892" s="2">
        <v>291.05</v>
      </c>
      <c r="M892" s="2">
        <v>102.52</v>
      </c>
      <c r="N892" s="2" t="s">
        <v>22</v>
      </c>
      <c r="O892" s="2">
        <v>1</v>
      </c>
    </row>
    <row r="893" spans="1:15" x14ac:dyDescent="0.3">
      <c r="A893" s="2" t="s">
        <v>948</v>
      </c>
      <c r="B893" s="2" t="s">
        <v>82</v>
      </c>
      <c r="C893" s="1">
        <v>46176</v>
      </c>
      <c r="D893" s="2" t="s">
        <v>90</v>
      </c>
      <c r="E893" s="2" t="s">
        <v>38</v>
      </c>
      <c r="F893" s="2" t="s">
        <v>39</v>
      </c>
      <c r="G893" s="2" t="s">
        <v>20</v>
      </c>
      <c r="H893" s="2" t="s">
        <v>56</v>
      </c>
      <c r="I893" s="2">
        <v>66</v>
      </c>
      <c r="J893" s="2">
        <v>97</v>
      </c>
      <c r="K893" s="2">
        <v>25615.79</v>
      </c>
      <c r="L893" s="2">
        <v>434.5</v>
      </c>
      <c r="M893" s="2">
        <v>112.84</v>
      </c>
      <c r="N893" s="2" t="s">
        <v>30</v>
      </c>
      <c r="O893" s="2">
        <v>1</v>
      </c>
    </row>
    <row r="894" spans="1:15" x14ac:dyDescent="0.3">
      <c r="A894" s="2" t="s">
        <v>949</v>
      </c>
      <c r="B894" s="2" t="s">
        <v>78</v>
      </c>
      <c r="C894" s="1">
        <v>46094</v>
      </c>
      <c r="D894" s="2" t="s">
        <v>16</v>
      </c>
      <c r="E894" s="2" t="s">
        <v>58</v>
      </c>
      <c r="F894" s="2" t="s">
        <v>68</v>
      </c>
      <c r="G894" s="2" t="s">
        <v>28</v>
      </c>
      <c r="H894" s="2" t="s">
        <v>56</v>
      </c>
      <c r="I894" s="2">
        <v>28</v>
      </c>
      <c r="J894" s="2">
        <v>42</v>
      </c>
      <c r="K894" s="2">
        <v>22354.44</v>
      </c>
      <c r="L894" s="2">
        <v>52.2</v>
      </c>
      <c r="M894" s="2">
        <v>98.83</v>
      </c>
      <c r="N894" s="2" t="s">
        <v>30</v>
      </c>
      <c r="O894" s="2">
        <v>2</v>
      </c>
    </row>
    <row r="895" spans="1:15" x14ac:dyDescent="0.3">
      <c r="A895" s="2" t="s">
        <v>950</v>
      </c>
      <c r="B895" s="2" t="s">
        <v>82</v>
      </c>
      <c r="C895" s="1">
        <v>46129</v>
      </c>
      <c r="D895" s="2" t="s">
        <v>16</v>
      </c>
      <c r="E895" s="2" t="s">
        <v>18</v>
      </c>
      <c r="F895" s="2" t="s">
        <v>34</v>
      </c>
      <c r="G895" s="2" t="s">
        <v>64</v>
      </c>
      <c r="H895" s="2" t="s">
        <v>21</v>
      </c>
      <c r="I895" s="2">
        <v>69</v>
      </c>
      <c r="J895" s="2">
        <v>19</v>
      </c>
      <c r="K895" s="2">
        <v>6968.3</v>
      </c>
      <c r="L895" s="2">
        <v>471.5</v>
      </c>
      <c r="M895" s="2">
        <v>146.37</v>
      </c>
      <c r="N895" s="2" t="s">
        <v>30</v>
      </c>
      <c r="O895" s="2">
        <v>5</v>
      </c>
    </row>
    <row r="896" spans="1:15" x14ac:dyDescent="0.3">
      <c r="A896" s="2" t="s">
        <v>951</v>
      </c>
      <c r="B896" s="2" t="s">
        <v>47</v>
      </c>
      <c r="C896" s="1">
        <v>46093</v>
      </c>
      <c r="D896" s="2" t="s">
        <v>90</v>
      </c>
      <c r="E896" s="2" t="s">
        <v>58</v>
      </c>
      <c r="F896" s="2" t="s">
        <v>19</v>
      </c>
      <c r="G896" s="2" t="s">
        <v>28</v>
      </c>
      <c r="H896" s="2" t="s">
        <v>21</v>
      </c>
      <c r="I896" s="2">
        <v>45</v>
      </c>
      <c r="J896" s="2">
        <v>17</v>
      </c>
      <c r="K896" s="2">
        <v>14904.47</v>
      </c>
      <c r="L896" s="2">
        <v>97.83</v>
      </c>
      <c r="M896" s="2">
        <v>76.760000000000005</v>
      </c>
      <c r="N896" s="2" t="s">
        <v>30</v>
      </c>
      <c r="O896" s="2">
        <v>2</v>
      </c>
    </row>
    <row r="897" spans="1:15" x14ac:dyDescent="0.3">
      <c r="A897" s="2" t="s">
        <v>952</v>
      </c>
      <c r="B897" s="2" t="s">
        <v>33</v>
      </c>
      <c r="C897" s="1">
        <v>46067</v>
      </c>
      <c r="D897" s="2" t="s">
        <v>32</v>
      </c>
      <c r="E897" s="2" t="s">
        <v>18</v>
      </c>
      <c r="F897" s="2" t="s">
        <v>68</v>
      </c>
      <c r="G897" s="2" t="s">
        <v>55</v>
      </c>
      <c r="H897" s="2" t="s">
        <v>56</v>
      </c>
      <c r="I897" s="2">
        <v>70</v>
      </c>
      <c r="J897" s="2">
        <v>108</v>
      </c>
      <c r="K897" s="2">
        <v>43513.48</v>
      </c>
      <c r="L897" s="2">
        <v>428.89</v>
      </c>
      <c r="M897" s="2">
        <v>188.99</v>
      </c>
      <c r="N897" s="2" t="s">
        <v>30</v>
      </c>
      <c r="O897" s="2">
        <v>5</v>
      </c>
    </row>
    <row r="898" spans="1:15" x14ac:dyDescent="0.3">
      <c r="A898" s="2" t="s">
        <v>953</v>
      </c>
      <c r="B898" s="2" t="s">
        <v>82</v>
      </c>
      <c r="C898" s="1">
        <v>46131</v>
      </c>
      <c r="D898" s="2" t="s">
        <v>24</v>
      </c>
      <c r="E898" s="2" t="s">
        <v>38</v>
      </c>
      <c r="F898" s="2" t="s">
        <v>68</v>
      </c>
      <c r="G898" s="2" t="s">
        <v>20</v>
      </c>
      <c r="H898" s="2" t="s">
        <v>21</v>
      </c>
      <c r="I898" s="2">
        <v>32</v>
      </c>
      <c r="J898" s="2">
        <v>33</v>
      </c>
      <c r="K898" s="2">
        <v>45270.41</v>
      </c>
      <c r="L898" s="2">
        <v>267.27999999999997</v>
      </c>
      <c r="M898" s="2">
        <v>96.36</v>
      </c>
      <c r="N898" s="2" t="s">
        <v>30</v>
      </c>
      <c r="O898" s="2">
        <v>5</v>
      </c>
    </row>
    <row r="899" spans="1:15" x14ac:dyDescent="0.3">
      <c r="A899" s="2" t="s">
        <v>954</v>
      </c>
      <c r="B899" s="2" t="s">
        <v>86</v>
      </c>
      <c r="C899" s="1">
        <v>45942</v>
      </c>
      <c r="D899" s="2" t="s">
        <v>24</v>
      </c>
      <c r="E899" s="2" t="s">
        <v>58</v>
      </c>
      <c r="F899" s="2" t="s">
        <v>68</v>
      </c>
      <c r="G899" s="2" t="s">
        <v>55</v>
      </c>
      <c r="H899" s="2" t="s">
        <v>29</v>
      </c>
      <c r="I899" s="2">
        <v>45</v>
      </c>
      <c r="J899" s="2">
        <v>76</v>
      </c>
      <c r="K899" s="2">
        <v>537.01</v>
      </c>
      <c r="L899" s="2">
        <v>346.71</v>
      </c>
      <c r="M899" s="2">
        <v>171.36</v>
      </c>
      <c r="N899" s="2" t="s">
        <v>30</v>
      </c>
      <c r="O899" s="2">
        <v>3</v>
      </c>
    </row>
    <row r="900" spans="1:15" x14ac:dyDescent="0.3">
      <c r="A900" s="2" t="s">
        <v>955</v>
      </c>
      <c r="B900" s="2" t="s">
        <v>78</v>
      </c>
      <c r="C900" s="1">
        <v>46098</v>
      </c>
      <c r="D900" s="2" t="s">
        <v>74</v>
      </c>
      <c r="E900" s="2" t="s">
        <v>45</v>
      </c>
      <c r="F900" s="2" t="s">
        <v>68</v>
      </c>
      <c r="G900" s="2" t="s">
        <v>55</v>
      </c>
      <c r="H900" s="2" t="s">
        <v>56</v>
      </c>
      <c r="I900" s="2">
        <v>37</v>
      </c>
      <c r="J900" s="2">
        <v>49</v>
      </c>
      <c r="K900" s="2">
        <v>29909.75</v>
      </c>
      <c r="L900" s="2">
        <v>279.81</v>
      </c>
      <c r="M900" s="2">
        <v>165.11</v>
      </c>
      <c r="N900" s="2" t="s">
        <v>30</v>
      </c>
      <c r="O900" s="2">
        <v>4</v>
      </c>
    </row>
    <row r="901" spans="1:15" x14ac:dyDescent="0.3">
      <c r="A901" s="2" t="s">
        <v>956</v>
      </c>
      <c r="B901" s="2" t="s">
        <v>62</v>
      </c>
      <c r="C901" s="1">
        <v>45875</v>
      </c>
      <c r="D901" s="2" t="s">
        <v>24</v>
      </c>
      <c r="E901" s="2" t="s">
        <v>18</v>
      </c>
      <c r="F901" s="2" t="s">
        <v>39</v>
      </c>
      <c r="G901" s="2" t="s">
        <v>55</v>
      </c>
      <c r="H901" s="2" t="s">
        <v>21</v>
      </c>
      <c r="I901" s="2">
        <v>46</v>
      </c>
      <c r="J901" s="2">
        <v>56</v>
      </c>
      <c r="K901" s="2">
        <v>36105.379999999997</v>
      </c>
      <c r="L901" s="2">
        <v>264.67</v>
      </c>
      <c r="M901" s="2">
        <v>55.05</v>
      </c>
      <c r="N901" s="2" t="s">
        <v>30</v>
      </c>
      <c r="O901" s="2">
        <v>4</v>
      </c>
    </row>
    <row r="902" spans="1:15" x14ac:dyDescent="0.3">
      <c r="A902" s="2" t="s">
        <v>957</v>
      </c>
      <c r="B902" s="2" t="s">
        <v>17</v>
      </c>
      <c r="C902" s="1">
        <v>45874</v>
      </c>
      <c r="D902" s="2" t="s">
        <v>16</v>
      </c>
      <c r="E902" s="2" t="s">
        <v>45</v>
      </c>
      <c r="F902" s="2" t="s">
        <v>39</v>
      </c>
      <c r="G902" s="2" t="s">
        <v>20</v>
      </c>
      <c r="H902" s="2" t="s">
        <v>56</v>
      </c>
      <c r="I902" s="2">
        <v>66</v>
      </c>
      <c r="J902" s="2">
        <v>63</v>
      </c>
      <c r="K902" s="2">
        <v>31127.98</v>
      </c>
      <c r="L902" s="2">
        <v>425.7</v>
      </c>
      <c r="M902" s="2">
        <v>15.04</v>
      </c>
      <c r="N902" s="2" t="s">
        <v>22</v>
      </c>
      <c r="O902" s="2">
        <v>1</v>
      </c>
    </row>
    <row r="903" spans="1:15" x14ac:dyDescent="0.3">
      <c r="A903" s="2" t="s">
        <v>958</v>
      </c>
      <c r="B903" s="2" t="s">
        <v>67</v>
      </c>
      <c r="C903" s="1">
        <v>45921</v>
      </c>
      <c r="D903" s="2" t="s">
        <v>41</v>
      </c>
      <c r="E903" s="2" t="s">
        <v>58</v>
      </c>
      <c r="F903" s="2" t="s">
        <v>39</v>
      </c>
      <c r="G903" s="2" t="s">
        <v>20</v>
      </c>
      <c r="H903" s="2" t="s">
        <v>52</v>
      </c>
      <c r="I903" s="2">
        <v>68</v>
      </c>
      <c r="J903" s="2">
        <v>3</v>
      </c>
      <c r="K903" s="2">
        <v>4543.1499999999996</v>
      </c>
      <c r="L903" s="2">
        <v>390.15</v>
      </c>
      <c r="M903" s="2">
        <v>141.56</v>
      </c>
      <c r="N903" s="2" t="s">
        <v>30</v>
      </c>
      <c r="O903" s="2">
        <v>3</v>
      </c>
    </row>
    <row r="904" spans="1:15" x14ac:dyDescent="0.3">
      <c r="A904" s="2" t="s">
        <v>959</v>
      </c>
      <c r="B904" s="2" t="s">
        <v>86</v>
      </c>
      <c r="C904" s="1">
        <v>46118</v>
      </c>
      <c r="D904" s="2" t="s">
        <v>32</v>
      </c>
      <c r="E904" s="2" t="s">
        <v>45</v>
      </c>
      <c r="F904" s="2" t="s">
        <v>19</v>
      </c>
      <c r="G904" s="2" t="s">
        <v>35</v>
      </c>
      <c r="H904" s="2" t="s">
        <v>56</v>
      </c>
      <c r="I904" s="2">
        <v>34</v>
      </c>
      <c r="J904" s="2">
        <v>107</v>
      </c>
      <c r="K904" s="2">
        <v>11277.38</v>
      </c>
      <c r="L904" s="2">
        <v>267.52999999999997</v>
      </c>
      <c r="M904" s="2">
        <v>96.6</v>
      </c>
      <c r="N904" s="2" t="s">
        <v>30</v>
      </c>
      <c r="O904" s="2">
        <v>4</v>
      </c>
    </row>
    <row r="905" spans="1:15" x14ac:dyDescent="0.3">
      <c r="A905" s="2" t="s">
        <v>960</v>
      </c>
      <c r="B905" s="2" t="s">
        <v>25</v>
      </c>
      <c r="C905" s="1">
        <v>46212</v>
      </c>
      <c r="D905" s="2" t="s">
        <v>24</v>
      </c>
      <c r="E905" s="2" t="s">
        <v>45</v>
      </c>
      <c r="F905" s="2" t="s">
        <v>19</v>
      </c>
      <c r="G905" s="2" t="s">
        <v>28</v>
      </c>
      <c r="H905" s="2" t="s">
        <v>56</v>
      </c>
      <c r="I905" s="2">
        <v>61</v>
      </c>
      <c r="J905" s="2">
        <v>49</v>
      </c>
      <c r="K905" s="2">
        <v>12891.84</v>
      </c>
      <c r="L905" s="2">
        <v>100.24</v>
      </c>
      <c r="M905" s="2">
        <v>179.3</v>
      </c>
      <c r="N905" s="2" t="s">
        <v>30</v>
      </c>
      <c r="O905" s="2">
        <v>5</v>
      </c>
    </row>
    <row r="906" spans="1:15" x14ac:dyDescent="0.3">
      <c r="A906" s="2" t="s">
        <v>961</v>
      </c>
      <c r="B906" s="2" t="s">
        <v>78</v>
      </c>
      <c r="C906" s="1">
        <v>45992</v>
      </c>
      <c r="D906" s="2" t="s">
        <v>74</v>
      </c>
      <c r="E906" s="2" t="s">
        <v>58</v>
      </c>
      <c r="F906" s="2" t="s">
        <v>19</v>
      </c>
      <c r="G906" s="2" t="s">
        <v>28</v>
      </c>
      <c r="H906" s="2" t="s">
        <v>52</v>
      </c>
      <c r="I906" s="2">
        <v>56</v>
      </c>
      <c r="J906" s="2">
        <v>55</v>
      </c>
      <c r="K906" s="2">
        <v>41670.370000000003</v>
      </c>
      <c r="L906" s="2">
        <v>101.93</v>
      </c>
      <c r="M906" s="2">
        <v>196.54</v>
      </c>
      <c r="N906" s="2" t="s">
        <v>30</v>
      </c>
      <c r="O906" s="2">
        <v>5</v>
      </c>
    </row>
    <row r="907" spans="1:15" x14ac:dyDescent="0.3">
      <c r="A907" s="2" t="s">
        <v>962</v>
      </c>
      <c r="B907" s="2" t="s">
        <v>17</v>
      </c>
      <c r="C907" s="1">
        <v>46011</v>
      </c>
      <c r="D907" s="2" t="s">
        <v>16</v>
      </c>
      <c r="E907" s="2" t="s">
        <v>38</v>
      </c>
      <c r="F907" s="2" t="s">
        <v>27</v>
      </c>
      <c r="G907" s="2" t="s">
        <v>35</v>
      </c>
      <c r="H907" s="2" t="s">
        <v>29</v>
      </c>
      <c r="I907" s="2">
        <v>43</v>
      </c>
      <c r="J907" s="2">
        <v>26</v>
      </c>
      <c r="K907" s="2">
        <v>23428.37</v>
      </c>
      <c r="L907" s="2">
        <v>410.69</v>
      </c>
      <c r="M907" s="2">
        <v>119.73</v>
      </c>
      <c r="N907" s="2" t="s">
        <v>22</v>
      </c>
      <c r="O907" s="2">
        <v>2</v>
      </c>
    </row>
    <row r="908" spans="1:15" x14ac:dyDescent="0.3">
      <c r="A908" s="2" t="s">
        <v>963</v>
      </c>
      <c r="B908" s="2" t="s">
        <v>17</v>
      </c>
      <c r="C908" s="1">
        <v>46190</v>
      </c>
      <c r="D908" s="2" t="s">
        <v>41</v>
      </c>
      <c r="E908" s="2" t="s">
        <v>45</v>
      </c>
      <c r="F908" s="2" t="s">
        <v>19</v>
      </c>
      <c r="G908" s="2" t="s">
        <v>35</v>
      </c>
      <c r="H908" s="2" t="s">
        <v>21</v>
      </c>
      <c r="I908" s="2">
        <v>63</v>
      </c>
      <c r="J908" s="2">
        <v>99</v>
      </c>
      <c r="K908" s="2">
        <v>24598</v>
      </c>
      <c r="L908" s="2">
        <v>288.23</v>
      </c>
      <c r="M908" s="2">
        <v>83.09</v>
      </c>
      <c r="N908" s="2" t="s">
        <v>30</v>
      </c>
      <c r="O908" s="2">
        <v>2</v>
      </c>
    </row>
    <row r="909" spans="1:15" x14ac:dyDescent="0.3">
      <c r="A909" s="2" t="s">
        <v>964</v>
      </c>
      <c r="B909" s="2" t="s">
        <v>44</v>
      </c>
      <c r="C909" s="1">
        <v>46105</v>
      </c>
      <c r="D909" s="2" t="s">
        <v>54</v>
      </c>
      <c r="E909" s="2" t="s">
        <v>45</v>
      </c>
      <c r="F909" s="2" t="s">
        <v>39</v>
      </c>
      <c r="G909" s="2" t="s">
        <v>55</v>
      </c>
      <c r="H909" s="2" t="s">
        <v>52</v>
      </c>
      <c r="I909" s="2">
        <v>26</v>
      </c>
      <c r="J909" s="2">
        <v>72</v>
      </c>
      <c r="K909" s="2">
        <v>46777.21</v>
      </c>
      <c r="L909" s="2">
        <v>266.72000000000003</v>
      </c>
      <c r="M909" s="2">
        <v>81.59</v>
      </c>
      <c r="N909" s="2" t="s">
        <v>30</v>
      </c>
      <c r="O909" s="2">
        <v>5</v>
      </c>
    </row>
    <row r="910" spans="1:15" x14ac:dyDescent="0.3">
      <c r="A910" s="2" t="s">
        <v>965</v>
      </c>
      <c r="B910" s="2" t="s">
        <v>78</v>
      </c>
      <c r="C910" s="1">
        <v>45914</v>
      </c>
      <c r="D910" s="2" t="s">
        <v>54</v>
      </c>
      <c r="E910" s="2" t="s">
        <v>38</v>
      </c>
      <c r="F910" s="2" t="s">
        <v>39</v>
      </c>
      <c r="G910" s="2" t="s">
        <v>35</v>
      </c>
      <c r="H910" s="2" t="s">
        <v>56</v>
      </c>
      <c r="I910" s="2">
        <v>67</v>
      </c>
      <c r="J910" s="2">
        <v>52</v>
      </c>
      <c r="K910" s="2">
        <v>32035.75</v>
      </c>
      <c r="L910" s="2">
        <v>356.26</v>
      </c>
      <c r="M910" s="2">
        <v>64.91</v>
      </c>
      <c r="N910" s="2" t="s">
        <v>30</v>
      </c>
      <c r="O910" s="2">
        <v>5</v>
      </c>
    </row>
    <row r="911" spans="1:15" x14ac:dyDescent="0.3">
      <c r="A911" s="2" t="s">
        <v>966</v>
      </c>
      <c r="B911" s="2" t="s">
        <v>33</v>
      </c>
      <c r="C911" s="1">
        <v>45872</v>
      </c>
      <c r="D911" s="2" t="s">
        <v>41</v>
      </c>
      <c r="E911" s="2" t="s">
        <v>45</v>
      </c>
      <c r="F911" s="2" t="s">
        <v>27</v>
      </c>
      <c r="G911" s="2" t="s">
        <v>64</v>
      </c>
      <c r="H911" s="2" t="s">
        <v>21</v>
      </c>
      <c r="I911" s="2">
        <v>25</v>
      </c>
      <c r="J911" s="2">
        <v>100</v>
      </c>
      <c r="K911" s="2">
        <v>44984.05</v>
      </c>
      <c r="L911" s="2">
        <v>436.48</v>
      </c>
      <c r="M911" s="2">
        <v>156.34</v>
      </c>
      <c r="N911" s="2" t="s">
        <v>30</v>
      </c>
      <c r="O911" s="2">
        <v>2</v>
      </c>
    </row>
    <row r="912" spans="1:15" x14ac:dyDescent="0.3">
      <c r="A912" s="2" t="s">
        <v>967</v>
      </c>
      <c r="B912" s="2" t="s">
        <v>76</v>
      </c>
      <c r="C912" s="1">
        <v>45917</v>
      </c>
      <c r="D912" s="2" t="s">
        <v>16</v>
      </c>
      <c r="E912" s="2" t="s">
        <v>45</v>
      </c>
      <c r="F912" s="2" t="s">
        <v>27</v>
      </c>
      <c r="G912" s="2" t="s">
        <v>28</v>
      </c>
      <c r="H912" s="2" t="s">
        <v>52</v>
      </c>
      <c r="I912" s="2">
        <v>63</v>
      </c>
      <c r="J912" s="2">
        <v>117</v>
      </c>
      <c r="K912" s="2">
        <v>23097.19</v>
      </c>
      <c r="L912" s="2">
        <v>332.99</v>
      </c>
      <c r="M912" s="2">
        <v>151.80000000000001</v>
      </c>
      <c r="N912" s="2" t="s">
        <v>30</v>
      </c>
      <c r="O912" s="2">
        <v>4</v>
      </c>
    </row>
    <row r="913" spans="1:15" x14ac:dyDescent="0.3">
      <c r="A913" s="2" t="s">
        <v>968</v>
      </c>
      <c r="B913" s="2" t="s">
        <v>47</v>
      </c>
      <c r="C913" s="1">
        <v>45989</v>
      </c>
      <c r="D913" s="2" t="s">
        <v>74</v>
      </c>
      <c r="E913" s="2" t="s">
        <v>45</v>
      </c>
      <c r="F913" s="2" t="s">
        <v>19</v>
      </c>
      <c r="G913" s="2" t="s">
        <v>35</v>
      </c>
      <c r="H913" s="2" t="s">
        <v>21</v>
      </c>
      <c r="I913" s="2">
        <v>45</v>
      </c>
      <c r="J913" s="2">
        <v>118</v>
      </c>
      <c r="K913" s="2">
        <v>7897.09</v>
      </c>
      <c r="L913" s="2">
        <v>393.28</v>
      </c>
      <c r="M913" s="2">
        <v>95.73</v>
      </c>
      <c r="N913" s="2" t="s">
        <v>30</v>
      </c>
      <c r="O913" s="2">
        <v>1</v>
      </c>
    </row>
    <row r="914" spans="1:15" x14ac:dyDescent="0.3">
      <c r="A914" s="2" t="s">
        <v>969</v>
      </c>
      <c r="B914" s="2" t="s">
        <v>25</v>
      </c>
      <c r="C914" s="1">
        <v>46119</v>
      </c>
      <c r="D914" s="2" t="s">
        <v>41</v>
      </c>
      <c r="E914" s="2" t="s">
        <v>26</v>
      </c>
      <c r="F914" s="2" t="s">
        <v>34</v>
      </c>
      <c r="G914" s="2" t="s">
        <v>64</v>
      </c>
      <c r="H914" s="2" t="s">
        <v>21</v>
      </c>
      <c r="I914" s="2">
        <v>38</v>
      </c>
      <c r="J914" s="2">
        <v>7</v>
      </c>
      <c r="K914" s="2">
        <v>46531.81</v>
      </c>
      <c r="L914" s="2">
        <v>394.37</v>
      </c>
      <c r="M914" s="2">
        <v>8.93</v>
      </c>
      <c r="N914" s="2" t="s">
        <v>30</v>
      </c>
      <c r="O914" s="2">
        <v>2</v>
      </c>
    </row>
    <row r="915" spans="1:15" x14ac:dyDescent="0.3">
      <c r="A915" s="2" t="s">
        <v>970</v>
      </c>
      <c r="B915" s="2" t="s">
        <v>47</v>
      </c>
      <c r="C915" s="1">
        <v>46005</v>
      </c>
      <c r="D915" s="2" t="s">
        <v>32</v>
      </c>
      <c r="E915" s="2" t="s">
        <v>38</v>
      </c>
      <c r="F915" s="2" t="s">
        <v>27</v>
      </c>
      <c r="G915" s="2" t="s">
        <v>64</v>
      </c>
      <c r="H915" s="2" t="s">
        <v>52</v>
      </c>
      <c r="I915" s="2">
        <v>33</v>
      </c>
      <c r="J915" s="2">
        <v>46</v>
      </c>
      <c r="K915" s="2">
        <v>23205.9</v>
      </c>
      <c r="L915" s="2">
        <v>210.32</v>
      </c>
      <c r="M915" s="2">
        <v>61.91</v>
      </c>
      <c r="N915" s="2" t="s">
        <v>22</v>
      </c>
      <c r="O915" s="2">
        <v>4</v>
      </c>
    </row>
    <row r="916" spans="1:15" x14ac:dyDescent="0.3">
      <c r="A916" s="2" t="s">
        <v>971</v>
      </c>
      <c r="B916" s="2" t="s">
        <v>62</v>
      </c>
      <c r="C916" s="1">
        <v>46113</v>
      </c>
      <c r="D916" s="2" t="s">
        <v>32</v>
      </c>
      <c r="E916" s="2" t="s">
        <v>45</v>
      </c>
      <c r="F916" s="2" t="s">
        <v>68</v>
      </c>
      <c r="G916" s="2" t="s">
        <v>64</v>
      </c>
      <c r="H916" s="2" t="s">
        <v>21</v>
      </c>
      <c r="I916" s="2">
        <v>63</v>
      </c>
      <c r="J916" s="2">
        <v>46</v>
      </c>
      <c r="K916" s="2">
        <v>9490.76</v>
      </c>
      <c r="L916" s="2">
        <v>173.34</v>
      </c>
      <c r="M916" s="2">
        <v>58.46</v>
      </c>
      <c r="N916" s="2" t="s">
        <v>22</v>
      </c>
      <c r="O916" s="2">
        <v>4</v>
      </c>
    </row>
    <row r="917" spans="1:15" x14ac:dyDescent="0.3">
      <c r="A917" s="2" t="s">
        <v>972</v>
      </c>
      <c r="B917" s="2" t="s">
        <v>62</v>
      </c>
      <c r="C917" s="1">
        <v>45872</v>
      </c>
      <c r="D917" s="2" t="s">
        <v>54</v>
      </c>
      <c r="E917" s="2" t="s">
        <v>38</v>
      </c>
      <c r="F917" s="2" t="s">
        <v>39</v>
      </c>
      <c r="G917" s="2" t="s">
        <v>64</v>
      </c>
      <c r="H917" s="2" t="s">
        <v>29</v>
      </c>
      <c r="I917" s="2">
        <v>34</v>
      </c>
      <c r="J917" s="2">
        <v>100</v>
      </c>
      <c r="K917" s="2">
        <v>15468.59</v>
      </c>
      <c r="L917" s="2">
        <v>410.52</v>
      </c>
      <c r="M917" s="2">
        <v>243.33</v>
      </c>
      <c r="N917" s="2" t="s">
        <v>30</v>
      </c>
      <c r="O917" s="2">
        <v>4</v>
      </c>
    </row>
    <row r="918" spans="1:15" x14ac:dyDescent="0.3">
      <c r="A918" s="2" t="s">
        <v>973</v>
      </c>
      <c r="B918" s="2" t="s">
        <v>47</v>
      </c>
      <c r="C918" s="1">
        <v>46235</v>
      </c>
      <c r="D918" s="2" t="s">
        <v>24</v>
      </c>
      <c r="E918" s="2" t="s">
        <v>18</v>
      </c>
      <c r="F918" s="2" t="s">
        <v>68</v>
      </c>
      <c r="G918" s="2" t="s">
        <v>55</v>
      </c>
      <c r="H918" s="2" t="s">
        <v>52</v>
      </c>
      <c r="I918" s="2">
        <v>48</v>
      </c>
      <c r="J918" s="2">
        <v>16</v>
      </c>
      <c r="K918" s="2">
        <v>3014.73</v>
      </c>
      <c r="L918" s="2">
        <v>219.73</v>
      </c>
      <c r="M918" s="2">
        <v>17.52</v>
      </c>
      <c r="N918" s="2" t="s">
        <v>30</v>
      </c>
      <c r="O918" s="2">
        <v>3</v>
      </c>
    </row>
    <row r="919" spans="1:15" x14ac:dyDescent="0.3">
      <c r="A919" s="2" t="s">
        <v>974</v>
      </c>
      <c r="B919" s="2" t="s">
        <v>82</v>
      </c>
      <c r="C919" s="1">
        <v>46129</v>
      </c>
      <c r="D919" s="2" t="s">
        <v>74</v>
      </c>
      <c r="E919" s="2" t="s">
        <v>18</v>
      </c>
      <c r="F919" s="2" t="s">
        <v>39</v>
      </c>
      <c r="G919" s="2" t="s">
        <v>64</v>
      </c>
      <c r="H919" s="2" t="s">
        <v>29</v>
      </c>
      <c r="I919" s="2">
        <v>38</v>
      </c>
      <c r="J919" s="2">
        <v>24</v>
      </c>
      <c r="K919" s="2">
        <v>23680.880000000001</v>
      </c>
      <c r="L919" s="2">
        <v>456.5</v>
      </c>
      <c r="M919" s="2">
        <v>241.71</v>
      </c>
      <c r="N919" s="2" t="s">
        <v>30</v>
      </c>
      <c r="O919" s="2">
        <v>3</v>
      </c>
    </row>
    <row r="920" spans="1:15" x14ac:dyDescent="0.3">
      <c r="A920" s="2" t="s">
        <v>975</v>
      </c>
      <c r="B920" s="2" t="s">
        <v>33</v>
      </c>
      <c r="C920" s="1">
        <v>45886</v>
      </c>
      <c r="D920" s="2" t="s">
        <v>54</v>
      </c>
      <c r="E920" s="2" t="s">
        <v>45</v>
      </c>
      <c r="F920" s="2" t="s">
        <v>39</v>
      </c>
      <c r="G920" s="2" t="s">
        <v>55</v>
      </c>
      <c r="H920" s="2" t="s">
        <v>56</v>
      </c>
      <c r="I920" s="2">
        <v>48</v>
      </c>
      <c r="J920" s="2">
        <v>61</v>
      </c>
      <c r="K920" s="2">
        <v>42729.84</v>
      </c>
      <c r="L920" s="2">
        <v>81.36</v>
      </c>
      <c r="M920" s="2">
        <v>133.84</v>
      </c>
      <c r="N920" s="2" t="s">
        <v>30</v>
      </c>
      <c r="O920" s="2">
        <v>4</v>
      </c>
    </row>
    <row r="921" spans="1:15" x14ac:dyDescent="0.3">
      <c r="A921" s="2" t="s">
        <v>976</v>
      </c>
      <c r="B921" s="2" t="s">
        <v>60</v>
      </c>
      <c r="C921" s="1">
        <v>45871</v>
      </c>
      <c r="D921" s="2" t="s">
        <v>24</v>
      </c>
      <c r="E921" s="2" t="s">
        <v>38</v>
      </c>
      <c r="F921" s="2" t="s">
        <v>27</v>
      </c>
      <c r="G921" s="2" t="s">
        <v>55</v>
      </c>
      <c r="H921" s="2" t="s">
        <v>21</v>
      </c>
      <c r="I921" s="2">
        <v>71</v>
      </c>
      <c r="J921" s="2">
        <v>54</v>
      </c>
      <c r="K921" s="2">
        <v>46712.23</v>
      </c>
      <c r="L921" s="2">
        <v>76.2</v>
      </c>
      <c r="M921" s="2">
        <v>146.49</v>
      </c>
      <c r="N921" s="2" t="s">
        <v>30</v>
      </c>
      <c r="O921" s="2">
        <v>5</v>
      </c>
    </row>
    <row r="922" spans="1:15" x14ac:dyDescent="0.3">
      <c r="A922" s="2" t="s">
        <v>977</v>
      </c>
      <c r="B922" s="2" t="s">
        <v>82</v>
      </c>
      <c r="C922" s="1">
        <v>45957</v>
      </c>
      <c r="D922" s="2" t="s">
        <v>24</v>
      </c>
      <c r="E922" s="2" t="s">
        <v>38</v>
      </c>
      <c r="F922" s="2" t="s">
        <v>27</v>
      </c>
      <c r="G922" s="2" t="s">
        <v>64</v>
      </c>
      <c r="H922" s="2" t="s">
        <v>56</v>
      </c>
      <c r="I922" s="2">
        <v>47</v>
      </c>
      <c r="J922" s="2">
        <v>62</v>
      </c>
      <c r="K922" s="2">
        <v>46663.81</v>
      </c>
      <c r="L922" s="2">
        <v>467.15</v>
      </c>
      <c r="M922" s="2">
        <v>86.44</v>
      </c>
      <c r="N922" s="2" t="s">
        <v>22</v>
      </c>
      <c r="O922" s="2">
        <v>3</v>
      </c>
    </row>
    <row r="923" spans="1:15" x14ac:dyDescent="0.3">
      <c r="A923" s="2" t="s">
        <v>978</v>
      </c>
      <c r="B923" s="2" t="s">
        <v>49</v>
      </c>
      <c r="C923" s="1">
        <v>46005</v>
      </c>
      <c r="D923" s="2" t="s">
        <v>43</v>
      </c>
      <c r="E923" s="2" t="s">
        <v>38</v>
      </c>
      <c r="F923" s="2" t="s">
        <v>68</v>
      </c>
      <c r="G923" s="2" t="s">
        <v>28</v>
      </c>
      <c r="H923" s="2" t="s">
        <v>56</v>
      </c>
      <c r="I923" s="2">
        <v>52</v>
      </c>
      <c r="J923" s="2">
        <v>1</v>
      </c>
      <c r="K923" s="2">
        <v>6698.89</v>
      </c>
      <c r="L923" s="2">
        <v>341.8</v>
      </c>
      <c r="M923" s="2">
        <v>135.94999999999999</v>
      </c>
      <c r="N923" s="2" t="s">
        <v>30</v>
      </c>
      <c r="O923" s="2">
        <v>2</v>
      </c>
    </row>
    <row r="924" spans="1:15" x14ac:dyDescent="0.3">
      <c r="A924" s="2" t="s">
        <v>979</v>
      </c>
      <c r="B924" s="2" t="s">
        <v>82</v>
      </c>
      <c r="C924" s="1">
        <v>46229</v>
      </c>
      <c r="D924" s="2" t="s">
        <v>32</v>
      </c>
      <c r="E924" s="2" t="s">
        <v>26</v>
      </c>
      <c r="F924" s="2" t="s">
        <v>39</v>
      </c>
      <c r="G924" s="2" t="s">
        <v>64</v>
      </c>
      <c r="H924" s="2" t="s">
        <v>21</v>
      </c>
      <c r="I924" s="2">
        <v>67</v>
      </c>
      <c r="J924" s="2">
        <v>49</v>
      </c>
      <c r="K924" s="2">
        <v>19411.669999999998</v>
      </c>
      <c r="L924" s="2">
        <v>220.82</v>
      </c>
      <c r="M924" s="2">
        <v>121.81</v>
      </c>
      <c r="N924" s="2" t="s">
        <v>22</v>
      </c>
      <c r="O924" s="2">
        <v>3</v>
      </c>
    </row>
    <row r="925" spans="1:15" x14ac:dyDescent="0.3">
      <c r="A925" s="2" t="s">
        <v>980</v>
      </c>
      <c r="B925" s="2" t="s">
        <v>67</v>
      </c>
      <c r="C925" s="1">
        <v>46087</v>
      </c>
      <c r="D925" s="2" t="s">
        <v>16</v>
      </c>
      <c r="E925" s="2" t="s">
        <v>18</v>
      </c>
      <c r="F925" s="2" t="s">
        <v>68</v>
      </c>
      <c r="G925" s="2" t="s">
        <v>64</v>
      </c>
      <c r="H925" s="2" t="s">
        <v>52</v>
      </c>
      <c r="I925" s="2">
        <v>29</v>
      </c>
      <c r="J925" s="2">
        <v>25</v>
      </c>
      <c r="K925" s="2">
        <v>1897.32</v>
      </c>
      <c r="L925" s="2">
        <v>389.78</v>
      </c>
      <c r="M925" s="2">
        <v>153.80000000000001</v>
      </c>
      <c r="N925" s="2" t="s">
        <v>30</v>
      </c>
      <c r="O925" s="2">
        <v>5</v>
      </c>
    </row>
    <row r="926" spans="1:15" x14ac:dyDescent="0.3">
      <c r="A926" s="2" t="s">
        <v>981</v>
      </c>
      <c r="B926" s="2" t="s">
        <v>37</v>
      </c>
      <c r="C926" s="1">
        <v>46224</v>
      </c>
      <c r="D926" s="2" t="s">
        <v>90</v>
      </c>
      <c r="E926" s="2" t="s">
        <v>38</v>
      </c>
      <c r="F926" s="2" t="s">
        <v>34</v>
      </c>
      <c r="G926" s="2" t="s">
        <v>64</v>
      </c>
      <c r="H926" s="2" t="s">
        <v>21</v>
      </c>
      <c r="I926" s="2">
        <v>60</v>
      </c>
      <c r="J926" s="2">
        <v>10</v>
      </c>
      <c r="K926" s="2">
        <v>42830.68</v>
      </c>
      <c r="L926" s="2">
        <v>352.55</v>
      </c>
      <c r="M926" s="2">
        <v>89.35</v>
      </c>
      <c r="N926" s="2" t="s">
        <v>22</v>
      </c>
      <c r="O926" s="2">
        <v>1</v>
      </c>
    </row>
    <row r="927" spans="1:15" x14ac:dyDescent="0.3">
      <c r="A927" s="2" t="s">
        <v>982</v>
      </c>
      <c r="B927" s="2" t="s">
        <v>76</v>
      </c>
      <c r="C927" s="1">
        <v>46164</v>
      </c>
      <c r="D927" s="2" t="s">
        <v>16</v>
      </c>
      <c r="E927" s="2" t="s">
        <v>38</v>
      </c>
      <c r="F927" s="2" t="s">
        <v>68</v>
      </c>
      <c r="G927" s="2" t="s">
        <v>28</v>
      </c>
      <c r="H927" s="2" t="s">
        <v>56</v>
      </c>
      <c r="I927" s="2">
        <v>52</v>
      </c>
      <c r="J927" s="2">
        <v>118</v>
      </c>
      <c r="K927" s="2">
        <v>18258.41</v>
      </c>
      <c r="L927" s="2">
        <v>289.04000000000002</v>
      </c>
      <c r="M927" s="2">
        <v>94.57</v>
      </c>
      <c r="N927" s="2" t="s">
        <v>30</v>
      </c>
      <c r="O927" s="2">
        <v>3</v>
      </c>
    </row>
    <row r="928" spans="1:15" x14ac:dyDescent="0.3">
      <c r="A928" s="2" t="s">
        <v>983</v>
      </c>
      <c r="B928" s="2" t="s">
        <v>67</v>
      </c>
      <c r="C928" s="1">
        <v>46053</v>
      </c>
      <c r="D928" s="2" t="s">
        <v>90</v>
      </c>
      <c r="E928" s="2" t="s">
        <v>26</v>
      </c>
      <c r="F928" s="2" t="s">
        <v>19</v>
      </c>
      <c r="G928" s="2" t="s">
        <v>20</v>
      </c>
      <c r="H928" s="2" t="s">
        <v>56</v>
      </c>
      <c r="I928" s="2">
        <v>40</v>
      </c>
      <c r="J928" s="2">
        <v>80</v>
      </c>
      <c r="K928" s="2">
        <v>31740.29</v>
      </c>
      <c r="L928" s="2">
        <v>94.49</v>
      </c>
      <c r="M928" s="2">
        <v>128.72</v>
      </c>
      <c r="N928" s="2" t="s">
        <v>22</v>
      </c>
      <c r="O928" s="2">
        <v>4</v>
      </c>
    </row>
    <row r="929" spans="1:15" x14ac:dyDescent="0.3">
      <c r="A929" s="2" t="s">
        <v>984</v>
      </c>
      <c r="B929" s="2" t="s">
        <v>44</v>
      </c>
      <c r="C929" s="1">
        <v>46017</v>
      </c>
      <c r="D929" s="2" t="s">
        <v>41</v>
      </c>
      <c r="E929" s="2" t="s">
        <v>26</v>
      </c>
      <c r="F929" s="2" t="s">
        <v>68</v>
      </c>
      <c r="G929" s="2" t="s">
        <v>20</v>
      </c>
      <c r="H929" s="2" t="s">
        <v>52</v>
      </c>
      <c r="I929" s="2">
        <v>48</v>
      </c>
      <c r="J929" s="2">
        <v>16</v>
      </c>
      <c r="K929" s="2">
        <v>35887.47</v>
      </c>
      <c r="L929" s="2">
        <v>415.48</v>
      </c>
      <c r="M929" s="2">
        <v>21.62</v>
      </c>
      <c r="N929" s="2" t="s">
        <v>30</v>
      </c>
      <c r="O929" s="2">
        <v>4</v>
      </c>
    </row>
    <row r="930" spans="1:15" x14ac:dyDescent="0.3">
      <c r="A930" s="2" t="s">
        <v>985</v>
      </c>
      <c r="B930" s="2" t="s">
        <v>37</v>
      </c>
      <c r="C930" s="1">
        <v>46235</v>
      </c>
      <c r="D930" s="2" t="s">
        <v>32</v>
      </c>
      <c r="E930" s="2" t="s">
        <v>38</v>
      </c>
      <c r="F930" s="2" t="s">
        <v>19</v>
      </c>
      <c r="G930" s="2" t="s">
        <v>55</v>
      </c>
      <c r="H930" s="2" t="s">
        <v>21</v>
      </c>
      <c r="I930" s="2">
        <v>53</v>
      </c>
      <c r="J930" s="2">
        <v>58</v>
      </c>
      <c r="K930" s="2">
        <v>21777.31</v>
      </c>
      <c r="L930" s="2">
        <v>439.71</v>
      </c>
      <c r="M930" s="2">
        <v>87.25</v>
      </c>
      <c r="N930" s="2" t="s">
        <v>22</v>
      </c>
      <c r="O930" s="2">
        <v>4</v>
      </c>
    </row>
    <row r="931" spans="1:15" x14ac:dyDescent="0.3">
      <c r="A931" s="2" t="s">
        <v>986</v>
      </c>
      <c r="B931" s="2" t="s">
        <v>37</v>
      </c>
      <c r="C931" s="1">
        <v>45891</v>
      </c>
      <c r="D931" s="2" t="s">
        <v>24</v>
      </c>
      <c r="E931" s="2" t="s">
        <v>58</v>
      </c>
      <c r="F931" s="2" t="s">
        <v>19</v>
      </c>
      <c r="G931" s="2" t="s">
        <v>55</v>
      </c>
      <c r="H931" s="2" t="s">
        <v>56</v>
      </c>
      <c r="I931" s="2">
        <v>24</v>
      </c>
      <c r="J931" s="2">
        <v>72</v>
      </c>
      <c r="K931" s="2">
        <v>15668.9</v>
      </c>
      <c r="L931" s="2">
        <v>127.48</v>
      </c>
      <c r="M931" s="2">
        <v>194.39</v>
      </c>
      <c r="N931" s="2" t="s">
        <v>22</v>
      </c>
      <c r="O931" s="2">
        <v>1</v>
      </c>
    </row>
    <row r="932" spans="1:15" x14ac:dyDescent="0.3">
      <c r="A932" s="2" t="s">
        <v>987</v>
      </c>
      <c r="B932" s="2" t="s">
        <v>78</v>
      </c>
      <c r="C932" s="1">
        <v>45915</v>
      </c>
      <c r="D932" s="2" t="s">
        <v>74</v>
      </c>
      <c r="E932" s="2" t="s">
        <v>38</v>
      </c>
      <c r="F932" s="2" t="s">
        <v>19</v>
      </c>
      <c r="G932" s="2" t="s">
        <v>28</v>
      </c>
      <c r="H932" s="2" t="s">
        <v>29</v>
      </c>
      <c r="I932" s="2">
        <v>66</v>
      </c>
      <c r="J932" s="2">
        <v>29</v>
      </c>
      <c r="K932" s="2">
        <v>48129.54</v>
      </c>
      <c r="L932" s="2">
        <v>432.73</v>
      </c>
      <c r="M932" s="2">
        <v>11.26</v>
      </c>
      <c r="N932" s="2" t="s">
        <v>22</v>
      </c>
      <c r="O932" s="2">
        <v>5</v>
      </c>
    </row>
    <row r="933" spans="1:15" x14ac:dyDescent="0.3">
      <c r="A933" s="2" t="s">
        <v>988</v>
      </c>
      <c r="B933" s="2" t="s">
        <v>33</v>
      </c>
      <c r="C933" s="1">
        <v>45940</v>
      </c>
      <c r="D933" s="2" t="s">
        <v>90</v>
      </c>
      <c r="E933" s="2" t="s">
        <v>38</v>
      </c>
      <c r="F933" s="2" t="s">
        <v>34</v>
      </c>
      <c r="G933" s="2" t="s">
        <v>35</v>
      </c>
      <c r="H933" s="2" t="s">
        <v>56</v>
      </c>
      <c r="I933" s="2">
        <v>54</v>
      </c>
      <c r="J933" s="2">
        <v>103</v>
      </c>
      <c r="K933" s="2">
        <v>48242.17</v>
      </c>
      <c r="L933" s="2">
        <v>445.03</v>
      </c>
      <c r="M933" s="2">
        <v>63.2</v>
      </c>
      <c r="N933" s="2" t="s">
        <v>30</v>
      </c>
      <c r="O933" s="2">
        <v>2</v>
      </c>
    </row>
    <row r="934" spans="1:15" x14ac:dyDescent="0.3">
      <c r="A934" s="2" t="s">
        <v>989</v>
      </c>
      <c r="B934" s="2" t="s">
        <v>33</v>
      </c>
      <c r="C934" s="1">
        <v>46138</v>
      </c>
      <c r="D934" s="2" t="s">
        <v>16</v>
      </c>
      <c r="E934" s="2" t="s">
        <v>26</v>
      </c>
      <c r="F934" s="2" t="s">
        <v>68</v>
      </c>
      <c r="G934" s="2" t="s">
        <v>20</v>
      </c>
      <c r="H934" s="2" t="s">
        <v>56</v>
      </c>
      <c r="I934" s="2">
        <v>68</v>
      </c>
      <c r="J934" s="2">
        <v>92</v>
      </c>
      <c r="K934" s="2">
        <v>14827.1</v>
      </c>
      <c r="L934" s="2">
        <v>297.24</v>
      </c>
      <c r="M934" s="2">
        <v>62.82</v>
      </c>
      <c r="N934" s="2" t="s">
        <v>22</v>
      </c>
      <c r="O934" s="2">
        <v>5</v>
      </c>
    </row>
    <row r="935" spans="1:15" x14ac:dyDescent="0.3">
      <c r="A935" s="2" t="s">
        <v>990</v>
      </c>
      <c r="B935" s="2" t="s">
        <v>37</v>
      </c>
      <c r="C935" s="1">
        <v>46185</v>
      </c>
      <c r="D935" s="2" t="s">
        <v>24</v>
      </c>
      <c r="E935" s="2" t="s">
        <v>26</v>
      </c>
      <c r="F935" s="2" t="s">
        <v>68</v>
      </c>
      <c r="G935" s="2" t="s">
        <v>55</v>
      </c>
      <c r="H935" s="2" t="s">
        <v>52</v>
      </c>
      <c r="I935" s="2">
        <v>23</v>
      </c>
      <c r="J935" s="2">
        <v>6</v>
      </c>
      <c r="K935" s="2">
        <v>24241.439999999999</v>
      </c>
      <c r="L935" s="2">
        <v>345.28</v>
      </c>
      <c r="M935" s="2">
        <v>126.69</v>
      </c>
      <c r="N935" s="2" t="s">
        <v>30</v>
      </c>
      <c r="O935" s="2">
        <v>1</v>
      </c>
    </row>
    <row r="936" spans="1:15" x14ac:dyDescent="0.3">
      <c r="A936" s="2" t="s">
        <v>991</v>
      </c>
      <c r="B936" s="2" t="s">
        <v>49</v>
      </c>
      <c r="C936" s="1">
        <v>45914</v>
      </c>
      <c r="D936" s="2" t="s">
        <v>90</v>
      </c>
      <c r="E936" s="2" t="s">
        <v>38</v>
      </c>
      <c r="F936" s="2" t="s">
        <v>34</v>
      </c>
      <c r="G936" s="2" t="s">
        <v>20</v>
      </c>
      <c r="H936" s="2" t="s">
        <v>29</v>
      </c>
      <c r="I936" s="2">
        <v>46</v>
      </c>
      <c r="J936" s="2">
        <v>16</v>
      </c>
      <c r="K936" s="2">
        <v>48655.79</v>
      </c>
      <c r="L936" s="2">
        <v>222.01</v>
      </c>
      <c r="M936" s="2">
        <v>31.74</v>
      </c>
      <c r="N936" s="2" t="s">
        <v>30</v>
      </c>
      <c r="O936" s="2">
        <v>4</v>
      </c>
    </row>
    <row r="937" spans="1:15" x14ac:dyDescent="0.3">
      <c r="A937" s="2" t="s">
        <v>992</v>
      </c>
      <c r="B937" s="2" t="s">
        <v>82</v>
      </c>
      <c r="C937" s="1">
        <v>45992</v>
      </c>
      <c r="D937" s="2" t="s">
        <v>90</v>
      </c>
      <c r="E937" s="2" t="s">
        <v>38</v>
      </c>
      <c r="F937" s="2" t="s">
        <v>39</v>
      </c>
      <c r="G937" s="2" t="s">
        <v>28</v>
      </c>
      <c r="H937" s="2" t="s">
        <v>56</v>
      </c>
      <c r="I937" s="2">
        <v>28</v>
      </c>
      <c r="J937" s="2">
        <v>20</v>
      </c>
      <c r="K937" s="2">
        <v>740.99</v>
      </c>
      <c r="L937" s="2">
        <v>176.81</v>
      </c>
      <c r="M937" s="2">
        <v>125.71</v>
      </c>
      <c r="N937" s="2" t="s">
        <v>22</v>
      </c>
      <c r="O937" s="2">
        <v>5</v>
      </c>
    </row>
    <row r="938" spans="1:15" x14ac:dyDescent="0.3">
      <c r="A938" s="2" t="s">
        <v>993</v>
      </c>
      <c r="B938" s="2" t="s">
        <v>78</v>
      </c>
      <c r="C938" s="1">
        <v>46002</v>
      </c>
      <c r="D938" s="2" t="s">
        <v>43</v>
      </c>
      <c r="E938" s="2" t="s">
        <v>38</v>
      </c>
      <c r="F938" s="2" t="s">
        <v>27</v>
      </c>
      <c r="G938" s="2" t="s">
        <v>28</v>
      </c>
      <c r="H938" s="2" t="s">
        <v>56</v>
      </c>
      <c r="I938" s="2">
        <v>26</v>
      </c>
      <c r="J938" s="2">
        <v>80</v>
      </c>
      <c r="K938" s="2">
        <v>20927.57</v>
      </c>
      <c r="L938" s="2">
        <v>374.89</v>
      </c>
      <c r="M938" s="2">
        <v>19.010000000000002</v>
      </c>
      <c r="N938" s="2" t="s">
        <v>30</v>
      </c>
      <c r="O938" s="2">
        <v>2</v>
      </c>
    </row>
    <row r="939" spans="1:15" x14ac:dyDescent="0.3">
      <c r="A939" s="2" t="s">
        <v>994</v>
      </c>
      <c r="B939" s="2" t="s">
        <v>76</v>
      </c>
      <c r="C939" s="1">
        <v>46065</v>
      </c>
      <c r="D939" s="2" t="s">
        <v>90</v>
      </c>
      <c r="E939" s="2" t="s">
        <v>26</v>
      </c>
      <c r="F939" s="2" t="s">
        <v>68</v>
      </c>
      <c r="G939" s="2" t="s">
        <v>35</v>
      </c>
      <c r="H939" s="2" t="s">
        <v>29</v>
      </c>
      <c r="I939" s="2">
        <v>36</v>
      </c>
      <c r="J939" s="2">
        <v>71</v>
      </c>
      <c r="K939" s="2">
        <v>5472.65</v>
      </c>
      <c r="L939" s="2">
        <v>437.84</v>
      </c>
      <c r="M939" s="2">
        <v>28.48</v>
      </c>
      <c r="N939" s="2" t="s">
        <v>30</v>
      </c>
      <c r="O939" s="2">
        <v>4</v>
      </c>
    </row>
    <row r="940" spans="1:15" x14ac:dyDescent="0.3">
      <c r="A940" s="2" t="s">
        <v>995</v>
      </c>
      <c r="B940" s="2" t="s">
        <v>37</v>
      </c>
      <c r="C940" s="1">
        <v>46216</v>
      </c>
      <c r="D940" s="2" t="s">
        <v>74</v>
      </c>
      <c r="E940" s="2" t="s">
        <v>38</v>
      </c>
      <c r="F940" s="2" t="s">
        <v>27</v>
      </c>
      <c r="G940" s="2" t="s">
        <v>35</v>
      </c>
      <c r="H940" s="2" t="s">
        <v>21</v>
      </c>
      <c r="I940" s="2">
        <v>44</v>
      </c>
      <c r="J940" s="2">
        <v>105</v>
      </c>
      <c r="K940" s="2">
        <v>25703.32</v>
      </c>
      <c r="L940" s="2">
        <v>344.33</v>
      </c>
      <c r="M940" s="2">
        <v>145.63999999999999</v>
      </c>
      <c r="N940" s="2" t="s">
        <v>30</v>
      </c>
      <c r="O940" s="2">
        <v>2</v>
      </c>
    </row>
    <row r="941" spans="1:15" x14ac:dyDescent="0.3">
      <c r="A941" s="2" t="s">
        <v>996</v>
      </c>
      <c r="B941" s="2" t="s">
        <v>86</v>
      </c>
      <c r="C941" s="1">
        <v>46111</v>
      </c>
      <c r="D941" s="2" t="s">
        <v>32</v>
      </c>
      <c r="E941" s="2" t="s">
        <v>38</v>
      </c>
      <c r="F941" s="2" t="s">
        <v>34</v>
      </c>
      <c r="G941" s="2" t="s">
        <v>28</v>
      </c>
      <c r="H941" s="2" t="s">
        <v>21</v>
      </c>
      <c r="I941" s="2">
        <v>68</v>
      </c>
      <c r="J941" s="2">
        <v>78</v>
      </c>
      <c r="K941" s="2">
        <v>1721.16</v>
      </c>
      <c r="L941" s="2">
        <v>280.22000000000003</v>
      </c>
      <c r="M941" s="2">
        <v>64.83</v>
      </c>
      <c r="N941" s="2" t="s">
        <v>22</v>
      </c>
      <c r="O941" s="2">
        <v>3</v>
      </c>
    </row>
    <row r="942" spans="1:15" x14ac:dyDescent="0.3">
      <c r="A942" s="2" t="s">
        <v>997</v>
      </c>
      <c r="B942" s="2" t="s">
        <v>62</v>
      </c>
      <c r="C942" s="1">
        <v>45903</v>
      </c>
      <c r="D942" s="2" t="s">
        <v>74</v>
      </c>
      <c r="E942" s="2" t="s">
        <v>45</v>
      </c>
      <c r="F942" s="2" t="s">
        <v>39</v>
      </c>
      <c r="G942" s="2" t="s">
        <v>55</v>
      </c>
      <c r="H942" s="2" t="s">
        <v>56</v>
      </c>
      <c r="I942" s="2">
        <v>59</v>
      </c>
      <c r="J942" s="2">
        <v>43</v>
      </c>
      <c r="K942" s="2">
        <v>20641.47</v>
      </c>
      <c r="L942" s="2">
        <v>121.52</v>
      </c>
      <c r="M942" s="2">
        <v>195.48</v>
      </c>
      <c r="N942" s="2" t="s">
        <v>30</v>
      </c>
      <c r="O942" s="2">
        <v>2</v>
      </c>
    </row>
    <row r="943" spans="1:15" x14ac:dyDescent="0.3">
      <c r="A943" s="2" t="s">
        <v>998</v>
      </c>
      <c r="B943" s="2" t="s">
        <v>62</v>
      </c>
      <c r="C943" s="1">
        <v>46212</v>
      </c>
      <c r="D943" s="2" t="s">
        <v>54</v>
      </c>
      <c r="E943" s="2" t="s">
        <v>58</v>
      </c>
      <c r="F943" s="2" t="s">
        <v>39</v>
      </c>
      <c r="G943" s="2" t="s">
        <v>20</v>
      </c>
      <c r="H943" s="2" t="s">
        <v>56</v>
      </c>
      <c r="I943" s="2">
        <v>50</v>
      </c>
      <c r="J943" s="2">
        <v>26</v>
      </c>
      <c r="K943" s="2">
        <v>11424.6</v>
      </c>
      <c r="L943" s="2">
        <v>74.06</v>
      </c>
      <c r="M943" s="2">
        <v>7.47</v>
      </c>
      <c r="N943" s="2" t="s">
        <v>30</v>
      </c>
      <c r="O943" s="2">
        <v>4</v>
      </c>
    </row>
    <row r="944" spans="1:15" x14ac:dyDescent="0.3">
      <c r="A944" s="2" t="s">
        <v>999</v>
      </c>
      <c r="B944" s="2" t="s">
        <v>67</v>
      </c>
      <c r="C944" s="1">
        <v>46208</v>
      </c>
      <c r="D944" s="2" t="s">
        <v>24</v>
      </c>
      <c r="E944" s="2" t="s">
        <v>18</v>
      </c>
      <c r="F944" s="2" t="s">
        <v>39</v>
      </c>
      <c r="G944" s="2" t="s">
        <v>64</v>
      </c>
      <c r="H944" s="2" t="s">
        <v>21</v>
      </c>
      <c r="I944" s="2">
        <v>65</v>
      </c>
      <c r="J944" s="2">
        <v>90</v>
      </c>
      <c r="K944" s="2">
        <v>26898.76</v>
      </c>
      <c r="L944" s="2">
        <v>250.56</v>
      </c>
      <c r="M944" s="2">
        <v>89.02</v>
      </c>
      <c r="N944" s="2" t="s">
        <v>30</v>
      </c>
      <c r="O944" s="2">
        <v>3</v>
      </c>
    </row>
    <row r="945" spans="1:15" x14ac:dyDescent="0.3">
      <c r="A945" s="2" t="s">
        <v>1000</v>
      </c>
      <c r="B945" s="2" t="s">
        <v>44</v>
      </c>
      <c r="C945" s="1">
        <v>45939</v>
      </c>
      <c r="D945" s="2" t="s">
        <v>32</v>
      </c>
      <c r="E945" s="2" t="s">
        <v>58</v>
      </c>
      <c r="F945" s="2" t="s">
        <v>34</v>
      </c>
      <c r="G945" s="2" t="s">
        <v>35</v>
      </c>
      <c r="H945" s="2" t="s">
        <v>52</v>
      </c>
      <c r="I945" s="2">
        <v>33</v>
      </c>
      <c r="J945" s="2">
        <v>78</v>
      </c>
      <c r="K945" s="2">
        <v>49801.69</v>
      </c>
      <c r="L945" s="2">
        <v>72.209999999999994</v>
      </c>
      <c r="M945" s="2">
        <v>22.63</v>
      </c>
      <c r="N945" s="2" t="s">
        <v>22</v>
      </c>
      <c r="O945" s="2">
        <v>4</v>
      </c>
    </row>
    <row r="946" spans="1:15" x14ac:dyDescent="0.3">
      <c r="A946" s="2" t="s">
        <v>1001</v>
      </c>
      <c r="B946" s="2" t="s">
        <v>51</v>
      </c>
      <c r="C946" s="1">
        <v>46081</v>
      </c>
      <c r="D946" s="2" t="s">
        <v>43</v>
      </c>
      <c r="E946" s="2" t="s">
        <v>45</v>
      </c>
      <c r="F946" s="2" t="s">
        <v>19</v>
      </c>
      <c r="G946" s="2" t="s">
        <v>64</v>
      </c>
      <c r="H946" s="2" t="s">
        <v>29</v>
      </c>
      <c r="I946" s="2">
        <v>25</v>
      </c>
      <c r="J946" s="2">
        <v>71</v>
      </c>
      <c r="K946" s="2">
        <v>40126.54</v>
      </c>
      <c r="L946" s="2">
        <v>306.2</v>
      </c>
      <c r="M946" s="2">
        <v>105.42</v>
      </c>
      <c r="N946" s="2" t="s">
        <v>30</v>
      </c>
      <c r="O946" s="2">
        <v>4</v>
      </c>
    </row>
    <row r="947" spans="1:15" x14ac:dyDescent="0.3">
      <c r="A947" s="2" t="s">
        <v>1002</v>
      </c>
      <c r="B947" s="2" t="s">
        <v>51</v>
      </c>
      <c r="C947" s="1">
        <v>46191</v>
      </c>
      <c r="D947" s="2" t="s">
        <v>32</v>
      </c>
      <c r="E947" s="2" t="s">
        <v>18</v>
      </c>
      <c r="F947" s="2" t="s">
        <v>19</v>
      </c>
      <c r="G947" s="2" t="s">
        <v>55</v>
      </c>
      <c r="H947" s="2" t="s">
        <v>29</v>
      </c>
      <c r="I947" s="2">
        <v>45</v>
      </c>
      <c r="J947" s="2">
        <v>33</v>
      </c>
      <c r="K947" s="2">
        <v>42359.28</v>
      </c>
      <c r="L947" s="2">
        <v>222.23</v>
      </c>
      <c r="M947" s="2">
        <v>299.45999999999998</v>
      </c>
      <c r="N947" s="2" t="s">
        <v>22</v>
      </c>
      <c r="O947" s="2">
        <v>3</v>
      </c>
    </row>
    <row r="948" spans="1:15" x14ac:dyDescent="0.3">
      <c r="A948" s="2" t="s">
        <v>1003</v>
      </c>
      <c r="B948" s="2" t="s">
        <v>62</v>
      </c>
      <c r="C948" s="1">
        <v>46203</v>
      </c>
      <c r="D948" s="2" t="s">
        <v>32</v>
      </c>
      <c r="E948" s="2" t="s">
        <v>38</v>
      </c>
      <c r="F948" s="2" t="s">
        <v>27</v>
      </c>
      <c r="G948" s="2" t="s">
        <v>35</v>
      </c>
      <c r="H948" s="2" t="s">
        <v>52</v>
      </c>
      <c r="I948" s="2">
        <v>40</v>
      </c>
      <c r="J948" s="2">
        <v>26</v>
      </c>
      <c r="K948" s="2">
        <v>31945.62</v>
      </c>
      <c r="L948" s="2">
        <v>390.74</v>
      </c>
      <c r="M948" s="2">
        <v>177.77</v>
      </c>
      <c r="N948" s="2" t="s">
        <v>30</v>
      </c>
      <c r="O948" s="2">
        <v>2</v>
      </c>
    </row>
    <row r="949" spans="1:15" x14ac:dyDescent="0.3">
      <c r="A949" s="2" t="s">
        <v>1004</v>
      </c>
      <c r="B949" s="2" t="s">
        <v>60</v>
      </c>
      <c r="C949" s="1">
        <v>45920</v>
      </c>
      <c r="D949" s="2" t="s">
        <v>16</v>
      </c>
      <c r="E949" s="2" t="s">
        <v>45</v>
      </c>
      <c r="F949" s="2" t="s">
        <v>19</v>
      </c>
      <c r="G949" s="2" t="s">
        <v>64</v>
      </c>
      <c r="H949" s="2" t="s">
        <v>52</v>
      </c>
      <c r="I949" s="2">
        <v>74</v>
      </c>
      <c r="J949" s="2">
        <v>45</v>
      </c>
      <c r="K949" s="2">
        <v>2557.21</v>
      </c>
      <c r="L949" s="2">
        <v>187.54</v>
      </c>
      <c r="M949" s="2">
        <v>9.66</v>
      </c>
      <c r="N949" s="2" t="s">
        <v>22</v>
      </c>
      <c r="O949" s="2">
        <v>1</v>
      </c>
    </row>
    <row r="950" spans="1:15" x14ac:dyDescent="0.3">
      <c r="A950" s="2" t="s">
        <v>1005</v>
      </c>
      <c r="B950" s="2" t="s">
        <v>17</v>
      </c>
      <c r="C950" s="1">
        <v>46148</v>
      </c>
      <c r="D950" s="2" t="s">
        <v>32</v>
      </c>
      <c r="E950" s="2" t="s">
        <v>38</v>
      </c>
      <c r="F950" s="2" t="s">
        <v>19</v>
      </c>
      <c r="G950" s="2" t="s">
        <v>55</v>
      </c>
      <c r="H950" s="2" t="s">
        <v>52</v>
      </c>
      <c r="I950" s="2">
        <v>38</v>
      </c>
      <c r="J950" s="2">
        <v>84</v>
      </c>
      <c r="K950" s="2">
        <v>10736.48</v>
      </c>
      <c r="L950" s="2">
        <v>316.83999999999997</v>
      </c>
      <c r="M950" s="2">
        <v>112.65</v>
      </c>
      <c r="N950" s="2" t="s">
        <v>22</v>
      </c>
      <c r="O950" s="2">
        <v>1</v>
      </c>
    </row>
    <row r="951" spans="1:15" x14ac:dyDescent="0.3">
      <c r="A951" s="2" t="s">
        <v>1006</v>
      </c>
      <c r="B951" s="2" t="s">
        <v>67</v>
      </c>
      <c r="C951" s="1">
        <v>46163</v>
      </c>
      <c r="D951" s="2" t="s">
        <v>43</v>
      </c>
      <c r="E951" s="2" t="s">
        <v>26</v>
      </c>
      <c r="F951" s="2" t="s">
        <v>39</v>
      </c>
      <c r="G951" s="2" t="s">
        <v>20</v>
      </c>
      <c r="H951" s="2" t="s">
        <v>52</v>
      </c>
      <c r="I951" s="2">
        <v>67</v>
      </c>
      <c r="J951" s="2">
        <v>63</v>
      </c>
      <c r="K951" s="2">
        <v>46290.7</v>
      </c>
      <c r="L951" s="2">
        <v>291.95999999999998</v>
      </c>
      <c r="M951" s="2">
        <v>129.56</v>
      </c>
      <c r="N951" s="2" t="s">
        <v>30</v>
      </c>
      <c r="O951" s="2">
        <v>1</v>
      </c>
    </row>
    <row r="952" spans="1:15" x14ac:dyDescent="0.3">
      <c r="A952" s="2" t="s">
        <v>1007</v>
      </c>
      <c r="B952" s="2" t="s">
        <v>51</v>
      </c>
      <c r="C952" s="1">
        <v>46122</v>
      </c>
      <c r="D952" s="2" t="s">
        <v>74</v>
      </c>
      <c r="E952" s="2" t="s">
        <v>45</v>
      </c>
      <c r="F952" s="2" t="s">
        <v>39</v>
      </c>
      <c r="G952" s="2" t="s">
        <v>55</v>
      </c>
      <c r="H952" s="2" t="s">
        <v>52</v>
      </c>
      <c r="I952" s="2">
        <v>38</v>
      </c>
      <c r="J952" s="2">
        <v>67</v>
      </c>
      <c r="K952" s="2">
        <v>18622.599999999999</v>
      </c>
      <c r="L952" s="2">
        <v>52.12</v>
      </c>
      <c r="M952" s="2">
        <v>41.91</v>
      </c>
      <c r="N952" s="2" t="s">
        <v>30</v>
      </c>
      <c r="O952" s="2">
        <v>1</v>
      </c>
    </row>
    <row r="953" spans="1:15" x14ac:dyDescent="0.3">
      <c r="A953" s="2" t="s">
        <v>1008</v>
      </c>
      <c r="B953" s="2" t="s">
        <v>62</v>
      </c>
      <c r="C953" s="1">
        <v>46065</v>
      </c>
      <c r="D953" s="2" t="s">
        <v>32</v>
      </c>
      <c r="E953" s="2" t="s">
        <v>26</v>
      </c>
      <c r="F953" s="2" t="s">
        <v>27</v>
      </c>
      <c r="G953" s="2" t="s">
        <v>35</v>
      </c>
      <c r="H953" s="2" t="s">
        <v>52</v>
      </c>
      <c r="I953" s="2">
        <v>22</v>
      </c>
      <c r="J953" s="2">
        <v>52</v>
      </c>
      <c r="K953" s="2">
        <v>5630.02</v>
      </c>
      <c r="L953" s="2">
        <v>82.58</v>
      </c>
      <c r="M953" s="2">
        <v>29.02</v>
      </c>
      <c r="N953" s="2" t="s">
        <v>22</v>
      </c>
      <c r="O953" s="2">
        <v>5</v>
      </c>
    </row>
    <row r="954" spans="1:15" x14ac:dyDescent="0.3">
      <c r="A954" s="2" t="s">
        <v>1009</v>
      </c>
      <c r="B954" s="2" t="s">
        <v>44</v>
      </c>
      <c r="C954" s="1">
        <v>45896</v>
      </c>
      <c r="D954" s="2" t="s">
        <v>41</v>
      </c>
      <c r="E954" s="2" t="s">
        <v>45</v>
      </c>
      <c r="F954" s="2" t="s">
        <v>68</v>
      </c>
      <c r="G954" s="2" t="s">
        <v>28</v>
      </c>
      <c r="H954" s="2" t="s">
        <v>29</v>
      </c>
      <c r="I954" s="2">
        <v>30</v>
      </c>
      <c r="J954" s="2">
        <v>68</v>
      </c>
      <c r="K954" s="2">
        <v>35269.07</v>
      </c>
      <c r="L954" s="2">
        <v>180.67</v>
      </c>
      <c r="M954" s="2">
        <v>271.32</v>
      </c>
      <c r="N954" s="2" t="s">
        <v>30</v>
      </c>
      <c r="O954" s="2">
        <v>1</v>
      </c>
    </row>
    <row r="955" spans="1:15" x14ac:dyDescent="0.3">
      <c r="A955" s="2" t="s">
        <v>1010</v>
      </c>
      <c r="B955" s="2" t="s">
        <v>51</v>
      </c>
      <c r="C955" s="1">
        <v>46001</v>
      </c>
      <c r="D955" s="2" t="s">
        <v>24</v>
      </c>
      <c r="E955" s="2" t="s">
        <v>45</v>
      </c>
      <c r="F955" s="2" t="s">
        <v>27</v>
      </c>
      <c r="G955" s="2" t="s">
        <v>20</v>
      </c>
      <c r="H955" s="2" t="s">
        <v>52</v>
      </c>
      <c r="I955" s="2">
        <v>65</v>
      </c>
      <c r="J955" s="2">
        <v>26</v>
      </c>
      <c r="K955" s="2">
        <v>15323.16</v>
      </c>
      <c r="L955" s="2">
        <v>447.01</v>
      </c>
      <c r="M955" s="2">
        <v>193.76</v>
      </c>
      <c r="N955" s="2" t="s">
        <v>30</v>
      </c>
      <c r="O955" s="2">
        <v>3</v>
      </c>
    </row>
    <row r="956" spans="1:15" x14ac:dyDescent="0.3">
      <c r="A956" s="2" t="s">
        <v>1011</v>
      </c>
      <c r="B956" s="2" t="s">
        <v>82</v>
      </c>
      <c r="C956" s="1">
        <v>46231</v>
      </c>
      <c r="D956" s="2" t="s">
        <v>32</v>
      </c>
      <c r="E956" s="2" t="s">
        <v>26</v>
      </c>
      <c r="F956" s="2" t="s">
        <v>27</v>
      </c>
      <c r="G956" s="2" t="s">
        <v>64</v>
      </c>
      <c r="H956" s="2" t="s">
        <v>21</v>
      </c>
      <c r="I956" s="2">
        <v>70</v>
      </c>
      <c r="J956" s="2">
        <v>75</v>
      </c>
      <c r="K956" s="2">
        <v>13808.42</v>
      </c>
      <c r="L956" s="2">
        <v>116.16</v>
      </c>
      <c r="M956" s="2">
        <v>198.38</v>
      </c>
      <c r="N956" s="2" t="s">
        <v>22</v>
      </c>
      <c r="O956" s="2">
        <v>1</v>
      </c>
    </row>
    <row r="957" spans="1:15" x14ac:dyDescent="0.3">
      <c r="A957" s="2" t="s">
        <v>1012</v>
      </c>
      <c r="B957" s="2" t="s">
        <v>82</v>
      </c>
      <c r="C957" s="1">
        <v>46206</v>
      </c>
      <c r="D957" s="2" t="s">
        <v>24</v>
      </c>
      <c r="E957" s="2" t="s">
        <v>18</v>
      </c>
      <c r="F957" s="2" t="s">
        <v>34</v>
      </c>
      <c r="G957" s="2" t="s">
        <v>35</v>
      </c>
      <c r="H957" s="2" t="s">
        <v>52</v>
      </c>
      <c r="I957" s="2">
        <v>67</v>
      </c>
      <c r="J957" s="2">
        <v>2</v>
      </c>
      <c r="K957" s="2">
        <v>49899.88</v>
      </c>
      <c r="L957" s="2">
        <v>369.9</v>
      </c>
      <c r="M957" s="2">
        <v>157.94999999999999</v>
      </c>
      <c r="N957" s="2" t="s">
        <v>22</v>
      </c>
      <c r="O957" s="2">
        <v>4</v>
      </c>
    </row>
    <row r="958" spans="1:15" x14ac:dyDescent="0.3">
      <c r="A958" s="2" t="s">
        <v>1013</v>
      </c>
      <c r="B958" s="2" t="s">
        <v>33</v>
      </c>
      <c r="C958" s="1">
        <v>46156</v>
      </c>
      <c r="D958" s="2" t="s">
        <v>41</v>
      </c>
      <c r="E958" s="2" t="s">
        <v>58</v>
      </c>
      <c r="F958" s="2" t="s">
        <v>34</v>
      </c>
      <c r="G958" s="2" t="s">
        <v>28</v>
      </c>
      <c r="H958" s="2" t="s">
        <v>52</v>
      </c>
      <c r="I958" s="2">
        <v>32</v>
      </c>
      <c r="J958" s="2">
        <v>14</v>
      </c>
      <c r="K958" s="2">
        <v>42977.88</v>
      </c>
      <c r="L958" s="2">
        <v>488.01</v>
      </c>
      <c r="M958" s="2">
        <v>132.69999999999999</v>
      </c>
      <c r="N958" s="2" t="s">
        <v>30</v>
      </c>
      <c r="O958" s="2">
        <v>1</v>
      </c>
    </row>
    <row r="959" spans="1:15" x14ac:dyDescent="0.3">
      <c r="A959" s="2" t="s">
        <v>1014</v>
      </c>
      <c r="B959" s="2" t="s">
        <v>49</v>
      </c>
      <c r="C959" s="1">
        <v>45895</v>
      </c>
      <c r="D959" s="2" t="s">
        <v>41</v>
      </c>
      <c r="E959" s="2" t="s">
        <v>38</v>
      </c>
      <c r="F959" s="2" t="s">
        <v>27</v>
      </c>
      <c r="G959" s="2" t="s">
        <v>55</v>
      </c>
      <c r="H959" s="2" t="s">
        <v>29</v>
      </c>
      <c r="I959" s="2">
        <v>67</v>
      </c>
      <c r="J959" s="2">
        <v>108</v>
      </c>
      <c r="K959" s="2">
        <v>20692.919999999998</v>
      </c>
      <c r="L959" s="2">
        <v>405.76</v>
      </c>
      <c r="M959" s="2">
        <v>103.72</v>
      </c>
      <c r="N959" s="2" t="s">
        <v>30</v>
      </c>
      <c r="O959" s="2">
        <v>2</v>
      </c>
    </row>
    <row r="960" spans="1:15" x14ac:dyDescent="0.3">
      <c r="A960" s="2" t="s">
        <v>1015</v>
      </c>
      <c r="B960" s="2" t="s">
        <v>33</v>
      </c>
      <c r="C960" s="1">
        <v>45901</v>
      </c>
      <c r="D960" s="2" t="s">
        <v>24</v>
      </c>
      <c r="E960" s="2" t="s">
        <v>45</v>
      </c>
      <c r="F960" s="2" t="s">
        <v>27</v>
      </c>
      <c r="G960" s="2" t="s">
        <v>28</v>
      </c>
      <c r="H960" s="2" t="s">
        <v>29</v>
      </c>
      <c r="I960" s="2">
        <v>33</v>
      </c>
      <c r="J960" s="2">
        <v>30</v>
      </c>
      <c r="K960" s="2">
        <v>49022.93</v>
      </c>
      <c r="L960" s="2">
        <v>159.33000000000001</v>
      </c>
      <c r="M960" s="2">
        <v>51.42</v>
      </c>
      <c r="N960" s="2" t="s">
        <v>30</v>
      </c>
      <c r="O960" s="2">
        <v>3</v>
      </c>
    </row>
    <row r="961" spans="1:15" x14ac:dyDescent="0.3">
      <c r="A961" s="2" t="s">
        <v>1016</v>
      </c>
      <c r="B961" s="2" t="s">
        <v>76</v>
      </c>
      <c r="C961" s="1">
        <v>45887</v>
      </c>
      <c r="D961" s="2" t="s">
        <v>90</v>
      </c>
      <c r="E961" s="2" t="s">
        <v>38</v>
      </c>
      <c r="F961" s="2" t="s">
        <v>27</v>
      </c>
      <c r="G961" s="2" t="s">
        <v>35</v>
      </c>
      <c r="H961" s="2" t="s">
        <v>52</v>
      </c>
      <c r="I961" s="2">
        <v>70</v>
      </c>
      <c r="J961" s="2">
        <v>49</v>
      </c>
      <c r="K961" s="2">
        <v>32680.6</v>
      </c>
      <c r="L961" s="2">
        <v>458.76</v>
      </c>
      <c r="M961" s="2">
        <v>15.8</v>
      </c>
      <c r="N961" s="2" t="s">
        <v>30</v>
      </c>
      <c r="O961" s="2">
        <v>3</v>
      </c>
    </row>
    <row r="962" spans="1:15" x14ac:dyDescent="0.3">
      <c r="A962" s="2" t="s">
        <v>1017</v>
      </c>
      <c r="B962" s="2" t="s">
        <v>37</v>
      </c>
      <c r="C962" s="1">
        <v>46059</v>
      </c>
      <c r="D962" s="2" t="s">
        <v>54</v>
      </c>
      <c r="E962" s="2" t="s">
        <v>26</v>
      </c>
      <c r="F962" s="2" t="s">
        <v>19</v>
      </c>
      <c r="G962" s="2" t="s">
        <v>35</v>
      </c>
      <c r="H962" s="2" t="s">
        <v>29</v>
      </c>
      <c r="I962" s="2">
        <v>67</v>
      </c>
      <c r="J962" s="2">
        <v>12</v>
      </c>
      <c r="K962" s="2">
        <v>37230.11</v>
      </c>
      <c r="L962" s="2">
        <v>91.9</v>
      </c>
      <c r="M962" s="2">
        <v>207.99</v>
      </c>
      <c r="N962" s="2" t="s">
        <v>22</v>
      </c>
      <c r="O962" s="2">
        <v>5</v>
      </c>
    </row>
    <row r="963" spans="1:15" x14ac:dyDescent="0.3">
      <c r="A963" s="2" t="s">
        <v>1018</v>
      </c>
      <c r="B963" s="2" t="s">
        <v>86</v>
      </c>
      <c r="C963" s="1">
        <v>46026</v>
      </c>
      <c r="D963" s="2" t="s">
        <v>16</v>
      </c>
      <c r="E963" s="2" t="s">
        <v>38</v>
      </c>
      <c r="F963" s="2" t="s">
        <v>34</v>
      </c>
      <c r="G963" s="2" t="s">
        <v>28</v>
      </c>
      <c r="H963" s="2" t="s">
        <v>56</v>
      </c>
      <c r="I963" s="2">
        <v>31</v>
      </c>
      <c r="J963" s="2">
        <v>90</v>
      </c>
      <c r="K963" s="2">
        <v>2059.9</v>
      </c>
      <c r="L963" s="2">
        <v>260.66000000000003</v>
      </c>
      <c r="M963" s="2">
        <v>156.94</v>
      </c>
      <c r="N963" s="2" t="s">
        <v>22</v>
      </c>
      <c r="O963" s="2">
        <v>4</v>
      </c>
    </row>
    <row r="964" spans="1:15" x14ac:dyDescent="0.3">
      <c r="A964" s="2" t="s">
        <v>1019</v>
      </c>
      <c r="B964" s="2" t="s">
        <v>33</v>
      </c>
      <c r="C964" s="1">
        <v>45922</v>
      </c>
      <c r="D964" s="2" t="s">
        <v>90</v>
      </c>
      <c r="E964" s="2" t="s">
        <v>26</v>
      </c>
      <c r="F964" s="2" t="s">
        <v>27</v>
      </c>
      <c r="G964" s="2" t="s">
        <v>55</v>
      </c>
      <c r="H964" s="2" t="s">
        <v>29</v>
      </c>
      <c r="I964" s="2">
        <v>39</v>
      </c>
      <c r="J964" s="2">
        <v>44</v>
      </c>
      <c r="K964" s="2">
        <v>6519.46</v>
      </c>
      <c r="L964" s="2">
        <v>449.39</v>
      </c>
      <c r="M964" s="2">
        <v>247.94</v>
      </c>
      <c r="N964" s="2" t="s">
        <v>22</v>
      </c>
      <c r="O964" s="2">
        <v>3</v>
      </c>
    </row>
    <row r="965" spans="1:15" x14ac:dyDescent="0.3">
      <c r="A965" s="2" t="s">
        <v>1020</v>
      </c>
      <c r="B965" s="2" t="s">
        <v>25</v>
      </c>
      <c r="C965" s="1">
        <v>46121</v>
      </c>
      <c r="D965" s="2" t="s">
        <v>90</v>
      </c>
      <c r="E965" s="2" t="s">
        <v>38</v>
      </c>
      <c r="F965" s="2" t="s">
        <v>39</v>
      </c>
      <c r="G965" s="2" t="s">
        <v>28</v>
      </c>
      <c r="H965" s="2" t="s">
        <v>29</v>
      </c>
      <c r="I965" s="2">
        <v>55</v>
      </c>
      <c r="J965" s="2">
        <v>33</v>
      </c>
      <c r="K965" s="2">
        <v>31837.71</v>
      </c>
      <c r="L965" s="2">
        <v>338.57</v>
      </c>
      <c r="M965" s="2">
        <v>274.12</v>
      </c>
      <c r="N965" s="2" t="s">
        <v>30</v>
      </c>
      <c r="O965" s="2">
        <v>2</v>
      </c>
    </row>
    <row r="966" spans="1:15" x14ac:dyDescent="0.3">
      <c r="A966" s="2" t="s">
        <v>1021</v>
      </c>
      <c r="B966" s="2" t="s">
        <v>51</v>
      </c>
      <c r="C966" s="1">
        <v>46089</v>
      </c>
      <c r="D966" s="2" t="s">
        <v>74</v>
      </c>
      <c r="E966" s="2" t="s">
        <v>58</v>
      </c>
      <c r="F966" s="2" t="s">
        <v>39</v>
      </c>
      <c r="G966" s="2" t="s">
        <v>35</v>
      </c>
      <c r="H966" s="2" t="s">
        <v>29</v>
      </c>
      <c r="I966" s="2">
        <v>59</v>
      </c>
      <c r="J966" s="2">
        <v>13</v>
      </c>
      <c r="K966" s="2">
        <v>45001.69</v>
      </c>
      <c r="L966" s="2">
        <v>236.14</v>
      </c>
      <c r="M966" s="2">
        <v>263.98</v>
      </c>
      <c r="N966" s="2" t="s">
        <v>30</v>
      </c>
      <c r="O966" s="2">
        <v>1</v>
      </c>
    </row>
    <row r="967" spans="1:15" x14ac:dyDescent="0.3">
      <c r="A967" s="2" t="s">
        <v>1022</v>
      </c>
      <c r="B967" s="2" t="s">
        <v>60</v>
      </c>
      <c r="C967" s="1">
        <v>46203</v>
      </c>
      <c r="D967" s="2" t="s">
        <v>16</v>
      </c>
      <c r="E967" s="2" t="s">
        <v>58</v>
      </c>
      <c r="F967" s="2" t="s">
        <v>19</v>
      </c>
      <c r="G967" s="2" t="s">
        <v>35</v>
      </c>
      <c r="H967" s="2" t="s">
        <v>29</v>
      </c>
      <c r="I967" s="2">
        <v>73</v>
      </c>
      <c r="J967" s="2">
        <v>78</v>
      </c>
      <c r="K967" s="2">
        <v>31375.31</v>
      </c>
      <c r="L967" s="2">
        <v>181.77</v>
      </c>
      <c r="M967" s="2">
        <v>299.92</v>
      </c>
      <c r="N967" s="2" t="s">
        <v>30</v>
      </c>
      <c r="O967" s="2">
        <v>3</v>
      </c>
    </row>
    <row r="968" spans="1:15" x14ac:dyDescent="0.3">
      <c r="A968" s="2" t="s">
        <v>1023</v>
      </c>
      <c r="B968" s="2" t="s">
        <v>78</v>
      </c>
      <c r="C968" s="1">
        <v>46064</v>
      </c>
      <c r="D968" s="2" t="s">
        <v>16</v>
      </c>
      <c r="E968" s="2" t="s">
        <v>58</v>
      </c>
      <c r="F968" s="2" t="s">
        <v>19</v>
      </c>
      <c r="G968" s="2" t="s">
        <v>64</v>
      </c>
      <c r="H968" s="2" t="s">
        <v>21</v>
      </c>
      <c r="I968" s="2">
        <v>46</v>
      </c>
      <c r="J968" s="2">
        <v>88</v>
      </c>
      <c r="K968" s="2">
        <v>7134.23</v>
      </c>
      <c r="L968" s="2">
        <v>218.79</v>
      </c>
      <c r="M968" s="2">
        <v>48.81</v>
      </c>
      <c r="N968" s="2" t="s">
        <v>30</v>
      </c>
      <c r="O968" s="2">
        <v>2</v>
      </c>
    </row>
    <row r="969" spans="1:15" x14ac:dyDescent="0.3">
      <c r="A969" s="2" t="s">
        <v>1024</v>
      </c>
      <c r="B969" s="2" t="s">
        <v>62</v>
      </c>
      <c r="C969" s="1">
        <v>45876</v>
      </c>
      <c r="D969" s="2" t="s">
        <v>90</v>
      </c>
      <c r="E969" s="2" t="s">
        <v>58</v>
      </c>
      <c r="F969" s="2" t="s">
        <v>68</v>
      </c>
      <c r="G969" s="2" t="s">
        <v>64</v>
      </c>
      <c r="H969" s="2" t="s">
        <v>21</v>
      </c>
      <c r="I969" s="2">
        <v>66</v>
      </c>
      <c r="J969" s="2">
        <v>98</v>
      </c>
      <c r="K969" s="2">
        <v>6230.12</v>
      </c>
      <c r="L969" s="2">
        <v>279.02</v>
      </c>
      <c r="M969" s="2">
        <v>152.66</v>
      </c>
      <c r="N969" s="2" t="s">
        <v>22</v>
      </c>
      <c r="O969" s="2">
        <v>1</v>
      </c>
    </row>
    <row r="970" spans="1:15" x14ac:dyDescent="0.3">
      <c r="A970" s="2" t="s">
        <v>1025</v>
      </c>
      <c r="B970" s="2" t="s">
        <v>78</v>
      </c>
      <c r="C970" s="1">
        <v>46076</v>
      </c>
      <c r="D970" s="2" t="s">
        <v>32</v>
      </c>
      <c r="E970" s="2" t="s">
        <v>58</v>
      </c>
      <c r="F970" s="2" t="s">
        <v>68</v>
      </c>
      <c r="G970" s="2" t="s">
        <v>20</v>
      </c>
      <c r="H970" s="2" t="s">
        <v>21</v>
      </c>
      <c r="I970" s="2">
        <v>34</v>
      </c>
      <c r="J970" s="2">
        <v>108</v>
      </c>
      <c r="K970" s="2">
        <v>42287.199999999997</v>
      </c>
      <c r="L970" s="2">
        <v>193.57</v>
      </c>
      <c r="M970" s="2">
        <v>117.29</v>
      </c>
      <c r="N970" s="2" t="s">
        <v>30</v>
      </c>
      <c r="O970" s="2">
        <v>5</v>
      </c>
    </row>
    <row r="971" spans="1:15" x14ac:dyDescent="0.3">
      <c r="A971" s="2" t="s">
        <v>1026</v>
      </c>
      <c r="B971" s="2" t="s">
        <v>25</v>
      </c>
      <c r="C971" s="1">
        <v>46138</v>
      </c>
      <c r="D971" s="2" t="s">
        <v>74</v>
      </c>
      <c r="E971" s="2" t="s">
        <v>58</v>
      </c>
      <c r="F971" s="2" t="s">
        <v>68</v>
      </c>
      <c r="G971" s="2" t="s">
        <v>35</v>
      </c>
      <c r="H971" s="2" t="s">
        <v>52</v>
      </c>
      <c r="I971" s="2">
        <v>74</v>
      </c>
      <c r="J971" s="2">
        <v>26</v>
      </c>
      <c r="K971" s="2">
        <v>7395.47</v>
      </c>
      <c r="L971" s="2">
        <v>486.04</v>
      </c>
      <c r="M971" s="2">
        <v>52.25</v>
      </c>
      <c r="N971" s="2" t="s">
        <v>30</v>
      </c>
      <c r="O971" s="2">
        <v>3</v>
      </c>
    </row>
    <row r="972" spans="1:15" x14ac:dyDescent="0.3">
      <c r="A972" s="2" t="s">
        <v>1027</v>
      </c>
      <c r="B972" s="2" t="s">
        <v>44</v>
      </c>
      <c r="C972" s="1">
        <v>45889</v>
      </c>
      <c r="D972" s="2" t="s">
        <v>74</v>
      </c>
      <c r="E972" s="2" t="s">
        <v>26</v>
      </c>
      <c r="F972" s="2" t="s">
        <v>19</v>
      </c>
      <c r="G972" s="2" t="s">
        <v>64</v>
      </c>
      <c r="H972" s="2" t="s">
        <v>52</v>
      </c>
      <c r="I972" s="2">
        <v>65</v>
      </c>
      <c r="J972" s="2">
        <v>21</v>
      </c>
      <c r="K972" s="2">
        <v>26251.48</v>
      </c>
      <c r="L972" s="2">
        <v>469.88</v>
      </c>
      <c r="M972" s="2">
        <v>196.38</v>
      </c>
      <c r="N972" s="2" t="s">
        <v>22</v>
      </c>
      <c r="O972" s="2">
        <v>3</v>
      </c>
    </row>
    <row r="973" spans="1:15" x14ac:dyDescent="0.3">
      <c r="A973" s="2" t="s">
        <v>1028</v>
      </c>
      <c r="B973" s="2" t="s">
        <v>33</v>
      </c>
      <c r="C973" s="1">
        <v>46112</v>
      </c>
      <c r="D973" s="2" t="s">
        <v>41</v>
      </c>
      <c r="E973" s="2" t="s">
        <v>45</v>
      </c>
      <c r="F973" s="2" t="s">
        <v>19</v>
      </c>
      <c r="G973" s="2" t="s">
        <v>28</v>
      </c>
      <c r="H973" s="2" t="s">
        <v>56</v>
      </c>
      <c r="I973" s="2">
        <v>64</v>
      </c>
      <c r="J973" s="2">
        <v>28</v>
      </c>
      <c r="K973" s="2">
        <v>2337.11</v>
      </c>
      <c r="L973" s="2">
        <v>441.8</v>
      </c>
      <c r="M973" s="2">
        <v>179.58</v>
      </c>
      <c r="N973" s="2" t="s">
        <v>22</v>
      </c>
      <c r="O973" s="2">
        <v>2</v>
      </c>
    </row>
    <row r="974" spans="1:15" x14ac:dyDescent="0.3">
      <c r="A974" s="2" t="s">
        <v>1029</v>
      </c>
      <c r="B974" s="2" t="s">
        <v>86</v>
      </c>
      <c r="C974" s="1">
        <v>45913</v>
      </c>
      <c r="D974" s="2" t="s">
        <v>43</v>
      </c>
      <c r="E974" s="2" t="s">
        <v>38</v>
      </c>
      <c r="F974" s="2" t="s">
        <v>19</v>
      </c>
      <c r="G974" s="2" t="s">
        <v>55</v>
      </c>
      <c r="H974" s="2" t="s">
        <v>21</v>
      </c>
      <c r="I974" s="2">
        <v>44</v>
      </c>
      <c r="J974" s="2">
        <v>48</v>
      </c>
      <c r="K974" s="2">
        <v>4493.1499999999996</v>
      </c>
      <c r="L974" s="2">
        <v>239.82</v>
      </c>
      <c r="M974" s="2">
        <v>25.7</v>
      </c>
      <c r="N974" s="2" t="s">
        <v>22</v>
      </c>
      <c r="O974" s="2">
        <v>4</v>
      </c>
    </row>
    <row r="975" spans="1:15" x14ac:dyDescent="0.3">
      <c r="A975" s="2" t="s">
        <v>1030</v>
      </c>
      <c r="B975" s="2" t="s">
        <v>44</v>
      </c>
      <c r="C975" s="1">
        <v>46096</v>
      </c>
      <c r="D975" s="2" t="s">
        <v>16</v>
      </c>
      <c r="E975" s="2" t="s">
        <v>58</v>
      </c>
      <c r="F975" s="2" t="s">
        <v>39</v>
      </c>
      <c r="G975" s="2" t="s">
        <v>28</v>
      </c>
      <c r="H975" s="2" t="s">
        <v>52</v>
      </c>
      <c r="I975" s="2">
        <v>61</v>
      </c>
      <c r="J975" s="2">
        <v>100</v>
      </c>
      <c r="K975" s="2">
        <v>33781.24</v>
      </c>
      <c r="L975" s="2">
        <v>361.09</v>
      </c>
      <c r="M975" s="2">
        <v>5.23</v>
      </c>
      <c r="N975" s="2" t="s">
        <v>22</v>
      </c>
      <c r="O975" s="2">
        <v>5</v>
      </c>
    </row>
    <row r="976" spans="1:15" x14ac:dyDescent="0.3">
      <c r="A976" s="2" t="s">
        <v>1031</v>
      </c>
      <c r="B976" s="2" t="s">
        <v>17</v>
      </c>
      <c r="C976" s="1">
        <v>46223</v>
      </c>
      <c r="D976" s="2" t="s">
        <v>90</v>
      </c>
      <c r="E976" s="2" t="s">
        <v>26</v>
      </c>
      <c r="F976" s="2" t="s">
        <v>19</v>
      </c>
      <c r="G976" s="2" t="s">
        <v>55</v>
      </c>
      <c r="H976" s="2" t="s">
        <v>29</v>
      </c>
      <c r="I976" s="2">
        <v>21</v>
      </c>
      <c r="J976" s="2">
        <v>40</v>
      </c>
      <c r="K976" s="2">
        <v>34614.480000000003</v>
      </c>
      <c r="L976" s="2">
        <v>456.27</v>
      </c>
      <c r="M976" s="2">
        <v>206.5</v>
      </c>
      <c r="N976" s="2" t="s">
        <v>30</v>
      </c>
      <c r="O976" s="2">
        <v>4</v>
      </c>
    </row>
    <row r="977" spans="1:15" x14ac:dyDescent="0.3">
      <c r="A977" s="2" t="s">
        <v>1032</v>
      </c>
      <c r="B977" s="2" t="s">
        <v>17</v>
      </c>
      <c r="C977" s="1">
        <v>46228</v>
      </c>
      <c r="D977" s="2" t="s">
        <v>41</v>
      </c>
      <c r="E977" s="2" t="s">
        <v>26</v>
      </c>
      <c r="F977" s="2" t="s">
        <v>39</v>
      </c>
      <c r="G977" s="2" t="s">
        <v>64</v>
      </c>
      <c r="H977" s="2" t="s">
        <v>29</v>
      </c>
      <c r="I977" s="2">
        <v>71</v>
      </c>
      <c r="J977" s="2">
        <v>66</v>
      </c>
      <c r="K977" s="2">
        <v>17402.740000000002</v>
      </c>
      <c r="L977" s="2">
        <v>432.69</v>
      </c>
      <c r="M977" s="2">
        <v>181.24</v>
      </c>
      <c r="N977" s="2" t="s">
        <v>30</v>
      </c>
      <c r="O977" s="2">
        <v>3</v>
      </c>
    </row>
    <row r="978" spans="1:15" x14ac:dyDescent="0.3">
      <c r="A978" s="2" t="s">
        <v>1033</v>
      </c>
      <c r="B978" s="2" t="s">
        <v>78</v>
      </c>
      <c r="C978" s="1">
        <v>46147</v>
      </c>
      <c r="D978" s="2" t="s">
        <v>24</v>
      </c>
      <c r="E978" s="2" t="s">
        <v>26</v>
      </c>
      <c r="F978" s="2" t="s">
        <v>68</v>
      </c>
      <c r="G978" s="2" t="s">
        <v>20</v>
      </c>
      <c r="H978" s="2" t="s">
        <v>21</v>
      </c>
      <c r="I978" s="2">
        <v>63</v>
      </c>
      <c r="J978" s="2">
        <v>106</v>
      </c>
      <c r="K978" s="2">
        <v>11172.68</v>
      </c>
      <c r="L978" s="2">
        <v>236.45</v>
      </c>
      <c r="M978" s="2">
        <v>187.16</v>
      </c>
      <c r="N978" s="2" t="s">
        <v>30</v>
      </c>
      <c r="O978" s="2">
        <v>4</v>
      </c>
    </row>
    <row r="979" spans="1:15" x14ac:dyDescent="0.3">
      <c r="A979" s="2" t="s">
        <v>1034</v>
      </c>
      <c r="B979" s="2" t="s">
        <v>37</v>
      </c>
      <c r="C979" s="1">
        <v>46105</v>
      </c>
      <c r="D979" s="2" t="s">
        <v>54</v>
      </c>
      <c r="E979" s="2" t="s">
        <v>45</v>
      </c>
      <c r="F979" s="2" t="s">
        <v>68</v>
      </c>
      <c r="G979" s="2" t="s">
        <v>28</v>
      </c>
      <c r="H979" s="2" t="s">
        <v>56</v>
      </c>
      <c r="I979" s="2">
        <v>42</v>
      </c>
      <c r="J979" s="2">
        <v>73</v>
      </c>
      <c r="K979" s="2">
        <v>40778.660000000003</v>
      </c>
      <c r="L979" s="2">
        <v>100.57</v>
      </c>
      <c r="M979" s="2">
        <v>46.8</v>
      </c>
      <c r="N979" s="2" t="s">
        <v>30</v>
      </c>
      <c r="O979" s="2">
        <v>1</v>
      </c>
    </row>
    <row r="980" spans="1:15" x14ac:dyDescent="0.3">
      <c r="A980" s="2" t="s">
        <v>1035</v>
      </c>
      <c r="B980" s="2" t="s">
        <v>67</v>
      </c>
      <c r="C980" s="1">
        <v>46219</v>
      </c>
      <c r="D980" s="2" t="s">
        <v>43</v>
      </c>
      <c r="E980" s="2" t="s">
        <v>38</v>
      </c>
      <c r="F980" s="2" t="s">
        <v>68</v>
      </c>
      <c r="G980" s="2" t="s">
        <v>28</v>
      </c>
      <c r="H980" s="2" t="s">
        <v>56</v>
      </c>
      <c r="I980" s="2">
        <v>43</v>
      </c>
      <c r="J980" s="2">
        <v>87</v>
      </c>
      <c r="K980" s="2">
        <v>11246.61</v>
      </c>
      <c r="L980" s="2">
        <v>84.03</v>
      </c>
      <c r="M980" s="2">
        <v>16.88</v>
      </c>
      <c r="N980" s="2" t="s">
        <v>22</v>
      </c>
      <c r="O980" s="2">
        <v>5</v>
      </c>
    </row>
    <row r="981" spans="1:15" x14ac:dyDescent="0.3">
      <c r="A981" s="2" t="s">
        <v>1036</v>
      </c>
      <c r="B981" s="2" t="s">
        <v>37</v>
      </c>
      <c r="C981" s="1">
        <v>46003</v>
      </c>
      <c r="D981" s="2" t="s">
        <v>43</v>
      </c>
      <c r="E981" s="2" t="s">
        <v>45</v>
      </c>
      <c r="F981" s="2" t="s">
        <v>27</v>
      </c>
      <c r="G981" s="2" t="s">
        <v>28</v>
      </c>
      <c r="H981" s="2" t="s">
        <v>29</v>
      </c>
      <c r="I981" s="2">
        <v>74</v>
      </c>
      <c r="J981" s="2">
        <v>79</v>
      </c>
      <c r="K981" s="2">
        <v>27330.34</v>
      </c>
      <c r="L981" s="2">
        <v>309.68</v>
      </c>
      <c r="M981" s="2">
        <v>77.760000000000005</v>
      </c>
      <c r="N981" s="2" t="s">
        <v>30</v>
      </c>
      <c r="O981" s="2">
        <v>4</v>
      </c>
    </row>
    <row r="982" spans="1:15" x14ac:dyDescent="0.3">
      <c r="A982" s="2" t="s">
        <v>1037</v>
      </c>
      <c r="B982" s="2" t="s">
        <v>51</v>
      </c>
      <c r="C982" s="1">
        <v>46092</v>
      </c>
      <c r="D982" s="2" t="s">
        <v>43</v>
      </c>
      <c r="E982" s="2" t="s">
        <v>18</v>
      </c>
      <c r="F982" s="2" t="s">
        <v>27</v>
      </c>
      <c r="G982" s="2" t="s">
        <v>55</v>
      </c>
      <c r="H982" s="2" t="s">
        <v>56</v>
      </c>
      <c r="I982" s="2">
        <v>39</v>
      </c>
      <c r="J982" s="2">
        <v>77</v>
      </c>
      <c r="K982" s="2">
        <v>48426.34</v>
      </c>
      <c r="L982" s="2">
        <v>339.18</v>
      </c>
      <c r="M982" s="2">
        <v>3.79</v>
      </c>
      <c r="N982" s="2" t="s">
        <v>30</v>
      </c>
      <c r="O982" s="2">
        <v>1</v>
      </c>
    </row>
    <row r="983" spans="1:15" x14ac:dyDescent="0.3">
      <c r="A983" s="2" t="s">
        <v>1038</v>
      </c>
      <c r="B983" s="2" t="s">
        <v>25</v>
      </c>
      <c r="C983" s="1">
        <v>45973</v>
      </c>
      <c r="D983" s="2" t="s">
        <v>74</v>
      </c>
      <c r="E983" s="2" t="s">
        <v>26</v>
      </c>
      <c r="F983" s="2" t="s">
        <v>34</v>
      </c>
      <c r="G983" s="2" t="s">
        <v>64</v>
      </c>
      <c r="H983" s="2" t="s">
        <v>21</v>
      </c>
      <c r="I983" s="2">
        <v>38</v>
      </c>
      <c r="J983" s="2">
        <v>23</v>
      </c>
      <c r="K983" s="2">
        <v>7818.7</v>
      </c>
      <c r="L983" s="2">
        <v>432.43</v>
      </c>
      <c r="M983" s="2">
        <v>7.18</v>
      </c>
      <c r="N983" s="2" t="s">
        <v>30</v>
      </c>
      <c r="O983" s="2">
        <v>2</v>
      </c>
    </row>
    <row r="984" spans="1:15" x14ac:dyDescent="0.3">
      <c r="A984" s="2" t="s">
        <v>1039</v>
      </c>
      <c r="B984" s="2" t="s">
        <v>82</v>
      </c>
      <c r="C984" s="1">
        <v>45957</v>
      </c>
      <c r="D984" s="2" t="s">
        <v>24</v>
      </c>
      <c r="E984" s="2" t="s">
        <v>18</v>
      </c>
      <c r="F984" s="2" t="s">
        <v>34</v>
      </c>
      <c r="G984" s="2" t="s">
        <v>28</v>
      </c>
      <c r="H984" s="2" t="s">
        <v>29</v>
      </c>
      <c r="I984" s="2">
        <v>32</v>
      </c>
      <c r="J984" s="2">
        <v>81</v>
      </c>
      <c r="K984" s="2">
        <v>47073.38</v>
      </c>
      <c r="L984" s="2">
        <v>181.63</v>
      </c>
      <c r="M984" s="2">
        <v>274.45999999999998</v>
      </c>
      <c r="N984" s="2" t="s">
        <v>30</v>
      </c>
      <c r="O984" s="2">
        <v>4</v>
      </c>
    </row>
    <row r="985" spans="1:15" x14ac:dyDescent="0.3">
      <c r="A985" s="2" t="s">
        <v>1040</v>
      </c>
      <c r="B985" s="2" t="s">
        <v>76</v>
      </c>
      <c r="C985" s="1">
        <v>46086</v>
      </c>
      <c r="D985" s="2" t="s">
        <v>43</v>
      </c>
      <c r="E985" s="2" t="s">
        <v>58</v>
      </c>
      <c r="F985" s="2" t="s">
        <v>34</v>
      </c>
      <c r="G985" s="2" t="s">
        <v>28</v>
      </c>
      <c r="H985" s="2" t="s">
        <v>52</v>
      </c>
      <c r="I985" s="2">
        <v>48</v>
      </c>
      <c r="J985" s="2">
        <v>48</v>
      </c>
      <c r="K985" s="2">
        <v>9553.2099999999991</v>
      </c>
      <c r="L985" s="2">
        <v>125.36</v>
      </c>
      <c r="M985" s="2">
        <v>70.400000000000006</v>
      </c>
      <c r="N985" s="2" t="s">
        <v>22</v>
      </c>
      <c r="O985" s="2">
        <v>5</v>
      </c>
    </row>
    <row r="986" spans="1:15" x14ac:dyDescent="0.3">
      <c r="A986" s="2" t="s">
        <v>1041</v>
      </c>
      <c r="B986" s="2" t="s">
        <v>37</v>
      </c>
      <c r="C986" s="1">
        <v>45968</v>
      </c>
      <c r="D986" s="2" t="s">
        <v>24</v>
      </c>
      <c r="E986" s="2" t="s">
        <v>58</v>
      </c>
      <c r="F986" s="2" t="s">
        <v>27</v>
      </c>
      <c r="G986" s="2" t="s">
        <v>20</v>
      </c>
      <c r="H986" s="2" t="s">
        <v>52</v>
      </c>
      <c r="I986" s="2">
        <v>48</v>
      </c>
      <c r="J986" s="2">
        <v>2</v>
      </c>
      <c r="K986" s="2">
        <v>28588.44</v>
      </c>
      <c r="L986" s="2">
        <v>220.55</v>
      </c>
      <c r="M986" s="2">
        <v>82.16</v>
      </c>
      <c r="N986" s="2" t="s">
        <v>30</v>
      </c>
      <c r="O986" s="2">
        <v>1</v>
      </c>
    </row>
    <row r="987" spans="1:15" x14ac:dyDescent="0.3">
      <c r="A987" s="2" t="s">
        <v>1042</v>
      </c>
      <c r="B987" s="2" t="s">
        <v>49</v>
      </c>
      <c r="C987" s="1">
        <v>46055</v>
      </c>
      <c r="D987" s="2" t="s">
        <v>32</v>
      </c>
      <c r="E987" s="2" t="s">
        <v>45</v>
      </c>
      <c r="F987" s="2" t="s">
        <v>27</v>
      </c>
      <c r="G987" s="2" t="s">
        <v>20</v>
      </c>
      <c r="H987" s="2" t="s">
        <v>56</v>
      </c>
      <c r="I987" s="2">
        <v>53</v>
      </c>
      <c r="J987" s="2">
        <v>84</v>
      </c>
      <c r="K987" s="2">
        <v>19161.88</v>
      </c>
      <c r="L987" s="2">
        <v>209.11</v>
      </c>
      <c r="M987" s="2">
        <v>3.67</v>
      </c>
      <c r="N987" s="2" t="s">
        <v>22</v>
      </c>
      <c r="O987" s="2">
        <v>4</v>
      </c>
    </row>
    <row r="988" spans="1:15" x14ac:dyDescent="0.3">
      <c r="A988" s="2" t="s">
        <v>1043</v>
      </c>
      <c r="B988" s="2" t="s">
        <v>76</v>
      </c>
      <c r="C988" s="1">
        <v>46235</v>
      </c>
      <c r="D988" s="2" t="s">
        <v>43</v>
      </c>
      <c r="E988" s="2" t="s">
        <v>38</v>
      </c>
      <c r="F988" s="2" t="s">
        <v>34</v>
      </c>
      <c r="G988" s="2" t="s">
        <v>64</v>
      </c>
      <c r="H988" s="2" t="s">
        <v>29</v>
      </c>
      <c r="I988" s="2">
        <v>39</v>
      </c>
      <c r="J988" s="2">
        <v>20</v>
      </c>
      <c r="K988" s="2">
        <v>48263.97</v>
      </c>
      <c r="L988" s="2">
        <v>109.61</v>
      </c>
      <c r="M988" s="2">
        <v>81.150000000000006</v>
      </c>
      <c r="N988" s="2" t="s">
        <v>30</v>
      </c>
      <c r="O988" s="2">
        <v>2</v>
      </c>
    </row>
    <row r="989" spans="1:15" x14ac:dyDescent="0.3">
      <c r="A989" s="2" t="s">
        <v>1044</v>
      </c>
      <c r="B989" s="2" t="s">
        <v>25</v>
      </c>
      <c r="C989" s="1">
        <v>46187</v>
      </c>
      <c r="D989" s="2" t="s">
        <v>54</v>
      </c>
      <c r="E989" s="2" t="s">
        <v>18</v>
      </c>
      <c r="F989" s="2" t="s">
        <v>34</v>
      </c>
      <c r="G989" s="2" t="s">
        <v>64</v>
      </c>
      <c r="H989" s="2" t="s">
        <v>29</v>
      </c>
      <c r="I989" s="2">
        <v>48</v>
      </c>
      <c r="J989" s="2">
        <v>59</v>
      </c>
      <c r="K989" s="2">
        <v>14040.33</v>
      </c>
      <c r="L989" s="2">
        <v>352.53</v>
      </c>
      <c r="M989" s="2">
        <v>241.42</v>
      </c>
      <c r="N989" s="2" t="s">
        <v>30</v>
      </c>
      <c r="O989" s="2">
        <v>4</v>
      </c>
    </row>
    <row r="990" spans="1:15" x14ac:dyDescent="0.3">
      <c r="A990" s="2" t="s">
        <v>1045</v>
      </c>
      <c r="B990" s="2" t="s">
        <v>76</v>
      </c>
      <c r="C990" s="1">
        <v>45926</v>
      </c>
      <c r="D990" s="2" t="s">
        <v>24</v>
      </c>
      <c r="E990" s="2" t="s">
        <v>38</v>
      </c>
      <c r="F990" s="2" t="s">
        <v>19</v>
      </c>
      <c r="G990" s="2" t="s">
        <v>35</v>
      </c>
      <c r="H990" s="2" t="s">
        <v>52</v>
      </c>
      <c r="I990" s="2">
        <v>72</v>
      </c>
      <c r="J990" s="2">
        <v>46</v>
      </c>
      <c r="K990" s="2">
        <v>20283.07</v>
      </c>
      <c r="L990" s="2">
        <v>278.91000000000003</v>
      </c>
      <c r="M990" s="2">
        <v>123.1</v>
      </c>
      <c r="N990" s="2" t="s">
        <v>22</v>
      </c>
      <c r="O990" s="2">
        <v>1</v>
      </c>
    </row>
    <row r="991" spans="1:15" x14ac:dyDescent="0.3">
      <c r="A991" s="2" t="s">
        <v>1046</v>
      </c>
      <c r="B991" s="2" t="s">
        <v>86</v>
      </c>
      <c r="C991" s="1">
        <v>46097</v>
      </c>
      <c r="D991" s="2" t="s">
        <v>24</v>
      </c>
      <c r="E991" s="2" t="s">
        <v>45</v>
      </c>
      <c r="F991" s="2" t="s">
        <v>34</v>
      </c>
      <c r="G991" s="2" t="s">
        <v>20</v>
      </c>
      <c r="H991" s="2" t="s">
        <v>29</v>
      </c>
      <c r="I991" s="2">
        <v>69</v>
      </c>
      <c r="J991" s="2">
        <v>3</v>
      </c>
      <c r="K991" s="2">
        <v>49151.58</v>
      </c>
      <c r="L991" s="2">
        <v>374.51</v>
      </c>
      <c r="M991" s="2">
        <v>226.14</v>
      </c>
      <c r="N991" s="2" t="s">
        <v>22</v>
      </c>
      <c r="O991" s="2">
        <v>4</v>
      </c>
    </row>
    <row r="992" spans="1:15" x14ac:dyDescent="0.3">
      <c r="A992" s="2" t="s">
        <v>1047</v>
      </c>
      <c r="B992" s="2" t="s">
        <v>33</v>
      </c>
      <c r="C992" s="1">
        <v>46058</v>
      </c>
      <c r="D992" s="2" t="s">
        <v>54</v>
      </c>
      <c r="E992" s="2" t="s">
        <v>58</v>
      </c>
      <c r="F992" s="2" t="s">
        <v>19</v>
      </c>
      <c r="G992" s="2" t="s">
        <v>35</v>
      </c>
      <c r="H992" s="2" t="s">
        <v>29</v>
      </c>
      <c r="I992" s="2">
        <v>57</v>
      </c>
      <c r="J992" s="2">
        <v>55</v>
      </c>
      <c r="K992" s="2">
        <v>27055.279999999999</v>
      </c>
      <c r="L992" s="2">
        <v>208.71</v>
      </c>
      <c r="M992" s="2">
        <v>134.16</v>
      </c>
      <c r="N992" s="2" t="s">
        <v>30</v>
      </c>
      <c r="O992" s="2">
        <v>5</v>
      </c>
    </row>
    <row r="993" spans="1:15" x14ac:dyDescent="0.3">
      <c r="A993" s="2" t="s">
        <v>1048</v>
      </c>
      <c r="B993" s="2" t="s">
        <v>86</v>
      </c>
      <c r="C993" s="1">
        <v>45970</v>
      </c>
      <c r="D993" s="2" t="s">
        <v>43</v>
      </c>
      <c r="E993" s="2" t="s">
        <v>38</v>
      </c>
      <c r="F993" s="2" t="s">
        <v>39</v>
      </c>
      <c r="G993" s="2" t="s">
        <v>55</v>
      </c>
      <c r="H993" s="2" t="s">
        <v>29</v>
      </c>
      <c r="I993" s="2">
        <v>46</v>
      </c>
      <c r="J993" s="2">
        <v>12</v>
      </c>
      <c r="K993" s="2">
        <v>25380.19</v>
      </c>
      <c r="L993" s="2">
        <v>196.57</v>
      </c>
      <c r="M993" s="2">
        <v>92.93</v>
      </c>
      <c r="N993" s="2" t="s">
        <v>30</v>
      </c>
      <c r="O993" s="2">
        <v>3</v>
      </c>
    </row>
    <row r="994" spans="1:15" x14ac:dyDescent="0.3">
      <c r="A994" s="2" t="s">
        <v>1049</v>
      </c>
      <c r="B994" s="2" t="s">
        <v>76</v>
      </c>
      <c r="C994" s="1">
        <v>45930</v>
      </c>
      <c r="D994" s="2" t="s">
        <v>54</v>
      </c>
      <c r="E994" s="2" t="s">
        <v>38</v>
      </c>
      <c r="F994" s="2" t="s">
        <v>27</v>
      </c>
      <c r="G994" s="2" t="s">
        <v>35</v>
      </c>
      <c r="H994" s="2" t="s">
        <v>56</v>
      </c>
      <c r="I994" s="2">
        <v>55</v>
      </c>
      <c r="J994" s="2">
        <v>40</v>
      </c>
      <c r="K994" s="2">
        <v>13260.04</v>
      </c>
      <c r="L994" s="2">
        <v>262.66000000000003</v>
      </c>
      <c r="M994" s="2">
        <v>96.56</v>
      </c>
      <c r="N994" s="2" t="s">
        <v>30</v>
      </c>
      <c r="O994" s="2">
        <v>1</v>
      </c>
    </row>
    <row r="995" spans="1:15" x14ac:dyDescent="0.3">
      <c r="A995" s="2" t="s">
        <v>1050</v>
      </c>
      <c r="B995" s="2" t="s">
        <v>44</v>
      </c>
      <c r="C995" s="1">
        <v>46049</v>
      </c>
      <c r="D995" s="2" t="s">
        <v>24</v>
      </c>
      <c r="E995" s="2" t="s">
        <v>58</v>
      </c>
      <c r="F995" s="2" t="s">
        <v>34</v>
      </c>
      <c r="G995" s="2" t="s">
        <v>28</v>
      </c>
      <c r="H995" s="2" t="s">
        <v>29</v>
      </c>
      <c r="I995" s="2">
        <v>54</v>
      </c>
      <c r="J995" s="2">
        <v>66</v>
      </c>
      <c r="K995" s="2">
        <v>35217.5</v>
      </c>
      <c r="L995" s="2">
        <v>444.83</v>
      </c>
      <c r="M995" s="2">
        <v>96.92</v>
      </c>
      <c r="N995" s="2" t="s">
        <v>22</v>
      </c>
      <c r="O995" s="2">
        <v>1</v>
      </c>
    </row>
    <row r="996" spans="1:15" x14ac:dyDescent="0.3">
      <c r="A996" s="2" t="s">
        <v>1051</v>
      </c>
      <c r="B996" s="2" t="s">
        <v>17</v>
      </c>
      <c r="C996" s="1">
        <v>46193</v>
      </c>
      <c r="D996" s="2" t="s">
        <v>54</v>
      </c>
      <c r="E996" s="2" t="s">
        <v>18</v>
      </c>
      <c r="F996" s="2" t="s">
        <v>27</v>
      </c>
      <c r="G996" s="2" t="s">
        <v>35</v>
      </c>
      <c r="H996" s="2" t="s">
        <v>21</v>
      </c>
      <c r="I996" s="2">
        <v>55</v>
      </c>
      <c r="J996" s="2">
        <v>100</v>
      </c>
      <c r="K996" s="2">
        <v>1211.46</v>
      </c>
      <c r="L996" s="2">
        <v>68.13</v>
      </c>
      <c r="M996" s="2">
        <v>167.79</v>
      </c>
      <c r="N996" s="2" t="s">
        <v>22</v>
      </c>
      <c r="O996" s="2">
        <v>1</v>
      </c>
    </row>
    <row r="997" spans="1:15" x14ac:dyDescent="0.3">
      <c r="A997" s="2" t="s">
        <v>1052</v>
      </c>
      <c r="B997" s="2" t="s">
        <v>76</v>
      </c>
      <c r="C997" s="1">
        <v>46139</v>
      </c>
      <c r="D997" s="2" t="s">
        <v>24</v>
      </c>
      <c r="E997" s="2" t="s">
        <v>58</v>
      </c>
      <c r="F997" s="2" t="s">
        <v>27</v>
      </c>
      <c r="G997" s="2" t="s">
        <v>64</v>
      </c>
      <c r="H997" s="2" t="s">
        <v>56</v>
      </c>
      <c r="I997" s="2">
        <v>60</v>
      </c>
      <c r="J997" s="2">
        <v>78</v>
      </c>
      <c r="K997" s="2">
        <v>2950.88</v>
      </c>
      <c r="L997" s="2">
        <v>412.17</v>
      </c>
      <c r="M997" s="2">
        <v>59.53</v>
      </c>
      <c r="N997" s="2" t="s">
        <v>22</v>
      </c>
      <c r="O997" s="2">
        <v>1</v>
      </c>
    </row>
    <row r="998" spans="1:15" x14ac:dyDescent="0.3">
      <c r="A998" s="2" t="s">
        <v>1053</v>
      </c>
      <c r="B998" s="2" t="s">
        <v>86</v>
      </c>
      <c r="C998" s="1">
        <v>46199</v>
      </c>
      <c r="D998" s="2" t="s">
        <v>24</v>
      </c>
      <c r="E998" s="2" t="s">
        <v>38</v>
      </c>
      <c r="F998" s="2" t="s">
        <v>27</v>
      </c>
      <c r="G998" s="2" t="s">
        <v>55</v>
      </c>
      <c r="H998" s="2" t="s">
        <v>29</v>
      </c>
      <c r="I998" s="2">
        <v>36</v>
      </c>
      <c r="J998" s="2">
        <v>16</v>
      </c>
      <c r="K998" s="2">
        <v>30168.25</v>
      </c>
      <c r="L998" s="2">
        <v>216.04</v>
      </c>
      <c r="M998" s="2">
        <v>197.92</v>
      </c>
      <c r="N998" s="2" t="s">
        <v>30</v>
      </c>
      <c r="O998" s="2">
        <v>4</v>
      </c>
    </row>
    <row r="999" spans="1:15" x14ac:dyDescent="0.3">
      <c r="A999" s="2" t="s">
        <v>1054</v>
      </c>
      <c r="B999" s="2" t="s">
        <v>60</v>
      </c>
      <c r="C999" s="1">
        <v>46115</v>
      </c>
      <c r="D999" s="2" t="s">
        <v>32</v>
      </c>
      <c r="E999" s="2" t="s">
        <v>18</v>
      </c>
      <c r="F999" s="2" t="s">
        <v>39</v>
      </c>
      <c r="G999" s="2" t="s">
        <v>28</v>
      </c>
      <c r="H999" s="2" t="s">
        <v>29</v>
      </c>
      <c r="I999" s="2">
        <v>58</v>
      </c>
      <c r="J999" s="2">
        <v>83</v>
      </c>
      <c r="K999" s="2">
        <v>17412.89</v>
      </c>
      <c r="L999" s="2">
        <v>434.58</v>
      </c>
      <c r="M999" s="2">
        <v>41.1</v>
      </c>
      <c r="N999" s="2" t="s">
        <v>30</v>
      </c>
      <c r="O999" s="2">
        <v>5</v>
      </c>
    </row>
    <row r="1000" spans="1:15" x14ac:dyDescent="0.3">
      <c r="A1000" s="2" t="s">
        <v>1055</v>
      </c>
      <c r="B1000" s="2" t="s">
        <v>25</v>
      </c>
      <c r="C1000" s="1">
        <v>46064</v>
      </c>
      <c r="D1000" s="2" t="s">
        <v>90</v>
      </c>
      <c r="E1000" s="2" t="s">
        <v>18</v>
      </c>
      <c r="F1000" s="2" t="s">
        <v>68</v>
      </c>
      <c r="G1000" s="2" t="s">
        <v>35</v>
      </c>
      <c r="H1000" s="2" t="s">
        <v>21</v>
      </c>
      <c r="I1000" s="2">
        <v>33</v>
      </c>
      <c r="J1000" s="2">
        <v>34</v>
      </c>
      <c r="K1000" s="2">
        <v>47689.16</v>
      </c>
      <c r="L1000" s="2">
        <v>410.99</v>
      </c>
      <c r="M1000" s="2">
        <v>137.37</v>
      </c>
      <c r="N1000" s="2" t="s">
        <v>30</v>
      </c>
      <c r="O1000" s="2">
        <v>2</v>
      </c>
    </row>
    <row r="1001" spans="1:15" x14ac:dyDescent="0.3">
      <c r="A1001" s="2" t="s">
        <v>1056</v>
      </c>
      <c r="B1001" s="2" t="s">
        <v>44</v>
      </c>
      <c r="C1001" s="1">
        <v>46157</v>
      </c>
      <c r="D1001" s="2" t="s">
        <v>24</v>
      </c>
      <c r="E1001" s="2" t="s">
        <v>58</v>
      </c>
      <c r="F1001" s="2" t="s">
        <v>34</v>
      </c>
      <c r="G1001" s="2" t="s">
        <v>55</v>
      </c>
      <c r="H1001" s="2" t="s">
        <v>56</v>
      </c>
      <c r="I1001" s="2">
        <v>43</v>
      </c>
      <c r="J1001" s="2">
        <v>44</v>
      </c>
      <c r="K1001" s="2">
        <v>45207.94</v>
      </c>
      <c r="L1001" s="2">
        <v>206.94</v>
      </c>
      <c r="M1001" s="2">
        <v>182.66</v>
      </c>
      <c r="N1001" s="2" t="s">
        <v>22</v>
      </c>
      <c r="O1001" s="2">
        <v>5</v>
      </c>
    </row>
    <row r="1002" spans="1:15" x14ac:dyDescent="0.3">
      <c r="A1002" s="2" t="s">
        <v>1057</v>
      </c>
      <c r="B1002" s="2" t="s">
        <v>86</v>
      </c>
      <c r="C1002" s="1">
        <v>46226</v>
      </c>
      <c r="D1002" s="2" t="s">
        <v>43</v>
      </c>
      <c r="E1002" s="2" t="s">
        <v>38</v>
      </c>
      <c r="F1002" s="2" t="s">
        <v>68</v>
      </c>
      <c r="G1002" s="2" t="s">
        <v>55</v>
      </c>
      <c r="H1002" s="2" t="s">
        <v>52</v>
      </c>
      <c r="I1002" s="2">
        <v>74</v>
      </c>
      <c r="J1002" s="2">
        <v>110</v>
      </c>
      <c r="K1002" s="2">
        <v>35828.46</v>
      </c>
      <c r="L1002" s="2">
        <v>362.24</v>
      </c>
      <c r="M1002" s="2">
        <v>121.72</v>
      </c>
      <c r="N1002" s="2" t="s">
        <v>30</v>
      </c>
      <c r="O1002" s="2">
        <v>1</v>
      </c>
    </row>
    <row r="1003" spans="1:15" x14ac:dyDescent="0.3">
      <c r="A1003" s="2" t="s">
        <v>1058</v>
      </c>
      <c r="B1003" s="2" t="s">
        <v>37</v>
      </c>
      <c r="C1003" s="1">
        <v>46151</v>
      </c>
      <c r="D1003" s="2" t="s">
        <v>41</v>
      </c>
      <c r="E1003" s="2" t="s">
        <v>45</v>
      </c>
      <c r="F1003" s="2" t="s">
        <v>68</v>
      </c>
      <c r="G1003" s="2" t="s">
        <v>28</v>
      </c>
      <c r="H1003" s="2" t="s">
        <v>52</v>
      </c>
      <c r="I1003" s="2">
        <v>42</v>
      </c>
      <c r="J1003" s="2">
        <v>6</v>
      </c>
      <c r="K1003" s="2">
        <v>40998.21</v>
      </c>
      <c r="L1003" s="2">
        <v>121.83</v>
      </c>
      <c r="M1003" s="2">
        <v>111.97</v>
      </c>
      <c r="N1003" s="2" t="s">
        <v>30</v>
      </c>
      <c r="O1003" s="2">
        <v>4</v>
      </c>
    </row>
  </sheetData>
  <mergeCells count="3">
    <mergeCell ref="A1:G2"/>
    <mergeCell ref="Q3:W4"/>
    <mergeCell ref="Q5:W6"/>
  </mergeCells>
  <dataValidations count="2">
    <dataValidation type="list" allowBlank="1" showInputMessage="1" showErrorMessage="1" sqref="Q3" xr:uid="{B40228EB-3333-44A2-ACC0-1CC3DA580CF9}">
      <formula1>$A$3:$B$3</formula1>
    </dataValidation>
    <dataValidation type="list" allowBlank="1" showInputMessage="1" showErrorMessage="1" sqref="Q5" xr:uid="{32478EE9-A4B4-4736-AAC6-585DA0BEB77A}">
      <formula1>INDEX($A$3:$B$1003,,MATCH($Q$3,A3:B3,0))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E08F5-1ECC-45D1-B44E-9DFC90F36A4B}">
  <dimension ref="A1:O2010"/>
  <sheetViews>
    <sheetView workbookViewId="0">
      <selection sqref="A1:D4"/>
    </sheetView>
  </sheetViews>
  <sheetFormatPr defaultRowHeight="14.4" x14ac:dyDescent="0.3"/>
  <cols>
    <col min="1" max="1" width="16.21875" bestFit="1" customWidth="1"/>
    <col min="2" max="2" width="8.33203125" style="9" bestFit="1" customWidth="1"/>
    <col min="3" max="3" width="11.109375" bestFit="1" customWidth="1"/>
    <col min="4" max="4" width="14.33203125" bestFit="1" customWidth="1"/>
    <col min="5" max="5" width="21.5546875" bestFit="1" customWidth="1"/>
    <col min="6" max="6" width="18.33203125" bestFit="1" customWidth="1"/>
    <col min="7" max="7" width="26.77734375" bestFit="1" customWidth="1"/>
    <col min="8" max="8" width="21.5546875" bestFit="1" customWidth="1"/>
    <col min="9" max="9" width="16.77734375" bestFit="1" customWidth="1"/>
    <col min="10" max="10" width="26.77734375" bestFit="1" customWidth="1"/>
    <col min="11" max="11" width="18.44140625" bestFit="1" customWidth="1"/>
    <col min="12" max="12" width="16.77734375" bestFit="1" customWidth="1"/>
    <col min="13" max="13" width="19.33203125" bestFit="1" customWidth="1"/>
    <col min="14" max="14" width="18.44140625" bestFit="1" customWidth="1"/>
    <col min="15" max="15" width="12.77734375" bestFit="1" customWidth="1"/>
  </cols>
  <sheetData>
    <row r="1" spans="1:15" ht="14.4" customHeight="1" x14ac:dyDescent="0.3">
      <c r="A1" s="35" t="s">
        <v>1060</v>
      </c>
      <c r="B1" s="35"/>
      <c r="C1" s="35"/>
      <c r="D1" s="35"/>
    </row>
    <row r="2" spans="1:15" ht="14.4" customHeight="1" x14ac:dyDescent="0.3">
      <c r="A2" s="35"/>
      <c r="B2" s="35"/>
      <c r="C2" s="35"/>
      <c r="D2" s="35"/>
    </row>
    <row r="3" spans="1:15" ht="14.4" customHeight="1" x14ac:dyDescent="0.3">
      <c r="A3" s="35"/>
      <c r="B3" s="35"/>
      <c r="C3" s="35"/>
      <c r="D3" s="35"/>
    </row>
    <row r="4" spans="1:15" ht="14.4" customHeight="1" x14ac:dyDescent="0.3">
      <c r="A4" s="36"/>
      <c r="B4" s="36"/>
      <c r="C4" s="36"/>
      <c r="D4" s="36"/>
    </row>
    <row r="5" spans="1:15" ht="18" x14ac:dyDescent="0.3">
      <c r="A5" s="4" t="s">
        <v>0</v>
      </c>
      <c r="B5" s="6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  <c r="N5" s="4" t="s">
        <v>13</v>
      </c>
      <c r="O5" s="4" t="s">
        <v>14</v>
      </c>
    </row>
    <row r="6" spans="1:15" x14ac:dyDescent="0.3">
      <c r="A6" s="2" t="s">
        <v>15</v>
      </c>
      <c r="B6" s="1" cm="1">
        <f t="array" ref="B6:O6">VLOOKUP($A$6,'Main Data'!A1:O1001,{2,3,4,5,6,7,8,9,10,11,12,13,14,15},0)</f>
        <v>46088</v>
      </c>
      <c r="C6" s="2" t="str">
        <v>Jamie</v>
      </c>
      <c r="D6" s="2" t="str">
        <v>BR-006</v>
      </c>
      <c r="E6" s="2" t="str">
        <v>East</v>
      </c>
      <c r="F6" s="2" t="str">
        <v>Wealth Management</v>
      </c>
      <c r="G6" s="2" t="str">
        <v>Walk-in</v>
      </c>
      <c r="H6" s="2" t="str">
        <v>Retail</v>
      </c>
      <c r="I6" s="2">
        <v>74</v>
      </c>
      <c r="J6" s="2">
        <v>16</v>
      </c>
      <c r="K6" s="2">
        <v>25114.07</v>
      </c>
      <c r="L6" s="2">
        <v>350.3</v>
      </c>
      <c r="M6" s="2">
        <v>179.26</v>
      </c>
      <c r="N6" s="2" t="str">
        <v>No</v>
      </c>
      <c r="O6" s="2">
        <v>4</v>
      </c>
    </row>
    <row r="7" spans="1:15" x14ac:dyDescent="0.3">
      <c r="B7"/>
    </row>
    <row r="8" spans="1:15" x14ac:dyDescent="0.3">
      <c r="B8"/>
    </row>
    <row r="9" spans="1:15" x14ac:dyDescent="0.3">
      <c r="B9"/>
    </row>
    <row r="10" spans="1:15" x14ac:dyDescent="0.3">
      <c r="B10"/>
    </row>
    <row r="11" spans="1:15" x14ac:dyDescent="0.3">
      <c r="B11"/>
    </row>
    <row r="12" spans="1:15" x14ac:dyDescent="0.3">
      <c r="B12"/>
    </row>
    <row r="13" spans="1:15" x14ac:dyDescent="0.3">
      <c r="B13"/>
    </row>
    <row r="14" spans="1:15" x14ac:dyDescent="0.3">
      <c r="B14"/>
    </row>
    <row r="15" spans="1:15" x14ac:dyDescent="0.3">
      <c r="B15"/>
    </row>
    <row r="16" spans="1:15" x14ac:dyDescent="0.3">
      <c r="B16"/>
    </row>
    <row r="17" spans="2:2" x14ac:dyDescent="0.3">
      <c r="B17"/>
    </row>
    <row r="18" spans="2:2" x14ac:dyDescent="0.3">
      <c r="B18"/>
    </row>
    <row r="19" spans="2:2" x14ac:dyDescent="0.3">
      <c r="B19"/>
    </row>
    <row r="20" spans="2:2" x14ac:dyDescent="0.3">
      <c r="B20"/>
    </row>
    <row r="21" spans="2:2" x14ac:dyDescent="0.3">
      <c r="B21"/>
    </row>
    <row r="22" spans="2:2" x14ac:dyDescent="0.3">
      <c r="B22"/>
    </row>
    <row r="23" spans="2:2" x14ac:dyDescent="0.3">
      <c r="B23"/>
    </row>
    <row r="24" spans="2:2" x14ac:dyDescent="0.3">
      <c r="B24"/>
    </row>
    <row r="25" spans="2:2" x14ac:dyDescent="0.3">
      <c r="B25"/>
    </row>
    <row r="26" spans="2:2" x14ac:dyDescent="0.3">
      <c r="B26"/>
    </row>
    <row r="27" spans="2:2" x14ac:dyDescent="0.3">
      <c r="B27"/>
    </row>
    <row r="28" spans="2:2" x14ac:dyDescent="0.3">
      <c r="B28"/>
    </row>
    <row r="29" spans="2:2" x14ac:dyDescent="0.3">
      <c r="B29"/>
    </row>
    <row r="30" spans="2:2" x14ac:dyDescent="0.3">
      <c r="B30"/>
    </row>
    <row r="31" spans="2:2" x14ac:dyDescent="0.3">
      <c r="B31"/>
    </row>
    <row r="32" spans="2:2" x14ac:dyDescent="0.3">
      <c r="B32"/>
    </row>
    <row r="33" spans="2:2" x14ac:dyDescent="0.3">
      <c r="B33"/>
    </row>
    <row r="34" spans="2:2" x14ac:dyDescent="0.3">
      <c r="B34"/>
    </row>
    <row r="35" spans="2:2" x14ac:dyDescent="0.3">
      <c r="B35"/>
    </row>
    <row r="36" spans="2:2" x14ac:dyDescent="0.3">
      <c r="B36"/>
    </row>
    <row r="37" spans="2:2" x14ac:dyDescent="0.3">
      <c r="B37"/>
    </row>
    <row r="38" spans="2:2" x14ac:dyDescent="0.3">
      <c r="B38"/>
    </row>
    <row r="39" spans="2:2" x14ac:dyDescent="0.3">
      <c r="B39"/>
    </row>
    <row r="40" spans="2:2" x14ac:dyDescent="0.3">
      <c r="B40"/>
    </row>
    <row r="41" spans="2:2" x14ac:dyDescent="0.3">
      <c r="B41"/>
    </row>
    <row r="42" spans="2:2" x14ac:dyDescent="0.3">
      <c r="B42"/>
    </row>
    <row r="43" spans="2:2" x14ac:dyDescent="0.3">
      <c r="B43"/>
    </row>
    <row r="44" spans="2:2" x14ac:dyDescent="0.3">
      <c r="B44"/>
    </row>
    <row r="45" spans="2:2" x14ac:dyDescent="0.3">
      <c r="B45"/>
    </row>
    <row r="46" spans="2:2" x14ac:dyDescent="0.3">
      <c r="B46"/>
    </row>
    <row r="47" spans="2:2" x14ac:dyDescent="0.3">
      <c r="B47"/>
    </row>
    <row r="48" spans="2:2" x14ac:dyDescent="0.3">
      <c r="B48"/>
    </row>
    <row r="49" spans="2:2" x14ac:dyDescent="0.3">
      <c r="B49"/>
    </row>
    <row r="50" spans="2:2" x14ac:dyDescent="0.3">
      <c r="B50"/>
    </row>
    <row r="51" spans="2:2" x14ac:dyDescent="0.3">
      <c r="B51"/>
    </row>
    <row r="52" spans="2:2" x14ac:dyDescent="0.3">
      <c r="B52"/>
    </row>
    <row r="53" spans="2:2" x14ac:dyDescent="0.3">
      <c r="B53"/>
    </row>
    <row r="54" spans="2:2" x14ac:dyDescent="0.3">
      <c r="B54"/>
    </row>
    <row r="55" spans="2:2" x14ac:dyDescent="0.3">
      <c r="B55"/>
    </row>
    <row r="56" spans="2:2" x14ac:dyDescent="0.3">
      <c r="B56"/>
    </row>
    <row r="57" spans="2:2" x14ac:dyDescent="0.3">
      <c r="B57"/>
    </row>
    <row r="58" spans="2:2" x14ac:dyDescent="0.3">
      <c r="B58"/>
    </row>
    <row r="59" spans="2:2" x14ac:dyDescent="0.3">
      <c r="B59"/>
    </row>
    <row r="60" spans="2:2" x14ac:dyDescent="0.3">
      <c r="B60"/>
    </row>
    <row r="61" spans="2:2" x14ac:dyDescent="0.3">
      <c r="B61"/>
    </row>
    <row r="62" spans="2:2" x14ac:dyDescent="0.3">
      <c r="B62"/>
    </row>
    <row r="63" spans="2:2" x14ac:dyDescent="0.3">
      <c r="B63"/>
    </row>
    <row r="64" spans="2:2" x14ac:dyDescent="0.3">
      <c r="B64"/>
    </row>
    <row r="65" spans="2:2" x14ac:dyDescent="0.3">
      <c r="B65"/>
    </row>
    <row r="66" spans="2:2" x14ac:dyDescent="0.3">
      <c r="B66"/>
    </row>
    <row r="67" spans="2:2" x14ac:dyDescent="0.3">
      <c r="B67"/>
    </row>
    <row r="68" spans="2:2" x14ac:dyDescent="0.3">
      <c r="B68"/>
    </row>
    <row r="69" spans="2:2" x14ac:dyDescent="0.3">
      <c r="B69"/>
    </row>
    <row r="70" spans="2:2" x14ac:dyDescent="0.3">
      <c r="B70"/>
    </row>
    <row r="71" spans="2:2" x14ac:dyDescent="0.3">
      <c r="B71"/>
    </row>
    <row r="72" spans="2:2" x14ac:dyDescent="0.3">
      <c r="B72"/>
    </row>
    <row r="73" spans="2:2" x14ac:dyDescent="0.3">
      <c r="B73"/>
    </row>
    <row r="74" spans="2:2" x14ac:dyDescent="0.3">
      <c r="B74"/>
    </row>
    <row r="75" spans="2:2" x14ac:dyDescent="0.3">
      <c r="B75"/>
    </row>
    <row r="76" spans="2:2" x14ac:dyDescent="0.3">
      <c r="B76"/>
    </row>
    <row r="77" spans="2:2" x14ac:dyDescent="0.3">
      <c r="B77"/>
    </row>
    <row r="78" spans="2:2" x14ac:dyDescent="0.3">
      <c r="B78"/>
    </row>
    <row r="79" spans="2:2" x14ac:dyDescent="0.3">
      <c r="B79"/>
    </row>
    <row r="80" spans="2:2" x14ac:dyDescent="0.3">
      <c r="B80"/>
    </row>
    <row r="81" spans="2:2" x14ac:dyDescent="0.3">
      <c r="B81"/>
    </row>
    <row r="82" spans="2:2" x14ac:dyDescent="0.3">
      <c r="B82"/>
    </row>
    <row r="83" spans="2:2" x14ac:dyDescent="0.3">
      <c r="B83"/>
    </row>
    <row r="84" spans="2:2" x14ac:dyDescent="0.3">
      <c r="B84"/>
    </row>
    <row r="85" spans="2:2" x14ac:dyDescent="0.3">
      <c r="B85"/>
    </row>
    <row r="86" spans="2:2" x14ac:dyDescent="0.3">
      <c r="B86"/>
    </row>
    <row r="87" spans="2:2" x14ac:dyDescent="0.3">
      <c r="B87"/>
    </row>
    <row r="88" spans="2:2" x14ac:dyDescent="0.3">
      <c r="B88"/>
    </row>
    <row r="89" spans="2:2" x14ac:dyDescent="0.3">
      <c r="B89"/>
    </row>
    <row r="90" spans="2:2" x14ac:dyDescent="0.3">
      <c r="B90"/>
    </row>
    <row r="91" spans="2:2" x14ac:dyDescent="0.3">
      <c r="B91"/>
    </row>
    <row r="92" spans="2:2" x14ac:dyDescent="0.3">
      <c r="B92"/>
    </row>
    <row r="93" spans="2:2" x14ac:dyDescent="0.3">
      <c r="B93"/>
    </row>
    <row r="94" spans="2:2" x14ac:dyDescent="0.3">
      <c r="B94"/>
    </row>
    <row r="95" spans="2:2" x14ac:dyDescent="0.3">
      <c r="B95"/>
    </row>
    <row r="96" spans="2:2" x14ac:dyDescent="0.3">
      <c r="B96"/>
    </row>
    <row r="97" spans="2:2" x14ac:dyDescent="0.3">
      <c r="B97"/>
    </row>
    <row r="98" spans="2:2" x14ac:dyDescent="0.3">
      <c r="B98"/>
    </row>
    <row r="99" spans="2:2" x14ac:dyDescent="0.3">
      <c r="B99"/>
    </row>
    <row r="100" spans="2:2" x14ac:dyDescent="0.3">
      <c r="B100"/>
    </row>
    <row r="101" spans="2:2" x14ac:dyDescent="0.3">
      <c r="B101"/>
    </row>
    <row r="102" spans="2:2" x14ac:dyDescent="0.3">
      <c r="B102"/>
    </row>
    <row r="103" spans="2:2" x14ac:dyDescent="0.3">
      <c r="B103"/>
    </row>
    <row r="104" spans="2:2" x14ac:dyDescent="0.3">
      <c r="B104"/>
    </row>
    <row r="105" spans="2:2" x14ac:dyDescent="0.3">
      <c r="B105"/>
    </row>
    <row r="106" spans="2:2" x14ac:dyDescent="0.3">
      <c r="B106"/>
    </row>
    <row r="107" spans="2:2" x14ac:dyDescent="0.3">
      <c r="B107"/>
    </row>
    <row r="108" spans="2:2" x14ac:dyDescent="0.3">
      <c r="B108"/>
    </row>
    <row r="109" spans="2:2" x14ac:dyDescent="0.3">
      <c r="B109"/>
    </row>
    <row r="110" spans="2:2" x14ac:dyDescent="0.3">
      <c r="B110"/>
    </row>
    <row r="111" spans="2:2" x14ac:dyDescent="0.3">
      <c r="B111"/>
    </row>
    <row r="112" spans="2:2" x14ac:dyDescent="0.3">
      <c r="B112"/>
    </row>
    <row r="113" spans="2:2" x14ac:dyDescent="0.3">
      <c r="B113"/>
    </row>
    <row r="114" spans="2:2" x14ac:dyDescent="0.3">
      <c r="B114"/>
    </row>
    <row r="115" spans="2:2" x14ac:dyDescent="0.3">
      <c r="B115"/>
    </row>
    <row r="116" spans="2:2" x14ac:dyDescent="0.3">
      <c r="B116"/>
    </row>
    <row r="117" spans="2:2" x14ac:dyDescent="0.3">
      <c r="B117"/>
    </row>
    <row r="118" spans="2:2" x14ac:dyDescent="0.3">
      <c r="B118"/>
    </row>
    <row r="119" spans="2:2" x14ac:dyDescent="0.3">
      <c r="B119"/>
    </row>
    <row r="120" spans="2:2" x14ac:dyDescent="0.3">
      <c r="B120"/>
    </row>
    <row r="121" spans="2:2" x14ac:dyDescent="0.3">
      <c r="B121"/>
    </row>
    <row r="122" spans="2:2" x14ac:dyDescent="0.3">
      <c r="B122"/>
    </row>
    <row r="123" spans="2:2" x14ac:dyDescent="0.3">
      <c r="B123"/>
    </row>
    <row r="124" spans="2:2" x14ac:dyDescent="0.3">
      <c r="B124"/>
    </row>
    <row r="125" spans="2:2" x14ac:dyDescent="0.3">
      <c r="B125"/>
    </row>
    <row r="126" spans="2:2" x14ac:dyDescent="0.3">
      <c r="B126"/>
    </row>
    <row r="127" spans="2:2" x14ac:dyDescent="0.3">
      <c r="B127"/>
    </row>
    <row r="128" spans="2:2" x14ac:dyDescent="0.3">
      <c r="B128"/>
    </row>
    <row r="129" spans="2:2" x14ac:dyDescent="0.3">
      <c r="B129"/>
    </row>
    <row r="130" spans="2:2" x14ac:dyDescent="0.3">
      <c r="B130"/>
    </row>
    <row r="131" spans="2:2" x14ac:dyDescent="0.3">
      <c r="B131"/>
    </row>
    <row r="132" spans="2:2" x14ac:dyDescent="0.3">
      <c r="B132"/>
    </row>
    <row r="133" spans="2:2" x14ac:dyDescent="0.3">
      <c r="B133"/>
    </row>
    <row r="134" spans="2:2" x14ac:dyDescent="0.3">
      <c r="B134"/>
    </row>
    <row r="135" spans="2:2" x14ac:dyDescent="0.3">
      <c r="B135"/>
    </row>
    <row r="136" spans="2:2" x14ac:dyDescent="0.3">
      <c r="B136"/>
    </row>
    <row r="137" spans="2:2" x14ac:dyDescent="0.3">
      <c r="B137"/>
    </row>
    <row r="138" spans="2:2" x14ac:dyDescent="0.3">
      <c r="B138"/>
    </row>
    <row r="139" spans="2:2" x14ac:dyDescent="0.3">
      <c r="B139"/>
    </row>
    <row r="140" spans="2:2" x14ac:dyDescent="0.3">
      <c r="B140"/>
    </row>
    <row r="141" spans="2:2" x14ac:dyDescent="0.3">
      <c r="B141"/>
    </row>
    <row r="142" spans="2:2" x14ac:dyDescent="0.3">
      <c r="B142"/>
    </row>
    <row r="143" spans="2:2" x14ac:dyDescent="0.3">
      <c r="B143"/>
    </row>
    <row r="144" spans="2:2" x14ac:dyDescent="0.3">
      <c r="B144"/>
    </row>
    <row r="145" spans="2:2" x14ac:dyDescent="0.3">
      <c r="B145"/>
    </row>
    <row r="146" spans="2:2" x14ac:dyDescent="0.3">
      <c r="B146"/>
    </row>
    <row r="147" spans="2:2" x14ac:dyDescent="0.3">
      <c r="B147"/>
    </row>
    <row r="148" spans="2:2" x14ac:dyDescent="0.3">
      <c r="B148"/>
    </row>
    <row r="149" spans="2:2" x14ac:dyDescent="0.3">
      <c r="B149"/>
    </row>
    <row r="150" spans="2:2" x14ac:dyDescent="0.3">
      <c r="B150"/>
    </row>
    <row r="151" spans="2:2" x14ac:dyDescent="0.3">
      <c r="B151"/>
    </row>
    <row r="152" spans="2:2" x14ac:dyDescent="0.3">
      <c r="B152"/>
    </row>
    <row r="153" spans="2:2" x14ac:dyDescent="0.3">
      <c r="B153"/>
    </row>
    <row r="154" spans="2:2" x14ac:dyDescent="0.3">
      <c r="B154"/>
    </row>
    <row r="155" spans="2:2" x14ac:dyDescent="0.3">
      <c r="B155"/>
    </row>
    <row r="156" spans="2:2" x14ac:dyDescent="0.3">
      <c r="B156"/>
    </row>
    <row r="157" spans="2:2" x14ac:dyDescent="0.3">
      <c r="B157"/>
    </row>
    <row r="158" spans="2:2" x14ac:dyDescent="0.3">
      <c r="B158"/>
    </row>
    <row r="159" spans="2:2" x14ac:dyDescent="0.3">
      <c r="B159"/>
    </row>
    <row r="160" spans="2:2" x14ac:dyDescent="0.3">
      <c r="B160"/>
    </row>
    <row r="161" spans="2:2" x14ac:dyDescent="0.3">
      <c r="B161"/>
    </row>
    <row r="162" spans="2:2" x14ac:dyDescent="0.3">
      <c r="B162"/>
    </row>
    <row r="163" spans="2:2" x14ac:dyDescent="0.3">
      <c r="B163"/>
    </row>
    <row r="164" spans="2:2" x14ac:dyDescent="0.3">
      <c r="B164"/>
    </row>
    <row r="165" spans="2:2" x14ac:dyDescent="0.3">
      <c r="B165"/>
    </row>
    <row r="166" spans="2:2" x14ac:dyDescent="0.3">
      <c r="B166"/>
    </row>
    <row r="167" spans="2:2" x14ac:dyDescent="0.3">
      <c r="B167"/>
    </row>
    <row r="168" spans="2:2" x14ac:dyDescent="0.3">
      <c r="B168"/>
    </row>
    <row r="169" spans="2:2" x14ac:dyDescent="0.3">
      <c r="B169"/>
    </row>
    <row r="170" spans="2:2" x14ac:dyDescent="0.3">
      <c r="B170"/>
    </row>
    <row r="171" spans="2:2" x14ac:dyDescent="0.3">
      <c r="B171"/>
    </row>
    <row r="172" spans="2:2" x14ac:dyDescent="0.3">
      <c r="B172"/>
    </row>
    <row r="173" spans="2:2" x14ac:dyDescent="0.3">
      <c r="B173"/>
    </row>
    <row r="174" spans="2:2" x14ac:dyDescent="0.3">
      <c r="B174"/>
    </row>
    <row r="175" spans="2:2" x14ac:dyDescent="0.3">
      <c r="B175"/>
    </row>
    <row r="176" spans="2:2" x14ac:dyDescent="0.3">
      <c r="B176"/>
    </row>
    <row r="177" spans="2:2" x14ac:dyDescent="0.3">
      <c r="B177"/>
    </row>
    <row r="178" spans="2:2" x14ac:dyDescent="0.3">
      <c r="B178"/>
    </row>
    <row r="179" spans="2:2" x14ac:dyDescent="0.3">
      <c r="B179"/>
    </row>
    <row r="180" spans="2:2" x14ac:dyDescent="0.3">
      <c r="B180"/>
    </row>
    <row r="181" spans="2:2" x14ac:dyDescent="0.3">
      <c r="B181"/>
    </row>
    <row r="182" spans="2:2" x14ac:dyDescent="0.3">
      <c r="B182"/>
    </row>
    <row r="183" spans="2:2" x14ac:dyDescent="0.3">
      <c r="B183"/>
    </row>
    <row r="184" spans="2:2" x14ac:dyDescent="0.3">
      <c r="B184"/>
    </row>
    <row r="185" spans="2:2" x14ac:dyDescent="0.3">
      <c r="B185"/>
    </row>
    <row r="186" spans="2:2" x14ac:dyDescent="0.3">
      <c r="B186"/>
    </row>
    <row r="187" spans="2:2" x14ac:dyDescent="0.3">
      <c r="B187"/>
    </row>
    <row r="188" spans="2:2" x14ac:dyDescent="0.3">
      <c r="B188"/>
    </row>
    <row r="189" spans="2:2" x14ac:dyDescent="0.3">
      <c r="B189"/>
    </row>
    <row r="190" spans="2:2" x14ac:dyDescent="0.3">
      <c r="B190"/>
    </row>
    <row r="191" spans="2:2" x14ac:dyDescent="0.3">
      <c r="B191"/>
    </row>
    <row r="192" spans="2:2" x14ac:dyDescent="0.3">
      <c r="B192"/>
    </row>
    <row r="193" spans="2:2" x14ac:dyDescent="0.3">
      <c r="B193"/>
    </row>
    <row r="194" spans="2:2" x14ac:dyDescent="0.3">
      <c r="B194"/>
    </row>
    <row r="195" spans="2:2" x14ac:dyDescent="0.3">
      <c r="B195"/>
    </row>
    <row r="196" spans="2:2" x14ac:dyDescent="0.3">
      <c r="B196"/>
    </row>
    <row r="197" spans="2:2" x14ac:dyDescent="0.3">
      <c r="B197"/>
    </row>
    <row r="198" spans="2:2" x14ac:dyDescent="0.3">
      <c r="B198"/>
    </row>
    <row r="199" spans="2:2" x14ac:dyDescent="0.3">
      <c r="B199"/>
    </row>
    <row r="200" spans="2:2" x14ac:dyDescent="0.3">
      <c r="B200"/>
    </row>
    <row r="201" spans="2:2" x14ac:dyDescent="0.3">
      <c r="B201"/>
    </row>
    <row r="202" spans="2:2" x14ac:dyDescent="0.3">
      <c r="B202"/>
    </row>
    <row r="203" spans="2:2" x14ac:dyDescent="0.3">
      <c r="B203"/>
    </row>
    <row r="204" spans="2:2" x14ac:dyDescent="0.3">
      <c r="B204"/>
    </row>
    <row r="205" spans="2:2" x14ac:dyDescent="0.3">
      <c r="B205"/>
    </row>
    <row r="206" spans="2:2" x14ac:dyDescent="0.3">
      <c r="B206"/>
    </row>
    <row r="207" spans="2:2" x14ac:dyDescent="0.3">
      <c r="B207"/>
    </row>
    <row r="208" spans="2:2" x14ac:dyDescent="0.3">
      <c r="B208"/>
    </row>
    <row r="209" spans="2:2" x14ac:dyDescent="0.3">
      <c r="B209"/>
    </row>
    <row r="210" spans="2:2" x14ac:dyDescent="0.3">
      <c r="B210"/>
    </row>
    <row r="211" spans="2:2" x14ac:dyDescent="0.3">
      <c r="B211"/>
    </row>
    <row r="212" spans="2:2" x14ac:dyDescent="0.3">
      <c r="B212"/>
    </row>
    <row r="213" spans="2:2" x14ac:dyDescent="0.3">
      <c r="B213"/>
    </row>
    <row r="214" spans="2:2" x14ac:dyDescent="0.3">
      <c r="B214"/>
    </row>
    <row r="215" spans="2:2" x14ac:dyDescent="0.3">
      <c r="B215"/>
    </row>
    <row r="216" spans="2:2" x14ac:dyDescent="0.3">
      <c r="B216"/>
    </row>
    <row r="217" spans="2:2" x14ac:dyDescent="0.3">
      <c r="B217"/>
    </row>
    <row r="218" spans="2:2" x14ac:dyDescent="0.3">
      <c r="B218"/>
    </row>
    <row r="219" spans="2:2" x14ac:dyDescent="0.3">
      <c r="B219"/>
    </row>
    <row r="220" spans="2:2" x14ac:dyDescent="0.3">
      <c r="B220"/>
    </row>
    <row r="221" spans="2:2" x14ac:dyDescent="0.3">
      <c r="B221"/>
    </row>
    <row r="222" spans="2:2" x14ac:dyDescent="0.3">
      <c r="B222"/>
    </row>
    <row r="223" spans="2:2" x14ac:dyDescent="0.3">
      <c r="B223"/>
    </row>
    <row r="224" spans="2:2" x14ac:dyDescent="0.3">
      <c r="B224"/>
    </row>
    <row r="225" spans="2:2" x14ac:dyDescent="0.3">
      <c r="B225"/>
    </row>
    <row r="226" spans="2:2" x14ac:dyDescent="0.3">
      <c r="B226"/>
    </row>
    <row r="227" spans="2:2" x14ac:dyDescent="0.3">
      <c r="B227"/>
    </row>
    <row r="228" spans="2:2" x14ac:dyDescent="0.3">
      <c r="B228"/>
    </row>
    <row r="229" spans="2:2" x14ac:dyDescent="0.3">
      <c r="B229"/>
    </row>
    <row r="230" spans="2:2" x14ac:dyDescent="0.3">
      <c r="B230"/>
    </row>
    <row r="231" spans="2:2" x14ac:dyDescent="0.3">
      <c r="B231"/>
    </row>
    <row r="232" spans="2:2" x14ac:dyDescent="0.3">
      <c r="B232"/>
    </row>
    <row r="233" spans="2:2" x14ac:dyDescent="0.3">
      <c r="B233"/>
    </row>
    <row r="234" spans="2:2" x14ac:dyDescent="0.3">
      <c r="B234"/>
    </row>
    <row r="235" spans="2:2" x14ac:dyDescent="0.3">
      <c r="B235"/>
    </row>
    <row r="236" spans="2:2" x14ac:dyDescent="0.3">
      <c r="B236"/>
    </row>
    <row r="237" spans="2:2" x14ac:dyDescent="0.3">
      <c r="B237"/>
    </row>
    <row r="238" spans="2:2" x14ac:dyDescent="0.3">
      <c r="B238"/>
    </row>
    <row r="239" spans="2:2" x14ac:dyDescent="0.3">
      <c r="B239"/>
    </row>
    <row r="240" spans="2:2" x14ac:dyDescent="0.3">
      <c r="B240"/>
    </row>
    <row r="241" spans="2:2" x14ac:dyDescent="0.3">
      <c r="B241"/>
    </row>
    <row r="242" spans="2:2" x14ac:dyDescent="0.3">
      <c r="B242"/>
    </row>
    <row r="243" spans="2:2" x14ac:dyDescent="0.3">
      <c r="B243"/>
    </row>
    <row r="244" spans="2:2" x14ac:dyDescent="0.3">
      <c r="B244"/>
    </row>
    <row r="245" spans="2:2" x14ac:dyDescent="0.3">
      <c r="B245"/>
    </row>
    <row r="246" spans="2:2" x14ac:dyDescent="0.3">
      <c r="B246"/>
    </row>
    <row r="247" spans="2:2" x14ac:dyDescent="0.3">
      <c r="B247"/>
    </row>
    <row r="248" spans="2:2" x14ac:dyDescent="0.3">
      <c r="B248"/>
    </row>
    <row r="249" spans="2:2" x14ac:dyDescent="0.3">
      <c r="B249"/>
    </row>
    <row r="250" spans="2:2" x14ac:dyDescent="0.3">
      <c r="B250"/>
    </row>
    <row r="251" spans="2:2" x14ac:dyDescent="0.3">
      <c r="B251"/>
    </row>
    <row r="252" spans="2:2" x14ac:dyDescent="0.3">
      <c r="B252"/>
    </row>
    <row r="253" spans="2:2" x14ac:dyDescent="0.3">
      <c r="B253"/>
    </row>
    <row r="254" spans="2:2" x14ac:dyDescent="0.3">
      <c r="B254"/>
    </row>
    <row r="255" spans="2:2" x14ac:dyDescent="0.3">
      <c r="B255"/>
    </row>
    <row r="256" spans="2:2" x14ac:dyDescent="0.3">
      <c r="B256"/>
    </row>
    <row r="257" spans="2:2" x14ac:dyDescent="0.3">
      <c r="B257"/>
    </row>
    <row r="258" spans="2:2" x14ac:dyDescent="0.3">
      <c r="B258"/>
    </row>
    <row r="259" spans="2:2" x14ac:dyDescent="0.3">
      <c r="B259"/>
    </row>
    <row r="260" spans="2:2" x14ac:dyDescent="0.3">
      <c r="B260"/>
    </row>
    <row r="261" spans="2:2" x14ac:dyDescent="0.3">
      <c r="B261"/>
    </row>
    <row r="262" spans="2:2" x14ac:dyDescent="0.3">
      <c r="B262"/>
    </row>
    <row r="263" spans="2:2" x14ac:dyDescent="0.3">
      <c r="B263"/>
    </row>
    <row r="264" spans="2:2" x14ac:dyDescent="0.3">
      <c r="B264"/>
    </row>
    <row r="265" spans="2:2" x14ac:dyDescent="0.3">
      <c r="B265"/>
    </row>
    <row r="266" spans="2:2" x14ac:dyDescent="0.3">
      <c r="B266"/>
    </row>
    <row r="267" spans="2:2" x14ac:dyDescent="0.3">
      <c r="B267"/>
    </row>
    <row r="268" spans="2:2" x14ac:dyDescent="0.3">
      <c r="B268"/>
    </row>
    <row r="269" spans="2:2" x14ac:dyDescent="0.3">
      <c r="B269"/>
    </row>
    <row r="270" spans="2:2" x14ac:dyDescent="0.3">
      <c r="B270"/>
    </row>
    <row r="271" spans="2:2" x14ac:dyDescent="0.3">
      <c r="B271"/>
    </row>
    <row r="272" spans="2:2" x14ac:dyDescent="0.3">
      <c r="B272"/>
    </row>
    <row r="273" spans="2:2" x14ac:dyDescent="0.3">
      <c r="B273"/>
    </row>
    <row r="274" spans="2:2" x14ac:dyDescent="0.3">
      <c r="B274"/>
    </row>
    <row r="275" spans="2:2" x14ac:dyDescent="0.3">
      <c r="B275"/>
    </row>
    <row r="276" spans="2:2" x14ac:dyDescent="0.3">
      <c r="B276"/>
    </row>
    <row r="277" spans="2:2" x14ac:dyDescent="0.3">
      <c r="B277"/>
    </row>
    <row r="278" spans="2:2" x14ac:dyDescent="0.3">
      <c r="B278"/>
    </row>
    <row r="279" spans="2:2" x14ac:dyDescent="0.3">
      <c r="B279"/>
    </row>
    <row r="280" spans="2:2" x14ac:dyDescent="0.3">
      <c r="B280"/>
    </row>
    <row r="281" spans="2:2" x14ac:dyDescent="0.3">
      <c r="B281"/>
    </row>
    <row r="282" spans="2:2" x14ac:dyDescent="0.3">
      <c r="B282"/>
    </row>
    <row r="283" spans="2:2" x14ac:dyDescent="0.3">
      <c r="B283"/>
    </row>
    <row r="284" spans="2:2" x14ac:dyDescent="0.3">
      <c r="B284"/>
    </row>
    <row r="285" spans="2:2" x14ac:dyDescent="0.3">
      <c r="B285"/>
    </row>
    <row r="286" spans="2:2" x14ac:dyDescent="0.3">
      <c r="B286"/>
    </row>
    <row r="287" spans="2:2" x14ac:dyDescent="0.3">
      <c r="B287"/>
    </row>
    <row r="288" spans="2:2" x14ac:dyDescent="0.3">
      <c r="B288"/>
    </row>
    <row r="289" spans="2:2" x14ac:dyDescent="0.3">
      <c r="B289"/>
    </row>
    <row r="290" spans="2:2" x14ac:dyDescent="0.3">
      <c r="B290"/>
    </row>
    <row r="291" spans="2:2" x14ac:dyDescent="0.3">
      <c r="B291"/>
    </row>
    <row r="292" spans="2:2" x14ac:dyDescent="0.3">
      <c r="B292"/>
    </row>
    <row r="293" spans="2:2" x14ac:dyDescent="0.3">
      <c r="B293"/>
    </row>
    <row r="294" spans="2:2" x14ac:dyDescent="0.3">
      <c r="B294"/>
    </row>
    <row r="295" spans="2:2" x14ac:dyDescent="0.3">
      <c r="B295"/>
    </row>
    <row r="296" spans="2:2" x14ac:dyDescent="0.3">
      <c r="B296"/>
    </row>
    <row r="297" spans="2:2" x14ac:dyDescent="0.3">
      <c r="B297"/>
    </row>
    <row r="298" spans="2:2" x14ac:dyDescent="0.3">
      <c r="B298"/>
    </row>
    <row r="299" spans="2:2" x14ac:dyDescent="0.3">
      <c r="B299"/>
    </row>
    <row r="300" spans="2:2" x14ac:dyDescent="0.3">
      <c r="B300"/>
    </row>
    <row r="301" spans="2:2" x14ac:dyDescent="0.3">
      <c r="B301"/>
    </row>
    <row r="302" spans="2:2" x14ac:dyDescent="0.3">
      <c r="B302"/>
    </row>
    <row r="303" spans="2:2" x14ac:dyDescent="0.3">
      <c r="B303"/>
    </row>
    <row r="304" spans="2:2" x14ac:dyDescent="0.3">
      <c r="B304"/>
    </row>
    <row r="305" spans="2:2" x14ac:dyDescent="0.3">
      <c r="B305"/>
    </row>
    <row r="306" spans="2:2" x14ac:dyDescent="0.3">
      <c r="B306"/>
    </row>
    <row r="307" spans="2:2" x14ac:dyDescent="0.3">
      <c r="B307"/>
    </row>
    <row r="308" spans="2:2" x14ac:dyDescent="0.3">
      <c r="B308"/>
    </row>
    <row r="309" spans="2:2" x14ac:dyDescent="0.3">
      <c r="B309"/>
    </row>
    <row r="310" spans="2:2" x14ac:dyDescent="0.3">
      <c r="B310"/>
    </row>
    <row r="311" spans="2:2" x14ac:dyDescent="0.3">
      <c r="B311"/>
    </row>
    <row r="312" spans="2:2" x14ac:dyDescent="0.3">
      <c r="B312"/>
    </row>
    <row r="313" spans="2:2" x14ac:dyDescent="0.3">
      <c r="B313"/>
    </row>
    <row r="314" spans="2:2" x14ac:dyDescent="0.3">
      <c r="B314"/>
    </row>
    <row r="315" spans="2:2" x14ac:dyDescent="0.3">
      <c r="B315"/>
    </row>
    <row r="316" spans="2:2" x14ac:dyDescent="0.3">
      <c r="B316"/>
    </row>
    <row r="317" spans="2:2" x14ac:dyDescent="0.3">
      <c r="B317"/>
    </row>
    <row r="318" spans="2:2" x14ac:dyDescent="0.3">
      <c r="B318"/>
    </row>
    <row r="319" spans="2:2" x14ac:dyDescent="0.3">
      <c r="B319"/>
    </row>
    <row r="320" spans="2:2" x14ac:dyDescent="0.3">
      <c r="B320"/>
    </row>
    <row r="321" spans="2:2" x14ac:dyDescent="0.3">
      <c r="B321"/>
    </row>
    <row r="322" spans="2:2" x14ac:dyDescent="0.3">
      <c r="B322"/>
    </row>
    <row r="323" spans="2:2" x14ac:dyDescent="0.3">
      <c r="B323"/>
    </row>
    <row r="324" spans="2:2" x14ac:dyDescent="0.3">
      <c r="B324"/>
    </row>
    <row r="325" spans="2:2" x14ac:dyDescent="0.3">
      <c r="B325"/>
    </row>
    <row r="326" spans="2:2" x14ac:dyDescent="0.3">
      <c r="B326"/>
    </row>
    <row r="327" spans="2:2" x14ac:dyDescent="0.3">
      <c r="B327"/>
    </row>
    <row r="328" spans="2:2" x14ac:dyDescent="0.3">
      <c r="B328"/>
    </row>
    <row r="329" spans="2:2" x14ac:dyDescent="0.3">
      <c r="B329"/>
    </row>
    <row r="330" spans="2:2" x14ac:dyDescent="0.3">
      <c r="B330"/>
    </row>
    <row r="331" spans="2:2" x14ac:dyDescent="0.3">
      <c r="B331"/>
    </row>
    <row r="332" spans="2:2" x14ac:dyDescent="0.3">
      <c r="B332"/>
    </row>
    <row r="333" spans="2:2" x14ac:dyDescent="0.3">
      <c r="B333"/>
    </row>
    <row r="334" spans="2:2" x14ac:dyDescent="0.3">
      <c r="B334"/>
    </row>
    <row r="335" spans="2:2" x14ac:dyDescent="0.3">
      <c r="B335"/>
    </row>
    <row r="336" spans="2:2" x14ac:dyDescent="0.3">
      <c r="B336"/>
    </row>
    <row r="337" spans="2:2" x14ac:dyDescent="0.3">
      <c r="B337"/>
    </row>
    <row r="338" spans="2:2" x14ac:dyDescent="0.3">
      <c r="B338"/>
    </row>
    <row r="339" spans="2:2" x14ac:dyDescent="0.3">
      <c r="B339"/>
    </row>
    <row r="340" spans="2:2" x14ac:dyDescent="0.3">
      <c r="B340"/>
    </row>
    <row r="341" spans="2:2" x14ac:dyDescent="0.3">
      <c r="B341"/>
    </row>
    <row r="342" spans="2:2" x14ac:dyDescent="0.3">
      <c r="B342"/>
    </row>
    <row r="343" spans="2:2" x14ac:dyDescent="0.3">
      <c r="B343"/>
    </row>
    <row r="344" spans="2:2" x14ac:dyDescent="0.3">
      <c r="B344"/>
    </row>
    <row r="345" spans="2:2" x14ac:dyDescent="0.3">
      <c r="B345"/>
    </row>
    <row r="346" spans="2:2" x14ac:dyDescent="0.3">
      <c r="B346"/>
    </row>
    <row r="347" spans="2:2" x14ac:dyDescent="0.3">
      <c r="B347"/>
    </row>
    <row r="348" spans="2:2" x14ac:dyDescent="0.3">
      <c r="B348"/>
    </row>
    <row r="349" spans="2:2" x14ac:dyDescent="0.3">
      <c r="B349"/>
    </row>
    <row r="350" spans="2:2" x14ac:dyDescent="0.3">
      <c r="B350"/>
    </row>
    <row r="351" spans="2:2" x14ac:dyDescent="0.3">
      <c r="B351"/>
    </row>
    <row r="352" spans="2:2" x14ac:dyDescent="0.3">
      <c r="B352"/>
    </row>
    <row r="353" spans="2:2" x14ac:dyDescent="0.3">
      <c r="B353"/>
    </row>
    <row r="354" spans="2:2" x14ac:dyDescent="0.3">
      <c r="B354"/>
    </row>
    <row r="355" spans="2:2" x14ac:dyDescent="0.3">
      <c r="B355"/>
    </row>
    <row r="356" spans="2:2" x14ac:dyDescent="0.3">
      <c r="B356"/>
    </row>
    <row r="357" spans="2:2" x14ac:dyDescent="0.3">
      <c r="B357"/>
    </row>
    <row r="358" spans="2:2" x14ac:dyDescent="0.3">
      <c r="B358"/>
    </row>
    <row r="359" spans="2:2" x14ac:dyDescent="0.3">
      <c r="B359"/>
    </row>
    <row r="360" spans="2:2" x14ac:dyDescent="0.3">
      <c r="B360"/>
    </row>
    <row r="361" spans="2:2" x14ac:dyDescent="0.3">
      <c r="B361"/>
    </row>
    <row r="362" spans="2:2" x14ac:dyDescent="0.3">
      <c r="B362"/>
    </row>
    <row r="363" spans="2:2" x14ac:dyDescent="0.3">
      <c r="B363"/>
    </row>
    <row r="364" spans="2:2" x14ac:dyDescent="0.3">
      <c r="B364"/>
    </row>
    <row r="365" spans="2:2" x14ac:dyDescent="0.3">
      <c r="B365"/>
    </row>
    <row r="366" spans="2:2" x14ac:dyDescent="0.3">
      <c r="B366"/>
    </row>
    <row r="367" spans="2:2" x14ac:dyDescent="0.3">
      <c r="B367"/>
    </row>
    <row r="368" spans="2:2" x14ac:dyDescent="0.3">
      <c r="B368"/>
    </row>
    <row r="369" spans="2:2" x14ac:dyDescent="0.3">
      <c r="B369"/>
    </row>
    <row r="370" spans="2:2" x14ac:dyDescent="0.3">
      <c r="B370"/>
    </row>
    <row r="371" spans="2:2" x14ac:dyDescent="0.3">
      <c r="B371"/>
    </row>
    <row r="372" spans="2:2" x14ac:dyDescent="0.3">
      <c r="B372"/>
    </row>
    <row r="373" spans="2:2" x14ac:dyDescent="0.3">
      <c r="B373"/>
    </row>
    <row r="374" spans="2:2" x14ac:dyDescent="0.3">
      <c r="B374"/>
    </row>
    <row r="375" spans="2:2" x14ac:dyDescent="0.3">
      <c r="B375"/>
    </row>
    <row r="376" spans="2:2" x14ac:dyDescent="0.3">
      <c r="B376"/>
    </row>
    <row r="377" spans="2:2" x14ac:dyDescent="0.3">
      <c r="B377"/>
    </row>
    <row r="378" spans="2:2" x14ac:dyDescent="0.3">
      <c r="B378"/>
    </row>
    <row r="379" spans="2:2" x14ac:dyDescent="0.3">
      <c r="B379"/>
    </row>
    <row r="380" spans="2:2" x14ac:dyDescent="0.3">
      <c r="B380"/>
    </row>
    <row r="381" spans="2:2" x14ac:dyDescent="0.3">
      <c r="B381"/>
    </row>
    <row r="382" spans="2:2" x14ac:dyDescent="0.3">
      <c r="B382"/>
    </row>
    <row r="383" spans="2:2" x14ac:dyDescent="0.3">
      <c r="B383"/>
    </row>
    <row r="384" spans="2:2" x14ac:dyDescent="0.3">
      <c r="B384"/>
    </row>
    <row r="385" spans="2:2" x14ac:dyDescent="0.3">
      <c r="B385"/>
    </row>
    <row r="386" spans="2:2" x14ac:dyDescent="0.3">
      <c r="B386"/>
    </row>
    <row r="387" spans="2:2" x14ac:dyDescent="0.3">
      <c r="B387"/>
    </row>
    <row r="388" spans="2:2" x14ac:dyDescent="0.3">
      <c r="B388"/>
    </row>
    <row r="389" spans="2:2" x14ac:dyDescent="0.3">
      <c r="B389"/>
    </row>
    <row r="390" spans="2:2" x14ac:dyDescent="0.3">
      <c r="B390"/>
    </row>
    <row r="391" spans="2:2" x14ac:dyDescent="0.3">
      <c r="B391"/>
    </row>
    <row r="392" spans="2:2" x14ac:dyDescent="0.3">
      <c r="B392"/>
    </row>
    <row r="393" spans="2:2" x14ac:dyDescent="0.3">
      <c r="B393"/>
    </row>
    <row r="394" spans="2:2" x14ac:dyDescent="0.3">
      <c r="B394"/>
    </row>
    <row r="395" spans="2:2" x14ac:dyDescent="0.3">
      <c r="B395"/>
    </row>
    <row r="396" spans="2:2" x14ac:dyDescent="0.3">
      <c r="B396"/>
    </row>
    <row r="397" spans="2:2" x14ac:dyDescent="0.3">
      <c r="B397"/>
    </row>
    <row r="398" spans="2:2" x14ac:dyDescent="0.3">
      <c r="B398"/>
    </row>
    <row r="399" spans="2:2" x14ac:dyDescent="0.3">
      <c r="B399"/>
    </row>
    <row r="400" spans="2:2" x14ac:dyDescent="0.3">
      <c r="B400"/>
    </row>
    <row r="401" spans="2:2" x14ac:dyDescent="0.3">
      <c r="B401"/>
    </row>
    <row r="402" spans="2:2" x14ac:dyDescent="0.3">
      <c r="B402"/>
    </row>
    <row r="403" spans="2:2" x14ac:dyDescent="0.3">
      <c r="B403"/>
    </row>
    <row r="404" spans="2:2" x14ac:dyDescent="0.3">
      <c r="B404"/>
    </row>
    <row r="405" spans="2:2" x14ac:dyDescent="0.3">
      <c r="B405"/>
    </row>
    <row r="406" spans="2:2" x14ac:dyDescent="0.3">
      <c r="B406"/>
    </row>
    <row r="407" spans="2:2" x14ac:dyDescent="0.3">
      <c r="B407"/>
    </row>
    <row r="408" spans="2:2" x14ac:dyDescent="0.3">
      <c r="B408"/>
    </row>
    <row r="409" spans="2:2" x14ac:dyDescent="0.3">
      <c r="B409"/>
    </row>
    <row r="410" spans="2:2" x14ac:dyDescent="0.3">
      <c r="B410"/>
    </row>
    <row r="411" spans="2:2" x14ac:dyDescent="0.3">
      <c r="B411"/>
    </row>
    <row r="412" spans="2:2" x14ac:dyDescent="0.3">
      <c r="B412"/>
    </row>
    <row r="413" spans="2:2" x14ac:dyDescent="0.3">
      <c r="B413"/>
    </row>
    <row r="414" spans="2:2" x14ac:dyDescent="0.3">
      <c r="B414"/>
    </row>
    <row r="415" spans="2:2" x14ac:dyDescent="0.3">
      <c r="B415"/>
    </row>
    <row r="416" spans="2:2" x14ac:dyDescent="0.3">
      <c r="B416"/>
    </row>
    <row r="417" spans="2:2" x14ac:dyDescent="0.3">
      <c r="B417"/>
    </row>
    <row r="418" spans="2:2" x14ac:dyDescent="0.3">
      <c r="B418"/>
    </row>
    <row r="419" spans="2:2" x14ac:dyDescent="0.3">
      <c r="B419"/>
    </row>
    <row r="420" spans="2:2" x14ac:dyDescent="0.3">
      <c r="B420"/>
    </row>
    <row r="421" spans="2:2" x14ac:dyDescent="0.3">
      <c r="B421"/>
    </row>
    <row r="422" spans="2:2" x14ac:dyDescent="0.3">
      <c r="B422"/>
    </row>
    <row r="423" spans="2:2" x14ac:dyDescent="0.3">
      <c r="B423"/>
    </row>
    <row r="424" spans="2:2" x14ac:dyDescent="0.3">
      <c r="B424"/>
    </row>
    <row r="425" spans="2:2" x14ac:dyDescent="0.3">
      <c r="B425"/>
    </row>
    <row r="426" spans="2:2" x14ac:dyDescent="0.3">
      <c r="B426"/>
    </row>
    <row r="427" spans="2:2" x14ac:dyDescent="0.3">
      <c r="B427"/>
    </row>
    <row r="428" spans="2:2" x14ac:dyDescent="0.3">
      <c r="B428"/>
    </row>
    <row r="429" spans="2:2" x14ac:dyDescent="0.3">
      <c r="B429"/>
    </row>
    <row r="430" spans="2:2" x14ac:dyDescent="0.3">
      <c r="B430"/>
    </row>
    <row r="431" spans="2:2" x14ac:dyDescent="0.3">
      <c r="B431"/>
    </row>
    <row r="432" spans="2:2" x14ac:dyDescent="0.3">
      <c r="B432"/>
    </row>
    <row r="433" spans="2:2" x14ac:dyDescent="0.3">
      <c r="B433"/>
    </row>
    <row r="434" spans="2:2" x14ac:dyDescent="0.3">
      <c r="B434"/>
    </row>
    <row r="435" spans="2:2" x14ac:dyDescent="0.3">
      <c r="B435"/>
    </row>
    <row r="436" spans="2:2" x14ac:dyDescent="0.3">
      <c r="B436"/>
    </row>
    <row r="437" spans="2:2" x14ac:dyDescent="0.3">
      <c r="B437"/>
    </row>
    <row r="438" spans="2:2" x14ac:dyDescent="0.3">
      <c r="B438"/>
    </row>
    <row r="439" spans="2:2" x14ac:dyDescent="0.3">
      <c r="B439"/>
    </row>
    <row r="440" spans="2:2" x14ac:dyDescent="0.3">
      <c r="B440"/>
    </row>
    <row r="441" spans="2:2" x14ac:dyDescent="0.3">
      <c r="B441"/>
    </row>
    <row r="442" spans="2:2" x14ac:dyDescent="0.3">
      <c r="B442"/>
    </row>
    <row r="443" spans="2:2" x14ac:dyDescent="0.3">
      <c r="B443"/>
    </row>
    <row r="444" spans="2:2" x14ac:dyDescent="0.3">
      <c r="B444"/>
    </row>
    <row r="445" spans="2:2" x14ac:dyDescent="0.3">
      <c r="B445"/>
    </row>
    <row r="446" spans="2:2" x14ac:dyDescent="0.3">
      <c r="B446"/>
    </row>
    <row r="447" spans="2:2" x14ac:dyDescent="0.3">
      <c r="B447"/>
    </row>
    <row r="448" spans="2:2" x14ac:dyDescent="0.3">
      <c r="B448"/>
    </row>
    <row r="449" spans="2:2" x14ac:dyDescent="0.3">
      <c r="B449"/>
    </row>
    <row r="450" spans="2:2" x14ac:dyDescent="0.3">
      <c r="B450"/>
    </row>
    <row r="451" spans="2:2" x14ac:dyDescent="0.3">
      <c r="B451"/>
    </row>
    <row r="452" spans="2:2" x14ac:dyDescent="0.3">
      <c r="B452"/>
    </row>
    <row r="453" spans="2:2" x14ac:dyDescent="0.3">
      <c r="B453"/>
    </row>
    <row r="454" spans="2:2" x14ac:dyDescent="0.3">
      <c r="B454"/>
    </row>
    <row r="455" spans="2:2" x14ac:dyDescent="0.3">
      <c r="B455"/>
    </row>
    <row r="456" spans="2:2" x14ac:dyDescent="0.3">
      <c r="B456"/>
    </row>
    <row r="457" spans="2:2" x14ac:dyDescent="0.3">
      <c r="B457"/>
    </row>
    <row r="458" spans="2:2" x14ac:dyDescent="0.3">
      <c r="B458"/>
    </row>
    <row r="459" spans="2:2" x14ac:dyDescent="0.3">
      <c r="B459"/>
    </row>
    <row r="460" spans="2:2" x14ac:dyDescent="0.3">
      <c r="B460"/>
    </row>
    <row r="461" spans="2:2" x14ac:dyDescent="0.3">
      <c r="B461"/>
    </row>
    <row r="462" spans="2:2" x14ac:dyDescent="0.3">
      <c r="B462"/>
    </row>
    <row r="463" spans="2:2" x14ac:dyDescent="0.3">
      <c r="B463"/>
    </row>
    <row r="464" spans="2:2" x14ac:dyDescent="0.3">
      <c r="B464"/>
    </row>
    <row r="465" spans="2:2" x14ac:dyDescent="0.3">
      <c r="B465"/>
    </row>
    <row r="466" spans="2:2" x14ac:dyDescent="0.3">
      <c r="B466"/>
    </row>
    <row r="467" spans="2:2" x14ac:dyDescent="0.3">
      <c r="B467"/>
    </row>
    <row r="468" spans="2:2" x14ac:dyDescent="0.3">
      <c r="B468"/>
    </row>
    <row r="469" spans="2:2" x14ac:dyDescent="0.3">
      <c r="B469"/>
    </row>
    <row r="470" spans="2:2" x14ac:dyDescent="0.3">
      <c r="B470"/>
    </row>
    <row r="471" spans="2:2" x14ac:dyDescent="0.3">
      <c r="B471"/>
    </row>
    <row r="472" spans="2:2" x14ac:dyDescent="0.3">
      <c r="B472"/>
    </row>
    <row r="473" spans="2:2" x14ac:dyDescent="0.3">
      <c r="B473"/>
    </row>
    <row r="474" spans="2:2" x14ac:dyDescent="0.3">
      <c r="B474"/>
    </row>
    <row r="475" spans="2:2" x14ac:dyDescent="0.3">
      <c r="B475"/>
    </row>
    <row r="476" spans="2:2" x14ac:dyDescent="0.3">
      <c r="B476"/>
    </row>
    <row r="477" spans="2:2" x14ac:dyDescent="0.3">
      <c r="B477"/>
    </row>
    <row r="478" spans="2:2" x14ac:dyDescent="0.3">
      <c r="B478"/>
    </row>
    <row r="479" spans="2:2" x14ac:dyDescent="0.3">
      <c r="B479"/>
    </row>
    <row r="480" spans="2:2" x14ac:dyDescent="0.3">
      <c r="B480"/>
    </row>
    <row r="481" spans="2:2" x14ac:dyDescent="0.3">
      <c r="B481"/>
    </row>
    <row r="482" spans="2:2" x14ac:dyDescent="0.3">
      <c r="B482"/>
    </row>
    <row r="483" spans="2:2" x14ac:dyDescent="0.3">
      <c r="B483"/>
    </row>
    <row r="484" spans="2:2" x14ac:dyDescent="0.3">
      <c r="B484"/>
    </row>
    <row r="485" spans="2:2" x14ac:dyDescent="0.3">
      <c r="B485"/>
    </row>
    <row r="486" spans="2:2" x14ac:dyDescent="0.3">
      <c r="B486"/>
    </row>
    <row r="487" spans="2:2" x14ac:dyDescent="0.3">
      <c r="B487"/>
    </row>
    <row r="488" spans="2:2" x14ac:dyDescent="0.3">
      <c r="B488"/>
    </row>
    <row r="489" spans="2:2" x14ac:dyDescent="0.3">
      <c r="B489"/>
    </row>
    <row r="490" spans="2:2" x14ac:dyDescent="0.3">
      <c r="B490"/>
    </row>
    <row r="491" spans="2:2" x14ac:dyDescent="0.3">
      <c r="B491"/>
    </row>
    <row r="492" spans="2:2" x14ac:dyDescent="0.3">
      <c r="B492"/>
    </row>
    <row r="493" spans="2:2" x14ac:dyDescent="0.3">
      <c r="B493"/>
    </row>
    <row r="494" spans="2:2" x14ac:dyDescent="0.3">
      <c r="B494"/>
    </row>
    <row r="495" spans="2:2" x14ac:dyDescent="0.3">
      <c r="B495"/>
    </row>
    <row r="496" spans="2:2" x14ac:dyDescent="0.3">
      <c r="B496"/>
    </row>
    <row r="497" spans="2:2" x14ac:dyDescent="0.3">
      <c r="B497"/>
    </row>
    <row r="498" spans="2:2" x14ac:dyDescent="0.3">
      <c r="B498"/>
    </row>
    <row r="499" spans="2:2" x14ac:dyDescent="0.3">
      <c r="B499"/>
    </row>
    <row r="500" spans="2:2" x14ac:dyDescent="0.3">
      <c r="B500"/>
    </row>
    <row r="501" spans="2:2" x14ac:dyDescent="0.3">
      <c r="B501"/>
    </row>
    <row r="502" spans="2:2" x14ac:dyDescent="0.3">
      <c r="B502"/>
    </row>
    <row r="503" spans="2:2" x14ac:dyDescent="0.3">
      <c r="B503"/>
    </row>
    <row r="504" spans="2:2" x14ac:dyDescent="0.3">
      <c r="B504"/>
    </row>
    <row r="505" spans="2:2" x14ac:dyDescent="0.3">
      <c r="B505"/>
    </row>
    <row r="506" spans="2:2" x14ac:dyDescent="0.3">
      <c r="B506"/>
    </row>
    <row r="507" spans="2:2" x14ac:dyDescent="0.3">
      <c r="B507"/>
    </row>
    <row r="508" spans="2:2" x14ac:dyDescent="0.3">
      <c r="B508"/>
    </row>
    <row r="509" spans="2:2" x14ac:dyDescent="0.3">
      <c r="B509"/>
    </row>
    <row r="510" spans="2:2" x14ac:dyDescent="0.3">
      <c r="B510"/>
    </row>
    <row r="511" spans="2:2" x14ac:dyDescent="0.3">
      <c r="B511"/>
    </row>
    <row r="512" spans="2:2" x14ac:dyDescent="0.3">
      <c r="B512"/>
    </row>
    <row r="513" spans="2:2" x14ac:dyDescent="0.3">
      <c r="B513"/>
    </row>
    <row r="514" spans="2:2" x14ac:dyDescent="0.3">
      <c r="B514"/>
    </row>
    <row r="515" spans="2:2" x14ac:dyDescent="0.3">
      <c r="B515"/>
    </row>
    <row r="516" spans="2:2" x14ac:dyDescent="0.3">
      <c r="B516"/>
    </row>
    <row r="517" spans="2:2" x14ac:dyDescent="0.3">
      <c r="B517"/>
    </row>
    <row r="518" spans="2:2" x14ac:dyDescent="0.3">
      <c r="B518"/>
    </row>
    <row r="519" spans="2:2" x14ac:dyDescent="0.3">
      <c r="B519"/>
    </row>
    <row r="520" spans="2:2" x14ac:dyDescent="0.3">
      <c r="B520"/>
    </row>
    <row r="521" spans="2:2" x14ac:dyDescent="0.3">
      <c r="B521"/>
    </row>
    <row r="522" spans="2:2" x14ac:dyDescent="0.3">
      <c r="B522"/>
    </row>
    <row r="523" spans="2:2" x14ac:dyDescent="0.3">
      <c r="B523"/>
    </row>
    <row r="524" spans="2:2" x14ac:dyDescent="0.3">
      <c r="B524"/>
    </row>
    <row r="525" spans="2:2" x14ac:dyDescent="0.3">
      <c r="B525"/>
    </row>
    <row r="526" spans="2:2" x14ac:dyDescent="0.3">
      <c r="B526"/>
    </row>
    <row r="527" spans="2:2" x14ac:dyDescent="0.3">
      <c r="B527"/>
    </row>
    <row r="528" spans="2:2" x14ac:dyDescent="0.3">
      <c r="B528"/>
    </row>
    <row r="529" spans="2:2" x14ac:dyDescent="0.3">
      <c r="B529"/>
    </row>
    <row r="530" spans="2:2" x14ac:dyDescent="0.3">
      <c r="B530"/>
    </row>
    <row r="531" spans="2:2" x14ac:dyDescent="0.3">
      <c r="B531"/>
    </row>
    <row r="532" spans="2:2" x14ac:dyDescent="0.3">
      <c r="B532"/>
    </row>
    <row r="533" spans="2:2" x14ac:dyDescent="0.3">
      <c r="B533"/>
    </row>
    <row r="534" spans="2:2" x14ac:dyDescent="0.3">
      <c r="B534"/>
    </row>
    <row r="535" spans="2:2" x14ac:dyDescent="0.3">
      <c r="B535"/>
    </row>
    <row r="536" spans="2:2" x14ac:dyDescent="0.3">
      <c r="B536"/>
    </row>
    <row r="537" spans="2:2" x14ac:dyDescent="0.3">
      <c r="B537"/>
    </row>
    <row r="538" spans="2:2" x14ac:dyDescent="0.3">
      <c r="B538"/>
    </row>
    <row r="539" spans="2:2" x14ac:dyDescent="0.3">
      <c r="B539"/>
    </row>
    <row r="540" spans="2:2" x14ac:dyDescent="0.3">
      <c r="B540"/>
    </row>
    <row r="541" spans="2:2" x14ac:dyDescent="0.3">
      <c r="B541"/>
    </row>
    <row r="542" spans="2:2" x14ac:dyDescent="0.3">
      <c r="B542"/>
    </row>
    <row r="543" spans="2:2" x14ac:dyDescent="0.3">
      <c r="B543"/>
    </row>
    <row r="544" spans="2:2" x14ac:dyDescent="0.3">
      <c r="B544"/>
    </row>
    <row r="545" spans="2:2" x14ac:dyDescent="0.3">
      <c r="B545"/>
    </row>
    <row r="546" spans="2:2" x14ac:dyDescent="0.3">
      <c r="B546"/>
    </row>
    <row r="547" spans="2:2" x14ac:dyDescent="0.3">
      <c r="B547"/>
    </row>
    <row r="548" spans="2:2" x14ac:dyDescent="0.3">
      <c r="B548"/>
    </row>
    <row r="549" spans="2:2" x14ac:dyDescent="0.3">
      <c r="B549"/>
    </row>
    <row r="550" spans="2:2" x14ac:dyDescent="0.3">
      <c r="B550"/>
    </row>
    <row r="551" spans="2:2" x14ac:dyDescent="0.3">
      <c r="B551"/>
    </row>
    <row r="552" spans="2:2" x14ac:dyDescent="0.3">
      <c r="B552"/>
    </row>
    <row r="553" spans="2:2" x14ac:dyDescent="0.3">
      <c r="B553"/>
    </row>
    <row r="554" spans="2:2" x14ac:dyDescent="0.3">
      <c r="B554"/>
    </row>
    <row r="555" spans="2:2" x14ac:dyDescent="0.3">
      <c r="B555"/>
    </row>
    <row r="556" spans="2:2" x14ac:dyDescent="0.3">
      <c r="B556"/>
    </row>
    <row r="557" spans="2:2" x14ac:dyDescent="0.3">
      <c r="B557"/>
    </row>
    <row r="558" spans="2:2" x14ac:dyDescent="0.3">
      <c r="B558"/>
    </row>
    <row r="559" spans="2:2" x14ac:dyDescent="0.3">
      <c r="B559"/>
    </row>
    <row r="560" spans="2:2" x14ac:dyDescent="0.3">
      <c r="B560"/>
    </row>
    <row r="561" spans="2:2" x14ac:dyDescent="0.3">
      <c r="B561"/>
    </row>
    <row r="562" spans="2:2" x14ac:dyDescent="0.3">
      <c r="B562"/>
    </row>
    <row r="563" spans="2:2" x14ac:dyDescent="0.3">
      <c r="B563"/>
    </row>
    <row r="564" spans="2:2" x14ac:dyDescent="0.3">
      <c r="B564"/>
    </row>
    <row r="565" spans="2:2" x14ac:dyDescent="0.3">
      <c r="B565"/>
    </row>
    <row r="566" spans="2:2" x14ac:dyDescent="0.3">
      <c r="B566"/>
    </row>
    <row r="567" spans="2:2" x14ac:dyDescent="0.3">
      <c r="B567"/>
    </row>
    <row r="568" spans="2:2" x14ac:dyDescent="0.3">
      <c r="B568"/>
    </row>
    <row r="569" spans="2:2" x14ac:dyDescent="0.3">
      <c r="B569"/>
    </row>
    <row r="570" spans="2:2" x14ac:dyDescent="0.3">
      <c r="B570"/>
    </row>
    <row r="571" spans="2:2" x14ac:dyDescent="0.3">
      <c r="B571"/>
    </row>
    <row r="572" spans="2:2" x14ac:dyDescent="0.3">
      <c r="B572"/>
    </row>
    <row r="573" spans="2:2" x14ac:dyDescent="0.3">
      <c r="B573"/>
    </row>
    <row r="574" spans="2:2" x14ac:dyDescent="0.3">
      <c r="B574"/>
    </row>
    <row r="575" spans="2:2" x14ac:dyDescent="0.3">
      <c r="B575"/>
    </row>
    <row r="576" spans="2:2" x14ac:dyDescent="0.3">
      <c r="B576"/>
    </row>
    <row r="577" spans="2:2" x14ac:dyDescent="0.3">
      <c r="B577"/>
    </row>
    <row r="578" spans="2:2" x14ac:dyDescent="0.3">
      <c r="B578"/>
    </row>
    <row r="579" spans="2:2" x14ac:dyDescent="0.3">
      <c r="B579"/>
    </row>
    <row r="580" spans="2:2" x14ac:dyDescent="0.3">
      <c r="B580"/>
    </row>
    <row r="581" spans="2:2" x14ac:dyDescent="0.3">
      <c r="B581"/>
    </row>
    <row r="582" spans="2:2" x14ac:dyDescent="0.3">
      <c r="B582"/>
    </row>
    <row r="583" spans="2:2" x14ac:dyDescent="0.3">
      <c r="B583"/>
    </row>
    <row r="584" spans="2:2" x14ac:dyDescent="0.3">
      <c r="B584"/>
    </row>
    <row r="585" spans="2:2" x14ac:dyDescent="0.3">
      <c r="B585"/>
    </row>
    <row r="586" spans="2:2" x14ac:dyDescent="0.3">
      <c r="B586"/>
    </row>
    <row r="587" spans="2:2" x14ac:dyDescent="0.3">
      <c r="B587"/>
    </row>
    <row r="588" spans="2:2" x14ac:dyDescent="0.3">
      <c r="B588"/>
    </row>
    <row r="589" spans="2:2" x14ac:dyDescent="0.3">
      <c r="B589"/>
    </row>
    <row r="590" spans="2:2" x14ac:dyDescent="0.3">
      <c r="B590"/>
    </row>
    <row r="591" spans="2:2" x14ac:dyDescent="0.3">
      <c r="B591"/>
    </row>
    <row r="592" spans="2:2" x14ac:dyDescent="0.3">
      <c r="B592"/>
    </row>
    <row r="593" spans="2:2" x14ac:dyDescent="0.3">
      <c r="B593"/>
    </row>
    <row r="594" spans="2:2" x14ac:dyDescent="0.3">
      <c r="B594"/>
    </row>
    <row r="595" spans="2:2" x14ac:dyDescent="0.3">
      <c r="B595"/>
    </row>
    <row r="596" spans="2:2" x14ac:dyDescent="0.3">
      <c r="B596"/>
    </row>
    <row r="597" spans="2:2" x14ac:dyDescent="0.3">
      <c r="B597"/>
    </row>
    <row r="598" spans="2:2" x14ac:dyDescent="0.3">
      <c r="B598"/>
    </row>
    <row r="599" spans="2:2" x14ac:dyDescent="0.3">
      <c r="B599"/>
    </row>
    <row r="600" spans="2:2" x14ac:dyDescent="0.3">
      <c r="B600"/>
    </row>
    <row r="601" spans="2:2" x14ac:dyDescent="0.3">
      <c r="B601"/>
    </row>
    <row r="602" spans="2:2" x14ac:dyDescent="0.3">
      <c r="B602"/>
    </row>
    <row r="603" spans="2:2" x14ac:dyDescent="0.3">
      <c r="B603"/>
    </row>
    <row r="604" spans="2:2" x14ac:dyDescent="0.3">
      <c r="B604"/>
    </row>
    <row r="605" spans="2:2" x14ac:dyDescent="0.3">
      <c r="B605"/>
    </row>
    <row r="606" spans="2:2" x14ac:dyDescent="0.3">
      <c r="B606"/>
    </row>
    <row r="607" spans="2:2" x14ac:dyDescent="0.3">
      <c r="B607"/>
    </row>
    <row r="608" spans="2:2" x14ac:dyDescent="0.3">
      <c r="B608"/>
    </row>
    <row r="609" spans="2:2" x14ac:dyDescent="0.3">
      <c r="B609"/>
    </row>
    <row r="610" spans="2:2" x14ac:dyDescent="0.3">
      <c r="B610"/>
    </row>
    <row r="611" spans="2:2" x14ac:dyDescent="0.3">
      <c r="B611"/>
    </row>
    <row r="612" spans="2:2" x14ac:dyDescent="0.3">
      <c r="B612"/>
    </row>
    <row r="613" spans="2:2" x14ac:dyDescent="0.3">
      <c r="B613"/>
    </row>
    <row r="614" spans="2:2" x14ac:dyDescent="0.3">
      <c r="B614"/>
    </row>
    <row r="615" spans="2:2" x14ac:dyDescent="0.3">
      <c r="B615"/>
    </row>
    <row r="616" spans="2:2" x14ac:dyDescent="0.3">
      <c r="B616"/>
    </row>
    <row r="617" spans="2:2" x14ac:dyDescent="0.3">
      <c r="B617"/>
    </row>
    <row r="618" spans="2:2" x14ac:dyDescent="0.3">
      <c r="B618"/>
    </row>
    <row r="619" spans="2:2" x14ac:dyDescent="0.3">
      <c r="B619"/>
    </row>
    <row r="620" spans="2:2" x14ac:dyDescent="0.3">
      <c r="B620"/>
    </row>
    <row r="621" spans="2:2" x14ac:dyDescent="0.3">
      <c r="B621"/>
    </row>
    <row r="622" spans="2:2" x14ac:dyDescent="0.3">
      <c r="B622"/>
    </row>
    <row r="623" spans="2:2" x14ac:dyDescent="0.3">
      <c r="B623"/>
    </row>
    <row r="624" spans="2:2" x14ac:dyDescent="0.3">
      <c r="B624"/>
    </row>
    <row r="625" spans="2:2" x14ac:dyDescent="0.3">
      <c r="B625"/>
    </row>
    <row r="626" spans="2:2" x14ac:dyDescent="0.3">
      <c r="B626"/>
    </row>
    <row r="627" spans="2:2" x14ac:dyDescent="0.3">
      <c r="B627"/>
    </row>
    <row r="628" spans="2:2" x14ac:dyDescent="0.3">
      <c r="B628"/>
    </row>
    <row r="629" spans="2:2" x14ac:dyDescent="0.3">
      <c r="B629"/>
    </row>
    <row r="630" spans="2:2" x14ac:dyDescent="0.3">
      <c r="B630"/>
    </row>
    <row r="631" spans="2:2" x14ac:dyDescent="0.3">
      <c r="B631"/>
    </row>
    <row r="632" spans="2:2" x14ac:dyDescent="0.3">
      <c r="B632"/>
    </row>
    <row r="633" spans="2:2" x14ac:dyDescent="0.3">
      <c r="B633"/>
    </row>
    <row r="634" spans="2:2" x14ac:dyDescent="0.3">
      <c r="B634"/>
    </row>
    <row r="635" spans="2:2" x14ac:dyDescent="0.3">
      <c r="B635"/>
    </row>
    <row r="636" spans="2:2" x14ac:dyDescent="0.3">
      <c r="B636"/>
    </row>
    <row r="637" spans="2:2" x14ac:dyDescent="0.3">
      <c r="B637"/>
    </row>
    <row r="638" spans="2:2" x14ac:dyDescent="0.3">
      <c r="B638"/>
    </row>
    <row r="639" spans="2:2" x14ac:dyDescent="0.3">
      <c r="B639"/>
    </row>
    <row r="640" spans="2:2" x14ac:dyDescent="0.3">
      <c r="B640"/>
    </row>
    <row r="641" spans="2:2" x14ac:dyDescent="0.3">
      <c r="B641"/>
    </row>
    <row r="642" spans="2:2" x14ac:dyDescent="0.3">
      <c r="B642"/>
    </row>
    <row r="643" spans="2:2" x14ac:dyDescent="0.3">
      <c r="B643"/>
    </row>
    <row r="644" spans="2:2" x14ac:dyDescent="0.3">
      <c r="B644"/>
    </row>
    <row r="645" spans="2:2" x14ac:dyDescent="0.3">
      <c r="B645"/>
    </row>
    <row r="646" spans="2:2" x14ac:dyDescent="0.3">
      <c r="B646"/>
    </row>
    <row r="647" spans="2:2" x14ac:dyDescent="0.3">
      <c r="B647"/>
    </row>
    <row r="648" spans="2:2" x14ac:dyDescent="0.3">
      <c r="B648"/>
    </row>
    <row r="649" spans="2:2" x14ac:dyDescent="0.3">
      <c r="B649"/>
    </row>
    <row r="650" spans="2:2" x14ac:dyDescent="0.3">
      <c r="B650"/>
    </row>
    <row r="651" spans="2:2" x14ac:dyDescent="0.3">
      <c r="B651"/>
    </row>
    <row r="652" spans="2:2" x14ac:dyDescent="0.3">
      <c r="B652"/>
    </row>
    <row r="653" spans="2:2" x14ac:dyDescent="0.3">
      <c r="B653"/>
    </row>
    <row r="654" spans="2:2" x14ac:dyDescent="0.3">
      <c r="B654"/>
    </row>
    <row r="655" spans="2:2" x14ac:dyDescent="0.3">
      <c r="B655"/>
    </row>
    <row r="656" spans="2:2" x14ac:dyDescent="0.3">
      <c r="B656"/>
    </row>
    <row r="657" spans="2:2" x14ac:dyDescent="0.3">
      <c r="B657"/>
    </row>
    <row r="658" spans="2:2" x14ac:dyDescent="0.3">
      <c r="B658"/>
    </row>
    <row r="659" spans="2:2" x14ac:dyDescent="0.3">
      <c r="B659"/>
    </row>
    <row r="660" spans="2:2" x14ac:dyDescent="0.3">
      <c r="B660"/>
    </row>
    <row r="661" spans="2:2" x14ac:dyDescent="0.3">
      <c r="B661"/>
    </row>
    <row r="662" spans="2:2" x14ac:dyDescent="0.3">
      <c r="B662"/>
    </row>
    <row r="663" spans="2:2" x14ac:dyDescent="0.3">
      <c r="B663"/>
    </row>
    <row r="664" spans="2:2" x14ac:dyDescent="0.3">
      <c r="B664"/>
    </row>
    <row r="665" spans="2:2" x14ac:dyDescent="0.3">
      <c r="B665"/>
    </row>
    <row r="666" spans="2:2" x14ac:dyDescent="0.3">
      <c r="B666"/>
    </row>
    <row r="667" spans="2:2" x14ac:dyDescent="0.3">
      <c r="B667"/>
    </row>
    <row r="668" spans="2:2" x14ac:dyDescent="0.3">
      <c r="B668"/>
    </row>
    <row r="669" spans="2:2" x14ac:dyDescent="0.3">
      <c r="B669"/>
    </row>
    <row r="670" spans="2:2" x14ac:dyDescent="0.3">
      <c r="B670"/>
    </row>
    <row r="671" spans="2:2" x14ac:dyDescent="0.3">
      <c r="B671"/>
    </row>
    <row r="672" spans="2:2" x14ac:dyDescent="0.3">
      <c r="B672"/>
    </row>
    <row r="673" spans="2:2" x14ac:dyDescent="0.3">
      <c r="B673"/>
    </row>
    <row r="674" spans="2:2" x14ac:dyDescent="0.3">
      <c r="B674"/>
    </row>
    <row r="675" spans="2:2" x14ac:dyDescent="0.3">
      <c r="B675"/>
    </row>
    <row r="676" spans="2:2" x14ac:dyDescent="0.3">
      <c r="B676"/>
    </row>
    <row r="677" spans="2:2" x14ac:dyDescent="0.3">
      <c r="B677"/>
    </row>
    <row r="678" spans="2:2" x14ac:dyDescent="0.3">
      <c r="B678"/>
    </row>
    <row r="679" spans="2:2" x14ac:dyDescent="0.3">
      <c r="B679"/>
    </row>
    <row r="680" spans="2:2" x14ac:dyDescent="0.3">
      <c r="B680"/>
    </row>
    <row r="681" spans="2:2" x14ac:dyDescent="0.3">
      <c r="B681"/>
    </row>
    <row r="682" spans="2:2" x14ac:dyDescent="0.3">
      <c r="B682"/>
    </row>
    <row r="683" spans="2:2" x14ac:dyDescent="0.3">
      <c r="B683"/>
    </row>
    <row r="684" spans="2:2" x14ac:dyDescent="0.3">
      <c r="B684"/>
    </row>
    <row r="685" spans="2:2" x14ac:dyDescent="0.3">
      <c r="B685"/>
    </row>
    <row r="686" spans="2:2" x14ac:dyDescent="0.3">
      <c r="B686"/>
    </row>
    <row r="687" spans="2:2" x14ac:dyDescent="0.3">
      <c r="B687"/>
    </row>
    <row r="688" spans="2:2" x14ac:dyDescent="0.3">
      <c r="B688"/>
    </row>
    <row r="689" spans="2:2" x14ac:dyDescent="0.3">
      <c r="B689"/>
    </row>
    <row r="690" spans="2:2" x14ac:dyDescent="0.3">
      <c r="B690"/>
    </row>
    <row r="691" spans="2:2" x14ac:dyDescent="0.3">
      <c r="B691"/>
    </row>
    <row r="692" spans="2:2" x14ac:dyDescent="0.3">
      <c r="B692"/>
    </row>
    <row r="693" spans="2:2" x14ac:dyDescent="0.3">
      <c r="B693"/>
    </row>
    <row r="694" spans="2:2" x14ac:dyDescent="0.3">
      <c r="B694"/>
    </row>
    <row r="695" spans="2:2" x14ac:dyDescent="0.3">
      <c r="B695"/>
    </row>
    <row r="696" spans="2:2" x14ac:dyDescent="0.3">
      <c r="B696"/>
    </row>
    <row r="697" spans="2:2" x14ac:dyDescent="0.3">
      <c r="B697"/>
    </row>
    <row r="698" spans="2:2" x14ac:dyDescent="0.3">
      <c r="B698"/>
    </row>
    <row r="699" spans="2:2" x14ac:dyDescent="0.3">
      <c r="B699"/>
    </row>
    <row r="700" spans="2:2" x14ac:dyDescent="0.3">
      <c r="B700"/>
    </row>
    <row r="701" spans="2:2" x14ac:dyDescent="0.3">
      <c r="B701"/>
    </row>
    <row r="702" spans="2:2" x14ac:dyDescent="0.3">
      <c r="B702"/>
    </row>
    <row r="703" spans="2:2" x14ac:dyDescent="0.3">
      <c r="B703"/>
    </row>
    <row r="704" spans="2:2" x14ac:dyDescent="0.3">
      <c r="B704"/>
    </row>
    <row r="705" spans="2:2" x14ac:dyDescent="0.3">
      <c r="B705"/>
    </row>
    <row r="706" spans="2:2" x14ac:dyDescent="0.3">
      <c r="B706"/>
    </row>
    <row r="707" spans="2:2" x14ac:dyDescent="0.3">
      <c r="B707"/>
    </row>
    <row r="708" spans="2:2" x14ac:dyDescent="0.3">
      <c r="B708"/>
    </row>
    <row r="709" spans="2:2" x14ac:dyDescent="0.3">
      <c r="B709"/>
    </row>
    <row r="710" spans="2:2" x14ac:dyDescent="0.3">
      <c r="B710"/>
    </row>
    <row r="711" spans="2:2" x14ac:dyDescent="0.3">
      <c r="B711"/>
    </row>
    <row r="712" spans="2:2" x14ac:dyDescent="0.3">
      <c r="B712"/>
    </row>
    <row r="713" spans="2:2" x14ac:dyDescent="0.3">
      <c r="B713"/>
    </row>
    <row r="714" spans="2:2" x14ac:dyDescent="0.3">
      <c r="B714"/>
    </row>
    <row r="715" spans="2:2" x14ac:dyDescent="0.3">
      <c r="B715"/>
    </row>
    <row r="716" spans="2:2" x14ac:dyDescent="0.3">
      <c r="B716"/>
    </row>
    <row r="717" spans="2:2" x14ac:dyDescent="0.3">
      <c r="B717"/>
    </row>
    <row r="718" spans="2:2" x14ac:dyDescent="0.3">
      <c r="B718"/>
    </row>
    <row r="719" spans="2:2" x14ac:dyDescent="0.3">
      <c r="B719"/>
    </row>
    <row r="720" spans="2:2" x14ac:dyDescent="0.3">
      <c r="B720"/>
    </row>
    <row r="721" spans="2:2" x14ac:dyDescent="0.3">
      <c r="B721"/>
    </row>
    <row r="722" spans="2:2" x14ac:dyDescent="0.3">
      <c r="B722"/>
    </row>
    <row r="723" spans="2:2" x14ac:dyDescent="0.3">
      <c r="B723"/>
    </row>
    <row r="724" spans="2:2" x14ac:dyDescent="0.3">
      <c r="B724"/>
    </row>
    <row r="725" spans="2:2" x14ac:dyDescent="0.3">
      <c r="B725"/>
    </row>
    <row r="726" spans="2:2" x14ac:dyDescent="0.3">
      <c r="B726"/>
    </row>
    <row r="727" spans="2:2" x14ac:dyDescent="0.3">
      <c r="B727"/>
    </row>
    <row r="728" spans="2:2" x14ac:dyDescent="0.3">
      <c r="B728"/>
    </row>
    <row r="729" spans="2:2" x14ac:dyDescent="0.3">
      <c r="B729"/>
    </row>
    <row r="730" spans="2:2" x14ac:dyDescent="0.3">
      <c r="B730"/>
    </row>
    <row r="731" spans="2:2" x14ac:dyDescent="0.3">
      <c r="B731"/>
    </row>
    <row r="732" spans="2:2" x14ac:dyDescent="0.3">
      <c r="B732"/>
    </row>
    <row r="733" spans="2:2" x14ac:dyDescent="0.3">
      <c r="B733"/>
    </row>
    <row r="734" spans="2:2" x14ac:dyDescent="0.3">
      <c r="B734"/>
    </row>
    <row r="735" spans="2:2" x14ac:dyDescent="0.3">
      <c r="B735"/>
    </row>
    <row r="736" spans="2:2" x14ac:dyDescent="0.3">
      <c r="B736"/>
    </row>
    <row r="737" spans="2:2" x14ac:dyDescent="0.3">
      <c r="B737"/>
    </row>
    <row r="738" spans="2:2" x14ac:dyDescent="0.3">
      <c r="B738"/>
    </row>
    <row r="739" spans="2:2" x14ac:dyDescent="0.3">
      <c r="B739"/>
    </row>
    <row r="740" spans="2:2" x14ac:dyDescent="0.3">
      <c r="B740"/>
    </row>
    <row r="741" spans="2:2" x14ac:dyDescent="0.3">
      <c r="B741"/>
    </row>
    <row r="742" spans="2:2" x14ac:dyDescent="0.3">
      <c r="B742"/>
    </row>
    <row r="743" spans="2:2" x14ac:dyDescent="0.3">
      <c r="B743"/>
    </row>
    <row r="744" spans="2:2" x14ac:dyDescent="0.3">
      <c r="B744"/>
    </row>
    <row r="745" spans="2:2" x14ac:dyDescent="0.3">
      <c r="B745"/>
    </row>
    <row r="746" spans="2:2" x14ac:dyDescent="0.3">
      <c r="B746"/>
    </row>
    <row r="747" spans="2:2" x14ac:dyDescent="0.3">
      <c r="B747"/>
    </row>
    <row r="748" spans="2:2" x14ac:dyDescent="0.3">
      <c r="B748"/>
    </row>
    <row r="749" spans="2:2" x14ac:dyDescent="0.3">
      <c r="B749"/>
    </row>
    <row r="750" spans="2:2" x14ac:dyDescent="0.3">
      <c r="B750"/>
    </row>
    <row r="751" spans="2:2" x14ac:dyDescent="0.3">
      <c r="B751"/>
    </row>
    <row r="752" spans="2:2" x14ac:dyDescent="0.3">
      <c r="B752"/>
    </row>
    <row r="753" spans="2:2" x14ac:dyDescent="0.3">
      <c r="B753"/>
    </row>
    <row r="754" spans="2:2" x14ac:dyDescent="0.3">
      <c r="B754"/>
    </row>
    <row r="755" spans="2:2" x14ac:dyDescent="0.3">
      <c r="B755"/>
    </row>
    <row r="756" spans="2:2" x14ac:dyDescent="0.3">
      <c r="B756"/>
    </row>
    <row r="757" spans="2:2" x14ac:dyDescent="0.3">
      <c r="B757"/>
    </row>
    <row r="758" spans="2:2" x14ac:dyDescent="0.3">
      <c r="B758"/>
    </row>
    <row r="759" spans="2:2" x14ac:dyDescent="0.3">
      <c r="B759"/>
    </row>
    <row r="760" spans="2:2" x14ac:dyDescent="0.3">
      <c r="B760"/>
    </row>
    <row r="761" spans="2:2" x14ac:dyDescent="0.3">
      <c r="B761"/>
    </row>
    <row r="762" spans="2:2" x14ac:dyDescent="0.3">
      <c r="B762"/>
    </row>
    <row r="763" spans="2:2" x14ac:dyDescent="0.3">
      <c r="B763"/>
    </row>
    <row r="764" spans="2:2" x14ac:dyDescent="0.3">
      <c r="B764"/>
    </row>
    <row r="765" spans="2:2" x14ac:dyDescent="0.3">
      <c r="B765"/>
    </row>
    <row r="766" spans="2:2" x14ac:dyDescent="0.3">
      <c r="B766"/>
    </row>
    <row r="767" spans="2:2" x14ac:dyDescent="0.3">
      <c r="B767"/>
    </row>
    <row r="768" spans="2:2" x14ac:dyDescent="0.3">
      <c r="B768"/>
    </row>
    <row r="769" spans="2:2" x14ac:dyDescent="0.3">
      <c r="B769"/>
    </row>
    <row r="770" spans="2:2" x14ac:dyDescent="0.3">
      <c r="B770"/>
    </row>
    <row r="771" spans="2:2" x14ac:dyDescent="0.3">
      <c r="B771"/>
    </row>
    <row r="772" spans="2:2" x14ac:dyDescent="0.3">
      <c r="B772"/>
    </row>
    <row r="773" spans="2:2" x14ac:dyDescent="0.3">
      <c r="B773"/>
    </row>
    <row r="774" spans="2:2" x14ac:dyDescent="0.3">
      <c r="B774"/>
    </row>
    <row r="775" spans="2:2" x14ac:dyDescent="0.3">
      <c r="B775"/>
    </row>
    <row r="776" spans="2:2" x14ac:dyDescent="0.3">
      <c r="B776"/>
    </row>
    <row r="777" spans="2:2" x14ac:dyDescent="0.3">
      <c r="B777"/>
    </row>
    <row r="778" spans="2:2" x14ac:dyDescent="0.3">
      <c r="B778"/>
    </row>
    <row r="779" spans="2:2" x14ac:dyDescent="0.3">
      <c r="B779"/>
    </row>
    <row r="780" spans="2:2" x14ac:dyDescent="0.3">
      <c r="B780"/>
    </row>
    <row r="781" spans="2:2" x14ac:dyDescent="0.3">
      <c r="B781"/>
    </row>
    <row r="782" spans="2:2" x14ac:dyDescent="0.3">
      <c r="B782"/>
    </row>
    <row r="783" spans="2:2" x14ac:dyDescent="0.3">
      <c r="B783"/>
    </row>
    <row r="784" spans="2:2" x14ac:dyDescent="0.3">
      <c r="B784"/>
    </row>
    <row r="785" spans="2:2" x14ac:dyDescent="0.3">
      <c r="B785"/>
    </row>
    <row r="786" spans="2:2" x14ac:dyDescent="0.3">
      <c r="B786"/>
    </row>
    <row r="787" spans="2:2" x14ac:dyDescent="0.3">
      <c r="B787"/>
    </row>
    <row r="788" spans="2:2" x14ac:dyDescent="0.3">
      <c r="B788"/>
    </row>
    <row r="789" spans="2:2" x14ac:dyDescent="0.3">
      <c r="B789"/>
    </row>
    <row r="790" spans="2:2" x14ac:dyDescent="0.3">
      <c r="B790"/>
    </row>
    <row r="791" spans="2:2" x14ac:dyDescent="0.3">
      <c r="B791"/>
    </row>
    <row r="792" spans="2:2" x14ac:dyDescent="0.3">
      <c r="B792"/>
    </row>
    <row r="793" spans="2:2" x14ac:dyDescent="0.3">
      <c r="B793"/>
    </row>
    <row r="794" spans="2:2" x14ac:dyDescent="0.3">
      <c r="B794"/>
    </row>
    <row r="795" spans="2:2" x14ac:dyDescent="0.3">
      <c r="B795"/>
    </row>
    <row r="796" spans="2:2" x14ac:dyDescent="0.3">
      <c r="B796"/>
    </row>
    <row r="797" spans="2:2" x14ac:dyDescent="0.3">
      <c r="B797"/>
    </row>
    <row r="798" spans="2:2" x14ac:dyDescent="0.3">
      <c r="B798"/>
    </row>
    <row r="799" spans="2:2" x14ac:dyDescent="0.3">
      <c r="B799"/>
    </row>
    <row r="800" spans="2:2" x14ac:dyDescent="0.3">
      <c r="B800"/>
    </row>
    <row r="801" spans="2:2" x14ac:dyDescent="0.3">
      <c r="B801"/>
    </row>
    <row r="802" spans="2:2" x14ac:dyDescent="0.3">
      <c r="B802"/>
    </row>
    <row r="803" spans="2:2" x14ac:dyDescent="0.3">
      <c r="B803"/>
    </row>
    <row r="804" spans="2:2" x14ac:dyDescent="0.3">
      <c r="B804"/>
    </row>
    <row r="805" spans="2:2" x14ac:dyDescent="0.3">
      <c r="B805"/>
    </row>
    <row r="806" spans="2:2" x14ac:dyDescent="0.3">
      <c r="B806"/>
    </row>
    <row r="807" spans="2:2" x14ac:dyDescent="0.3">
      <c r="B807"/>
    </row>
    <row r="808" spans="2:2" x14ac:dyDescent="0.3">
      <c r="B808"/>
    </row>
    <row r="809" spans="2:2" x14ac:dyDescent="0.3">
      <c r="B809"/>
    </row>
    <row r="810" spans="2:2" x14ac:dyDescent="0.3">
      <c r="B810"/>
    </row>
    <row r="811" spans="2:2" x14ac:dyDescent="0.3">
      <c r="B811"/>
    </row>
    <row r="812" spans="2:2" x14ac:dyDescent="0.3">
      <c r="B812"/>
    </row>
    <row r="813" spans="2:2" x14ac:dyDescent="0.3">
      <c r="B813"/>
    </row>
    <row r="814" spans="2:2" x14ac:dyDescent="0.3">
      <c r="B814"/>
    </row>
    <row r="815" spans="2:2" x14ac:dyDescent="0.3">
      <c r="B815"/>
    </row>
    <row r="816" spans="2:2" x14ac:dyDescent="0.3">
      <c r="B816"/>
    </row>
    <row r="817" spans="2:2" x14ac:dyDescent="0.3">
      <c r="B817"/>
    </row>
    <row r="818" spans="2:2" x14ac:dyDescent="0.3">
      <c r="B818"/>
    </row>
    <row r="819" spans="2:2" x14ac:dyDescent="0.3">
      <c r="B819"/>
    </row>
    <row r="820" spans="2:2" x14ac:dyDescent="0.3">
      <c r="B820"/>
    </row>
    <row r="821" spans="2:2" x14ac:dyDescent="0.3">
      <c r="B821"/>
    </row>
    <row r="822" spans="2:2" x14ac:dyDescent="0.3">
      <c r="B822"/>
    </row>
    <row r="823" spans="2:2" x14ac:dyDescent="0.3">
      <c r="B823"/>
    </row>
    <row r="824" spans="2:2" x14ac:dyDescent="0.3">
      <c r="B824"/>
    </row>
    <row r="825" spans="2:2" x14ac:dyDescent="0.3">
      <c r="B825"/>
    </row>
    <row r="826" spans="2:2" x14ac:dyDescent="0.3">
      <c r="B826"/>
    </row>
    <row r="827" spans="2:2" x14ac:dyDescent="0.3">
      <c r="B827"/>
    </row>
    <row r="828" spans="2:2" x14ac:dyDescent="0.3">
      <c r="B828"/>
    </row>
    <row r="829" spans="2:2" x14ac:dyDescent="0.3">
      <c r="B829"/>
    </row>
    <row r="830" spans="2:2" x14ac:dyDescent="0.3">
      <c r="B830"/>
    </row>
    <row r="831" spans="2:2" x14ac:dyDescent="0.3">
      <c r="B831"/>
    </row>
    <row r="832" spans="2:2" x14ac:dyDescent="0.3">
      <c r="B832"/>
    </row>
    <row r="833" spans="2:2" x14ac:dyDescent="0.3">
      <c r="B833"/>
    </row>
    <row r="834" spans="2:2" x14ac:dyDescent="0.3">
      <c r="B834"/>
    </row>
    <row r="835" spans="2:2" x14ac:dyDescent="0.3">
      <c r="B835"/>
    </row>
    <row r="836" spans="2:2" x14ac:dyDescent="0.3">
      <c r="B836"/>
    </row>
    <row r="837" spans="2:2" x14ac:dyDescent="0.3">
      <c r="B837"/>
    </row>
    <row r="838" spans="2:2" x14ac:dyDescent="0.3">
      <c r="B838"/>
    </row>
    <row r="839" spans="2:2" x14ac:dyDescent="0.3">
      <c r="B839"/>
    </row>
    <row r="840" spans="2:2" x14ac:dyDescent="0.3">
      <c r="B840"/>
    </row>
    <row r="841" spans="2:2" x14ac:dyDescent="0.3">
      <c r="B841"/>
    </row>
    <row r="842" spans="2:2" x14ac:dyDescent="0.3">
      <c r="B842"/>
    </row>
    <row r="843" spans="2:2" x14ac:dyDescent="0.3">
      <c r="B843"/>
    </row>
    <row r="844" spans="2:2" x14ac:dyDescent="0.3">
      <c r="B844"/>
    </row>
    <row r="845" spans="2:2" x14ac:dyDescent="0.3">
      <c r="B845"/>
    </row>
    <row r="846" spans="2:2" x14ac:dyDescent="0.3">
      <c r="B846"/>
    </row>
    <row r="847" spans="2:2" x14ac:dyDescent="0.3">
      <c r="B847"/>
    </row>
    <row r="848" spans="2:2" x14ac:dyDescent="0.3">
      <c r="B848"/>
    </row>
    <row r="849" spans="2:2" x14ac:dyDescent="0.3">
      <c r="B849"/>
    </row>
    <row r="850" spans="2:2" x14ac:dyDescent="0.3">
      <c r="B850"/>
    </row>
    <row r="851" spans="2:2" x14ac:dyDescent="0.3">
      <c r="B851"/>
    </row>
    <row r="852" spans="2:2" x14ac:dyDescent="0.3">
      <c r="B852"/>
    </row>
    <row r="853" spans="2:2" x14ac:dyDescent="0.3">
      <c r="B853"/>
    </row>
    <row r="854" spans="2:2" x14ac:dyDescent="0.3">
      <c r="B854"/>
    </row>
    <row r="855" spans="2:2" x14ac:dyDescent="0.3">
      <c r="B855"/>
    </row>
    <row r="856" spans="2:2" x14ac:dyDescent="0.3">
      <c r="B856"/>
    </row>
    <row r="857" spans="2:2" x14ac:dyDescent="0.3">
      <c r="B857"/>
    </row>
    <row r="858" spans="2:2" x14ac:dyDescent="0.3">
      <c r="B858"/>
    </row>
    <row r="859" spans="2:2" x14ac:dyDescent="0.3">
      <c r="B859"/>
    </row>
    <row r="860" spans="2:2" x14ac:dyDescent="0.3">
      <c r="B860"/>
    </row>
    <row r="861" spans="2:2" x14ac:dyDescent="0.3">
      <c r="B861"/>
    </row>
    <row r="862" spans="2:2" x14ac:dyDescent="0.3">
      <c r="B862"/>
    </row>
    <row r="863" spans="2:2" x14ac:dyDescent="0.3">
      <c r="B863"/>
    </row>
    <row r="864" spans="2:2" x14ac:dyDescent="0.3">
      <c r="B864"/>
    </row>
    <row r="865" spans="2:2" x14ac:dyDescent="0.3">
      <c r="B865"/>
    </row>
    <row r="866" spans="2:2" x14ac:dyDescent="0.3">
      <c r="B866"/>
    </row>
    <row r="867" spans="2:2" x14ac:dyDescent="0.3">
      <c r="B867"/>
    </row>
    <row r="868" spans="2:2" x14ac:dyDescent="0.3">
      <c r="B868"/>
    </row>
    <row r="869" spans="2:2" x14ac:dyDescent="0.3">
      <c r="B869"/>
    </row>
    <row r="870" spans="2:2" x14ac:dyDescent="0.3">
      <c r="B870"/>
    </row>
    <row r="871" spans="2:2" x14ac:dyDescent="0.3">
      <c r="B871"/>
    </row>
    <row r="872" spans="2:2" x14ac:dyDescent="0.3">
      <c r="B872"/>
    </row>
    <row r="873" spans="2:2" x14ac:dyDescent="0.3">
      <c r="B873"/>
    </row>
    <row r="874" spans="2:2" x14ac:dyDescent="0.3">
      <c r="B874"/>
    </row>
    <row r="875" spans="2:2" x14ac:dyDescent="0.3">
      <c r="B875"/>
    </row>
    <row r="876" spans="2:2" x14ac:dyDescent="0.3">
      <c r="B876"/>
    </row>
    <row r="877" spans="2:2" x14ac:dyDescent="0.3">
      <c r="B877"/>
    </row>
    <row r="878" spans="2:2" x14ac:dyDescent="0.3">
      <c r="B878"/>
    </row>
    <row r="879" spans="2:2" x14ac:dyDescent="0.3">
      <c r="B879"/>
    </row>
    <row r="880" spans="2:2" x14ac:dyDescent="0.3">
      <c r="B880"/>
    </row>
    <row r="881" spans="2:2" x14ac:dyDescent="0.3">
      <c r="B881"/>
    </row>
    <row r="882" spans="2:2" x14ac:dyDescent="0.3">
      <c r="B882"/>
    </row>
    <row r="883" spans="2:2" x14ac:dyDescent="0.3">
      <c r="B883"/>
    </row>
    <row r="884" spans="2:2" x14ac:dyDescent="0.3">
      <c r="B884"/>
    </row>
    <row r="885" spans="2:2" x14ac:dyDescent="0.3">
      <c r="B885"/>
    </row>
    <row r="886" spans="2:2" x14ac:dyDescent="0.3">
      <c r="B886"/>
    </row>
    <row r="887" spans="2:2" x14ac:dyDescent="0.3">
      <c r="B887"/>
    </row>
    <row r="888" spans="2:2" x14ac:dyDescent="0.3">
      <c r="B888"/>
    </row>
    <row r="889" spans="2:2" x14ac:dyDescent="0.3">
      <c r="B889"/>
    </row>
    <row r="890" spans="2:2" x14ac:dyDescent="0.3">
      <c r="B890"/>
    </row>
    <row r="891" spans="2:2" x14ac:dyDescent="0.3">
      <c r="B891"/>
    </row>
    <row r="892" spans="2:2" x14ac:dyDescent="0.3">
      <c r="B892"/>
    </row>
    <row r="893" spans="2:2" x14ac:dyDescent="0.3">
      <c r="B893"/>
    </row>
    <row r="894" spans="2:2" x14ac:dyDescent="0.3">
      <c r="B894"/>
    </row>
    <row r="895" spans="2:2" x14ac:dyDescent="0.3">
      <c r="B895"/>
    </row>
    <row r="896" spans="2:2" x14ac:dyDescent="0.3">
      <c r="B896"/>
    </row>
    <row r="897" spans="2:2" x14ac:dyDescent="0.3">
      <c r="B897"/>
    </row>
    <row r="898" spans="2:2" x14ac:dyDescent="0.3">
      <c r="B898"/>
    </row>
    <row r="899" spans="2:2" x14ac:dyDescent="0.3">
      <c r="B899"/>
    </row>
    <row r="900" spans="2:2" x14ac:dyDescent="0.3">
      <c r="B900"/>
    </row>
    <row r="901" spans="2:2" x14ac:dyDescent="0.3">
      <c r="B901"/>
    </row>
    <row r="902" spans="2:2" x14ac:dyDescent="0.3">
      <c r="B902"/>
    </row>
    <row r="903" spans="2:2" x14ac:dyDescent="0.3">
      <c r="B903"/>
    </row>
    <row r="904" spans="2:2" x14ac:dyDescent="0.3">
      <c r="B904"/>
    </row>
    <row r="905" spans="2:2" x14ac:dyDescent="0.3">
      <c r="B905"/>
    </row>
    <row r="906" spans="2:2" x14ac:dyDescent="0.3">
      <c r="B906"/>
    </row>
    <row r="907" spans="2:2" x14ac:dyDescent="0.3">
      <c r="B907"/>
    </row>
    <row r="908" spans="2:2" x14ac:dyDescent="0.3">
      <c r="B908"/>
    </row>
    <row r="909" spans="2:2" x14ac:dyDescent="0.3">
      <c r="B909"/>
    </row>
    <row r="910" spans="2:2" x14ac:dyDescent="0.3">
      <c r="B910"/>
    </row>
    <row r="911" spans="2:2" x14ac:dyDescent="0.3">
      <c r="B911"/>
    </row>
    <row r="912" spans="2:2" x14ac:dyDescent="0.3">
      <c r="B912"/>
    </row>
    <row r="913" spans="2:2" x14ac:dyDescent="0.3">
      <c r="B913"/>
    </row>
    <row r="914" spans="2:2" x14ac:dyDescent="0.3">
      <c r="B914"/>
    </row>
    <row r="915" spans="2:2" x14ac:dyDescent="0.3">
      <c r="B915"/>
    </row>
    <row r="916" spans="2:2" x14ac:dyDescent="0.3">
      <c r="B916"/>
    </row>
    <row r="917" spans="2:2" x14ac:dyDescent="0.3">
      <c r="B917"/>
    </row>
    <row r="918" spans="2:2" x14ac:dyDescent="0.3">
      <c r="B918"/>
    </row>
    <row r="919" spans="2:2" x14ac:dyDescent="0.3">
      <c r="B919"/>
    </row>
    <row r="920" spans="2:2" x14ac:dyDescent="0.3">
      <c r="B920"/>
    </row>
    <row r="921" spans="2:2" x14ac:dyDescent="0.3">
      <c r="B921"/>
    </row>
    <row r="922" spans="2:2" x14ac:dyDescent="0.3">
      <c r="B922"/>
    </row>
    <row r="923" spans="2:2" x14ac:dyDescent="0.3">
      <c r="B923"/>
    </row>
    <row r="924" spans="2:2" x14ac:dyDescent="0.3">
      <c r="B924"/>
    </row>
    <row r="925" spans="2:2" x14ac:dyDescent="0.3">
      <c r="B925"/>
    </row>
    <row r="926" spans="2:2" x14ac:dyDescent="0.3">
      <c r="B926"/>
    </row>
    <row r="927" spans="2:2" x14ac:dyDescent="0.3">
      <c r="B927"/>
    </row>
    <row r="928" spans="2:2" x14ac:dyDescent="0.3">
      <c r="B928"/>
    </row>
    <row r="929" spans="2:2" x14ac:dyDescent="0.3">
      <c r="B929"/>
    </row>
    <row r="930" spans="2:2" x14ac:dyDescent="0.3">
      <c r="B930"/>
    </row>
    <row r="931" spans="2:2" x14ac:dyDescent="0.3">
      <c r="B931"/>
    </row>
    <row r="932" spans="2:2" x14ac:dyDescent="0.3">
      <c r="B932"/>
    </row>
    <row r="933" spans="2:2" x14ac:dyDescent="0.3">
      <c r="B933"/>
    </row>
    <row r="934" spans="2:2" x14ac:dyDescent="0.3">
      <c r="B934"/>
    </row>
    <row r="935" spans="2:2" x14ac:dyDescent="0.3">
      <c r="B935"/>
    </row>
    <row r="936" spans="2:2" x14ac:dyDescent="0.3">
      <c r="B936"/>
    </row>
    <row r="937" spans="2:2" x14ac:dyDescent="0.3">
      <c r="B937"/>
    </row>
    <row r="938" spans="2:2" x14ac:dyDescent="0.3">
      <c r="B938"/>
    </row>
    <row r="939" spans="2:2" x14ac:dyDescent="0.3">
      <c r="B939"/>
    </row>
    <row r="940" spans="2:2" x14ac:dyDescent="0.3">
      <c r="B940"/>
    </row>
    <row r="941" spans="2:2" x14ac:dyDescent="0.3">
      <c r="B941"/>
    </row>
    <row r="942" spans="2:2" x14ac:dyDescent="0.3">
      <c r="B942"/>
    </row>
    <row r="943" spans="2:2" x14ac:dyDescent="0.3">
      <c r="B943"/>
    </row>
    <row r="944" spans="2:2" x14ac:dyDescent="0.3">
      <c r="B944"/>
    </row>
    <row r="945" spans="2:2" x14ac:dyDescent="0.3">
      <c r="B945"/>
    </row>
    <row r="946" spans="2:2" x14ac:dyDescent="0.3">
      <c r="B946"/>
    </row>
    <row r="947" spans="2:2" x14ac:dyDescent="0.3">
      <c r="B947"/>
    </row>
    <row r="948" spans="2:2" x14ac:dyDescent="0.3">
      <c r="B948"/>
    </row>
    <row r="949" spans="2:2" x14ac:dyDescent="0.3">
      <c r="B949"/>
    </row>
    <row r="950" spans="2:2" x14ac:dyDescent="0.3">
      <c r="B950"/>
    </row>
    <row r="951" spans="2:2" x14ac:dyDescent="0.3">
      <c r="B951"/>
    </row>
    <row r="952" spans="2:2" x14ac:dyDescent="0.3">
      <c r="B952"/>
    </row>
    <row r="953" spans="2:2" x14ac:dyDescent="0.3">
      <c r="B953"/>
    </row>
    <row r="954" spans="2:2" x14ac:dyDescent="0.3">
      <c r="B954"/>
    </row>
    <row r="955" spans="2:2" x14ac:dyDescent="0.3">
      <c r="B955"/>
    </row>
    <row r="956" spans="2:2" x14ac:dyDescent="0.3">
      <c r="B956"/>
    </row>
    <row r="957" spans="2:2" x14ac:dyDescent="0.3">
      <c r="B957"/>
    </row>
    <row r="958" spans="2:2" x14ac:dyDescent="0.3">
      <c r="B958"/>
    </row>
    <row r="959" spans="2:2" x14ac:dyDescent="0.3">
      <c r="B959"/>
    </row>
    <row r="960" spans="2:2" x14ac:dyDescent="0.3">
      <c r="B960"/>
    </row>
    <row r="961" spans="2:2" x14ac:dyDescent="0.3">
      <c r="B961"/>
    </row>
    <row r="962" spans="2:2" x14ac:dyDescent="0.3">
      <c r="B962"/>
    </row>
    <row r="963" spans="2:2" x14ac:dyDescent="0.3">
      <c r="B963"/>
    </row>
    <row r="964" spans="2:2" x14ac:dyDescent="0.3">
      <c r="B964"/>
    </row>
    <row r="965" spans="2:2" x14ac:dyDescent="0.3">
      <c r="B965"/>
    </row>
    <row r="966" spans="2:2" x14ac:dyDescent="0.3">
      <c r="B966"/>
    </row>
    <row r="967" spans="2:2" x14ac:dyDescent="0.3">
      <c r="B967"/>
    </row>
    <row r="968" spans="2:2" x14ac:dyDescent="0.3">
      <c r="B968"/>
    </row>
    <row r="969" spans="2:2" x14ac:dyDescent="0.3">
      <c r="B969"/>
    </row>
    <row r="970" spans="2:2" x14ac:dyDescent="0.3">
      <c r="B970"/>
    </row>
    <row r="971" spans="2:2" x14ac:dyDescent="0.3">
      <c r="B971"/>
    </row>
    <row r="972" spans="2:2" x14ac:dyDescent="0.3">
      <c r="B972"/>
    </row>
    <row r="973" spans="2:2" x14ac:dyDescent="0.3">
      <c r="B973"/>
    </row>
    <row r="974" spans="2:2" x14ac:dyDescent="0.3">
      <c r="B974"/>
    </row>
    <row r="975" spans="2:2" x14ac:dyDescent="0.3">
      <c r="B975"/>
    </row>
    <row r="976" spans="2:2" x14ac:dyDescent="0.3">
      <c r="B976"/>
    </row>
    <row r="977" spans="2:2" x14ac:dyDescent="0.3">
      <c r="B977"/>
    </row>
    <row r="978" spans="2:2" x14ac:dyDescent="0.3">
      <c r="B978"/>
    </row>
    <row r="979" spans="2:2" x14ac:dyDescent="0.3">
      <c r="B979"/>
    </row>
    <row r="980" spans="2:2" x14ac:dyDescent="0.3">
      <c r="B980"/>
    </row>
    <row r="981" spans="2:2" x14ac:dyDescent="0.3">
      <c r="B981"/>
    </row>
    <row r="982" spans="2:2" x14ac:dyDescent="0.3">
      <c r="B982"/>
    </row>
    <row r="983" spans="2:2" x14ac:dyDescent="0.3">
      <c r="B983"/>
    </row>
    <row r="984" spans="2:2" x14ac:dyDescent="0.3">
      <c r="B984"/>
    </row>
    <row r="985" spans="2:2" x14ac:dyDescent="0.3">
      <c r="B985"/>
    </row>
    <row r="986" spans="2:2" x14ac:dyDescent="0.3">
      <c r="B986"/>
    </row>
    <row r="987" spans="2:2" x14ac:dyDescent="0.3">
      <c r="B987"/>
    </row>
    <row r="988" spans="2:2" x14ac:dyDescent="0.3">
      <c r="B988"/>
    </row>
    <row r="989" spans="2:2" x14ac:dyDescent="0.3">
      <c r="B989"/>
    </row>
    <row r="990" spans="2:2" x14ac:dyDescent="0.3">
      <c r="B990"/>
    </row>
    <row r="991" spans="2:2" x14ac:dyDescent="0.3">
      <c r="B991"/>
    </row>
    <row r="992" spans="2:2" x14ac:dyDescent="0.3">
      <c r="B992"/>
    </row>
    <row r="993" spans="2:2" x14ac:dyDescent="0.3">
      <c r="B993"/>
    </row>
    <row r="994" spans="2:2" x14ac:dyDescent="0.3">
      <c r="B994"/>
    </row>
    <row r="995" spans="2:2" x14ac:dyDescent="0.3">
      <c r="B995"/>
    </row>
    <row r="996" spans="2:2" x14ac:dyDescent="0.3">
      <c r="B996"/>
    </row>
    <row r="997" spans="2:2" x14ac:dyDescent="0.3">
      <c r="B997"/>
    </row>
    <row r="998" spans="2:2" x14ac:dyDescent="0.3">
      <c r="B998"/>
    </row>
    <row r="999" spans="2:2" x14ac:dyDescent="0.3">
      <c r="B999"/>
    </row>
    <row r="1000" spans="2:2" x14ac:dyDescent="0.3">
      <c r="B1000"/>
    </row>
    <row r="1001" spans="2:2" x14ac:dyDescent="0.3">
      <c r="B1001"/>
    </row>
    <row r="1002" spans="2:2" x14ac:dyDescent="0.3">
      <c r="B1002"/>
    </row>
    <row r="1003" spans="2:2" x14ac:dyDescent="0.3">
      <c r="B1003"/>
    </row>
    <row r="1004" spans="2:2" x14ac:dyDescent="0.3">
      <c r="B1004"/>
    </row>
    <row r="1005" spans="2:2" x14ac:dyDescent="0.3">
      <c r="B1005"/>
    </row>
    <row r="1006" spans="2:2" x14ac:dyDescent="0.3">
      <c r="B1006"/>
    </row>
    <row r="1007" spans="2:2" x14ac:dyDescent="0.3">
      <c r="B1007"/>
    </row>
    <row r="1008" spans="2:2" x14ac:dyDescent="0.3">
      <c r="B1008"/>
    </row>
    <row r="1009" spans="2:2" x14ac:dyDescent="0.3">
      <c r="B1009"/>
    </row>
    <row r="1010" spans="2:2" x14ac:dyDescent="0.3">
      <c r="B1010"/>
    </row>
    <row r="1011" spans="2:2" x14ac:dyDescent="0.3">
      <c r="B1011"/>
    </row>
    <row r="1012" spans="2:2" x14ac:dyDescent="0.3">
      <c r="B1012"/>
    </row>
    <row r="1013" spans="2:2" x14ac:dyDescent="0.3">
      <c r="B1013"/>
    </row>
    <row r="1014" spans="2:2" x14ac:dyDescent="0.3">
      <c r="B1014"/>
    </row>
    <row r="1015" spans="2:2" x14ac:dyDescent="0.3">
      <c r="B1015"/>
    </row>
    <row r="1016" spans="2:2" x14ac:dyDescent="0.3">
      <c r="B1016"/>
    </row>
    <row r="1017" spans="2:2" x14ac:dyDescent="0.3">
      <c r="B1017"/>
    </row>
    <row r="1018" spans="2:2" x14ac:dyDescent="0.3">
      <c r="B1018"/>
    </row>
    <row r="1019" spans="2:2" x14ac:dyDescent="0.3">
      <c r="B1019"/>
    </row>
    <row r="1020" spans="2:2" x14ac:dyDescent="0.3">
      <c r="B1020"/>
    </row>
    <row r="1021" spans="2:2" x14ac:dyDescent="0.3">
      <c r="B1021"/>
    </row>
    <row r="1022" spans="2:2" x14ac:dyDescent="0.3">
      <c r="B1022"/>
    </row>
    <row r="1023" spans="2:2" x14ac:dyDescent="0.3">
      <c r="B1023"/>
    </row>
    <row r="1024" spans="2:2" x14ac:dyDescent="0.3">
      <c r="B1024"/>
    </row>
    <row r="1025" spans="2:2" x14ac:dyDescent="0.3">
      <c r="B1025"/>
    </row>
    <row r="1026" spans="2:2" x14ac:dyDescent="0.3">
      <c r="B1026"/>
    </row>
    <row r="1027" spans="2:2" x14ac:dyDescent="0.3">
      <c r="B1027"/>
    </row>
    <row r="1028" spans="2:2" x14ac:dyDescent="0.3">
      <c r="B1028"/>
    </row>
    <row r="1029" spans="2:2" x14ac:dyDescent="0.3">
      <c r="B1029"/>
    </row>
    <row r="1030" spans="2:2" x14ac:dyDescent="0.3">
      <c r="B1030"/>
    </row>
    <row r="1031" spans="2:2" x14ac:dyDescent="0.3">
      <c r="B1031"/>
    </row>
    <row r="1032" spans="2:2" x14ac:dyDescent="0.3">
      <c r="B1032"/>
    </row>
    <row r="1033" spans="2:2" x14ac:dyDescent="0.3">
      <c r="B1033"/>
    </row>
    <row r="1034" spans="2:2" x14ac:dyDescent="0.3">
      <c r="B1034"/>
    </row>
    <row r="1035" spans="2:2" x14ac:dyDescent="0.3">
      <c r="B1035"/>
    </row>
    <row r="1036" spans="2:2" x14ac:dyDescent="0.3">
      <c r="B1036"/>
    </row>
    <row r="1037" spans="2:2" x14ac:dyDescent="0.3">
      <c r="B1037"/>
    </row>
    <row r="1038" spans="2:2" x14ac:dyDescent="0.3">
      <c r="B1038"/>
    </row>
    <row r="1039" spans="2:2" x14ac:dyDescent="0.3">
      <c r="B1039"/>
    </row>
    <row r="1040" spans="2:2" x14ac:dyDescent="0.3">
      <c r="B1040"/>
    </row>
    <row r="1041" spans="2:2" x14ac:dyDescent="0.3">
      <c r="B1041"/>
    </row>
    <row r="1042" spans="2:2" x14ac:dyDescent="0.3">
      <c r="B1042"/>
    </row>
    <row r="1043" spans="2:2" x14ac:dyDescent="0.3">
      <c r="B1043"/>
    </row>
    <row r="1044" spans="2:2" x14ac:dyDescent="0.3">
      <c r="B1044"/>
    </row>
    <row r="1045" spans="2:2" x14ac:dyDescent="0.3">
      <c r="B1045"/>
    </row>
    <row r="1046" spans="2:2" x14ac:dyDescent="0.3">
      <c r="B1046"/>
    </row>
    <row r="1047" spans="2:2" x14ac:dyDescent="0.3">
      <c r="B1047"/>
    </row>
    <row r="1048" spans="2:2" x14ac:dyDescent="0.3">
      <c r="B1048"/>
    </row>
    <row r="1049" spans="2:2" x14ac:dyDescent="0.3">
      <c r="B1049"/>
    </row>
    <row r="1050" spans="2:2" x14ac:dyDescent="0.3">
      <c r="B1050"/>
    </row>
    <row r="1051" spans="2:2" x14ac:dyDescent="0.3">
      <c r="B1051"/>
    </row>
    <row r="1052" spans="2:2" x14ac:dyDescent="0.3">
      <c r="B1052"/>
    </row>
    <row r="1053" spans="2:2" x14ac:dyDescent="0.3">
      <c r="B1053"/>
    </row>
    <row r="1054" spans="2:2" x14ac:dyDescent="0.3">
      <c r="B1054"/>
    </row>
    <row r="1055" spans="2:2" x14ac:dyDescent="0.3">
      <c r="B1055"/>
    </row>
    <row r="1056" spans="2:2" x14ac:dyDescent="0.3">
      <c r="B1056"/>
    </row>
    <row r="1057" spans="2:2" x14ac:dyDescent="0.3">
      <c r="B1057"/>
    </row>
    <row r="1058" spans="2:2" x14ac:dyDescent="0.3">
      <c r="B1058"/>
    </row>
    <row r="1059" spans="2:2" x14ac:dyDescent="0.3">
      <c r="B1059"/>
    </row>
    <row r="1060" spans="2:2" x14ac:dyDescent="0.3">
      <c r="B1060"/>
    </row>
    <row r="1061" spans="2:2" x14ac:dyDescent="0.3">
      <c r="B1061"/>
    </row>
    <row r="1062" spans="2:2" x14ac:dyDescent="0.3">
      <c r="B1062"/>
    </row>
    <row r="1063" spans="2:2" x14ac:dyDescent="0.3">
      <c r="B1063"/>
    </row>
    <row r="1064" spans="2:2" x14ac:dyDescent="0.3">
      <c r="B1064"/>
    </row>
    <row r="1065" spans="2:2" x14ac:dyDescent="0.3">
      <c r="B1065"/>
    </row>
    <row r="1066" spans="2:2" x14ac:dyDescent="0.3">
      <c r="B1066"/>
    </row>
    <row r="1067" spans="2:2" x14ac:dyDescent="0.3">
      <c r="B1067"/>
    </row>
    <row r="1068" spans="2:2" x14ac:dyDescent="0.3">
      <c r="B1068"/>
    </row>
    <row r="1069" spans="2:2" x14ac:dyDescent="0.3">
      <c r="B1069"/>
    </row>
    <row r="1070" spans="2:2" x14ac:dyDescent="0.3">
      <c r="B1070"/>
    </row>
    <row r="1071" spans="2:2" x14ac:dyDescent="0.3">
      <c r="B1071"/>
    </row>
    <row r="1072" spans="2:2" x14ac:dyDescent="0.3">
      <c r="B1072"/>
    </row>
    <row r="1073" spans="2:2" x14ac:dyDescent="0.3">
      <c r="B1073"/>
    </row>
    <row r="1074" spans="2:2" x14ac:dyDescent="0.3">
      <c r="B1074"/>
    </row>
    <row r="1075" spans="2:2" x14ac:dyDescent="0.3">
      <c r="B1075"/>
    </row>
    <row r="1076" spans="2:2" x14ac:dyDescent="0.3">
      <c r="B1076"/>
    </row>
    <row r="1077" spans="2:2" x14ac:dyDescent="0.3">
      <c r="B1077"/>
    </row>
    <row r="1078" spans="2:2" x14ac:dyDescent="0.3">
      <c r="B1078"/>
    </row>
    <row r="1079" spans="2:2" x14ac:dyDescent="0.3">
      <c r="B1079"/>
    </row>
    <row r="1080" spans="2:2" x14ac:dyDescent="0.3">
      <c r="B1080"/>
    </row>
    <row r="1081" spans="2:2" x14ac:dyDescent="0.3">
      <c r="B1081"/>
    </row>
    <row r="1082" spans="2:2" x14ac:dyDescent="0.3">
      <c r="B1082"/>
    </row>
    <row r="1083" spans="2:2" x14ac:dyDescent="0.3">
      <c r="B1083"/>
    </row>
    <row r="1084" spans="2:2" x14ac:dyDescent="0.3">
      <c r="B1084"/>
    </row>
    <row r="1085" spans="2:2" x14ac:dyDescent="0.3">
      <c r="B1085"/>
    </row>
    <row r="1086" spans="2:2" x14ac:dyDescent="0.3">
      <c r="B1086"/>
    </row>
    <row r="1087" spans="2:2" x14ac:dyDescent="0.3">
      <c r="B1087"/>
    </row>
    <row r="1088" spans="2:2" x14ac:dyDescent="0.3">
      <c r="B1088"/>
    </row>
    <row r="1089" spans="2:2" x14ac:dyDescent="0.3">
      <c r="B1089"/>
    </row>
    <row r="1090" spans="2:2" x14ac:dyDescent="0.3">
      <c r="B1090"/>
    </row>
    <row r="1091" spans="2:2" x14ac:dyDescent="0.3">
      <c r="B1091"/>
    </row>
    <row r="1092" spans="2:2" x14ac:dyDescent="0.3">
      <c r="B1092"/>
    </row>
    <row r="1093" spans="2:2" x14ac:dyDescent="0.3">
      <c r="B1093"/>
    </row>
    <row r="1094" spans="2:2" x14ac:dyDescent="0.3">
      <c r="B1094"/>
    </row>
    <row r="1095" spans="2:2" x14ac:dyDescent="0.3">
      <c r="B1095"/>
    </row>
    <row r="1096" spans="2:2" x14ac:dyDescent="0.3">
      <c r="B1096"/>
    </row>
    <row r="1097" spans="2:2" x14ac:dyDescent="0.3">
      <c r="B1097"/>
    </row>
    <row r="1098" spans="2:2" x14ac:dyDescent="0.3">
      <c r="B1098"/>
    </row>
    <row r="1099" spans="2:2" x14ac:dyDescent="0.3">
      <c r="B1099"/>
    </row>
    <row r="1100" spans="2:2" x14ac:dyDescent="0.3">
      <c r="B1100"/>
    </row>
    <row r="1101" spans="2:2" x14ac:dyDescent="0.3">
      <c r="B1101"/>
    </row>
    <row r="1102" spans="2:2" x14ac:dyDescent="0.3">
      <c r="B1102"/>
    </row>
    <row r="1103" spans="2:2" x14ac:dyDescent="0.3">
      <c r="B1103"/>
    </row>
    <row r="1104" spans="2:2" x14ac:dyDescent="0.3">
      <c r="B1104"/>
    </row>
    <row r="1105" spans="2:2" x14ac:dyDescent="0.3">
      <c r="B1105"/>
    </row>
    <row r="1106" spans="2:2" x14ac:dyDescent="0.3">
      <c r="B1106"/>
    </row>
    <row r="1107" spans="2:2" x14ac:dyDescent="0.3">
      <c r="B1107"/>
    </row>
    <row r="1108" spans="2:2" x14ac:dyDescent="0.3">
      <c r="B1108"/>
    </row>
    <row r="1109" spans="2:2" x14ac:dyDescent="0.3">
      <c r="B1109"/>
    </row>
    <row r="1110" spans="2:2" x14ac:dyDescent="0.3">
      <c r="B1110"/>
    </row>
    <row r="1111" spans="2:2" x14ac:dyDescent="0.3">
      <c r="B1111"/>
    </row>
    <row r="1112" spans="2:2" x14ac:dyDescent="0.3">
      <c r="B1112"/>
    </row>
    <row r="1113" spans="2:2" x14ac:dyDescent="0.3">
      <c r="B1113"/>
    </row>
    <row r="1114" spans="2:2" x14ac:dyDescent="0.3">
      <c r="B1114"/>
    </row>
    <row r="1115" spans="2:2" x14ac:dyDescent="0.3">
      <c r="B1115"/>
    </row>
    <row r="1116" spans="2:2" x14ac:dyDescent="0.3">
      <c r="B1116"/>
    </row>
    <row r="1117" spans="2:2" x14ac:dyDescent="0.3">
      <c r="B1117"/>
    </row>
    <row r="1118" spans="2:2" x14ac:dyDescent="0.3">
      <c r="B1118"/>
    </row>
    <row r="1119" spans="2:2" x14ac:dyDescent="0.3">
      <c r="B1119"/>
    </row>
    <row r="1120" spans="2:2" x14ac:dyDescent="0.3">
      <c r="B1120"/>
    </row>
    <row r="1121" spans="2:2" x14ac:dyDescent="0.3">
      <c r="B1121"/>
    </row>
    <row r="1122" spans="2:2" x14ac:dyDescent="0.3">
      <c r="B1122"/>
    </row>
    <row r="1123" spans="2:2" x14ac:dyDescent="0.3">
      <c r="B1123"/>
    </row>
    <row r="1124" spans="2:2" x14ac:dyDescent="0.3">
      <c r="B1124"/>
    </row>
    <row r="1125" spans="2:2" x14ac:dyDescent="0.3">
      <c r="B1125"/>
    </row>
    <row r="1126" spans="2:2" x14ac:dyDescent="0.3">
      <c r="B1126"/>
    </row>
    <row r="1127" spans="2:2" x14ac:dyDescent="0.3">
      <c r="B1127"/>
    </row>
    <row r="1128" spans="2:2" x14ac:dyDescent="0.3">
      <c r="B1128"/>
    </row>
    <row r="1129" spans="2:2" x14ac:dyDescent="0.3">
      <c r="B1129"/>
    </row>
    <row r="1130" spans="2:2" x14ac:dyDescent="0.3">
      <c r="B1130"/>
    </row>
    <row r="1131" spans="2:2" x14ac:dyDescent="0.3">
      <c r="B1131"/>
    </row>
    <row r="1132" spans="2:2" x14ac:dyDescent="0.3">
      <c r="B1132"/>
    </row>
    <row r="1133" spans="2:2" x14ac:dyDescent="0.3">
      <c r="B1133"/>
    </row>
    <row r="1134" spans="2:2" x14ac:dyDescent="0.3">
      <c r="B1134"/>
    </row>
    <row r="1135" spans="2:2" x14ac:dyDescent="0.3">
      <c r="B1135"/>
    </row>
    <row r="1136" spans="2:2" x14ac:dyDescent="0.3">
      <c r="B1136"/>
    </row>
    <row r="1137" spans="2:2" x14ac:dyDescent="0.3">
      <c r="B1137"/>
    </row>
    <row r="1138" spans="2:2" x14ac:dyDescent="0.3">
      <c r="B1138"/>
    </row>
    <row r="1139" spans="2:2" x14ac:dyDescent="0.3">
      <c r="B1139"/>
    </row>
    <row r="1140" spans="2:2" x14ac:dyDescent="0.3">
      <c r="B1140"/>
    </row>
    <row r="1141" spans="2:2" x14ac:dyDescent="0.3">
      <c r="B1141"/>
    </row>
    <row r="1142" spans="2:2" x14ac:dyDescent="0.3">
      <c r="B1142"/>
    </row>
    <row r="1143" spans="2:2" x14ac:dyDescent="0.3">
      <c r="B1143"/>
    </row>
    <row r="1144" spans="2:2" x14ac:dyDescent="0.3">
      <c r="B1144"/>
    </row>
    <row r="1145" spans="2:2" x14ac:dyDescent="0.3">
      <c r="B1145"/>
    </row>
    <row r="1146" spans="2:2" x14ac:dyDescent="0.3">
      <c r="B1146"/>
    </row>
    <row r="1147" spans="2:2" x14ac:dyDescent="0.3">
      <c r="B1147"/>
    </row>
    <row r="1148" spans="2:2" x14ac:dyDescent="0.3">
      <c r="B1148"/>
    </row>
    <row r="1149" spans="2:2" x14ac:dyDescent="0.3">
      <c r="B1149"/>
    </row>
    <row r="1150" spans="2:2" x14ac:dyDescent="0.3">
      <c r="B1150"/>
    </row>
    <row r="1151" spans="2:2" x14ac:dyDescent="0.3">
      <c r="B1151"/>
    </row>
    <row r="1152" spans="2:2" x14ac:dyDescent="0.3">
      <c r="B1152"/>
    </row>
    <row r="1153" spans="2:2" x14ac:dyDescent="0.3">
      <c r="B1153"/>
    </row>
    <row r="1154" spans="2:2" x14ac:dyDescent="0.3">
      <c r="B1154"/>
    </row>
    <row r="1155" spans="2:2" x14ac:dyDescent="0.3">
      <c r="B1155"/>
    </row>
    <row r="1156" spans="2:2" x14ac:dyDescent="0.3">
      <c r="B1156"/>
    </row>
    <row r="1157" spans="2:2" x14ac:dyDescent="0.3">
      <c r="B1157"/>
    </row>
    <row r="1158" spans="2:2" x14ac:dyDescent="0.3">
      <c r="B1158"/>
    </row>
    <row r="1159" spans="2:2" x14ac:dyDescent="0.3">
      <c r="B1159"/>
    </row>
    <row r="1160" spans="2:2" x14ac:dyDescent="0.3">
      <c r="B1160"/>
    </row>
    <row r="1161" spans="2:2" x14ac:dyDescent="0.3">
      <c r="B1161"/>
    </row>
    <row r="1162" spans="2:2" x14ac:dyDescent="0.3">
      <c r="B1162"/>
    </row>
    <row r="1163" spans="2:2" x14ac:dyDescent="0.3">
      <c r="B1163"/>
    </row>
    <row r="1164" spans="2:2" x14ac:dyDescent="0.3">
      <c r="B1164"/>
    </row>
    <row r="1165" spans="2:2" x14ac:dyDescent="0.3">
      <c r="B1165"/>
    </row>
    <row r="1166" spans="2:2" x14ac:dyDescent="0.3">
      <c r="B1166"/>
    </row>
    <row r="1167" spans="2:2" x14ac:dyDescent="0.3">
      <c r="B1167"/>
    </row>
    <row r="1168" spans="2:2" x14ac:dyDescent="0.3">
      <c r="B1168"/>
    </row>
    <row r="1169" spans="2:2" x14ac:dyDescent="0.3">
      <c r="B1169"/>
    </row>
    <row r="1170" spans="2:2" x14ac:dyDescent="0.3">
      <c r="B1170"/>
    </row>
    <row r="1171" spans="2:2" x14ac:dyDescent="0.3">
      <c r="B1171"/>
    </row>
    <row r="1172" spans="2:2" x14ac:dyDescent="0.3">
      <c r="B1172"/>
    </row>
    <row r="1173" spans="2:2" x14ac:dyDescent="0.3">
      <c r="B1173"/>
    </row>
    <row r="1174" spans="2:2" x14ac:dyDescent="0.3">
      <c r="B1174"/>
    </row>
    <row r="1175" spans="2:2" x14ac:dyDescent="0.3">
      <c r="B1175"/>
    </row>
    <row r="1176" spans="2:2" x14ac:dyDescent="0.3">
      <c r="B1176"/>
    </row>
    <row r="1177" spans="2:2" x14ac:dyDescent="0.3">
      <c r="B1177"/>
    </row>
    <row r="1178" spans="2:2" x14ac:dyDescent="0.3">
      <c r="B1178"/>
    </row>
    <row r="1179" spans="2:2" x14ac:dyDescent="0.3">
      <c r="B1179"/>
    </row>
    <row r="1180" spans="2:2" x14ac:dyDescent="0.3">
      <c r="B1180"/>
    </row>
    <row r="1181" spans="2:2" x14ac:dyDescent="0.3">
      <c r="B1181"/>
    </row>
    <row r="1182" spans="2:2" x14ac:dyDescent="0.3">
      <c r="B1182"/>
    </row>
    <row r="1183" spans="2:2" x14ac:dyDescent="0.3">
      <c r="B1183"/>
    </row>
    <row r="1184" spans="2:2" x14ac:dyDescent="0.3">
      <c r="B1184"/>
    </row>
    <row r="1185" spans="2:2" x14ac:dyDescent="0.3">
      <c r="B1185"/>
    </row>
    <row r="1186" spans="2:2" x14ac:dyDescent="0.3">
      <c r="B1186"/>
    </row>
    <row r="1187" spans="2:2" x14ac:dyDescent="0.3">
      <c r="B1187"/>
    </row>
    <row r="1188" spans="2:2" x14ac:dyDescent="0.3">
      <c r="B1188"/>
    </row>
    <row r="1189" spans="2:2" x14ac:dyDescent="0.3">
      <c r="B1189"/>
    </row>
    <row r="1190" spans="2:2" x14ac:dyDescent="0.3">
      <c r="B1190"/>
    </row>
    <row r="1191" spans="2:2" x14ac:dyDescent="0.3">
      <c r="B1191"/>
    </row>
    <row r="1192" spans="2:2" x14ac:dyDescent="0.3">
      <c r="B1192"/>
    </row>
    <row r="1193" spans="2:2" x14ac:dyDescent="0.3">
      <c r="B1193"/>
    </row>
    <row r="1194" spans="2:2" x14ac:dyDescent="0.3">
      <c r="B1194"/>
    </row>
    <row r="1195" spans="2:2" x14ac:dyDescent="0.3">
      <c r="B1195"/>
    </row>
    <row r="1196" spans="2:2" x14ac:dyDescent="0.3">
      <c r="B1196"/>
    </row>
    <row r="1197" spans="2:2" x14ac:dyDescent="0.3">
      <c r="B1197"/>
    </row>
    <row r="1198" spans="2:2" x14ac:dyDescent="0.3">
      <c r="B1198"/>
    </row>
    <row r="1199" spans="2:2" x14ac:dyDescent="0.3">
      <c r="B1199"/>
    </row>
    <row r="1200" spans="2:2" x14ac:dyDescent="0.3">
      <c r="B1200"/>
    </row>
    <row r="1201" spans="2:2" x14ac:dyDescent="0.3">
      <c r="B1201"/>
    </row>
    <row r="1202" spans="2:2" x14ac:dyDescent="0.3">
      <c r="B1202"/>
    </row>
    <row r="1203" spans="2:2" x14ac:dyDescent="0.3">
      <c r="B1203"/>
    </row>
    <row r="1204" spans="2:2" x14ac:dyDescent="0.3">
      <c r="B1204"/>
    </row>
    <row r="1205" spans="2:2" x14ac:dyDescent="0.3">
      <c r="B1205"/>
    </row>
    <row r="1206" spans="2:2" x14ac:dyDescent="0.3">
      <c r="B1206"/>
    </row>
    <row r="1207" spans="2:2" x14ac:dyDescent="0.3">
      <c r="B1207"/>
    </row>
    <row r="1208" spans="2:2" x14ac:dyDescent="0.3">
      <c r="B1208"/>
    </row>
    <row r="1209" spans="2:2" x14ac:dyDescent="0.3">
      <c r="B1209"/>
    </row>
    <row r="1210" spans="2:2" x14ac:dyDescent="0.3">
      <c r="B1210"/>
    </row>
    <row r="1211" spans="2:2" x14ac:dyDescent="0.3">
      <c r="B1211"/>
    </row>
    <row r="1212" spans="2:2" x14ac:dyDescent="0.3">
      <c r="B1212"/>
    </row>
    <row r="1213" spans="2:2" x14ac:dyDescent="0.3">
      <c r="B1213"/>
    </row>
    <row r="1214" spans="2:2" x14ac:dyDescent="0.3">
      <c r="B1214"/>
    </row>
    <row r="1215" spans="2:2" x14ac:dyDescent="0.3">
      <c r="B1215"/>
    </row>
    <row r="1216" spans="2:2" x14ac:dyDescent="0.3">
      <c r="B1216"/>
    </row>
    <row r="1217" spans="2:2" x14ac:dyDescent="0.3">
      <c r="B1217"/>
    </row>
    <row r="1218" spans="2:2" x14ac:dyDescent="0.3">
      <c r="B1218"/>
    </row>
    <row r="1219" spans="2:2" x14ac:dyDescent="0.3">
      <c r="B1219"/>
    </row>
    <row r="1220" spans="2:2" x14ac:dyDescent="0.3">
      <c r="B1220"/>
    </row>
    <row r="1221" spans="2:2" x14ac:dyDescent="0.3">
      <c r="B1221"/>
    </row>
    <row r="1222" spans="2:2" x14ac:dyDescent="0.3">
      <c r="B1222"/>
    </row>
    <row r="1223" spans="2:2" x14ac:dyDescent="0.3">
      <c r="B1223"/>
    </row>
    <row r="1224" spans="2:2" x14ac:dyDescent="0.3">
      <c r="B1224"/>
    </row>
    <row r="1225" spans="2:2" x14ac:dyDescent="0.3">
      <c r="B1225"/>
    </row>
    <row r="1226" spans="2:2" x14ac:dyDescent="0.3">
      <c r="B1226"/>
    </row>
    <row r="1227" spans="2:2" x14ac:dyDescent="0.3">
      <c r="B1227"/>
    </row>
    <row r="1228" spans="2:2" x14ac:dyDescent="0.3">
      <c r="B1228"/>
    </row>
    <row r="1229" spans="2:2" x14ac:dyDescent="0.3">
      <c r="B1229"/>
    </row>
    <row r="1230" spans="2:2" x14ac:dyDescent="0.3">
      <c r="B1230"/>
    </row>
    <row r="1231" spans="2:2" x14ac:dyDescent="0.3">
      <c r="B1231"/>
    </row>
    <row r="1232" spans="2:2" x14ac:dyDescent="0.3">
      <c r="B1232"/>
    </row>
    <row r="1233" spans="2:2" x14ac:dyDescent="0.3">
      <c r="B1233"/>
    </row>
    <row r="1234" spans="2:2" x14ac:dyDescent="0.3">
      <c r="B1234"/>
    </row>
    <row r="1235" spans="2:2" x14ac:dyDescent="0.3">
      <c r="B1235"/>
    </row>
    <row r="1236" spans="2:2" x14ac:dyDescent="0.3">
      <c r="B1236"/>
    </row>
    <row r="1237" spans="2:2" x14ac:dyDescent="0.3">
      <c r="B1237"/>
    </row>
    <row r="1238" spans="2:2" x14ac:dyDescent="0.3">
      <c r="B1238"/>
    </row>
    <row r="1239" spans="2:2" x14ac:dyDescent="0.3">
      <c r="B1239"/>
    </row>
    <row r="1240" spans="2:2" x14ac:dyDescent="0.3">
      <c r="B1240"/>
    </row>
    <row r="1241" spans="2:2" x14ac:dyDescent="0.3">
      <c r="B1241"/>
    </row>
    <row r="1242" spans="2:2" x14ac:dyDescent="0.3">
      <c r="B1242"/>
    </row>
    <row r="1243" spans="2:2" x14ac:dyDescent="0.3">
      <c r="B1243"/>
    </row>
    <row r="1244" spans="2:2" x14ac:dyDescent="0.3">
      <c r="B1244"/>
    </row>
    <row r="1245" spans="2:2" x14ac:dyDescent="0.3">
      <c r="B1245"/>
    </row>
    <row r="1246" spans="2:2" x14ac:dyDescent="0.3">
      <c r="B1246"/>
    </row>
    <row r="1247" spans="2:2" x14ac:dyDescent="0.3">
      <c r="B1247"/>
    </row>
    <row r="1248" spans="2:2" x14ac:dyDescent="0.3">
      <c r="B1248"/>
    </row>
    <row r="1249" spans="2:2" x14ac:dyDescent="0.3">
      <c r="B1249"/>
    </row>
    <row r="1250" spans="2:2" x14ac:dyDescent="0.3">
      <c r="B1250"/>
    </row>
    <row r="1251" spans="2:2" x14ac:dyDescent="0.3">
      <c r="B1251"/>
    </row>
    <row r="1252" spans="2:2" x14ac:dyDescent="0.3">
      <c r="B1252"/>
    </row>
    <row r="1253" spans="2:2" x14ac:dyDescent="0.3">
      <c r="B1253"/>
    </row>
    <row r="1254" spans="2:2" x14ac:dyDescent="0.3">
      <c r="B1254"/>
    </row>
    <row r="1255" spans="2:2" x14ac:dyDescent="0.3">
      <c r="B1255"/>
    </row>
    <row r="1256" spans="2:2" x14ac:dyDescent="0.3">
      <c r="B1256"/>
    </row>
    <row r="1257" spans="2:2" x14ac:dyDescent="0.3">
      <c r="B1257"/>
    </row>
    <row r="1258" spans="2:2" x14ac:dyDescent="0.3">
      <c r="B1258"/>
    </row>
    <row r="1259" spans="2:2" x14ac:dyDescent="0.3">
      <c r="B1259"/>
    </row>
    <row r="1260" spans="2:2" x14ac:dyDescent="0.3">
      <c r="B1260"/>
    </row>
    <row r="1261" spans="2:2" x14ac:dyDescent="0.3">
      <c r="B1261"/>
    </row>
    <row r="1262" spans="2:2" x14ac:dyDescent="0.3">
      <c r="B1262"/>
    </row>
    <row r="1263" spans="2:2" x14ac:dyDescent="0.3">
      <c r="B1263"/>
    </row>
    <row r="1264" spans="2:2" x14ac:dyDescent="0.3">
      <c r="B1264"/>
    </row>
    <row r="1265" spans="2:2" x14ac:dyDescent="0.3">
      <c r="B1265"/>
    </row>
    <row r="1266" spans="2:2" x14ac:dyDescent="0.3">
      <c r="B1266"/>
    </row>
    <row r="1267" spans="2:2" x14ac:dyDescent="0.3">
      <c r="B1267"/>
    </row>
    <row r="1268" spans="2:2" x14ac:dyDescent="0.3">
      <c r="B1268"/>
    </row>
    <row r="1269" spans="2:2" x14ac:dyDescent="0.3">
      <c r="B1269"/>
    </row>
    <row r="1270" spans="2:2" x14ac:dyDescent="0.3">
      <c r="B1270"/>
    </row>
    <row r="1271" spans="2:2" x14ac:dyDescent="0.3">
      <c r="B1271"/>
    </row>
    <row r="1272" spans="2:2" x14ac:dyDescent="0.3">
      <c r="B1272"/>
    </row>
    <row r="1273" spans="2:2" x14ac:dyDescent="0.3">
      <c r="B1273"/>
    </row>
    <row r="1274" spans="2:2" x14ac:dyDescent="0.3">
      <c r="B1274"/>
    </row>
    <row r="1275" spans="2:2" x14ac:dyDescent="0.3">
      <c r="B1275"/>
    </row>
    <row r="1276" spans="2:2" x14ac:dyDescent="0.3">
      <c r="B1276"/>
    </row>
    <row r="1277" spans="2:2" x14ac:dyDescent="0.3">
      <c r="B1277"/>
    </row>
    <row r="1278" spans="2:2" x14ac:dyDescent="0.3">
      <c r="B1278"/>
    </row>
    <row r="1279" spans="2:2" x14ac:dyDescent="0.3">
      <c r="B1279"/>
    </row>
    <row r="1280" spans="2:2" x14ac:dyDescent="0.3">
      <c r="B1280"/>
    </row>
    <row r="1281" spans="2:2" x14ac:dyDescent="0.3">
      <c r="B1281"/>
    </row>
    <row r="1282" spans="2:2" x14ac:dyDescent="0.3">
      <c r="B1282"/>
    </row>
    <row r="1283" spans="2:2" x14ac:dyDescent="0.3">
      <c r="B1283"/>
    </row>
    <row r="1284" spans="2:2" x14ac:dyDescent="0.3">
      <c r="B1284"/>
    </row>
    <row r="1285" spans="2:2" x14ac:dyDescent="0.3">
      <c r="B1285"/>
    </row>
    <row r="1286" spans="2:2" x14ac:dyDescent="0.3">
      <c r="B1286"/>
    </row>
    <row r="1287" spans="2:2" x14ac:dyDescent="0.3">
      <c r="B1287"/>
    </row>
    <row r="1288" spans="2:2" x14ac:dyDescent="0.3">
      <c r="B1288"/>
    </row>
    <row r="1289" spans="2:2" x14ac:dyDescent="0.3">
      <c r="B1289"/>
    </row>
    <row r="1290" spans="2:2" x14ac:dyDescent="0.3">
      <c r="B1290"/>
    </row>
    <row r="1291" spans="2:2" x14ac:dyDescent="0.3">
      <c r="B1291"/>
    </row>
    <row r="1292" spans="2:2" x14ac:dyDescent="0.3">
      <c r="B1292"/>
    </row>
    <row r="1293" spans="2:2" x14ac:dyDescent="0.3">
      <c r="B1293"/>
    </row>
    <row r="1294" spans="2:2" x14ac:dyDescent="0.3">
      <c r="B1294"/>
    </row>
    <row r="1295" spans="2:2" x14ac:dyDescent="0.3">
      <c r="B1295"/>
    </row>
    <row r="1296" spans="2:2" x14ac:dyDescent="0.3">
      <c r="B1296"/>
    </row>
    <row r="1297" spans="2:2" x14ac:dyDescent="0.3">
      <c r="B1297"/>
    </row>
    <row r="1298" spans="2:2" x14ac:dyDescent="0.3">
      <c r="B1298"/>
    </row>
    <row r="1299" spans="2:2" x14ac:dyDescent="0.3">
      <c r="B1299"/>
    </row>
    <row r="1300" spans="2:2" x14ac:dyDescent="0.3">
      <c r="B1300"/>
    </row>
    <row r="1301" spans="2:2" x14ac:dyDescent="0.3">
      <c r="B1301"/>
    </row>
    <row r="1302" spans="2:2" x14ac:dyDescent="0.3">
      <c r="B1302"/>
    </row>
    <row r="1303" spans="2:2" x14ac:dyDescent="0.3">
      <c r="B1303"/>
    </row>
    <row r="1304" spans="2:2" x14ac:dyDescent="0.3">
      <c r="B1304"/>
    </row>
    <row r="1305" spans="2:2" x14ac:dyDescent="0.3">
      <c r="B1305"/>
    </row>
    <row r="1306" spans="2:2" x14ac:dyDescent="0.3">
      <c r="B1306"/>
    </row>
    <row r="1307" spans="2:2" x14ac:dyDescent="0.3">
      <c r="B1307"/>
    </row>
    <row r="1308" spans="2:2" x14ac:dyDescent="0.3">
      <c r="B1308"/>
    </row>
    <row r="1309" spans="2:2" x14ac:dyDescent="0.3">
      <c r="B1309"/>
    </row>
    <row r="1310" spans="2:2" x14ac:dyDescent="0.3">
      <c r="B1310"/>
    </row>
    <row r="1311" spans="2:2" x14ac:dyDescent="0.3">
      <c r="B1311"/>
    </row>
    <row r="1312" spans="2:2" x14ac:dyDescent="0.3">
      <c r="B1312"/>
    </row>
    <row r="1313" spans="2:2" x14ac:dyDescent="0.3">
      <c r="B1313"/>
    </row>
    <row r="1314" spans="2:2" x14ac:dyDescent="0.3">
      <c r="B1314"/>
    </row>
    <row r="1315" spans="2:2" x14ac:dyDescent="0.3">
      <c r="B1315"/>
    </row>
    <row r="1316" spans="2:2" x14ac:dyDescent="0.3">
      <c r="B1316"/>
    </row>
    <row r="1317" spans="2:2" x14ac:dyDescent="0.3">
      <c r="B1317"/>
    </row>
    <row r="1318" spans="2:2" x14ac:dyDescent="0.3">
      <c r="B1318"/>
    </row>
    <row r="1319" spans="2:2" x14ac:dyDescent="0.3">
      <c r="B1319"/>
    </row>
    <row r="1320" spans="2:2" x14ac:dyDescent="0.3">
      <c r="B1320"/>
    </row>
    <row r="1321" spans="2:2" x14ac:dyDescent="0.3">
      <c r="B1321"/>
    </row>
    <row r="1322" spans="2:2" x14ac:dyDescent="0.3">
      <c r="B1322"/>
    </row>
    <row r="1323" spans="2:2" x14ac:dyDescent="0.3">
      <c r="B1323"/>
    </row>
    <row r="1324" spans="2:2" x14ac:dyDescent="0.3">
      <c r="B1324"/>
    </row>
    <row r="1325" spans="2:2" x14ac:dyDescent="0.3">
      <c r="B1325"/>
    </row>
    <row r="1326" spans="2:2" x14ac:dyDescent="0.3">
      <c r="B1326"/>
    </row>
    <row r="1327" spans="2:2" x14ac:dyDescent="0.3">
      <c r="B1327"/>
    </row>
    <row r="1328" spans="2:2" x14ac:dyDescent="0.3">
      <c r="B1328"/>
    </row>
    <row r="1329" spans="2:2" x14ac:dyDescent="0.3">
      <c r="B1329"/>
    </row>
    <row r="1330" spans="2:2" x14ac:dyDescent="0.3">
      <c r="B1330"/>
    </row>
    <row r="1331" spans="2:2" x14ac:dyDescent="0.3">
      <c r="B1331"/>
    </row>
    <row r="1332" spans="2:2" x14ac:dyDescent="0.3">
      <c r="B1332"/>
    </row>
    <row r="1333" spans="2:2" x14ac:dyDescent="0.3">
      <c r="B1333"/>
    </row>
    <row r="1334" spans="2:2" x14ac:dyDescent="0.3">
      <c r="B1334"/>
    </row>
    <row r="1335" spans="2:2" x14ac:dyDescent="0.3">
      <c r="B1335"/>
    </row>
    <row r="1336" spans="2:2" x14ac:dyDescent="0.3">
      <c r="B1336"/>
    </row>
    <row r="1337" spans="2:2" x14ac:dyDescent="0.3">
      <c r="B1337"/>
    </row>
    <row r="1338" spans="2:2" x14ac:dyDescent="0.3">
      <c r="B1338"/>
    </row>
    <row r="1339" spans="2:2" x14ac:dyDescent="0.3">
      <c r="B1339"/>
    </row>
    <row r="1340" spans="2:2" x14ac:dyDescent="0.3">
      <c r="B1340"/>
    </row>
    <row r="1341" spans="2:2" x14ac:dyDescent="0.3">
      <c r="B1341"/>
    </row>
    <row r="1342" spans="2:2" x14ac:dyDescent="0.3">
      <c r="B1342"/>
    </row>
    <row r="1343" spans="2:2" x14ac:dyDescent="0.3">
      <c r="B1343"/>
    </row>
    <row r="1344" spans="2:2" x14ac:dyDescent="0.3">
      <c r="B1344"/>
    </row>
    <row r="1345" spans="2:2" x14ac:dyDescent="0.3">
      <c r="B1345"/>
    </row>
    <row r="1346" spans="2:2" x14ac:dyDescent="0.3">
      <c r="B1346"/>
    </row>
    <row r="1347" spans="2:2" x14ac:dyDescent="0.3">
      <c r="B1347"/>
    </row>
    <row r="1348" spans="2:2" x14ac:dyDescent="0.3">
      <c r="B1348"/>
    </row>
    <row r="1349" spans="2:2" x14ac:dyDescent="0.3">
      <c r="B1349"/>
    </row>
    <row r="1350" spans="2:2" x14ac:dyDescent="0.3">
      <c r="B1350"/>
    </row>
    <row r="1351" spans="2:2" x14ac:dyDescent="0.3">
      <c r="B1351"/>
    </row>
    <row r="1352" spans="2:2" x14ac:dyDescent="0.3">
      <c r="B1352"/>
    </row>
    <row r="1353" spans="2:2" x14ac:dyDescent="0.3">
      <c r="B1353"/>
    </row>
    <row r="1354" spans="2:2" x14ac:dyDescent="0.3">
      <c r="B1354"/>
    </row>
    <row r="1355" spans="2:2" x14ac:dyDescent="0.3">
      <c r="B1355"/>
    </row>
    <row r="1356" spans="2:2" x14ac:dyDescent="0.3">
      <c r="B1356"/>
    </row>
    <row r="1357" spans="2:2" x14ac:dyDescent="0.3">
      <c r="B1357"/>
    </row>
    <row r="1358" spans="2:2" x14ac:dyDescent="0.3">
      <c r="B1358"/>
    </row>
    <row r="1359" spans="2:2" x14ac:dyDescent="0.3">
      <c r="B1359"/>
    </row>
    <row r="1360" spans="2:2" x14ac:dyDescent="0.3">
      <c r="B1360"/>
    </row>
    <row r="1361" spans="2:2" x14ac:dyDescent="0.3">
      <c r="B1361"/>
    </row>
    <row r="1362" spans="2:2" x14ac:dyDescent="0.3">
      <c r="B1362"/>
    </row>
    <row r="1363" spans="2:2" x14ac:dyDescent="0.3">
      <c r="B1363"/>
    </row>
    <row r="1364" spans="2:2" x14ac:dyDescent="0.3">
      <c r="B1364"/>
    </row>
    <row r="1365" spans="2:2" x14ac:dyDescent="0.3">
      <c r="B1365"/>
    </row>
    <row r="1366" spans="2:2" x14ac:dyDescent="0.3">
      <c r="B1366"/>
    </row>
    <row r="1367" spans="2:2" x14ac:dyDescent="0.3">
      <c r="B1367"/>
    </row>
    <row r="1368" spans="2:2" x14ac:dyDescent="0.3">
      <c r="B1368"/>
    </row>
    <row r="1369" spans="2:2" x14ac:dyDescent="0.3">
      <c r="B1369"/>
    </row>
    <row r="1370" spans="2:2" x14ac:dyDescent="0.3">
      <c r="B1370"/>
    </row>
    <row r="1371" spans="2:2" x14ac:dyDescent="0.3">
      <c r="B1371"/>
    </row>
    <row r="1372" spans="2:2" x14ac:dyDescent="0.3">
      <c r="B1372"/>
    </row>
    <row r="1373" spans="2:2" x14ac:dyDescent="0.3">
      <c r="B1373"/>
    </row>
    <row r="1374" spans="2:2" x14ac:dyDescent="0.3">
      <c r="B1374"/>
    </row>
    <row r="1375" spans="2:2" x14ac:dyDescent="0.3">
      <c r="B1375"/>
    </row>
    <row r="1376" spans="2:2" x14ac:dyDescent="0.3">
      <c r="B1376"/>
    </row>
    <row r="1377" spans="2:2" x14ac:dyDescent="0.3">
      <c r="B1377"/>
    </row>
    <row r="1378" spans="2:2" x14ac:dyDescent="0.3">
      <c r="B1378"/>
    </row>
    <row r="1379" spans="2:2" x14ac:dyDescent="0.3">
      <c r="B1379"/>
    </row>
    <row r="1380" spans="2:2" x14ac:dyDescent="0.3">
      <c r="B1380"/>
    </row>
    <row r="1381" spans="2:2" x14ac:dyDescent="0.3">
      <c r="B1381"/>
    </row>
    <row r="1382" spans="2:2" x14ac:dyDescent="0.3">
      <c r="B1382"/>
    </row>
    <row r="1383" spans="2:2" x14ac:dyDescent="0.3">
      <c r="B1383"/>
    </row>
    <row r="1384" spans="2:2" x14ac:dyDescent="0.3">
      <c r="B1384"/>
    </row>
    <row r="1385" spans="2:2" x14ac:dyDescent="0.3">
      <c r="B1385"/>
    </row>
    <row r="1386" spans="2:2" x14ac:dyDescent="0.3">
      <c r="B1386"/>
    </row>
    <row r="1387" spans="2:2" x14ac:dyDescent="0.3">
      <c r="B1387"/>
    </row>
    <row r="1388" spans="2:2" x14ac:dyDescent="0.3">
      <c r="B1388"/>
    </row>
    <row r="1389" spans="2:2" x14ac:dyDescent="0.3">
      <c r="B1389"/>
    </row>
    <row r="1390" spans="2:2" x14ac:dyDescent="0.3">
      <c r="B1390"/>
    </row>
    <row r="1391" spans="2:2" x14ac:dyDescent="0.3">
      <c r="B1391"/>
    </row>
    <row r="1392" spans="2:2" x14ac:dyDescent="0.3">
      <c r="B1392"/>
    </row>
    <row r="1393" spans="2:2" x14ac:dyDescent="0.3">
      <c r="B1393"/>
    </row>
    <row r="1394" spans="2:2" x14ac:dyDescent="0.3">
      <c r="B1394"/>
    </row>
    <row r="1395" spans="2:2" x14ac:dyDescent="0.3">
      <c r="B1395"/>
    </row>
    <row r="1396" spans="2:2" x14ac:dyDescent="0.3">
      <c r="B1396"/>
    </row>
    <row r="1397" spans="2:2" x14ac:dyDescent="0.3">
      <c r="B1397"/>
    </row>
    <row r="1398" spans="2:2" x14ac:dyDescent="0.3">
      <c r="B1398"/>
    </row>
    <row r="1399" spans="2:2" x14ac:dyDescent="0.3">
      <c r="B1399"/>
    </row>
    <row r="1400" spans="2:2" x14ac:dyDescent="0.3">
      <c r="B1400"/>
    </row>
    <row r="1401" spans="2:2" x14ac:dyDescent="0.3">
      <c r="B1401"/>
    </row>
    <row r="1402" spans="2:2" x14ac:dyDescent="0.3">
      <c r="B1402"/>
    </row>
    <row r="1403" spans="2:2" x14ac:dyDescent="0.3">
      <c r="B1403"/>
    </row>
    <row r="1404" spans="2:2" x14ac:dyDescent="0.3">
      <c r="B1404"/>
    </row>
    <row r="1405" spans="2:2" x14ac:dyDescent="0.3">
      <c r="B1405"/>
    </row>
    <row r="1406" spans="2:2" x14ac:dyDescent="0.3">
      <c r="B1406"/>
    </row>
    <row r="1407" spans="2:2" x14ac:dyDescent="0.3">
      <c r="B1407"/>
    </row>
    <row r="1408" spans="2:2" x14ac:dyDescent="0.3">
      <c r="B1408"/>
    </row>
    <row r="1409" spans="2:2" x14ac:dyDescent="0.3">
      <c r="B1409"/>
    </row>
    <row r="1410" spans="2:2" x14ac:dyDescent="0.3">
      <c r="B1410"/>
    </row>
    <row r="1411" spans="2:2" x14ac:dyDescent="0.3">
      <c r="B1411"/>
    </row>
    <row r="1412" spans="2:2" x14ac:dyDescent="0.3">
      <c r="B1412"/>
    </row>
    <row r="1413" spans="2:2" x14ac:dyDescent="0.3">
      <c r="B1413"/>
    </row>
    <row r="1414" spans="2:2" x14ac:dyDescent="0.3">
      <c r="B1414"/>
    </row>
    <row r="1415" spans="2:2" x14ac:dyDescent="0.3">
      <c r="B1415"/>
    </row>
    <row r="1416" spans="2:2" x14ac:dyDescent="0.3">
      <c r="B1416"/>
    </row>
    <row r="1417" spans="2:2" x14ac:dyDescent="0.3">
      <c r="B1417"/>
    </row>
    <row r="1418" spans="2:2" x14ac:dyDescent="0.3">
      <c r="B1418"/>
    </row>
    <row r="1419" spans="2:2" x14ac:dyDescent="0.3">
      <c r="B1419"/>
    </row>
    <row r="1420" spans="2:2" x14ac:dyDescent="0.3">
      <c r="B1420"/>
    </row>
    <row r="1421" spans="2:2" x14ac:dyDescent="0.3">
      <c r="B1421"/>
    </row>
    <row r="1422" spans="2:2" x14ac:dyDescent="0.3">
      <c r="B1422"/>
    </row>
    <row r="1423" spans="2:2" x14ac:dyDescent="0.3">
      <c r="B1423"/>
    </row>
    <row r="1424" spans="2:2" x14ac:dyDescent="0.3">
      <c r="B1424"/>
    </row>
    <row r="1425" spans="2:2" x14ac:dyDescent="0.3">
      <c r="B1425"/>
    </row>
    <row r="1426" spans="2:2" x14ac:dyDescent="0.3">
      <c r="B1426"/>
    </row>
    <row r="1427" spans="2:2" x14ac:dyDescent="0.3">
      <c r="B1427"/>
    </row>
    <row r="1428" spans="2:2" x14ac:dyDescent="0.3">
      <c r="B1428"/>
    </row>
    <row r="1429" spans="2:2" x14ac:dyDescent="0.3">
      <c r="B1429"/>
    </row>
    <row r="1430" spans="2:2" x14ac:dyDescent="0.3">
      <c r="B1430"/>
    </row>
    <row r="1431" spans="2:2" x14ac:dyDescent="0.3">
      <c r="B1431"/>
    </row>
    <row r="1432" spans="2:2" x14ac:dyDescent="0.3">
      <c r="B1432"/>
    </row>
    <row r="1433" spans="2:2" x14ac:dyDescent="0.3">
      <c r="B1433"/>
    </row>
    <row r="1434" spans="2:2" x14ac:dyDescent="0.3">
      <c r="B1434"/>
    </row>
    <row r="1435" spans="2:2" x14ac:dyDescent="0.3">
      <c r="B1435"/>
    </row>
    <row r="1436" spans="2:2" x14ac:dyDescent="0.3">
      <c r="B1436"/>
    </row>
    <row r="1437" spans="2:2" x14ac:dyDescent="0.3">
      <c r="B1437"/>
    </row>
    <row r="1438" spans="2:2" x14ac:dyDescent="0.3">
      <c r="B1438"/>
    </row>
    <row r="1439" spans="2:2" x14ac:dyDescent="0.3">
      <c r="B1439"/>
    </row>
    <row r="1440" spans="2:2" x14ac:dyDescent="0.3">
      <c r="B1440"/>
    </row>
    <row r="1441" spans="2:2" x14ac:dyDescent="0.3">
      <c r="B1441"/>
    </row>
    <row r="1442" spans="2:2" x14ac:dyDescent="0.3">
      <c r="B1442"/>
    </row>
    <row r="1443" spans="2:2" x14ac:dyDescent="0.3">
      <c r="B1443"/>
    </row>
    <row r="1444" spans="2:2" x14ac:dyDescent="0.3">
      <c r="B1444"/>
    </row>
    <row r="1445" spans="2:2" x14ac:dyDescent="0.3">
      <c r="B1445"/>
    </row>
    <row r="1446" spans="2:2" x14ac:dyDescent="0.3">
      <c r="B1446"/>
    </row>
    <row r="1447" spans="2:2" x14ac:dyDescent="0.3">
      <c r="B1447"/>
    </row>
    <row r="1448" spans="2:2" x14ac:dyDescent="0.3">
      <c r="B1448"/>
    </row>
    <row r="1449" spans="2:2" x14ac:dyDescent="0.3">
      <c r="B1449"/>
    </row>
    <row r="1450" spans="2:2" x14ac:dyDescent="0.3">
      <c r="B1450"/>
    </row>
    <row r="1451" spans="2:2" x14ac:dyDescent="0.3">
      <c r="B1451"/>
    </row>
    <row r="1452" spans="2:2" x14ac:dyDescent="0.3">
      <c r="B1452"/>
    </row>
    <row r="1453" spans="2:2" x14ac:dyDescent="0.3">
      <c r="B1453"/>
    </row>
    <row r="1454" spans="2:2" x14ac:dyDescent="0.3">
      <c r="B1454"/>
    </row>
    <row r="1455" spans="2:2" x14ac:dyDescent="0.3">
      <c r="B1455"/>
    </row>
    <row r="1456" spans="2:2" x14ac:dyDescent="0.3">
      <c r="B1456"/>
    </row>
    <row r="1457" spans="2:2" x14ac:dyDescent="0.3">
      <c r="B1457"/>
    </row>
    <row r="1458" spans="2:2" x14ac:dyDescent="0.3">
      <c r="B1458"/>
    </row>
    <row r="1459" spans="2:2" x14ac:dyDescent="0.3">
      <c r="B1459"/>
    </row>
    <row r="1460" spans="2:2" x14ac:dyDescent="0.3">
      <c r="B1460"/>
    </row>
    <row r="1461" spans="2:2" x14ac:dyDescent="0.3">
      <c r="B1461"/>
    </row>
    <row r="1462" spans="2:2" x14ac:dyDescent="0.3">
      <c r="B1462"/>
    </row>
    <row r="1463" spans="2:2" x14ac:dyDescent="0.3">
      <c r="B1463"/>
    </row>
    <row r="1464" spans="2:2" x14ac:dyDescent="0.3">
      <c r="B1464"/>
    </row>
    <row r="1465" spans="2:2" x14ac:dyDescent="0.3">
      <c r="B1465"/>
    </row>
    <row r="1466" spans="2:2" x14ac:dyDescent="0.3">
      <c r="B1466"/>
    </row>
    <row r="1467" spans="2:2" x14ac:dyDescent="0.3">
      <c r="B1467"/>
    </row>
    <row r="1468" spans="2:2" x14ac:dyDescent="0.3">
      <c r="B1468"/>
    </row>
    <row r="1469" spans="2:2" x14ac:dyDescent="0.3">
      <c r="B1469"/>
    </row>
    <row r="1470" spans="2:2" x14ac:dyDescent="0.3">
      <c r="B1470"/>
    </row>
    <row r="1471" spans="2:2" x14ac:dyDescent="0.3">
      <c r="B1471"/>
    </row>
    <row r="1472" spans="2:2" x14ac:dyDescent="0.3">
      <c r="B1472"/>
    </row>
    <row r="1473" spans="2:2" x14ac:dyDescent="0.3">
      <c r="B1473"/>
    </row>
    <row r="1474" spans="2:2" x14ac:dyDescent="0.3">
      <c r="B1474"/>
    </row>
    <row r="1475" spans="2:2" x14ac:dyDescent="0.3">
      <c r="B1475"/>
    </row>
    <row r="1476" spans="2:2" x14ac:dyDescent="0.3">
      <c r="B1476"/>
    </row>
    <row r="1477" spans="2:2" x14ac:dyDescent="0.3">
      <c r="B1477"/>
    </row>
    <row r="1478" spans="2:2" x14ac:dyDescent="0.3">
      <c r="B1478"/>
    </row>
    <row r="1479" spans="2:2" x14ac:dyDescent="0.3">
      <c r="B1479"/>
    </row>
    <row r="1480" spans="2:2" x14ac:dyDescent="0.3">
      <c r="B1480"/>
    </row>
    <row r="1481" spans="2:2" x14ac:dyDescent="0.3">
      <c r="B1481"/>
    </row>
    <row r="1482" spans="2:2" x14ac:dyDescent="0.3">
      <c r="B1482"/>
    </row>
    <row r="1483" spans="2:2" x14ac:dyDescent="0.3">
      <c r="B1483"/>
    </row>
    <row r="1484" spans="2:2" x14ac:dyDescent="0.3">
      <c r="B1484"/>
    </row>
    <row r="1485" spans="2:2" x14ac:dyDescent="0.3">
      <c r="B1485"/>
    </row>
    <row r="1486" spans="2:2" x14ac:dyDescent="0.3">
      <c r="B1486"/>
    </row>
    <row r="1487" spans="2:2" x14ac:dyDescent="0.3">
      <c r="B1487"/>
    </row>
    <row r="1488" spans="2:2" x14ac:dyDescent="0.3">
      <c r="B1488"/>
    </row>
    <row r="1489" spans="2:2" x14ac:dyDescent="0.3">
      <c r="B1489"/>
    </row>
    <row r="1490" spans="2:2" x14ac:dyDescent="0.3">
      <c r="B1490"/>
    </row>
    <row r="1491" spans="2:2" x14ac:dyDescent="0.3">
      <c r="B1491"/>
    </row>
    <row r="1492" spans="2:2" x14ac:dyDescent="0.3">
      <c r="B1492"/>
    </row>
    <row r="1493" spans="2:2" x14ac:dyDescent="0.3">
      <c r="B1493"/>
    </row>
    <row r="1494" spans="2:2" x14ac:dyDescent="0.3">
      <c r="B1494"/>
    </row>
    <row r="1495" spans="2:2" x14ac:dyDescent="0.3">
      <c r="B1495"/>
    </row>
    <row r="1496" spans="2:2" x14ac:dyDescent="0.3">
      <c r="B1496"/>
    </row>
    <row r="1497" spans="2:2" x14ac:dyDescent="0.3">
      <c r="B1497"/>
    </row>
    <row r="1498" spans="2:2" x14ac:dyDescent="0.3">
      <c r="B1498"/>
    </row>
    <row r="1499" spans="2:2" x14ac:dyDescent="0.3">
      <c r="B1499"/>
    </row>
    <row r="1500" spans="2:2" x14ac:dyDescent="0.3">
      <c r="B1500"/>
    </row>
    <row r="1501" spans="2:2" x14ac:dyDescent="0.3">
      <c r="B1501"/>
    </row>
    <row r="1502" spans="2:2" x14ac:dyDescent="0.3">
      <c r="B1502"/>
    </row>
    <row r="1503" spans="2:2" x14ac:dyDescent="0.3">
      <c r="B1503"/>
    </row>
    <row r="1504" spans="2:2" x14ac:dyDescent="0.3">
      <c r="B1504"/>
    </row>
    <row r="1505" spans="2:2" x14ac:dyDescent="0.3">
      <c r="B1505"/>
    </row>
    <row r="1506" spans="2:2" x14ac:dyDescent="0.3">
      <c r="B1506"/>
    </row>
    <row r="1507" spans="2:2" x14ac:dyDescent="0.3">
      <c r="B1507"/>
    </row>
    <row r="1508" spans="2:2" x14ac:dyDescent="0.3">
      <c r="B1508"/>
    </row>
    <row r="1509" spans="2:2" x14ac:dyDescent="0.3">
      <c r="B1509"/>
    </row>
    <row r="1510" spans="2:2" x14ac:dyDescent="0.3">
      <c r="B1510"/>
    </row>
    <row r="1511" spans="2:2" x14ac:dyDescent="0.3">
      <c r="B1511"/>
    </row>
    <row r="1512" spans="2:2" x14ac:dyDescent="0.3">
      <c r="B1512"/>
    </row>
    <row r="1513" spans="2:2" x14ac:dyDescent="0.3">
      <c r="B1513"/>
    </row>
    <row r="1514" spans="2:2" x14ac:dyDescent="0.3">
      <c r="B1514"/>
    </row>
    <row r="1515" spans="2:2" x14ac:dyDescent="0.3">
      <c r="B1515"/>
    </row>
    <row r="1516" spans="2:2" x14ac:dyDescent="0.3">
      <c r="B1516"/>
    </row>
    <row r="1517" spans="2:2" x14ac:dyDescent="0.3">
      <c r="B1517"/>
    </row>
    <row r="1518" spans="2:2" x14ac:dyDescent="0.3">
      <c r="B1518"/>
    </row>
    <row r="1519" spans="2:2" x14ac:dyDescent="0.3">
      <c r="B1519"/>
    </row>
    <row r="1520" spans="2:2" x14ac:dyDescent="0.3">
      <c r="B1520"/>
    </row>
    <row r="1521" spans="2:2" x14ac:dyDescent="0.3">
      <c r="B1521"/>
    </row>
    <row r="1522" spans="2:2" x14ac:dyDescent="0.3">
      <c r="B1522"/>
    </row>
    <row r="1523" spans="2:2" x14ac:dyDescent="0.3">
      <c r="B1523"/>
    </row>
    <row r="1524" spans="2:2" x14ac:dyDescent="0.3">
      <c r="B1524"/>
    </row>
    <row r="1525" spans="2:2" x14ac:dyDescent="0.3">
      <c r="B1525"/>
    </row>
    <row r="1526" spans="2:2" x14ac:dyDescent="0.3">
      <c r="B1526"/>
    </row>
    <row r="1527" spans="2:2" x14ac:dyDescent="0.3">
      <c r="B1527"/>
    </row>
    <row r="1528" spans="2:2" x14ac:dyDescent="0.3">
      <c r="B1528"/>
    </row>
    <row r="1529" spans="2:2" x14ac:dyDescent="0.3">
      <c r="B1529"/>
    </row>
    <row r="1530" spans="2:2" x14ac:dyDescent="0.3">
      <c r="B1530"/>
    </row>
    <row r="1531" spans="2:2" x14ac:dyDescent="0.3">
      <c r="B1531"/>
    </row>
    <row r="1532" spans="2:2" x14ac:dyDescent="0.3">
      <c r="B1532"/>
    </row>
    <row r="1533" spans="2:2" x14ac:dyDescent="0.3">
      <c r="B1533"/>
    </row>
    <row r="1534" spans="2:2" x14ac:dyDescent="0.3">
      <c r="B1534"/>
    </row>
    <row r="1535" spans="2:2" x14ac:dyDescent="0.3">
      <c r="B1535"/>
    </row>
    <row r="1536" spans="2:2" x14ac:dyDescent="0.3">
      <c r="B1536"/>
    </row>
    <row r="1537" spans="2:2" x14ac:dyDescent="0.3">
      <c r="B1537"/>
    </row>
    <row r="1538" spans="2:2" x14ac:dyDescent="0.3">
      <c r="B1538"/>
    </row>
    <row r="1539" spans="2:2" x14ac:dyDescent="0.3">
      <c r="B1539"/>
    </row>
    <row r="1540" spans="2:2" x14ac:dyDescent="0.3">
      <c r="B1540"/>
    </row>
    <row r="1541" spans="2:2" x14ac:dyDescent="0.3">
      <c r="B1541"/>
    </row>
    <row r="1542" spans="2:2" x14ac:dyDescent="0.3">
      <c r="B1542"/>
    </row>
    <row r="1543" spans="2:2" x14ac:dyDescent="0.3">
      <c r="B1543"/>
    </row>
    <row r="1544" spans="2:2" x14ac:dyDescent="0.3">
      <c r="B1544"/>
    </row>
    <row r="1545" spans="2:2" x14ac:dyDescent="0.3">
      <c r="B1545"/>
    </row>
    <row r="1546" spans="2:2" x14ac:dyDescent="0.3">
      <c r="B1546"/>
    </row>
    <row r="1547" spans="2:2" x14ac:dyDescent="0.3">
      <c r="B1547"/>
    </row>
    <row r="1548" spans="2:2" x14ac:dyDescent="0.3">
      <c r="B1548"/>
    </row>
    <row r="1549" spans="2:2" x14ac:dyDescent="0.3">
      <c r="B1549"/>
    </row>
    <row r="1550" spans="2:2" x14ac:dyDescent="0.3">
      <c r="B1550"/>
    </row>
    <row r="1551" spans="2:2" x14ac:dyDescent="0.3">
      <c r="B1551"/>
    </row>
    <row r="1552" spans="2:2" x14ac:dyDescent="0.3">
      <c r="B1552"/>
    </row>
    <row r="1553" spans="2:2" x14ac:dyDescent="0.3">
      <c r="B1553"/>
    </row>
    <row r="1554" spans="2:2" x14ac:dyDescent="0.3">
      <c r="B1554"/>
    </row>
    <row r="1555" spans="2:2" x14ac:dyDescent="0.3">
      <c r="B1555"/>
    </row>
    <row r="1556" spans="2:2" x14ac:dyDescent="0.3">
      <c r="B1556"/>
    </row>
    <row r="1557" spans="2:2" x14ac:dyDescent="0.3">
      <c r="B1557"/>
    </row>
    <row r="1558" spans="2:2" x14ac:dyDescent="0.3">
      <c r="B1558"/>
    </row>
    <row r="1559" spans="2:2" x14ac:dyDescent="0.3">
      <c r="B1559"/>
    </row>
    <row r="1560" spans="2:2" x14ac:dyDescent="0.3">
      <c r="B1560"/>
    </row>
    <row r="1561" spans="2:2" x14ac:dyDescent="0.3">
      <c r="B1561"/>
    </row>
    <row r="1562" spans="2:2" x14ac:dyDescent="0.3">
      <c r="B1562"/>
    </row>
    <row r="1563" spans="2:2" x14ac:dyDescent="0.3">
      <c r="B1563"/>
    </row>
    <row r="1564" spans="2:2" x14ac:dyDescent="0.3">
      <c r="B1564"/>
    </row>
    <row r="1565" spans="2:2" x14ac:dyDescent="0.3">
      <c r="B1565"/>
    </row>
    <row r="1566" spans="2:2" x14ac:dyDescent="0.3">
      <c r="B1566"/>
    </row>
    <row r="1567" spans="2:2" x14ac:dyDescent="0.3">
      <c r="B1567"/>
    </row>
    <row r="1568" spans="2:2" x14ac:dyDescent="0.3">
      <c r="B1568"/>
    </row>
    <row r="1569" spans="2:2" x14ac:dyDescent="0.3">
      <c r="B1569"/>
    </row>
    <row r="1570" spans="2:2" x14ac:dyDescent="0.3">
      <c r="B1570"/>
    </row>
    <row r="1571" spans="2:2" x14ac:dyDescent="0.3">
      <c r="B1571"/>
    </row>
    <row r="1572" spans="2:2" x14ac:dyDescent="0.3">
      <c r="B1572"/>
    </row>
    <row r="1573" spans="2:2" x14ac:dyDescent="0.3">
      <c r="B1573"/>
    </row>
    <row r="1574" spans="2:2" x14ac:dyDescent="0.3">
      <c r="B1574"/>
    </row>
    <row r="1575" spans="2:2" x14ac:dyDescent="0.3">
      <c r="B1575"/>
    </row>
    <row r="1576" spans="2:2" x14ac:dyDescent="0.3">
      <c r="B1576"/>
    </row>
    <row r="1577" spans="2:2" x14ac:dyDescent="0.3">
      <c r="B1577"/>
    </row>
    <row r="1578" spans="2:2" x14ac:dyDescent="0.3">
      <c r="B1578"/>
    </row>
    <row r="1579" spans="2:2" x14ac:dyDescent="0.3">
      <c r="B1579"/>
    </row>
    <row r="1580" spans="2:2" x14ac:dyDescent="0.3">
      <c r="B1580"/>
    </row>
    <row r="1581" spans="2:2" x14ac:dyDescent="0.3">
      <c r="B1581"/>
    </row>
    <row r="1582" spans="2:2" x14ac:dyDescent="0.3">
      <c r="B1582"/>
    </row>
    <row r="1583" spans="2:2" x14ac:dyDescent="0.3">
      <c r="B1583"/>
    </row>
    <row r="1584" spans="2:2" x14ac:dyDescent="0.3">
      <c r="B1584"/>
    </row>
    <row r="1585" spans="2:2" x14ac:dyDescent="0.3">
      <c r="B1585"/>
    </row>
    <row r="1586" spans="2:2" x14ac:dyDescent="0.3">
      <c r="B1586"/>
    </row>
    <row r="1587" spans="2:2" x14ac:dyDescent="0.3">
      <c r="B1587"/>
    </row>
    <row r="1588" spans="2:2" x14ac:dyDescent="0.3">
      <c r="B1588"/>
    </row>
    <row r="1589" spans="2:2" x14ac:dyDescent="0.3">
      <c r="B1589"/>
    </row>
    <row r="1590" spans="2:2" x14ac:dyDescent="0.3">
      <c r="B1590"/>
    </row>
    <row r="1591" spans="2:2" x14ac:dyDescent="0.3">
      <c r="B1591"/>
    </row>
    <row r="1592" spans="2:2" x14ac:dyDescent="0.3">
      <c r="B1592"/>
    </row>
    <row r="1593" spans="2:2" x14ac:dyDescent="0.3">
      <c r="B1593"/>
    </row>
    <row r="1594" spans="2:2" x14ac:dyDescent="0.3">
      <c r="B1594"/>
    </row>
    <row r="1595" spans="2:2" x14ac:dyDescent="0.3">
      <c r="B1595"/>
    </row>
    <row r="1596" spans="2:2" x14ac:dyDescent="0.3">
      <c r="B1596"/>
    </row>
    <row r="1597" spans="2:2" x14ac:dyDescent="0.3">
      <c r="B1597"/>
    </row>
    <row r="1598" spans="2:2" x14ac:dyDescent="0.3">
      <c r="B1598"/>
    </row>
    <row r="1599" spans="2:2" x14ac:dyDescent="0.3">
      <c r="B1599"/>
    </row>
    <row r="1600" spans="2:2" x14ac:dyDescent="0.3">
      <c r="B1600"/>
    </row>
    <row r="1601" spans="2:2" x14ac:dyDescent="0.3">
      <c r="B1601"/>
    </row>
    <row r="1602" spans="2:2" x14ac:dyDescent="0.3">
      <c r="B1602"/>
    </row>
    <row r="1603" spans="2:2" x14ac:dyDescent="0.3">
      <c r="B1603"/>
    </row>
    <row r="1604" spans="2:2" x14ac:dyDescent="0.3">
      <c r="B1604"/>
    </row>
    <row r="1605" spans="2:2" x14ac:dyDescent="0.3">
      <c r="B1605"/>
    </row>
    <row r="1606" spans="2:2" x14ac:dyDescent="0.3">
      <c r="B1606"/>
    </row>
    <row r="1607" spans="2:2" x14ac:dyDescent="0.3">
      <c r="B1607"/>
    </row>
    <row r="1608" spans="2:2" x14ac:dyDescent="0.3">
      <c r="B1608"/>
    </row>
    <row r="1609" spans="2:2" x14ac:dyDescent="0.3">
      <c r="B1609"/>
    </row>
    <row r="1610" spans="2:2" x14ac:dyDescent="0.3">
      <c r="B1610"/>
    </row>
    <row r="1611" spans="2:2" x14ac:dyDescent="0.3">
      <c r="B1611"/>
    </row>
    <row r="1612" spans="2:2" x14ac:dyDescent="0.3">
      <c r="B1612"/>
    </row>
    <row r="1613" spans="2:2" x14ac:dyDescent="0.3">
      <c r="B1613"/>
    </row>
    <row r="1614" spans="2:2" x14ac:dyDescent="0.3">
      <c r="B1614"/>
    </row>
    <row r="1615" spans="2:2" x14ac:dyDescent="0.3">
      <c r="B1615"/>
    </row>
    <row r="1616" spans="2:2" x14ac:dyDescent="0.3">
      <c r="B1616"/>
    </row>
    <row r="1617" spans="2:2" x14ac:dyDescent="0.3">
      <c r="B1617"/>
    </row>
    <row r="1618" spans="2:2" x14ac:dyDescent="0.3">
      <c r="B1618"/>
    </row>
    <row r="1619" spans="2:2" x14ac:dyDescent="0.3">
      <c r="B1619"/>
    </row>
    <row r="1620" spans="2:2" x14ac:dyDescent="0.3">
      <c r="B1620"/>
    </row>
    <row r="1621" spans="2:2" x14ac:dyDescent="0.3">
      <c r="B1621"/>
    </row>
    <row r="1622" spans="2:2" x14ac:dyDescent="0.3">
      <c r="B1622"/>
    </row>
    <row r="1623" spans="2:2" x14ac:dyDescent="0.3">
      <c r="B1623"/>
    </row>
    <row r="1624" spans="2:2" x14ac:dyDescent="0.3">
      <c r="B1624"/>
    </row>
    <row r="1625" spans="2:2" x14ac:dyDescent="0.3">
      <c r="B1625"/>
    </row>
    <row r="1626" spans="2:2" x14ac:dyDescent="0.3">
      <c r="B1626"/>
    </row>
    <row r="1627" spans="2:2" x14ac:dyDescent="0.3">
      <c r="B1627"/>
    </row>
    <row r="1628" spans="2:2" x14ac:dyDescent="0.3">
      <c r="B1628"/>
    </row>
    <row r="1629" spans="2:2" x14ac:dyDescent="0.3">
      <c r="B1629"/>
    </row>
    <row r="1630" spans="2:2" x14ac:dyDescent="0.3">
      <c r="B1630"/>
    </row>
    <row r="1631" spans="2:2" x14ac:dyDescent="0.3">
      <c r="B1631"/>
    </row>
    <row r="1632" spans="2:2" x14ac:dyDescent="0.3">
      <c r="B1632"/>
    </row>
    <row r="1633" spans="2:2" x14ac:dyDescent="0.3">
      <c r="B1633"/>
    </row>
    <row r="1634" spans="2:2" x14ac:dyDescent="0.3">
      <c r="B1634"/>
    </row>
    <row r="1635" spans="2:2" x14ac:dyDescent="0.3">
      <c r="B1635"/>
    </row>
    <row r="1636" spans="2:2" x14ac:dyDescent="0.3">
      <c r="B1636"/>
    </row>
    <row r="1637" spans="2:2" x14ac:dyDescent="0.3">
      <c r="B1637"/>
    </row>
    <row r="1638" spans="2:2" x14ac:dyDescent="0.3">
      <c r="B1638"/>
    </row>
    <row r="1639" spans="2:2" x14ac:dyDescent="0.3">
      <c r="B1639"/>
    </row>
    <row r="1640" spans="2:2" x14ac:dyDescent="0.3">
      <c r="B1640"/>
    </row>
    <row r="1641" spans="2:2" x14ac:dyDescent="0.3">
      <c r="B1641"/>
    </row>
    <row r="1642" spans="2:2" x14ac:dyDescent="0.3">
      <c r="B1642"/>
    </row>
    <row r="1643" spans="2:2" x14ac:dyDescent="0.3">
      <c r="B1643"/>
    </row>
    <row r="1644" spans="2:2" x14ac:dyDescent="0.3">
      <c r="B1644"/>
    </row>
    <row r="1645" spans="2:2" x14ac:dyDescent="0.3">
      <c r="B1645"/>
    </row>
    <row r="1646" spans="2:2" x14ac:dyDescent="0.3">
      <c r="B1646"/>
    </row>
    <row r="1647" spans="2:2" x14ac:dyDescent="0.3">
      <c r="B1647"/>
    </row>
    <row r="1648" spans="2:2" x14ac:dyDescent="0.3">
      <c r="B1648"/>
    </row>
    <row r="1649" spans="2:2" x14ac:dyDescent="0.3">
      <c r="B1649"/>
    </row>
    <row r="1650" spans="2:2" x14ac:dyDescent="0.3">
      <c r="B1650"/>
    </row>
    <row r="1651" spans="2:2" x14ac:dyDescent="0.3">
      <c r="B1651"/>
    </row>
    <row r="1652" spans="2:2" x14ac:dyDescent="0.3">
      <c r="B1652"/>
    </row>
    <row r="1653" spans="2:2" x14ac:dyDescent="0.3">
      <c r="B1653"/>
    </row>
    <row r="1654" spans="2:2" x14ac:dyDescent="0.3">
      <c r="B1654"/>
    </row>
    <row r="1655" spans="2:2" x14ac:dyDescent="0.3">
      <c r="B1655"/>
    </row>
    <row r="1656" spans="2:2" x14ac:dyDescent="0.3">
      <c r="B1656"/>
    </row>
    <row r="1657" spans="2:2" x14ac:dyDescent="0.3">
      <c r="B1657"/>
    </row>
    <row r="1658" spans="2:2" x14ac:dyDescent="0.3">
      <c r="B1658"/>
    </row>
    <row r="1659" spans="2:2" x14ac:dyDescent="0.3">
      <c r="B1659"/>
    </row>
    <row r="1660" spans="2:2" x14ac:dyDescent="0.3">
      <c r="B1660"/>
    </row>
    <row r="1661" spans="2:2" x14ac:dyDescent="0.3">
      <c r="B1661"/>
    </row>
    <row r="1662" spans="2:2" x14ac:dyDescent="0.3">
      <c r="B1662"/>
    </row>
    <row r="1663" spans="2:2" x14ac:dyDescent="0.3">
      <c r="B1663"/>
    </row>
    <row r="1664" spans="2:2" x14ac:dyDescent="0.3">
      <c r="B1664"/>
    </row>
    <row r="1665" spans="2:2" x14ac:dyDescent="0.3">
      <c r="B1665"/>
    </row>
    <row r="1666" spans="2:2" x14ac:dyDescent="0.3">
      <c r="B1666"/>
    </row>
    <row r="1667" spans="2:2" x14ac:dyDescent="0.3">
      <c r="B1667"/>
    </row>
    <row r="1668" spans="2:2" x14ac:dyDescent="0.3">
      <c r="B1668"/>
    </row>
    <row r="1669" spans="2:2" x14ac:dyDescent="0.3">
      <c r="B1669"/>
    </row>
    <row r="1670" spans="2:2" x14ac:dyDescent="0.3">
      <c r="B1670"/>
    </row>
    <row r="1671" spans="2:2" x14ac:dyDescent="0.3">
      <c r="B1671"/>
    </row>
    <row r="1672" spans="2:2" x14ac:dyDescent="0.3">
      <c r="B1672"/>
    </row>
    <row r="1673" spans="2:2" x14ac:dyDescent="0.3">
      <c r="B1673"/>
    </row>
    <row r="1674" spans="2:2" x14ac:dyDescent="0.3">
      <c r="B1674"/>
    </row>
    <row r="1675" spans="2:2" x14ac:dyDescent="0.3">
      <c r="B1675"/>
    </row>
    <row r="1676" spans="2:2" x14ac:dyDescent="0.3">
      <c r="B1676"/>
    </row>
    <row r="1677" spans="2:2" x14ac:dyDescent="0.3">
      <c r="B1677"/>
    </row>
    <row r="1678" spans="2:2" x14ac:dyDescent="0.3">
      <c r="B1678"/>
    </row>
    <row r="1679" spans="2:2" x14ac:dyDescent="0.3">
      <c r="B1679"/>
    </row>
    <row r="1680" spans="2:2" x14ac:dyDescent="0.3">
      <c r="B1680"/>
    </row>
    <row r="1681" spans="2:2" x14ac:dyDescent="0.3">
      <c r="B1681"/>
    </row>
    <row r="1682" spans="2:2" x14ac:dyDescent="0.3">
      <c r="B1682"/>
    </row>
    <row r="1683" spans="2:2" x14ac:dyDescent="0.3">
      <c r="B1683"/>
    </row>
    <row r="1684" spans="2:2" x14ac:dyDescent="0.3">
      <c r="B1684"/>
    </row>
    <row r="1685" spans="2:2" x14ac:dyDescent="0.3">
      <c r="B1685"/>
    </row>
    <row r="1686" spans="2:2" x14ac:dyDescent="0.3">
      <c r="B1686"/>
    </row>
    <row r="1687" spans="2:2" x14ac:dyDescent="0.3">
      <c r="B1687"/>
    </row>
    <row r="1688" spans="2:2" x14ac:dyDescent="0.3">
      <c r="B1688"/>
    </row>
    <row r="1689" spans="2:2" x14ac:dyDescent="0.3">
      <c r="B1689"/>
    </row>
    <row r="1690" spans="2:2" x14ac:dyDescent="0.3">
      <c r="B1690"/>
    </row>
    <row r="1691" spans="2:2" x14ac:dyDescent="0.3">
      <c r="B1691"/>
    </row>
    <row r="1692" spans="2:2" x14ac:dyDescent="0.3">
      <c r="B1692"/>
    </row>
    <row r="1693" spans="2:2" x14ac:dyDescent="0.3">
      <c r="B1693"/>
    </row>
    <row r="1694" spans="2:2" x14ac:dyDescent="0.3">
      <c r="B1694"/>
    </row>
    <row r="1695" spans="2:2" x14ac:dyDescent="0.3">
      <c r="B1695"/>
    </row>
    <row r="1696" spans="2:2" x14ac:dyDescent="0.3">
      <c r="B1696"/>
    </row>
    <row r="1697" spans="2:2" x14ac:dyDescent="0.3">
      <c r="B1697"/>
    </row>
    <row r="1698" spans="2:2" x14ac:dyDescent="0.3">
      <c r="B1698"/>
    </row>
    <row r="1699" spans="2:2" x14ac:dyDescent="0.3">
      <c r="B1699"/>
    </row>
    <row r="1700" spans="2:2" x14ac:dyDescent="0.3">
      <c r="B1700"/>
    </row>
    <row r="1701" spans="2:2" x14ac:dyDescent="0.3">
      <c r="B1701"/>
    </row>
    <row r="1702" spans="2:2" x14ac:dyDescent="0.3">
      <c r="B1702"/>
    </row>
    <row r="1703" spans="2:2" x14ac:dyDescent="0.3">
      <c r="B1703"/>
    </row>
    <row r="1704" spans="2:2" x14ac:dyDescent="0.3">
      <c r="B1704"/>
    </row>
    <row r="1705" spans="2:2" x14ac:dyDescent="0.3">
      <c r="B1705"/>
    </row>
    <row r="1706" spans="2:2" x14ac:dyDescent="0.3">
      <c r="B1706"/>
    </row>
    <row r="1707" spans="2:2" x14ac:dyDescent="0.3">
      <c r="B1707"/>
    </row>
    <row r="1708" spans="2:2" x14ac:dyDescent="0.3">
      <c r="B1708"/>
    </row>
    <row r="1709" spans="2:2" x14ac:dyDescent="0.3">
      <c r="B1709"/>
    </row>
    <row r="1710" spans="2:2" x14ac:dyDescent="0.3">
      <c r="B1710"/>
    </row>
    <row r="1711" spans="2:2" x14ac:dyDescent="0.3">
      <c r="B1711"/>
    </row>
    <row r="1712" spans="2:2" x14ac:dyDescent="0.3">
      <c r="B1712"/>
    </row>
    <row r="1713" spans="2:2" x14ac:dyDescent="0.3">
      <c r="B1713"/>
    </row>
    <row r="1714" spans="2:2" x14ac:dyDescent="0.3">
      <c r="B1714"/>
    </row>
    <row r="1715" spans="2:2" x14ac:dyDescent="0.3">
      <c r="B1715"/>
    </row>
    <row r="1716" spans="2:2" x14ac:dyDescent="0.3">
      <c r="B1716"/>
    </row>
    <row r="1717" spans="2:2" x14ac:dyDescent="0.3">
      <c r="B1717"/>
    </row>
    <row r="1718" spans="2:2" x14ac:dyDescent="0.3">
      <c r="B1718"/>
    </row>
    <row r="1719" spans="2:2" x14ac:dyDescent="0.3">
      <c r="B1719"/>
    </row>
    <row r="1720" spans="2:2" x14ac:dyDescent="0.3">
      <c r="B1720"/>
    </row>
    <row r="1721" spans="2:2" x14ac:dyDescent="0.3">
      <c r="B1721"/>
    </row>
    <row r="1722" spans="2:2" x14ac:dyDescent="0.3">
      <c r="B1722"/>
    </row>
    <row r="1723" spans="2:2" x14ac:dyDescent="0.3">
      <c r="B1723"/>
    </row>
    <row r="1724" spans="2:2" x14ac:dyDescent="0.3">
      <c r="B1724"/>
    </row>
    <row r="1725" spans="2:2" x14ac:dyDescent="0.3">
      <c r="B1725"/>
    </row>
    <row r="1726" spans="2:2" x14ac:dyDescent="0.3">
      <c r="B1726"/>
    </row>
    <row r="1727" spans="2:2" x14ac:dyDescent="0.3">
      <c r="B1727"/>
    </row>
    <row r="1728" spans="2:2" x14ac:dyDescent="0.3">
      <c r="B1728"/>
    </row>
    <row r="1729" spans="2:2" x14ac:dyDescent="0.3">
      <c r="B1729"/>
    </row>
    <row r="1730" spans="2:2" x14ac:dyDescent="0.3">
      <c r="B1730"/>
    </row>
    <row r="1731" spans="2:2" x14ac:dyDescent="0.3">
      <c r="B1731"/>
    </row>
    <row r="1732" spans="2:2" x14ac:dyDescent="0.3">
      <c r="B1732"/>
    </row>
    <row r="1733" spans="2:2" x14ac:dyDescent="0.3">
      <c r="B1733"/>
    </row>
    <row r="1734" spans="2:2" x14ac:dyDescent="0.3">
      <c r="B1734"/>
    </row>
    <row r="1735" spans="2:2" x14ac:dyDescent="0.3">
      <c r="B1735"/>
    </row>
    <row r="1736" spans="2:2" x14ac:dyDescent="0.3">
      <c r="B1736"/>
    </row>
    <row r="1737" spans="2:2" x14ac:dyDescent="0.3">
      <c r="B1737"/>
    </row>
    <row r="1738" spans="2:2" x14ac:dyDescent="0.3">
      <c r="B1738"/>
    </row>
    <row r="1739" spans="2:2" x14ac:dyDescent="0.3">
      <c r="B1739"/>
    </row>
    <row r="1740" spans="2:2" x14ac:dyDescent="0.3">
      <c r="B1740"/>
    </row>
    <row r="1741" spans="2:2" x14ac:dyDescent="0.3">
      <c r="B1741"/>
    </row>
    <row r="1742" spans="2:2" x14ac:dyDescent="0.3">
      <c r="B1742"/>
    </row>
    <row r="1743" spans="2:2" x14ac:dyDescent="0.3">
      <c r="B1743"/>
    </row>
    <row r="1744" spans="2:2" x14ac:dyDescent="0.3">
      <c r="B1744"/>
    </row>
    <row r="1745" spans="2:2" x14ac:dyDescent="0.3">
      <c r="B1745"/>
    </row>
    <row r="1746" spans="2:2" x14ac:dyDescent="0.3">
      <c r="B1746"/>
    </row>
    <row r="1747" spans="2:2" x14ac:dyDescent="0.3">
      <c r="B1747"/>
    </row>
    <row r="1748" spans="2:2" x14ac:dyDescent="0.3">
      <c r="B1748"/>
    </row>
    <row r="1749" spans="2:2" x14ac:dyDescent="0.3">
      <c r="B1749"/>
    </row>
    <row r="1750" spans="2:2" x14ac:dyDescent="0.3">
      <c r="B1750"/>
    </row>
    <row r="1751" spans="2:2" x14ac:dyDescent="0.3">
      <c r="B1751"/>
    </row>
    <row r="1752" spans="2:2" x14ac:dyDescent="0.3">
      <c r="B1752"/>
    </row>
    <row r="1753" spans="2:2" x14ac:dyDescent="0.3">
      <c r="B1753"/>
    </row>
    <row r="1754" spans="2:2" x14ac:dyDescent="0.3">
      <c r="B1754"/>
    </row>
    <row r="1755" spans="2:2" x14ac:dyDescent="0.3">
      <c r="B1755"/>
    </row>
    <row r="1756" spans="2:2" x14ac:dyDescent="0.3">
      <c r="B1756"/>
    </row>
    <row r="1757" spans="2:2" x14ac:dyDescent="0.3">
      <c r="B1757"/>
    </row>
    <row r="1758" spans="2:2" x14ac:dyDescent="0.3">
      <c r="B1758"/>
    </row>
    <row r="1759" spans="2:2" x14ac:dyDescent="0.3">
      <c r="B1759"/>
    </row>
    <row r="1760" spans="2:2" x14ac:dyDescent="0.3">
      <c r="B1760"/>
    </row>
    <row r="1761" spans="2:2" x14ac:dyDescent="0.3">
      <c r="B1761"/>
    </row>
    <row r="1762" spans="2:2" x14ac:dyDescent="0.3">
      <c r="B1762"/>
    </row>
    <row r="1763" spans="2:2" x14ac:dyDescent="0.3">
      <c r="B1763"/>
    </row>
    <row r="1764" spans="2:2" x14ac:dyDescent="0.3">
      <c r="B1764"/>
    </row>
    <row r="1765" spans="2:2" x14ac:dyDescent="0.3">
      <c r="B1765"/>
    </row>
    <row r="1766" spans="2:2" x14ac:dyDescent="0.3">
      <c r="B1766"/>
    </row>
    <row r="1767" spans="2:2" x14ac:dyDescent="0.3">
      <c r="B1767"/>
    </row>
    <row r="1768" spans="2:2" x14ac:dyDescent="0.3">
      <c r="B1768"/>
    </row>
    <row r="1769" spans="2:2" x14ac:dyDescent="0.3">
      <c r="B1769"/>
    </row>
    <row r="1770" spans="2:2" x14ac:dyDescent="0.3">
      <c r="B1770"/>
    </row>
    <row r="1771" spans="2:2" x14ac:dyDescent="0.3">
      <c r="B1771"/>
    </row>
    <row r="1772" spans="2:2" x14ac:dyDescent="0.3">
      <c r="B1772"/>
    </row>
    <row r="1773" spans="2:2" x14ac:dyDescent="0.3">
      <c r="B1773"/>
    </row>
    <row r="1774" spans="2:2" x14ac:dyDescent="0.3">
      <c r="B1774"/>
    </row>
    <row r="1775" spans="2:2" x14ac:dyDescent="0.3">
      <c r="B1775"/>
    </row>
    <row r="1776" spans="2:2" x14ac:dyDescent="0.3">
      <c r="B1776"/>
    </row>
    <row r="1777" spans="2:2" x14ac:dyDescent="0.3">
      <c r="B1777"/>
    </row>
    <row r="1778" spans="2:2" x14ac:dyDescent="0.3">
      <c r="B1778"/>
    </row>
    <row r="1779" spans="2:2" x14ac:dyDescent="0.3">
      <c r="B1779"/>
    </row>
    <row r="1780" spans="2:2" x14ac:dyDescent="0.3">
      <c r="B1780"/>
    </row>
    <row r="1781" spans="2:2" x14ac:dyDescent="0.3">
      <c r="B1781"/>
    </row>
    <row r="1782" spans="2:2" x14ac:dyDescent="0.3">
      <c r="B1782"/>
    </row>
    <row r="1783" spans="2:2" x14ac:dyDescent="0.3">
      <c r="B1783"/>
    </row>
    <row r="1784" spans="2:2" x14ac:dyDescent="0.3">
      <c r="B1784"/>
    </row>
    <row r="1785" spans="2:2" x14ac:dyDescent="0.3">
      <c r="B1785"/>
    </row>
    <row r="1786" spans="2:2" x14ac:dyDescent="0.3">
      <c r="B1786"/>
    </row>
    <row r="1787" spans="2:2" x14ac:dyDescent="0.3">
      <c r="B1787"/>
    </row>
    <row r="1788" spans="2:2" x14ac:dyDescent="0.3">
      <c r="B1788"/>
    </row>
    <row r="1789" spans="2:2" x14ac:dyDescent="0.3">
      <c r="B1789"/>
    </row>
    <row r="1790" spans="2:2" x14ac:dyDescent="0.3">
      <c r="B1790"/>
    </row>
    <row r="1791" spans="2:2" x14ac:dyDescent="0.3">
      <c r="B1791"/>
    </row>
    <row r="1792" spans="2:2" x14ac:dyDescent="0.3">
      <c r="B1792"/>
    </row>
    <row r="1793" spans="2:2" x14ac:dyDescent="0.3">
      <c r="B1793"/>
    </row>
    <row r="1794" spans="2:2" x14ac:dyDescent="0.3">
      <c r="B1794"/>
    </row>
    <row r="1795" spans="2:2" x14ac:dyDescent="0.3">
      <c r="B1795"/>
    </row>
    <row r="1796" spans="2:2" x14ac:dyDescent="0.3">
      <c r="B1796"/>
    </row>
    <row r="1797" spans="2:2" x14ac:dyDescent="0.3">
      <c r="B1797"/>
    </row>
    <row r="1798" spans="2:2" x14ac:dyDescent="0.3">
      <c r="B1798"/>
    </row>
    <row r="1799" spans="2:2" x14ac:dyDescent="0.3">
      <c r="B1799"/>
    </row>
    <row r="1800" spans="2:2" x14ac:dyDescent="0.3">
      <c r="B1800"/>
    </row>
    <row r="1801" spans="2:2" x14ac:dyDescent="0.3">
      <c r="B1801"/>
    </row>
    <row r="1802" spans="2:2" x14ac:dyDescent="0.3">
      <c r="B1802"/>
    </row>
    <row r="1803" spans="2:2" x14ac:dyDescent="0.3">
      <c r="B1803"/>
    </row>
    <row r="1804" spans="2:2" x14ac:dyDescent="0.3">
      <c r="B1804"/>
    </row>
    <row r="1805" spans="2:2" x14ac:dyDescent="0.3">
      <c r="B1805"/>
    </row>
    <row r="1806" spans="2:2" x14ac:dyDescent="0.3">
      <c r="B1806"/>
    </row>
    <row r="1807" spans="2:2" x14ac:dyDescent="0.3">
      <c r="B1807"/>
    </row>
    <row r="1808" spans="2:2" x14ac:dyDescent="0.3">
      <c r="B1808"/>
    </row>
    <row r="1809" spans="2:2" x14ac:dyDescent="0.3">
      <c r="B1809"/>
    </row>
    <row r="1810" spans="2:2" x14ac:dyDescent="0.3">
      <c r="B1810"/>
    </row>
    <row r="1811" spans="2:2" x14ac:dyDescent="0.3">
      <c r="B1811"/>
    </row>
    <row r="1812" spans="2:2" x14ac:dyDescent="0.3">
      <c r="B1812"/>
    </row>
    <row r="1813" spans="2:2" x14ac:dyDescent="0.3">
      <c r="B1813"/>
    </row>
    <row r="1814" spans="2:2" x14ac:dyDescent="0.3">
      <c r="B1814"/>
    </row>
    <row r="1815" spans="2:2" x14ac:dyDescent="0.3">
      <c r="B1815"/>
    </row>
    <row r="1816" spans="2:2" x14ac:dyDescent="0.3">
      <c r="B1816"/>
    </row>
    <row r="1817" spans="2:2" x14ac:dyDescent="0.3">
      <c r="B1817"/>
    </row>
    <row r="1818" spans="2:2" x14ac:dyDescent="0.3">
      <c r="B1818"/>
    </row>
    <row r="1819" spans="2:2" x14ac:dyDescent="0.3">
      <c r="B1819"/>
    </row>
    <row r="1820" spans="2:2" x14ac:dyDescent="0.3">
      <c r="B1820"/>
    </row>
    <row r="1821" spans="2:2" x14ac:dyDescent="0.3">
      <c r="B1821"/>
    </row>
    <row r="1822" spans="2:2" x14ac:dyDescent="0.3">
      <c r="B1822"/>
    </row>
    <row r="1823" spans="2:2" x14ac:dyDescent="0.3">
      <c r="B1823"/>
    </row>
    <row r="1824" spans="2:2" x14ac:dyDescent="0.3">
      <c r="B1824"/>
    </row>
    <row r="1825" spans="2:2" x14ac:dyDescent="0.3">
      <c r="B1825"/>
    </row>
    <row r="1826" spans="2:2" x14ac:dyDescent="0.3">
      <c r="B1826"/>
    </row>
    <row r="1827" spans="2:2" x14ac:dyDescent="0.3">
      <c r="B1827"/>
    </row>
    <row r="1828" spans="2:2" x14ac:dyDescent="0.3">
      <c r="B1828"/>
    </row>
    <row r="1829" spans="2:2" x14ac:dyDescent="0.3">
      <c r="B1829"/>
    </row>
    <row r="1830" spans="2:2" x14ac:dyDescent="0.3">
      <c r="B1830"/>
    </row>
    <row r="1831" spans="2:2" x14ac:dyDescent="0.3">
      <c r="B1831"/>
    </row>
    <row r="1832" spans="2:2" x14ac:dyDescent="0.3">
      <c r="B1832"/>
    </row>
    <row r="1833" spans="2:2" x14ac:dyDescent="0.3">
      <c r="B1833"/>
    </row>
    <row r="1834" spans="2:2" x14ac:dyDescent="0.3">
      <c r="B1834"/>
    </row>
    <row r="1835" spans="2:2" x14ac:dyDescent="0.3">
      <c r="B1835"/>
    </row>
    <row r="1836" spans="2:2" x14ac:dyDescent="0.3">
      <c r="B1836"/>
    </row>
    <row r="1837" spans="2:2" x14ac:dyDescent="0.3">
      <c r="B1837"/>
    </row>
    <row r="1838" spans="2:2" x14ac:dyDescent="0.3">
      <c r="B1838"/>
    </row>
    <row r="1839" spans="2:2" x14ac:dyDescent="0.3">
      <c r="B1839"/>
    </row>
    <row r="1840" spans="2:2" x14ac:dyDescent="0.3">
      <c r="B1840"/>
    </row>
    <row r="1841" spans="2:2" x14ac:dyDescent="0.3">
      <c r="B1841"/>
    </row>
    <row r="1842" spans="2:2" x14ac:dyDescent="0.3">
      <c r="B1842"/>
    </row>
    <row r="1843" spans="2:2" x14ac:dyDescent="0.3">
      <c r="B1843"/>
    </row>
    <row r="1844" spans="2:2" x14ac:dyDescent="0.3">
      <c r="B1844"/>
    </row>
    <row r="1845" spans="2:2" x14ac:dyDescent="0.3">
      <c r="B1845"/>
    </row>
    <row r="1846" spans="2:2" x14ac:dyDescent="0.3">
      <c r="B1846"/>
    </row>
    <row r="1847" spans="2:2" x14ac:dyDescent="0.3">
      <c r="B1847"/>
    </row>
    <row r="1848" spans="2:2" x14ac:dyDescent="0.3">
      <c r="B1848"/>
    </row>
    <row r="1849" spans="2:2" x14ac:dyDescent="0.3">
      <c r="B1849"/>
    </row>
    <row r="1850" spans="2:2" x14ac:dyDescent="0.3">
      <c r="B1850"/>
    </row>
    <row r="1851" spans="2:2" x14ac:dyDescent="0.3">
      <c r="B1851"/>
    </row>
    <row r="1852" spans="2:2" x14ac:dyDescent="0.3">
      <c r="B1852"/>
    </row>
    <row r="1853" spans="2:2" x14ac:dyDescent="0.3">
      <c r="B1853"/>
    </row>
    <row r="1854" spans="2:2" x14ac:dyDescent="0.3">
      <c r="B1854"/>
    </row>
    <row r="1855" spans="2:2" x14ac:dyDescent="0.3">
      <c r="B1855"/>
    </row>
    <row r="1856" spans="2:2" x14ac:dyDescent="0.3">
      <c r="B1856"/>
    </row>
    <row r="1857" spans="2:2" x14ac:dyDescent="0.3">
      <c r="B1857"/>
    </row>
    <row r="1858" spans="2:2" x14ac:dyDescent="0.3">
      <c r="B1858"/>
    </row>
    <row r="1859" spans="2:2" x14ac:dyDescent="0.3">
      <c r="B1859"/>
    </row>
    <row r="1860" spans="2:2" x14ac:dyDescent="0.3">
      <c r="B1860"/>
    </row>
    <row r="1861" spans="2:2" x14ac:dyDescent="0.3">
      <c r="B1861"/>
    </row>
    <row r="1862" spans="2:2" x14ac:dyDescent="0.3">
      <c r="B1862"/>
    </row>
    <row r="1863" spans="2:2" x14ac:dyDescent="0.3">
      <c r="B1863"/>
    </row>
    <row r="1864" spans="2:2" x14ac:dyDescent="0.3">
      <c r="B1864"/>
    </row>
    <row r="1865" spans="2:2" x14ac:dyDescent="0.3">
      <c r="B1865"/>
    </row>
    <row r="1866" spans="2:2" x14ac:dyDescent="0.3">
      <c r="B1866"/>
    </row>
    <row r="1867" spans="2:2" x14ac:dyDescent="0.3">
      <c r="B1867"/>
    </row>
    <row r="1868" spans="2:2" x14ac:dyDescent="0.3">
      <c r="B1868"/>
    </row>
    <row r="1869" spans="2:2" x14ac:dyDescent="0.3">
      <c r="B1869"/>
    </row>
    <row r="1870" spans="2:2" x14ac:dyDescent="0.3">
      <c r="B1870"/>
    </row>
    <row r="1871" spans="2:2" x14ac:dyDescent="0.3">
      <c r="B1871"/>
    </row>
    <row r="1872" spans="2:2" x14ac:dyDescent="0.3">
      <c r="B1872"/>
    </row>
    <row r="1873" spans="2:2" x14ac:dyDescent="0.3">
      <c r="B1873"/>
    </row>
    <row r="1874" spans="2:2" x14ac:dyDescent="0.3">
      <c r="B1874"/>
    </row>
    <row r="1875" spans="2:2" x14ac:dyDescent="0.3">
      <c r="B1875"/>
    </row>
    <row r="1876" spans="2:2" x14ac:dyDescent="0.3">
      <c r="B1876"/>
    </row>
    <row r="1877" spans="2:2" x14ac:dyDescent="0.3">
      <c r="B1877"/>
    </row>
    <row r="1878" spans="2:2" x14ac:dyDescent="0.3">
      <c r="B1878"/>
    </row>
    <row r="1879" spans="2:2" x14ac:dyDescent="0.3">
      <c r="B1879"/>
    </row>
    <row r="1880" spans="2:2" x14ac:dyDescent="0.3">
      <c r="B1880"/>
    </row>
    <row r="1881" spans="2:2" x14ac:dyDescent="0.3">
      <c r="B1881"/>
    </row>
    <row r="1882" spans="2:2" x14ac:dyDescent="0.3">
      <c r="B1882"/>
    </row>
    <row r="1883" spans="2:2" x14ac:dyDescent="0.3">
      <c r="B1883"/>
    </row>
    <row r="1884" spans="2:2" x14ac:dyDescent="0.3">
      <c r="B1884"/>
    </row>
    <row r="1885" spans="2:2" x14ac:dyDescent="0.3">
      <c r="B1885"/>
    </row>
    <row r="1886" spans="2:2" x14ac:dyDescent="0.3">
      <c r="B1886"/>
    </row>
    <row r="1887" spans="2:2" x14ac:dyDescent="0.3">
      <c r="B1887"/>
    </row>
    <row r="1888" spans="2:2" x14ac:dyDescent="0.3">
      <c r="B1888"/>
    </row>
    <row r="1889" spans="2:2" x14ac:dyDescent="0.3">
      <c r="B1889"/>
    </row>
    <row r="1890" spans="2:2" x14ac:dyDescent="0.3">
      <c r="B1890"/>
    </row>
    <row r="1891" spans="2:2" x14ac:dyDescent="0.3">
      <c r="B1891"/>
    </row>
    <row r="1892" spans="2:2" x14ac:dyDescent="0.3">
      <c r="B1892"/>
    </row>
    <row r="1893" spans="2:2" x14ac:dyDescent="0.3">
      <c r="B1893"/>
    </row>
    <row r="1894" spans="2:2" x14ac:dyDescent="0.3">
      <c r="B1894"/>
    </row>
    <row r="1895" spans="2:2" x14ac:dyDescent="0.3">
      <c r="B1895"/>
    </row>
    <row r="1896" spans="2:2" x14ac:dyDescent="0.3">
      <c r="B1896"/>
    </row>
    <row r="1897" spans="2:2" x14ac:dyDescent="0.3">
      <c r="B1897"/>
    </row>
    <row r="1898" spans="2:2" x14ac:dyDescent="0.3">
      <c r="B1898"/>
    </row>
    <row r="1899" spans="2:2" x14ac:dyDescent="0.3">
      <c r="B1899"/>
    </row>
    <row r="1900" spans="2:2" x14ac:dyDescent="0.3">
      <c r="B1900"/>
    </row>
    <row r="1901" spans="2:2" x14ac:dyDescent="0.3">
      <c r="B1901"/>
    </row>
    <row r="1902" spans="2:2" x14ac:dyDescent="0.3">
      <c r="B1902"/>
    </row>
    <row r="1903" spans="2:2" x14ac:dyDescent="0.3">
      <c r="B1903"/>
    </row>
    <row r="1904" spans="2:2" x14ac:dyDescent="0.3">
      <c r="B1904"/>
    </row>
    <row r="1905" spans="2:2" x14ac:dyDescent="0.3">
      <c r="B1905"/>
    </row>
    <row r="1906" spans="2:2" x14ac:dyDescent="0.3">
      <c r="B1906"/>
    </row>
    <row r="1907" spans="2:2" x14ac:dyDescent="0.3">
      <c r="B1907"/>
    </row>
    <row r="1908" spans="2:2" x14ac:dyDescent="0.3">
      <c r="B1908"/>
    </row>
    <row r="1909" spans="2:2" x14ac:dyDescent="0.3">
      <c r="B1909"/>
    </row>
    <row r="1910" spans="2:2" x14ac:dyDescent="0.3">
      <c r="B1910"/>
    </row>
    <row r="1911" spans="2:2" x14ac:dyDescent="0.3">
      <c r="B1911"/>
    </row>
    <row r="1912" spans="2:2" x14ac:dyDescent="0.3">
      <c r="B1912"/>
    </row>
    <row r="1913" spans="2:2" x14ac:dyDescent="0.3">
      <c r="B1913"/>
    </row>
    <row r="1914" spans="2:2" x14ac:dyDescent="0.3">
      <c r="B1914"/>
    </row>
    <row r="1915" spans="2:2" x14ac:dyDescent="0.3">
      <c r="B1915"/>
    </row>
    <row r="1916" spans="2:2" x14ac:dyDescent="0.3">
      <c r="B1916"/>
    </row>
    <row r="1917" spans="2:2" x14ac:dyDescent="0.3">
      <c r="B1917"/>
    </row>
    <row r="1918" spans="2:2" x14ac:dyDescent="0.3">
      <c r="B1918"/>
    </row>
    <row r="1919" spans="2:2" x14ac:dyDescent="0.3">
      <c r="B1919"/>
    </row>
    <row r="1920" spans="2:2" x14ac:dyDescent="0.3">
      <c r="B1920"/>
    </row>
    <row r="1921" spans="2:2" x14ac:dyDescent="0.3">
      <c r="B1921"/>
    </row>
    <row r="1922" spans="2:2" x14ac:dyDescent="0.3">
      <c r="B1922"/>
    </row>
    <row r="1923" spans="2:2" x14ac:dyDescent="0.3">
      <c r="B1923"/>
    </row>
    <row r="1924" spans="2:2" x14ac:dyDescent="0.3">
      <c r="B1924"/>
    </row>
    <row r="1925" spans="2:2" x14ac:dyDescent="0.3">
      <c r="B1925"/>
    </row>
    <row r="1926" spans="2:2" x14ac:dyDescent="0.3">
      <c r="B1926"/>
    </row>
    <row r="1927" spans="2:2" x14ac:dyDescent="0.3">
      <c r="B1927"/>
    </row>
    <row r="1928" spans="2:2" x14ac:dyDescent="0.3">
      <c r="B1928"/>
    </row>
    <row r="1929" spans="2:2" x14ac:dyDescent="0.3">
      <c r="B1929"/>
    </row>
    <row r="1930" spans="2:2" x14ac:dyDescent="0.3">
      <c r="B1930"/>
    </row>
    <row r="1931" spans="2:2" x14ac:dyDescent="0.3">
      <c r="B1931"/>
    </row>
    <row r="1932" spans="2:2" x14ac:dyDescent="0.3">
      <c r="B1932"/>
    </row>
    <row r="1933" spans="2:2" x14ac:dyDescent="0.3">
      <c r="B1933"/>
    </row>
    <row r="1934" spans="2:2" x14ac:dyDescent="0.3">
      <c r="B1934"/>
    </row>
    <row r="1935" spans="2:2" x14ac:dyDescent="0.3">
      <c r="B1935"/>
    </row>
    <row r="1936" spans="2:2" x14ac:dyDescent="0.3">
      <c r="B1936"/>
    </row>
    <row r="1937" spans="2:2" x14ac:dyDescent="0.3">
      <c r="B1937"/>
    </row>
    <row r="1938" spans="2:2" x14ac:dyDescent="0.3">
      <c r="B1938"/>
    </row>
    <row r="1939" spans="2:2" x14ac:dyDescent="0.3">
      <c r="B1939"/>
    </row>
    <row r="1940" spans="2:2" x14ac:dyDescent="0.3">
      <c r="B1940"/>
    </row>
    <row r="1941" spans="2:2" x14ac:dyDescent="0.3">
      <c r="B1941"/>
    </row>
    <row r="1942" spans="2:2" x14ac:dyDescent="0.3">
      <c r="B1942"/>
    </row>
    <row r="1943" spans="2:2" x14ac:dyDescent="0.3">
      <c r="B1943"/>
    </row>
    <row r="1944" spans="2:2" x14ac:dyDescent="0.3">
      <c r="B1944"/>
    </row>
    <row r="1945" spans="2:2" x14ac:dyDescent="0.3">
      <c r="B1945"/>
    </row>
    <row r="1946" spans="2:2" x14ac:dyDescent="0.3">
      <c r="B1946"/>
    </row>
    <row r="1947" spans="2:2" x14ac:dyDescent="0.3">
      <c r="B1947"/>
    </row>
    <row r="1948" spans="2:2" x14ac:dyDescent="0.3">
      <c r="B1948"/>
    </row>
    <row r="1949" spans="2:2" x14ac:dyDescent="0.3">
      <c r="B1949"/>
    </row>
    <row r="1950" spans="2:2" x14ac:dyDescent="0.3">
      <c r="B1950"/>
    </row>
    <row r="1951" spans="2:2" x14ac:dyDescent="0.3">
      <c r="B1951"/>
    </row>
    <row r="1952" spans="2:2" x14ac:dyDescent="0.3">
      <c r="B1952"/>
    </row>
    <row r="1953" spans="2:2" x14ac:dyDescent="0.3">
      <c r="B1953"/>
    </row>
    <row r="1954" spans="2:2" x14ac:dyDescent="0.3">
      <c r="B1954"/>
    </row>
    <row r="1955" spans="2:2" x14ac:dyDescent="0.3">
      <c r="B1955"/>
    </row>
    <row r="1956" spans="2:2" x14ac:dyDescent="0.3">
      <c r="B1956"/>
    </row>
    <row r="1957" spans="2:2" x14ac:dyDescent="0.3">
      <c r="B1957"/>
    </row>
    <row r="1958" spans="2:2" x14ac:dyDescent="0.3">
      <c r="B1958"/>
    </row>
    <row r="1959" spans="2:2" x14ac:dyDescent="0.3">
      <c r="B1959"/>
    </row>
    <row r="1960" spans="2:2" x14ac:dyDescent="0.3">
      <c r="B1960"/>
    </row>
    <row r="1961" spans="2:2" x14ac:dyDescent="0.3">
      <c r="B1961"/>
    </row>
    <row r="1962" spans="2:2" x14ac:dyDescent="0.3">
      <c r="B1962"/>
    </row>
    <row r="1963" spans="2:2" x14ac:dyDescent="0.3">
      <c r="B1963"/>
    </row>
    <row r="1964" spans="2:2" x14ac:dyDescent="0.3">
      <c r="B1964"/>
    </row>
    <row r="1965" spans="2:2" x14ac:dyDescent="0.3">
      <c r="B1965"/>
    </row>
    <row r="1966" spans="2:2" x14ac:dyDescent="0.3">
      <c r="B1966"/>
    </row>
    <row r="1967" spans="2:2" x14ac:dyDescent="0.3">
      <c r="B1967"/>
    </row>
    <row r="1968" spans="2:2" x14ac:dyDescent="0.3">
      <c r="B1968"/>
    </row>
    <row r="1969" spans="2:2" x14ac:dyDescent="0.3">
      <c r="B1969"/>
    </row>
    <row r="1970" spans="2:2" x14ac:dyDescent="0.3">
      <c r="B1970"/>
    </row>
    <row r="1971" spans="2:2" x14ac:dyDescent="0.3">
      <c r="B1971"/>
    </row>
    <row r="1972" spans="2:2" x14ac:dyDescent="0.3">
      <c r="B1972"/>
    </row>
    <row r="1973" spans="2:2" x14ac:dyDescent="0.3">
      <c r="B1973"/>
    </row>
    <row r="1974" spans="2:2" x14ac:dyDescent="0.3">
      <c r="B1974"/>
    </row>
    <row r="1975" spans="2:2" x14ac:dyDescent="0.3">
      <c r="B1975"/>
    </row>
    <row r="1976" spans="2:2" x14ac:dyDescent="0.3">
      <c r="B1976"/>
    </row>
    <row r="1977" spans="2:2" x14ac:dyDescent="0.3">
      <c r="B1977"/>
    </row>
    <row r="1978" spans="2:2" x14ac:dyDescent="0.3">
      <c r="B1978"/>
    </row>
    <row r="1979" spans="2:2" x14ac:dyDescent="0.3">
      <c r="B1979"/>
    </row>
    <row r="1980" spans="2:2" x14ac:dyDescent="0.3">
      <c r="B1980"/>
    </row>
    <row r="1981" spans="2:2" x14ac:dyDescent="0.3">
      <c r="B1981"/>
    </row>
    <row r="1982" spans="2:2" x14ac:dyDescent="0.3">
      <c r="B1982"/>
    </row>
    <row r="1983" spans="2:2" x14ac:dyDescent="0.3">
      <c r="B1983"/>
    </row>
    <row r="1984" spans="2:2" x14ac:dyDescent="0.3">
      <c r="B1984"/>
    </row>
    <row r="1985" spans="2:2" x14ac:dyDescent="0.3">
      <c r="B1985"/>
    </row>
    <row r="1986" spans="2:2" x14ac:dyDescent="0.3">
      <c r="B1986"/>
    </row>
    <row r="1987" spans="2:2" x14ac:dyDescent="0.3">
      <c r="B1987"/>
    </row>
    <row r="1988" spans="2:2" x14ac:dyDescent="0.3">
      <c r="B1988"/>
    </row>
    <row r="1989" spans="2:2" x14ac:dyDescent="0.3">
      <c r="B1989"/>
    </row>
    <row r="1990" spans="2:2" x14ac:dyDescent="0.3">
      <c r="B1990"/>
    </row>
    <row r="1991" spans="2:2" x14ac:dyDescent="0.3">
      <c r="B1991"/>
    </row>
    <row r="1992" spans="2:2" x14ac:dyDescent="0.3">
      <c r="B1992"/>
    </row>
    <row r="1993" spans="2:2" x14ac:dyDescent="0.3">
      <c r="B1993"/>
    </row>
    <row r="1994" spans="2:2" x14ac:dyDescent="0.3">
      <c r="B1994"/>
    </row>
    <row r="1995" spans="2:2" x14ac:dyDescent="0.3">
      <c r="B1995"/>
    </row>
    <row r="1996" spans="2:2" x14ac:dyDescent="0.3">
      <c r="B1996"/>
    </row>
    <row r="1997" spans="2:2" x14ac:dyDescent="0.3">
      <c r="B1997"/>
    </row>
    <row r="1998" spans="2:2" x14ac:dyDescent="0.3">
      <c r="B1998"/>
    </row>
    <row r="1999" spans="2:2" x14ac:dyDescent="0.3">
      <c r="B1999"/>
    </row>
    <row r="2000" spans="2:2" x14ac:dyDescent="0.3">
      <c r="B2000"/>
    </row>
    <row r="2001" spans="2:2" x14ac:dyDescent="0.3">
      <c r="B2001"/>
    </row>
    <row r="2002" spans="2:2" x14ac:dyDescent="0.3">
      <c r="B2002"/>
    </row>
    <row r="2003" spans="2:2" x14ac:dyDescent="0.3">
      <c r="B2003"/>
    </row>
    <row r="2004" spans="2:2" x14ac:dyDescent="0.3">
      <c r="B2004"/>
    </row>
    <row r="2005" spans="2:2" x14ac:dyDescent="0.3">
      <c r="B2005"/>
    </row>
    <row r="2006" spans="2:2" x14ac:dyDescent="0.3">
      <c r="B2006"/>
    </row>
    <row r="2007" spans="2:2" x14ac:dyDescent="0.3">
      <c r="B2007"/>
    </row>
    <row r="2008" spans="2:2" x14ac:dyDescent="0.3">
      <c r="B2008"/>
    </row>
    <row r="2009" spans="2:2" x14ac:dyDescent="0.3">
      <c r="B2009"/>
    </row>
    <row r="2010" spans="2:2" x14ac:dyDescent="0.3">
      <c r="B2010"/>
    </row>
  </sheetData>
  <mergeCells count="1">
    <mergeCell ref="A1:D4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666E2C0-6492-4773-987B-56BB070B87A4}">
          <x14:formula1>
            <xm:f>'Main Data'!$A$1:$A$1001</xm:f>
          </x14:formula1>
          <xm:sqref>A6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01EA3-DB9B-4D4B-9913-C47E33A1A410}">
  <dimension ref="A1:ALM18"/>
  <sheetViews>
    <sheetView workbookViewId="0">
      <selection activeCell="A18" sqref="A18"/>
    </sheetView>
  </sheetViews>
  <sheetFormatPr defaultRowHeight="14.4" x14ac:dyDescent="0.3"/>
  <cols>
    <col min="1" max="1" width="31.5546875" bestFit="1" customWidth="1"/>
    <col min="2" max="2" width="18.33203125" bestFit="1" customWidth="1"/>
    <col min="3" max="3" width="13.77734375" bestFit="1" customWidth="1"/>
    <col min="4" max="4" width="16.88671875" bestFit="1" customWidth="1"/>
    <col min="5" max="5" width="9.88671875" bestFit="1" customWidth="1"/>
    <col min="6" max="6" width="18.33203125" bestFit="1" customWidth="1"/>
    <col min="7" max="7" width="16.33203125" bestFit="1" customWidth="1"/>
    <col min="8" max="8" width="25.33203125" bestFit="1" customWidth="1"/>
    <col min="9" max="9" width="19" bestFit="1" customWidth="1"/>
    <col min="10" max="10" width="31.5546875" bestFit="1" customWidth="1"/>
    <col min="11" max="11" width="14" bestFit="1" customWidth="1"/>
    <col min="12" max="12" width="19.88671875" bestFit="1" customWidth="1"/>
    <col min="13" max="13" width="22.6640625" bestFit="1" customWidth="1"/>
    <col min="14" max="14" width="21.6640625" bestFit="1" customWidth="1"/>
    <col min="15" max="15" width="15.21875" bestFit="1" customWidth="1"/>
    <col min="16" max="16" width="9.77734375" bestFit="1" customWidth="1"/>
    <col min="17" max="18" width="10.109375" bestFit="1" customWidth="1"/>
    <col min="19" max="20" width="13.77734375" bestFit="1" customWidth="1"/>
    <col min="21" max="21" width="12.44140625" bestFit="1" customWidth="1"/>
    <col min="22" max="22" width="9.77734375" bestFit="1" customWidth="1"/>
    <col min="23" max="25" width="14" bestFit="1" customWidth="1"/>
    <col min="26" max="26" width="13.77734375" bestFit="1" customWidth="1"/>
    <col min="27" max="27" width="10.109375" bestFit="1" customWidth="1"/>
    <col min="28" max="28" width="11.33203125" bestFit="1" customWidth="1"/>
    <col min="29" max="30" width="13.77734375" bestFit="1" customWidth="1"/>
    <col min="31" max="31" width="14" bestFit="1" customWidth="1"/>
    <col min="32" max="32" width="18.33203125" bestFit="1" customWidth="1"/>
    <col min="33" max="33" width="11.33203125" bestFit="1" customWidth="1"/>
    <col min="34" max="34" width="13.77734375" bestFit="1" customWidth="1"/>
    <col min="35" max="35" width="9.77734375" bestFit="1" customWidth="1"/>
    <col min="36" max="36" width="12.44140625" bestFit="1" customWidth="1"/>
    <col min="37" max="38" width="18.33203125" bestFit="1" customWidth="1"/>
    <col min="39" max="39" width="14" bestFit="1" customWidth="1"/>
    <col min="40" max="40" width="12.44140625" bestFit="1" customWidth="1"/>
    <col min="41" max="41" width="9.77734375" bestFit="1" customWidth="1"/>
    <col min="42" max="42" width="12.44140625" bestFit="1" customWidth="1"/>
    <col min="43" max="43" width="11.33203125" bestFit="1" customWidth="1"/>
    <col min="44" max="44" width="13.77734375" bestFit="1" customWidth="1"/>
    <col min="45" max="45" width="10.109375" bestFit="1" customWidth="1"/>
    <col min="46" max="46" width="13.77734375" bestFit="1" customWidth="1"/>
    <col min="47" max="47" width="11.33203125" bestFit="1" customWidth="1"/>
    <col min="48" max="48" width="13.77734375" bestFit="1" customWidth="1"/>
    <col min="49" max="49" width="14" bestFit="1" customWidth="1"/>
    <col min="50" max="50" width="10.109375" bestFit="1" customWidth="1"/>
    <col min="51" max="51" width="12.44140625" bestFit="1" customWidth="1"/>
    <col min="52" max="52" width="14" bestFit="1" customWidth="1"/>
    <col min="53" max="53" width="9.77734375" bestFit="1" customWidth="1"/>
    <col min="54" max="54" width="18.33203125" bestFit="1" customWidth="1"/>
    <col min="55" max="55" width="11.33203125" bestFit="1" customWidth="1"/>
    <col min="56" max="56" width="14" bestFit="1" customWidth="1"/>
    <col min="57" max="57" width="10.109375" bestFit="1" customWidth="1"/>
    <col min="58" max="58" width="18.33203125" bestFit="1" customWidth="1"/>
    <col min="59" max="59" width="14" bestFit="1" customWidth="1"/>
    <col min="60" max="60" width="12.44140625" bestFit="1" customWidth="1"/>
    <col min="61" max="61" width="10.109375" bestFit="1" customWidth="1"/>
    <col min="62" max="62" width="9.77734375" bestFit="1" customWidth="1"/>
    <col min="63" max="63" width="13.77734375" bestFit="1" customWidth="1"/>
    <col min="64" max="64" width="14" bestFit="1" customWidth="1"/>
    <col min="65" max="67" width="18.33203125" bestFit="1" customWidth="1"/>
    <col min="68" max="68" width="13.77734375" bestFit="1" customWidth="1"/>
    <col min="69" max="69" width="14" bestFit="1" customWidth="1"/>
    <col min="70" max="70" width="9.77734375" bestFit="1" customWidth="1"/>
    <col min="71" max="71" width="14" bestFit="1" customWidth="1"/>
    <col min="72" max="72" width="9.77734375" bestFit="1" customWidth="1"/>
    <col min="73" max="74" width="18.33203125" bestFit="1" customWidth="1"/>
    <col min="75" max="76" width="12.44140625" bestFit="1" customWidth="1"/>
    <col min="77" max="78" width="18.33203125" bestFit="1" customWidth="1"/>
    <col min="79" max="80" width="9.77734375" bestFit="1" customWidth="1"/>
    <col min="81" max="81" width="12.44140625" bestFit="1" customWidth="1"/>
    <col min="82" max="82" width="9.77734375" bestFit="1" customWidth="1"/>
    <col min="83" max="83" width="14" bestFit="1" customWidth="1"/>
    <col min="84" max="84" width="18.33203125" bestFit="1" customWidth="1"/>
    <col min="85" max="85" width="13.77734375" bestFit="1" customWidth="1"/>
    <col min="86" max="87" width="18.33203125" bestFit="1" customWidth="1"/>
    <col min="88" max="88" width="13.77734375" bestFit="1" customWidth="1"/>
    <col min="89" max="89" width="14" bestFit="1" customWidth="1"/>
    <col min="90" max="90" width="13.77734375" bestFit="1" customWidth="1"/>
    <col min="91" max="91" width="18.33203125" bestFit="1" customWidth="1"/>
    <col min="92" max="93" width="14" bestFit="1" customWidth="1"/>
    <col min="94" max="94" width="18.33203125" bestFit="1" customWidth="1"/>
    <col min="95" max="95" width="12.44140625" bestFit="1" customWidth="1"/>
    <col min="96" max="96" width="14" bestFit="1" customWidth="1"/>
    <col min="97" max="97" width="10.109375" bestFit="1" customWidth="1"/>
    <col min="98" max="98" width="14" bestFit="1" customWidth="1"/>
    <col min="99" max="99" width="18.33203125" bestFit="1" customWidth="1"/>
    <col min="100" max="100" width="14" bestFit="1" customWidth="1"/>
    <col min="101" max="101" width="10.109375" bestFit="1" customWidth="1"/>
    <col min="102" max="102" width="9.77734375" bestFit="1" customWidth="1"/>
    <col min="103" max="103" width="11.33203125" bestFit="1" customWidth="1"/>
    <col min="104" max="104" width="12.44140625" bestFit="1" customWidth="1"/>
    <col min="105" max="105" width="13.77734375" bestFit="1" customWidth="1"/>
    <col min="106" max="106" width="9.77734375" bestFit="1" customWidth="1"/>
    <col min="107" max="107" width="11.33203125" bestFit="1" customWidth="1"/>
    <col min="108" max="108" width="14" bestFit="1" customWidth="1"/>
    <col min="109" max="109" width="18.33203125" bestFit="1" customWidth="1"/>
    <col min="110" max="110" width="9.77734375" bestFit="1" customWidth="1"/>
    <col min="111" max="111" width="11.33203125" bestFit="1" customWidth="1"/>
    <col min="112" max="112" width="12.44140625" bestFit="1" customWidth="1"/>
    <col min="113" max="113" width="10.109375" bestFit="1" customWidth="1"/>
    <col min="114" max="114" width="18.33203125" bestFit="1" customWidth="1"/>
    <col min="115" max="115" width="14" bestFit="1" customWidth="1"/>
    <col min="116" max="117" width="13.77734375" bestFit="1" customWidth="1"/>
    <col min="118" max="119" width="12.44140625" bestFit="1" customWidth="1"/>
    <col min="120" max="120" width="13.77734375" bestFit="1" customWidth="1"/>
    <col min="121" max="122" width="14" bestFit="1" customWidth="1"/>
    <col min="123" max="123" width="11.33203125" bestFit="1" customWidth="1"/>
    <col min="124" max="124" width="12.44140625" bestFit="1" customWidth="1"/>
    <col min="125" max="125" width="18.33203125" bestFit="1" customWidth="1"/>
    <col min="126" max="126" width="14" bestFit="1" customWidth="1"/>
    <col min="127" max="127" width="9.77734375" bestFit="1" customWidth="1"/>
    <col min="128" max="128" width="14" bestFit="1" customWidth="1"/>
    <col min="129" max="130" width="9.77734375" bestFit="1" customWidth="1"/>
    <col min="131" max="131" width="18.33203125" bestFit="1" customWidth="1"/>
    <col min="132" max="132" width="14" bestFit="1" customWidth="1"/>
    <col min="133" max="133" width="9.77734375" bestFit="1" customWidth="1"/>
    <col min="134" max="134" width="18.33203125" bestFit="1" customWidth="1"/>
    <col min="135" max="135" width="9.77734375" bestFit="1" customWidth="1"/>
    <col min="136" max="136" width="14" bestFit="1" customWidth="1"/>
    <col min="137" max="137" width="12.44140625" bestFit="1" customWidth="1"/>
    <col min="138" max="138" width="13.77734375" bestFit="1" customWidth="1"/>
    <col min="139" max="139" width="12.44140625" bestFit="1" customWidth="1"/>
    <col min="140" max="142" width="18.33203125" bestFit="1" customWidth="1"/>
    <col min="143" max="143" width="13.77734375" bestFit="1" customWidth="1"/>
    <col min="144" max="144" width="11.33203125" bestFit="1" customWidth="1"/>
    <col min="145" max="145" width="9.77734375" bestFit="1" customWidth="1"/>
    <col min="146" max="146" width="10.109375" bestFit="1" customWidth="1"/>
    <col min="147" max="147" width="18.33203125" bestFit="1" customWidth="1"/>
    <col min="148" max="148" width="14" bestFit="1" customWidth="1"/>
    <col min="149" max="149" width="10.109375" bestFit="1" customWidth="1"/>
    <col min="150" max="150" width="14" bestFit="1" customWidth="1"/>
    <col min="151" max="151" width="18.33203125" bestFit="1" customWidth="1"/>
    <col min="152" max="152" width="11.33203125" bestFit="1" customWidth="1"/>
    <col min="153" max="153" width="18.33203125" bestFit="1" customWidth="1"/>
    <col min="154" max="154" width="12.44140625" bestFit="1" customWidth="1"/>
    <col min="155" max="155" width="14" bestFit="1" customWidth="1"/>
    <col min="156" max="156" width="9.77734375" bestFit="1" customWidth="1"/>
    <col min="157" max="158" width="12.44140625" bestFit="1" customWidth="1"/>
    <col min="159" max="160" width="9.77734375" bestFit="1" customWidth="1"/>
    <col min="161" max="161" width="11.33203125" bestFit="1" customWidth="1"/>
    <col min="162" max="162" width="9.77734375" bestFit="1" customWidth="1"/>
    <col min="163" max="163" width="14" bestFit="1" customWidth="1"/>
    <col min="164" max="164" width="9.77734375" bestFit="1" customWidth="1"/>
    <col min="165" max="165" width="18.33203125" bestFit="1" customWidth="1"/>
    <col min="166" max="166" width="9.77734375" bestFit="1" customWidth="1"/>
    <col min="167" max="167" width="12.44140625" bestFit="1" customWidth="1"/>
    <col min="168" max="168" width="18.33203125" bestFit="1" customWidth="1"/>
    <col min="169" max="169" width="9.77734375" bestFit="1" customWidth="1"/>
    <col min="170" max="170" width="14" bestFit="1" customWidth="1"/>
    <col min="171" max="171" width="18.33203125" bestFit="1" customWidth="1"/>
    <col min="172" max="173" width="14" bestFit="1" customWidth="1"/>
    <col min="174" max="174" width="13.77734375" bestFit="1" customWidth="1"/>
    <col min="175" max="175" width="14" bestFit="1" customWidth="1"/>
    <col min="176" max="176" width="9.77734375" bestFit="1" customWidth="1"/>
    <col min="177" max="177" width="10.109375" bestFit="1" customWidth="1"/>
    <col min="178" max="178" width="11.33203125" bestFit="1" customWidth="1"/>
    <col min="179" max="179" width="14" bestFit="1" customWidth="1"/>
    <col min="180" max="181" width="9.77734375" bestFit="1" customWidth="1"/>
    <col min="182" max="182" width="14" bestFit="1" customWidth="1"/>
    <col min="183" max="183" width="9.77734375" bestFit="1" customWidth="1"/>
    <col min="184" max="184" width="18.33203125" bestFit="1" customWidth="1"/>
    <col min="185" max="185" width="10.109375" bestFit="1" customWidth="1"/>
    <col min="186" max="186" width="13.77734375" bestFit="1" customWidth="1"/>
    <col min="187" max="187" width="14" bestFit="1" customWidth="1"/>
    <col min="188" max="191" width="9.77734375" bestFit="1" customWidth="1"/>
    <col min="192" max="193" width="13.77734375" bestFit="1" customWidth="1"/>
    <col min="194" max="194" width="18.33203125" bestFit="1" customWidth="1"/>
    <col min="195" max="195" width="13.77734375" bestFit="1" customWidth="1"/>
    <col min="196" max="196" width="9.77734375" bestFit="1" customWidth="1"/>
    <col min="197" max="197" width="18.33203125" bestFit="1" customWidth="1"/>
    <col min="198" max="198" width="12.44140625" bestFit="1" customWidth="1"/>
    <col min="199" max="200" width="14" bestFit="1" customWidth="1"/>
    <col min="201" max="201" width="18.33203125" bestFit="1" customWidth="1"/>
    <col min="202" max="202" width="9.77734375" bestFit="1" customWidth="1"/>
    <col min="203" max="203" width="10.109375" bestFit="1" customWidth="1"/>
    <col min="204" max="204" width="18.33203125" bestFit="1" customWidth="1"/>
    <col min="205" max="206" width="14" bestFit="1" customWidth="1"/>
    <col min="207" max="207" width="18.33203125" bestFit="1" customWidth="1"/>
    <col min="208" max="208" width="9.77734375" bestFit="1" customWidth="1"/>
    <col min="209" max="209" width="18.33203125" bestFit="1" customWidth="1"/>
    <col min="210" max="210" width="13.77734375" bestFit="1" customWidth="1"/>
    <col min="211" max="211" width="12.44140625" bestFit="1" customWidth="1"/>
    <col min="212" max="212" width="9.77734375" bestFit="1" customWidth="1"/>
    <col min="213" max="213" width="12.44140625" bestFit="1" customWidth="1"/>
    <col min="214" max="214" width="14" bestFit="1" customWidth="1"/>
    <col min="215" max="217" width="18.33203125" bestFit="1" customWidth="1"/>
    <col min="218" max="218" width="9.77734375" bestFit="1" customWidth="1"/>
    <col min="219" max="219" width="13.77734375" bestFit="1" customWidth="1"/>
    <col min="220" max="220" width="18.33203125" bestFit="1" customWidth="1"/>
    <col min="221" max="221" width="12.44140625" bestFit="1" customWidth="1"/>
    <col min="222" max="222" width="18.33203125" bestFit="1" customWidth="1"/>
    <col min="223" max="223" width="9.77734375" bestFit="1" customWidth="1"/>
    <col min="224" max="224" width="12.44140625" bestFit="1" customWidth="1"/>
    <col min="225" max="225" width="11.33203125" bestFit="1" customWidth="1"/>
    <col min="226" max="228" width="13.77734375" bestFit="1" customWidth="1"/>
    <col min="229" max="229" width="10.109375" bestFit="1" customWidth="1"/>
    <col min="230" max="230" width="13.77734375" bestFit="1" customWidth="1"/>
    <col min="231" max="231" width="14" bestFit="1" customWidth="1"/>
    <col min="232" max="232" width="11.33203125" bestFit="1" customWidth="1"/>
    <col min="233" max="233" width="9.77734375" bestFit="1" customWidth="1"/>
    <col min="234" max="234" width="14" bestFit="1" customWidth="1"/>
    <col min="235" max="235" width="13.77734375" bestFit="1" customWidth="1"/>
    <col min="236" max="236" width="9.77734375" bestFit="1" customWidth="1"/>
    <col min="237" max="237" width="10.109375" bestFit="1" customWidth="1"/>
    <col min="238" max="238" width="11.33203125" bestFit="1" customWidth="1"/>
    <col min="239" max="239" width="18.33203125" bestFit="1" customWidth="1"/>
    <col min="240" max="240" width="13.77734375" bestFit="1" customWidth="1"/>
    <col min="241" max="242" width="14" bestFit="1" customWidth="1"/>
    <col min="243" max="243" width="9.77734375" bestFit="1" customWidth="1"/>
    <col min="244" max="244" width="14" bestFit="1" customWidth="1"/>
    <col min="245" max="245" width="13.77734375" bestFit="1" customWidth="1"/>
    <col min="246" max="246" width="14" bestFit="1" customWidth="1"/>
    <col min="247" max="247" width="10.109375" bestFit="1" customWidth="1"/>
    <col min="248" max="248" width="18.33203125" bestFit="1" customWidth="1"/>
    <col min="249" max="249" width="9.77734375" bestFit="1" customWidth="1"/>
    <col min="250" max="250" width="14" bestFit="1" customWidth="1"/>
    <col min="251" max="251" width="18.33203125" bestFit="1" customWidth="1"/>
    <col min="252" max="252" width="11.33203125" bestFit="1" customWidth="1"/>
    <col min="253" max="254" width="9.77734375" bestFit="1" customWidth="1"/>
    <col min="255" max="256" width="12.44140625" bestFit="1" customWidth="1"/>
    <col min="257" max="257" width="9.77734375" bestFit="1" customWidth="1"/>
    <col min="258" max="258" width="14" bestFit="1" customWidth="1"/>
    <col min="259" max="259" width="18.33203125" bestFit="1" customWidth="1"/>
    <col min="260" max="260" width="9.77734375" bestFit="1" customWidth="1"/>
    <col min="261" max="261" width="12.44140625" bestFit="1" customWidth="1"/>
    <col min="262" max="262" width="10.109375" bestFit="1" customWidth="1"/>
    <col min="263" max="263" width="11.33203125" bestFit="1" customWidth="1"/>
    <col min="264" max="265" width="13.77734375" bestFit="1" customWidth="1"/>
    <col min="266" max="266" width="9.77734375" bestFit="1" customWidth="1"/>
    <col min="267" max="267" width="18.33203125" bestFit="1" customWidth="1"/>
    <col min="268" max="268" width="12.44140625" bestFit="1" customWidth="1"/>
    <col min="269" max="269" width="13.77734375" bestFit="1" customWidth="1"/>
    <col min="270" max="270" width="9.77734375" bestFit="1" customWidth="1"/>
    <col min="271" max="271" width="11.33203125" bestFit="1" customWidth="1"/>
    <col min="272" max="272" width="18.33203125" bestFit="1" customWidth="1"/>
    <col min="273" max="273" width="14" bestFit="1" customWidth="1"/>
    <col min="274" max="274" width="18.33203125" bestFit="1" customWidth="1"/>
    <col min="275" max="275" width="12.44140625" bestFit="1" customWidth="1"/>
    <col min="276" max="276" width="18.33203125" bestFit="1" customWidth="1"/>
    <col min="277" max="277" width="9.77734375" bestFit="1" customWidth="1"/>
    <col min="278" max="278" width="14" bestFit="1" customWidth="1"/>
    <col min="279" max="279" width="18.33203125" bestFit="1" customWidth="1"/>
    <col min="280" max="280" width="11.33203125" bestFit="1" customWidth="1"/>
    <col min="281" max="281" width="14" bestFit="1" customWidth="1"/>
    <col min="282" max="282" width="13.77734375" bestFit="1" customWidth="1"/>
    <col min="283" max="283" width="11.33203125" bestFit="1" customWidth="1"/>
    <col min="284" max="284" width="18.33203125" bestFit="1" customWidth="1"/>
    <col min="285" max="285" width="14" bestFit="1" customWidth="1"/>
    <col min="286" max="286" width="13.77734375" bestFit="1" customWidth="1"/>
    <col min="287" max="287" width="18.33203125" bestFit="1" customWidth="1"/>
    <col min="288" max="288" width="14" bestFit="1" customWidth="1"/>
    <col min="289" max="289" width="13.77734375" bestFit="1" customWidth="1"/>
    <col min="290" max="290" width="12.44140625" bestFit="1" customWidth="1"/>
    <col min="291" max="291" width="18.33203125" bestFit="1" customWidth="1"/>
    <col min="292" max="292" width="13.77734375" bestFit="1" customWidth="1"/>
    <col min="293" max="293" width="14" bestFit="1" customWidth="1"/>
    <col min="294" max="294" width="10.109375" bestFit="1" customWidth="1"/>
    <col min="295" max="295" width="13.77734375" bestFit="1" customWidth="1"/>
    <col min="296" max="296" width="11.33203125" bestFit="1" customWidth="1"/>
    <col min="297" max="298" width="18.33203125" bestFit="1" customWidth="1"/>
    <col min="299" max="299" width="12.44140625" bestFit="1" customWidth="1"/>
    <col min="300" max="300" width="13.77734375" bestFit="1" customWidth="1"/>
    <col min="301" max="301" width="14" bestFit="1" customWidth="1"/>
    <col min="302" max="304" width="13.77734375" bestFit="1" customWidth="1"/>
    <col min="305" max="305" width="14" bestFit="1" customWidth="1"/>
    <col min="306" max="306" width="13.77734375" bestFit="1" customWidth="1"/>
    <col min="307" max="307" width="12.44140625" bestFit="1" customWidth="1"/>
    <col min="308" max="308" width="10.109375" bestFit="1" customWidth="1"/>
    <col min="309" max="309" width="13.77734375" bestFit="1" customWidth="1"/>
    <col min="310" max="311" width="18.33203125" bestFit="1" customWidth="1"/>
    <col min="312" max="312" width="12.44140625" bestFit="1" customWidth="1"/>
    <col min="313" max="314" width="13.77734375" bestFit="1" customWidth="1"/>
    <col min="315" max="316" width="14" bestFit="1" customWidth="1"/>
    <col min="317" max="317" width="13.77734375" bestFit="1" customWidth="1"/>
    <col min="318" max="318" width="18.33203125" bestFit="1" customWidth="1"/>
    <col min="319" max="319" width="13.77734375" bestFit="1" customWidth="1"/>
    <col min="320" max="321" width="9.77734375" bestFit="1" customWidth="1"/>
    <col min="322" max="323" width="13.77734375" bestFit="1" customWidth="1"/>
    <col min="324" max="324" width="9.77734375" bestFit="1" customWidth="1"/>
    <col min="325" max="325" width="11.33203125" bestFit="1" customWidth="1"/>
    <col min="326" max="326" width="18.33203125" bestFit="1" customWidth="1"/>
    <col min="327" max="327" width="13.77734375" bestFit="1" customWidth="1"/>
    <col min="328" max="328" width="14" bestFit="1" customWidth="1"/>
    <col min="329" max="329" width="11.33203125" bestFit="1" customWidth="1"/>
    <col min="330" max="330" width="13.77734375" bestFit="1" customWidth="1"/>
    <col min="331" max="331" width="18.33203125" bestFit="1" customWidth="1"/>
    <col min="332" max="332" width="14" bestFit="1" customWidth="1"/>
    <col min="333" max="333" width="13.77734375" bestFit="1" customWidth="1"/>
    <col min="334" max="334" width="9.77734375" bestFit="1" customWidth="1"/>
    <col min="335" max="335" width="18.33203125" bestFit="1" customWidth="1"/>
    <col min="336" max="336" width="10.109375" bestFit="1" customWidth="1"/>
    <col min="337" max="337" width="12.44140625" bestFit="1" customWidth="1"/>
    <col min="338" max="338" width="11.33203125" bestFit="1" customWidth="1"/>
    <col min="339" max="340" width="14" bestFit="1" customWidth="1"/>
    <col min="341" max="341" width="12.44140625" bestFit="1" customWidth="1"/>
    <col min="342" max="342" width="13.77734375" bestFit="1" customWidth="1"/>
    <col min="343" max="343" width="9.77734375" bestFit="1" customWidth="1"/>
    <col min="344" max="344" width="13.77734375" bestFit="1" customWidth="1"/>
    <col min="345" max="345" width="10.109375" bestFit="1" customWidth="1"/>
    <col min="346" max="346" width="12.44140625" bestFit="1" customWidth="1"/>
    <col min="347" max="347" width="13.77734375" bestFit="1" customWidth="1"/>
    <col min="348" max="349" width="9.77734375" bestFit="1" customWidth="1"/>
    <col min="350" max="351" width="13.77734375" bestFit="1" customWidth="1"/>
    <col min="352" max="352" width="12.44140625" bestFit="1" customWidth="1"/>
    <col min="353" max="353" width="13.77734375" bestFit="1" customWidth="1"/>
    <col min="354" max="354" width="14" bestFit="1" customWidth="1"/>
    <col min="355" max="355" width="18.33203125" bestFit="1" customWidth="1"/>
    <col min="356" max="357" width="13.77734375" bestFit="1" customWidth="1"/>
    <col min="358" max="358" width="11.33203125" bestFit="1" customWidth="1"/>
    <col min="359" max="359" width="12.44140625" bestFit="1" customWidth="1"/>
    <col min="360" max="360" width="14" bestFit="1" customWidth="1"/>
    <col min="361" max="361" width="9.77734375" bestFit="1" customWidth="1"/>
    <col min="362" max="362" width="10.109375" bestFit="1" customWidth="1"/>
    <col min="363" max="363" width="9.77734375" bestFit="1" customWidth="1"/>
    <col min="364" max="365" width="18.33203125" bestFit="1" customWidth="1"/>
    <col min="366" max="366" width="10.109375" bestFit="1" customWidth="1"/>
    <col min="367" max="368" width="12.44140625" bestFit="1" customWidth="1"/>
    <col min="369" max="369" width="14" bestFit="1" customWidth="1"/>
    <col min="370" max="370" width="13.77734375" bestFit="1" customWidth="1"/>
    <col min="371" max="371" width="14" bestFit="1" customWidth="1"/>
    <col min="372" max="372" width="12.44140625" bestFit="1" customWidth="1"/>
    <col min="373" max="373" width="14" bestFit="1" customWidth="1"/>
    <col min="374" max="374" width="18.33203125" bestFit="1" customWidth="1"/>
    <col min="375" max="375" width="11.33203125" bestFit="1" customWidth="1"/>
    <col min="376" max="376" width="13.77734375" bestFit="1" customWidth="1"/>
    <col min="377" max="377" width="12.44140625" bestFit="1" customWidth="1"/>
    <col min="378" max="378" width="14" bestFit="1" customWidth="1"/>
    <col min="379" max="380" width="13.77734375" bestFit="1" customWidth="1"/>
    <col min="381" max="381" width="14" bestFit="1" customWidth="1"/>
    <col min="382" max="382" width="18.33203125" bestFit="1" customWidth="1"/>
    <col min="383" max="383" width="9.77734375" bestFit="1" customWidth="1"/>
    <col min="384" max="384" width="11.33203125" bestFit="1" customWidth="1"/>
    <col min="385" max="385" width="18.33203125" bestFit="1" customWidth="1"/>
    <col min="386" max="387" width="9.77734375" bestFit="1" customWidth="1"/>
    <col min="388" max="388" width="11.33203125" bestFit="1" customWidth="1"/>
    <col min="389" max="389" width="14" bestFit="1" customWidth="1"/>
    <col min="390" max="390" width="9.77734375" bestFit="1" customWidth="1"/>
    <col min="391" max="391" width="13.77734375" bestFit="1" customWidth="1"/>
    <col min="392" max="395" width="18.33203125" bestFit="1" customWidth="1"/>
    <col min="396" max="396" width="12.44140625" bestFit="1" customWidth="1"/>
    <col min="397" max="397" width="9.77734375" bestFit="1" customWidth="1"/>
    <col min="398" max="398" width="11.33203125" bestFit="1" customWidth="1"/>
    <col min="399" max="399" width="14" bestFit="1" customWidth="1"/>
    <col min="400" max="400" width="13.77734375" bestFit="1" customWidth="1"/>
    <col min="401" max="401" width="11.33203125" bestFit="1" customWidth="1"/>
    <col min="402" max="402" width="18.33203125" bestFit="1" customWidth="1"/>
    <col min="403" max="404" width="13.77734375" bestFit="1" customWidth="1"/>
    <col min="405" max="405" width="11.33203125" bestFit="1" customWidth="1"/>
    <col min="406" max="406" width="9.77734375" bestFit="1" customWidth="1"/>
    <col min="407" max="407" width="14" bestFit="1" customWidth="1"/>
    <col min="408" max="408" width="11.33203125" bestFit="1" customWidth="1"/>
    <col min="409" max="410" width="12.44140625" bestFit="1" customWidth="1"/>
    <col min="411" max="411" width="18.33203125" bestFit="1" customWidth="1"/>
    <col min="412" max="412" width="11.33203125" bestFit="1" customWidth="1"/>
    <col min="413" max="413" width="18.33203125" bestFit="1" customWidth="1"/>
    <col min="414" max="414" width="9.77734375" bestFit="1" customWidth="1"/>
    <col min="415" max="415" width="18.33203125" bestFit="1" customWidth="1"/>
    <col min="416" max="418" width="14" bestFit="1" customWidth="1"/>
    <col min="419" max="419" width="13.77734375" bestFit="1" customWidth="1"/>
    <col min="420" max="420" width="14" bestFit="1" customWidth="1"/>
    <col min="421" max="421" width="13.77734375" bestFit="1" customWidth="1"/>
    <col min="422" max="423" width="11.33203125" bestFit="1" customWidth="1"/>
    <col min="424" max="424" width="12.44140625" bestFit="1" customWidth="1"/>
    <col min="425" max="425" width="9.77734375" bestFit="1" customWidth="1"/>
    <col min="426" max="426" width="11.33203125" bestFit="1" customWidth="1"/>
    <col min="427" max="427" width="10.109375" bestFit="1" customWidth="1"/>
    <col min="428" max="428" width="18.33203125" bestFit="1" customWidth="1"/>
    <col min="429" max="429" width="12.44140625" bestFit="1" customWidth="1"/>
    <col min="430" max="430" width="9.77734375" bestFit="1" customWidth="1"/>
    <col min="431" max="431" width="13.77734375" bestFit="1" customWidth="1"/>
    <col min="432" max="432" width="14" bestFit="1" customWidth="1"/>
    <col min="433" max="433" width="12.44140625" bestFit="1" customWidth="1"/>
    <col min="434" max="434" width="18.33203125" bestFit="1" customWidth="1"/>
    <col min="435" max="435" width="9.77734375" bestFit="1" customWidth="1"/>
    <col min="436" max="437" width="13.77734375" bestFit="1" customWidth="1"/>
    <col min="438" max="438" width="18.33203125" bestFit="1" customWidth="1"/>
    <col min="439" max="439" width="13.77734375" bestFit="1" customWidth="1"/>
    <col min="440" max="440" width="9.77734375" bestFit="1" customWidth="1"/>
    <col min="441" max="441" width="12.44140625" bestFit="1" customWidth="1"/>
    <col min="442" max="442" width="13.77734375" bestFit="1" customWidth="1"/>
    <col min="443" max="443" width="9.77734375" bestFit="1" customWidth="1"/>
    <col min="444" max="445" width="12.44140625" bestFit="1" customWidth="1"/>
    <col min="446" max="446" width="9.77734375" bestFit="1" customWidth="1"/>
    <col min="447" max="448" width="14" bestFit="1" customWidth="1"/>
    <col min="449" max="449" width="18.33203125" bestFit="1" customWidth="1"/>
    <col min="450" max="450" width="9.77734375" bestFit="1" customWidth="1"/>
    <col min="451" max="451" width="11.33203125" bestFit="1" customWidth="1"/>
    <col min="452" max="452" width="13.77734375" bestFit="1" customWidth="1"/>
    <col min="453" max="453" width="9.77734375" bestFit="1" customWidth="1"/>
    <col min="454" max="454" width="10.109375" bestFit="1" customWidth="1"/>
    <col min="455" max="455" width="9.77734375" bestFit="1" customWidth="1"/>
    <col min="456" max="456" width="18.33203125" bestFit="1" customWidth="1"/>
    <col min="457" max="457" width="14" bestFit="1" customWidth="1"/>
    <col min="458" max="458" width="12.44140625" bestFit="1" customWidth="1"/>
    <col min="459" max="459" width="13.77734375" bestFit="1" customWidth="1"/>
    <col min="460" max="460" width="9.77734375" bestFit="1" customWidth="1"/>
    <col min="461" max="461" width="10.109375" bestFit="1" customWidth="1"/>
    <col min="462" max="462" width="13.77734375" bestFit="1" customWidth="1"/>
    <col min="463" max="463" width="9.77734375" bestFit="1" customWidth="1"/>
    <col min="464" max="464" width="13.77734375" bestFit="1" customWidth="1"/>
    <col min="465" max="466" width="9.77734375" bestFit="1" customWidth="1"/>
    <col min="467" max="467" width="12.44140625" bestFit="1" customWidth="1"/>
    <col min="468" max="468" width="10.109375" bestFit="1" customWidth="1"/>
    <col min="469" max="469" width="18.33203125" bestFit="1" customWidth="1"/>
    <col min="470" max="470" width="11.33203125" bestFit="1" customWidth="1"/>
    <col min="471" max="471" width="10.109375" bestFit="1" customWidth="1"/>
    <col min="472" max="473" width="18.33203125" bestFit="1" customWidth="1"/>
    <col min="474" max="474" width="14" bestFit="1" customWidth="1"/>
    <col min="475" max="475" width="13.77734375" bestFit="1" customWidth="1"/>
    <col min="476" max="476" width="9.77734375" bestFit="1" customWidth="1"/>
    <col min="477" max="478" width="10.109375" bestFit="1" customWidth="1"/>
    <col min="479" max="479" width="14" bestFit="1" customWidth="1"/>
    <col min="480" max="480" width="11.33203125" bestFit="1" customWidth="1"/>
    <col min="481" max="481" width="18.33203125" bestFit="1" customWidth="1"/>
    <col min="482" max="482" width="12.44140625" bestFit="1" customWidth="1"/>
    <col min="483" max="483" width="13.77734375" bestFit="1" customWidth="1"/>
    <col min="484" max="484" width="10.109375" bestFit="1" customWidth="1"/>
    <col min="485" max="486" width="14" bestFit="1" customWidth="1"/>
    <col min="487" max="488" width="9.77734375" bestFit="1" customWidth="1"/>
    <col min="489" max="489" width="12.44140625" bestFit="1" customWidth="1"/>
    <col min="490" max="490" width="9.77734375" bestFit="1" customWidth="1"/>
    <col min="491" max="491" width="18.33203125" bestFit="1" customWidth="1"/>
    <col min="492" max="494" width="9.77734375" bestFit="1" customWidth="1"/>
    <col min="495" max="495" width="13.77734375" bestFit="1" customWidth="1"/>
    <col min="496" max="496" width="11.33203125" bestFit="1" customWidth="1"/>
    <col min="497" max="497" width="14" bestFit="1" customWidth="1"/>
    <col min="498" max="498" width="12.44140625" bestFit="1" customWidth="1"/>
    <col min="499" max="499" width="11.33203125" bestFit="1" customWidth="1"/>
    <col min="500" max="501" width="9.77734375" bestFit="1" customWidth="1"/>
    <col min="502" max="503" width="13.77734375" bestFit="1" customWidth="1"/>
    <col min="504" max="504" width="9.77734375" bestFit="1" customWidth="1"/>
    <col min="505" max="505" width="11.33203125" bestFit="1" customWidth="1"/>
    <col min="506" max="506" width="9.77734375" bestFit="1" customWidth="1"/>
    <col min="507" max="507" width="13.77734375" bestFit="1" customWidth="1"/>
    <col min="508" max="508" width="18.33203125" bestFit="1" customWidth="1"/>
    <col min="509" max="509" width="11.33203125" bestFit="1" customWidth="1"/>
    <col min="510" max="511" width="9.77734375" bestFit="1" customWidth="1"/>
    <col min="512" max="512" width="14" bestFit="1" customWidth="1"/>
    <col min="513" max="513" width="13.77734375" bestFit="1" customWidth="1"/>
    <col min="514" max="514" width="9.77734375" bestFit="1" customWidth="1"/>
    <col min="515" max="515" width="13.77734375" bestFit="1" customWidth="1"/>
    <col min="516" max="517" width="18.33203125" bestFit="1" customWidth="1"/>
    <col min="518" max="519" width="14" bestFit="1" customWidth="1"/>
    <col min="520" max="520" width="10.109375" bestFit="1" customWidth="1"/>
    <col min="521" max="522" width="13.77734375" bestFit="1" customWidth="1"/>
    <col min="523" max="523" width="11.33203125" bestFit="1" customWidth="1"/>
    <col min="524" max="524" width="9.77734375" bestFit="1" customWidth="1"/>
    <col min="525" max="525" width="18.33203125" bestFit="1" customWidth="1"/>
    <col min="526" max="526" width="9.77734375" bestFit="1" customWidth="1"/>
    <col min="527" max="527" width="10.109375" bestFit="1" customWidth="1"/>
    <col min="528" max="528" width="9.77734375" bestFit="1" customWidth="1"/>
    <col min="529" max="530" width="14" bestFit="1" customWidth="1"/>
    <col min="531" max="531" width="13.77734375" bestFit="1" customWidth="1"/>
    <col min="532" max="532" width="9.77734375" bestFit="1" customWidth="1"/>
    <col min="533" max="533" width="14" bestFit="1" customWidth="1"/>
    <col min="534" max="534" width="13.77734375" bestFit="1" customWidth="1"/>
    <col min="535" max="535" width="10.109375" bestFit="1" customWidth="1"/>
    <col min="536" max="536" width="18.33203125" bestFit="1" customWidth="1"/>
    <col min="537" max="537" width="10.109375" bestFit="1" customWidth="1"/>
    <col min="538" max="538" width="18.33203125" bestFit="1" customWidth="1"/>
    <col min="539" max="539" width="10.109375" bestFit="1" customWidth="1"/>
    <col min="540" max="540" width="9.77734375" bestFit="1" customWidth="1"/>
    <col min="541" max="541" width="11.33203125" bestFit="1" customWidth="1"/>
    <col min="542" max="542" width="9.77734375" bestFit="1" customWidth="1"/>
    <col min="543" max="543" width="14" bestFit="1" customWidth="1"/>
    <col min="544" max="546" width="18.33203125" bestFit="1" customWidth="1"/>
    <col min="547" max="547" width="9.77734375" bestFit="1" customWidth="1"/>
    <col min="548" max="548" width="18.33203125" bestFit="1" customWidth="1"/>
    <col min="549" max="549" width="9.77734375" bestFit="1" customWidth="1"/>
    <col min="550" max="550" width="11.33203125" bestFit="1" customWidth="1"/>
    <col min="551" max="551" width="10.109375" bestFit="1" customWidth="1"/>
    <col min="552" max="553" width="18.33203125" bestFit="1" customWidth="1"/>
    <col min="554" max="554" width="10.109375" bestFit="1" customWidth="1"/>
    <col min="555" max="555" width="18.33203125" bestFit="1" customWidth="1"/>
    <col min="556" max="556" width="14" bestFit="1" customWidth="1"/>
    <col min="557" max="557" width="9.77734375" bestFit="1" customWidth="1"/>
    <col min="558" max="558" width="13.77734375" bestFit="1" customWidth="1"/>
    <col min="559" max="559" width="14" bestFit="1" customWidth="1"/>
    <col min="560" max="560" width="13.77734375" bestFit="1" customWidth="1"/>
    <col min="561" max="561" width="10.109375" bestFit="1" customWidth="1"/>
    <col min="562" max="562" width="18.33203125" bestFit="1" customWidth="1"/>
    <col min="563" max="563" width="13.77734375" bestFit="1" customWidth="1"/>
    <col min="564" max="564" width="9.77734375" bestFit="1" customWidth="1"/>
    <col min="565" max="565" width="13.77734375" bestFit="1" customWidth="1"/>
    <col min="566" max="566" width="11.33203125" bestFit="1" customWidth="1"/>
    <col min="567" max="567" width="12.44140625" bestFit="1" customWidth="1"/>
    <col min="568" max="568" width="9.77734375" bestFit="1" customWidth="1"/>
    <col min="569" max="570" width="18.33203125" bestFit="1" customWidth="1"/>
    <col min="571" max="571" width="11.33203125" bestFit="1" customWidth="1"/>
    <col min="572" max="572" width="14" bestFit="1" customWidth="1"/>
    <col min="573" max="573" width="10.109375" bestFit="1" customWidth="1"/>
    <col min="574" max="574" width="18.33203125" bestFit="1" customWidth="1"/>
    <col min="575" max="576" width="9.77734375" bestFit="1" customWidth="1"/>
    <col min="577" max="577" width="14" bestFit="1" customWidth="1"/>
    <col min="578" max="578" width="9.77734375" bestFit="1" customWidth="1"/>
    <col min="579" max="579" width="13.77734375" bestFit="1" customWidth="1"/>
    <col min="580" max="580" width="9.77734375" bestFit="1" customWidth="1"/>
    <col min="581" max="581" width="18.33203125" bestFit="1" customWidth="1"/>
    <col min="582" max="582" width="14" bestFit="1" customWidth="1"/>
    <col min="583" max="583" width="13.77734375" bestFit="1" customWidth="1"/>
    <col min="584" max="584" width="12.44140625" bestFit="1" customWidth="1"/>
    <col min="585" max="585" width="13.77734375" bestFit="1" customWidth="1"/>
    <col min="586" max="586" width="9.77734375" bestFit="1" customWidth="1"/>
    <col min="587" max="587" width="13.77734375" bestFit="1" customWidth="1"/>
    <col min="588" max="589" width="10.109375" bestFit="1" customWidth="1"/>
    <col min="590" max="590" width="14" bestFit="1" customWidth="1"/>
    <col min="591" max="591" width="10.109375" bestFit="1" customWidth="1"/>
    <col min="592" max="592" width="18.33203125" bestFit="1" customWidth="1"/>
    <col min="593" max="594" width="13.77734375" bestFit="1" customWidth="1"/>
    <col min="595" max="595" width="11.33203125" bestFit="1" customWidth="1"/>
    <col min="596" max="596" width="14" bestFit="1" customWidth="1"/>
    <col min="597" max="597" width="13.77734375" bestFit="1" customWidth="1"/>
    <col min="598" max="598" width="12.44140625" bestFit="1" customWidth="1"/>
    <col min="599" max="600" width="14" bestFit="1" customWidth="1"/>
    <col min="601" max="602" width="18.33203125" bestFit="1" customWidth="1"/>
    <col min="603" max="603" width="10.109375" bestFit="1" customWidth="1"/>
    <col min="604" max="604" width="9.77734375" bestFit="1" customWidth="1"/>
    <col min="605" max="605" width="11.33203125" bestFit="1" customWidth="1"/>
    <col min="606" max="606" width="18.33203125" bestFit="1" customWidth="1"/>
    <col min="607" max="607" width="9.77734375" bestFit="1" customWidth="1"/>
    <col min="608" max="608" width="10.109375" bestFit="1" customWidth="1"/>
    <col min="609" max="610" width="18.33203125" bestFit="1" customWidth="1"/>
    <col min="611" max="612" width="10.109375" bestFit="1" customWidth="1"/>
    <col min="613" max="613" width="9.77734375" bestFit="1" customWidth="1"/>
    <col min="614" max="614" width="14" bestFit="1" customWidth="1"/>
    <col min="615" max="615" width="13.77734375" bestFit="1" customWidth="1"/>
    <col min="616" max="616" width="14" bestFit="1" customWidth="1"/>
    <col min="617" max="617" width="13.77734375" bestFit="1" customWidth="1"/>
    <col min="618" max="619" width="18.33203125" bestFit="1" customWidth="1"/>
    <col min="620" max="620" width="10.109375" bestFit="1" customWidth="1"/>
    <col min="621" max="621" width="12.44140625" bestFit="1" customWidth="1"/>
    <col min="622" max="622" width="9.77734375" bestFit="1" customWidth="1"/>
    <col min="623" max="623" width="10.109375" bestFit="1" customWidth="1"/>
    <col min="624" max="624" width="13.77734375" bestFit="1" customWidth="1"/>
    <col min="625" max="625" width="18.33203125" bestFit="1" customWidth="1"/>
    <col min="626" max="626" width="10.109375" bestFit="1" customWidth="1"/>
    <col min="627" max="627" width="13.77734375" bestFit="1" customWidth="1"/>
    <col min="628" max="628" width="11.33203125" bestFit="1" customWidth="1"/>
    <col min="629" max="629" width="18.33203125" bestFit="1" customWidth="1"/>
    <col min="630" max="630" width="14" bestFit="1" customWidth="1"/>
    <col min="631" max="631" width="9.77734375" bestFit="1" customWidth="1"/>
    <col min="632" max="632" width="10.109375" bestFit="1" customWidth="1"/>
    <col min="633" max="633" width="18.33203125" bestFit="1" customWidth="1"/>
    <col min="634" max="634" width="14" bestFit="1" customWidth="1"/>
    <col min="635" max="636" width="9.77734375" bestFit="1" customWidth="1"/>
    <col min="637" max="638" width="18.33203125" bestFit="1" customWidth="1"/>
    <col min="639" max="639" width="13.77734375" bestFit="1" customWidth="1"/>
    <col min="640" max="640" width="9.77734375" bestFit="1" customWidth="1"/>
    <col min="641" max="641" width="14" bestFit="1" customWidth="1"/>
    <col min="642" max="642" width="13.77734375" bestFit="1" customWidth="1"/>
    <col min="643" max="645" width="18.33203125" bestFit="1" customWidth="1"/>
    <col min="646" max="646" width="9.77734375" bestFit="1" customWidth="1"/>
    <col min="647" max="647" width="18.33203125" bestFit="1" customWidth="1"/>
    <col min="648" max="648" width="10.109375" bestFit="1" customWidth="1"/>
    <col min="649" max="649" width="18.33203125" bestFit="1" customWidth="1"/>
    <col min="650" max="650" width="12.44140625" bestFit="1" customWidth="1"/>
    <col min="651" max="651" width="9.77734375" bestFit="1" customWidth="1"/>
    <col min="652" max="652" width="12.44140625" bestFit="1" customWidth="1"/>
    <col min="653" max="653" width="18.33203125" bestFit="1" customWidth="1"/>
    <col min="654" max="654" width="10.109375" bestFit="1" customWidth="1"/>
    <col min="655" max="655" width="14" bestFit="1" customWidth="1"/>
    <col min="656" max="656" width="18.33203125" bestFit="1" customWidth="1"/>
    <col min="657" max="657" width="11.33203125" bestFit="1" customWidth="1"/>
    <col min="658" max="658" width="9.77734375" bestFit="1" customWidth="1"/>
    <col min="659" max="660" width="14" bestFit="1" customWidth="1"/>
    <col min="661" max="661" width="13.77734375" bestFit="1" customWidth="1"/>
    <col min="662" max="662" width="9.77734375" bestFit="1" customWidth="1"/>
    <col min="663" max="663" width="10.109375" bestFit="1" customWidth="1"/>
    <col min="664" max="664" width="13.77734375" bestFit="1" customWidth="1"/>
    <col min="665" max="665" width="12.44140625" bestFit="1" customWidth="1"/>
    <col min="666" max="666" width="18.33203125" bestFit="1" customWidth="1"/>
    <col min="667" max="667" width="14" bestFit="1" customWidth="1"/>
    <col min="668" max="668" width="9.77734375" bestFit="1" customWidth="1"/>
    <col min="669" max="669" width="13.77734375" bestFit="1" customWidth="1"/>
    <col min="670" max="670" width="10.109375" bestFit="1" customWidth="1"/>
    <col min="671" max="671" width="13.77734375" bestFit="1" customWidth="1"/>
    <col min="672" max="672" width="9.77734375" bestFit="1" customWidth="1"/>
    <col min="673" max="673" width="12.44140625" bestFit="1" customWidth="1"/>
    <col min="674" max="674" width="14" bestFit="1" customWidth="1"/>
    <col min="675" max="675" width="13.77734375" bestFit="1" customWidth="1"/>
    <col min="676" max="676" width="12.44140625" bestFit="1" customWidth="1"/>
    <col min="677" max="677" width="18.33203125" bestFit="1" customWidth="1"/>
    <col min="678" max="678" width="14" bestFit="1" customWidth="1"/>
    <col min="679" max="679" width="13.77734375" bestFit="1" customWidth="1"/>
    <col min="680" max="680" width="12.44140625" bestFit="1" customWidth="1"/>
    <col min="681" max="681" width="13.77734375" bestFit="1" customWidth="1"/>
    <col min="682" max="682" width="9.77734375" bestFit="1" customWidth="1"/>
    <col min="683" max="683" width="18.33203125" bestFit="1" customWidth="1"/>
    <col min="684" max="684" width="12.44140625" bestFit="1" customWidth="1"/>
    <col min="685" max="686" width="13.77734375" bestFit="1" customWidth="1"/>
    <col min="687" max="688" width="10.109375" bestFit="1" customWidth="1"/>
    <col min="689" max="692" width="13.77734375" bestFit="1" customWidth="1"/>
    <col min="693" max="693" width="18.33203125" bestFit="1" customWidth="1"/>
    <col min="694" max="694" width="13.77734375" bestFit="1" customWidth="1"/>
    <col min="695" max="695" width="18.33203125" bestFit="1" customWidth="1"/>
    <col min="696" max="696" width="13.77734375" bestFit="1" customWidth="1"/>
    <col min="697" max="697" width="12.44140625" bestFit="1" customWidth="1"/>
    <col min="698" max="699" width="10.109375" bestFit="1" customWidth="1"/>
    <col min="700" max="702" width="13.77734375" bestFit="1" customWidth="1"/>
    <col min="703" max="703" width="10.109375" bestFit="1" customWidth="1"/>
    <col min="704" max="704" width="18.33203125" bestFit="1" customWidth="1"/>
    <col min="705" max="705" width="12.44140625" bestFit="1" customWidth="1"/>
    <col min="706" max="707" width="18.33203125" bestFit="1" customWidth="1"/>
    <col min="708" max="709" width="10.109375" bestFit="1" customWidth="1"/>
    <col min="710" max="711" width="14" bestFit="1" customWidth="1"/>
    <col min="712" max="712" width="18.33203125" bestFit="1" customWidth="1"/>
    <col min="713" max="713" width="13.77734375" bestFit="1" customWidth="1"/>
    <col min="714" max="714" width="12.44140625" bestFit="1" customWidth="1"/>
    <col min="715" max="716" width="9.77734375" bestFit="1" customWidth="1"/>
    <col min="717" max="717" width="18.33203125" bestFit="1" customWidth="1"/>
    <col min="718" max="718" width="10.109375" bestFit="1" customWidth="1"/>
    <col min="719" max="719" width="18.33203125" bestFit="1" customWidth="1"/>
    <col min="720" max="721" width="13.77734375" bestFit="1" customWidth="1"/>
    <col min="722" max="722" width="9.77734375" bestFit="1" customWidth="1"/>
    <col min="723" max="723" width="14" bestFit="1" customWidth="1"/>
    <col min="724" max="724" width="9.77734375" bestFit="1" customWidth="1"/>
    <col min="725" max="725" width="14" bestFit="1" customWidth="1"/>
    <col min="726" max="726" width="9.77734375" bestFit="1" customWidth="1"/>
    <col min="727" max="727" width="14" bestFit="1" customWidth="1"/>
    <col min="728" max="728" width="10.109375" bestFit="1" customWidth="1"/>
    <col min="729" max="729" width="11.33203125" bestFit="1" customWidth="1"/>
    <col min="730" max="730" width="14" bestFit="1" customWidth="1"/>
    <col min="731" max="731" width="9.77734375" bestFit="1" customWidth="1"/>
    <col min="732" max="732" width="10.109375" bestFit="1" customWidth="1"/>
    <col min="733" max="733" width="9.77734375" bestFit="1" customWidth="1"/>
    <col min="734" max="734" width="13.77734375" bestFit="1" customWidth="1"/>
    <col min="735" max="735" width="10.109375" bestFit="1" customWidth="1"/>
    <col min="736" max="736" width="12.44140625" bestFit="1" customWidth="1"/>
    <col min="737" max="737" width="14" bestFit="1" customWidth="1"/>
    <col min="738" max="738" width="18.33203125" bestFit="1" customWidth="1"/>
    <col min="739" max="739" width="9.77734375" bestFit="1" customWidth="1"/>
    <col min="740" max="740" width="18.33203125" bestFit="1" customWidth="1"/>
    <col min="741" max="741" width="14" bestFit="1" customWidth="1"/>
    <col min="742" max="742" width="10.109375" bestFit="1" customWidth="1"/>
    <col min="743" max="743" width="9.77734375" bestFit="1" customWidth="1"/>
    <col min="744" max="744" width="13.77734375" bestFit="1" customWidth="1"/>
    <col min="745" max="745" width="18.33203125" bestFit="1" customWidth="1"/>
    <col min="746" max="746" width="12.44140625" bestFit="1" customWidth="1"/>
    <col min="747" max="747" width="13.77734375" bestFit="1" customWidth="1"/>
    <col min="748" max="748" width="12.44140625" bestFit="1" customWidth="1"/>
    <col min="749" max="749" width="13.77734375" bestFit="1" customWidth="1"/>
    <col min="750" max="750" width="9.77734375" bestFit="1" customWidth="1"/>
    <col min="751" max="751" width="13.77734375" bestFit="1" customWidth="1"/>
    <col min="752" max="752" width="14" bestFit="1" customWidth="1"/>
    <col min="753" max="753" width="11.33203125" bestFit="1" customWidth="1"/>
    <col min="754" max="755" width="10.109375" bestFit="1" customWidth="1"/>
    <col min="756" max="756" width="18.33203125" bestFit="1" customWidth="1"/>
    <col min="757" max="757" width="14" bestFit="1" customWidth="1"/>
    <col min="758" max="759" width="9.77734375" bestFit="1" customWidth="1"/>
    <col min="760" max="760" width="14" bestFit="1" customWidth="1"/>
    <col min="761" max="761" width="13.77734375" bestFit="1" customWidth="1"/>
    <col min="762" max="762" width="10.109375" bestFit="1" customWidth="1"/>
    <col min="763" max="763" width="18.33203125" bestFit="1" customWidth="1"/>
    <col min="764" max="764" width="14" bestFit="1" customWidth="1"/>
    <col min="765" max="765" width="18.33203125" bestFit="1" customWidth="1"/>
    <col min="766" max="768" width="9.77734375" bestFit="1" customWidth="1"/>
    <col min="769" max="769" width="18.33203125" bestFit="1" customWidth="1"/>
    <col min="770" max="770" width="11.33203125" bestFit="1" customWidth="1"/>
    <col min="771" max="771" width="12.44140625" bestFit="1" customWidth="1"/>
    <col min="772" max="772" width="14" bestFit="1" customWidth="1"/>
    <col min="773" max="773" width="9.77734375" bestFit="1" customWidth="1"/>
    <col min="774" max="774" width="11.33203125" bestFit="1" customWidth="1"/>
    <col min="775" max="775" width="12.44140625" bestFit="1" customWidth="1"/>
    <col min="776" max="776" width="14" bestFit="1" customWidth="1"/>
    <col min="777" max="777" width="12.44140625" bestFit="1" customWidth="1"/>
    <col min="778" max="778" width="9.77734375" bestFit="1" customWidth="1"/>
    <col min="779" max="780" width="18.33203125" bestFit="1" customWidth="1"/>
    <col min="781" max="781" width="13.77734375" bestFit="1" customWidth="1"/>
    <col min="782" max="782" width="18.33203125" bestFit="1" customWidth="1"/>
    <col min="783" max="783" width="12.44140625" bestFit="1" customWidth="1"/>
    <col min="784" max="785" width="18.33203125" bestFit="1" customWidth="1"/>
    <col min="786" max="786" width="12.44140625" bestFit="1" customWidth="1"/>
    <col min="787" max="787" width="11.33203125" bestFit="1" customWidth="1"/>
    <col min="788" max="788" width="18.33203125" bestFit="1" customWidth="1"/>
    <col min="789" max="789" width="13.77734375" bestFit="1" customWidth="1"/>
    <col min="790" max="790" width="11.33203125" bestFit="1" customWidth="1"/>
    <col min="791" max="791" width="12.44140625" bestFit="1" customWidth="1"/>
    <col min="792" max="792" width="13.77734375" bestFit="1" customWidth="1"/>
    <col min="793" max="793" width="14" bestFit="1" customWidth="1"/>
    <col min="794" max="794" width="10.109375" bestFit="1" customWidth="1"/>
    <col min="795" max="796" width="18.33203125" bestFit="1" customWidth="1"/>
    <col min="797" max="798" width="11.33203125" bestFit="1" customWidth="1"/>
    <col min="799" max="799" width="13.77734375" bestFit="1" customWidth="1"/>
    <col min="800" max="800" width="18.33203125" bestFit="1" customWidth="1"/>
    <col min="801" max="801" width="13.77734375" bestFit="1" customWidth="1"/>
    <col min="802" max="803" width="18.33203125" bestFit="1" customWidth="1"/>
    <col min="804" max="804" width="10.109375" bestFit="1" customWidth="1"/>
    <col min="805" max="805" width="11.33203125" bestFit="1" customWidth="1"/>
    <col min="806" max="806" width="18.33203125" bestFit="1" customWidth="1"/>
    <col min="807" max="807" width="13.77734375" bestFit="1" customWidth="1"/>
    <col min="808" max="809" width="18.33203125" bestFit="1" customWidth="1"/>
    <col min="810" max="812" width="9.77734375" bestFit="1" customWidth="1"/>
    <col min="813" max="813" width="13.77734375" bestFit="1" customWidth="1"/>
    <col min="814" max="814" width="12.44140625" bestFit="1" customWidth="1"/>
    <col min="815" max="815" width="18.33203125" bestFit="1" customWidth="1"/>
    <col min="816" max="816" width="9.77734375" bestFit="1" customWidth="1"/>
    <col min="817" max="817" width="14" bestFit="1" customWidth="1"/>
    <col min="818" max="818" width="10.109375" bestFit="1" customWidth="1"/>
    <col min="819" max="819" width="18.33203125" bestFit="1" customWidth="1"/>
    <col min="820" max="820" width="13.77734375" bestFit="1" customWidth="1"/>
    <col min="821" max="821" width="18.33203125" bestFit="1" customWidth="1"/>
    <col min="822" max="823" width="9.77734375" bestFit="1" customWidth="1"/>
    <col min="824" max="824" width="14" bestFit="1" customWidth="1"/>
    <col min="825" max="825" width="9.77734375" bestFit="1" customWidth="1"/>
    <col min="826" max="826" width="11.33203125" bestFit="1" customWidth="1"/>
    <col min="827" max="827" width="9.77734375" bestFit="1" customWidth="1"/>
    <col min="828" max="828" width="18.33203125" bestFit="1" customWidth="1"/>
    <col min="829" max="829" width="9.77734375" bestFit="1" customWidth="1"/>
    <col min="830" max="830" width="18.33203125" bestFit="1" customWidth="1"/>
    <col min="831" max="832" width="13.77734375" bestFit="1" customWidth="1"/>
    <col min="833" max="834" width="9.77734375" bestFit="1" customWidth="1"/>
    <col min="835" max="835" width="18.33203125" bestFit="1" customWidth="1"/>
    <col min="836" max="838" width="13.77734375" bestFit="1" customWidth="1"/>
    <col min="839" max="839" width="12.44140625" bestFit="1" customWidth="1"/>
    <col min="840" max="840" width="10.109375" bestFit="1" customWidth="1"/>
    <col min="841" max="841" width="12.44140625" bestFit="1" customWidth="1"/>
    <col min="842" max="842" width="11.33203125" bestFit="1" customWidth="1"/>
    <col min="843" max="844" width="18.33203125" bestFit="1" customWidth="1"/>
    <col min="845" max="845" width="13.77734375" bestFit="1" customWidth="1"/>
    <col min="846" max="846" width="18.33203125" bestFit="1" customWidth="1"/>
    <col min="847" max="847" width="11.33203125" bestFit="1" customWidth="1"/>
    <col min="848" max="848" width="18.33203125" bestFit="1" customWidth="1"/>
    <col min="849" max="849" width="13.77734375" bestFit="1" customWidth="1"/>
    <col min="850" max="851" width="11.33203125" bestFit="1" customWidth="1"/>
    <col min="852" max="852" width="18.33203125" bestFit="1" customWidth="1"/>
    <col min="853" max="853" width="12.44140625" bestFit="1" customWidth="1"/>
    <col min="854" max="854" width="9.77734375" bestFit="1" customWidth="1"/>
    <col min="855" max="855" width="18.33203125" bestFit="1" customWidth="1"/>
    <col min="856" max="856" width="9.77734375" bestFit="1" customWidth="1"/>
    <col min="857" max="857" width="18.33203125" bestFit="1" customWidth="1"/>
    <col min="858" max="859" width="9.77734375" bestFit="1" customWidth="1"/>
    <col min="860" max="860" width="18.33203125" bestFit="1" customWidth="1"/>
    <col min="861" max="861" width="10.109375" bestFit="1" customWidth="1"/>
    <col min="862" max="862" width="13.77734375" bestFit="1" customWidth="1"/>
    <col min="863" max="863" width="10.109375" bestFit="1" customWidth="1"/>
    <col min="864" max="864" width="13.77734375" bestFit="1" customWidth="1"/>
    <col min="865" max="865" width="9.77734375" bestFit="1" customWidth="1"/>
    <col min="866" max="867" width="11.33203125" bestFit="1" customWidth="1"/>
    <col min="868" max="868" width="13.77734375" bestFit="1" customWidth="1"/>
    <col min="869" max="869" width="12.44140625" bestFit="1" customWidth="1"/>
    <col min="870" max="870" width="14" bestFit="1" customWidth="1"/>
    <col min="871" max="871" width="9.77734375" bestFit="1" customWidth="1"/>
    <col min="872" max="872" width="14" bestFit="1" customWidth="1"/>
    <col min="873" max="873" width="12.44140625" bestFit="1" customWidth="1"/>
    <col min="874" max="874" width="9.77734375" bestFit="1" customWidth="1"/>
    <col min="875" max="875" width="11.33203125" bestFit="1" customWidth="1"/>
    <col min="876" max="876" width="10.109375" bestFit="1" customWidth="1"/>
    <col min="877" max="878" width="9.77734375" bestFit="1" customWidth="1"/>
    <col min="879" max="879" width="14" bestFit="1" customWidth="1"/>
    <col min="880" max="880" width="9.77734375" bestFit="1" customWidth="1"/>
    <col min="881" max="881" width="12.44140625" bestFit="1" customWidth="1"/>
    <col min="882" max="882" width="11.33203125" bestFit="1" customWidth="1"/>
    <col min="883" max="883" width="9.77734375" bestFit="1" customWidth="1"/>
    <col min="884" max="884" width="18.33203125" bestFit="1" customWidth="1"/>
    <col min="885" max="886" width="13.77734375" bestFit="1" customWidth="1"/>
    <col min="887" max="887" width="11.33203125" bestFit="1" customWidth="1"/>
    <col min="888" max="889" width="9.77734375" bestFit="1" customWidth="1"/>
    <col min="890" max="890" width="18.33203125" bestFit="1" customWidth="1"/>
    <col min="891" max="891" width="9.77734375" bestFit="1" customWidth="1"/>
    <col min="892" max="892" width="10.109375" bestFit="1" customWidth="1"/>
    <col min="893" max="893" width="9.77734375" bestFit="1" customWidth="1"/>
    <col min="894" max="894" width="18.33203125" bestFit="1" customWidth="1"/>
    <col min="895" max="895" width="14" bestFit="1" customWidth="1"/>
    <col min="896" max="896" width="10.109375" bestFit="1" customWidth="1"/>
    <col min="897" max="899" width="14" bestFit="1" customWidth="1"/>
    <col min="900" max="901" width="9.77734375" bestFit="1" customWidth="1"/>
    <col min="902" max="904" width="18.33203125" bestFit="1" customWidth="1"/>
    <col min="905" max="905" width="13.77734375" bestFit="1" customWidth="1"/>
    <col min="906" max="906" width="18.33203125" bestFit="1" customWidth="1"/>
    <col min="907" max="907" width="14" bestFit="1" customWidth="1"/>
    <col min="908" max="908" width="11.33203125" bestFit="1" customWidth="1"/>
    <col min="909" max="910" width="12.44140625" bestFit="1" customWidth="1"/>
    <col min="911" max="911" width="18.33203125" bestFit="1" customWidth="1"/>
    <col min="912" max="912" width="9.77734375" bestFit="1" customWidth="1"/>
    <col min="913" max="913" width="12.44140625" bestFit="1" customWidth="1"/>
    <col min="914" max="914" width="10.109375" bestFit="1" customWidth="1"/>
    <col min="915" max="915" width="13.77734375" bestFit="1" customWidth="1"/>
    <col min="916" max="916" width="14" bestFit="1" customWidth="1"/>
    <col min="917" max="917" width="13.77734375" bestFit="1" customWidth="1"/>
    <col min="918" max="919" width="14" bestFit="1" customWidth="1"/>
    <col min="920" max="920" width="12.44140625" bestFit="1" customWidth="1"/>
    <col min="921" max="921" width="10.109375" bestFit="1" customWidth="1"/>
    <col min="922" max="922" width="9.77734375" bestFit="1" customWidth="1"/>
    <col min="923" max="923" width="10.109375" bestFit="1" customWidth="1"/>
    <col min="924" max="924" width="9.77734375" bestFit="1" customWidth="1"/>
    <col min="925" max="925" width="10.109375" bestFit="1" customWidth="1"/>
    <col min="926" max="926" width="18.33203125" bestFit="1" customWidth="1"/>
    <col min="927" max="927" width="10.109375" bestFit="1" customWidth="1"/>
    <col min="928" max="930" width="18.33203125" bestFit="1" customWidth="1"/>
    <col min="931" max="931" width="11.33203125" bestFit="1" customWidth="1"/>
    <col min="932" max="932" width="10.109375" bestFit="1" customWidth="1"/>
    <col min="933" max="933" width="14" bestFit="1" customWidth="1"/>
    <col min="934" max="934" width="13.77734375" bestFit="1" customWidth="1"/>
    <col min="935" max="935" width="9.77734375" bestFit="1" customWidth="1"/>
    <col min="936" max="936" width="12.44140625" bestFit="1" customWidth="1"/>
    <col min="937" max="937" width="13.77734375" bestFit="1" customWidth="1"/>
    <col min="938" max="938" width="12.44140625" bestFit="1" customWidth="1"/>
    <col min="939" max="939" width="9.77734375" bestFit="1" customWidth="1"/>
    <col min="940" max="940" width="14" bestFit="1" customWidth="1"/>
    <col min="941" max="942" width="9.77734375" bestFit="1" customWidth="1"/>
    <col min="943" max="943" width="11.33203125" bestFit="1" customWidth="1"/>
    <col min="944" max="945" width="18.33203125" bestFit="1" customWidth="1"/>
    <col min="946" max="946" width="12.44140625" bestFit="1" customWidth="1"/>
    <col min="947" max="948" width="18.33203125" bestFit="1" customWidth="1"/>
    <col min="949" max="949" width="9.77734375" bestFit="1" customWidth="1"/>
    <col min="950" max="950" width="14" bestFit="1" customWidth="1"/>
    <col min="951" max="951" width="12.44140625" bestFit="1" customWidth="1"/>
    <col min="952" max="952" width="13.77734375" bestFit="1" customWidth="1"/>
    <col min="953" max="954" width="12.44140625" bestFit="1" customWidth="1"/>
    <col min="955" max="955" width="11.33203125" bestFit="1" customWidth="1"/>
    <col min="956" max="956" width="9.77734375" bestFit="1" customWidth="1"/>
    <col min="957" max="957" width="14" bestFit="1" customWidth="1"/>
    <col min="958" max="958" width="13.77734375" bestFit="1" customWidth="1"/>
    <col min="959" max="959" width="12.44140625" bestFit="1" customWidth="1"/>
    <col min="960" max="960" width="18.33203125" bestFit="1" customWidth="1"/>
    <col min="961" max="961" width="9.77734375" bestFit="1" customWidth="1"/>
    <col min="962" max="962" width="14" bestFit="1" customWidth="1"/>
    <col min="963" max="964" width="13.77734375" bestFit="1" customWidth="1"/>
    <col min="965" max="966" width="18.33203125" bestFit="1" customWidth="1"/>
    <col min="967" max="968" width="10.109375" bestFit="1" customWidth="1"/>
    <col min="969" max="969" width="11.33203125" bestFit="1" customWidth="1"/>
    <col min="970" max="972" width="18.33203125" bestFit="1" customWidth="1"/>
    <col min="973" max="973" width="9.77734375" bestFit="1" customWidth="1"/>
    <col min="974" max="974" width="18.33203125" bestFit="1" customWidth="1"/>
    <col min="975" max="975" width="13.77734375" bestFit="1" customWidth="1"/>
    <col min="976" max="978" width="10.109375" bestFit="1" customWidth="1"/>
    <col min="979" max="979" width="13.77734375" bestFit="1" customWidth="1"/>
    <col min="980" max="980" width="14" bestFit="1" customWidth="1"/>
    <col min="981" max="981" width="9.77734375" bestFit="1" customWidth="1"/>
    <col min="982" max="982" width="13.77734375" bestFit="1" customWidth="1"/>
    <col min="983" max="983" width="9.77734375" bestFit="1" customWidth="1"/>
    <col min="984" max="985" width="12.44140625" bestFit="1" customWidth="1"/>
    <col min="986" max="987" width="13.77734375" bestFit="1" customWidth="1"/>
    <col min="988" max="988" width="18.33203125" bestFit="1" customWidth="1"/>
    <col min="989" max="989" width="13.77734375" bestFit="1" customWidth="1"/>
    <col min="990" max="990" width="18.33203125" bestFit="1" customWidth="1"/>
    <col min="991" max="991" width="14" bestFit="1" customWidth="1"/>
    <col min="992" max="992" width="12.44140625" bestFit="1" customWidth="1"/>
    <col min="993" max="993" width="13.77734375" bestFit="1" customWidth="1"/>
    <col min="994" max="995" width="12.44140625" bestFit="1" customWidth="1"/>
    <col min="996" max="996" width="14" bestFit="1" customWidth="1"/>
    <col min="997" max="997" width="13.77734375" bestFit="1" customWidth="1"/>
    <col min="998" max="998" width="11.33203125" bestFit="1" customWidth="1"/>
    <col min="999" max="1000" width="14" bestFit="1" customWidth="1"/>
    <col min="1001" max="1001" width="10.109375" bestFit="1" customWidth="1"/>
  </cols>
  <sheetData>
    <row r="1" spans="1:1001" ht="21" x14ac:dyDescent="0.3">
      <c r="A1" s="3" t="s">
        <v>0</v>
      </c>
      <c r="B1" s="2" t="s">
        <v>15</v>
      </c>
      <c r="C1" s="2" t="s">
        <v>23</v>
      </c>
      <c r="D1" s="2" t="s">
        <v>31</v>
      </c>
      <c r="E1" s="2" t="s">
        <v>36</v>
      </c>
      <c r="F1" s="2" t="s">
        <v>40</v>
      </c>
      <c r="G1" s="2" t="s">
        <v>42</v>
      </c>
      <c r="H1" s="2" t="s">
        <v>46</v>
      </c>
      <c r="I1" s="2" t="s">
        <v>48</v>
      </c>
      <c r="J1" s="2" t="s">
        <v>50</v>
      </c>
      <c r="K1" s="2" t="s">
        <v>53</v>
      </c>
      <c r="L1" s="2" t="s">
        <v>57</v>
      </c>
      <c r="M1" s="2" t="s">
        <v>59</v>
      </c>
      <c r="N1" s="2" t="s">
        <v>61</v>
      </c>
      <c r="O1" s="2" t="s">
        <v>63</v>
      </c>
      <c r="P1" s="2" t="s">
        <v>65</v>
      </c>
      <c r="Q1" s="2" t="s">
        <v>66</v>
      </c>
      <c r="R1" s="2" t="s">
        <v>69</v>
      </c>
      <c r="S1" s="2" t="s">
        <v>70</v>
      </c>
      <c r="T1" s="2" t="s">
        <v>71</v>
      </c>
      <c r="U1" s="2" t="s">
        <v>72</v>
      </c>
      <c r="V1" s="2" t="s">
        <v>73</v>
      </c>
      <c r="W1" s="2" t="s">
        <v>75</v>
      </c>
      <c r="X1" s="2" t="s">
        <v>77</v>
      </c>
      <c r="Y1" s="2" t="s">
        <v>79</v>
      </c>
      <c r="Z1" s="2" t="s">
        <v>80</v>
      </c>
      <c r="AA1" s="2" t="s">
        <v>81</v>
      </c>
      <c r="AB1" s="2" t="s">
        <v>83</v>
      </c>
      <c r="AC1" s="2" t="s">
        <v>84</v>
      </c>
      <c r="AD1" s="2" t="s">
        <v>85</v>
      </c>
      <c r="AE1" s="2" t="s">
        <v>87</v>
      </c>
      <c r="AF1" s="2" t="s">
        <v>88</v>
      </c>
      <c r="AG1" s="2" t="s">
        <v>89</v>
      </c>
      <c r="AH1" s="2" t="s">
        <v>91</v>
      </c>
      <c r="AI1" s="2" t="s">
        <v>92</v>
      </c>
      <c r="AJ1" s="2" t="s">
        <v>93</v>
      </c>
      <c r="AK1" s="2" t="s">
        <v>94</v>
      </c>
      <c r="AL1" s="2" t="s">
        <v>95</v>
      </c>
      <c r="AM1" s="2" t="s">
        <v>96</v>
      </c>
      <c r="AN1" s="2" t="s">
        <v>97</v>
      </c>
      <c r="AO1" s="2" t="s">
        <v>98</v>
      </c>
      <c r="AP1" s="2" t="s">
        <v>99</v>
      </c>
      <c r="AQ1" s="2" t="s">
        <v>100</v>
      </c>
      <c r="AR1" s="2" t="s">
        <v>101</v>
      </c>
      <c r="AS1" s="2" t="s">
        <v>102</v>
      </c>
      <c r="AT1" s="2" t="s">
        <v>103</v>
      </c>
      <c r="AU1" s="2" t="s">
        <v>104</v>
      </c>
      <c r="AV1" s="2" t="s">
        <v>105</v>
      </c>
      <c r="AW1" s="2" t="s">
        <v>106</v>
      </c>
      <c r="AX1" s="2" t="s">
        <v>107</v>
      </c>
      <c r="AY1" s="2" t="s">
        <v>108</v>
      </c>
      <c r="AZ1" s="2" t="s">
        <v>109</v>
      </c>
      <c r="BA1" s="2" t="s">
        <v>110</v>
      </c>
      <c r="BB1" s="2" t="s">
        <v>111</v>
      </c>
      <c r="BC1" s="2" t="s">
        <v>112</v>
      </c>
      <c r="BD1" s="2" t="s">
        <v>113</v>
      </c>
      <c r="BE1" s="2" t="s">
        <v>114</v>
      </c>
      <c r="BF1" s="2" t="s">
        <v>115</v>
      </c>
      <c r="BG1" s="2" t="s">
        <v>116</v>
      </c>
      <c r="BH1" s="2" t="s">
        <v>117</v>
      </c>
      <c r="BI1" s="2" t="s">
        <v>118</v>
      </c>
      <c r="BJ1" s="2" t="s">
        <v>119</v>
      </c>
      <c r="BK1" s="2" t="s">
        <v>120</v>
      </c>
      <c r="BL1" s="2" t="s">
        <v>121</v>
      </c>
      <c r="BM1" s="2" t="s">
        <v>122</v>
      </c>
      <c r="BN1" s="2" t="s">
        <v>123</v>
      </c>
      <c r="BO1" s="2" t="s">
        <v>124</v>
      </c>
      <c r="BP1" s="2" t="s">
        <v>125</v>
      </c>
      <c r="BQ1" s="2" t="s">
        <v>126</v>
      </c>
      <c r="BR1" s="2" t="s">
        <v>127</v>
      </c>
      <c r="BS1" s="2" t="s">
        <v>128</v>
      </c>
      <c r="BT1" s="2" t="s">
        <v>129</v>
      </c>
      <c r="BU1" s="2" t="s">
        <v>130</v>
      </c>
      <c r="BV1" s="2" t="s">
        <v>131</v>
      </c>
      <c r="BW1" s="2" t="s">
        <v>132</v>
      </c>
      <c r="BX1" s="2" t="s">
        <v>133</v>
      </c>
      <c r="BY1" s="2" t="s">
        <v>134</v>
      </c>
      <c r="BZ1" s="2" t="s">
        <v>135</v>
      </c>
      <c r="CA1" s="2" t="s">
        <v>136</v>
      </c>
      <c r="CB1" s="2" t="s">
        <v>137</v>
      </c>
      <c r="CC1" s="2" t="s">
        <v>138</v>
      </c>
      <c r="CD1" s="2" t="s">
        <v>139</v>
      </c>
      <c r="CE1" s="2" t="s">
        <v>140</v>
      </c>
      <c r="CF1" s="2" t="s">
        <v>141</v>
      </c>
      <c r="CG1" s="2" t="s">
        <v>142</v>
      </c>
      <c r="CH1" s="2" t="s">
        <v>143</v>
      </c>
      <c r="CI1" s="2" t="s">
        <v>144</v>
      </c>
      <c r="CJ1" s="2" t="s">
        <v>145</v>
      </c>
      <c r="CK1" s="2" t="s">
        <v>146</v>
      </c>
      <c r="CL1" s="2" t="s">
        <v>147</v>
      </c>
      <c r="CM1" s="2" t="s">
        <v>148</v>
      </c>
      <c r="CN1" s="2" t="s">
        <v>149</v>
      </c>
      <c r="CO1" s="2" t="s">
        <v>150</v>
      </c>
      <c r="CP1" s="2" t="s">
        <v>151</v>
      </c>
      <c r="CQ1" s="2" t="s">
        <v>152</v>
      </c>
      <c r="CR1" s="2" t="s">
        <v>153</v>
      </c>
      <c r="CS1" s="2" t="s">
        <v>154</v>
      </c>
      <c r="CT1" s="2" t="s">
        <v>155</v>
      </c>
      <c r="CU1" s="2" t="s">
        <v>156</v>
      </c>
      <c r="CV1" s="2" t="s">
        <v>157</v>
      </c>
      <c r="CW1" s="2" t="s">
        <v>158</v>
      </c>
      <c r="CX1" s="2" t="s">
        <v>159</v>
      </c>
      <c r="CY1" s="2" t="s">
        <v>160</v>
      </c>
      <c r="CZ1" s="2" t="s">
        <v>161</v>
      </c>
      <c r="DA1" s="2" t="s">
        <v>162</v>
      </c>
      <c r="DB1" s="2" t="s">
        <v>163</v>
      </c>
      <c r="DC1" s="2" t="s">
        <v>164</v>
      </c>
      <c r="DD1" s="2" t="s">
        <v>165</v>
      </c>
      <c r="DE1" s="2" t="s">
        <v>166</v>
      </c>
      <c r="DF1" s="2" t="s">
        <v>167</v>
      </c>
      <c r="DG1" s="2" t="s">
        <v>168</v>
      </c>
      <c r="DH1" s="2" t="s">
        <v>169</v>
      </c>
      <c r="DI1" s="2" t="s">
        <v>170</v>
      </c>
      <c r="DJ1" s="2" t="s">
        <v>171</v>
      </c>
      <c r="DK1" s="2" t="s">
        <v>172</v>
      </c>
      <c r="DL1" s="2" t="s">
        <v>173</v>
      </c>
      <c r="DM1" s="2" t="s">
        <v>174</v>
      </c>
      <c r="DN1" s="2" t="s">
        <v>175</v>
      </c>
      <c r="DO1" s="2" t="s">
        <v>176</v>
      </c>
      <c r="DP1" s="2" t="s">
        <v>177</v>
      </c>
      <c r="DQ1" s="2" t="s">
        <v>178</v>
      </c>
      <c r="DR1" s="2" t="s">
        <v>179</v>
      </c>
      <c r="DS1" s="2" t="s">
        <v>180</v>
      </c>
      <c r="DT1" s="2" t="s">
        <v>181</v>
      </c>
      <c r="DU1" s="2" t="s">
        <v>182</v>
      </c>
      <c r="DV1" s="2" t="s">
        <v>183</v>
      </c>
      <c r="DW1" s="2" t="s">
        <v>184</v>
      </c>
      <c r="DX1" s="2" t="s">
        <v>185</v>
      </c>
      <c r="DY1" s="2" t="s">
        <v>186</v>
      </c>
      <c r="DZ1" s="2" t="s">
        <v>187</v>
      </c>
      <c r="EA1" s="2" t="s">
        <v>188</v>
      </c>
      <c r="EB1" s="2" t="s">
        <v>189</v>
      </c>
      <c r="EC1" s="2" t="s">
        <v>190</v>
      </c>
      <c r="ED1" s="2" t="s">
        <v>191</v>
      </c>
      <c r="EE1" s="2" t="s">
        <v>192</v>
      </c>
      <c r="EF1" s="2" t="s">
        <v>193</v>
      </c>
      <c r="EG1" s="2" t="s">
        <v>194</v>
      </c>
      <c r="EH1" s="2" t="s">
        <v>195</v>
      </c>
      <c r="EI1" s="2" t="s">
        <v>196</v>
      </c>
      <c r="EJ1" s="2" t="s">
        <v>197</v>
      </c>
      <c r="EK1" s="2" t="s">
        <v>198</v>
      </c>
      <c r="EL1" s="2" t="s">
        <v>199</v>
      </c>
      <c r="EM1" s="2" t="s">
        <v>200</v>
      </c>
      <c r="EN1" s="2" t="s">
        <v>201</v>
      </c>
      <c r="EO1" s="2" t="s">
        <v>202</v>
      </c>
      <c r="EP1" s="2" t="s">
        <v>203</v>
      </c>
      <c r="EQ1" s="2" t="s">
        <v>204</v>
      </c>
      <c r="ER1" s="2" t="s">
        <v>205</v>
      </c>
      <c r="ES1" s="2" t="s">
        <v>206</v>
      </c>
      <c r="ET1" s="2" t="s">
        <v>207</v>
      </c>
      <c r="EU1" s="2" t="s">
        <v>208</v>
      </c>
      <c r="EV1" s="2" t="s">
        <v>209</v>
      </c>
      <c r="EW1" s="2" t="s">
        <v>210</v>
      </c>
      <c r="EX1" s="2" t="s">
        <v>211</v>
      </c>
      <c r="EY1" s="2" t="s">
        <v>212</v>
      </c>
      <c r="EZ1" s="2" t="s">
        <v>213</v>
      </c>
      <c r="FA1" s="2" t="s">
        <v>214</v>
      </c>
      <c r="FB1" s="2" t="s">
        <v>215</v>
      </c>
      <c r="FC1" s="2" t="s">
        <v>216</v>
      </c>
      <c r="FD1" s="2" t="s">
        <v>217</v>
      </c>
      <c r="FE1" s="2" t="s">
        <v>218</v>
      </c>
      <c r="FF1" s="2" t="s">
        <v>219</v>
      </c>
      <c r="FG1" s="2" t="s">
        <v>220</v>
      </c>
      <c r="FH1" s="2" t="s">
        <v>221</v>
      </c>
      <c r="FI1" s="2" t="s">
        <v>222</v>
      </c>
      <c r="FJ1" s="2" t="s">
        <v>223</v>
      </c>
      <c r="FK1" s="2" t="s">
        <v>224</v>
      </c>
      <c r="FL1" s="2" t="s">
        <v>225</v>
      </c>
      <c r="FM1" s="2" t="s">
        <v>226</v>
      </c>
      <c r="FN1" s="2" t="s">
        <v>227</v>
      </c>
      <c r="FO1" s="2" t="s">
        <v>228</v>
      </c>
      <c r="FP1" s="2" t="s">
        <v>229</v>
      </c>
      <c r="FQ1" s="2" t="s">
        <v>230</v>
      </c>
      <c r="FR1" s="2" t="s">
        <v>231</v>
      </c>
      <c r="FS1" s="2" t="s">
        <v>232</v>
      </c>
      <c r="FT1" s="2" t="s">
        <v>233</v>
      </c>
      <c r="FU1" s="2" t="s">
        <v>234</v>
      </c>
      <c r="FV1" s="2" t="s">
        <v>235</v>
      </c>
      <c r="FW1" s="2" t="s">
        <v>236</v>
      </c>
      <c r="FX1" s="2" t="s">
        <v>237</v>
      </c>
      <c r="FY1" s="2" t="s">
        <v>238</v>
      </c>
      <c r="FZ1" s="2" t="s">
        <v>239</v>
      </c>
      <c r="GA1" s="2" t="s">
        <v>240</v>
      </c>
      <c r="GB1" s="2" t="s">
        <v>241</v>
      </c>
      <c r="GC1" s="2" t="s">
        <v>242</v>
      </c>
      <c r="GD1" s="2" t="s">
        <v>243</v>
      </c>
      <c r="GE1" s="2" t="s">
        <v>244</v>
      </c>
      <c r="GF1" s="2" t="s">
        <v>245</v>
      </c>
      <c r="GG1" s="2" t="s">
        <v>246</v>
      </c>
      <c r="GH1" s="2" t="s">
        <v>247</v>
      </c>
      <c r="GI1" s="2" t="s">
        <v>248</v>
      </c>
      <c r="GJ1" s="2" t="s">
        <v>249</v>
      </c>
      <c r="GK1" s="2" t="s">
        <v>250</v>
      </c>
      <c r="GL1" s="2" t="s">
        <v>251</v>
      </c>
      <c r="GM1" s="2" t="s">
        <v>252</v>
      </c>
      <c r="GN1" s="2" t="s">
        <v>253</v>
      </c>
      <c r="GO1" s="2" t="s">
        <v>254</v>
      </c>
      <c r="GP1" s="2" t="s">
        <v>255</v>
      </c>
      <c r="GQ1" s="2" t="s">
        <v>256</v>
      </c>
      <c r="GR1" s="2" t="s">
        <v>257</v>
      </c>
      <c r="GS1" s="2" t="s">
        <v>258</v>
      </c>
      <c r="GT1" s="2" t="s">
        <v>259</v>
      </c>
      <c r="GU1" s="2" t="s">
        <v>260</v>
      </c>
      <c r="GV1" s="2" t="s">
        <v>261</v>
      </c>
      <c r="GW1" s="2" t="s">
        <v>262</v>
      </c>
      <c r="GX1" s="2" t="s">
        <v>263</v>
      </c>
      <c r="GY1" s="2" t="s">
        <v>264</v>
      </c>
      <c r="GZ1" s="2" t="s">
        <v>265</v>
      </c>
      <c r="HA1" s="2" t="s">
        <v>266</v>
      </c>
      <c r="HB1" s="2" t="s">
        <v>267</v>
      </c>
      <c r="HC1" s="2" t="s">
        <v>268</v>
      </c>
      <c r="HD1" s="2" t="s">
        <v>269</v>
      </c>
      <c r="HE1" s="2" t="s">
        <v>270</v>
      </c>
      <c r="HF1" s="2" t="s">
        <v>271</v>
      </c>
      <c r="HG1" s="2" t="s">
        <v>272</v>
      </c>
      <c r="HH1" s="2" t="s">
        <v>273</v>
      </c>
      <c r="HI1" s="2" t="s">
        <v>274</v>
      </c>
      <c r="HJ1" s="2" t="s">
        <v>275</v>
      </c>
      <c r="HK1" s="2" t="s">
        <v>276</v>
      </c>
      <c r="HL1" s="2" t="s">
        <v>277</v>
      </c>
      <c r="HM1" s="2" t="s">
        <v>278</v>
      </c>
      <c r="HN1" s="2" t="s">
        <v>279</v>
      </c>
      <c r="HO1" s="2" t="s">
        <v>280</v>
      </c>
      <c r="HP1" s="2" t="s">
        <v>281</v>
      </c>
      <c r="HQ1" s="2" t="s">
        <v>282</v>
      </c>
      <c r="HR1" s="2" t="s">
        <v>283</v>
      </c>
      <c r="HS1" s="2" t="s">
        <v>284</v>
      </c>
      <c r="HT1" s="2" t="s">
        <v>285</v>
      </c>
      <c r="HU1" s="2" t="s">
        <v>286</v>
      </c>
      <c r="HV1" s="2" t="s">
        <v>287</v>
      </c>
      <c r="HW1" s="2" t="s">
        <v>288</v>
      </c>
      <c r="HX1" s="2" t="s">
        <v>289</v>
      </c>
      <c r="HY1" s="2" t="s">
        <v>290</v>
      </c>
      <c r="HZ1" s="2" t="s">
        <v>291</v>
      </c>
      <c r="IA1" s="2" t="s">
        <v>292</v>
      </c>
      <c r="IB1" s="2" t="s">
        <v>293</v>
      </c>
      <c r="IC1" s="2" t="s">
        <v>294</v>
      </c>
      <c r="ID1" s="2" t="s">
        <v>295</v>
      </c>
      <c r="IE1" s="2" t="s">
        <v>296</v>
      </c>
      <c r="IF1" s="2" t="s">
        <v>297</v>
      </c>
      <c r="IG1" s="2" t="s">
        <v>298</v>
      </c>
      <c r="IH1" s="2" t="s">
        <v>299</v>
      </c>
      <c r="II1" s="2" t="s">
        <v>300</v>
      </c>
      <c r="IJ1" s="2" t="s">
        <v>301</v>
      </c>
      <c r="IK1" s="2" t="s">
        <v>302</v>
      </c>
      <c r="IL1" s="2" t="s">
        <v>303</v>
      </c>
      <c r="IM1" s="2" t="s">
        <v>304</v>
      </c>
      <c r="IN1" s="2" t="s">
        <v>305</v>
      </c>
      <c r="IO1" s="2" t="s">
        <v>306</v>
      </c>
      <c r="IP1" s="2" t="s">
        <v>307</v>
      </c>
      <c r="IQ1" s="2" t="s">
        <v>308</v>
      </c>
      <c r="IR1" s="2" t="s">
        <v>309</v>
      </c>
      <c r="IS1" s="2" t="s">
        <v>310</v>
      </c>
      <c r="IT1" s="2" t="s">
        <v>311</v>
      </c>
      <c r="IU1" s="2" t="s">
        <v>312</v>
      </c>
      <c r="IV1" s="2" t="s">
        <v>313</v>
      </c>
      <c r="IW1" s="2" t="s">
        <v>314</v>
      </c>
      <c r="IX1" s="2" t="s">
        <v>315</v>
      </c>
      <c r="IY1" s="2" t="s">
        <v>316</v>
      </c>
      <c r="IZ1" s="2" t="s">
        <v>317</v>
      </c>
      <c r="JA1" s="2" t="s">
        <v>318</v>
      </c>
      <c r="JB1" s="2" t="s">
        <v>319</v>
      </c>
      <c r="JC1" s="2" t="s">
        <v>320</v>
      </c>
      <c r="JD1" s="2" t="s">
        <v>321</v>
      </c>
      <c r="JE1" s="2" t="s">
        <v>322</v>
      </c>
      <c r="JF1" s="2" t="s">
        <v>323</v>
      </c>
      <c r="JG1" s="2" t="s">
        <v>324</v>
      </c>
      <c r="JH1" s="2" t="s">
        <v>325</v>
      </c>
      <c r="JI1" s="2" t="s">
        <v>326</v>
      </c>
      <c r="JJ1" s="2" t="s">
        <v>327</v>
      </c>
      <c r="JK1" s="2" t="s">
        <v>328</v>
      </c>
      <c r="JL1" s="2" t="s">
        <v>329</v>
      </c>
      <c r="JM1" s="2" t="s">
        <v>330</v>
      </c>
      <c r="JN1" s="2" t="s">
        <v>331</v>
      </c>
      <c r="JO1" s="2" t="s">
        <v>332</v>
      </c>
      <c r="JP1" s="2" t="s">
        <v>333</v>
      </c>
      <c r="JQ1" s="2" t="s">
        <v>334</v>
      </c>
      <c r="JR1" s="2" t="s">
        <v>335</v>
      </c>
      <c r="JS1" s="2" t="s">
        <v>336</v>
      </c>
      <c r="JT1" s="2" t="s">
        <v>337</v>
      </c>
      <c r="JU1" s="2" t="s">
        <v>338</v>
      </c>
      <c r="JV1" s="2" t="s">
        <v>339</v>
      </c>
      <c r="JW1" s="2" t="s">
        <v>340</v>
      </c>
      <c r="JX1" s="2" t="s">
        <v>341</v>
      </c>
      <c r="JY1" s="2" t="s">
        <v>342</v>
      </c>
      <c r="JZ1" s="2" t="s">
        <v>343</v>
      </c>
      <c r="KA1" s="2" t="s">
        <v>344</v>
      </c>
      <c r="KB1" s="2" t="s">
        <v>345</v>
      </c>
      <c r="KC1" s="2" t="s">
        <v>346</v>
      </c>
      <c r="KD1" s="2" t="s">
        <v>347</v>
      </c>
      <c r="KE1" s="2" t="s">
        <v>348</v>
      </c>
      <c r="KF1" s="2" t="s">
        <v>349</v>
      </c>
      <c r="KG1" s="2" t="s">
        <v>350</v>
      </c>
      <c r="KH1" s="2" t="s">
        <v>351</v>
      </c>
      <c r="KI1" s="2" t="s">
        <v>352</v>
      </c>
      <c r="KJ1" s="2" t="s">
        <v>353</v>
      </c>
      <c r="KK1" s="2" t="s">
        <v>354</v>
      </c>
      <c r="KL1" s="2" t="s">
        <v>355</v>
      </c>
      <c r="KM1" s="2" t="s">
        <v>356</v>
      </c>
      <c r="KN1" s="2" t="s">
        <v>357</v>
      </c>
      <c r="KO1" s="2" t="s">
        <v>358</v>
      </c>
      <c r="KP1" s="2" t="s">
        <v>359</v>
      </c>
      <c r="KQ1" s="2" t="s">
        <v>360</v>
      </c>
      <c r="KR1" s="2" t="s">
        <v>361</v>
      </c>
      <c r="KS1" s="2" t="s">
        <v>362</v>
      </c>
      <c r="KT1" s="2" t="s">
        <v>363</v>
      </c>
      <c r="KU1" s="2" t="s">
        <v>364</v>
      </c>
      <c r="KV1" s="2" t="s">
        <v>365</v>
      </c>
      <c r="KW1" s="2" t="s">
        <v>366</v>
      </c>
      <c r="KX1" s="2" t="s">
        <v>367</v>
      </c>
      <c r="KY1" s="2" t="s">
        <v>368</v>
      </c>
      <c r="KZ1" s="2" t="s">
        <v>369</v>
      </c>
      <c r="LA1" s="2" t="s">
        <v>370</v>
      </c>
      <c r="LB1" s="2" t="s">
        <v>371</v>
      </c>
      <c r="LC1" s="2" t="s">
        <v>372</v>
      </c>
      <c r="LD1" s="2" t="s">
        <v>373</v>
      </c>
      <c r="LE1" s="2" t="s">
        <v>374</v>
      </c>
      <c r="LF1" s="2" t="s">
        <v>375</v>
      </c>
      <c r="LG1" s="2" t="s">
        <v>376</v>
      </c>
      <c r="LH1" s="2" t="s">
        <v>377</v>
      </c>
      <c r="LI1" s="2" t="s">
        <v>378</v>
      </c>
      <c r="LJ1" s="2" t="s">
        <v>379</v>
      </c>
      <c r="LK1" s="2" t="s">
        <v>380</v>
      </c>
      <c r="LL1" s="2" t="s">
        <v>381</v>
      </c>
      <c r="LM1" s="2" t="s">
        <v>382</v>
      </c>
      <c r="LN1" s="2" t="s">
        <v>383</v>
      </c>
      <c r="LO1" s="2" t="s">
        <v>384</v>
      </c>
      <c r="LP1" s="2" t="s">
        <v>385</v>
      </c>
      <c r="LQ1" s="2" t="s">
        <v>386</v>
      </c>
      <c r="LR1" s="2" t="s">
        <v>387</v>
      </c>
      <c r="LS1" s="2" t="s">
        <v>388</v>
      </c>
      <c r="LT1" s="2" t="s">
        <v>389</v>
      </c>
      <c r="LU1" s="2" t="s">
        <v>390</v>
      </c>
      <c r="LV1" s="2" t="s">
        <v>391</v>
      </c>
      <c r="LW1" s="2" t="s">
        <v>392</v>
      </c>
      <c r="LX1" s="2" t="s">
        <v>393</v>
      </c>
      <c r="LY1" s="2" t="s">
        <v>394</v>
      </c>
      <c r="LZ1" s="2" t="s">
        <v>395</v>
      </c>
      <c r="MA1" s="2" t="s">
        <v>396</v>
      </c>
      <c r="MB1" s="2" t="s">
        <v>397</v>
      </c>
      <c r="MC1" s="2" t="s">
        <v>398</v>
      </c>
      <c r="MD1" s="2" t="s">
        <v>399</v>
      </c>
      <c r="ME1" s="2" t="s">
        <v>400</v>
      </c>
      <c r="MF1" s="2" t="s">
        <v>401</v>
      </c>
      <c r="MG1" s="2" t="s">
        <v>402</v>
      </c>
      <c r="MH1" s="2" t="s">
        <v>403</v>
      </c>
      <c r="MI1" s="2" t="s">
        <v>404</v>
      </c>
      <c r="MJ1" s="2" t="s">
        <v>405</v>
      </c>
      <c r="MK1" s="2" t="s">
        <v>406</v>
      </c>
      <c r="ML1" s="2" t="s">
        <v>407</v>
      </c>
      <c r="MM1" s="2" t="s">
        <v>408</v>
      </c>
      <c r="MN1" s="2" t="s">
        <v>409</v>
      </c>
      <c r="MO1" s="2" t="s">
        <v>410</v>
      </c>
      <c r="MP1" s="2" t="s">
        <v>411</v>
      </c>
      <c r="MQ1" s="2" t="s">
        <v>412</v>
      </c>
      <c r="MR1" s="2" t="s">
        <v>413</v>
      </c>
      <c r="MS1" s="2" t="s">
        <v>414</v>
      </c>
      <c r="MT1" s="2" t="s">
        <v>415</v>
      </c>
      <c r="MU1" s="2" t="s">
        <v>416</v>
      </c>
      <c r="MV1" s="2" t="s">
        <v>417</v>
      </c>
      <c r="MW1" s="2" t="s">
        <v>418</v>
      </c>
      <c r="MX1" s="2" t="s">
        <v>419</v>
      </c>
      <c r="MY1" s="2" t="s">
        <v>420</v>
      </c>
      <c r="MZ1" s="2" t="s">
        <v>421</v>
      </c>
      <c r="NA1" s="2" t="s">
        <v>422</v>
      </c>
      <c r="NB1" s="2" t="s">
        <v>423</v>
      </c>
      <c r="NC1" s="2" t="s">
        <v>424</v>
      </c>
      <c r="ND1" s="2" t="s">
        <v>425</v>
      </c>
      <c r="NE1" s="2" t="s">
        <v>426</v>
      </c>
      <c r="NF1" s="2" t="s">
        <v>427</v>
      </c>
      <c r="NG1" s="2" t="s">
        <v>428</v>
      </c>
      <c r="NH1" s="2" t="s">
        <v>429</v>
      </c>
      <c r="NI1" s="2" t="s">
        <v>430</v>
      </c>
      <c r="NJ1" s="2" t="s">
        <v>431</v>
      </c>
      <c r="NK1" s="2" t="s">
        <v>432</v>
      </c>
      <c r="NL1" s="2" t="s">
        <v>433</v>
      </c>
      <c r="NM1" s="2" t="s">
        <v>434</v>
      </c>
      <c r="NN1" s="2" t="s">
        <v>435</v>
      </c>
      <c r="NO1" s="2" t="s">
        <v>436</v>
      </c>
      <c r="NP1" s="2" t="s">
        <v>437</v>
      </c>
      <c r="NQ1" s="2" t="s">
        <v>438</v>
      </c>
      <c r="NR1" s="2" t="s">
        <v>439</v>
      </c>
      <c r="NS1" s="2" t="s">
        <v>440</v>
      </c>
      <c r="NT1" s="2" t="s">
        <v>441</v>
      </c>
      <c r="NU1" s="2" t="s">
        <v>442</v>
      </c>
      <c r="NV1" s="2" t="s">
        <v>443</v>
      </c>
      <c r="NW1" s="2" t="s">
        <v>444</v>
      </c>
      <c r="NX1" s="2" t="s">
        <v>445</v>
      </c>
      <c r="NY1" s="2" t="s">
        <v>446</v>
      </c>
      <c r="NZ1" s="2" t="s">
        <v>447</v>
      </c>
      <c r="OA1" s="2" t="s">
        <v>448</v>
      </c>
      <c r="OB1" s="2" t="s">
        <v>449</v>
      </c>
      <c r="OC1" s="2" t="s">
        <v>450</v>
      </c>
      <c r="OD1" s="2" t="s">
        <v>451</v>
      </c>
      <c r="OE1" s="2" t="s">
        <v>452</v>
      </c>
      <c r="OF1" s="2" t="s">
        <v>453</v>
      </c>
      <c r="OG1" s="2" t="s">
        <v>454</v>
      </c>
      <c r="OH1" s="2" t="s">
        <v>455</v>
      </c>
      <c r="OI1" s="2" t="s">
        <v>456</v>
      </c>
      <c r="OJ1" s="2" t="s">
        <v>457</v>
      </c>
      <c r="OK1" s="2" t="s">
        <v>458</v>
      </c>
      <c r="OL1" s="2" t="s">
        <v>459</v>
      </c>
      <c r="OM1" s="2" t="s">
        <v>460</v>
      </c>
      <c r="ON1" s="2" t="s">
        <v>461</v>
      </c>
      <c r="OO1" s="2" t="s">
        <v>462</v>
      </c>
      <c r="OP1" s="2" t="s">
        <v>463</v>
      </c>
      <c r="OQ1" s="2" t="s">
        <v>464</v>
      </c>
      <c r="OR1" s="2" t="s">
        <v>465</v>
      </c>
      <c r="OS1" s="2" t="s">
        <v>466</v>
      </c>
      <c r="OT1" s="2" t="s">
        <v>467</v>
      </c>
      <c r="OU1" s="2" t="s">
        <v>468</v>
      </c>
      <c r="OV1" s="2" t="s">
        <v>469</v>
      </c>
      <c r="OW1" s="2" t="s">
        <v>470</v>
      </c>
      <c r="OX1" s="2" t="s">
        <v>471</v>
      </c>
      <c r="OY1" s="2" t="s">
        <v>472</v>
      </c>
      <c r="OZ1" s="2" t="s">
        <v>473</v>
      </c>
      <c r="PA1" s="2" t="s">
        <v>474</v>
      </c>
      <c r="PB1" s="2" t="s">
        <v>475</v>
      </c>
      <c r="PC1" s="2" t="s">
        <v>476</v>
      </c>
      <c r="PD1" s="2" t="s">
        <v>477</v>
      </c>
      <c r="PE1" s="2" t="s">
        <v>478</v>
      </c>
      <c r="PF1" s="2" t="s">
        <v>479</v>
      </c>
      <c r="PG1" s="2" t="s">
        <v>480</v>
      </c>
      <c r="PH1" s="2" t="s">
        <v>481</v>
      </c>
      <c r="PI1" s="2" t="s">
        <v>482</v>
      </c>
      <c r="PJ1" s="2" t="s">
        <v>483</v>
      </c>
      <c r="PK1" s="2" t="s">
        <v>484</v>
      </c>
      <c r="PL1" s="2" t="s">
        <v>485</v>
      </c>
      <c r="PM1" s="2" t="s">
        <v>486</v>
      </c>
      <c r="PN1" s="2" t="s">
        <v>487</v>
      </c>
      <c r="PO1" s="2" t="s">
        <v>488</v>
      </c>
      <c r="PP1" s="2" t="s">
        <v>489</v>
      </c>
      <c r="PQ1" s="2" t="s">
        <v>490</v>
      </c>
      <c r="PR1" s="2" t="s">
        <v>491</v>
      </c>
      <c r="PS1" s="2" t="s">
        <v>492</v>
      </c>
      <c r="PT1" s="2" t="s">
        <v>493</v>
      </c>
      <c r="PU1" s="2" t="s">
        <v>494</v>
      </c>
      <c r="PV1" s="2" t="s">
        <v>495</v>
      </c>
      <c r="PW1" s="2" t="s">
        <v>496</v>
      </c>
      <c r="PX1" s="2" t="s">
        <v>497</v>
      </c>
      <c r="PY1" s="2" t="s">
        <v>498</v>
      </c>
      <c r="PZ1" s="2" t="s">
        <v>499</v>
      </c>
      <c r="QA1" s="2" t="s">
        <v>500</v>
      </c>
      <c r="QB1" s="2" t="s">
        <v>501</v>
      </c>
      <c r="QC1" s="2" t="s">
        <v>502</v>
      </c>
      <c r="QD1" s="2" t="s">
        <v>503</v>
      </c>
      <c r="QE1" s="2" t="s">
        <v>504</v>
      </c>
      <c r="QF1" s="2" t="s">
        <v>505</v>
      </c>
      <c r="QG1" s="2" t="s">
        <v>506</v>
      </c>
      <c r="QH1" s="2" t="s">
        <v>507</v>
      </c>
      <c r="QI1" s="2" t="s">
        <v>508</v>
      </c>
      <c r="QJ1" s="2" t="s">
        <v>509</v>
      </c>
      <c r="QK1" s="2" t="s">
        <v>510</v>
      </c>
      <c r="QL1" s="2" t="s">
        <v>511</v>
      </c>
      <c r="QM1" s="2" t="s">
        <v>512</v>
      </c>
      <c r="QN1" s="2" t="s">
        <v>513</v>
      </c>
      <c r="QO1" s="2" t="s">
        <v>514</v>
      </c>
      <c r="QP1" s="2" t="s">
        <v>515</v>
      </c>
      <c r="QQ1" s="2" t="s">
        <v>516</v>
      </c>
      <c r="QR1" s="2" t="s">
        <v>517</v>
      </c>
      <c r="QS1" s="2" t="s">
        <v>518</v>
      </c>
      <c r="QT1" s="2" t="s">
        <v>519</v>
      </c>
      <c r="QU1" s="2" t="s">
        <v>520</v>
      </c>
      <c r="QV1" s="2" t="s">
        <v>521</v>
      </c>
      <c r="QW1" s="2" t="s">
        <v>522</v>
      </c>
      <c r="QX1" s="2" t="s">
        <v>523</v>
      </c>
      <c r="QY1" s="2" t="s">
        <v>524</v>
      </c>
      <c r="QZ1" s="2" t="s">
        <v>525</v>
      </c>
      <c r="RA1" s="2" t="s">
        <v>526</v>
      </c>
      <c r="RB1" s="2" t="s">
        <v>527</v>
      </c>
      <c r="RC1" s="2" t="s">
        <v>528</v>
      </c>
      <c r="RD1" s="2" t="s">
        <v>529</v>
      </c>
      <c r="RE1" s="2" t="s">
        <v>530</v>
      </c>
      <c r="RF1" s="2" t="s">
        <v>531</v>
      </c>
      <c r="RG1" s="2" t="s">
        <v>532</v>
      </c>
      <c r="RH1" s="2" t="s">
        <v>533</v>
      </c>
      <c r="RI1" s="2" t="s">
        <v>534</v>
      </c>
      <c r="RJ1" s="2" t="s">
        <v>535</v>
      </c>
      <c r="RK1" s="2" t="s">
        <v>536</v>
      </c>
      <c r="RL1" s="2" t="s">
        <v>537</v>
      </c>
      <c r="RM1" s="2" t="s">
        <v>538</v>
      </c>
      <c r="RN1" s="2" t="s">
        <v>539</v>
      </c>
      <c r="RO1" s="2" t="s">
        <v>540</v>
      </c>
      <c r="RP1" s="2" t="s">
        <v>541</v>
      </c>
      <c r="RQ1" s="2" t="s">
        <v>542</v>
      </c>
      <c r="RR1" s="2" t="s">
        <v>543</v>
      </c>
      <c r="RS1" s="2" t="s">
        <v>544</v>
      </c>
      <c r="RT1" s="2" t="s">
        <v>545</v>
      </c>
      <c r="RU1" s="2" t="s">
        <v>546</v>
      </c>
      <c r="RV1" s="2" t="s">
        <v>547</v>
      </c>
      <c r="RW1" s="2" t="s">
        <v>548</v>
      </c>
      <c r="RX1" s="2" t="s">
        <v>549</v>
      </c>
      <c r="RY1" s="2" t="s">
        <v>550</v>
      </c>
      <c r="RZ1" s="2" t="s">
        <v>551</v>
      </c>
      <c r="SA1" s="2" t="s">
        <v>552</v>
      </c>
      <c r="SB1" s="2" t="s">
        <v>553</v>
      </c>
      <c r="SC1" s="2" t="s">
        <v>554</v>
      </c>
      <c r="SD1" s="2" t="s">
        <v>555</v>
      </c>
      <c r="SE1" s="2" t="s">
        <v>556</v>
      </c>
      <c r="SF1" s="2" t="s">
        <v>557</v>
      </c>
      <c r="SG1" s="2" t="s">
        <v>558</v>
      </c>
      <c r="SH1" s="2" t="s">
        <v>559</v>
      </c>
      <c r="SI1" s="2" t="s">
        <v>560</v>
      </c>
      <c r="SJ1" s="2" t="s">
        <v>561</v>
      </c>
      <c r="SK1" s="2" t="s">
        <v>562</v>
      </c>
      <c r="SL1" s="2" t="s">
        <v>563</v>
      </c>
      <c r="SM1" s="2" t="s">
        <v>564</v>
      </c>
      <c r="SN1" s="2" t="s">
        <v>565</v>
      </c>
      <c r="SO1" s="2" t="s">
        <v>566</v>
      </c>
      <c r="SP1" s="2" t="s">
        <v>567</v>
      </c>
      <c r="SQ1" s="2" t="s">
        <v>568</v>
      </c>
      <c r="SR1" s="2" t="s">
        <v>569</v>
      </c>
      <c r="SS1" s="2" t="s">
        <v>570</v>
      </c>
      <c r="ST1" s="2" t="s">
        <v>571</v>
      </c>
      <c r="SU1" s="2" t="s">
        <v>572</v>
      </c>
      <c r="SV1" s="2" t="s">
        <v>573</v>
      </c>
      <c r="SW1" s="2" t="s">
        <v>574</v>
      </c>
      <c r="SX1" s="2" t="s">
        <v>575</v>
      </c>
      <c r="SY1" s="2" t="s">
        <v>576</v>
      </c>
      <c r="SZ1" s="2" t="s">
        <v>577</v>
      </c>
      <c r="TA1" s="2" t="s">
        <v>578</v>
      </c>
      <c r="TB1" s="2" t="s">
        <v>579</v>
      </c>
      <c r="TC1" s="2" t="s">
        <v>580</v>
      </c>
      <c r="TD1" s="2" t="s">
        <v>581</v>
      </c>
      <c r="TE1" s="2" t="s">
        <v>582</v>
      </c>
      <c r="TF1" s="2" t="s">
        <v>583</v>
      </c>
      <c r="TG1" s="2" t="s">
        <v>584</v>
      </c>
      <c r="TH1" s="2" t="s">
        <v>585</v>
      </c>
      <c r="TI1" s="2" t="s">
        <v>586</v>
      </c>
      <c r="TJ1" s="2" t="s">
        <v>587</v>
      </c>
      <c r="TK1" s="2" t="s">
        <v>588</v>
      </c>
      <c r="TL1" s="2" t="s">
        <v>589</v>
      </c>
      <c r="TM1" s="2" t="s">
        <v>590</v>
      </c>
      <c r="TN1" s="2" t="s">
        <v>591</v>
      </c>
      <c r="TO1" s="2" t="s">
        <v>592</v>
      </c>
      <c r="TP1" s="2" t="s">
        <v>593</v>
      </c>
      <c r="TQ1" s="2" t="s">
        <v>594</v>
      </c>
      <c r="TR1" s="2" t="s">
        <v>595</v>
      </c>
      <c r="TS1" s="2" t="s">
        <v>596</v>
      </c>
      <c r="TT1" s="2" t="s">
        <v>597</v>
      </c>
      <c r="TU1" s="2" t="s">
        <v>598</v>
      </c>
      <c r="TV1" s="2" t="s">
        <v>599</v>
      </c>
      <c r="TW1" s="2" t="s">
        <v>600</v>
      </c>
      <c r="TX1" s="2" t="s">
        <v>601</v>
      </c>
      <c r="TY1" s="2" t="s">
        <v>602</v>
      </c>
      <c r="TZ1" s="2" t="s">
        <v>603</v>
      </c>
      <c r="UA1" s="2" t="s">
        <v>604</v>
      </c>
      <c r="UB1" s="2" t="s">
        <v>605</v>
      </c>
      <c r="UC1" s="2" t="s">
        <v>606</v>
      </c>
      <c r="UD1" s="2" t="s">
        <v>607</v>
      </c>
      <c r="UE1" s="2" t="s">
        <v>608</v>
      </c>
      <c r="UF1" s="2" t="s">
        <v>609</v>
      </c>
      <c r="UG1" s="2" t="s">
        <v>610</v>
      </c>
      <c r="UH1" s="2" t="s">
        <v>611</v>
      </c>
      <c r="UI1" s="2" t="s">
        <v>612</v>
      </c>
      <c r="UJ1" s="2" t="s">
        <v>613</v>
      </c>
      <c r="UK1" s="2" t="s">
        <v>614</v>
      </c>
      <c r="UL1" s="2" t="s">
        <v>615</v>
      </c>
      <c r="UM1" s="2" t="s">
        <v>616</v>
      </c>
      <c r="UN1" s="2" t="s">
        <v>617</v>
      </c>
      <c r="UO1" s="2" t="s">
        <v>618</v>
      </c>
      <c r="UP1" s="2" t="s">
        <v>619</v>
      </c>
      <c r="UQ1" s="2" t="s">
        <v>620</v>
      </c>
      <c r="UR1" s="2" t="s">
        <v>621</v>
      </c>
      <c r="US1" s="2" t="s">
        <v>622</v>
      </c>
      <c r="UT1" s="2" t="s">
        <v>623</v>
      </c>
      <c r="UU1" s="2" t="s">
        <v>624</v>
      </c>
      <c r="UV1" s="2" t="s">
        <v>625</v>
      </c>
      <c r="UW1" s="2" t="s">
        <v>626</v>
      </c>
      <c r="UX1" s="2" t="s">
        <v>627</v>
      </c>
      <c r="UY1" s="2" t="s">
        <v>628</v>
      </c>
      <c r="UZ1" s="2" t="s">
        <v>629</v>
      </c>
      <c r="VA1" s="2" t="s">
        <v>630</v>
      </c>
      <c r="VB1" s="2" t="s">
        <v>631</v>
      </c>
      <c r="VC1" s="2" t="s">
        <v>632</v>
      </c>
      <c r="VD1" s="2" t="s">
        <v>633</v>
      </c>
      <c r="VE1" s="2" t="s">
        <v>634</v>
      </c>
      <c r="VF1" s="2" t="s">
        <v>635</v>
      </c>
      <c r="VG1" s="2" t="s">
        <v>636</v>
      </c>
      <c r="VH1" s="2" t="s">
        <v>637</v>
      </c>
      <c r="VI1" s="2" t="s">
        <v>638</v>
      </c>
      <c r="VJ1" s="2" t="s">
        <v>639</v>
      </c>
      <c r="VK1" s="2" t="s">
        <v>640</v>
      </c>
      <c r="VL1" s="2" t="s">
        <v>641</v>
      </c>
      <c r="VM1" s="2" t="s">
        <v>642</v>
      </c>
      <c r="VN1" s="2" t="s">
        <v>643</v>
      </c>
      <c r="VO1" s="2" t="s">
        <v>644</v>
      </c>
      <c r="VP1" s="2" t="s">
        <v>645</v>
      </c>
      <c r="VQ1" s="2" t="s">
        <v>646</v>
      </c>
      <c r="VR1" s="2" t="s">
        <v>647</v>
      </c>
      <c r="VS1" s="2" t="s">
        <v>648</v>
      </c>
      <c r="VT1" s="2" t="s">
        <v>649</v>
      </c>
      <c r="VU1" s="2" t="s">
        <v>650</v>
      </c>
      <c r="VV1" s="2" t="s">
        <v>651</v>
      </c>
      <c r="VW1" s="2" t="s">
        <v>652</v>
      </c>
      <c r="VX1" s="2" t="s">
        <v>653</v>
      </c>
      <c r="VY1" s="2" t="s">
        <v>654</v>
      </c>
      <c r="VZ1" s="2" t="s">
        <v>655</v>
      </c>
      <c r="WA1" s="2" t="s">
        <v>656</v>
      </c>
      <c r="WB1" s="2" t="s">
        <v>657</v>
      </c>
      <c r="WC1" s="2" t="s">
        <v>658</v>
      </c>
      <c r="WD1" s="2" t="s">
        <v>659</v>
      </c>
      <c r="WE1" s="2" t="s">
        <v>660</v>
      </c>
      <c r="WF1" s="2" t="s">
        <v>661</v>
      </c>
      <c r="WG1" s="2" t="s">
        <v>662</v>
      </c>
      <c r="WH1" s="2" t="s">
        <v>663</v>
      </c>
      <c r="WI1" s="2" t="s">
        <v>664</v>
      </c>
      <c r="WJ1" s="2" t="s">
        <v>665</v>
      </c>
      <c r="WK1" s="2" t="s">
        <v>666</v>
      </c>
      <c r="WL1" s="2" t="s">
        <v>667</v>
      </c>
      <c r="WM1" s="2" t="s">
        <v>668</v>
      </c>
      <c r="WN1" s="2" t="s">
        <v>669</v>
      </c>
      <c r="WO1" s="2" t="s">
        <v>670</v>
      </c>
      <c r="WP1" s="2" t="s">
        <v>671</v>
      </c>
      <c r="WQ1" s="2" t="s">
        <v>672</v>
      </c>
      <c r="WR1" s="2" t="s">
        <v>673</v>
      </c>
      <c r="WS1" s="2" t="s">
        <v>674</v>
      </c>
      <c r="WT1" s="2" t="s">
        <v>675</v>
      </c>
      <c r="WU1" s="2" t="s">
        <v>676</v>
      </c>
      <c r="WV1" s="2" t="s">
        <v>677</v>
      </c>
      <c r="WW1" s="2" t="s">
        <v>678</v>
      </c>
      <c r="WX1" s="2" t="s">
        <v>679</v>
      </c>
      <c r="WY1" s="2" t="s">
        <v>680</v>
      </c>
      <c r="WZ1" s="2" t="s">
        <v>681</v>
      </c>
      <c r="XA1" s="2" t="s">
        <v>682</v>
      </c>
      <c r="XB1" s="2" t="s">
        <v>683</v>
      </c>
      <c r="XC1" s="2" t="s">
        <v>684</v>
      </c>
      <c r="XD1" s="2" t="s">
        <v>685</v>
      </c>
      <c r="XE1" s="2" t="s">
        <v>686</v>
      </c>
      <c r="XF1" s="2" t="s">
        <v>687</v>
      </c>
      <c r="XG1" s="2" t="s">
        <v>688</v>
      </c>
      <c r="XH1" s="2" t="s">
        <v>689</v>
      </c>
      <c r="XI1" s="2" t="s">
        <v>690</v>
      </c>
      <c r="XJ1" s="2" t="s">
        <v>691</v>
      </c>
      <c r="XK1" s="2" t="s">
        <v>692</v>
      </c>
      <c r="XL1" s="2" t="s">
        <v>693</v>
      </c>
      <c r="XM1" s="2" t="s">
        <v>694</v>
      </c>
      <c r="XN1" s="2" t="s">
        <v>695</v>
      </c>
      <c r="XO1" s="2" t="s">
        <v>696</v>
      </c>
      <c r="XP1" s="2" t="s">
        <v>697</v>
      </c>
      <c r="XQ1" s="2" t="s">
        <v>698</v>
      </c>
      <c r="XR1" s="2" t="s">
        <v>699</v>
      </c>
      <c r="XS1" s="2" t="s">
        <v>700</v>
      </c>
      <c r="XT1" s="2" t="s">
        <v>701</v>
      </c>
      <c r="XU1" s="2" t="s">
        <v>702</v>
      </c>
      <c r="XV1" s="2" t="s">
        <v>703</v>
      </c>
      <c r="XW1" s="2" t="s">
        <v>704</v>
      </c>
      <c r="XX1" s="2" t="s">
        <v>705</v>
      </c>
      <c r="XY1" s="2" t="s">
        <v>706</v>
      </c>
      <c r="XZ1" s="2" t="s">
        <v>707</v>
      </c>
      <c r="YA1" s="2" t="s">
        <v>708</v>
      </c>
      <c r="YB1" s="2" t="s">
        <v>709</v>
      </c>
      <c r="YC1" s="2" t="s">
        <v>710</v>
      </c>
      <c r="YD1" s="2" t="s">
        <v>711</v>
      </c>
      <c r="YE1" s="2" t="s">
        <v>712</v>
      </c>
      <c r="YF1" s="2" t="s">
        <v>713</v>
      </c>
      <c r="YG1" s="2" t="s">
        <v>714</v>
      </c>
      <c r="YH1" s="2" t="s">
        <v>715</v>
      </c>
      <c r="YI1" s="2" t="s">
        <v>716</v>
      </c>
      <c r="YJ1" s="2" t="s">
        <v>717</v>
      </c>
      <c r="YK1" s="2" t="s">
        <v>718</v>
      </c>
      <c r="YL1" s="2" t="s">
        <v>719</v>
      </c>
      <c r="YM1" s="2" t="s">
        <v>720</v>
      </c>
      <c r="YN1" s="2" t="s">
        <v>721</v>
      </c>
      <c r="YO1" s="2" t="s">
        <v>722</v>
      </c>
      <c r="YP1" s="2" t="s">
        <v>723</v>
      </c>
      <c r="YQ1" s="2" t="s">
        <v>724</v>
      </c>
      <c r="YR1" s="2" t="s">
        <v>725</v>
      </c>
      <c r="YS1" s="2" t="s">
        <v>726</v>
      </c>
      <c r="YT1" s="2" t="s">
        <v>727</v>
      </c>
      <c r="YU1" s="2" t="s">
        <v>728</v>
      </c>
      <c r="YV1" s="2" t="s">
        <v>729</v>
      </c>
      <c r="YW1" s="2" t="s">
        <v>730</v>
      </c>
      <c r="YX1" s="2" t="s">
        <v>731</v>
      </c>
      <c r="YY1" s="2" t="s">
        <v>732</v>
      </c>
      <c r="YZ1" s="2" t="s">
        <v>733</v>
      </c>
      <c r="ZA1" s="2" t="s">
        <v>734</v>
      </c>
      <c r="ZB1" s="2" t="s">
        <v>735</v>
      </c>
      <c r="ZC1" s="2" t="s">
        <v>736</v>
      </c>
      <c r="ZD1" s="2" t="s">
        <v>737</v>
      </c>
      <c r="ZE1" s="2" t="s">
        <v>738</v>
      </c>
      <c r="ZF1" s="2" t="s">
        <v>739</v>
      </c>
      <c r="ZG1" s="2" t="s">
        <v>740</v>
      </c>
      <c r="ZH1" s="2" t="s">
        <v>741</v>
      </c>
      <c r="ZI1" s="2" t="s">
        <v>742</v>
      </c>
      <c r="ZJ1" s="2" t="s">
        <v>743</v>
      </c>
      <c r="ZK1" s="2" t="s">
        <v>744</v>
      </c>
      <c r="ZL1" s="2" t="s">
        <v>745</v>
      </c>
      <c r="ZM1" s="2" t="s">
        <v>746</v>
      </c>
      <c r="ZN1" s="2" t="s">
        <v>747</v>
      </c>
      <c r="ZO1" s="2" t="s">
        <v>748</v>
      </c>
      <c r="ZP1" s="2" t="s">
        <v>749</v>
      </c>
      <c r="ZQ1" s="2" t="s">
        <v>750</v>
      </c>
      <c r="ZR1" s="2" t="s">
        <v>751</v>
      </c>
      <c r="ZS1" s="2" t="s">
        <v>752</v>
      </c>
      <c r="ZT1" s="2" t="s">
        <v>753</v>
      </c>
      <c r="ZU1" s="2" t="s">
        <v>754</v>
      </c>
      <c r="ZV1" s="2" t="s">
        <v>755</v>
      </c>
      <c r="ZW1" s="2" t="s">
        <v>756</v>
      </c>
      <c r="ZX1" s="2" t="s">
        <v>757</v>
      </c>
      <c r="ZY1" s="2" t="s">
        <v>758</v>
      </c>
      <c r="ZZ1" s="2" t="s">
        <v>759</v>
      </c>
      <c r="AAA1" s="2" t="s">
        <v>760</v>
      </c>
      <c r="AAB1" s="2" t="s">
        <v>761</v>
      </c>
      <c r="AAC1" s="2" t="s">
        <v>762</v>
      </c>
      <c r="AAD1" s="2" t="s">
        <v>763</v>
      </c>
      <c r="AAE1" s="2" t="s">
        <v>764</v>
      </c>
      <c r="AAF1" s="2" t="s">
        <v>765</v>
      </c>
      <c r="AAG1" s="2" t="s">
        <v>766</v>
      </c>
      <c r="AAH1" s="2" t="s">
        <v>767</v>
      </c>
      <c r="AAI1" s="2" t="s">
        <v>768</v>
      </c>
      <c r="AAJ1" s="2" t="s">
        <v>769</v>
      </c>
      <c r="AAK1" s="2" t="s">
        <v>770</v>
      </c>
      <c r="AAL1" s="2" t="s">
        <v>771</v>
      </c>
      <c r="AAM1" s="2" t="s">
        <v>772</v>
      </c>
      <c r="AAN1" s="2" t="s">
        <v>773</v>
      </c>
      <c r="AAO1" s="2" t="s">
        <v>774</v>
      </c>
      <c r="AAP1" s="2" t="s">
        <v>775</v>
      </c>
      <c r="AAQ1" s="2" t="s">
        <v>776</v>
      </c>
      <c r="AAR1" s="2" t="s">
        <v>777</v>
      </c>
      <c r="AAS1" s="2" t="s">
        <v>778</v>
      </c>
      <c r="AAT1" s="2" t="s">
        <v>779</v>
      </c>
      <c r="AAU1" s="2" t="s">
        <v>780</v>
      </c>
      <c r="AAV1" s="2" t="s">
        <v>781</v>
      </c>
      <c r="AAW1" s="2" t="s">
        <v>782</v>
      </c>
      <c r="AAX1" s="2" t="s">
        <v>783</v>
      </c>
      <c r="AAY1" s="2" t="s">
        <v>784</v>
      </c>
      <c r="AAZ1" s="2" t="s">
        <v>785</v>
      </c>
      <c r="ABA1" s="2" t="s">
        <v>786</v>
      </c>
      <c r="ABB1" s="2" t="s">
        <v>787</v>
      </c>
      <c r="ABC1" s="2" t="s">
        <v>788</v>
      </c>
      <c r="ABD1" s="2" t="s">
        <v>789</v>
      </c>
      <c r="ABE1" s="2" t="s">
        <v>790</v>
      </c>
      <c r="ABF1" s="2" t="s">
        <v>791</v>
      </c>
      <c r="ABG1" s="2" t="s">
        <v>792</v>
      </c>
      <c r="ABH1" s="2" t="s">
        <v>793</v>
      </c>
      <c r="ABI1" s="2" t="s">
        <v>794</v>
      </c>
      <c r="ABJ1" s="2" t="s">
        <v>795</v>
      </c>
      <c r="ABK1" s="2" t="s">
        <v>796</v>
      </c>
      <c r="ABL1" s="2" t="s">
        <v>797</v>
      </c>
      <c r="ABM1" s="2" t="s">
        <v>798</v>
      </c>
      <c r="ABN1" s="2" t="s">
        <v>799</v>
      </c>
      <c r="ABO1" s="2" t="s">
        <v>800</v>
      </c>
      <c r="ABP1" s="2" t="s">
        <v>801</v>
      </c>
      <c r="ABQ1" s="2" t="s">
        <v>802</v>
      </c>
      <c r="ABR1" s="2" t="s">
        <v>803</v>
      </c>
      <c r="ABS1" s="2" t="s">
        <v>804</v>
      </c>
      <c r="ABT1" s="2" t="s">
        <v>805</v>
      </c>
      <c r="ABU1" s="2" t="s">
        <v>806</v>
      </c>
      <c r="ABV1" s="2" t="s">
        <v>807</v>
      </c>
      <c r="ABW1" s="2" t="s">
        <v>808</v>
      </c>
      <c r="ABX1" s="2" t="s">
        <v>809</v>
      </c>
      <c r="ABY1" s="2" t="s">
        <v>810</v>
      </c>
      <c r="ABZ1" s="2" t="s">
        <v>811</v>
      </c>
      <c r="ACA1" s="2" t="s">
        <v>812</v>
      </c>
      <c r="ACB1" s="2" t="s">
        <v>813</v>
      </c>
      <c r="ACC1" s="2" t="s">
        <v>814</v>
      </c>
      <c r="ACD1" s="2" t="s">
        <v>815</v>
      </c>
      <c r="ACE1" s="2" t="s">
        <v>816</v>
      </c>
      <c r="ACF1" s="2" t="s">
        <v>817</v>
      </c>
      <c r="ACG1" s="2" t="s">
        <v>818</v>
      </c>
      <c r="ACH1" s="2" t="s">
        <v>819</v>
      </c>
      <c r="ACI1" s="2" t="s">
        <v>820</v>
      </c>
      <c r="ACJ1" s="2" t="s">
        <v>821</v>
      </c>
      <c r="ACK1" s="2" t="s">
        <v>822</v>
      </c>
      <c r="ACL1" s="2" t="s">
        <v>823</v>
      </c>
      <c r="ACM1" s="2" t="s">
        <v>824</v>
      </c>
      <c r="ACN1" s="2" t="s">
        <v>825</v>
      </c>
      <c r="ACO1" s="2" t="s">
        <v>826</v>
      </c>
      <c r="ACP1" s="2" t="s">
        <v>827</v>
      </c>
      <c r="ACQ1" s="2" t="s">
        <v>828</v>
      </c>
      <c r="ACR1" s="2" t="s">
        <v>829</v>
      </c>
      <c r="ACS1" s="2" t="s">
        <v>830</v>
      </c>
      <c r="ACT1" s="2" t="s">
        <v>831</v>
      </c>
      <c r="ACU1" s="2" t="s">
        <v>832</v>
      </c>
      <c r="ACV1" s="2" t="s">
        <v>833</v>
      </c>
      <c r="ACW1" s="2" t="s">
        <v>834</v>
      </c>
      <c r="ACX1" s="2" t="s">
        <v>835</v>
      </c>
      <c r="ACY1" s="2" t="s">
        <v>836</v>
      </c>
      <c r="ACZ1" s="2" t="s">
        <v>837</v>
      </c>
      <c r="ADA1" s="2" t="s">
        <v>838</v>
      </c>
      <c r="ADB1" s="2" t="s">
        <v>839</v>
      </c>
      <c r="ADC1" s="2" t="s">
        <v>840</v>
      </c>
      <c r="ADD1" s="2" t="s">
        <v>841</v>
      </c>
      <c r="ADE1" s="2" t="s">
        <v>842</v>
      </c>
      <c r="ADF1" s="2" t="s">
        <v>843</v>
      </c>
      <c r="ADG1" s="2" t="s">
        <v>844</v>
      </c>
      <c r="ADH1" s="2" t="s">
        <v>845</v>
      </c>
      <c r="ADI1" s="2" t="s">
        <v>846</v>
      </c>
      <c r="ADJ1" s="2" t="s">
        <v>847</v>
      </c>
      <c r="ADK1" s="2" t="s">
        <v>848</v>
      </c>
      <c r="ADL1" s="2" t="s">
        <v>849</v>
      </c>
      <c r="ADM1" s="2" t="s">
        <v>850</v>
      </c>
      <c r="ADN1" s="2" t="s">
        <v>851</v>
      </c>
      <c r="ADO1" s="2" t="s">
        <v>852</v>
      </c>
      <c r="ADP1" s="2" t="s">
        <v>853</v>
      </c>
      <c r="ADQ1" s="2" t="s">
        <v>854</v>
      </c>
      <c r="ADR1" s="2" t="s">
        <v>855</v>
      </c>
      <c r="ADS1" s="2" t="s">
        <v>856</v>
      </c>
      <c r="ADT1" s="2" t="s">
        <v>857</v>
      </c>
      <c r="ADU1" s="2" t="s">
        <v>858</v>
      </c>
      <c r="ADV1" s="2" t="s">
        <v>859</v>
      </c>
      <c r="ADW1" s="2" t="s">
        <v>860</v>
      </c>
      <c r="ADX1" s="2" t="s">
        <v>861</v>
      </c>
      <c r="ADY1" s="2" t="s">
        <v>862</v>
      </c>
      <c r="ADZ1" s="2" t="s">
        <v>863</v>
      </c>
      <c r="AEA1" s="2" t="s">
        <v>864</v>
      </c>
      <c r="AEB1" s="2" t="s">
        <v>865</v>
      </c>
      <c r="AEC1" s="2" t="s">
        <v>866</v>
      </c>
      <c r="AED1" s="2" t="s">
        <v>867</v>
      </c>
      <c r="AEE1" s="2" t="s">
        <v>868</v>
      </c>
      <c r="AEF1" s="2" t="s">
        <v>869</v>
      </c>
      <c r="AEG1" s="2" t="s">
        <v>870</v>
      </c>
      <c r="AEH1" s="2" t="s">
        <v>871</v>
      </c>
      <c r="AEI1" s="2" t="s">
        <v>872</v>
      </c>
      <c r="AEJ1" s="2" t="s">
        <v>873</v>
      </c>
      <c r="AEK1" s="2" t="s">
        <v>874</v>
      </c>
      <c r="AEL1" s="2" t="s">
        <v>875</v>
      </c>
      <c r="AEM1" s="2" t="s">
        <v>876</v>
      </c>
      <c r="AEN1" s="2" t="s">
        <v>877</v>
      </c>
      <c r="AEO1" s="2" t="s">
        <v>878</v>
      </c>
      <c r="AEP1" s="2" t="s">
        <v>879</v>
      </c>
      <c r="AEQ1" s="2" t="s">
        <v>880</v>
      </c>
      <c r="AER1" s="2" t="s">
        <v>881</v>
      </c>
      <c r="AES1" s="2" t="s">
        <v>882</v>
      </c>
      <c r="AET1" s="2" t="s">
        <v>883</v>
      </c>
      <c r="AEU1" s="2" t="s">
        <v>884</v>
      </c>
      <c r="AEV1" s="2" t="s">
        <v>885</v>
      </c>
      <c r="AEW1" s="2" t="s">
        <v>886</v>
      </c>
      <c r="AEX1" s="2" t="s">
        <v>887</v>
      </c>
      <c r="AEY1" s="2" t="s">
        <v>888</v>
      </c>
      <c r="AEZ1" s="2" t="s">
        <v>889</v>
      </c>
      <c r="AFA1" s="2" t="s">
        <v>890</v>
      </c>
      <c r="AFB1" s="2" t="s">
        <v>891</v>
      </c>
      <c r="AFC1" s="2" t="s">
        <v>892</v>
      </c>
      <c r="AFD1" s="2" t="s">
        <v>893</v>
      </c>
      <c r="AFE1" s="2" t="s">
        <v>894</v>
      </c>
      <c r="AFF1" s="2" t="s">
        <v>895</v>
      </c>
      <c r="AFG1" s="2" t="s">
        <v>896</v>
      </c>
      <c r="AFH1" s="2" t="s">
        <v>897</v>
      </c>
      <c r="AFI1" s="2" t="s">
        <v>898</v>
      </c>
      <c r="AFJ1" s="2" t="s">
        <v>899</v>
      </c>
      <c r="AFK1" s="2" t="s">
        <v>900</v>
      </c>
      <c r="AFL1" s="2" t="s">
        <v>901</v>
      </c>
      <c r="AFM1" s="2" t="s">
        <v>902</v>
      </c>
      <c r="AFN1" s="2" t="s">
        <v>903</v>
      </c>
      <c r="AFO1" s="2" t="s">
        <v>904</v>
      </c>
      <c r="AFP1" s="2" t="s">
        <v>905</v>
      </c>
      <c r="AFQ1" s="2" t="s">
        <v>906</v>
      </c>
      <c r="AFR1" s="2" t="s">
        <v>907</v>
      </c>
      <c r="AFS1" s="2" t="s">
        <v>908</v>
      </c>
      <c r="AFT1" s="2" t="s">
        <v>909</v>
      </c>
      <c r="AFU1" s="2" t="s">
        <v>910</v>
      </c>
      <c r="AFV1" s="2" t="s">
        <v>911</v>
      </c>
      <c r="AFW1" s="2" t="s">
        <v>912</v>
      </c>
      <c r="AFX1" s="2" t="s">
        <v>913</v>
      </c>
      <c r="AFY1" s="2" t="s">
        <v>914</v>
      </c>
      <c r="AFZ1" s="2" t="s">
        <v>915</v>
      </c>
      <c r="AGA1" s="2" t="s">
        <v>916</v>
      </c>
      <c r="AGB1" s="2" t="s">
        <v>917</v>
      </c>
      <c r="AGC1" s="2" t="s">
        <v>918</v>
      </c>
      <c r="AGD1" s="2" t="s">
        <v>919</v>
      </c>
      <c r="AGE1" s="2" t="s">
        <v>920</v>
      </c>
      <c r="AGF1" s="2" t="s">
        <v>921</v>
      </c>
      <c r="AGG1" s="2" t="s">
        <v>922</v>
      </c>
      <c r="AGH1" s="2" t="s">
        <v>923</v>
      </c>
      <c r="AGI1" s="2" t="s">
        <v>924</v>
      </c>
      <c r="AGJ1" s="2" t="s">
        <v>925</v>
      </c>
      <c r="AGK1" s="2" t="s">
        <v>926</v>
      </c>
      <c r="AGL1" s="2" t="s">
        <v>927</v>
      </c>
      <c r="AGM1" s="2" t="s">
        <v>928</v>
      </c>
      <c r="AGN1" s="2" t="s">
        <v>929</v>
      </c>
      <c r="AGO1" s="2" t="s">
        <v>930</v>
      </c>
      <c r="AGP1" s="2" t="s">
        <v>931</v>
      </c>
      <c r="AGQ1" s="2" t="s">
        <v>932</v>
      </c>
      <c r="AGR1" s="2" t="s">
        <v>933</v>
      </c>
      <c r="AGS1" s="2" t="s">
        <v>934</v>
      </c>
      <c r="AGT1" s="2" t="s">
        <v>935</v>
      </c>
      <c r="AGU1" s="2" t="s">
        <v>936</v>
      </c>
      <c r="AGV1" s="2" t="s">
        <v>937</v>
      </c>
      <c r="AGW1" s="2" t="s">
        <v>938</v>
      </c>
      <c r="AGX1" s="2" t="s">
        <v>939</v>
      </c>
      <c r="AGY1" s="2" t="s">
        <v>940</v>
      </c>
      <c r="AGZ1" s="2" t="s">
        <v>941</v>
      </c>
      <c r="AHA1" s="2" t="s">
        <v>942</v>
      </c>
      <c r="AHB1" s="2" t="s">
        <v>943</v>
      </c>
      <c r="AHC1" s="2" t="s">
        <v>944</v>
      </c>
      <c r="AHD1" s="2" t="s">
        <v>945</v>
      </c>
      <c r="AHE1" s="2" t="s">
        <v>946</v>
      </c>
      <c r="AHF1" s="2" t="s">
        <v>947</v>
      </c>
      <c r="AHG1" s="2" t="s">
        <v>948</v>
      </c>
      <c r="AHH1" s="2" t="s">
        <v>949</v>
      </c>
      <c r="AHI1" s="2" t="s">
        <v>950</v>
      </c>
      <c r="AHJ1" s="2" t="s">
        <v>951</v>
      </c>
      <c r="AHK1" s="2" t="s">
        <v>952</v>
      </c>
      <c r="AHL1" s="2" t="s">
        <v>953</v>
      </c>
      <c r="AHM1" s="2" t="s">
        <v>954</v>
      </c>
      <c r="AHN1" s="2" t="s">
        <v>955</v>
      </c>
      <c r="AHO1" s="2" t="s">
        <v>956</v>
      </c>
      <c r="AHP1" s="2" t="s">
        <v>957</v>
      </c>
      <c r="AHQ1" s="2" t="s">
        <v>958</v>
      </c>
      <c r="AHR1" s="2" t="s">
        <v>959</v>
      </c>
      <c r="AHS1" s="2" t="s">
        <v>960</v>
      </c>
      <c r="AHT1" s="2" t="s">
        <v>961</v>
      </c>
      <c r="AHU1" s="2" t="s">
        <v>962</v>
      </c>
      <c r="AHV1" s="2" t="s">
        <v>963</v>
      </c>
      <c r="AHW1" s="2" t="s">
        <v>964</v>
      </c>
      <c r="AHX1" s="2" t="s">
        <v>965</v>
      </c>
      <c r="AHY1" s="2" t="s">
        <v>966</v>
      </c>
      <c r="AHZ1" s="2" t="s">
        <v>967</v>
      </c>
      <c r="AIA1" s="2" t="s">
        <v>968</v>
      </c>
      <c r="AIB1" s="2" t="s">
        <v>969</v>
      </c>
      <c r="AIC1" s="2" t="s">
        <v>970</v>
      </c>
      <c r="AID1" s="2" t="s">
        <v>971</v>
      </c>
      <c r="AIE1" s="2" t="s">
        <v>972</v>
      </c>
      <c r="AIF1" s="2" t="s">
        <v>973</v>
      </c>
      <c r="AIG1" s="2" t="s">
        <v>974</v>
      </c>
      <c r="AIH1" s="2" t="s">
        <v>975</v>
      </c>
      <c r="AII1" s="2" t="s">
        <v>976</v>
      </c>
      <c r="AIJ1" s="2" t="s">
        <v>977</v>
      </c>
      <c r="AIK1" s="2" t="s">
        <v>978</v>
      </c>
      <c r="AIL1" s="2" t="s">
        <v>979</v>
      </c>
      <c r="AIM1" s="2" t="s">
        <v>980</v>
      </c>
      <c r="AIN1" s="2" t="s">
        <v>981</v>
      </c>
      <c r="AIO1" s="2" t="s">
        <v>982</v>
      </c>
      <c r="AIP1" s="2" t="s">
        <v>983</v>
      </c>
      <c r="AIQ1" s="2" t="s">
        <v>984</v>
      </c>
      <c r="AIR1" s="2" t="s">
        <v>985</v>
      </c>
      <c r="AIS1" s="2" t="s">
        <v>986</v>
      </c>
      <c r="AIT1" s="2" t="s">
        <v>987</v>
      </c>
      <c r="AIU1" s="2" t="s">
        <v>988</v>
      </c>
      <c r="AIV1" s="2" t="s">
        <v>989</v>
      </c>
      <c r="AIW1" s="2" t="s">
        <v>990</v>
      </c>
      <c r="AIX1" s="2" t="s">
        <v>991</v>
      </c>
      <c r="AIY1" s="2" t="s">
        <v>992</v>
      </c>
      <c r="AIZ1" s="2" t="s">
        <v>993</v>
      </c>
      <c r="AJA1" s="2" t="s">
        <v>994</v>
      </c>
      <c r="AJB1" s="2" t="s">
        <v>995</v>
      </c>
      <c r="AJC1" s="2" t="s">
        <v>996</v>
      </c>
      <c r="AJD1" s="2" t="s">
        <v>997</v>
      </c>
      <c r="AJE1" s="2" t="s">
        <v>998</v>
      </c>
      <c r="AJF1" s="2" t="s">
        <v>999</v>
      </c>
      <c r="AJG1" s="2" t="s">
        <v>1000</v>
      </c>
      <c r="AJH1" s="2" t="s">
        <v>1001</v>
      </c>
      <c r="AJI1" s="2" t="s">
        <v>1002</v>
      </c>
      <c r="AJJ1" s="2" t="s">
        <v>1003</v>
      </c>
      <c r="AJK1" s="2" t="s">
        <v>1004</v>
      </c>
      <c r="AJL1" s="2" t="s">
        <v>1005</v>
      </c>
      <c r="AJM1" s="2" t="s">
        <v>1006</v>
      </c>
      <c r="AJN1" s="2" t="s">
        <v>1007</v>
      </c>
      <c r="AJO1" s="2" t="s">
        <v>1008</v>
      </c>
      <c r="AJP1" s="2" t="s">
        <v>1009</v>
      </c>
      <c r="AJQ1" s="2" t="s">
        <v>1010</v>
      </c>
      <c r="AJR1" s="2" t="s">
        <v>1011</v>
      </c>
      <c r="AJS1" s="2" t="s">
        <v>1012</v>
      </c>
      <c r="AJT1" s="2" t="s">
        <v>1013</v>
      </c>
      <c r="AJU1" s="2" t="s">
        <v>1014</v>
      </c>
      <c r="AJV1" s="2" t="s">
        <v>1015</v>
      </c>
      <c r="AJW1" s="2" t="s">
        <v>1016</v>
      </c>
      <c r="AJX1" s="2" t="s">
        <v>1017</v>
      </c>
      <c r="AJY1" s="2" t="s">
        <v>1018</v>
      </c>
      <c r="AJZ1" s="2" t="s">
        <v>1019</v>
      </c>
      <c r="AKA1" s="2" t="s">
        <v>1020</v>
      </c>
      <c r="AKB1" s="2" t="s">
        <v>1021</v>
      </c>
      <c r="AKC1" s="2" t="s">
        <v>1022</v>
      </c>
      <c r="AKD1" s="2" t="s">
        <v>1023</v>
      </c>
      <c r="AKE1" s="2" t="s">
        <v>1024</v>
      </c>
      <c r="AKF1" s="2" t="s">
        <v>1025</v>
      </c>
      <c r="AKG1" s="2" t="s">
        <v>1026</v>
      </c>
      <c r="AKH1" s="2" t="s">
        <v>1027</v>
      </c>
      <c r="AKI1" s="2" t="s">
        <v>1028</v>
      </c>
      <c r="AKJ1" s="2" t="s">
        <v>1029</v>
      </c>
      <c r="AKK1" s="2" t="s">
        <v>1030</v>
      </c>
      <c r="AKL1" s="2" t="s">
        <v>1031</v>
      </c>
      <c r="AKM1" s="2" t="s">
        <v>1032</v>
      </c>
      <c r="AKN1" s="2" t="s">
        <v>1033</v>
      </c>
      <c r="AKO1" s="2" t="s">
        <v>1034</v>
      </c>
      <c r="AKP1" s="2" t="s">
        <v>1035</v>
      </c>
      <c r="AKQ1" s="2" t="s">
        <v>1036</v>
      </c>
      <c r="AKR1" s="2" t="s">
        <v>1037</v>
      </c>
      <c r="AKS1" s="2" t="s">
        <v>1038</v>
      </c>
      <c r="AKT1" s="2" t="s">
        <v>1039</v>
      </c>
      <c r="AKU1" s="2" t="s">
        <v>1040</v>
      </c>
      <c r="AKV1" s="2" t="s">
        <v>1041</v>
      </c>
      <c r="AKW1" s="2" t="s">
        <v>1042</v>
      </c>
      <c r="AKX1" s="2" t="s">
        <v>1043</v>
      </c>
      <c r="AKY1" s="2" t="s">
        <v>1044</v>
      </c>
      <c r="AKZ1" s="2" t="s">
        <v>1045</v>
      </c>
      <c r="ALA1" s="2" t="s">
        <v>1046</v>
      </c>
      <c r="ALB1" s="2" t="s">
        <v>1047</v>
      </c>
      <c r="ALC1" s="2" t="s">
        <v>1048</v>
      </c>
      <c r="ALD1" s="2" t="s">
        <v>1049</v>
      </c>
      <c r="ALE1" s="2" t="s">
        <v>1050</v>
      </c>
      <c r="ALF1" s="2" t="s">
        <v>1051</v>
      </c>
      <c r="ALG1" s="2" t="s">
        <v>1052</v>
      </c>
      <c r="ALH1" s="2" t="s">
        <v>1053</v>
      </c>
      <c r="ALI1" s="2" t="s">
        <v>1054</v>
      </c>
      <c r="ALJ1" s="2" t="s">
        <v>1055</v>
      </c>
      <c r="ALK1" s="2" t="s">
        <v>1056</v>
      </c>
      <c r="ALL1" s="2" t="s">
        <v>1057</v>
      </c>
      <c r="ALM1" s="2" t="s">
        <v>1058</v>
      </c>
    </row>
    <row r="2" spans="1:1001" s="9" customFormat="1" ht="21" x14ac:dyDescent="0.3">
      <c r="A2" s="8" t="s">
        <v>1</v>
      </c>
      <c r="B2" s="1">
        <v>46088</v>
      </c>
      <c r="C2" s="1">
        <v>46007</v>
      </c>
      <c r="D2" s="1">
        <v>45886</v>
      </c>
      <c r="E2" s="1">
        <v>46015</v>
      </c>
      <c r="F2" s="1">
        <v>45980</v>
      </c>
      <c r="G2" s="1">
        <v>46170</v>
      </c>
      <c r="H2" s="1">
        <v>46132</v>
      </c>
      <c r="I2" s="1">
        <v>46226</v>
      </c>
      <c r="J2" s="1">
        <v>46066</v>
      </c>
      <c r="K2" s="1">
        <v>46230</v>
      </c>
      <c r="L2" s="1">
        <v>45945</v>
      </c>
      <c r="M2" s="1">
        <v>46203</v>
      </c>
      <c r="N2" s="1">
        <v>46076</v>
      </c>
      <c r="O2" s="1">
        <v>45927</v>
      </c>
      <c r="P2" s="1">
        <v>46137</v>
      </c>
      <c r="Q2" s="1">
        <v>46208</v>
      </c>
      <c r="R2" s="1">
        <v>46029</v>
      </c>
      <c r="S2" s="1">
        <v>45988</v>
      </c>
      <c r="T2" s="1">
        <v>46166</v>
      </c>
      <c r="U2" s="1">
        <v>46012</v>
      </c>
      <c r="V2" s="1">
        <v>46174</v>
      </c>
      <c r="W2" s="1">
        <v>46172</v>
      </c>
      <c r="X2" s="1">
        <v>46175</v>
      </c>
      <c r="Y2" s="1">
        <v>46015</v>
      </c>
      <c r="Z2" s="1">
        <v>46124</v>
      </c>
      <c r="AA2" s="1">
        <v>46133</v>
      </c>
      <c r="AB2" s="1">
        <v>46209</v>
      </c>
      <c r="AC2" s="1">
        <v>45972</v>
      </c>
      <c r="AD2" s="1">
        <v>46204</v>
      </c>
      <c r="AE2" s="1">
        <v>46178</v>
      </c>
      <c r="AF2" s="1">
        <v>46012</v>
      </c>
      <c r="AG2" s="1">
        <v>46152</v>
      </c>
      <c r="AH2" s="1">
        <v>46105</v>
      </c>
      <c r="AI2" s="1">
        <v>46219</v>
      </c>
      <c r="AJ2" s="1">
        <v>45890</v>
      </c>
      <c r="AK2" s="1">
        <v>45974</v>
      </c>
      <c r="AL2" s="1">
        <v>45899</v>
      </c>
      <c r="AM2" s="1">
        <v>46221</v>
      </c>
      <c r="AN2" s="1">
        <v>45890</v>
      </c>
      <c r="AO2" s="1">
        <v>46134</v>
      </c>
      <c r="AP2" s="1">
        <v>46126</v>
      </c>
      <c r="AQ2" s="1">
        <v>46054</v>
      </c>
      <c r="AR2" s="1">
        <v>46025</v>
      </c>
      <c r="AS2" s="1">
        <v>46011</v>
      </c>
      <c r="AT2" s="1">
        <v>46101</v>
      </c>
      <c r="AU2" s="1">
        <v>46081</v>
      </c>
      <c r="AV2" s="1">
        <v>46054</v>
      </c>
      <c r="AW2" s="1">
        <v>46024</v>
      </c>
      <c r="AX2" s="1">
        <v>46000</v>
      </c>
      <c r="AY2" s="1">
        <v>46155</v>
      </c>
      <c r="AZ2" s="1">
        <v>45990</v>
      </c>
      <c r="BA2" s="1">
        <v>45914</v>
      </c>
      <c r="BB2" s="1">
        <v>46086</v>
      </c>
      <c r="BC2" s="1">
        <v>46149</v>
      </c>
      <c r="BD2" s="1">
        <v>45904</v>
      </c>
      <c r="BE2" s="1">
        <v>45942</v>
      </c>
      <c r="BF2" s="1">
        <v>45882</v>
      </c>
      <c r="BG2" s="1">
        <v>45871</v>
      </c>
      <c r="BH2" s="1">
        <v>46221</v>
      </c>
      <c r="BI2" s="1">
        <v>45941</v>
      </c>
      <c r="BJ2" s="1">
        <v>46214</v>
      </c>
      <c r="BK2" s="1">
        <v>46084</v>
      </c>
      <c r="BL2" s="1">
        <v>46225</v>
      </c>
      <c r="BM2" s="1">
        <v>45947</v>
      </c>
      <c r="BN2" s="1">
        <v>46042</v>
      </c>
      <c r="BO2" s="1">
        <v>46160</v>
      </c>
      <c r="BP2" s="1">
        <v>46096</v>
      </c>
      <c r="BQ2" s="1">
        <v>46000</v>
      </c>
      <c r="BR2" s="1">
        <v>46107</v>
      </c>
      <c r="BS2" s="1">
        <v>46089</v>
      </c>
      <c r="BT2" s="1">
        <v>46185</v>
      </c>
      <c r="BU2" s="1">
        <v>45922</v>
      </c>
      <c r="BV2" s="1">
        <v>46014</v>
      </c>
      <c r="BW2" s="1">
        <v>46090</v>
      </c>
      <c r="BX2" s="1">
        <v>45988</v>
      </c>
      <c r="BY2" s="1">
        <v>46079</v>
      </c>
      <c r="BZ2" s="1">
        <v>46142</v>
      </c>
      <c r="CA2" s="1">
        <v>45879</v>
      </c>
      <c r="CB2" s="1">
        <v>46147</v>
      </c>
      <c r="CC2" s="1">
        <v>46216</v>
      </c>
      <c r="CD2" s="1">
        <v>46153</v>
      </c>
      <c r="CE2" s="1">
        <v>46179</v>
      </c>
      <c r="CF2" s="1">
        <v>46224</v>
      </c>
      <c r="CG2" s="1">
        <v>46131</v>
      </c>
      <c r="CH2" s="1">
        <v>46072</v>
      </c>
      <c r="CI2" s="1">
        <v>46120</v>
      </c>
      <c r="CJ2" s="1">
        <v>46127</v>
      </c>
      <c r="CK2" s="1">
        <v>45953</v>
      </c>
      <c r="CL2" s="1">
        <v>46154</v>
      </c>
      <c r="CM2" s="1">
        <v>45958</v>
      </c>
      <c r="CN2" s="1">
        <v>45956</v>
      </c>
      <c r="CO2" s="1">
        <v>46148</v>
      </c>
      <c r="CP2" s="1">
        <v>46031</v>
      </c>
      <c r="CQ2" s="1">
        <v>46032</v>
      </c>
      <c r="CR2" s="1">
        <v>45919</v>
      </c>
      <c r="CS2" s="1">
        <v>46031</v>
      </c>
      <c r="CT2" s="1">
        <v>45971</v>
      </c>
      <c r="CU2" s="1">
        <v>46038</v>
      </c>
      <c r="CV2" s="1">
        <v>46056</v>
      </c>
      <c r="CW2" s="1">
        <v>45984</v>
      </c>
      <c r="CX2" s="1">
        <v>46136</v>
      </c>
      <c r="CY2" s="1">
        <v>46228</v>
      </c>
      <c r="CZ2" s="1">
        <v>46030</v>
      </c>
      <c r="DA2" s="1">
        <v>46049</v>
      </c>
      <c r="DB2" s="1">
        <v>46191</v>
      </c>
      <c r="DC2" s="1">
        <v>46005</v>
      </c>
      <c r="DD2" s="1">
        <v>45979</v>
      </c>
      <c r="DE2" s="1">
        <v>46067</v>
      </c>
      <c r="DF2" s="1">
        <v>45948</v>
      </c>
      <c r="DG2" s="1">
        <v>45971</v>
      </c>
      <c r="DH2" s="1">
        <v>45910</v>
      </c>
      <c r="DI2" s="1">
        <v>46133</v>
      </c>
      <c r="DJ2" s="1">
        <v>45995</v>
      </c>
      <c r="DK2" s="1">
        <v>45966</v>
      </c>
      <c r="DL2" s="1">
        <v>45950</v>
      </c>
      <c r="DM2" s="1">
        <v>45941</v>
      </c>
      <c r="DN2" s="1">
        <v>46192</v>
      </c>
      <c r="DO2" s="1">
        <v>45970</v>
      </c>
      <c r="DP2" s="1">
        <v>45994</v>
      </c>
      <c r="DQ2" s="1">
        <v>46002</v>
      </c>
      <c r="DR2" s="1">
        <v>46107</v>
      </c>
      <c r="DS2" s="1">
        <v>46012</v>
      </c>
      <c r="DT2" s="1">
        <v>46194</v>
      </c>
      <c r="DU2" s="1">
        <v>46208</v>
      </c>
      <c r="DV2" s="1">
        <v>45894</v>
      </c>
      <c r="DW2" s="1">
        <v>45911</v>
      </c>
      <c r="DX2" s="1">
        <v>46164</v>
      </c>
      <c r="DY2" s="1">
        <v>46042</v>
      </c>
      <c r="DZ2" s="1">
        <v>46149</v>
      </c>
      <c r="EA2" s="1">
        <v>45915</v>
      </c>
      <c r="EB2" s="1">
        <v>46123</v>
      </c>
      <c r="EC2" s="1">
        <v>45894</v>
      </c>
      <c r="ED2" s="1">
        <v>45917</v>
      </c>
      <c r="EE2" s="1">
        <v>45965</v>
      </c>
      <c r="EF2" s="1">
        <v>46064</v>
      </c>
      <c r="EG2" s="1">
        <v>45888</v>
      </c>
      <c r="EH2" s="1">
        <v>45903</v>
      </c>
      <c r="EI2" s="1">
        <v>45930</v>
      </c>
      <c r="EJ2" s="1">
        <v>46117</v>
      </c>
      <c r="EK2" s="1">
        <v>45944</v>
      </c>
      <c r="EL2" s="1">
        <v>46225</v>
      </c>
      <c r="EM2" s="1">
        <v>46055</v>
      </c>
      <c r="EN2" s="1">
        <v>46161</v>
      </c>
      <c r="EO2" s="1">
        <v>46064</v>
      </c>
      <c r="EP2" s="1">
        <v>46014</v>
      </c>
      <c r="EQ2" s="1">
        <v>46131</v>
      </c>
      <c r="ER2" s="1">
        <v>46132</v>
      </c>
      <c r="ES2" s="1">
        <v>45953</v>
      </c>
      <c r="ET2" s="1">
        <v>46076</v>
      </c>
      <c r="EU2" s="1">
        <v>46209</v>
      </c>
      <c r="EV2" s="1">
        <v>46040</v>
      </c>
      <c r="EW2" s="1">
        <v>46165</v>
      </c>
      <c r="EX2" s="1">
        <v>45929</v>
      </c>
      <c r="EY2" s="1">
        <v>45920</v>
      </c>
      <c r="EZ2" s="1">
        <v>46190</v>
      </c>
      <c r="FA2" s="1">
        <v>46043</v>
      </c>
      <c r="FB2" s="1">
        <v>45915</v>
      </c>
      <c r="FC2" s="1">
        <v>46031</v>
      </c>
      <c r="FD2" s="1">
        <v>46007</v>
      </c>
      <c r="FE2" s="1">
        <v>45957</v>
      </c>
      <c r="FF2" s="1">
        <v>45929</v>
      </c>
      <c r="FG2" s="1">
        <v>46186</v>
      </c>
      <c r="FH2" s="1">
        <v>46049</v>
      </c>
      <c r="FI2" s="1">
        <v>45887</v>
      </c>
      <c r="FJ2" s="1">
        <v>45980</v>
      </c>
      <c r="FK2" s="1">
        <v>46096</v>
      </c>
      <c r="FL2" s="1">
        <v>46025</v>
      </c>
      <c r="FM2" s="1">
        <v>46064</v>
      </c>
      <c r="FN2" s="1">
        <v>46015</v>
      </c>
      <c r="FO2" s="1">
        <v>45978</v>
      </c>
      <c r="FP2" s="1">
        <v>46165</v>
      </c>
      <c r="FQ2" s="1">
        <v>46231</v>
      </c>
      <c r="FR2" s="1">
        <v>45959</v>
      </c>
      <c r="FS2" s="1">
        <v>45918</v>
      </c>
      <c r="FT2" s="1">
        <v>45992</v>
      </c>
      <c r="FU2" s="1">
        <v>45902</v>
      </c>
      <c r="FV2" s="1">
        <v>46155</v>
      </c>
      <c r="FW2" s="1">
        <v>45957</v>
      </c>
      <c r="FX2" s="1">
        <v>46190</v>
      </c>
      <c r="FY2" s="1">
        <v>46065</v>
      </c>
      <c r="FZ2" s="1">
        <v>45956</v>
      </c>
      <c r="GA2" s="1">
        <v>45891</v>
      </c>
      <c r="GB2" s="1">
        <v>46165</v>
      </c>
      <c r="GC2" s="1">
        <v>46128</v>
      </c>
      <c r="GD2" s="1">
        <v>45950</v>
      </c>
      <c r="GE2" s="1">
        <v>46234</v>
      </c>
      <c r="GF2" s="1">
        <v>46219</v>
      </c>
      <c r="GG2" s="1">
        <v>46153</v>
      </c>
      <c r="GH2" s="1">
        <v>46197</v>
      </c>
      <c r="GI2" s="1">
        <v>45954</v>
      </c>
      <c r="GJ2" s="1">
        <v>45876</v>
      </c>
      <c r="GK2" s="1">
        <v>45975</v>
      </c>
      <c r="GL2" s="1">
        <v>46199</v>
      </c>
      <c r="GM2" s="1">
        <v>45953</v>
      </c>
      <c r="GN2" s="1">
        <v>46049</v>
      </c>
      <c r="GO2" s="1">
        <v>45948</v>
      </c>
      <c r="GP2" s="1">
        <v>46032</v>
      </c>
      <c r="GQ2" s="1">
        <v>46009</v>
      </c>
      <c r="GR2" s="1">
        <v>46052</v>
      </c>
      <c r="GS2" s="1">
        <v>46122</v>
      </c>
      <c r="GT2" s="1">
        <v>45961</v>
      </c>
      <c r="GU2" s="1">
        <v>46190</v>
      </c>
      <c r="GV2" s="1">
        <v>46129</v>
      </c>
      <c r="GW2" s="1">
        <v>46067</v>
      </c>
      <c r="GX2" s="1">
        <v>46135</v>
      </c>
      <c r="GY2" s="1">
        <v>45933</v>
      </c>
      <c r="GZ2" s="1">
        <v>45988</v>
      </c>
      <c r="HA2" s="1">
        <v>45895</v>
      </c>
      <c r="HB2" s="1">
        <v>46046</v>
      </c>
      <c r="HC2" s="1">
        <v>45946</v>
      </c>
      <c r="HD2" s="1">
        <v>45975</v>
      </c>
      <c r="HE2" s="1">
        <v>45998</v>
      </c>
      <c r="HF2" s="1">
        <v>46226</v>
      </c>
      <c r="HG2" s="1">
        <v>45947</v>
      </c>
      <c r="HH2" s="1">
        <v>46101</v>
      </c>
      <c r="HI2" s="1">
        <v>46084</v>
      </c>
      <c r="HJ2" s="1">
        <v>46156</v>
      </c>
      <c r="HK2" s="1">
        <v>46091</v>
      </c>
      <c r="HL2" s="1">
        <v>45998</v>
      </c>
      <c r="HM2" s="1">
        <v>46182</v>
      </c>
      <c r="HN2" s="1">
        <v>46025</v>
      </c>
      <c r="HO2" s="1">
        <v>45881</v>
      </c>
      <c r="HP2" s="1">
        <v>46214</v>
      </c>
      <c r="HQ2" s="1">
        <v>45955</v>
      </c>
      <c r="HR2" s="1">
        <v>46207</v>
      </c>
      <c r="HS2" s="1">
        <v>46109</v>
      </c>
      <c r="HT2" s="1">
        <v>46153</v>
      </c>
      <c r="HU2" s="1">
        <v>46090</v>
      </c>
      <c r="HV2" s="1">
        <v>46041</v>
      </c>
      <c r="HW2" s="1">
        <v>46101</v>
      </c>
      <c r="HX2" s="1">
        <v>46142</v>
      </c>
      <c r="HY2" s="1">
        <v>45913</v>
      </c>
      <c r="HZ2" s="1">
        <v>46224</v>
      </c>
      <c r="IA2" s="1">
        <v>45994</v>
      </c>
      <c r="IB2" s="1">
        <v>46168</v>
      </c>
      <c r="IC2" s="1">
        <v>46125</v>
      </c>
      <c r="ID2" s="1">
        <v>46042</v>
      </c>
      <c r="IE2" s="1">
        <v>46021</v>
      </c>
      <c r="IF2" s="1">
        <v>46101</v>
      </c>
      <c r="IG2" s="1">
        <v>46116</v>
      </c>
      <c r="IH2" s="1">
        <v>46211</v>
      </c>
      <c r="II2" s="1">
        <v>45925</v>
      </c>
      <c r="IJ2" s="1">
        <v>46063</v>
      </c>
      <c r="IK2" s="1">
        <v>46161</v>
      </c>
      <c r="IL2" s="1">
        <v>46188</v>
      </c>
      <c r="IM2" s="1">
        <v>46011</v>
      </c>
      <c r="IN2" s="1">
        <v>46182</v>
      </c>
      <c r="IO2" s="1">
        <v>45936</v>
      </c>
      <c r="IP2" s="1">
        <v>46090</v>
      </c>
      <c r="IQ2" s="1">
        <v>45898</v>
      </c>
      <c r="IR2" s="1">
        <v>46118</v>
      </c>
      <c r="IS2" s="1">
        <v>46192</v>
      </c>
      <c r="IT2" s="1">
        <v>46167</v>
      </c>
      <c r="IU2" s="1">
        <v>45931</v>
      </c>
      <c r="IV2" s="1">
        <v>45966</v>
      </c>
      <c r="IW2" s="1">
        <v>46131</v>
      </c>
      <c r="IX2" s="1">
        <v>46172</v>
      </c>
      <c r="IY2" s="1">
        <v>46122</v>
      </c>
      <c r="IZ2" s="1">
        <v>46081</v>
      </c>
      <c r="JA2" s="1">
        <v>46200</v>
      </c>
      <c r="JB2" s="1">
        <v>46112</v>
      </c>
      <c r="JC2" s="1">
        <v>46041</v>
      </c>
      <c r="JD2" s="1">
        <v>46012</v>
      </c>
      <c r="JE2" s="1">
        <v>45937</v>
      </c>
      <c r="JF2" s="1">
        <v>45898</v>
      </c>
      <c r="JG2" s="1">
        <v>45896</v>
      </c>
      <c r="JH2" s="1">
        <v>46026</v>
      </c>
      <c r="JI2" s="1">
        <v>45888</v>
      </c>
      <c r="JJ2" s="1">
        <v>46028</v>
      </c>
      <c r="JK2" s="1">
        <v>45980</v>
      </c>
      <c r="JL2" s="1">
        <v>45908</v>
      </c>
      <c r="JM2" s="1">
        <v>46150</v>
      </c>
      <c r="JN2" s="1">
        <v>45988</v>
      </c>
      <c r="JO2" s="1">
        <v>46041</v>
      </c>
      <c r="JP2" s="1">
        <v>46108</v>
      </c>
      <c r="JQ2" s="1">
        <v>46128</v>
      </c>
      <c r="JR2" s="1">
        <v>46111</v>
      </c>
      <c r="JS2" s="1">
        <v>45922</v>
      </c>
      <c r="JT2" s="1">
        <v>46019</v>
      </c>
      <c r="JU2" s="1">
        <v>45938</v>
      </c>
      <c r="JV2" s="1">
        <v>45949</v>
      </c>
      <c r="JW2" s="1">
        <v>45932</v>
      </c>
      <c r="JX2" s="1">
        <v>46115</v>
      </c>
      <c r="JY2" s="1">
        <v>45900</v>
      </c>
      <c r="JZ2" s="1">
        <v>46228</v>
      </c>
      <c r="KA2" s="1">
        <v>46097</v>
      </c>
      <c r="KB2" s="1">
        <v>46098</v>
      </c>
      <c r="KC2" s="1">
        <v>45944</v>
      </c>
      <c r="KD2" s="1">
        <v>46227</v>
      </c>
      <c r="KE2" s="1">
        <v>45927</v>
      </c>
      <c r="KF2" s="1">
        <v>46048</v>
      </c>
      <c r="KG2" s="1">
        <v>46063</v>
      </c>
      <c r="KH2" s="1">
        <v>46160</v>
      </c>
      <c r="KI2" s="1">
        <v>46107</v>
      </c>
      <c r="KJ2" s="1">
        <v>45957</v>
      </c>
      <c r="KK2" s="1">
        <v>45901</v>
      </c>
      <c r="KL2" s="1">
        <v>46000</v>
      </c>
      <c r="KM2" s="1">
        <v>45963</v>
      </c>
      <c r="KN2" s="1">
        <v>46001</v>
      </c>
      <c r="KO2" s="1">
        <v>46088</v>
      </c>
      <c r="KP2" s="1">
        <v>46215</v>
      </c>
      <c r="KQ2" s="1">
        <v>45890</v>
      </c>
      <c r="KR2" s="1">
        <v>46031</v>
      </c>
      <c r="KS2" s="1">
        <v>45983</v>
      </c>
      <c r="KT2" s="1">
        <v>46130</v>
      </c>
      <c r="KU2" s="1">
        <v>45876</v>
      </c>
      <c r="KV2" s="1">
        <v>45946</v>
      </c>
      <c r="KW2" s="1">
        <v>46024</v>
      </c>
      <c r="KX2" s="1">
        <v>46119</v>
      </c>
      <c r="KY2" s="1">
        <v>46226</v>
      </c>
      <c r="KZ2" s="1">
        <v>46230</v>
      </c>
      <c r="LA2" s="1">
        <v>46007</v>
      </c>
      <c r="LB2" s="1">
        <v>45963</v>
      </c>
      <c r="LC2" s="1">
        <v>46090</v>
      </c>
      <c r="LD2" s="1">
        <v>45950</v>
      </c>
      <c r="LE2" s="1">
        <v>46063</v>
      </c>
      <c r="LF2" s="1">
        <v>46026</v>
      </c>
      <c r="LG2" s="1">
        <v>45930</v>
      </c>
      <c r="LH2" s="1">
        <v>46151</v>
      </c>
      <c r="LI2" s="1">
        <v>45925</v>
      </c>
      <c r="LJ2" s="1">
        <v>46045</v>
      </c>
      <c r="LK2" s="1">
        <v>45970</v>
      </c>
      <c r="LL2" s="1">
        <v>46140</v>
      </c>
      <c r="LM2" s="1">
        <v>46135</v>
      </c>
      <c r="LN2" s="1">
        <v>46141</v>
      </c>
      <c r="LO2" s="1">
        <v>46166</v>
      </c>
      <c r="LP2" s="1">
        <v>46061</v>
      </c>
      <c r="LQ2" s="1">
        <v>46161</v>
      </c>
      <c r="LR2" s="1">
        <v>46089</v>
      </c>
      <c r="LS2" s="1">
        <v>46050</v>
      </c>
      <c r="LT2" s="1">
        <v>46124</v>
      </c>
      <c r="LU2" s="1">
        <v>45901</v>
      </c>
      <c r="LV2" s="1">
        <v>45917</v>
      </c>
      <c r="LW2" s="1">
        <v>46045</v>
      </c>
      <c r="LX2" s="1">
        <v>45905</v>
      </c>
      <c r="LY2" s="1">
        <v>46106</v>
      </c>
      <c r="LZ2" s="1">
        <v>46177</v>
      </c>
      <c r="MA2" s="1">
        <v>46140</v>
      </c>
      <c r="MB2" s="1">
        <v>45920</v>
      </c>
      <c r="MC2" s="1">
        <v>46212</v>
      </c>
      <c r="MD2" s="1">
        <v>46064</v>
      </c>
      <c r="ME2" s="1">
        <v>45913</v>
      </c>
      <c r="MF2" s="1">
        <v>45935</v>
      </c>
      <c r="MG2" s="1">
        <v>46206</v>
      </c>
      <c r="MH2" s="1">
        <v>45882</v>
      </c>
      <c r="MI2" s="1">
        <v>45999</v>
      </c>
      <c r="MJ2" s="1">
        <v>46010</v>
      </c>
      <c r="MK2" s="1">
        <v>45887</v>
      </c>
      <c r="ML2" s="1">
        <v>46203</v>
      </c>
      <c r="MM2" s="1">
        <v>46019</v>
      </c>
      <c r="MN2" s="1">
        <v>45931</v>
      </c>
      <c r="MO2" s="1">
        <v>45996</v>
      </c>
      <c r="MP2" s="1">
        <v>46139</v>
      </c>
      <c r="MQ2" s="1">
        <v>46144</v>
      </c>
      <c r="MR2" s="1">
        <v>46173</v>
      </c>
      <c r="MS2" s="1">
        <v>45914</v>
      </c>
      <c r="MT2" s="1">
        <v>46076</v>
      </c>
      <c r="MU2" s="1">
        <v>45979</v>
      </c>
      <c r="MV2" s="1">
        <v>45938</v>
      </c>
      <c r="MW2" s="1">
        <v>45981</v>
      </c>
      <c r="MX2" s="1">
        <v>45903</v>
      </c>
      <c r="MY2" s="1">
        <v>46145</v>
      </c>
      <c r="MZ2" s="1">
        <v>46109</v>
      </c>
      <c r="NA2" s="1">
        <v>46170</v>
      </c>
      <c r="NB2" s="1">
        <v>46068</v>
      </c>
      <c r="NC2" s="1">
        <v>46083</v>
      </c>
      <c r="ND2" s="1">
        <v>46161</v>
      </c>
      <c r="NE2" s="1">
        <v>45915</v>
      </c>
      <c r="NF2" s="1">
        <v>45954</v>
      </c>
      <c r="NG2" s="1">
        <v>46185</v>
      </c>
      <c r="NH2" s="1">
        <v>46055</v>
      </c>
      <c r="NI2" s="1">
        <v>46061</v>
      </c>
      <c r="NJ2" s="1">
        <v>45982</v>
      </c>
      <c r="NK2" s="1">
        <v>46121</v>
      </c>
      <c r="NL2" s="1">
        <v>45955</v>
      </c>
      <c r="NM2" s="1">
        <v>46110</v>
      </c>
      <c r="NN2" s="1">
        <v>46034</v>
      </c>
      <c r="NO2" s="1">
        <v>46025</v>
      </c>
      <c r="NP2" s="1">
        <v>46086</v>
      </c>
      <c r="NQ2" s="1">
        <v>46206</v>
      </c>
      <c r="NR2" s="1">
        <v>46082</v>
      </c>
      <c r="NS2" s="1">
        <v>46077</v>
      </c>
      <c r="NT2" s="1">
        <v>45929</v>
      </c>
      <c r="NU2" s="1">
        <v>46064</v>
      </c>
      <c r="NV2" s="1">
        <v>46200</v>
      </c>
      <c r="NW2" s="1">
        <v>46023</v>
      </c>
      <c r="NX2" s="1">
        <v>45879</v>
      </c>
      <c r="NY2" s="1">
        <v>46167</v>
      </c>
      <c r="NZ2" s="1">
        <v>46029</v>
      </c>
      <c r="OA2" s="1">
        <v>46138</v>
      </c>
      <c r="OB2" s="1">
        <v>46156</v>
      </c>
      <c r="OC2" s="1">
        <v>45989</v>
      </c>
      <c r="OD2" s="1">
        <v>45870</v>
      </c>
      <c r="OE2" s="1">
        <v>46144</v>
      </c>
      <c r="OF2" s="1">
        <v>46231</v>
      </c>
      <c r="OG2" s="1">
        <v>45958</v>
      </c>
      <c r="OH2" s="1">
        <v>46111</v>
      </c>
      <c r="OI2" s="1">
        <v>46219</v>
      </c>
      <c r="OJ2" s="1">
        <v>45913</v>
      </c>
      <c r="OK2" s="1">
        <v>46092</v>
      </c>
      <c r="OL2" s="1">
        <v>46163</v>
      </c>
      <c r="OM2" s="1">
        <v>46038</v>
      </c>
      <c r="ON2" s="1">
        <v>45919</v>
      </c>
      <c r="OO2" s="1">
        <v>46221</v>
      </c>
      <c r="OP2" s="1">
        <v>46130</v>
      </c>
      <c r="OQ2" s="1">
        <v>46107</v>
      </c>
      <c r="OR2" s="1">
        <v>46056</v>
      </c>
      <c r="OS2" s="1">
        <v>46161</v>
      </c>
      <c r="OT2" s="1">
        <v>46196</v>
      </c>
      <c r="OU2" s="1">
        <v>46092</v>
      </c>
      <c r="OV2" s="1">
        <v>46047</v>
      </c>
      <c r="OW2" s="1">
        <v>46165</v>
      </c>
      <c r="OX2" s="1">
        <v>46013</v>
      </c>
      <c r="OY2" s="1">
        <v>46116</v>
      </c>
      <c r="OZ2" s="1">
        <v>46152</v>
      </c>
      <c r="PA2" s="1">
        <v>45905</v>
      </c>
      <c r="PB2" s="1">
        <v>45907</v>
      </c>
      <c r="PC2" s="1">
        <v>45958</v>
      </c>
      <c r="PD2" s="1">
        <v>45894</v>
      </c>
      <c r="PE2" s="1">
        <v>45957</v>
      </c>
      <c r="PF2" s="1">
        <v>45999</v>
      </c>
      <c r="PG2" s="1">
        <v>45955</v>
      </c>
      <c r="PH2" s="1">
        <v>46218</v>
      </c>
      <c r="PI2" s="1">
        <v>46065</v>
      </c>
      <c r="PJ2" s="1">
        <v>45988</v>
      </c>
      <c r="PK2" s="1">
        <v>45876</v>
      </c>
      <c r="PL2" s="1">
        <v>46151</v>
      </c>
      <c r="PM2" s="1">
        <v>46133</v>
      </c>
      <c r="PN2" s="1">
        <v>46056</v>
      </c>
      <c r="PO2" s="1">
        <v>46081</v>
      </c>
      <c r="PP2" s="1">
        <v>46116</v>
      </c>
      <c r="PQ2" s="1">
        <v>45884</v>
      </c>
      <c r="PR2" s="1">
        <v>46109</v>
      </c>
      <c r="PS2" s="1">
        <v>46128</v>
      </c>
      <c r="PT2" s="1">
        <v>46052</v>
      </c>
      <c r="PU2" s="1">
        <v>46224</v>
      </c>
      <c r="PV2" s="1">
        <v>46008</v>
      </c>
      <c r="PW2" s="1">
        <v>46091</v>
      </c>
      <c r="PX2" s="1">
        <v>46144</v>
      </c>
      <c r="PY2" s="1">
        <v>46056</v>
      </c>
      <c r="PZ2" s="1">
        <v>45944</v>
      </c>
      <c r="QA2" s="1">
        <v>46231</v>
      </c>
      <c r="QB2" s="1">
        <v>46079</v>
      </c>
      <c r="QC2" s="1">
        <v>45944</v>
      </c>
      <c r="QD2" s="1">
        <v>46016</v>
      </c>
      <c r="QE2" s="1">
        <v>46126</v>
      </c>
      <c r="QF2" s="1">
        <v>46232</v>
      </c>
      <c r="QG2" s="1">
        <v>46225</v>
      </c>
      <c r="QH2" s="1">
        <v>46208</v>
      </c>
      <c r="QI2" s="1">
        <v>45983</v>
      </c>
      <c r="QJ2" s="1">
        <v>46024</v>
      </c>
      <c r="QK2" s="1">
        <v>46216</v>
      </c>
      <c r="QL2" s="1">
        <v>45983</v>
      </c>
      <c r="QM2" s="1">
        <v>46111</v>
      </c>
      <c r="QN2" s="1">
        <v>46003</v>
      </c>
      <c r="QO2" s="1">
        <v>46169</v>
      </c>
      <c r="QP2" s="1">
        <v>45957</v>
      </c>
      <c r="QQ2" s="1">
        <v>45933</v>
      </c>
      <c r="QR2" s="1">
        <v>46080</v>
      </c>
      <c r="QS2" s="1">
        <v>46086</v>
      </c>
      <c r="QT2" s="1">
        <v>45918</v>
      </c>
      <c r="QU2" s="1">
        <v>46180</v>
      </c>
      <c r="QV2" s="1">
        <v>46057</v>
      </c>
      <c r="QW2" s="1">
        <v>45943</v>
      </c>
      <c r="QX2" s="1">
        <v>45875</v>
      </c>
      <c r="QY2" s="1">
        <v>46165</v>
      </c>
      <c r="QZ2" s="1">
        <v>46206</v>
      </c>
      <c r="RA2" s="1">
        <v>46225</v>
      </c>
      <c r="RB2" s="1">
        <v>45896</v>
      </c>
      <c r="RC2" s="1">
        <v>45931</v>
      </c>
      <c r="RD2" s="1">
        <v>46194</v>
      </c>
      <c r="RE2" s="1">
        <v>46005</v>
      </c>
      <c r="RF2" s="1">
        <v>45889</v>
      </c>
      <c r="RG2" s="1">
        <v>46005</v>
      </c>
      <c r="RH2" s="1">
        <v>46052</v>
      </c>
      <c r="RI2" s="1">
        <v>46163</v>
      </c>
      <c r="RJ2" s="1">
        <v>46009</v>
      </c>
      <c r="RK2" s="1">
        <v>45923</v>
      </c>
      <c r="RL2" s="1">
        <v>46192</v>
      </c>
      <c r="RM2" s="1">
        <v>46153</v>
      </c>
      <c r="RN2" s="1">
        <v>45910</v>
      </c>
      <c r="RO2" s="1">
        <v>45902</v>
      </c>
      <c r="RP2" s="1">
        <v>45993</v>
      </c>
      <c r="RQ2" s="1">
        <v>45937</v>
      </c>
      <c r="RR2" s="1">
        <v>46118</v>
      </c>
      <c r="RS2" s="1">
        <v>46209</v>
      </c>
      <c r="RT2" s="1">
        <v>46183</v>
      </c>
      <c r="RU2" s="1">
        <v>45872</v>
      </c>
      <c r="RV2" s="1">
        <v>46185</v>
      </c>
      <c r="RW2" s="1">
        <v>46136</v>
      </c>
      <c r="RX2" s="1">
        <v>46110</v>
      </c>
      <c r="RY2" s="1">
        <v>46230</v>
      </c>
      <c r="RZ2" s="1">
        <v>46205</v>
      </c>
      <c r="SA2" s="1">
        <v>46210</v>
      </c>
      <c r="SB2" s="1">
        <v>46039</v>
      </c>
      <c r="SC2" s="1">
        <v>45951</v>
      </c>
      <c r="SD2" s="1">
        <v>45932</v>
      </c>
      <c r="SE2" s="1">
        <v>45953</v>
      </c>
      <c r="SF2" s="1">
        <v>46042</v>
      </c>
      <c r="SG2" s="1">
        <v>46234</v>
      </c>
      <c r="SH2" s="1">
        <v>46162</v>
      </c>
      <c r="SI2" s="1">
        <v>45911</v>
      </c>
      <c r="SJ2" s="1">
        <v>45960</v>
      </c>
      <c r="SK2" s="1">
        <v>45910</v>
      </c>
      <c r="SL2" s="1">
        <v>45925</v>
      </c>
      <c r="SM2" s="1">
        <v>46215</v>
      </c>
      <c r="SN2" s="1">
        <v>46084</v>
      </c>
      <c r="SO2" s="1">
        <v>46235</v>
      </c>
      <c r="SP2" s="1">
        <v>45939</v>
      </c>
      <c r="SQ2" s="1">
        <v>46024</v>
      </c>
      <c r="SR2" s="1">
        <v>46000</v>
      </c>
      <c r="SS2" s="1">
        <v>46139</v>
      </c>
      <c r="ST2" s="1">
        <v>46046</v>
      </c>
      <c r="SU2" s="1">
        <v>46184</v>
      </c>
      <c r="SV2" s="1">
        <v>46212</v>
      </c>
      <c r="SW2" s="1">
        <v>46053</v>
      </c>
      <c r="SX2" s="1">
        <v>46007</v>
      </c>
      <c r="SY2" s="1">
        <v>46062</v>
      </c>
      <c r="SZ2" s="1">
        <v>46130</v>
      </c>
      <c r="TA2" s="1">
        <v>45998</v>
      </c>
      <c r="TB2" s="1">
        <v>46174</v>
      </c>
      <c r="TC2" s="1">
        <v>46081</v>
      </c>
      <c r="TD2" s="1">
        <v>46092</v>
      </c>
      <c r="TE2" s="1">
        <v>46211</v>
      </c>
      <c r="TF2" s="1">
        <v>46078</v>
      </c>
      <c r="TG2" s="1">
        <v>46097</v>
      </c>
      <c r="TH2" s="1">
        <v>45912</v>
      </c>
      <c r="TI2" s="1">
        <v>46153</v>
      </c>
      <c r="TJ2" s="1">
        <v>46134</v>
      </c>
      <c r="TK2" s="1">
        <v>46009</v>
      </c>
      <c r="TL2" s="1">
        <v>46081</v>
      </c>
      <c r="TM2" s="1">
        <v>46230</v>
      </c>
      <c r="TN2" s="1">
        <v>46155</v>
      </c>
      <c r="TO2" s="1">
        <v>46069</v>
      </c>
      <c r="TP2" s="1">
        <v>46007</v>
      </c>
      <c r="TQ2" s="1">
        <v>46209</v>
      </c>
      <c r="TR2" s="1">
        <v>46107</v>
      </c>
      <c r="TS2" s="1">
        <v>46063</v>
      </c>
      <c r="TT2" s="1">
        <v>46090</v>
      </c>
      <c r="TU2" s="1">
        <v>45905</v>
      </c>
      <c r="TV2" s="1">
        <v>46019</v>
      </c>
      <c r="TW2" s="1">
        <v>45929</v>
      </c>
      <c r="TX2" s="1">
        <v>45905</v>
      </c>
      <c r="TY2" s="1">
        <v>45973</v>
      </c>
      <c r="TZ2" s="1">
        <v>46183</v>
      </c>
      <c r="UA2" s="1">
        <v>45921</v>
      </c>
      <c r="UB2" s="1">
        <v>45963</v>
      </c>
      <c r="UC2" s="1">
        <v>46095</v>
      </c>
      <c r="UD2" s="1">
        <v>46016</v>
      </c>
      <c r="UE2" s="1">
        <v>46233</v>
      </c>
      <c r="UF2" s="1">
        <v>45960</v>
      </c>
      <c r="UG2" s="1">
        <v>45875</v>
      </c>
      <c r="UH2" s="1">
        <v>45926</v>
      </c>
      <c r="UI2" s="1">
        <v>45879</v>
      </c>
      <c r="UJ2" s="1">
        <v>45890</v>
      </c>
      <c r="UK2" s="1">
        <v>46194</v>
      </c>
      <c r="UL2" s="1">
        <v>46012</v>
      </c>
      <c r="UM2" s="1">
        <v>46094</v>
      </c>
      <c r="UN2" s="1">
        <v>45979</v>
      </c>
      <c r="UO2" s="1">
        <v>46194</v>
      </c>
      <c r="UP2" s="1">
        <v>45986</v>
      </c>
      <c r="UQ2" s="1">
        <v>45972</v>
      </c>
      <c r="UR2" s="1">
        <v>45978</v>
      </c>
      <c r="US2" s="1">
        <v>45919</v>
      </c>
      <c r="UT2" s="1">
        <v>46226</v>
      </c>
      <c r="UU2" s="1">
        <v>46147</v>
      </c>
      <c r="UV2" s="1">
        <v>45911</v>
      </c>
      <c r="UW2" s="1">
        <v>46214</v>
      </c>
      <c r="UX2" s="1">
        <v>46203</v>
      </c>
      <c r="UY2" s="1">
        <v>46069</v>
      </c>
      <c r="UZ2" s="1">
        <v>46022</v>
      </c>
      <c r="VA2" s="1">
        <v>45971</v>
      </c>
      <c r="VB2" s="1">
        <v>46132</v>
      </c>
      <c r="VC2" s="1">
        <v>46195</v>
      </c>
      <c r="VD2" s="1">
        <v>45929</v>
      </c>
      <c r="VE2" s="1">
        <v>46107</v>
      </c>
      <c r="VF2" s="1">
        <v>45943</v>
      </c>
      <c r="VG2" s="1">
        <v>46205</v>
      </c>
      <c r="VH2" s="1">
        <v>46177</v>
      </c>
      <c r="VI2" s="1">
        <v>45998</v>
      </c>
      <c r="VJ2" s="1">
        <v>46038</v>
      </c>
      <c r="VK2" s="1">
        <v>46118</v>
      </c>
      <c r="VL2" s="1">
        <v>45874</v>
      </c>
      <c r="VM2" s="1">
        <v>46096</v>
      </c>
      <c r="VN2" s="1">
        <v>46227</v>
      </c>
      <c r="VO2" s="1">
        <v>46164</v>
      </c>
      <c r="VP2" s="1">
        <v>46121</v>
      </c>
      <c r="VQ2" s="1">
        <v>46120</v>
      </c>
      <c r="VR2" s="1">
        <v>45871</v>
      </c>
      <c r="VS2" s="1">
        <v>45932</v>
      </c>
      <c r="VT2" s="1">
        <v>46105</v>
      </c>
      <c r="VU2" s="1">
        <v>46120</v>
      </c>
      <c r="VV2" s="1">
        <v>45876</v>
      </c>
      <c r="VW2" s="1">
        <v>46058</v>
      </c>
      <c r="VX2" s="1">
        <v>46022</v>
      </c>
      <c r="VY2" s="1">
        <v>46196</v>
      </c>
      <c r="VZ2" s="1">
        <v>45924</v>
      </c>
      <c r="WA2" s="1">
        <v>45871</v>
      </c>
      <c r="WB2" s="1">
        <v>46041</v>
      </c>
      <c r="WC2" s="1">
        <v>45912</v>
      </c>
      <c r="WD2" s="1">
        <v>45896</v>
      </c>
      <c r="WE2" s="1">
        <v>46187</v>
      </c>
      <c r="WF2" s="1">
        <v>46098</v>
      </c>
      <c r="WG2" s="1">
        <v>45879</v>
      </c>
      <c r="WH2" s="1">
        <v>46060</v>
      </c>
      <c r="WI2" s="1">
        <v>46206</v>
      </c>
      <c r="WJ2" s="1">
        <v>46113</v>
      </c>
      <c r="WK2" s="1">
        <v>45870</v>
      </c>
      <c r="WL2" s="1">
        <v>46099</v>
      </c>
      <c r="WM2" s="1">
        <v>46013</v>
      </c>
      <c r="WN2" s="1">
        <v>46197</v>
      </c>
      <c r="WO2" s="1">
        <v>46196</v>
      </c>
      <c r="WP2" s="1">
        <v>46103</v>
      </c>
      <c r="WQ2" s="1">
        <v>46221</v>
      </c>
      <c r="WR2" s="1">
        <v>46167</v>
      </c>
      <c r="WS2" s="1">
        <v>46193</v>
      </c>
      <c r="WT2" s="1">
        <v>45976</v>
      </c>
      <c r="WU2" s="1">
        <v>46091</v>
      </c>
      <c r="WV2" s="1">
        <v>46130</v>
      </c>
      <c r="WW2" s="1">
        <v>46225</v>
      </c>
      <c r="WX2" s="1">
        <v>46151</v>
      </c>
      <c r="WY2" s="1">
        <v>46013</v>
      </c>
      <c r="WZ2" s="1">
        <v>46109</v>
      </c>
      <c r="XA2" s="1">
        <v>46113</v>
      </c>
      <c r="XB2" s="1">
        <v>45904</v>
      </c>
      <c r="XC2" s="1">
        <v>46029</v>
      </c>
      <c r="XD2" s="1">
        <v>46186</v>
      </c>
      <c r="XE2" s="1">
        <v>46185</v>
      </c>
      <c r="XF2" s="1">
        <v>45984</v>
      </c>
      <c r="XG2" s="1">
        <v>45994</v>
      </c>
      <c r="XH2" s="1">
        <v>46082</v>
      </c>
      <c r="XI2" s="1">
        <v>45919</v>
      </c>
      <c r="XJ2" s="1">
        <v>46021</v>
      </c>
      <c r="XK2" s="1">
        <v>46026</v>
      </c>
      <c r="XL2" s="1">
        <v>46156</v>
      </c>
      <c r="XM2" s="1">
        <v>46118</v>
      </c>
      <c r="XN2" s="1">
        <v>46136</v>
      </c>
      <c r="XO2" s="1">
        <v>46112</v>
      </c>
      <c r="XP2" s="1">
        <v>45953</v>
      </c>
      <c r="XQ2" s="1">
        <v>45924</v>
      </c>
      <c r="XR2" s="1">
        <v>45901</v>
      </c>
      <c r="XS2" s="1">
        <v>45964</v>
      </c>
      <c r="XT2" s="1">
        <v>45926</v>
      </c>
      <c r="XU2" s="1">
        <v>46220</v>
      </c>
      <c r="XV2" s="1">
        <v>46184</v>
      </c>
      <c r="XW2" s="1">
        <v>46067</v>
      </c>
      <c r="XX2" s="1">
        <v>45879</v>
      </c>
      <c r="XY2" s="1">
        <v>46121</v>
      </c>
      <c r="XZ2" s="1">
        <v>46075</v>
      </c>
      <c r="YA2" s="1">
        <v>46162</v>
      </c>
      <c r="YB2" s="1">
        <v>45962</v>
      </c>
      <c r="YC2" s="1">
        <v>45955</v>
      </c>
      <c r="YD2" s="1">
        <v>46187</v>
      </c>
      <c r="YE2" s="1">
        <v>45999</v>
      </c>
      <c r="YF2" s="1">
        <v>46164</v>
      </c>
      <c r="YG2" s="1">
        <v>46020</v>
      </c>
      <c r="YH2" s="1">
        <v>45936</v>
      </c>
      <c r="YI2" s="1">
        <v>45930</v>
      </c>
      <c r="YJ2" s="1">
        <v>46101</v>
      </c>
      <c r="YK2" s="1">
        <v>46185</v>
      </c>
      <c r="YL2" s="1">
        <v>46107</v>
      </c>
      <c r="YM2" s="1">
        <v>45920</v>
      </c>
      <c r="YN2" s="1">
        <v>45985</v>
      </c>
      <c r="YO2" s="1">
        <v>45908</v>
      </c>
      <c r="YP2" s="1">
        <v>46137</v>
      </c>
      <c r="YQ2" s="1">
        <v>45930</v>
      </c>
      <c r="YR2" s="1">
        <v>45921</v>
      </c>
      <c r="YS2" s="1">
        <v>45980</v>
      </c>
      <c r="YT2" s="1">
        <v>46067</v>
      </c>
      <c r="YU2" s="1">
        <v>45959</v>
      </c>
      <c r="YV2" s="1">
        <v>46162</v>
      </c>
      <c r="YW2" s="1">
        <v>46118</v>
      </c>
      <c r="YX2" s="1">
        <v>46119</v>
      </c>
      <c r="YY2" s="1">
        <v>46176</v>
      </c>
      <c r="YZ2" s="1">
        <v>45900</v>
      </c>
      <c r="ZA2" s="1">
        <v>46157</v>
      </c>
      <c r="ZB2" s="1">
        <v>45888</v>
      </c>
      <c r="ZC2" s="1">
        <v>46043</v>
      </c>
      <c r="ZD2" s="1">
        <v>46004</v>
      </c>
      <c r="ZE2" s="1">
        <v>46138</v>
      </c>
      <c r="ZF2" s="1">
        <v>46191</v>
      </c>
      <c r="ZG2" s="1">
        <v>45922</v>
      </c>
      <c r="ZH2" s="1">
        <v>46034</v>
      </c>
      <c r="ZI2" s="1">
        <v>45915</v>
      </c>
      <c r="ZJ2" s="1">
        <v>45955</v>
      </c>
      <c r="ZK2" s="1">
        <v>46043</v>
      </c>
      <c r="ZL2" s="1">
        <v>46221</v>
      </c>
      <c r="ZM2" s="1">
        <v>46208</v>
      </c>
      <c r="ZN2" s="1">
        <v>46140</v>
      </c>
      <c r="ZO2" s="1">
        <v>46220</v>
      </c>
      <c r="ZP2" s="1">
        <v>46077</v>
      </c>
      <c r="ZQ2" s="1">
        <v>46061</v>
      </c>
      <c r="ZR2" s="1">
        <v>46017</v>
      </c>
      <c r="ZS2" s="1">
        <v>46008</v>
      </c>
      <c r="ZT2" s="1">
        <v>46219</v>
      </c>
      <c r="ZU2" s="1">
        <v>46014</v>
      </c>
      <c r="ZV2" s="1">
        <v>46142</v>
      </c>
      <c r="ZW2" s="1">
        <v>45895</v>
      </c>
      <c r="ZX2" s="1">
        <v>45905</v>
      </c>
      <c r="ZY2" s="1">
        <v>45870</v>
      </c>
      <c r="ZZ2" s="1">
        <v>45986</v>
      </c>
      <c r="AAA2" s="1">
        <v>46205</v>
      </c>
      <c r="AAB2" s="1">
        <v>46161</v>
      </c>
      <c r="AAC2" s="1">
        <v>46216</v>
      </c>
      <c r="AAD2" s="1">
        <v>45887</v>
      </c>
      <c r="AAE2" s="1">
        <v>46188</v>
      </c>
      <c r="AAF2" s="1">
        <v>46198</v>
      </c>
      <c r="AAG2" s="1">
        <v>46114</v>
      </c>
      <c r="AAH2" s="1">
        <v>46099</v>
      </c>
      <c r="AAI2" s="1">
        <v>46118</v>
      </c>
      <c r="AAJ2" s="1">
        <v>46203</v>
      </c>
      <c r="AAK2" s="1">
        <v>46208</v>
      </c>
      <c r="AAL2" s="1">
        <v>46032</v>
      </c>
      <c r="AAM2" s="1">
        <v>46007</v>
      </c>
      <c r="AAN2" s="1">
        <v>46167</v>
      </c>
      <c r="AAO2" s="1">
        <v>45894</v>
      </c>
      <c r="AAP2" s="1">
        <v>46126</v>
      </c>
      <c r="AAQ2" s="1">
        <v>46211</v>
      </c>
      <c r="AAR2" s="1">
        <v>45902</v>
      </c>
      <c r="AAS2" s="1">
        <v>46073</v>
      </c>
      <c r="AAT2" s="1">
        <v>46146</v>
      </c>
      <c r="AAU2" s="1">
        <v>45990</v>
      </c>
      <c r="AAV2" s="1">
        <v>46215</v>
      </c>
      <c r="AAW2" s="1">
        <v>45981</v>
      </c>
      <c r="AAX2" s="1">
        <v>45925</v>
      </c>
      <c r="AAY2" s="1">
        <v>46088</v>
      </c>
      <c r="AAZ2" s="1">
        <v>46183</v>
      </c>
      <c r="ABA2" s="1">
        <v>46030</v>
      </c>
      <c r="ABB2" s="1">
        <v>45925</v>
      </c>
      <c r="ABC2" s="1">
        <v>45882</v>
      </c>
      <c r="ABD2" s="1">
        <v>45934</v>
      </c>
      <c r="ABE2" s="1">
        <v>45944</v>
      </c>
      <c r="ABF2" s="1">
        <v>45913</v>
      </c>
      <c r="ABG2" s="1">
        <v>46020</v>
      </c>
      <c r="ABH2" s="1">
        <v>46160</v>
      </c>
      <c r="ABI2" s="1">
        <v>45973</v>
      </c>
      <c r="ABJ2" s="1">
        <v>46025</v>
      </c>
      <c r="ABK2" s="1">
        <v>46172</v>
      </c>
      <c r="ABL2" s="1">
        <v>45946</v>
      </c>
      <c r="ABM2" s="1">
        <v>46034</v>
      </c>
      <c r="ABN2" s="1">
        <v>45922</v>
      </c>
      <c r="ABO2" s="1">
        <v>45933</v>
      </c>
      <c r="ABP2" s="1">
        <v>45979</v>
      </c>
      <c r="ABQ2" s="1">
        <v>46171</v>
      </c>
      <c r="ABR2" s="1">
        <v>45952</v>
      </c>
      <c r="ABS2" s="1">
        <v>46195</v>
      </c>
      <c r="ABT2" s="1">
        <v>45887</v>
      </c>
      <c r="ABU2" s="1">
        <v>46164</v>
      </c>
      <c r="ABV2" s="1">
        <v>46077</v>
      </c>
      <c r="ABW2" s="1">
        <v>46085</v>
      </c>
      <c r="ABX2" s="1">
        <v>46059</v>
      </c>
      <c r="ABY2" s="1">
        <v>46018</v>
      </c>
      <c r="ABZ2" s="1">
        <v>46185</v>
      </c>
      <c r="ACA2" s="1">
        <v>46231</v>
      </c>
      <c r="ACB2" s="1">
        <v>46211</v>
      </c>
      <c r="ACC2" s="1">
        <v>46208</v>
      </c>
      <c r="ACD2" s="1">
        <v>46180</v>
      </c>
      <c r="ACE2" s="1">
        <v>46217</v>
      </c>
      <c r="ACF2" s="1">
        <v>45976</v>
      </c>
      <c r="ACG2" s="1">
        <v>46209</v>
      </c>
      <c r="ACH2" s="1">
        <v>46164</v>
      </c>
      <c r="ACI2" s="1">
        <v>46121</v>
      </c>
      <c r="ACJ2" s="1">
        <v>45900</v>
      </c>
      <c r="ACK2" s="1">
        <v>45966</v>
      </c>
      <c r="ACL2" s="1">
        <v>45985</v>
      </c>
      <c r="ACM2" s="1">
        <v>45956</v>
      </c>
      <c r="ACN2" s="1">
        <v>46229</v>
      </c>
      <c r="ACO2" s="1">
        <v>46134</v>
      </c>
      <c r="ACP2" s="1">
        <v>46018</v>
      </c>
      <c r="ACQ2" s="1">
        <v>45999</v>
      </c>
      <c r="ACR2" s="1">
        <v>46035</v>
      </c>
      <c r="ACS2" s="1">
        <v>46181</v>
      </c>
      <c r="ACT2" s="1">
        <v>45892</v>
      </c>
      <c r="ACU2" s="1">
        <v>46099</v>
      </c>
      <c r="ACV2" s="1">
        <v>45973</v>
      </c>
      <c r="ACW2" s="1">
        <v>46181</v>
      </c>
      <c r="ACX2" s="1">
        <v>46219</v>
      </c>
      <c r="ACY2" s="1">
        <v>45910</v>
      </c>
      <c r="ACZ2" s="1">
        <v>45910</v>
      </c>
      <c r="ADA2" s="1">
        <v>46178</v>
      </c>
      <c r="ADB2" s="1">
        <v>46041</v>
      </c>
      <c r="ADC2" s="1">
        <v>46126</v>
      </c>
      <c r="ADD2" s="1">
        <v>46050</v>
      </c>
      <c r="ADE2" s="1">
        <v>46197</v>
      </c>
      <c r="ADF2" s="1">
        <v>45969</v>
      </c>
      <c r="ADG2" s="1">
        <v>45937</v>
      </c>
      <c r="ADH2" s="1">
        <v>46123</v>
      </c>
      <c r="ADI2" s="1">
        <v>46130</v>
      </c>
      <c r="ADJ2" s="1">
        <v>46186</v>
      </c>
      <c r="ADK2" s="1">
        <v>46123</v>
      </c>
      <c r="ADL2" s="1">
        <v>45912</v>
      </c>
      <c r="ADM2" s="1">
        <v>46064</v>
      </c>
      <c r="ADN2" s="1">
        <v>46149</v>
      </c>
      <c r="ADO2" s="1">
        <v>46061</v>
      </c>
      <c r="ADP2" s="1">
        <v>45978</v>
      </c>
      <c r="ADQ2" s="1">
        <v>46102</v>
      </c>
      <c r="ADR2" s="1">
        <v>45920</v>
      </c>
      <c r="ADS2" s="1">
        <v>46144</v>
      </c>
      <c r="ADT2" s="1">
        <v>46059</v>
      </c>
      <c r="ADU2" s="1">
        <v>46068</v>
      </c>
      <c r="ADV2" s="1">
        <v>45943</v>
      </c>
      <c r="ADW2" s="1">
        <v>45966</v>
      </c>
      <c r="ADX2" s="1">
        <v>46182</v>
      </c>
      <c r="ADY2" s="1">
        <v>45899</v>
      </c>
      <c r="ADZ2" s="1">
        <v>46173</v>
      </c>
      <c r="AEA2" s="1">
        <v>46058</v>
      </c>
      <c r="AEB2" s="1">
        <v>46215</v>
      </c>
      <c r="AEC2" s="1">
        <v>45972</v>
      </c>
      <c r="AED2" s="1">
        <v>45896</v>
      </c>
      <c r="AEE2" s="1">
        <v>46183</v>
      </c>
      <c r="AEF2" s="1">
        <v>46007</v>
      </c>
      <c r="AEG2" s="1">
        <v>46054</v>
      </c>
      <c r="AEH2" s="1">
        <v>45992</v>
      </c>
      <c r="AEI2" s="1">
        <v>45989</v>
      </c>
      <c r="AEJ2" s="1">
        <v>45928</v>
      </c>
      <c r="AEK2" s="1">
        <v>45896</v>
      </c>
      <c r="AEL2" s="1">
        <v>46007</v>
      </c>
      <c r="AEM2" s="1">
        <v>46068</v>
      </c>
      <c r="AEN2" s="1">
        <v>45926</v>
      </c>
      <c r="AEO2" s="1">
        <v>46068</v>
      </c>
      <c r="AEP2" s="1">
        <v>46073</v>
      </c>
      <c r="AEQ2" s="1">
        <v>46103</v>
      </c>
      <c r="AER2" s="1">
        <v>45905</v>
      </c>
      <c r="AES2" s="1">
        <v>45977</v>
      </c>
      <c r="AET2" s="1">
        <v>45968</v>
      </c>
      <c r="AEU2" s="1">
        <v>45947</v>
      </c>
      <c r="AEV2" s="1">
        <v>45920</v>
      </c>
      <c r="AEW2" s="1">
        <v>45870</v>
      </c>
      <c r="AEX2" s="1">
        <v>46165</v>
      </c>
      <c r="AEY2" s="1">
        <v>46211</v>
      </c>
      <c r="AEZ2" s="1">
        <v>45883</v>
      </c>
      <c r="AFA2" s="1">
        <v>45974</v>
      </c>
      <c r="AFB2" s="1">
        <v>46033</v>
      </c>
      <c r="AFC2" s="1">
        <v>46085</v>
      </c>
      <c r="AFD2" s="1">
        <v>45977</v>
      </c>
      <c r="AFE2" s="1">
        <v>46137</v>
      </c>
      <c r="AFF2" s="1">
        <v>45907</v>
      </c>
      <c r="AFG2" s="1">
        <v>46177</v>
      </c>
      <c r="AFH2" s="1">
        <v>46075</v>
      </c>
      <c r="AFI2" s="1">
        <v>46210</v>
      </c>
      <c r="AFJ2" s="1">
        <v>46037</v>
      </c>
      <c r="AFK2" s="1">
        <v>45994</v>
      </c>
      <c r="AFL2" s="1">
        <v>45959</v>
      </c>
      <c r="AFM2" s="1">
        <v>45965</v>
      </c>
      <c r="AFN2" s="1">
        <v>46006</v>
      </c>
      <c r="AFO2" s="1">
        <v>45961</v>
      </c>
      <c r="AFP2" s="1">
        <v>45888</v>
      </c>
      <c r="AFQ2" s="1">
        <v>46043</v>
      </c>
      <c r="AFR2" s="1">
        <v>46221</v>
      </c>
      <c r="AFS2" s="1">
        <v>45963</v>
      </c>
      <c r="AFT2" s="1">
        <v>46100</v>
      </c>
      <c r="AFU2" s="1">
        <v>46087</v>
      </c>
      <c r="AFV2" s="1">
        <v>45982</v>
      </c>
      <c r="AFW2" s="1">
        <v>46178</v>
      </c>
      <c r="AFX2" s="1">
        <v>46141</v>
      </c>
      <c r="AFY2" s="1">
        <v>46209</v>
      </c>
      <c r="AFZ2" s="1">
        <v>46006</v>
      </c>
      <c r="AGA2" s="1">
        <v>46186</v>
      </c>
      <c r="AGB2" s="1">
        <v>45909</v>
      </c>
      <c r="AGC2" s="1">
        <v>46093</v>
      </c>
      <c r="AGD2" s="1">
        <v>46030</v>
      </c>
      <c r="AGE2" s="1">
        <v>46083</v>
      </c>
      <c r="AGF2" s="1">
        <v>46135</v>
      </c>
      <c r="AGG2" s="1">
        <v>46135</v>
      </c>
      <c r="AGH2" s="1">
        <v>45928</v>
      </c>
      <c r="AGI2" s="1">
        <v>46120</v>
      </c>
      <c r="AGJ2" s="1">
        <v>46156</v>
      </c>
      <c r="AGK2" s="1">
        <v>46042</v>
      </c>
      <c r="AGL2" s="1">
        <v>46136</v>
      </c>
      <c r="AGM2" s="1">
        <v>46089</v>
      </c>
      <c r="AGN2" s="1">
        <v>46199</v>
      </c>
      <c r="AGO2" s="1">
        <v>46038</v>
      </c>
      <c r="AGP2" s="1">
        <v>46185</v>
      </c>
      <c r="AGQ2" s="1">
        <v>46012</v>
      </c>
      <c r="AGR2" s="1">
        <v>45976</v>
      </c>
      <c r="AGS2" s="1">
        <v>45895</v>
      </c>
      <c r="AGT2" s="1">
        <v>46099</v>
      </c>
      <c r="AGU2" s="1">
        <v>46131</v>
      </c>
      <c r="AGV2" s="1">
        <v>45904</v>
      </c>
      <c r="AGW2" s="1">
        <v>46088</v>
      </c>
      <c r="AGX2" s="1">
        <v>45920</v>
      </c>
      <c r="AGY2" s="1">
        <v>46197</v>
      </c>
      <c r="AGZ2" s="1">
        <v>45995</v>
      </c>
      <c r="AHA2" s="1">
        <v>46081</v>
      </c>
      <c r="AHB2" s="1">
        <v>46197</v>
      </c>
      <c r="AHC2" s="1">
        <v>45969</v>
      </c>
      <c r="AHD2" s="1">
        <v>45991</v>
      </c>
      <c r="AHE2" s="1">
        <v>45950</v>
      </c>
      <c r="AHF2" s="1">
        <v>46130</v>
      </c>
      <c r="AHG2" s="1">
        <v>46176</v>
      </c>
      <c r="AHH2" s="1">
        <v>46094</v>
      </c>
      <c r="AHI2" s="1">
        <v>46129</v>
      </c>
      <c r="AHJ2" s="1">
        <v>46093</v>
      </c>
      <c r="AHK2" s="1">
        <v>46067</v>
      </c>
      <c r="AHL2" s="1">
        <v>46131</v>
      </c>
      <c r="AHM2" s="1">
        <v>45942</v>
      </c>
      <c r="AHN2" s="1">
        <v>46098</v>
      </c>
      <c r="AHO2" s="1">
        <v>45875</v>
      </c>
      <c r="AHP2" s="1">
        <v>45874</v>
      </c>
      <c r="AHQ2" s="1">
        <v>45921</v>
      </c>
      <c r="AHR2" s="1">
        <v>46118</v>
      </c>
      <c r="AHS2" s="1">
        <v>46212</v>
      </c>
      <c r="AHT2" s="1">
        <v>45992</v>
      </c>
      <c r="AHU2" s="1">
        <v>46011</v>
      </c>
      <c r="AHV2" s="1">
        <v>46190</v>
      </c>
      <c r="AHW2" s="1">
        <v>46105</v>
      </c>
      <c r="AHX2" s="1">
        <v>45914</v>
      </c>
      <c r="AHY2" s="1">
        <v>45872</v>
      </c>
      <c r="AHZ2" s="1">
        <v>45917</v>
      </c>
      <c r="AIA2" s="1">
        <v>45989</v>
      </c>
      <c r="AIB2" s="1">
        <v>46119</v>
      </c>
      <c r="AIC2" s="1">
        <v>46005</v>
      </c>
      <c r="AID2" s="1">
        <v>46113</v>
      </c>
      <c r="AIE2" s="1">
        <v>45872</v>
      </c>
      <c r="AIF2" s="1">
        <v>46235</v>
      </c>
      <c r="AIG2" s="1">
        <v>46129</v>
      </c>
      <c r="AIH2" s="1">
        <v>45886</v>
      </c>
      <c r="AII2" s="1">
        <v>45871</v>
      </c>
      <c r="AIJ2" s="1">
        <v>45957</v>
      </c>
      <c r="AIK2" s="1">
        <v>46005</v>
      </c>
      <c r="AIL2" s="1">
        <v>46229</v>
      </c>
      <c r="AIM2" s="1">
        <v>46087</v>
      </c>
      <c r="AIN2" s="1">
        <v>46224</v>
      </c>
      <c r="AIO2" s="1">
        <v>46164</v>
      </c>
      <c r="AIP2" s="1">
        <v>46053</v>
      </c>
      <c r="AIQ2" s="1">
        <v>46017</v>
      </c>
      <c r="AIR2" s="1">
        <v>46235</v>
      </c>
      <c r="AIS2" s="1">
        <v>45891</v>
      </c>
      <c r="AIT2" s="1">
        <v>45915</v>
      </c>
      <c r="AIU2" s="1">
        <v>45940</v>
      </c>
      <c r="AIV2" s="1">
        <v>46138</v>
      </c>
      <c r="AIW2" s="1">
        <v>46185</v>
      </c>
      <c r="AIX2" s="1">
        <v>45914</v>
      </c>
      <c r="AIY2" s="1">
        <v>45992</v>
      </c>
      <c r="AIZ2" s="1">
        <v>46002</v>
      </c>
      <c r="AJA2" s="1">
        <v>46065</v>
      </c>
      <c r="AJB2" s="1">
        <v>46216</v>
      </c>
      <c r="AJC2" s="1">
        <v>46111</v>
      </c>
      <c r="AJD2" s="1">
        <v>45903</v>
      </c>
      <c r="AJE2" s="1">
        <v>46212</v>
      </c>
      <c r="AJF2" s="1">
        <v>46208</v>
      </c>
      <c r="AJG2" s="1">
        <v>45939</v>
      </c>
      <c r="AJH2" s="1">
        <v>46081</v>
      </c>
      <c r="AJI2" s="1">
        <v>46191</v>
      </c>
      <c r="AJJ2" s="1">
        <v>46203</v>
      </c>
      <c r="AJK2" s="1">
        <v>45920</v>
      </c>
      <c r="AJL2" s="1">
        <v>46148</v>
      </c>
      <c r="AJM2" s="1">
        <v>46163</v>
      </c>
      <c r="AJN2" s="1">
        <v>46122</v>
      </c>
      <c r="AJO2" s="1">
        <v>46065</v>
      </c>
      <c r="AJP2" s="1">
        <v>45896</v>
      </c>
      <c r="AJQ2" s="1">
        <v>46001</v>
      </c>
      <c r="AJR2" s="1">
        <v>46231</v>
      </c>
      <c r="AJS2" s="1">
        <v>46206</v>
      </c>
      <c r="AJT2" s="1">
        <v>46156</v>
      </c>
      <c r="AJU2" s="1">
        <v>45895</v>
      </c>
      <c r="AJV2" s="1">
        <v>45901</v>
      </c>
      <c r="AJW2" s="1">
        <v>45887</v>
      </c>
      <c r="AJX2" s="1">
        <v>46059</v>
      </c>
      <c r="AJY2" s="1">
        <v>46026</v>
      </c>
      <c r="AJZ2" s="1">
        <v>45922</v>
      </c>
      <c r="AKA2" s="1">
        <v>46121</v>
      </c>
      <c r="AKB2" s="1">
        <v>46089</v>
      </c>
      <c r="AKC2" s="1">
        <v>46203</v>
      </c>
      <c r="AKD2" s="1">
        <v>46064</v>
      </c>
      <c r="AKE2" s="1">
        <v>45876</v>
      </c>
      <c r="AKF2" s="1">
        <v>46076</v>
      </c>
      <c r="AKG2" s="1">
        <v>46138</v>
      </c>
      <c r="AKH2" s="1">
        <v>45889</v>
      </c>
      <c r="AKI2" s="1">
        <v>46112</v>
      </c>
      <c r="AKJ2" s="1">
        <v>45913</v>
      </c>
      <c r="AKK2" s="1">
        <v>46096</v>
      </c>
      <c r="AKL2" s="1">
        <v>46223</v>
      </c>
      <c r="AKM2" s="1">
        <v>46228</v>
      </c>
      <c r="AKN2" s="1">
        <v>46147</v>
      </c>
      <c r="AKO2" s="1">
        <v>46105</v>
      </c>
      <c r="AKP2" s="1">
        <v>46219</v>
      </c>
      <c r="AKQ2" s="1">
        <v>46003</v>
      </c>
      <c r="AKR2" s="1">
        <v>46092</v>
      </c>
      <c r="AKS2" s="1">
        <v>45973</v>
      </c>
      <c r="AKT2" s="1">
        <v>45957</v>
      </c>
      <c r="AKU2" s="1">
        <v>46086</v>
      </c>
      <c r="AKV2" s="1">
        <v>45968</v>
      </c>
      <c r="AKW2" s="1">
        <v>46055</v>
      </c>
      <c r="AKX2" s="1">
        <v>46235</v>
      </c>
      <c r="AKY2" s="1">
        <v>46187</v>
      </c>
      <c r="AKZ2" s="1">
        <v>45926</v>
      </c>
      <c r="ALA2" s="1">
        <v>46097</v>
      </c>
      <c r="ALB2" s="1">
        <v>46058</v>
      </c>
      <c r="ALC2" s="1">
        <v>45970</v>
      </c>
      <c r="ALD2" s="1">
        <v>45930</v>
      </c>
      <c r="ALE2" s="1">
        <v>46049</v>
      </c>
      <c r="ALF2" s="1">
        <v>46193</v>
      </c>
      <c r="ALG2" s="1">
        <v>46139</v>
      </c>
      <c r="ALH2" s="1">
        <v>46199</v>
      </c>
      <c r="ALI2" s="1">
        <v>46115</v>
      </c>
      <c r="ALJ2" s="1">
        <v>46064</v>
      </c>
      <c r="ALK2" s="1">
        <v>46157</v>
      </c>
      <c r="ALL2" s="1">
        <v>46226</v>
      </c>
      <c r="ALM2" s="1">
        <v>46151</v>
      </c>
    </row>
    <row r="3" spans="1:1001" ht="21" x14ac:dyDescent="0.3">
      <c r="A3" s="3" t="s">
        <v>2</v>
      </c>
      <c r="B3" s="2" t="s">
        <v>16</v>
      </c>
      <c r="C3" s="2" t="s">
        <v>24</v>
      </c>
      <c r="D3" s="2" t="s">
        <v>32</v>
      </c>
      <c r="E3" s="2" t="s">
        <v>16</v>
      </c>
      <c r="F3" s="2" t="s">
        <v>41</v>
      </c>
      <c r="G3" s="2" t="s">
        <v>43</v>
      </c>
      <c r="H3" s="2" t="s">
        <v>32</v>
      </c>
      <c r="I3" s="2" t="s">
        <v>32</v>
      </c>
      <c r="J3" s="2" t="s">
        <v>16</v>
      </c>
      <c r="K3" s="2" t="s">
        <v>54</v>
      </c>
      <c r="L3" s="2" t="s">
        <v>41</v>
      </c>
      <c r="M3" s="2" t="s">
        <v>16</v>
      </c>
      <c r="N3" s="2" t="s">
        <v>41</v>
      </c>
      <c r="O3" s="2" t="s">
        <v>41</v>
      </c>
      <c r="P3" s="2" t="s">
        <v>43</v>
      </c>
      <c r="Q3" s="2" t="s">
        <v>32</v>
      </c>
      <c r="R3" s="2" t="s">
        <v>24</v>
      </c>
      <c r="S3" s="2" t="s">
        <v>43</v>
      </c>
      <c r="T3" s="2" t="s">
        <v>43</v>
      </c>
      <c r="U3" s="2" t="s">
        <v>41</v>
      </c>
      <c r="V3" s="2" t="s">
        <v>74</v>
      </c>
      <c r="W3" s="2" t="s">
        <v>32</v>
      </c>
      <c r="X3" s="2" t="s">
        <v>54</v>
      </c>
      <c r="Y3" s="2" t="s">
        <v>43</v>
      </c>
      <c r="Z3" s="2" t="s">
        <v>24</v>
      </c>
      <c r="AA3" s="2" t="s">
        <v>74</v>
      </c>
      <c r="AB3" s="2" t="s">
        <v>74</v>
      </c>
      <c r="AC3" s="2" t="s">
        <v>54</v>
      </c>
      <c r="AD3" s="2" t="s">
        <v>43</v>
      </c>
      <c r="AE3" s="2" t="s">
        <v>24</v>
      </c>
      <c r="AF3" s="2" t="s">
        <v>32</v>
      </c>
      <c r="AG3" s="2" t="s">
        <v>90</v>
      </c>
      <c r="AH3" s="2" t="s">
        <v>24</v>
      </c>
      <c r="AI3" s="2" t="s">
        <v>54</v>
      </c>
      <c r="AJ3" s="2" t="s">
        <v>74</v>
      </c>
      <c r="AK3" s="2" t="s">
        <v>32</v>
      </c>
      <c r="AL3" s="2" t="s">
        <v>24</v>
      </c>
      <c r="AM3" s="2" t="s">
        <v>90</v>
      </c>
      <c r="AN3" s="2" t="s">
        <v>90</v>
      </c>
      <c r="AO3" s="2" t="s">
        <v>41</v>
      </c>
      <c r="AP3" s="2" t="s">
        <v>41</v>
      </c>
      <c r="AQ3" s="2" t="s">
        <v>16</v>
      </c>
      <c r="AR3" s="2" t="s">
        <v>54</v>
      </c>
      <c r="AS3" s="2" t="s">
        <v>43</v>
      </c>
      <c r="AT3" s="2" t="s">
        <v>24</v>
      </c>
      <c r="AU3" s="2" t="s">
        <v>24</v>
      </c>
      <c r="AV3" s="2" t="s">
        <v>43</v>
      </c>
      <c r="AW3" s="2" t="s">
        <v>16</v>
      </c>
      <c r="AX3" s="2" t="s">
        <v>74</v>
      </c>
      <c r="AY3" s="2" t="s">
        <v>74</v>
      </c>
      <c r="AZ3" s="2" t="s">
        <v>16</v>
      </c>
      <c r="BA3" s="2" t="s">
        <v>74</v>
      </c>
      <c r="BB3" s="2" t="s">
        <v>41</v>
      </c>
      <c r="BC3" s="2" t="s">
        <v>24</v>
      </c>
      <c r="BD3" s="2" t="s">
        <v>16</v>
      </c>
      <c r="BE3" s="2" t="s">
        <v>24</v>
      </c>
      <c r="BF3" s="2" t="s">
        <v>43</v>
      </c>
      <c r="BG3" s="2" t="s">
        <v>90</v>
      </c>
      <c r="BH3" s="2" t="s">
        <v>41</v>
      </c>
      <c r="BI3" s="2" t="s">
        <v>32</v>
      </c>
      <c r="BJ3" s="2" t="s">
        <v>41</v>
      </c>
      <c r="BK3" s="2" t="s">
        <v>16</v>
      </c>
      <c r="BL3" s="2" t="s">
        <v>32</v>
      </c>
      <c r="BM3" s="2" t="s">
        <v>90</v>
      </c>
      <c r="BN3" s="2" t="s">
        <v>16</v>
      </c>
      <c r="BO3" s="2" t="s">
        <v>54</v>
      </c>
      <c r="BP3" s="2" t="s">
        <v>24</v>
      </c>
      <c r="BQ3" s="2" t="s">
        <v>90</v>
      </c>
      <c r="BR3" s="2" t="s">
        <v>24</v>
      </c>
      <c r="BS3" s="2" t="s">
        <v>74</v>
      </c>
      <c r="BT3" s="2" t="s">
        <v>54</v>
      </c>
      <c r="BU3" s="2" t="s">
        <v>54</v>
      </c>
      <c r="BV3" s="2" t="s">
        <v>90</v>
      </c>
      <c r="BW3" s="2" t="s">
        <v>54</v>
      </c>
      <c r="BX3" s="2" t="s">
        <v>32</v>
      </c>
      <c r="BY3" s="2" t="s">
        <v>54</v>
      </c>
      <c r="BZ3" s="2" t="s">
        <v>24</v>
      </c>
      <c r="CA3" s="2" t="s">
        <v>24</v>
      </c>
      <c r="CB3" s="2" t="s">
        <v>16</v>
      </c>
      <c r="CC3" s="2" t="s">
        <v>24</v>
      </c>
      <c r="CD3" s="2" t="s">
        <v>16</v>
      </c>
      <c r="CE3" s="2" t="s">
        <v>24</v>
      </c>
      <c r="CF3" s="2" t="s">
        <v>32</v>
      </c>
      <c r="CG3" s="2" t="s">
        <v>43</v>
      </c>
      <c r="CH3" s="2" t="s">
        <v>16</v>
      </c>
      <c r="CI3" s="2" t="s">
        <v>41</v>
      </c>
      <c r="CJ3" s="2" t="s">
        <v>74</v>
      </c>
      <c r="CK3" s="2" t="s">
        <v>90</v>
      </c>
      <c r="CL3" s="2" t="s">
        <v>24</v>
      </c>
      <c r="CM3" s="2" t="s">
        <v>54</v>
      </c>
      <c r="CN3" s="2" t="s">
        <v>43</v>
      </c>
      <c r="CO3" s="2" t="s">
        <v>24</v>
      </c>
      <c r="CP3" s="2" t="s">
        <v>54</v>
      </c>
      <c r="CQ3" s="2" t="s">
        <v>74</v>
      </c>
      <c r="CR3" s="2" t="s">
        <v>74</v>
      </c>
      <c r="CS3" s="2" t="s">
        <v>74</v>
      </c>
      <c r="CT3" s="2" t="s">
        <v>54</v>
      </c>
      <c r="CU3" s="2" t="s">
        <v>24</v>
      </c>
      <c r="CV3" s="2" t="s">
        <v>74</v>
      </c>
      <c r="CW3" s="2" t="s">
        <v>32</v>
      </c>
      <c r="CX3" s="2" t="s">
        <v>16</v>
      </c>
      <c r="CY3" s="2" t="s">
        <v>54</v>
      </c>
      <c r="CZ3" s="2" t="s">
        <v>54</v>
      </c>
      <c r="DA3" s="2" t="s">
        <v>24</v>
      </c>
      <c r="DB3" s="2" t="s">
        <v>54</v>
      </c>
      <c r="DC3" s="2" t="s">
        <v>54</v>
      </c>
      <c r="DD3" s="2" t="s">
        <v>74</v>
      </c>
      <c r="DE3" s="2" t="s">
        <v>24</v>
      </c>
      <c r="DF3" s="2" t="s">
        <v>74</v>
      </c>
      <c r="DG3" s="2" t="s">
        <v>16</v>
      </c>
      <c r="DH3" s="2" t="s">
        <v>43</v>
      </c>
      <c r="DI3" s="2" t="s">
        <v>16</v>
      </c>
      <c r="DJ3" s="2" t="s">
        <v>43</v>
      </c>
      <c r="DK3" s="2" t="s">
        <v>74</v>
      </c>
      <c r="DL3" s="2" t="s">
        <v>16</v>
      </c>
      <c r="DM3" s="2" t="s">
        <v>24</v>
      </c>
      <c r="DN3" s="2" t="s">
        <v>90</v>
      </c>
      <c r="DO3" s="2" t="s">
        <v>74</v>
      </c>
      <c r="DP3" s="2" t="s">
        <v>43</v>
      </c>
      <c r="DQ3" s="2" t="s">
        <v>32</v>
      </c>
      <c r="DR3" s="2" t="s">
        <v>43</v>
      </c>
      <c r="DS3" s="2" t="s">
        <v>32</v>
      </c>
      <c r="DT3" s="2" t="s">
        <v>54</v>
      </c>
      <c r="DU3" s="2" t="s">
        <v>16</v>
      </c>
      <c r="DV3" s="2" t="s">
        <v>32</v>
      </c>
      <c r="DW3" s="2" t="s">
        <v>43</v>
      </c>
      <c r="DX3" s="2" t="s">
        <v>54</v>
      </c>
      <c r="DY3" s="2" t="s">
        <v>90</v>
      </c>
      <c r="DZ3" s="2" t="s">
        <v>24</v>
      </c>
      <c r="EA3" s="2" t="s">
        <v>24</v>
      </c>
      <c r="EB3" s="2" t="s">
        <v>24</v>
      </c>
      <c r="EC3" s="2" t="s">
        <v>32</v>
      </c>
      <c r="ED3" s="2" t="s">
        <v>90</v>
      </c>
      <c r="EE3" s="2" t="s">
        <v>32</v>
      </c>
      <c r="EF3" s="2" t="s">
        <v>16</v>
      </c>
      <c r="EG3" s="2" t="s">
        <v>32</v>
      </c>
      <c r="EH3" s="2" t="s">
        <v>90</v>
      </c>
      <c r="EI3" s="2" t="s">
        <v>90</v>
      </c>
      <c r="EJ3" s="2" t="s">
        <v>16</v>
      </c>
      <c r="EK3" s="2" t="s">
        <v>90</v>
      </c>
      <c r="EL3" s="2" t="s">
        <v>43</v>
      </c>
      <c r="EM3" s="2" t="s">
        <v>90</v>
      </c>
      <c r="EN3" s="2" t="s">
        <v>24</v>
      </c>
      <c r="EO3" s="2" t="s">
        <v>43</v>
      </c>
      <c r="EP3" s="2" t="s">
        <v>43</v>
      </c>
      <c r="EQ3" s="2" t="s">
        <v>16</v>
      </c>
      <c r="ER3" s="2" t="s">
        <v>41</v>
      </c>
      <c r="ES3" s="2" t="s">
        <v>41</v>
      </c>
      <c r="ET3" s="2" t="s">
        <v>90</v>
      </c>
      <c r="EU3" s="2" t="s">
        <v>43</v>
      </c>
      <c r="EV3" s="2" t="s">
        <v>41</v>
      </c>
      <c r="EW3" s="2" t="s">
        <v>41</v>
      </c>
      <c r="EX3" s="2" t="s">
        <v>90</v>
      </c>
      <c r="EY3" s="2" t="s">
        <v>41</v>
      </c>
      <c r="EZ3" s="2" t="s">
        <v>32</v>
      </c>
      <c r="FA3" s="2" t="s">
        <v>54</v>
      </c>
      <c r="FB3" s="2" t="s">
        <v>16</v>
      </c>
      <c r="FC3" s="2" t="s">
        <v>54</v>
      </c>
      <c r="FD3" s="2" t="s">
        <v>90</v>
      </c>
      <c r="FE3" s="2" t="s">
        <v>24</v>
      </c>
      <c r="FF3" s="2" t="s">
        <v>16</v>
      </c>
      <c r="FG3" s="2" t="s">
        <v>90</v>
      </c>
      <c r="FH3" s="2" t="s">
        <v>43</v>
      </c>
      <c r="FI3" s="2" t="s">
        <v>24</v>
      </c>
      <c r="FJ3" s="2" t="s">
        <v>54</v>
      </c>
      <c r="FK3" s="2" t="s">
        <v>90</v>
      </c>
      <c r="FL3" s="2" t="s">
        <v>43</v>
      </c>
      <c r="FM3" s="2" t="s">
        <v>16</v>
      </c>
      <c r="FN3" s="2" t="s">
        <v>16</v>
      </c>
      <c r="FO3" s="2" t="s">
        <v>74</v>
      </c>
      <c r="FP3" s="2" t="s">
        <v>43</v>
      </c>
      <c r="FQ3" s="2" t="s">
        <v>32</v>
      </c>
      <c r="FR3" s="2" t="s">
        <v>41</v>
      </c>
      <c r="FS3" s="2" t="s">
        <v>24</v>
      </c>
      <c r="FT3" s="2" t="s">
        <v>43</v>
      </c>
      <c r="FU3" s="2" t="s">
        <v>74</v>
      </c>
      <c r="FV3" s="2" t="s">
        <v>41</v>
      </c>
      <c r="FW3" s="2" t="s">
        <v>41</v>
      </c>
      <c r="FX3" s="2" t="s">
        <v>90</v>
      </c>
      <c r="FY3" s="2" t="s">
        <v>41</v>
      </c>
      <c r="FZ3" s="2" t="s">
        <v>32</v>
      </c>
      <c r="GA3" s="2" t="s">
        <v>16</v>
      </c>
      <c r="GB3" s="2" t="s">
        <v>74</v>
      </c>
      <c r="GC3" s="2" t="s">
        <v>41</v>
      </c>
      <c r="GD3" s="2" t="s">
        <v>90</v>
      </c>
      <c r="GE3" s="2" t="s">
        <v>32</v>
      </c>
      <c r="GF3" s="2" t="s">
        <v>54</v>
      </c>
      <c r="GG3" s="2" t="s">
        <v>16</v>
      </c>
      <c r="GH3" s="2" t="s">
        <v>16</v>
      </c>
      <c r="GI3" s="2" t="s">
        <v>74</v>
      </c>
      <c r="GJ3" s="2" t="s">
        <v>16</v>
      </c>
      <c r="GK3" s="2" t="s">
        <v>41</v>
      </c>
      <c r="GL3" s="2" t="s">
        <v>90</v>
      </c>
      <c r="GM3" s="2" t="s">
        <v>16</v>
      </c>
      <c r="GN3" s="2" t="s">
        <v>16</v>
      </c>
      <c r="GO3" s="2" t="s">
        <v>54</v>
      </c>
      <c r="GP3" s="2" t="s">
        <v>54</v>
      </c>
      <c r="GQ3" s="2" t="s">
        <v>24</v>
      </c>
      <c r="GR3" s="2" t="s">
        <v>32</v>
      </c>
      <c r="GS3" s="2" t="s">
        <v>41</v>
      </c>
      <c r="GT3" s="2" t="s">
        <v>16</v>
      </c>
      <c r="GU3" s="2" t="s">
        <v>43</v>
      </c>
      <c r="GV3" s="2" t="s">
        <v>16</v>
      </c>
      <c r="GW3" s="2" t="s">
        <v>90</v>
      </c>
      <c r="GX3" s="2" t="s">
        <v>24</v>
      </c>
      <c r="GY3" s="2" t="s">
        <v>32</v>
      </c>
      <c r="GZ3" s="2" t="s">
        <v>43</v>
      </c>
      <c r="HA3" s="2" t="s">
        <v>24</v>
      </c>
      <c r="HB3" s="2" t="s">
        <v>74</v>
      </c>
      <c r="HC3" s="2" t="s">
        <v>32</v>
      </c>
      <c r="HD3" s="2" t="s">
        <v>16</v>
      </c>
      <c r="HE3" s="2" t="s">
        <v>16</v>
      </c>
      <c r="HF3" s="2" t="s">
        <v>32</v>
      </c>
      <c r="HG3" s="2" t="s">
        <v>16</v>
      </c>
      <c r="HH3" s="2" t="s">
        <v>41</v>
      </c>
      <c r="HI3" s="2" t="s">
        <v>32</v>
      </c>
      <c r="HJ3" s="2" t="s">
        <v>24</v>
      </c>
      <c r="HK3" s="2" t="s">
        <v>32</v>
      </c>
      <c r="HL3" s="2" t="s">
        <v>43</v>
      </c>
      <c r="HM3" s="2" t="s">
        <v>16</v>
      </c>
      <c r="HN3" s="2" t="s">
        <v>41</v>
      </c>
      <c r="HO3" s="2" t="s">
        <v>41</v>
      </c>
      <c r="HP3" s="2" t="s">
        <v>74</v>
      </c>
      <c r="HQ3" s="2" t="s">
        <v>24</v>
      </c>
      <c r="HR3" s="2" t="s">
        <v>54</v>
      </c>
      <c r="HS3" s="2" t="s">
        <v>54</v>
      </c>
      <c r="HT3" s="2" t="s">
        <v>32</v>
      </c>
      <c r="HU3" s="2" t="s">
        <v>74</v>
      </c>
      <c r="HV3" s="2" t="s">
        <v>90</v>
      </c>
      <c r="HW3" s="2" t="s">
        <v>32</v>
      </c>
      <c r="HX3" s="2" t="s">
        <v>74</v>
      </c>
      <c r="HY3" s="2" t="s">
        <v>24</v>
      </c>
      <c r="HZ3" s="2" t="s">
        <v>24</v>
      </c>
      <c r="IA3" s="2" t="s">
        <v>24</v>
      </c>
      <c r="IB3" s="2" t="s">
        <v>24</v>
      </c>
      <c r="IC3" s="2" t="s">
        <v>24</v>
      </c>
      <c r="ID3" s="2" t="s">
        <v>74</v>
      </c>
      <c r="IE3" s="2" t="s">
        <v>74</v>
      </c>
      <c r="IF3" s="2" t="s">
        <v>41</v>
      </c>
      <c r="IG3" s="2" t="s">
        <v>43</v>
      </c>
      <c r="IH3" s="2" t="s">
        <v>54</v>
      </c>
      <c r="II3" s="2" t="s">
        <v>16</v>
      </c>
      <c r="IJ3" s="2" t="s">
        <v>24</v>
      </c>
      <c r="IK3" s="2" t="s">
        <v>90</v>
      </c>
      <c r="IL3" s="2" t="s">
        <v>16</v>
      </c>
      <c r="IM3" s="2" t="s">
        <v>74</v>
      </c>
      <c r="IN3" s="2" t="s">
        <v>90</v>
      </c>
      <c r="IO3" s="2" t="s">
        <v>90</v>
      </c>
      <c r="IP3" s="2" t="s">
        <v>90</v>
      </c>
      <c r="IQ3" s="2" t="s">
        <v>41</v>
      </c>
      <c r="IR3" s="2" t="s">
        <v>74</v>
      </c>
      <c r="IS3" s="2" t="s">
        <v>90</v>
      </c>
      <c r="IT3" s="2" t="s">
        <v>24</v>
      </c>
      <c r="IU3" s="2" t="s">
        <v>32</v>
      </c>
      <c r="IV3" s="2" t="s">
        <v>90</v>
      </c>
      <c r="IW3" s="2" t="s">
        <v>41</v>
      </c>
      <c r="IX3" s="2" t="s">
        <v>16</v>
      </c>
      <c r="IY3" s="2" t="s">
        <v>74</v>
      </c>
      <c r="IZ3" s="2" t="s">
        <v>43</v>
      </c>
      <c r="JA3" s="2" t="s">
        <v>41</v>
      </c>
      <c r="JB3" s="2" t="s">
        <v>90</v>
      </c>
      <c r="JC3" s="2" t="s">
        <v>74</v>
      </c>
      <c r="JD3" s="2" t="s">
        <v>32</v>
      </c>
      <c r="JE3" s="2" t="s">
        <v>90</v>
      </c>
      <c r="JF3" s="2" t="s">
        <v>41</v>
      </c>
      <c r="JG3" s="2" t="s">
        <v>54</v>
      </c>
      <c r="JH3" s="2" t="s">
        <v>24</v>
      </c>
      <c r="JI3" s="2" t="s">
        <v>43</v>
      </c>
      <c r="JJ3" s="2" t="s">
        <v>16</v>
      </c>
      <c r="JK3" s="2" t="s">
        <v>41</v>
      </c>
      <c r="JL3" s="2" t="s">
        <v>74</v>
      </c>
      <c r="JM3" s="2" t="s">
        <v>43</v>
      </c>
      <c r="JN3" s="2" t="s">
        <v>43</v>
      </c>
      <c r="JO3" s="2" t="s">
        <v>43</v>
      </c>
      <c r="JP3" s="2" t="s">
        <v>90</v>
      </c>
      <c r="JQ3" s="2" t="s">
        <v>24</v>
      </c>
      <c r="JR3" s="2" t="s">
        <v>90</v>
      </c>
      <c r="JS3" s="2" t="s">
        <v>74</v>
      </c>
      <c r="JT3" s="2" t="s">
        <v>90</v>
      </c>
      <c r="JU3" s="2" t="s">
        <v>54</v>
      </c>
      <c r="JV3" s="2" t="s">
        <v>24</v>
      </c>
      <c r="JW3" s="2" t="s">
        <v>24</v>
      </c>
      <c r="JX3" s="2" t="s">
        <v>74</v>
      </c>
      <c r="JY3" s="2" t="s">
        <v>16</v>
      </c>
      <c r="JZ3" s="2" t="s">
        <v>54</v>
      </c>
      <c r="KA3" s="2" t="s">
        <v>41</v>
      </c>
      <c r="KB3" s="2" t="s">
        <v>90</v>
      </c>
      <c r="KC3" s="2" t="s">
        <v>32</v>
      </c>
      <c r="KD3" s="2" t="s">
        <v>90</v>
      </c>
      <c r="KE3" s="2" t="s">
        <v>43</v>
      </c>
      <c r="KF3" s="2" t="s">
        <v>90</v>
      </c>
      <c r="KG3" s="2" t="s">
        <v>41</v>
      </c>
      <c r="KH3" s="2" t="s">
        <v>90</v>
      </c>
      <c r="KI3" s="2" t="s">
        <v>54</v>
      </c>
      <c r="KJ3" s="2" t="s">
        <v>54</v>
      </c>
      <c r="KK3" s="2" t="s">
        <v>24</v>
      </c>
      <c r="KL3" s="2" t="s">
        <v>74</v>
      </c>
      <c r="KM3" s="2" t="s">
        <v>16</v>
      </c>
      <c r="KN3" s="2" t="s">
        <v>32</v>
      </c>
      <c r="KO3" s="2" t="s">
        <v>43</v>
      </c>
      <c r="KP3" s="2" t="s">
        <v>90</v>
      </c>
      <c r="KQ3" s="2" t="s">
        <v>90</v>
      </c>
      <c r="KR3" s="2" t="s">
        <v>41</v>
      </c>
      <c r="KS3" s="2" t="s">
        <v>74</v>
      </c>
      <c r="KT3" s="2" t="s">
        <v>54</v>
      </c>
      <c r="KU3" s="2" t="s">
        <v>32</v>
      </c>
      <c r="KV3" s="2" t="s">
        <v>24</v>
      </c>
      <c r="KW3" s="2" t="s">
        <v>54</v>
      </c>
      <c r="KX3" s="2" t="s">
        <v>43</v>
      </c>
      <c r="KY3" s="2" t="s">
        <v>74</v>
      </c>
      <c r="KZ3" s="2" t="s">
        <v>43</v>
      </c>
      <c r="LA3" s="2" t="s">
        <v>16</v>
      </c>
      <c r="LB3" s="2" t="s">
        <v>24</v>
      </c>
      <c r="LC3" s="2" t="s">
        <v>16</v>
      </c>
      <c r="LD3" s="2" t="s">
        <v>41</v>
      </c>
      <c r="LE3" s="2" t="s">
        <v>43</v>
      </c>
      <c r="LF3" s="2" t="s">
        <v>41</v>
      </c>
      <c r="LG3" s="2" t="s">
        <v>90</v>
      </c>
      <c r="LH3" s="2" t="s">
        <v>16</v>
      </c>
      <c r="LI3" s="2" t="s">
        <v>74</v>
      </c>
      <c r="LJ3" s="2" t="s">
        <v>43</v>
      </c>
      <c r="LK3" s="2" t="s">
        <v>32</v>
      </c>
      <c r="LL3" s="2" t="s">
        <v>24</v>
      </c>
      <c r="LM3" s="2" t="s">
        <v>54</v>
      </c>
      <c r="LN3" s="2" t="s">
        <v>74</v>
      </c>
      <c r="LO3" s="2" t="s">
        <v>74</v>
      </c>
      <c r="LP3" s="2" t="s">
        <v>41</v>
      </c>
      <c r="LQ3" s="2" t="s">
        <v>16</v>
      </c>
      <c r="LR3" s="2" t="s">
        <v>43</v>
      </c>
      <c r="LS3" s="2" t="s">
        <v>43</v>
      </c>
      <c r="LT3" s="2" t="s">
        <v>90</v>
      </c>
      <c r="LU3" s="2" t="s">
        <v>90</v>
      </c>
      <c r="LV3" s="2" t="s">
        <v>24</v>
      </c>
      <c r="LW3" s="2" t="s">
        <v>41</v>
      </c>
      <c r="LX3" s="2" t="s">
        <v>74</v>
      </c>
      <c r="LY3" s="2" t="s">
        <v>43</v>
      </c>
      <c r="LZ3" s="2" t="s">
        <v>32</v>
      </c>
      <c r="MA3" s="2" t="s">
        <v>41</v>
      </c>
      <c r="MB3" s="2" t="s">
        <v>24</v>
      </c>
      <c r="MC3" s="2" t="s">
        <v>24</v>
      </c>
      <c r="MD3" s="2" t="s">
        <v>41</v>
      </c>
      <c r="ME3" s="2" t="s">
        <v>24</v>
      </c>
      <c r="MF3" s="2" t="s">
        <v>41</v>
      </c>
      <c r="MG3" s="2" t="s">
        <v>54</v>
      </c>
      <c r="MH3" s="2" t="s">
        <v>41</v>
      </c>
      <c r="MI3" s="2" t="s">
        <v>16</v>
      </c>
      <c r="MJ3" s="2" t="s">
        <v>41</v>
      </c>
      <c r="MK3" s="2" t="s">
        <v>24</v>
      </c>
      <c r="ML3" s="2" t="s">
        <v>43</v>
      </c>
      <c r="MM3" s="2" t="s">
        <v>16</v>
      </c>
      <c r="MN3" s="2" t="s">
        <v>24</v>
      </c>
      <c r="MO3" s="2" t="s">
        <v>90</v>
      </c>
      <c r="MP3" s="2" t="s">
        <v>90</v>
      </c>
      <c r="MQ3" s="2" t="s">
        <v>43</v>
      </c>
      <c r="MR3" s="2" t="s">
        <v>43</v>
      </c>
      <c r="MS3" s="2" t="s">
        <v>16</v>
      </c>
      <c r="MT3" s="2" t="s">
        <v>54</v>
      </c>
      <c r="MU3" s="2" t="s">
        <v>43</v>
      </c>
      <c r="MV3" s="2" t="s">
        <v>90</v>
      </c>
      <c r="MW3" s="2" t="s">
        <v>41</v>
      </c>
      <c r="MX3" s="2" t="s">
        <v>24</v>
      </c>
      <c r="MY3" s="2" t="s">
        <v>90</v>
      </c>
      <c r="MZ3" s="2" t="s">
        <v>90</v>
      </c>
      <c r="NA3" s="2" t="s">
        <v>54</v>
      </c>
      <c r="NB3" s="2" t="s">
        <v>16</v>
      </c>
      <c r="NC3" s="2" t="s">
        <v>16</v>
      </c>
      <c r="ND3" s="2" t="s">
        <v>74</v>
      </c>
      <c r="NE3" s="2" t="s">
        <v>54</v>
      </c>
      <c r="NF3" s="2" t="s">
        <v>41</v>
      </c>
      <c r="NG3" s="2" t="s">
        <v>16</v>
      </c>
      <c r="NH3" s="2" t="s">
        <v>24</v>
      </c>
      <c r="NI3" s="2" t="s">
        <v>43</v>
      </c>
      <c r="NJ3" s="2" t="s">
        <v>54</v>
      </c>
      <c r="NK3" s="2" t="s">
        <v>43</v>
      </c>
      <c r="NL3" s="2" t="s">
        <v>90</v>
      </c>
      <c r="NM3" s="2" t="s">
        <v>24</v>
      </c>
      <c r="NN3" s="2" t="s">
        <v>24</v>
      </c>
      <c r="NO3" s="2" t="s">
        <v>90</v>
      </c>
      <c r="NP3" s="2" t="s">
        <v>54</v>
      </c>
      <c r="NQ3" s="2" t="s">
        <v>90</v>
      </c>
      <c r="NR3" s="2" t="s">
        <v>43</v>
      </c>
      <c r="NS3" s="2" t="s">
        <v>74</v>
      </c>
      <c r="NT3" s="2" t="s">
        <v>24</v>
      </c>
      <c r="NU3" s="2" t="s">
        <v>32</v>
      </c>
      <c r="NV3" s="2" t="s">
        <v>32</v>
      </c>
      <c r="NW3" s="2" t="s">
        <v>43</v>
      </c>
      <c r="NX3" s="2" t="s">
        <v>41</v>
      </c>
      <c r="NY3" s="2" t="s">
        <v>16</v>
      </c>
      <c r="NZ3" s="2" t="s">
        <v>90</v>
      </c>
      <c r="OA3" s="2" t="s">
        <v>90</v>
      </c>
      <c r="OB3" s="2" t="s">
        <v>41</v>
      </c>
      <c r="OC3" s="2" t="s">
        <v>41</v>
      </c>
      <c r="OD3" s="2" t="s">
        <v>43</v>
      </c>
      <c r="OE3" s="2" t="s">
        <v>43</v>
      </c>
      <c r="OF3" s="2" t="s">
        <v>41</v>
      </c>
      <c r="OG3" s="2" t="s">
        <v>24</v>
      </c>
      <c r="OH3" s="2" t="s">
        <v>43</v>
      </c>
      <c r="OI3" s="2" t="s">
        <v>74</v>
      </c>
      <c r="OJ3" s="2" t="s">
        <v>43</v>
      </c>
      <c r="OK3" s="2" t="s">
        <v>90</v>
      </c>
      <c r="OL3" s="2" t="s">
        <v>43</v>
      </c>
      <c r="OM3" s="2" t="s">
        <v>24</v>
      </c>
      <c r="ON3" s="2" t="s">
        <v>41</v>
      </c>
      <c r="OO3" s="2" t="s">
        <v>90</v>
      </c>
      <c r="OP3" s="2" t="s">
        <v>43</v>
      </c>
      <c r="OQ3" s="2" t="s">
        <v>24</v>
      </c>
      <c r="OR3" s="2" t="s">
        <v>74</v>
      </c>
      <c r="OS3" s="2" t="s">
        <v>43</v>
      </c>
      <c r="OT3" s="2" t="s">
        <v>24</v>
      </c>
      <c r="OU3" s="2" t="s">
        <v>74</v>
      </c>
      <c r="OV3" s="2" t="s">
        <v>41</v>
      </c>
      <c r="OW3" s="2" t="s">
        <v>43</v>
      </c>
      <c r="OX3" s="2" t="s">
        <v>74</v>
      </c>
      <c r="OY3" s="2" t="s">
        <v>90</v>
      </c>
      <c r="OZ3" s="2" t="s">
        <v>41</v>
      </c>
      <c r="PA3" s="2" t="s">
        <v>90</v>
      </c>
      <c r="PB3" s="2" t="s">
        <v>32</v>
      </c>
      <c r="PC3" s="2" t="s">
        <v>54</v>
      </c>
      <c r="PD3" s="2" t="s">
        <v>43</v>
      </c>
      <c r="PE3" s="2" t="s">
        <v>74</v>
      </c>
      <c r="PF3" s="2" t="s">
        <v>54</v>
      </c>
      <c r="PG3" s="2" t="s">
        <v>54</v>
      </c>
      <c r="PH3" s="2" t="s">
        <v>74</v>
      </c>
      <c r="PI3" s="2" t="s">
        <v>41</v>
      </c>
      <c r="PJ3" s="2" t="s">
        <v>43</v>
      </c>
      <c r="PK3" s="2" t="s">
        <v>32</v>
      </c>
      <c r="PL3" s="2" t="s">
        <v>90</v>
      </c>
      <c r="PM3" s="2" t="s">
        <v>24</v>
      </c>
      <c r="PN3" s="2" t="s">
        <v>90</v>
      </c>
      <c r="PO3" s="2" t="s">
        <v>24</v>
      </c>
      <c r="PP3" s="2" t="s">
        <v>90</v>
      </c>
      <c r="PQ3" s="2" t="s">
        <v>74</v>
      </c>
      <c r="PR3" s="2" t="s">
        <v>32</v>
      </c>
      <c r="PS3" s="2" t="s">
        <v>43</v>
      </c>
      <c r="PT3" s="2" t="s">
        <v>24</v>
      </c>
      <c r="PU3" s="2" t="s">
        <v>43</v>
      </c>
      <c r="PV3" s="2" t="s">
        <v>43</v>
      </c>
      <c r="PW3" s="2" t="s">
        <v>43</v>
      </c>
      <c r="PX3" s="2" t="s">
        <v>16</v>
      </c>
      <c r="PY3" s="2" t="s">
        <v>41</v>
      </c>
      <c r="PZ3" s="2" t="s">
        <v>90</v>
      </c>
      <c r="QA3" s="2" t="s">
        <v>43</v>
      </c>
      <c r="QB3" s="2" t="s">
        <v>90</v>
      </c>
      <c r="QC3" s="2" t="s">
        <v>43</v>
      </c>
      <c r="QD3" s="2" t="s">
        <v>24</v>
      </c>
      <c r="QE3" s="2" t="s">
        <v>41</v>
      </c>
      <c r="QF3" s="2" t="s">
        <v>41</v>
      </c>
      <c r="QG3" s="2" t="s">
        <v>74</v>
      </c>
      <c r="QH3" s="2" t="s">
        <v>16</v>
      </c>
      <c r="QI3" s="2" t="s">
        <v>74</v>
      </c>
      <c r="QJ3" s="2" t="s">
        <v>74</v>
      </c>
      <c r="QK3" s="2" t="s">
        <v>74</v>
      </c>
      <c r="QL3" s="2" t="s">
        <v>74</v>
      </c>
      <c r="QM3" s="2" t="s">
        <v>74</v>
      </c>
      <c r="QN3" s="2" t="s">
        <v>32</v>
      </c>
      <c r="QO3" s="2" t="s">
        <v>41</v>
      </c>
      <c r="QP3" s="2" t="s">
        <v>74</v>
      </c>
      <c r="QQ3" s="2" t="s">
        <v>43</v>
      </c>
      <c r="QR3" s="2" t="s">
        <v>41</v>
      </c>
      <c r="QS3" s="2" t="s">
        <v>41</v>
      </c>
      <c r="QT3" s="2" t="s">
        <v>54</v>
      </c>
      <c r="QU3" s="2" t="s">
        <v>32</v>
      </c>
      <c r="QV3" s="2" t="s">
        <v>74</v>
      </c>
      <c r="QW3" s="2" t="s">
        <v>90</v>
      </c>
      <c r="QX3" s="2" t="s">
        <v>24</v>
      </c>
      <c r="QY3" s="2" t="s">
        <v>16</v>
      </c>
      <c r="QZ3" s="2" t="s">
        <v>43</v>
      </c>
      <c r="RA3" s="2" t="s">
        <v>90</v>
      </c>
      <c r="RB3" s="2" t="s">
        <v>32</v>
      </c>
      <c r="RC3" s="2" t="s">
        <v>24</v>
      </c>
      <c r="RD3" s="2" t="s">
        <v>32</v>
      </c>
      <c r="RE3" s="2" t="s">
        <v>43</v>
      </c>
      <c r="RF3" s="2" t="s">
        <v>41</v>
      </c>
      <c r="RG3" s="2" t="s">
        <v>24</v>
      </c>
      <c r="RH3" s="2" t="s">
        <v>41</v>
      </c>
      <c r="RI3" s="2" t="s">
        <v>43</v>
      </c>
      <c r="RJ3" s="2" t="s">
        <v>90</v>
      </c>
      <c r="RK3" s="2" t="s">
        <v>43</v>
      </c>
      <c r="RL3" s="2" t="s">
        <v>90</v>
      </c>
      <c r="RM3" s="2" t="s">
        <v>24</v>
      </c>
      <c r="RN3" s="2" t="s">
        <v>24</v>
      </c>
      <c r="RO3" s="2" t="s">
        <v>74</v>
      </c>
      <c r="RP3" s="2" t="s">
        <v>32</v>
      </c>
      <c r="RQ3" s="2" t="s">
        <v>74</v>
      </c>
      <c r="RR3" s="2" t="s">
        <v>32</v>
      </c>
      <c r="RS3" s="2" t="s">
        <v>74</v>
      </c>
      <c r="RT3" s="2" t="s">
        <v>41</v>
      </c>
      <c r="RU3" s="2" t="s">
        <v>24</v>
      </c>
      <c r="RV3" s="2" t="s">
        <v>90</v>
      </c>
      <c r="RW3" s="2" t="s">
        <v>32</v>
      </c>
      <c r="RX3" s="2" t="s">
        <v>43</v>
      </c>
      <c r="RY3" s="2" t="s">
        <v>32</v>
      </c>
      <c r="RZ3" s="2" t="s">
        <v>90</v>
      </c>
      <c r="SA3" s="2" t="s">
        <v>74</v>
      </c>
      <c r="SB3" s="2" t="s">
        <v>32</v>
      </c>
      <c r="SC3" s="2" t="s">
        <v>16</v>
      </c>
      <c r="SD3" s="2" t="s">
        <v>41</v>
      </c>
      <c r="SE3" s="2" t="s">
        <v>24</v>
      </c>
      <c r="SF3" s="2" t="s">
        <v>90</v>
      </c>
      <c r="SG3" s="2" t="s">
        <v>24</v>
      </c>
      <c r="SH3" s="2" t="s">
        <v>16</v>
      </c>
      <c r="SI3" s="2" t="s">
        <v>32</v>
      </c>
      <c r="SJ3" s="2" t="s">
        <v>32</v>
      </c>
      <c r="SK3" s="2" t="s">
        <v>43</v>
      </c>
      <c r="SL3" s="2" t="s">
        <v>16</v>
      </c>
      <c r="SM3" s="2" t="s">
        <v>90</v>
      </c>
      <c r="SN3" s="2" t="s">
        <v>43</v>
      </c>
      <c r="SO3" s="2" t="s">
        <v>41</v>
      </c>
      <c r="SP3" s="2" t="s">
        <v>43</v>
      </c>
      <c r="SQ3" s="2" t="s">
        <v>54</v>
      </c>
      <c r="SR3" s="2" t="s">
        <v>90</v>
      </c>
      <c r="SS3" s="2" t="s">
        <v>54</v>
      </c>
      <c r="ST3" s="2" t="s">
        <v>16</v>
      </c>
      <c r="SU3" s="2" t="s">
        <v>74</v>
      </c>
      <c r="SV3" s="2" t="s">
        <v>54</v>
      </c>
      <c r="SW3" s="2" t="s">
        <v>41</v>
      </c>
      <c r="SX3" s="2" t="s">
        <v>43</v>
      </c>
      <c r="SY3" s="2" t="s">
        <v>74</v>
      </c>
      <c r="SZ3" s="2" t="s">
        <v>43</v>
      </c>
      <c r="TA3" s="2" t="s">
        <v>54</v>
      </c>
      <c r="TB3" s="2" t="s">
        <v>43</v>
      </c>
      <c r="TC3" s="2" t="s">
        <v>16</v>
      </c>
      <c r="TD3" s="2" t="s">
        <v>74</v>
      </c>
      <c r="TE3" s="2" t="s">
        <v>16</v>
      </c>
      <c r="TF3" s="2" t="s">
        <v>54</v>
      </c>
      <c r="TG3" s="2" t="s">
        <v>16</v>
      </c>
      <c r="TH3" s="2" t="s">
        <v>41</v>
      </c>
      <c r="TI3" s="2" t="s">
        <v>54</v>
      </c>
      <c r="TJ3" s="2" t="s">
        <v>54</v>
      </c>
      <c r="TK3" s="2" t="s">
        <v>54</v>
      </c>
      <c r="TL3" s="2" t="s">
        <v>90</v>
      </c>
      <c r="TM3" s="2" t="s">
        <v>43</v>
      </c>
      <c r="TN3" s="2" t="s">
        <v>90</v>
      </c>
      <c r="TO3" s="2" t="s">
        <v>90</v>
      </c>
      <c r="TP3" s="2" t="s">
        <v>41</v>
      </c>
      <c r="TQ3" s="2" t="s">
        <v>74</v>
      </c>
      <c r="TR3" s="2" t="s">
        <v>43</v>
      </c>
      <c r="TS3" s="2" t="s">
        <v>16</v>
      </c>
      <c r="TT3" s="2" t="s">
        <v>32</v>
      </c>
      <c r="TU3" s="2" t="s">
        <v>54</v>
      </c>
      <c r="TV3" s="2" t="s">
        <v>16</v>
      </c>
      <c r="TW3" s="2" t="s">
        <v>54</v>
      </c>
      <c r="TX3" s="2" t="s">
        <v>41</v>
      </c>
      <c r="TY3" s="2" t="s">
        <v>54</v>
      </c>
      <c r="TZ3" s="2" t="s">
        <v>90</v>
      </c>
      <c r="UA3" s="2" t="s">
        <v>43</v>
      </c>
      <c r="UB3" s="2" t="s">
        <v>32</v>
      </c>
      <c r="UC3" s="2" t="s">
        <v>24</v>
      </c>
      <c r="UD3" s="2" t="s">
        <v>54</v>
      </c>
      <c r="UE3" s="2" t="s">
        <v>16</v>
      </c>
      <c r="UF3" s="2" t="s">
        <v>90</v>
      </c>
      <c r="UG3" s="2" t="s">
        <v>24</v>
      </c>
      <c r="UH3" s="2" t="s">
        <v>32</v>
      </c>
      <c r="UI3" s="2" t="s">
        <v>24</v>
      </c>
      <c r="UJ3" s="2" t="s">
        <v>90</v>
      </c>
      <c r="UK3" s="2" t="s">
        <v>43</v>
      </c>
      <c r="UL3" s="2" t="s">
        <v>43</v>
      </c>
      <c r="UM3" s="2" t="s">
        <v>74</v>
      </c>
      <c r="UN3" s="2" t="s">
        <v>43</v>
      </c>
      <c r="UO3" s="2" t="s">
        <v>74</v>
      </c>
      <c r="UP3" s="2" t="s">
        <v>24</v>
      </c>
      <c r="UQ3" s="2" t="s">
        <v>41</v>
      </c>
      <c r="UR3" s="2" t="s">
        <v>16</v>
      </c>
      <c r="US3" s="2" t="s">
        <v>16</v>
      </c>
      <c r="UT3" s="2" t="s">
        <v>24</v>
      </c>
      <c r="UU3" s="2" t="s">
        <v>54</v>
      </c>
      <c r="UV3" s="2" t="s">
        <v>54</v>
      </c>
      <c r="UW3" s="2" t="s">
        <v>43</v>
      </c>
      <c r="UX3" s="2" t="s">
        <v>16</v>
      </c>
      <c r="UY3" s="2" t="s">
        <v>16</v>
      </c>
      <c r="UZ3" s="2" t="s">
        <v>74</v>
      </c>
      <c r="VA3" s="2" t="s">
        <v>41</v>
      </c>
      <c r="VB3" s="2" t="s">
        <v>90</v>
      </c>
      <c r="VC3" s="2" t="s">
        <v>54</v>
      </c>
      <c r="VD3" s="2" t="s">
        <v>16</v>
      </c>
      <c r="VE3" s="2" t="s">
        <v>74</v>
      </c>
      <c r="VF3" s="2" t="s">
        <v>32</v>
      </c>
      <c r="VG3" s="2" t="s">
        <v>74</v>
      </c>
      <c r="VH3" s="2" t="s">
        <v>54</v>
      </c>
      <c r="VI3" s="2" t="s">
        <v>54</v>
      </c>
      <c r="VJ3" s="2" t="s">
        <v>74</v>
      </c>
      <c r="VK3" s="2" t="s">
        <v>90</v>
      </c>
      <c r="VL3" s="2" t="s">
        <v>24</v>
      </c>
      <c r="VM3" s="2" t="s">
        <v>54</v>
      </c>
      <c r="VN3" s="2" t="s">
        <v>74</v>
      </c>
      <c r="VO3" s="2" t="s">
        <v>16</v>
      </c>
      <c r="VP3" s="2" t="s">
        <v>74</v>
      </c>
      <c r="VQ3" s="2" t="s">
        <v>41</v>
      </c>
      <c r="VR3" s="2" t="s">
        <v>24</v>
      </c>
      <c r="VS3" s="2" t="s">
        <v>32</v>
      </c>
      <c r="VT3" s="2" t="s">
        <v>90</v>
      </c>
      <c r="VU3" s="2" t="s">
        <v>43</v>
      </c>
      <c r="VV3" s="2" t="s">
        <v>32</v>
      </c>
      <c r="VW3" s="2" t="s">
        <v>24</v>
      </c>
      <c r="VX3" s="2" t="s">
        <v>24</v>
      </c>
      <c r="VY3" s="2" t="s">
        <v>24</v>
      </c>
      <c r="VZ3" s="2" t="s">
        <v>32</v>
      </c>
      <c r="WA3" s="2" t="s">
        <v>16</v>
      </c>
      <c r="WB3" s="2" t="s">
        <v>24</v>
      </c>
      <c r="WC3" s="2" t="s">
        <v>74</v>
      </c>
      <c r="WD3" s="2" t="s">
        <v>32</v>
      </c>
      <c r="WE3" s="2" t="s">
        <v>43</v>
      </c>
      <c r="WF3" s="2" t="s">
        <v>24</v>
      </c>
      <c r="WG3" s="2" t="s">
        <v>74</v>
      </c>
      <c r="WH3" s="2" t="s">
        <v>16</v>
      </c>
      <c r="WI3" s="2" t="s">
        <v>41</v>
      </c>
      <c r="WJ3" s="2" t="s">
        <v>16</v>
      </c>
      <c r="WK3" s="2" t="s">
        <v>43</v>
      </c>
      <c r="WL3" s="2" t="s">
        <v>24</v>
      </c>
      <c r="WM3" s="2" t="s">
        <v>43</v>
      </c>
      <c r="WN3" s="2" t="s">
        <v>32</v>
      </c>
      <c r="WO3" s="2" t="s">
        <v>54</v>
      </c>
      <c r="WP3" s="2" t="s">
        <v>24</v>
      </c>
      <c r="WQ3" s="2" t="s">
        <v>54</v>
      </c>
      <c r="WR3" s="2" t="s">
        <v>74</v>
      </c>
      <c r="WS3" s="2" t="s">
        <v>41</v>
      </c>
      <c r="WT3" s="2" t="s">
        <v>90</v>
      </c>
      <c r="WU3" s="2" t="s">
        <v>43</v>
      </c>
      <c r="WV3" s="2" t="s">
        <v>16</v>
      </c>
      <c r="WW3" s="2" t="s">
        <v>41</v>
      </c>
      <c r="WX3" s="2" t="s">
        <v>24</v>
      </c>
      <c r="WY3" s="2" t="s">
        <v>54</v>
      </c>
      <c r="WZ3" s="2" t="s">
        <v>16</v>
      </c>
      <c r="XA3" s="2" t="s">
        <v>54</v>
      </c>
      <c r="XB3" s="2" t="s">
        <v>32</v>
      </c>
      <c r="XC3" s="2" t="s">
        <v>54</v>
      </c>
      <c r="XD3" s="2" t="s">
        <v>32</v>
      </c>
      <c r="XE3" s="2" t="s">
        <v>74</v>
      </c>
      <c r="XF3" s="2" t="s">
        <v>16</v>
      </c>
      <c r="XG3" s="2" t="s">
        <v>16</v>
      </c>
      <c r="XH3" s="2" t="s">
        <v>90</v>
      </c>
      <c r="XI3" s="2" t="s">
        <v>24</v>
      </c>
      <c r="XJ3" s="2" t="s">
        <v>32</v>
      </c>
      <c r="XK3" s="2" t="s">
        <v>90</v>
      </c>
      <c r="XL3" s="2" t="s">
        <v>54</v>
      </c>
      <c r="XM3" s="2" t="s">
        <v>54</v>
      </c>
      <c r="XN3" s="2" t="s">
        <v>90</v>
      </c>
      <c r="XO3" s="2" t="s">
        <v>16</v>
      </c>
      <c r="XP3" s="2" t="s">
        <v>54</v>
      </c>
      <c r="XQ3" s="2" t="s">
        <v>43</v>
      </c>
      <c r="XR3" s="2" t="s">
        <v>74</v>
      </c>
      <c r="XS3" s="2" t="s">
        <v>74</v>
      </c>
      <c r="XT3" s="2" t="s">
        <v>43</v>
      </c>
      <c r="XU3" s="2" t="s">
        <v>90</v>
      </c>
      <c r="XV3" s="2" t="s">
        <v>43</v>
      </c>
      <c r="XW3" s="2" t="s">
        <v>32</v>
      </c>
      <c r="XX3" s="2" t="s">
        <v>32</v>
      </c>
      <c r="XY3" s="2" t="s">
        <v>90</v>
      </c>
      <c r="XZ3" s="2" t="s">
        <v>43</v>
      </c>
      <c r="YA3" s="2" t="s">
        <v>32</v>
      </c>
      <c r="YB3" s="2" t="s">
        <v>16</v>
      </c>
      <c r="YC3" s="2" t="s">
        <v>43</v>
      </c>
      <c r="YD3" s="2" t="s">
        <v>16</v>
      </c>
      <c r="YE3" s="2" t="s">
        <v>32</v>
      </c>
      <c r="YF3" s="2" t="s">
        <v>74</v>
      </c>
      <c r="YG3" s="2" t="s">
        <v>32</v>
      </c>
      <c r="YH3" s="2" t="s">
        <v>16</v>
      </c>
      <c r="YI3" s="2" t="s">
        <v>41</v>
      </c>
      <c r="YJ3" s="2" t="s">
        <v>24</v>
      </c>
      <c r="YK3" s="2" t="s">
        <v>54</v>
      </c>
      <c r="YL3" s="2" t="s">
        <v>43</v>
      </c>
      <c r="YM3" s="2" t="s">
        <v>41</v>
      </c>
      <c r="YN3" s="2" t="s">
        <v>32</v>
      </c>
      <c r="YO3" s="2" t="s">
        <v>74</v>
      </c>
      <c r="YP3" s="2" t="s">
        <v>90</v>
      </c>
      <c r="YQ3" s="2" t="s">
        <v>32</v>
      </c>
      <c r="YR3" s="2" t="s">
        <v>74</v>
      </c>
      <c r="YS3" s="2" t="s">
        <v>24</v>
      </c>
      <c r="YT3" s="2" t="s">
        <v>32</v>
      </c>
      <c r="YU3" s="2" t="s">
        <v>16</v>
      </c>
      <c r="YV3" s="2" t="s">
        <v>90</v>
      </c>
      <c r="YW3" s="2" t="s">
        <v>74</v>
      </c>
      <c r="YX3" s="2" t="s">
        <v>74</v>
      </c>
      <c r="YY3" s="2" t="s">
        <v>74</v>
      </c>
      <c r="YZ3" s="2" t="s">
        <v>24</v>
      </c>
      <c r="ZA3" s="2" t="s">
        <v>32</v>
      </c>
      <c r="ZB3" s="2" t="s">
        <v>24</v>
      </c>
      <c r="ZC3" s="2" t="s">
        <v>43</v>
      </c>
      <c r="ZD3" s="2" t="s">
        <v>54</v>
      </c>
      <c r="ZE3" s="2" t="s">
        <v>54</v>
      </c>
      <c r="ZF3" s="2" t="s">
        <v>43</v>
      </c>
      <c r="ZG3" s="2" t="s">
        <v>32</v>
      </c>
      <c r="ZH3" s="2" t="s">
        <v>16</v>
      </c>
      <c r="ZI3" s="2" t="s">
        <v>24</v>
      </c>
      <c r="ZJ3" s="2" t="s">
        <v>90</v>
      </c>
      <c r="ZK3" s="2" t="s">
        <v>74</v>
      </c>
      <c r="ZL3" s="2" t="s">
        <v>74</v>
      </c>
      <c r="ZM3" s="2" t="s">
        <v>32</v>
      </c>
      <c r="ZN3" s="2" t="s">
        <v>16</v>
      </c>
      <c r="ZO3" s="2" t="s">
        <v>54</v>
      </c>
      <c r="ZP3" s="2" t="s">
        <v>54</v>
      </c>
      <c r="ZQ3" s="2" t="s">
        <v>74</v>
      </c>
      <c r="ZR3" s="2" t="s">
        <v>32</v>
      </c>
      <c r="ZS3" s="2" t="s">
        <v>24</v>
      </c>
      <c r="ZT3" s="2" t="s">
        <v>54</v>
      </c>
      <c r="ZU3" s="2" t="s">
        <v>24</v>
      </c>
      <c r="ZV3" s="2" t="s">
        <v>16</v>
      </c>
      <c r="ZW3" s="2" t="s">
        <v>54</v>
      </c>
      <c r="ZX3" s="2" t="s">
        <v>54</v>
      </c>
      <c r="ZY3" s="2" t="s">
        <v>41</v>
      </c>
      <c r="ZZ3" s="2" t="s">
        <v>54</v>
      </c>
      <c r="AAA3" s="2" t="s">
        <v>43</v>
      </c>
      <c r="AAB3" s="2" t="s">
        <v>90</v>
      </c>
      <c r="AAC3" s="2" t="s">
        <v>43</v>
      </c>
      <c r="AAD3" s="2" t="s">
        <v>32</v>
      </c>
      <c r="AAE3" s="2" t="s">
        <v>32</v>
      </c>
      <c r="AAF3" s="2" t="s">
        <v>24</v>
      </c>
      <c r="AAG3" s="2" t="s">
        <v>43</v>
      </c>
      <c r="AAH3" s="2" t="s">
        <v>43</v>
      </c>
      <c r="AAI3" s="2" t="s">
        <v>43</v>
      </c>
      <c r="AAJ3" s="2" t="s">
        <v>16</v>
      </c>
      <c r="AAK3" s="2" t="s">
        <v>54</v>
      </c>
      <c r="AAL3" s="2" t="s">
        <v>90</v>
      </c>
      <c r="AAM3" s="2" t="s">
        <v>24</v>
      </c>
      <c r="AAN3" s="2" t="s">
        <v>43</v>
      </c>
      <c r="AAO3" s="2" t="s">
        <v>43</v>
      </c>
      <c r="AAP3" s="2" t="s">
        <v>41</v>
      </c>
      <c r="AAQ3" s="2" t="s">
        <v>24</v>
      </c>
      <c r="AAR3" s="2" t="s">
        <v>43</v>
      </c>
      <c r="AAS3" s="2" t="s">
        <v>24</v>
      </c>
      <c r="AAT3" s="2" t="s">
        <v>54</v>
      </c>
      <c r="AAU3" s="2" t="s">
        <v>41</v>
      </c>
      <c r="AAV3" s="2" t="s">
        <v>24</v>
      </c>
      <c r="AAW3" s="2" t="s">
        <v>90</v>
      </c>
      <c r="AAX3" s="2" t="s">
        <v>90</v>
      </c>
      <c r="AAY3" s="2" t="s">
        <v>32</v>
      </c>
      <c r="AAZ3" s="2" t="s">
        <v>41</v>
      </c>
      <c r="ABA3" s="2" t="s">
        <v>41</v>
      </c>
      <c r="ABB3" s="2" t="s">
        <v>32</v>
      </c>
      <c r="ABC3" s="2" t="s">
        <v>24</v>
      </c>
      <c r="ABD3" s="2" t="s">
        <v>41</v>
      </c>
      <c r="ABE3" s="2" t="s">
        <v>90</v>
      </c>
      <c r="ABF3" s="2" t="s">
        <v>90</v>
      </c>
      <c r="ABG3" s="2" t="s">
        <v>43</v>
      </c>
      <c r="ABH3" s="2" t="s">
        <v>54</v>
      </c>
      <c r="ABI3" s="2" t="s">
        <v>41</v>
      </c>
      <c r="ABJ3" s="2" t="s">
        <v>24</v>
      </c>
      <c r="ABK3" s="2" t="s">
        <v>32</v>
      </c>
      <c r="ABL3" s="2" t="s">
        <v>32</v>
      </c>
      <c r="ABM3" s="2" t="s">
        <v>24</v>
      </c>
      <c r="ABN3" s="2" t="s">
        <v>16</v>
      </c>
      <c r="ABO3" s="2" t="s">
        <v>74</v>
      </c>
      <c r="ABP3" s="2" t="s">
        <v>54</v>
      </c>
      <c r="ABQ3" s="2" t="s">
        <v>32</v>
      </c>
      <c r="ABR3" s="2" t="s">
        <v>41</v>
      </c>
      <c r="ABS3" s="2" t="s">
        <v>54</v>
      </c>
      <c r="ABT3" s="2" t="s">
        <v>41</v>
      </c>
      <c r="ABU3" s="2" t="s">
        <v>16</v>
      </c>
      <c r="ABV3" s="2" t="s">
        <v>90</v>
      </c>
      <c r="ABW3" s="2" t="s">
        <v>54</v>
      </c>
      <c r="ABX3" s="2" t="s">
        <v>43</v>
      </c>
      <c r="ABY3" s="2" t="s">
        <v>32</v>
      </c>
      <c r="ABZ3" s="2" t="s">
        <v>54</v>
      </c>
      <c r="ACA3" s="2" t="s">
        <v>54</v>
      </c>
      <c r="ACB3" s="2" t="s">
        <v>54</v>
      </c>
      <c r="ACC3" s="2" t="s">
        <v>74</v>
      </c>
      <c r="ACD3" s="2" t="s">
        <v>54</v>
      </c>
      <c r="ACE3" s="2" t="s">
        <v>41</v>
      </c>
      <c r="ACF3" s="2" t="s">
        <v>90</v>
      </c>
      <c r="ACG3" s="2" t="s">
        <v>16</v>
      </c>
      <c r="ACH3" s="2" t="s">
        <v>24</v>
      </c>
      <c r="ACI3" s="2" t="s">
        <v>54</v>
      </c>
      <c r="ACJ3" s="2" t="s">
        <v>32</v>
      </c>
      <c r="ACK3" s="2" t="s">
        <v>54</v>
      </c>
      <c r="ACL3" s="2" t="s">
        <v>32</v>
      </c>
      <c r="ACM3" s="2" t="s">
        <v>41</v>
      </c>
      <c r="ACN3" s="2" t="s">
        <v>32</v>
      </c>
      <c r="ACO3" s="2" t="s">
        <v>43</v>
      </c>
      <c r="ACP3" s="2" t="s">
        <v>24</v>
      </c>
      <c r="ACQ3" s="2" t="s">
        <v>90</v>
      </c>
      <c r="ACR3" s="2" t="s">
        <v>32</v>
      </c>
      <c r="ACS3" s="2" t="s">
        <v>32</v>
      </c>
      <c r="ACT3" s="2" t="s">
        <v>90</v>
      </c>
      <c r="ACU3" s="2" t="s">
        <v>24</v>
      </c>
      <c r="ACV3" s="2" t="s">
        <v>54</v>
      </c>
      <c r="ACW3" s="2" t="s">
        <v>32</v>
      </c>
      <c r="ACX3" s="2" t="s">
        <v>90</v>
      </c>
      <c r="ACY3" s="2" t="s">
        <v>43</v>
      </c>
      <c r="ACZ3" s="2" t="s">
        <v>43</v>
      </c>
      <c r="ADA3" s="2" t="s">
        <v>41</v>
      </c>
      <c r="ADB3" s="2" t="s">
        <v>90</v>
      </c>
      <c r="ADC3" s="2" t="s">
        <v>41</v>
      </c>
      <c r="ADD3" s="2" t="s">
        <v>43</v>
      </c>
      <c r="ADE3" s="2" t="s">
        <v>24</v>
      </c>
      <c r="ADF3" s="2" t="s">
        <v>54</v>
      </c>
      <c r="ADG3" s="2" t="s">
        <v>90</v>
      </c>
      <c r="ADH3" s="2" t="s">
        <v>16</v>
      </c>
      <c r="ADI3" s="2" t="s">
        <v>43</v>
      </c>
      <c r="ADJ3" s="2" t="s">
        <v>43</v>
      </c>
      <c r="ADK3" s="2" t="s">
        <v>16</v>
      </c>
      <c r="ADL3" s="2" t="s">
        <v>74</v>
      </c>
      <c r="ADM3" s="2" t="s">
        <v>43</v>
      </c>
      <c r="ADN3" s="2" t="s">
        <v>32</v>
      </c>
      <c r="ADO3" s="2" t="s">
        <v>24</v>
      </c>
      <c r="ADP3" s="2" t="s">
        <v>90</v>
      </c>
      <c r="ADQ3" s="2" t="s">
        <v>16</v>
      </c>
      <c r="ADR3" s="2" t="s">
        <v>32</v>
      </c>
      <c r="ADS3" s="2" t="s">
        <v>16</v>
      </c>
      <c r="ADT3" s="2" t="s">
        <v>90</v>
      </c>
      <c r="ADU3" s="2" t="s">
        <v>41</v>
      </c>
      <c r="ADV3" s="2" t="s">
        <v>90</v>
      </c>
      <c r="ADW3" s="2" t="s">
        <v>74</v>
      </c>
      <c r="ADX3" s="2" t="s">
        <v>90</v>
      </c>
      <c r="ADY3" s="2" t="s">
        <v>90</v>
      </c>
      <c r="ADZ3" s="2" t="s">
        <v>74</v>
      </c>
      <c r="AEA3" s="2" t="s">
        <v>24</v>
      </c>
      <c r="AEB3" s="2" t="s">
        <v>43</v>
      </c>
      <c r="AEC3" s="2" t="s">
        <v>90</v>
      </c>
      <c r="AED3" s="2" t="s">
        <v>74</v>
      </c>
      <c r="AEE3" s="2" t="s">
        <v>32</v>
      </c>
      <c r="AEF3" s="2" t="s">
        <v>41</v>
      </c>
      <c r="AEG3" s="2" t="s">
        <v>41</v>
      </c>
      <c r="AEH3" s="2" t="s">
        <v>90</v>
      </c>
      <c r="AEI3" s="2" t="s">
        <v>24</v>
      </c>
      <c r="AEJ3" s="2" t="s">
        <v>24</v>
      </c>
      <c r="AEK3" s="2" t="s">
        <v>32</v>
      </c>
      <c r="AEL3" s="2" t="s">
        <v>90</v>
      </c>
      <c r="AEM3" s="2" t="s">
        <v>41</v>
      </c>
      <c r="AEN3" s="2" t="s">
        <v>24</v>
      </c>
      <c r="AEO3" s="2" t="s">
        <v>90</v>
      </c>
      <c r="AEP3" s="2" t="s">
        <v>16</v>
      </c>
      <c r="AEQ3" s="2" t="s">
        <v>24</v>
      </c>
      <c r="AER3" s="2" t="s">
        <v>74</v>
      </c>
      <c r="AES3" s="2" t="s">
        <v>16</v>
      </c>
      <c r="AET3" s="2" t="s">
        <v>43</v>
      </c>
      <c r="AEU3" s="2" t="s">
        <v>24</v>
      </c>
      <c r="AEV3" s="2" t="s">
        <v>41</v>
      </c>
      <c r="AEW3" s="2" t="s">
        <v>54</v>
      </c>
      <c r="AEX3" s="2" t="s">
        <v>16</v>
      </c>
      <c r="AEY3" s="2" t="s">
        <v>43</v>
      </c>
      <c r="AEZ3" s="2" t="s">
        <v>32</v>
      </c>
      <c r="AFA3" s="2" t="s">
        <v>32</v>
      </c>
      <c r="AFB3" s="2" t="s">
        <v>41</v>
      </c>
      <c r="AFC3" s="2" t="s">
        <v>24</v>
      </c>
      <c r="AFD3" s="2" t="s">
        <v>90</v>
      </c>
      <c r="AFE3" s="2" t="s">
        <v>24</v>
      </c>
      <c r="AFF3" s="2" t="s">
        <v>41</v>
      </c>
      <c r="AFG3" s="2" t="s">
        <v>32</v>
      </c>
      <c r="AFH3" s="2" t="s">
        <v>24</v>
      </c>
      <c r="AFI3" s="2" t="s">
        <v>32</v>
      </c>
      <c r="AFJ3" s="2" t="s">
        <v>16</v>
      </c>
      <c r="AFK3" s="2" t="s">
        <v>43</v>
      </c>
      <c r="AFL3" s="2" t="s">
        <v>90</v>
      </c>
      <c r="AFM3" s="2" t="s">
        <v>16</v>
      </c>
      <c r="AFN3" s="2" t="s">
        <v>32</v>
      </c>
      <c r="AFO3" s="2" t="s">
        <v>32</v>
      </c>
      <c r="AFP3" s="2" t="s">
        <v>54</v>
      </c>
      <c r="AFQ3" s="2" t="s">
        <v>54</v>
      </c>
      <c r="AFR3" s="2" t="s">
        <v>16</v>
      </c>
      <c r="AFS3" s="2" t="s">
        <v>74</v>
      </c>
      <c r="AFT3" s="2" t="s">
        <v>16</v>
      </c>
      <c r="AFU3" s="2" t="s">
        <v>54</v>
      </c>
      <c r="AFV3" s="2" t="s">
        <v>32</v>
      </c>
      <c r="AFW3" s="2" t="s">
        <v>41</v>
      </c>
      <c r="AFX3" s="2" t="s">
        <v>16</v>
      </c>
      <c r="AFY3" s="2" t="s">
        <v>32</v>
      </c>
      <c r="AFZ3" s="2" t="s">
        <v>41</v>
      </c>
      <c r="AGA3" s="2" t="s">
        <v>41</v>
      </c>
      <c r="AGB3" s="2" t="s">
        <v>54</v>
      </c>
      <c r="AGC3" s="2" t="s">
        <v>16</v>
      </c>
      <c r="AGD3" s="2" t="s">
        <v>24</v>
      </c>
      <c r="AGE3" s="2" t="s">
        <v>90</v>
      </c>
      <c r="AGF3" s="2" t="s">
        <v>54</v>
      </c>
      <c r="AGG3" s="2" t="s">
        <v>54</v>
      </c>
      <c r="AGH3" s="2" t="s">
        <v>24</v>
      </c>
      <c r="AGI3" s="2" t="s">
        <v>90</v>
      </c>
      <c r="AGJ3" s="2" t="s">
        <v>32</v>
      </c>
      <c r="AGK3" s="2" t="s">
        <v>74</v>
      </c>
      <c r="AGL3" s="2" t="s">
        <v>16</v>
      </c>
      <c r="AGM3" s="2" t="s">
        <v>74</v>
      </c>
      <c r="AGN3" s="2" t="s">
        <v>32</v>
      </c>
      <c r="AGO3" s="2" t="s">
        <v>43</v>
      </c>
      <c r="AGP3" s="2" t="s">
        <v>54</v>
      </c>
      <c r="AGQ3" s="2" t="s">
        <v>90</v>
      </c>
      <c r="AGR3" s="2" t="s">
        <v>54</v>
      </c>
      <c r="AGS3" s="2" t="s">
        <v>41</v>
      </c>
      <c r="AGT3" s="2" t="s">
        <v>54</v>
      </c>
      <c r="AGU3" s="2" t="s">
        <v>54</v>
      </c>
      <c r="AGV3" s="2" t="s">
        <v>32</v>
      </c>
      <c r="AGW3" s="2" t="s">
        <v>32</v>
      </c>
      <c r="AGX3" s="2" t="s">
        <v>32</v>
      </c>
      <c r="AGY3" s="2" t="s">
        <v>74</v>
      </c>
      <c r="AGZ3" s="2" t="s">
        <v>41</v>
      </c>
      <c r="AHA3" s="2" t="s">
        <v>43</v>
      </c>
      <c r="AHB3" s="2" t="s">
        <v>43</v>
      </c>
      <c r="AHC3" s="2" t="s">
        <v>32</v>
      </c>
      <c r="AHD3" s="2" t="s">
        <v>90</v>
      </c>
      <c r="AHE3" s="2" t="s">
        <v>74</v>
      </c>
      <c r="AHF3" s="2" t="s">
        <v>24</v>
      </c>
      <c r="AHG3" s="2" t="s">
        <v>90</v>
      </c>
      <c r="AHH3" s="2" t="s">
        <v>16</v>
      </c>
      <c r="AHI3" s="2" t="s">
        <v>16</v>
      </c>
      <c r="AHJ3" s="2" t="s">
        <v>90</v>
      </c>
      <c r="AHK3" s="2" t="s">
        <v>32</v>
      </c>
      <c r="AHL3" s="2" t="s">
        <v>24</v>
      </c>
      <c r="AHM3" s="2" t="s">
        <v>24</v>
      </c>
      <c r="AHN3" s="2" t="s">
        <v>74</v>
      </c>
      <c r="AHO3" s="2" t="s">
        <v>24</v>
      </c>
      <c r="AHP3" s="2" t="s">
        <v>16</v>
      </c>
      <c r="AHQ3" s="2" t="s">
        <v>41</v>
      </c>
      <c r="AHR3" s="2" t="s">
        <v>32</v>
      </c>
      <c r="AHS3" s="2" t="s">
        <v>24</v>
      </c>
      <c r="AHT3" s="2" t="s">
        <v>74</v>
      </c>
      <c r="AHU3" s="2" t="s">
        <v>16</v>
      </c>
      <c r="AHV3" s="2" t="s">
        <v>41</v>
      </c>
      <c r="AHW3" s="2" t="s">
        <v>54</v>
      </c>
      <c r="AHX3" s="2" t="s">
        <v>54</v>
      </c>
      <c r="AHY3" s="2" t="s">
        <v>41</v>
      </c>
      <c r="AHZ3" s="2" t="s">
        <v>16</v>
      </c>
      <c r="AIA3" s="2" t="s">
        <v>74</v>
      </c>
      <c r="AIB3" s="2" t="s">
        <v>41</v>
      </c>
      <c r="AIC3" s="2" t="s">
        <v>32</v>
      </c>
      <c r="AID3" s="2" t="s">
        <v>32</v>
      </c>
      <c r="AIE3" s="2" t="s">
        <v>54</v>
      </c>
      <c r="AIF3" s="2" t="s">
        <v>24</v>
      </c>
      <c r="AIG3" s="2" t="s">
        <v>74</v>
      </c>
      <c r="AIH3" s="2" t="s">
        <v>54</v>
      </c>
      <c r="AII3" s="2" t="s">
        <v>24</v>
      </c>
      <c r="AIJ3" s="2" t="s">
        <v>24</v>
      </c>
      <c r="AIK3" s="2" t="s">
        <v>43</v>
      </c>
      <c r="AIL3" s="2" t="s">
        <v>32</v>
      </c>
      <c r="AIM3" s="2" t="s">
        <v>16</v>
      </c>
      <c r="AIN3" s="2" t="s">
        <v>90</v>
      </c>
      <c r="AIO3" s="2" t="s">
        <v>16</v>
      </c>
      <c r="AIP3" s="2" t="s">
        <v>90</v>
      </c>
      <c r="AIQ3" s="2" t="s">
        <v>41</v>
      </c>
      <c r="AIR3" s="2" t="s">
        <v>32</v>
      </c>
      <c r="AIS3" s="2" t="s">
        <v>24</v>
      </c>
      <c r="AIT3" s="2" t="s">
        <v>74</v>
      </c>
      <c r="AIU3" s="2" t="s">
        <v>90</v>
      </c>
      <c r="AIV3" s="2" t="s">
        <v>16</v>
      </c>
      <c r="AIW3" s="2" t="s">
        <v>24</v>
      </c>
      <c r="AIX3" s="2" t="s">
        <v>90</v>
      </c>
      <c r="AIY3" s="2" t="s">
        <v>90</v>
      </c>
      <c r="AIZ3" s="2" t="s">
        <v>43</v>
      </c>
      <c r="AJA3" s="2" t="s">
        <v>90</v>
      </c>
      <c r="AJB3" s="2" t="s">
        <v>74</v>
      </c>
      <c r="AJC3" s="2" t="s">
        <v>32</v>
      </c>
      <c r="AJD3" s="2" t="s">
        <v>74</v>
      </c>
      <c r="AJE3" s="2" t="s">
        <v>54</v>
      </c>
      <c r="AJF3" s="2" t="s">
        <v>24</v>
      </c>
      <c r="AJG3" s="2" t="s">
        <v>32</v>
      </c>
      <c r="AJH3" s="2" t="s">
        <v>43</v>
      </c>
      <c r="AJI3" s="2" t="s">
        <v>32</v>
      </c>
      <c r="AJJ3" s="2" t="s">
        <v>32</v>
      </c>
      <c r="AJK3" s="2" t="s">
        <v>16</v>
      </c>
      <c r="AJL3" s="2" t="s">
        <v>32</v>
      </c>
      <c r="AJM3" s="2" t="s">
        <v>43</v>
      </c>
      <c r="AJN3" s="2" t="s">
        <v>74</v>
      </c>
      <c r="AJO3" s="2" t="s">
        <v>32</v>
      </c>
      <c r="AJP3" s="2" t="s">
        <v>41</v>
      </c>
      <c r="AJQ3" s="2" t="s">
        <v>24</v>
      </c>
      <c r="AJR3" s="2" t="s">
        <v>32</v>
      </c>
      <c r="AJS3" s="2" t="s">
        <v>24</v>
      </c>
      <c r="AJT3" s="2" t="s">
        <v>41</v>
      </c>
      <c r="AJU3" s="2" t="s">
        <v>41</v>
      </c>
      <c r="AJV3" s="2" t="s">
        <v>24</v>
      </c>
      <c r="AJW3" s="2" t="s">
        <v>90</v>
      </c>
      <c r="AJX3" s="2" t="s">
        <v>54</v>
      </c>
      <c r="AJY3" s="2" t="s">
        <v>16</v>
      </c>
      <c r="AJZ3" s="2" t="s">
        <v>90</v>
      </c>
      <c r="AKA3" s="2" t="s">
        <v>90</v>
      </c>
      <c r="AKB3" s="2" t="s">
        <v>74</v>
      </c>
      <c r="AKC3" s="2" t="s">
        <v>16</v>
      </c>
      <c r="AKD3" s="2" t="s">
        <v>16</v>
      </c>
      <c r="AKE3" s="2" t="s">
        <v>90</v>
      </c>
      <c r="AKF3" s="2" t="s">
        <v>32</v>
      </c>
      <c r="AKG3" s="2" t="s">
        <v>74</v>
      </c>
      <c r="AKH3" s="2" t="s">
        <v>74</v>
      </c>
      <c r="AKI3" s="2" t="s">
        <v>41</v>
      </c>
      <c r="AKJ3" s="2" t="s">
        <v>43</v>
      </c>
      <c r="AKK3" s="2" t="s">
        <v>16</v>
      </c>
      <c r="AKL3" s="2" t="s">
        <v>90</v>
      </c>
      <c r="AKM3" s="2" t="s">
        <v>41</v>
      </c>
      <c r="AKN3" s="2" t="s">
        <v>24</v>
      </c>
      <c r="AKO3" s="2" t="s">
        <v>54</v>
      </c>
      <c r="AKP3" s="2" t="s">
        <v>43</v>
      </c>
      <c r="AKQ3" s="2" t="s">
        <v>43</v>
      </c>
      <c r="AKR3" s="2" t="s">
        <v>43</v>
      </c>
      <c r="AKS3" s="2" t="s">
        <v>74</v>
      </c>
      <c r="AKT3" s="2" t="s">
        <v>24</v>
      </c>
      <c r="AKU3" s="2" t="s">
        <v>43</v>
      </c>
      <c r="AKV3" s="2" t="s">
        <v>24</v>
      </c>
      <c r="AKW3" s="2" t="s">
        <v>32</v>
      </c>
      <c r="AKX3" s="2" t="s">
        <v>43</v>
      </c>
      <c r="AKY3" s="2" t="s">
        <v>54</v>
      </c>
      <c r="AKZ3" s="2" t="s">
        <v>24</v>
      </c>
      <c r="ALA3" s="2" t="s">
        <v>24</v>
      </c>
      <c r="ALB3" s="2" t="s">
        <v>54</v>
      </c>
      <c r="ALC3" s="2" t="s">
        <v>43</v>
      </c>
      <c r="ALD3" s="2" t="s">
        <v>54</v>
      </c>
      <c r="ALE3" s="2" t="s">
        <v>24</v>
      </c>
      <c r="ALF3" s="2" t="s">
        <v>54</v>
      </c>
      <c r="ALG3" s="2" t="s">
        <v>24</v>
      </c>
      <c r="ALH3" s="2" t="s">
        <v>24</v>
      </c>
      <c r="ALI3" s="2" t="s">
        <v>32</v>
      </c>
      <c r="ALJ3" s="2" t="s">
        <v>90</v>
      </c>
      <c r="ALK3" s="2" t="s">
        <v>24</v>
      </c>
      <c r="ALL3" s="2" t="s">
        <v>43</v>
      </c>
      <c r="ALM3" s="2" t="s">
        <v>41</v>
      </c>
    </row>
    <row r="4" spans="1:1001" ht="21" x14ac:dyDescent="0.3">
      <c r="A4" s="3" t="s">
        <v>3</v>
      </c>
      <c r="B4" s="2" t="s">
        <v>17</v>
      </c>
      <c r="C4" s="2" t="s">
        <v>25</v>
      </c>
      <c r="D4" s="2" t="s">
        <v>33</v>
      </c>
      <c r="E4" s="2" t="s">
        <v>37</v>
      </c>
      <c r="F4" s="2" t="s">
        <v>33</v>
      </c>
      <c r="G4" s="2" t="s">
        <v>44</v>
      </c>
      <c r="H4" s="2" t="s">
        <v>47</v>
      </c>
      <c r="I4" s="2" t="s">
        <v>49</v>
      </c>
      <c r="J4" s="2" t="s">
        <v>51</v>
      </c>
      <c r="K4" s="2" t="s">
        <v>49</v>
      </c>
      <c r="L4" s="2" t="s">
        <v>49</v>
      </c>
      <c r="M4" s="2" t="s">
        <v>60</v>
      </c>
      <c r="N4" s="2" t="s">
        <v>62</v>
      </c>
      <c r="O4" s="2" t="s">
        <v>49</v>
      </c>
      <c r="P4" s="2" t="s">
        <v>17</v>
      </c>
      <c r="Q4" s="2" t="s">
        <v>67</v>
      </c>
      <c r="R4" s="2" t="s">
        <v>62</v>
      </c>
      <c r="S4" s="2" t="s">
        <v>44</v>
      </c>
      <c r="T4" s="2" t="s">
        <v>25</v>
      </c>
      <c r="U4" s="2" t="s">
        <v>37</v>
      </c>
      <c r="V4" s="2" t="s">
        <v>67</v>
      </c>
      <c r="W4" s="2" t="s">
        <v>76</v>
      </c>
      <c r="X4" s="2" t="s">
        <v>78</v>
      </c>
      <c r="Y4" s="2" t="s">
        <v>60</v>
      </c>
      <c r="Z4" s="2" t="s">
        <v>67</v>
      </c>
      <c r="AA4" s="2" t="s">
        <v>82</v>
      </c>
      <c r="AB4" s="2" t="s">
        <v>49</v>
      </c>
      <c r="AC4" s="2" t="s">
        <v>44</v>
      </c>
      <c r="AD4" s="2" t="s">
        <v>86</v>
      </c>
      <c r="AE4" s="2" t="s">
        <v>78</v>
      </c>
      <c r="AF4" s="2" t="s">
        <v>33</v>
      </c>
      <c r="AG4" s="2" t="s">
        <v>17</v>
      </c>
      <c r="AH4" s="2" t="s">
        <v>33</v>
      </c>
      <c r="AI4" s="2" t="s">
        <v>67</v>
      </c>
      <c r="AJ4" s="2" t="s">
        <v>25</v>
      </c>
      <c r="AK4" s="2" t="s">
        <v>33</v>
      </c>
      <c r="AL4" s="2" t="s">
        <v>82</v>
      </c>
      <c r="AM4" s="2" t="s">
        <v>44</v>
      </c>
      <c r="AN4" s="2" t="s">
        <v>76</v>
      </c>
      <c r="AO4" s="2" t="s">
        <v>25</v>
      </c>
      <c r="AP4" s="2" t="s">
        <v>37</v>
      </c>
      <c r="AQ4" s="2" t="s">
        <v>17</v>
      </c>
      <c r="AR4" s="2" t="s">
        <v>82</v>
      </c>
      <c r="AS4" s="2" t="s">
        <v>82</v>
      </c>
      <c r="AT4" s="2" t="s">
        <v>33</v>
      </c>
      <c r="AU4" s="2" t="s">
        <v>49</v>
      </c>
      <c r="AV4" s="2" t="s">
        <v>33</v>
      </c>
      <c r="AW4" s="2" t="s">
        <v>67</v>
      </c>
      <c r="AX4" s="2" t="s">
        <v>37</v>
      </c>
      <c r="AY4" s="2" t="s">
        <v>62</v>
      </c>
      <c r="AZ4" s="2" t="s">
        <v>25</v>
      </c>
      <c r="BA4" s="2" t="s">
        <v>33</v>
      </c>
      <c r="BB4" s="2" t="s">
        <v>44</v>
      </c>
      <c r="BC4" s="2" t="s">
        <v>86</v>
      </c>
      <c r="BD4" s="2" t="s">
        <v>17</v>
      </c>
      <c r="BE4" s="2" t="s">
        <v>51</v>
      </c>
      <c r="BF4" s="2" t="s">
        <v>33</v>
      </c>
      <c r="BG4" s="2" t="s">
        <v>44</v>
      </c>
      <c r="BH4" s="2" t="s">
        <v>25</v>
      </c>
      <c r="BI4" s="2" t="s">
        <v>44</v>
      </c>
      <c r="BJ4" s="2" t="s">
        <v>17</v>
      </c>
      <c r="BK4" s="2" t="s">
        <v>62</v>
      </c>
      <c r="BL4" s="2" t="s">
        <v>44</v>
      </c>
      <c r="BM4" s="2" t="s">
        <v>86</v>
      </c>
      <c r="BN4" s="2" t="s">
        <v>44</v>
      </c>
      <c r="BO4" s="2" t="s">
        <v>44</v>
      </c>
      <c r="BP4" s="2" t="s">
        <v>44</v>
      </c>
      <c r="BQ4" s="2" t="s">
        <v>76</v>
      </c>
      <c r="BR4" s="2" t="s">
        <v>76</v>
      </c>
      <c r="BS4" s="2" t="s">
        <v>62</v>
      </c>
      <c r="BT4" s="2" t="s">
        <v>33</v>
      </c>
      <c r="BU4" s="2" t="s">
        <v>44</v>
      </c>
      <c r="BV4" s="2" t="s">
        <v>60</v>
      </c>
      <c r="BW4" s="2" t="s">
        <v>37</v>
      </c>
      <c r="BX4" s="2" t="s">
        <v>60</v>
      </c>
      <c r="BY4" s="2" t="s">
        <v>33</v>
      </c>
      <c r="BZ4" s="2" t="s">
        <v>62</v>
      </c>
      <c r="CA4" s="2" t="s">
        <v>49</v>
      </c>
      <c r="CB4" s="2" t="s">
        <v>49</v>
      </c>
      <c r="CC4" s="2" t="s">
        <v>47</v>
      </c>
      <c r="CD4" s="2" t="s">
        <v>60</v>
      </c>
      <c r="CE4" s="2" t="s">
        <v>33</v>
      </c>
      <c r="CF4" s="2" t="s">
        <v>33</v>
      </c>
      <c r="CG4" s="2" t="s">
        <v>78</v>
      </c>
      <c r="CH4" s="2" t="s">
        <v>67</v>
      </c>
      <c r="CI4" s="2" t="s">
        <v>51</v>
      </c>
      <c r="CJ4" s="2" t="s">
        <v>25</v>
      </c>
      <c r="CK4" s="2" t="s">
        <v>78</v>
      </c>
      <c r="CL4" s="2" t="s">
        <v>86</v>
      </c>
      <c r="CM4" s="2" t="s">
        <v>76</v>
      </c>
      <c r="CN4" s="2" t="s">
        <v>76</v>
      </c>
      <c r="CO4" s="2" t="s">
        <v>67</v>
      </c>
      <c r="CP4" s="2" t="s">
        <v>17</v>
      </c>
      <c r="CQ4" s="2" t="s">
        <v>17</v>
      </c>
      <c r="CR4" s="2" t="s">
        <v>62</v>
      </c>
      <c r="CS4" s="2" t="s">
        <v>82</v>
      </c>
      <c r="CT4" s="2" t="s">
        <v>67</v>
      </c>
      <c r="CU4" s="2" t="s">
        <v>51</v>
      </c>
      <c r="CV4" s="2" t="s">
        <v>33</v>
      </c>
      <c r="CW4" s="2" t="s">
        <v>17</v>
      </c>
      <c r="CX4" s="2" t="s">
        <v>51</v>
      </c>
      <c r="CY4" s="2" t="s">
        <v>44</v>
      </c>
      <c r="CZ4" s="2" t="s">
        <v>60</v>
      </c>
      <c r="DA4" s="2" t="s">
        <v>60</v>
      </c>
      <c r="DB4" s="2" t="s">
        <v>82</v>
      </c>
      <c r="DC4" s="2" t="s">
        <v>37</v>
      </c>
      <c r="DD4" s="2" t="s">
        <v>33</v>
      </c>
      <c r="DE4" s="2" t="s">
        <v>25</v>
      </c>
      <c r="DF4" s="2" t="s">
        <v>25</v>
      </c>
      <c r="DG4" s="2" t="s">
        <v>86</v>
      </c>
      <c r="DH4" s="2" t="s">
        <v>25</v>
      </c>
      <c r="DI4" s="2" t="s">
        <v>44</v>
      </c>
      <c r="DJ4" s="2" t="s">
        <v>44</v>
      </c>
      <c r="DK4" s="2" t="s">
        <v>60</v>
      </c>
      <c r="DL4" s="2" t="s">
        <v>67</v>
      </c>
      <c r="DM4" s="2" t="s">
        <v>82</v>
      </c>
      <c r="DN4" s="2" t="s">
        <v>62</v>
      </c>
      <c r="DO4" s="2" t="s">
        <v>86</v>
      </c>
      <c r="DP4" s="2" t="s">
        <v>17</v>
      </c>
      <c r="DQ4" s="2" t="s">
        <v>51</v>
      </c>
      <c r="DR4" s="2" t="s">
        <v>67</v>
      </c>
      <c r="DS4" s="2" t="s">
        <v>17</v>
      </c>
      <c r="DT4" s="2" t="s">
        <v>67</v>
      </c>
      <c r="DU4" s="2" t="s">
        <v>67</v>
      </c>
      <c r="DV4" s="2" t="s">
        <v>67</v>
      </c>
      <c r="DW4" s="2" t="s">
        <v>60</v>
      </c>
      <c r="DX4" s="2" t="s">
        <v>25</v>
      </c>
      <c r="DY4" s="2" t="s">
        <v>82</v>
      </c>
      <c r="DZ4" s="2" t="s">
        <v>62</v>
      </c>
      <c r="EA4" s="2" t="s">
        <v>25</v>
      </c>
      <c r="EB4" s="2" t="s">
        <v>67</v>
      </c>
      <c r="EC4" s="2" t="s">
        <v>47</v>
      </c>
      <c r="ED4" s="2" t="s">
        <v>37</v>
      </c>
      <c r="EE4" s="2" t="s">
        <v>17</v>
      </c>
      <c r="EF4" s="2" t="s">
        <v>33</v>
      </c>
      <c r="EG4" s="2" t="s">
        <v>78</v>
      </c>
      <c r="EH4" s="2" t="s">
        <v>25</v>
      </c>
      <c r="EI4" s="2" t="s">
        <v>51</v>
      </c>
      <c r="EJ4" s="2" t="s">
        <v>60</v>
      </c>
      <c r="EK4" s="2" t="s">
        <v>86</v>
      </c>
      <c r="EL4" s="2" t="s">
        <v>76</v>
      </c>
      <c r="EM4" s="2" t="s">
        <v>62</v>
      </c>
      <c r="EN4" s="2" t="s">
        <v>33</v>
      </c>
      <c r="EO4" s="2" t="s">
        <v>44</v>
      </c>
      <c r="EP4" s="2" t="s">
        <v>49</v>
      </c>
      <c r="EQ4" s="2" t="s">
        <v>47</v>
      </c>
      <c r="ER4" s="2" t="s">
        <v>76</v>
      </c>
      <c r="ES4" s="2" t="s">
        <v>78</v>
      </c>
      <c r="ET4" s="2" t="s">
        <v>33</v>
      </c>
      <c r="EU4" s="2" t="s">
        <v>76</v>
      </c>
      <c r="EV4" s="2" t="s">
        <v>33</v>
      </c>
      <c r="EW4" s="2" t="s">
        <v>51</v>
      </c>
      <c r="EX4" s="2" t="s">
        <v>47</v>
      </c>
      <c r="EY4" s="2" t="s">
        <v>78</v>
      </c>
      <c r="EZ4" s="2" t="s">
        <v>44</v>
      </c>
      <c r="FA4" s="2" t="s">
        <v>67</v>
      </c>
      <c r="FB4" s="2" t="s">
        <v>17</v>
      </c>
      <c r="FC4" s="2" t="s">
        <v>44</v>
      </c>
      <c r="FD4" s="2" t="s">
        <v>67</v>
      </c>
      <c r="FE4" s="2" t="s">
        <v>49</v>
      </c>
      <c r="FF4" s="2" t="s">
        <v>60</v>
      </c>
      <c r="FG4" s="2" t="s">
        <v>82</v>
      </c>
      <c r="FH4" s="2" t="s">
        <v>82</v>
      </c>
      <c r="FI4" s="2" t="s">
        <v>82</v>
      </c>
      <c r="FJ4" s="2" t="s">
        <v>62</v>
      </c>
      <c r="FK4" s="2" t="s">
        <v>25</v>
      </c>
      <c r="FL4" s="2" t="s">
        <v>37</v>
      </c>
      <c r="FM4" s="2" t="s">
        <v>86</v>
      </c>
      <c r="FN4" s="2" t="s">
        <v>86</v>
      </c>
      <c r="FO4" s="2" t="s">
        <v>25</v>
      </c>
      <c r="FP4" s="2" t="s">
        <v>82</v>
      </c>
      <c r="FQ4" s="2" t="s">
        <v>17</v>
      </c>
      <c r="FR4" s="2" t="s">
        <v>78</v>
      </c>
      <c r="FS4" s="2" t="s">
        <v>47</v>
      </c>
      <c r="FT4" s="2" t="s">
        <v>78</v>
      </c>
      <c r="FU4" s="2" t="s">
        <v>47</v>
      </c>
      <c r="FV4" s="2" t="s">
        <v>78</v>
      </c>
      <c r="FW4" s="2" t="s">
        <v>37</v>
      </c>
      <c r="FX4" s="2" t="s">
        <v>62</v>
      </c>
      <c r="FY4" s="2" t="s">
        <v>62</v>
      </c>
      <c r="FZ4" s="2" t="s">
        <v>82</v>
      </c>
      <c r="GA4" s="2" t="s">
        <v>49</v>
      </c>
      <c r="GB4" s="2" t="s">
        <v>67</v>
      </c>
      <c r="GC4" s="2" t="s">
        <v>49</v>
      </c>
      <c r="GD4" s="2" t="s">
        <v>76</v>
      </c>
      <c r="GE4" s="2" t="s">
        <v>62</v>
      </c>
      <c r="GF4" s="2" t="s">
        <v>62</v>
      </c>
      <c r="GG4" s="2" t="s">
        <v>44</v>
      </c>
      <c r="GH4" s="2" t="s">
        <v>44</v>
      </c>
      <c r="GI4" s="2" t="s">
        <v>67</v>
      </c>
      <c r="GJ4" s="2" t="s">
        <v>51</v>
      </c>
      <c r="GK4" s="2" t="s">
        <v>76</v>
      </c>
      <c r="GL4" s="2" t="s">
        <v>49</v>
      </c>
      <c r="GM4" s="2" t="s">
        <v>17</v>
      </c>
      <c r="GN4" s="2" t="s">
        <v>44</v>
      </c>
      <c r="GO4" s="2" t="s">
        <v>17</v>
      </c>
      <c r="GP4" s="2" t="s">
        <v>33</v>
      </c>
      <c r="GQ4" s="2" t="s">
        <v>44</v>
      </c>
      <c r="GR4" s="2" t="s">
        <v>37</v>
      </c>
      <c r="GS4" s="2" t="s">
        <v>51</v>
      </c>
      <c r="GT4" s="2" t="s">
        <v>76</v>
      </c>
      <c r="GU4" s="2" t="s">
        <v>60</v>
      </c>
      <c r="GV4" s="2" t="s">
        <v>67</v>
      </c>
      <c r="GW4" s="2" t="s">
        <v>33</v>
      </c>
      <c r="GX4" s="2" t="s">
        <v>60</v>
      </c>
      <c r="GY4" s="2" t="s">
        <v>76</v>
      </c>
      <c r="GZ4" s="2" t="s">
        <v>49</v>
      </c>
      <c r="HA4" s="2" t="s">
        <v>82</v>
      </c>
      <c r="HB4" s="2" t="s">
        <v>37</v>
      </c>
      <c r="HC4" s="2" t="s">
        <v>76</v>
      </c>
      <c r="HD4" s="2" t="s">
        <v>37</v>
      </c>
      <c r="HE4" s="2" t="s">
        <v>25</v>
      </c>
      <c r="HF4" s="2" t="s">
        <v>37</v>
      </c>
      <c r="HG4" s="2" t="s">
        <v>17</v>
      </c>
      <c r="HH4" s="2" t="s">
        <v>25</v>
      </c>
      <c r="HI4" s="2" t="s">
        <v>78</v>
      </c>
      <c r="HJ4" s="2" t="s">
        <v>60</v>
      </c>
      <c r="HK4" s="2" t="s">
        <v>82</v>
      </c>
      <c r="HL4" s="2" t="s">
        <v>25</v>
      </c>
      <c r="HM4" s="2" t="s">
        <v>49</v>
      </c>
      <c r="HN4" s="2" t="s">
        <v>33</v>
      </c>
      <c r="HO4" s="2" t="s">
        <v>76</v>
      </c>
      <c r="HP4" s="2" t="s">
        <v>47</v>
      </c>
      <c r="HQ4" s="2" t="s">
        <v>33</v>
      </c>
      <c r="HR4" s="2" t="s">
        <v>78</v>
      </c>
      <c r="HS4" s="2" t="s">
        <v>33</v>
      </c>
      <c r="HT4" s="2" t="s">
        <v>62</v>
      </c>
      <c r="HU4" s="2" t="s">
        <v>49</v>
      </c>
      <c r="HV4" s="2" t="s">
        <v>47</v>
      </c>
      <c r="HW4" s="2" t="s">
        <v>25</v>
      </c>
      <c r="HX4" s="2" t="s">
        <v>25</v>
      </c>
      <c r="HY4" s="2" t="s">
        <v>25</v>
      </c>
      <c r="HZ4" s="2" t="s">
        <v>78</v>
      </c>
      <c r="IA4" s="2" t="s">
        <v>17</v>
      </c>
      <c r="IB4" s="2" t="s">
        <v>60</v>
      </c>
      <c r="IC4" s="2" t="s">
        <v>76</v>
      </c>
      <c r="ID4" s="2" t="s">
        <v>51</v>
      </c>
      <c r="IE4" s="2" t="s">
        <v>86</v>
      </c>
      <c r="IF4" s="2" t="s">
        <v>60</v>
      </c>
      <c r="IG4" s="2" t="s">
        <v>78</v>
      </c>
      <c r="IH4" s="2" t="s">
        <v>67</v>
      </c>
      <c r="II4" s="2" t="s">
        <v>49</v>
      </c>
      <c r="IJ4" s="2" t="s">
        <v>76</v>
      </c>
      <c r="IK4" s="2" t="s">
        <v>60</v>
      </c>
      <c r="IL4" s="2" t="s">
        <v>82</v>
      </c>
      <c r="IM4" s="2" t="s">
        <v>78</v>
      </c>
      <c r="IN4" s="2" t="s">
        <v>62</v>
      </c>
      <c r="IO4" s="2" t="s">
        <v>86</v>
      </c>
      <c r="IP4" s="2" t="s">
        <v>62</v>
      </c>
      <c r="IQ4" s="2" t="s">
        <v>25</v>
      </c>
      <c r="IR4" s="2" t="s">
        <v>86</v>
      </c>
      <c r="IS4" s="2" t="s">
        <v>60</v>
      </c>
      <c r="IT4" s="2" t="s">
        <v>82</v>
      </c>
      <c r="IU4" s="2" t="s">
        <v>25</v>
      </c>
      <c r="IV4" s="2" t="s">
        <v>51</v>
      </c>
      <c r="IW4" s="2" t="s">
        <v>49</v>
      </c>
      <c r="IX4" s="2" t="s">
        <v>67</v>
      </c>
      <c r="IY4" s="2" t="s">
        <v>76</v>
      </c>
      <c r="IZ4" s="2" t="s">
        <v>17</v>
      </c>
      <c r="JA4" s="2" t="s">
        <v>62</v>
      </c>
      <c r="JB4" s="2" t="s">
        <v>62</v>
      </c>
      <c r="JC4" s="2" t="s">
        <v>25</v>
      </c>
      <c r="JD4" s="2" t="s">
        <v>37</v>
      </c>
      <c r="JE4" s="2" t="s">
        <v>86</v>
      </c>
      <c r="JF4" s="2" t="s">
        <v>44</v>
      </c>
      <c r="JG4" s="2" t="s">
        <v>51</v>
      </c>
      <c r="JH4" s="2" t="s">
        <v>76</v>
      </c>
      <c r="JI4" s="2" t="s">
        <v>86</v>
      </c>
      <c r="JJ4" s="2" t="s">
        <v>37</v>
      </c>
      <c r="JK4" s="2" t="s">
        <v>33</v>
      </c>
      <c r="JL4" s="2" t="s">
        <v>86</v>
      </c>
      <c r="JM4" s="2" t="s">
        <v>17</v>
      </c>
      <c r="JN4" s="2" t="s">
        <v>76</v>
      </c>
      <c r="JO4" s="2" t="s">
        <v>60</v>
      </c>
      <c r="JP4" s="2" t="s">
        <v>51</v>
      </c>
      <c r="JQ4" s="2" t="s">
        <v>37</v>
      </c>
      <c r="JR4" s="2" t="s">
        <v>33</v>
      </c>
      <c r="JS4" s="2" t="s">
        <v>49</v>
      </c>
      <c r="JT4" s="2" t="s">
        <v>47</v>
      </c>
      <c r="JU4" s="2" t="s">
        <v>37</v>
      </c>
      <c r="JV4" s="2" t="s">
        <v>47</v>
      </c>
      <c r="JW4" s="2" t="s">
        <v>76</v>
      </c>
      <c r="JX4" s="2" t="s">
        <v>62</v>
      </c>
      <c r="JY4" s="2" t="s">
        <v>37</v>
      </c>
      <c r="JZ4" s="2" t="s">
        <v>49</v>
      </c>
      <c r="KA4" s="2" t="s">
        <v>67</v>
      </c>
      <c r="KB4" s="2" t="s">
        <v>25</v>
      </c>
      <c r="KC4" s="2" t="s">
        <v>47</v>
      </c>
      <c r="KD4" s="2" t="s">
        <v>25</v>
      </c>
      <c r="KE4" s="2" t="s">
        <v>17</v>
      </c>
      <c r="KF4" s="2" t="s">
        <v>67</v>
      </c>
      <c r="KG4" s="2" t="s">
        <v>25</v>
      </c>
      <c r="KH4" s="2" t="s">
        <v>78</v>
      </c>
      <c r="KI4" s="2" t="s">
        <v>78</v>
      </c>
      <c r="KJ4" s="2" t="s">
        <v>33</v>
      </c>
      <c r="KK4" s="2" t="s">
        <v>51</v>
      </c>
      <c r="KL4" s="2" t="s">
        <v>62</v>
      </c>
      <c r="KM4" s="2" t="s">
        <v>76</v>
      </c>
      <c r="KN4" s="2" t="s">
        <v>37</v>
      </c>
      <c r="KO4" s="2" t="s">
        <v>44</v>
      </c>
      <c r="KP4" s="2" t="s">
        <v>17</v>
      </c>
      <c r="KQ4" s="2" t="s">
        <v>47</v>
      </c>
      <c r="KR4" s="2" t="s">
        <v>76</v>
      </c>
      <c r="KS4" s="2" t="s">
        <v>67</v>
      </c>
      <c r="KT4" s="2" t="s">
        <v>82</v>
      </c>
      <c r="KU4" s="2" t="s">
        <v>78</v>
      </c>
      <c r="KV4" s="2" t="s">
        <v>82</v>
      </c>
      <c r="KW4" s="2" t="s">
        <v>49</v>
      </c>
      <c r="KX4" s="2" t="s">
        <v>17</v>
      </c>
      <c r="KY4" s="2" t="s">
        <v>44</v>
      </c>
      <c r="KZ4" s="2" t="s">
        <v>37</v>
      </c>
      <c r="LA4" s="2" t="s">
        <v>33</v>
      </c>
      <c r="LB4" s="2" t="s">
        <v>44</v>
      </c>
      <c r="LC4" s="2" t="s">
        <v>17</v>
      </c>
      <c r="LD4" s="2" t="s">
        <v>44</v>
      </c>
      <c r="LE4" s="2" t="s">
        <v>17</v>
      </c>
      <c r="LF4" s="2" t="s">
        <v>17</v>
      </c>
      <c r="LG4" s="2" t="s">
        <v>86</v>
      </c>
      <c r="LH4" s="2" t="s">
        <v>47</v>
      </c>
      <c r="LI4" s="2" t="s">
        <v>60</v>
      </c>
      <c r="LJ4" s="2" t="s">
        <v>82</v>
      </c>
      <c r="LK4" s="2" t="s">
        <v>60</v>
      </c>
      <c r="LL4" s="2" t="s">
        <v>60</v>
      </c>
      <c r="LM4" s="2" t="s">
        <v>60</v>
      </c>
      <c r="LN4" s="2" t="s">
        <v>25</v>
      </c>
      <c r="LO4" s="2" t="s">
        <v>78</v>
      </c>
      <c r="LP4" s="2" t="s">
        <v>86</v>
      </c>
      <c r="LQ4" s="2" t="s">
        <v>37</v>
      </c>
      <c r="LR4" s="2" t="s">
        <v>86</v>
      </c>
      <c r="LS4" s="2" t="s">
        <v>62</v>
      </c>
      <c r="LT4" s="2" t="s">
        <v>62</v>
      </c>
      <c r="LU4" s="2" t="s">
        <v>25</v>
      </c>
      <c r="LV4" s="2" t="s">
        <v>78</v>
      </c>
      <c r="LW4" s="2" t="s">
        <v>44</v>
      </c>
      <c r="LX4" s="2" t="s">
        <v>47</v>
      </c>
      <c r="LY4" s="2" t="s">
        <v>78</v>
      </c>
      <c r="LZ4" s="2" t="s">
        <v>25</v>
      </c>
      <c r="MA4" s="2" t="s">
        <v>17</v>
      </c>
      <c r="MB4" s="2" t="s">
        <v>67</v>
      </c>
      <c r="MC4" s="2" t="s">
        <v>47</v>
      </c>
      <c r="MD4" s="2" t="s">
        <v>51</v>
      </c>
      <c r="ME4" s="2" t="s">
        <v>82</v>
      </c>
      <c r="MF4" s="2" t="s">
        <v>47</v>
      </c>
      <c r="MG4" s="2" t="s">
        <v>25</v>
      </c>
      <c r="MH4" s="2" t="s">
        <v>17</v>
      </c>
      <c r="MI4" s="2" t="s">
        <v>17</v>
      </c>
      <c r="MJ4" s="2" t="s">
        <v>33</v>
      </c>
      <c r="MK4" s="2" t="s">
        <v>60</v>
      </c>
      <c r="ML4" s="2" t="s">
        <v>78</v>
      </c>
      <c r="MM4" s="2" t="s">
        <v>17</v>
      </c>
      <c r="MN4" s="2" t="s">
        <v>62</v>
      </c>
      <c r="MO4" s="2" t="s">
        <v>60</v>
      </c>
      <c r="MP4" s="2" t="s">
        <v>37</v>
      </c>
      <c r="MQ4" s="2" t="s">
        <v>67</v>
      </c>
      <c r="MR4" s="2" t="s">
        <v>25</v>
      </c>
      <c r="MS4" s="2" t="s">
        <v>82</v>
      </c>
      <c r="MT4" s="2" t="s">
        <v>78</v>
      </c>
      <c r="MU4" s="2" t="s">
        <v>76</v>
      </c>
      <c r="MV4" s="2" t="s">
        <v>62</v>
      </c>
      <c r="MW4" s="2" t="s">
        <v>49</v>
      </c>
      <c r="MX4" s="2" t="s">
        <v>51</v>
      </c>
      <c r="MY4" s="2" t="s">
        <v>44</v>
      </c>
      <c r="MZ4" s="2" t="s">
        <v>17</v>
      </c>
      <c r="NA4" s="2" t="s">
        <v>76</v>
      </c>
      <c r="NB4" s="2" t="s">
        <v>17</v>
      </c>
      <c r="NC4" s="2" t="s">
        <v>47</v>
      </c>
      <c r="ND4" s="2" t="s">
        <v>62</v>
      </c>
      <c r="NE4" s="2" t="s">
        <v>47</v>
      </c>
      <c r="NF4" s="2" t="s">
        <v>33</v>
      </c>
      <c r="NG4" s="2" t="s">
        <v>47</v>
      </c>
      <c r="NH4" s="2" t="s">
        <v>33</v>
      </c>
      <c r="NI4" s="2" t="s">
        <v>51</v>
      </c>
      <c r="NJ4" s="2" t="s">
        <v>25</v>
      </c>
      <c r="NK4" s="2" t="s">
        <v>33</v>
      </c>
      <c r="NL4" s="2" t="s">
        <v>76</v>
      </c>
      <c r="NM4" s="2" t="s">
        <v>60</v>
      </c>
      <c r="NN4" s="2" t="s">
        <v>17</v>
      </c>
      <c r="NO4" s="2" t="s">
        <v>44</v>
      </c>
      <c r="NP4" s="2" t="s">
        <v>60</v>
      </c>
      <c r="NQ4" s="2" t="s">
        <v>82</v>
      </c>
      <c r="NR4" s="2" t="s">
        <v>25</v>
      </c>
      <c r="NS4" s="2" t="s">
        <v>47</v>
      </c>
      <c r="NT4" s="2" t="s">
        <v>49</v>
      </c>
      <c r="NU4" s="2" t="s">
        <v>82</v>
      </c>
      <c r="NV4" s="2" t="s">
        <v>62</v>
      </c>
      <c r="NW4" s="2" t="s">
        <v>33</v>
      </c>
      <c r="NX4" s="2" t="s">
        <v>17</v>
      </c>
      <c r="NY4" s="2" t="s">
        <v>67</v>
      </c>
      <c r="NZ4" s="2" t="s">
        <v>78</v>
      </c>
      <c r="OA4" s="2" t="s">
        <v>76</v>
      </c>
      <c r="OB4" s="2" t="s">
        <v>44</v>
      </c>
      <c r="OC4" s="2" t="s">
        <v>86</v>
      </c>
      <c r="OD4" s="2" t="s">
        <v>76</v>
      </c>
      <c r="OE4" s="2" t="s">
        <v>51</v>
      </c>
      <c r="OF4" s="2" t="s">
        <v>67</v>
      </c>
      <c r="OG4" s="2" t="s">
        <v>49</v>
      </c>
      <c r="OH4" s="2" t="s">
        <v>78</v>
      </c>
      <c r="OI4" s="2" t="s">
        <v>67</v>
      </c>
      <c r="OJ4" s="2" t="s">
        <v>47</v>
      </c>
      <c r="OK4" s="2" t="s">
        <v>33</v>
      </c>
      <c r="OL4" s="2" t="s">
        <v>25</v>
      </c>
      <c r="OM4" s="2" t="s">
        <v>44</v>
      </c>
      <c r="ON4" s="2" t="s">
        <v>37</v>
      </c>
      <c r="OO4" s="2" t="s">
        <v>33</v>
      </c>
      <c r="OP4" s="2" t="s">
        <v>37</v>
      </c>
      <c r="OQ4" s="2" t="s">
        <v>82</v>
      </c>
      <c r="OR4" s="2" t="s">
        <v>25</v>
      </c>
      <c r="OS4" s="2" t="s">
        <v>78</v>
      </c>
      <c r="OT4" s="2" t="s">
        <v>17</v>
      </c>
      <c r="OU4" s="2" t="s">
        <v>86</v>
      </c>
      <c r="OV4" s="2" t="s">
        <v>62</v>
      </c>
      <c r="OW4" s="2" t="s">
        <v>60</v>
      </c>
      <c r="OX4" s="2" t="s">
        <v>25</v>
      </c>
      <c r="OY4" s="2" t="s">
        <v>33</v>
      </c>
      <c r="OZ4" s="2" t="s">
        <v>44</v>
      </c>
      <c r="PA4" s="2" t="s">
        <v>60</v>
      </c>
      <c r="PB4" s="2" t="s">
        <v>51</v>
      </c>
      <c r="PC4" s="2" t="s">
        <v>51</v>
      </c>
      <c r="PD4" s="2" t="s">
        <v>67</v>
      </c>
      <c r="PE4" s="2" t="s">
        <v>60</v>
      </c>
      <c r="PF4" s="2" t="s">
        <v>44</v>
      </c>
      <c r="PG4" s="2" t="s">
        <v>78</v>
      </c>
      <c r="PH4" s="2" t="s">
        <v>82</v>
      </c>
      <c r="PI4" s="2" t="s">
        <v>37</v>
      </c>
      <c r="PJ4" s="2" t="s">
        <v>67</v>
      </c>
      <c r="PK4" s="2" t="s">
        <v>51</v>
      </c>
      <c r="PL4" s="2" t="s">
        <v>62</v>
      </c>
      <c r="PM4" s="2" t="s">
        <v>62</v>
      </c>
      <c r="PN4" s="2" t="s">
        <v>33</v>
      </c>
      <c r="PO4" s="2" t="s">
        <v>78</v>
      </c>
      <c r="PP4" s="2" t="s">
        <v>17</v>
      </c>
      <c r="PQ4" s="2" t="s">
        <v>51</v>
      </c>
      <c r="PR4" s="2" t="s">
        <v>49</v>
      </c>
      <c r="PS4" s="2" t="s">
        <v>78</v>
      </c>
      <c r="PT4" s="2" t="s">
        <v>82</v>
      </c>
      <c r="PU4" s="2" t="s">
        <v>37</v>
      </c>
      <c r="PV4" s="2" t="s">
        <v>44</v>
      </c>
      <c r="PW4" s="2" t="s">
        <v>60</v>
      </c>
      <c r="PX4" s="2" t="s">
        <v>51</v>
      </c>
      <c r="PY4" s="2" t="s">
        <v>60</v>
      </c>
      <c r="PZ4" s="2" t="s">
        <v>62</v>
      </c>
      <c r="QA4" s="2" t="s">
        <v>44</v>
      </c>
      <c r="QB4" s="2" t="s">
        <v>44</v>
      </c>
      <c r="QC4" s="2" t="s">
        <v>44</v>
      </c>
      <c r="QD4" s="2" t="s">
        <v>62</v>
      </c>
      <c r="QE4" s="2" t="s">
        <v>82</v>
      </c>
      <c r="QF4" s="2" t="s">
        <v>60</v>
      </c>
      <c r="QG4" s="2" t="s">
        <v>76</v>
      </c>
      <c r="QH4" s="2" t="s">
        <v>60</v>
      </c>
      <c r="QI4" s="2" t="s">
        <v>47</v>
      </c>
      <c r="QJ4" s="2" t="s">
        <v>37</v>
      </c>
      <c r="QK4" s="2" t="s">
        <v>49</v>
      </c>
      <c r="QL4" s="2" t="s">
        <v>76</v>
      </c>
      <c r="QM4" s="2" t="s">
        <v>37</v>
      </c>
      <c r="QN4" s="2" t="s">
        <v>67</v>
      </c>
      <c r="QO4" s="2" t="s">
        <v>78</v>
      </c>
      <c r="QP4" s="2" t="s">
        <v>78</v>
      </c>
      <c r="QQ4" s="2" t="s">
        <v>86</v>
      </c>
      <c r="QR4" s="2" t="s">
        <v>78</v>
      </c>
      <c r="QS4" s="2" t="s">
        <v>60</v>
      </c>
      <c r="QT4" s="2" t="s">
        <v>62</v>
      </c>
      <c r="QU4" s="2" t="s">
        <v>49</v>
      </c>
      <c r="QV4" s="2" t="s">
        <v>17</v>
      </c>
      <c r="QW4" s="2" t="s">
        <v>33</v>
      </c>
      <c r="QX4" s="2" t="s">
        <v>86</v>
      </c>
      <c r="QY4" s="2" t="s">
        <v>25</v>
      </c>
      <c r="QZ4" s="2" t="s">
        <v>25</v>
      </c>
      <c r="RA4" s="2" t="s">
        <v>33</v>
      </c>
      <c r="RB4" s="2" t="s">
        <v>37</v>
      </c>
      <c r="RC4" s="2" t="s">
        <v>33</v>
      </c>
      <c r="RD4" s="2" t="s">
        <v>33</v>
      </c>
      <c r="RE4" s="2" t="s">
        <v>25</v>
      </c>
      <c r="RF4" s="2" t="s">
        <v>86</v>
      </c>
      <c r="RG4" s="2" t="s">
        <v>67</v>
      </c>
      <c r="RH4" s="2" t="s">
        <v>60</v>
      </c>
      <c r="RI4" s="2" t="s">
        <v>44</v>
      </c>
      <c r="RJ4" s="2" t="s">
        <v>78</v>
      </c>
      <c r="RK4" s="2" t="s">
        <v>78</v>
      </c>
      <c r="RL4" s="2" t="s">
        <v>62</v>
      </c>
      <c r="RM4" s="2" t="s">
        <v>86</v>
      </c>
      <c r="RN4" s="2" t="s">
        <v>62</v>
      </c>
      <c r="RO4" s="2" t="s">
        <v>17</v>
      </c>
      <c r="RP4" s="2" t="s">
        <v>17</v>
      </c>
      <c r="RQ4" s="2" t="s">
        <v>62</v>
      </c>
      <c r="RR4" s="2" t="s">
        <v>86</v>
      </c>
      <c r="RS4" s="2" t="s">
        <v>62</v>
      </c>
      <c r="RT4" s="2" t="s">
        <v>78</v>
      </c>
      <c r="RU4" s="2" t="s">
        <v>76</v>
      </c>
      <c r="RV4" s="2" t="s">
        <v>47</v>
      </c>
      <c r="RW4" s="2" t="s">
        <v>25</v>
      </c>
      <c r="RX4" s="2" t="s">
        <v>25</v>
      </c>
      <c r="RY4" s="2" t="s">
        <v>49</v>
      </c>
      <c r="RZ4" s="2" t="s">
        <v>33</v>
      </c>
      <c r="SA4" s="2" t="s">
        <v>47</v>
      </c>
      <c r="SB4" s="2" t="s">
        <v>60</v>
      </c>
      <c r="SC4" s="2" t="s">
        <v>86</v>
      </c>
      <c r="SD4" s="2" t="s">
        <v>82</v>
      </c>
      <c r="SE4" s="2" t="s">
        <v>47</v>
      </c>
      <c r="SF4" s="2" t="s">
        <v>49</v>
      </c>
      <c r="SG4" s="2" t="s">
        <v>17</v>
      </c>
      <c r="SH4" s="2" t="s">
        <v>37</v>
      </c>
      <c r="SI4" s="2" t="s">
        <v>33</v>
      </c>
      <c r="SJ4" s="2" t="s">
        <v>49</v>
      </c>
      <c r="SK4" s="2" t="s">
        <v>44</v>
      </c>
      <c r="SL4" s="2" t="s">
        <v>82</v>
      </c>
      <c r="SM4" s="2" t="s">
        <v>86</v>
      </c>
      <c r="SN4" s="2" t="s">
        <v>33</v>
      </c>
      <c r="SO4" s="2" t="s">
        <v>60</v>
      </c>
      <c r="SP4" s="2" t="s">
        <v>47</v>
      </c>
      <c r="SQ4" s="2" t="s">
        <v>17</v>
      </c>
      <c r="SR4" s="2" t="s">
        <v>67</v>
      </c>
      <c r="SS4" s="2" t="s">
        <v>76</v>
      </c>
      <c r="ST4" s="2" t="s">
        <v>44</v>
      </c>
      <c r="SU4" s="2" t="s">
        <v>82</v>
      </c>
      <c r="SV4" s="2" t="s">
        <v>76</v>
      </c>
      <c r="SW4" s="2" t="s">
        <v>33</v>
      </c>
      <c r="SX4" s="2" t="s">
        <v>17</v>
      </c>
      <c r="SY4" s="2" t="s">
        <v>17</v>
      </c>
      <c r="SZ4" s="2" t="s">
        <v>49</v>
      </c>
      <c r="TA4" s="2" t="s">
        <v>25</v>
      </c>
      <c r="TB4" s="2" t="s">
        <v>25</v>
      </c>
      <c r="TC4" s="2" t="s">
        <v>47</v>
      </c>
      <c r="TD4" s="2" t="s">
        <v>49</v>
      </c>
      <c r="TE4" s="2" t="s">
        <v>78</v>
      </c>
      <c r="TF4" s="2" t="s">
        <v>47</v>
      </c>
      <c r="TG4" s="2" t="s">
        <v>78</v>
      </c>
      <c r="TH4" s="2" t="s">
        <v>25</v>
      </c>
      <c r="TI4" s="2" t="s">
        <v>49</v>
      </c>
      <c r="TJ4" s="2" t="s">
        <v>78</v>
      </c>
      <c r="TK4" s="2" t="s">
        <v>44</v>
      </c>
      <c r="TL4" s="2" t="s">
        <v>49</v>
      </c>
      <c r="TM4" s="2" t="s">
        <v>25</v>
      </c>
      <c r="TN4" s="2" t="s">
        <v>47</v>
      </c>
      <c r="TO4" s="2" t="s">
        <v>51</v>
      </c>
      <c r="TP4" s="2" t="s">
        <v>49</v>
      </c>
      <c r="TQ4" s="2" t="s">
        <v>67</v>
      </c>
      <c r="TR4" s="2" t="s">
        <v>82</v>
      </c>
      <c r="TS4" s="2" t="s">
        <v>25</v>
      </c>
      <c r="TT4" s="2" t="s">
        <v>62</v>
      </c>
      <c r="TU4" s="2" t="s">
        <v>62</v>
      </c>
      <c r="TV4" s="2" t="s">
        <v>47</v>
      </c>
      <c r="TW4" s="2" t="s">
        <v>47</v>
      </c>
      <c r="TX4" s="2" t="s">
        <v>76</v>
      </c>
      <c r="TY4" s="2" t="s">
        <v>82</v>
      </c>
      <c r="TZ4" s="2" t="s">
        <v>82</v>
      </c>
      <c r="UA4" s="2" t="s">
        <v>44</v>
      </c>
      <c r="UB4" s="2" t="s">
        <v>47</v>
      </c>
      <c r="UC4" s="2" t="s">
        <v>82</v>
      </c>
      <c r="UD4" s="2" t="s">
        <v>60</v>
      </c>
      <c r="UE4" s="2" t="s">
        <v>76</v>
      </c>
      <c r="UF4" s="2" t="s">
        <v>78</v>
      </c>
      <c r="UG4" s="2" t="s">
        <v>17</v>
      </c>
      <c r="UH4" s="2" t="s">
        <v>17</v>
      </c>
      <c r="UI4" s="2" t="s">
        <v>78</v>
      </c>
      <c r="UJ4" s="2" t="s">
        <v>86</v>
      </c>
      <c r="UK4" s="2" t="s">
        <v>25</v>
      </c>
      <c r="UL4" s="2" t="s">
        <v>76</v>
      </c>
      <c r="UM4" s="2" t="s">
        <v>60</v>
      </c>
      <c r="UN4" s="2" t="s">
        <v>82</v>
      </c>
      <c r="UO4" s="2" t="s">
        <v>51</v>
      </c>
      <c r="UP4" s="2" t="s">
        <v>76</v>
      </c>
      <c r="UQ4" s="2" t="s">
        <v>49</v>
      </c>
      <c r="UR4" s="2" t="s">
        <v>78</v>
      </c>
      <c r="US4" s="2" t="s">
        <v>60</v>
      </c>
      <c r="UT4" s="2" t="s">
        <v>67</v>
      </c>
      <c r="UU4" s="2" t="s">
        <v>37</v>
      </c>
      <c r="UV4" s="2" t="s">
        <v>33</v>
      </c>
      <c r="UW4" s="2" t="s">
        <v>25</v>
      </c>
      <c r="UX4" s="2" t="s">
        <v>78</v>
      </c>
      <c r="UY4" s="2" t="s">
        <v>51</v>
      </c>
      <c r="UZ4" s="2" t="s">
        <v>82</v>
      </c>
      <c r="VA4" s="2" t="s">
        <v>51</v>
      </c>
      <c r="VB4" s="2" t="s">
        <v>51</v>
      </c>
      <c r="VC4" s="2" t="s">
        <v>47</v>
      </c>
      <c r="VD4" s="2" t="s">
        <v>47</v>
      </c>
      <c r="VE4" s="2" t="s">
        <v>44</v>
      </c>
      <c r="VF4" s="2" t="s">
        <v>78</v>
      </c>
      <c r="VG4" s="2" t="s">
        <v>44</v>
      </c>
      <c r="VH4" s="2" t="s">
        <v>78</v>
      </c>
      <c r="VI4" s="2" t="s">
        <v>25</v>
      </c>
      <c r="VJ4" s="2" t="s">
        <v>76</v>
      </c>
      <c r="VK4" s="2" t="s">
        <v>33</v>
      </c>
      <c r="VL4" s="2" t="s">
        <v>51</v>
      </c>
      <c r="VM4" s="2" t="s">
        <v>25</v>
      </c>
      <c r="VN4" s="2" t="s">
        <v>76</v>
      </c>
      <c r="VO4" s="2" t="s">
        <v>37</v>
      </c>
      <c r="VP4" s="2" t="s">
        <v>17</v>
      </c>
      <c r="VQ4" s="2" t="s">
        <v>62</v>
      </c>
      <c r="VR4" s="2" t="s">
        <v>49</v>
      </c>
      <c r="VS4" s="2" t="s">
        <v>60</v>
      </c>
      <c r="VT4" s="2" t="s">
        <v>78</v>
      </c>
      <c r="VU4" s="2" t="s">
        <v>37</v>
      </c>
      <c r="VV4" s="2" t="s">
        <v>17</v>
      </c>
      <c r="VW4" s="2" t="s">
        <v>82</v>
      </c>
      <c r="VX4" s="2" t="s">
        <v>86</v>
      </c>
      <c r="VY4" s="2" t="s">
        <v>33</v>
      </c>
      <c r="VZ4" s="2" t="s">
        <v>60</v>
      </c>
      <c r="WA4" s="2" t="s">
        <v>44</v>
      </c>
      <c r="WB4" s="2" t="s">
        <v>44</v>
      </c>
      <c r="WC4" s="2" t="s">
        <v>76</v>
      </c>
      <c r="WD4" s="2" t="s">
        <v>60</v>
      </c>
      <c r="WE4" s="2" t="s">
        <v>47</v>
      </c>
      <c r="WF4" s="2" t="s">
        <v>17</v>
      </c>
      <c r="WG4" s="2" t="s">
        <v>86</v>
      </c>
      <c r="WH4" s="2" t="s">
        <v>37</v>
      </c>
      <c r="WI4" s="2" t="s">
        <v>33</v>
      </c>
      <c r="WJ4" s="2" t="s">
        <v>25</v>
      </c>
      <c r="WK4" s="2" t="s">
        <v>17</v>
      </c>
      <c r="WL4" s="2" t="s">
        <v>86</v>
      </c>
      <c r="WM4" s="2" t="s">
        <v>62</v>
      </c>
      <c r="WN4" s="2" t="s">
        <v>78</v>
      </c>
      <c r="WO4" s="2" t="s">
        <v>25</v>
      </c>
      <c r="WP4" s="2" t="s">
        <v>44</v>
      </c>
      <c r="WQ4" s="2" t="s">
        <v>25</v>
      </c>
      <c r="WR4" s="2" t="s">
        <v>37</v>
      </c>
      <c r="WS4" s="2" t="s">
        <v>44</v>
      </c>
      <c r="WT4" s="2" t="s">
        <v>37</v>
      </c>
      <c r="WU4" s="2" t="s">
        <v>76</v>
      </c>
      <c r="WV4" s="2" t="s">
        <v>47</v>
      </c>
      <c r="WW4" s="2" t="s">
        <v>37</v>
      </c>
      <c r="WX4" s="2" t="s">
        <v>44</v>
      </c>
      <c r="WY4" s="2" t="s">
        <v>76</v>
      </c>
      <c r="WZ4" s="2" t="s">
        <v>37</v>
      </c>
      <c r="XA4" s="2" t="s">
        <v>62</v>
      </c>
      <c r="XB4" s="2" t="s">
        <v>25</v>
      </c>
      <c r="XC4" s="2" t="s">
        <v>47</v>
      </c>
      <c r="XD4" s="2" t="s">
        <v>37</v>
      </c>
      <c r="XE4" s="2" t="s">
        <v>76</v>
      </c>
      <c r="XF4" s="2" t="s">
        <v>82</v>
      </c>
      <c r="XG4" s="2" t="s">
        <v>17</v>
      </c>
      <c r="XH4" s="2" t="s">
        <v>67</v>
      </c>
      <c r="XI4" s="2" t="s">
        <v>86</v>
      </c>
      <c r="XJ4" s="2" t="s">
        <v>67</v>
      </c>
      <c r="XK4" s="2" t="s">
        <v>82</v>
      </c>
      <c r="XL4" s="2" t="s">
        <v>67</v>
      </c>
      <c r="XM4" s="2" t="s">
        <v>82</v>
      </c>
      <c r="XN4" s="2" t="s">
        <v>33</v>
      </c>
      <c r="XO4" s="2" t="s">
        <v>82</v>
      </c>
      <c r="XP4" s="2" t="s">
        <v>82</v>
      </c>
      <c r="XQ4" s="2" t="s">
        <v>51</v>
      </c>
      <c r="XR4" s="2" t="s">
        <v>82</v>
      </c>
      <c r="XS4" s="2" t="s">
        <v>62</v>
      </c>
      <c r="XT4" s="2" t="s">
        <v>17</v>
      </c>
      <c r="XU4" s="2" t="s">
        <v>78</v>
      </c>
      <c r="XV4" s="2" t="s">
        <v>37</v>
      </c>
      <c r="XW4" s="2" t="s">
        <v>86</v>
      </c>
      <c r="XX4" s="2" t="s">
        <v>47</v>
      </c>
      <c r="XY4" s="2" t="s">
        <v>17</v>
      </c>
      <c r="XZ4" s="2" t="s">
        <v>44</v>
      </c>
      <c r="YA4" s="2" t="s">
        <v>78</v>
      </c>
      <c r="YB4" s="2" t="s">
        <v>33</v>
      </c>
      <c r="YC4" s="2" t="s">
        <v>33</v>
      </c>
      <c r="YD4" s="2" t="s">
        <v>49</v>
      </c>
      <c r="YE4" s="2" t="s">
        <v>25</v>
      </c>
      <c r="YF4" s="2" t="s">
        <v>82</v>
      </c>
      <c r="YG4" s="2" t="s">
        <v>17</v>
      </c>
      <c r="YH4" s="2" t="s">
        <v>76</v>
      </c>
      <c r="YI4" s="2" t="s">
        <v>51</v>
      </c>
      <c r="YJ4" s="2" t="s">
        <v>67</v>
      </c>
      <c r="YK4" s="2" t="s">
        <v>44</v>
      </c>
      <c r="YL4" s="2" t="s">
        <v>33</v>
      </c>
      <c r="YM4" s="2" t="s">
        <v>86</v>
      </c>
      <c r="YN4" s="2" t="s">
        <v>33</v>
      </c>
      <c r="YO4" s="2" t="s">
        <v>47</v>
      </c>
      <c r="YP4" s="2" t="s">
        <v>37</v>
      </c>
      <c r="YQ4" s="2" t="s">
        <v>33</v>
      </c>
      <c r="YR4" s="2" t="s">
        <v>47</v>
      </c>
      <c r="YS4" s="2" t="s">
        <v>17</v>
      </c>
      <c r="YT4" s="2" t="s">
        <v>17</v>
      </c>
      <c r="YU4" s="2" t="s">
        <v>51</v>
      </c>
      <c r="YV4" s="2" t="s">
        <v>25</v>
      </c>
      <c r="YW4" s="2" t="s">
        <v>49</v>
      </c>
      <c r="YX4" s="2" t="s">
        <v>78</v>
      </c>
      <c r="YY4" s="2" t="s">
        <v>33</v>
      </c>
      <c r="YZ4" s="2" t="s">
        <v>86</v>
      </c>
      <c r="ZA4" s="2" t="s">
        <v>33</v>
      </c>
      <c r="ZB4" s="2" t="s">
        <v>49</v>
      </c>
      <c r="ZC4" s="2" t="s">
        <v>60</v>
      </c>
      <c r="ZD4" s="2" t="s">
        <v>86</v>
      </c>
      <c r="ZE4" s="2" t="s">
        <v>62</v>
      </c>
      <c r="ZF4" s="2" t="s">
        <v>82</v>
      </c>
      <c r="ZG4" s="2" t="s">
        <v>78</v>
      </c>
      <c r="ZH4" s="2" t="s">
        <v>62</v>
      </c>
      <c r="ZI4" s="2" t="s">
        <v>60</v>
      </c>
      <c r="ZJ4" s="2" t="s">
        <v>60</v>
      </c>
      <c r="ZK4" s="2" t="s">
        <v>49</v>
      </c>
      <c r="ZL4" s="2" t="s">
        <v>33</v>
      </c>
      <c r="ZM4" s="2" t="s">
        <v>49</v>
      </c>
      <c r="ZN4" s="2" t="s">
        <v>49</v>
      </c>
      <c r="ZO4" s="2" t="s">
        <v>60</v>
      </c>
      <c r="ZP4" s="2" t="s">
        <v>78</v>
      </c>
      <c r="ZQ4" s="2" t="s">
        <v>62</v>
      </c>
      <c r="ZR4" s="2" t="s">
        <v>67</v>
      </c>
      <c r="ZS4" s="2" t="s">
        <v>33</v>
      </c>
      <c r="ZT4" s="2" t="s">
        <v>60</v>
      </c>
      <c r="ZU4" s="2" t="s">
        <v>62</v>
      </c>
      <c r="ZV4" s="2" t="s">
        <v>25</v>
      </c>
      <c r="ZW4" s="2" t="s">
        <v>67</v>
      </c>
      <c r="ZX4" s="2" t="s">
        <v>67</v>
      </c>
      <c r="ZY4" s="2" t="s">
        <v>17</v>
      </c>
      <c r="ZZ4" s="2" t="s">
        <v>51</v>
      </c>
      <c r="AAA4" s="2" t="s">
        <v>33</v>
      </c>
      <c r="AAB4" s="2" t="s">
        <v>67</v>
      </c>
      <c r="AAC4" s="2" t="s">
        <v>60</v>
      </c>
      <c r="AAD4" s="2" t="s">
        <v>17</v>
      </c>
      <c r="AAE4" s="2" t="s">
        <v>62</v>
      </c>
      <c r="AAF4" s="2" t="s">
        <v>25</v>
      </c>
      <c r="AAG4" s="2" t="s">
        <v>47</v>
      </c>
      <c r="AAH4" s="2" t="s">
        <v>33</v>
      </c>
      <c r="AAI4" s="2" t="s">
        <v>78</v>
      </c>
      <c r="AAJ4" s="2" t="s">
        <v>49</v>
      </c>
      <c r="AAK4" s="2" t="s">
        <v>86</v>
      </c>
      <c r="AAL4" s="2" t="s">
        <v>86</v>
      </c>
      <c r="AAM4" s="2" t="s">
        <v>62</v>
      </c>
      <c r="AAN4" s="2" t="s">
        <v>76</v>
      </c>
      <c r="AAO4" s="2" t="s">
        <v>76</v>
      </c>
      <c r="AAP4" s="2" t="s">
        <v>62</v>
      </c>
      <c r="AAQ4" s="2" t="s">
        <v>60</v>
      </c>
      <c r="AAR4" s="2" t="s">
        <v>67</v>
      </c>
      <c r="AAS4" s="2" t="s">
        <v>51</v>
      </c>
      <c r="AAT4" s="2" t="s">
        <v>33</v>
      </c>
      <c r="AAU4" s="2" t="s">
        <v>86</v>
      </c>
      <c r="AAV4" s="2" t="s">
        <v>86</v>
      </c>
      <c r="AAW4" s="2" t="s">
        <v>51</v>
      </c>
      <c r="AAX4" s="2" t="s">
        <v>67</v>
      </c>
      <c r="AAY4" s="2" t="s">
        <v>86</v>
      </c>
      <c r="AAZ4" s="2" t="s">
        <v>49</v>
      </c>
      <c r="ABA4" s="2" t="s">
        <v>78</v>
      </c>
      <c r="ABB4" s="2" t="s">
        <v>33</v>
      </c>
      <c r="ABC4" s="2" t="s">
        <v>37</v>
      </c>
      <c r="ABD4" s="2" t="s">
        <v>86</v>
      </c>
      <c r="ABE4" s="2" t="s">
        <v>62</v>
      </c>
      <c r="ABF4" s="2" t="s">
        <v>78</v>
      </c>
      <c r="ABG4" s="2" t="s">
        <v>86</v>
      </c>
      <c r="ABH4" s="2" t="s">
        <v>82</v>
      </c>
      <c r="ABI4" s="2" t="s">
        <v>25</v>
      </c>
      <c r="ABJ4" s="2" t="s">
        <v>49</v>
      </c>
      <c r="ABK4" s="2" t="s">
        <v>78</v>
      </c>
      <c r="ABL4" s="2" t="s">
        <v>17</v>
      </c>
      <c r="ABM4" s="2" t="s">
        <v>37</v>
      </c>
      <c r="ABN4" s="2" t="s">
        <v>25</v>
      </c>
      <c r="ABO4" s="2" t="s">
        <v>44</v>
      </c>
      <c r="ABP4" s="2" t="s">
        <v>62</v>
      </c>
      <c r="ABQ4" s="2" t="s">
        <v>62</v>
      </c>
      <c r="ABR4" s="2" t="s">
        <v>33</v>
      </c>
      <c r="ABS4" s="2" t="s">
        <v>51</v>
      </c>
      <c r="ABT4" s="2" t="s">
        <v>25</v>
      </c>
      <c r="ABU4" s="2" t="s">
        <v>78</v>
      </c>
      <c r="ABV4" s="2" t="s">
        <v>67</v>
      </c>
      <c r="ABW4" s="2" t="s">
        <v>62</v>
      </c>
      <c r="ABX4" s="2" t="s">
        <v>78</v>
      </c>
      <c r="ABY4" s="2" t="s">
        <v>60</v>
      </c>
      <c r="ABZ4" s="2" t="s">
        <v>78</v>
      </c>
      <c r="ACA4" s="2" t="s">
        <v>60</v>
      </c>
      <c r="ACB4" s="2" t="s">
        <v>82</v>
      </c>
      <c r="ACC4" s="2" t="s">
        <v>47</v>
      </c>
      <c r="ACD4" s="2" t="s">
        <v>47</v>
      </c>
      <c r="ACE4" s="2" t="s">
        <v>44</v>
      </c>
      <c r="ACF4" s="2" t="s">
        <v>17</v>
      </c>
      <c r="ACG4" s="2" t="s">
        <v>44</v>
      </c>
      <c r="ACH4" s="2" t="s">
        <v>60</v>
      </c>
      <c r="ACI4" s="2" t="s">
        <v>25</v>
      </c>
      <c r="ACJ4" s="2" t="s">
        <v>86</v>
      </c>
      <c r="ACK4" s="2" t="s">
        <v>67</v>
      </c>
      <c r="ACL4" s="2" t="s">
        <v>86</v>
      </c>
      <c r="ACM4" s="2" t="s">
        <v>76</v>
      </c>
      <c r="ACN4" s="2" t="s">
        <v>86</v>
      </c>
      <c r="ACO4" s="2" t="s">
        <v>33</v>
      </c>
      <c r="ACP4" s="2" t="s">
        <v>86</v>
      </c>
      <c r="ACQ4" s="2" t="s">
        <v>44</v>
      </c>
      <c r="ACR4" s="2" t="s">
        <v>62</v>
      </c>
      <c r="ACS4" s="2" t="s">
        <v>49</v>
      </c>
      <c r="ACT4" s="2" t="s">
        <v>62</v>
      </c>
      <c r="ACU4" s="2" t="s">
        <v>47</v>
      </c>
      <c r="ACV4" s="2" t="s">
        <v>49</v>
      </c>
      <c r="ACW4" s="2" t="s">
        <v>51</v>
      </c>
      <c r="ACX4" s="2" t="s">
        <v>67</v>
      </c>
      <c r="ACY4" s="2" t="s">
        <v>67</v>
      </c>
      <c r="ACZ4" s="2" t="s">
        <v>33</v>
      </c>
      <c r="ADA4" s="2" t="s">
        <v>25</v>
      </c>
      <c r="ADB4" s="2" t="s">
        <v>44</v>
      </c>
      <c r="ADC4" s="2" t="s">
        <v>47</v>
      </c>
      <c r="ADD4" s="2" t="s">
        <v>82</v>
      </c>
      <c r="ADE4" s="2" t="s">
        <v>76</v>
      </c>
      <c r="ADF4" s="2" t="s">
        <v>25</v>
      </c>
      <c r="ADG4" s="2" t="s">
        <v>67</v>
      </c>
      <c r="ADH4" s="2" t="s">
        <v>62</v>
      </c>
      <c r="ADI4" s="2" t="s">
        <v>86</v>
      </c>
      <c r="ADJ4" s="2" t="s">
        <v>86</v>
      </c>
      <c r="ADK4" s="2" t="s">
        <v>51</v>
      </c>
      <c r="ADL4" s="2" t="s">
        <v>47</v>
      </c>
      <c r="ADM4" s="2" t="s">
        <v>44</v>
      </c>
      <c r="ADN4" s="2" t="s">
        <v>44</v>
      </c>
      <c r="ADO4" s="2" t="s">
        <v>17</v>
      </c>
      <c r="ADP4" s="2" t="s">
        <v>60</v>
      </c>
      <c r="ADQ4" s="2" t="s">
        <v>37</v>
      </c>
      <c r="ADR4" s="2" t="s">
        <v>67</v>
      </c>
      <c r="ADS4" s="2" t="s">
        <v>44</v>
      </c>
      <c r="ADT4" s="2" t="s">
        <v>51</v>
      </c>
      <c r="ADU4" s="2" t="s">
        <v>62</v>
      </c>
      <c r="ADV4" s="2" t="s">
        <v>47</v>
      </c>
      <c r="ADW4" s="2" t="s">
        <v>76</v>
      </c>
      <c r="ADX4" s="2" t="s">
        <v>17</v>
      </c>
      <c r="ADY4" s="2" t="s">
        <v>51</v>
      </c>
      <c r="ADZ4" s="2" t="s">
        <v>78</v>
      </c>
      <c r="AEA4" s="2" t="s">
        <v>33</v>
      </c>
      <c r="AEB4" s="2" t="s">
        <v>76</v>
      </c>
      <c r="AEC4" s="2" t="s">
        <v>60</v>
      </c>
      <c r="AED4" s="2" t="s">
        <v>78</v>
      </c>
      <c r="AEE4" s="2" t="s">
        <v>82</v>
      </c>
      <c r="AEF4" s="2" t="s">
        <v>60</v>
      </c>
      <c r="AEG4" s="2" t="s">
        <v>86</v>
      </c>
      <c r="AEH4" s="2" t="s">
        <v>33</v>
      </c>
      <c r="AEI4" s="2" t="s">
        <v>67</v>
      </c>
      <c r="AEJ4" s="2" t="s">
        <v>62</v>
      </c>
      <c r="AEK4" s="2" t="s">
        <v>33</v>
      </c>
      <c r="AEL4" s="2" t="s">
        <v>60</v>
      </c>
      <c r="AEM4" s="2" t="s">
        <v>37</v>
      </c>
      <c r="AEN4" s="2" t="s">
        <v>78</v>
      </c>
      <c r="AEO4" s="2" t="s">
        <v>67</v>
      </c>
      <c r="AEP4" s="2" t="s">
        <v>49</v>
      </c>
      <c r="AEQ4" s="2" t="s">
        <v>37</v>
      </c>
      <c r="AER4" s="2" t="s">
        <v>86</v>
      </c>
      <c r="AES4" s="2" t="s">
        <v>37</v>
      </c>
      <c r="AET4" s="2" t="s">
        <v>17</v>
      </c>
      <c r="AEU4" s="2" t="s">
        <v>17</v>
      </c>
      <c r="AEV4" s="2" t="s">
        <v>82</v>
      </c>
      <c r="AEW4" s="2" t="s">
        <v>60</v>
      </c>
      <c r="AEX4" s="2" t="s">
        <v>47</v>
      </c>
      <c r="AEY4" s="2" t="s">
        <v>76</v>
      </c>
      <c r="AEZ4" s="2" t="s">
        <v>76</v>
      </c>
      <c r="AFA4" s="2" t="s">
        <v>49</v>
      </c>
      <c r="AFB4" s="2" t="s">
        <v>49</v>
      </c>
      <c r="AFC4" s="2" t="s">
        <v>67</v>
      </c>
      <c r="AFD4" s="2" t="s">
        <v>86</v>
      </c>
      <c r="AFE4" s="2" t="s">
        <v>44</v>
      </c>
      <c r="AFF4" s="2" t="s">
        <v>82</v>
      </c>
      <c r="AFG4" s="2" t="s">
        <v>17</v>
      </c>
      <c r="AFH4" s="2" t="s">
        <v>67</v>
      </c>
      <c r="AFI4" s="2" t="s">
        <v>44</v>
      </c>
      <c r="AFJ4" s="2" t="s">
        <v>76</v>
      </c>
      <c r="AFK4" s="2" t="s">
        <v>47</v>
      </c>
      <c r="AFL4" s="2" t="s">
        <v>37</v>
      </c>
      <c r="AFM4" s="2" t="s">
        <v>17</v>
      </c>
      <c r="AFN4" s="2" t="s">
        <v>67</v>
      </c>
      <c r="AFO4" s="2" t="s">
        <v>33</v>
      </c>
      <c r="AFP4" s="2" t="s">
        <v>44</v>
      </c>
      <c r="AFQ4" s="2" t="s">
        <v>37</v>
      </c>
      <c r="AFR4" s="2" t="s">
        <v>17</v>
      </c>
      <c r="AFS4" s="2" t="s">
        <v>76</v>
      </c>
      <c r="AFT4" s="2" t="s">
        <v>51</v>
      </c>
      <c r="AFU4" s="2" t="s">
        <v>86</v>
      </c>
      <c r="AFV4" s="2" t="s">
        <v>44</v>
      </c>
      <c r="AFW4" s="2" t="s">
        <v>76</v>
      </c>
      <c r="AFX4" s="2" t="s">
        <v>17</v>
      </c>
      <c r="AFY4" s="2" t="s">
        <v>44</v>
      </c>
      <c r="AFZ4" s="2" t="s">
        <v>82</v>
      </c>
      <c r="AGA4" s="2" t="s">
        <v>37</v>
      </c>
      <c r="AGB4" s="2" t="s">
        <v>25</v>
      </c>
      <c r="AGC4" s="2" t="s">
        <v>17</v>
      </c>
      <c r="AGD4" s="2" t="s">
        <v>82</v>
      </c>
      <c r="AGE4" s="2" t="s">
        <v>78</v>
      </c>
      <c r="AGF4" s="2" t="s">
        <v>67</v>
      </c>
      <c r="AGG4" s="2" t="s">
        <v>51</v>
      </c>
      <c r="AGH4" s="2" t="s">
        <v>49</v>
      </c>
      <c r="AGI4" s="2" t="s">
        <v>37</v>
      </c>
      <c r="AGJ4" s="2" t="s">
        <v>44</v>
      </c>
      <c r="AGK4" s="2" t="s">
        <v>86</v>
      </c>
      <c r="AGL4" s="2" t="s">
        <v>76</v>
      </c>
      <c r="AGM4" s="2" t="s">
        <v>49</v>
      </c>
      <c r="AGN4" s="2" t="s">
        <v>33</v>
      </c>
      <c r="AGO4" s="2" t="s">
        <v>76</v>
      </c>
      <c r="AGP4" s="2" t="s">
        <v>44</v>
      </c>
      <c r="AGQ4" s="2" t="s">
        <v>51</v>
      </c>
      <c r="AGR4" s="2" t="s">
        <v>60</v>
      </c>
      <c r="AGS4" s="2" t="s">
        <v>76</v>
      </c>
      <c r="AGT4" s="2" t="s">
        <v>60</v>
      </c>
      <c r="AGU4" s="2" t="s">
        <v>67</v>
      </c>
      <c r="AGV4" s="2" t="s">
        <v>51</v>
      </c>
      <c r="AGW4" s="2" t="s">
        <v>17</v>
      </c>
      <c r="AGX4" s="2" t="s">
        <v>82</v>
      </c>
      <c r="AGY4" s="2" t="s">
        <v>33</v>
      </c>
      <c r="AGZ4" s="2" t="s">
        <v>62</v>
      </c>
      <c r="AHA4" s="2" t="s">
        <v>44</v>
      </c>
      <c r="AHB4" s="2" t="s">
        <v>47</v>
      </c>
      <c r="AHC4" s="2" t="s">
        <v>62</v>
      </c>
      <c r="AHD4" s="2" t="s">
        <v>76</v>
      </c>
      <c r="AHE4" s="2" t="s">
        <v>49</v>
      </c>
      <c r="AHF4" s="2" t="s">
        <v>44</v>
      </c>
      <c r="AHG4" s="2" t="s">
        <v>82</v>
      </c>
      <c r="AHH4" s="2" t="s">
        <v>78</v>
      </c>
      <c r="AHI4" s="2" t="s">
        <v>82</v>
      </c>
      <c r="AHJ4" s="2" t="s">
        <v>47</v>
      </c>
      <c r="AHK4" s="2" t="s">
        <v>33</v>
      </c>
      <c r="AHL4" s="2" t="s">
        <v>82</v>
      </c>
      <c r="AHM4" s="2" t="s">
        <v>86</v>
      </c>
      <c r="AHN4" s="2" t="s">
        <v>78</v>
      </c>
      <c r="AHO4" s="2" t="s">
        <v>62</v>
      </c>
      <c r="AHP4" s="2" t="s">
        <v>17</v>
      </c>
      <c r="AHQ4" s="2" t="s">
        <v>67</v>
      </c>
      <c r="AHR4" s="2" t="s">
        <v>86</v>
      </c>
      <c r="AHS4" s="2" t="s">
        <v>25</v>
      </c>
      <c r="AHT4" s="2" t="s">
        <v>78</v>
      </c>
      <c r="AHU4" s="2" t="s">
        <v>17</v>
      </c>
      <c r="AHV4" s="2" t="s">
        <v>17</v>
      </c>
      <c r="AHW4" s="2" t="s">
        <v>44</v>
      </c>
      <c r="AHX4" s="2" t="s">
        <v>78</v>
      </c>
      <c r="AHY4" s="2" t="s">
        <v>33</v>
      </c>
      <c r="AHZ4" s="2" t="s">
        <v>76</v>
      </c>
      <c r="AIA4" s="2" t="s">
        <v>47</v>
      </c>
      <c r="AIB4" s="2" t="s">
        <v>25</v>
      </c>
      <c r="AIC4" s="2" t="s">
        <v>47</v>
      </c>
      <c r="AID4" s="2" t="s">
        <v>62</v>
      </c>
      <c r="AIE4" s="2" t="s">
        <v>62</v>
      </c>
      <c r="AIF4" s="2" t="s">
        <v>47</v>
      </c>
      <c r="AIG4" s="2" t="s">
        <v>82</v>
      </c>
      <c r="AIH4" s="2" t="s">
        <v>33</v>
      </c>
      <c r="AII4" s="2" t="s">
        <v>60</v>
      </c>
      <c r="AIJ4" s="2" t="s">
        <v>82</v>
      </c>
      <c r="AIK4" s="2" t="s">
        <v>49</v>
      </c>
      <c r="AIL4" s="2" t="s">
        <v>82</v>
      </c>
      <c r="AIM4" s="2" t="s">
        <v>67</v>
      </c>
      <c r="AIN4" s="2" t="s">
        <v>37</v>
      </c>
      <c r="AIO4" s="2" t="s">
        <v>76</v>
      </c>
      <c r="AIP4" s="2" t="s">
        <v>67</v>
      </c>
      <c r="AIQ4" s="2" t="s">
        <v>44</v>
      </c>
      <c r="AIR4" s="2" t="s">
        <v>37</v>
      </c>
      <c r="AIS4" s="2" t="s">
        <v>37</v>
      </c>
      <c r="AIT4" s="2" t="s">
        <v>78</v>
      </c>
      <c r="AIU4" s="2" t="s">
        <v>33</v>
      </c>
      <c r="AIV4" s="2" t="s">
        <v>33</v>
      </c>
      <c r="AIW4" s="2" t="s">
        <v>37</v>
      </c>
      <c r="AIX4" s="2" t="s">
        <v>49</v>
      </c>
      <c r="AIY4" s="2" t="s">
        <v>82</v>
      </c>
      <c r="AIZ4" s="2" t="s">
        <v>78</v>
      </c>
      <c r="AJA4" s="2" t="s">
        <v>76</v>
      </c>
      <c r="AJB4" s="2" t="s">
        <v>37</v>
      </c>
      <c r="AJC4" s="2" t="s">
        <v>86</v>
      </c>
      <c r="AJD4" s="2" t="s">
        <v>62</v>
      </c>
      <c r="AJE4" s="2" t="s">
        <v>62</v>
      </c>
      <c r="AJF4" s="2" t="s">
        <v>67</v>
      </c>
      <c r="AJG4" s="2" t="s">
        <v>44</v>
      </c>
      <c r="AJH4" s="2" t="s">
        <v>51</v>
      </c>
      <c r="AJI4" s="2" t="s">
        <v>51</v>
      </c>
      <c r="AJJ4" s="2" t="s">
        <v>62</v>
      </c>
      <c r="AJK4" s="2" t="s">
        <v>60</v>
      </c>
      <c r="AJL4" s="2" t="s">
        <v>17</v>
      </c>
      <c r="AJM4" s="2" t="s">
        <v>67</v>
      </c>
      <c r="AJN4" s="2" t="s">
        <v>51</v>
      </c>
      <c r="AJO4" s="2" t="s">
        <v>62</v>
      </c>
      <c r="AJP4" s="2" t="s">
        <v>44</v>
      </c>
      <c r="AJQ4" s="2" t="s">
        <v>51</v>
      </c>
      <c r="AJR4" s="2" t="s">
        <v>82</v>
      </c>
      <c r="AJS4" s="2" t="s">
        <v>82</v>
      </c>
      <c r="AJT4" s="2" t="s">
        <v>33</v>
      </c>
      <c r="AJU4" s="2" t="s">
        <v>49</v>
      </c>
      <c r="AJV4" s="2" t="s">
        <v>33</v>
      </c>
      <c r="AJW4" s="2" t="s">
        <v>76</v>
      </c>
      <c r="AJX4" s="2" t="s">
        <v>37</v>
      </c>
      <c r="AJY4" s="2" t="s">
        <v>86</v>
      </c>
      <c r="AJZ4" s="2" t="s">
        <v>33</v>
      </c>
      <c r="AKA4" s="2" t="s">
        <v>25</v>
      </c>
      <c r="AKB4" s="2" t="s">
        <v>51</v>
      </c>
      <c r="AKC4" s="2" t="s">
        <v>60</v>
      </c>
      <c r="AKD4" s="2" t="s">
        <v>78</v>
      </c>
      <c r="AKE4" s="2" t="s">
        <v>62</v>
      </c>
      <c r="AKF4" s="2" t="s">
        <v>78</v>
      </c>
      <c r="AKG4" s="2" t="s">
        <v>25</v>
      </c>
      <c r="AKH4" s="2" t="s">
        <v>44</v>
      </c>
      <c r="AKI4" s="2" t="s">
        <v>33</v>
      </c>
      <c r="AKJ4" s="2" t="s">
        <v>86</v>
      </c>
      <c r="AKK4" s="2" t="s">
        <v>44</v>
      </c>
      <c r="AKL4" s="2" t="s">
        <v>17</v>
      </c>
      <c r="AKM4" s="2" t="s">
        <v>17</v>
      </c>
      <c r="AKN4" s="2" t="s">
        <v>78</v>
      </c>
      <c r="AKO4" s="2" t="s">
        <v>37</v>
      </c>
      <c r="AKP4" s="2" t="s">
        <v>67</v>
      </c>
      <c r="AKQ4" s="2" t="s">
        <v>37</v>
      </c>
      <c r="AKR4" s="2" t="s">
        <v>51</v>
      </c>
      <c r="AKS4" s="2" t="s">
        <v>25</v>
      </c>
      <c r="AKT4" s="2" t="s">
        <v>82</v>
      </c>
      <c r="AKU4" s="2" t="s">
        <v>76</v>
      </c>
      <c r="AKV4" s="2" t="s">
        <v>37</v>
      </c>
      <c r="AKW4" s="2" t="s">
        <v>49</v>
      </c>
      <c r="AKX4" s="2" t="s">
        <v>76</v>
      </c>
      <c r="AKY4" s="2" t="s">
        <v>25</v>
      </c>
      <c r="AKZ4" s="2" t="s">
        <v>76</v>
      </c>
      <c r="ALA4" s="2" t="s">
        <v>86</v>
      </c>
      <c r="ALB4" s="2" t="s">
        <v>33</v>
      </c>
      <c r="ALC4" s="2" t="s">
        <v>86</v>
      </c>
      <c r="ALD4" s="2" t="s">
        <v>76</v>
      </c>
      <c r="ALE4" s="2" t="s">
        <v>44</v>
      </c>
      <c r="ALF4" s="2" t="s">
        <v>17</v>
      </c>
      <c r="ALG4" s="2" t="s">
        <v>76</v>
      </c>
      <c r="ALH4" s="2" t="s">
        <v>86</v>
      </c>
      <c r="ALI4" s="2" t="s">
        <v>60</v>
      </c>
      <c r="ALJ4" s="2" t="s">
        <v>25</v>
      </c>
      <c r="ALK4" s="2" t="s">
        <v>44</v>
      </c>
      <c r="ALL4" s="2" t="s">
        <v>86</v>
      </c>
      <c r="ALM4" s="2" t="s">
        <v>37</v>
      </c>
    </row>
    <row r="5" spans="1:1001" ht="21" x14ac:dyDescent="0.3">
      <c r="A5" s="3" t="s">
        <v>4</v>
      </c>
      <c r="B5" s="2" t="s">
        <v>18</v>
      </c>
      <c r="C5" s="2" t="s">
        <v>26</v>
      </c>
      <c r="D5" s="2" t="s">
        <v>18</v>
      </c>
      <c r="E5" s="2" t="s">
        <v>38</v>
      </c>
      <c r="F5" s="2" t="s">
        <v>26</v>
      </c>
      <c r="G5" s="2" t="s">
        <v>45</v>
      </c>
      <c r="H5" s="2" t="s">
        <v>18</v>
      </c>
      <c r="I5" s="2" t="s">
        <v>26</v>
      </c>
      <c r="J5" s="2" t="s">
        <v>18</v>
      </c>
      <c r="K5" s="2" t="s">
        <v>26</v>
      </c>
      <c r="L5" s="2" t="s">
        <v>58</v>
      </c>
      <c r="M5" s="2" t="s">
        <v>18</v>
      </c>
      <c r="N5" s="2" t="s">
        <v>45</v>
      </c>
      <c r="O5" s="2" t="s">
        <v>45</v>
      </c>
      <c r="P5" s="2" t="s">
        <v>38</v>
      </c>
      <c r="Q5" s="2" t="s">
        <v>26</v>
      </c>
      <c r="R5" s="2" t="s">
        <v>18</v>
      </c>
      <c r="S5" s="2" t="s">
        <v>38</v>
      </c>
      <c r="T5" s="2" t="s">
        <v>18</v>
      </c>
      <c r="U5" s="2" t="s">
        <v>26</v>
      </c>
      <c r="V5" s="2" t="s">
        <v>45</v>
      </c>
      <c r="W5" s="2" t="s">
        <v>58</v>
      </c>
      <c r="X5" s="2" t="s">
        <v>45</v>
      </c>
      <c r="Y5" s="2" t="s">
        <v>38</v>
      </c>
      <c r="Z5" s="2" t="s">
        <v>58</v>
      </c>
      <c r="AA5" s="2" t="s">
        <v>38</v>
      </c>
      <c r="AB5" s="2" t="s">
        <v>26</v>
      </c>
      <c r="AC5" s="2" t="s">
        <v>58</v>
      </c>
      <c r="AD5" s="2" t="s">
        <v>38</v>
      </c>
      <c r="AE5" s="2" t="s">
        <v>26</v>
      </c>
      <c r="AF5" s="2" t="s">
        <v>45</v>
      </c>
      <c r="AG5" s="2" t="s">
        <v>26</v>
      </c>
      <c r="AH5" s="2" t="s">
        <v>18</v>
      </c>
      <c r="AI5" s="2" t="s">
        <v>26</v>
      </c>
      <c r="AJ5" s="2" t="s">
        <v>26</v>
      </c>
      <c r="AK5" s="2" t="s">
        <v>18</v>
      </c>
      <c r="AL5" s="2" t="s">
        <v>38</v>
      </c>
      <c r="AM5" s="2" t="s">
        <v>38</v>
      </c>
      <c r="AN5" s="2" t="s">
        <v>26</v>
      </c>
      <c r="AO5" s="2" t="s">
        <v>18</v>
      </c>
      <c r="AP5" s="2" t="s">
        <v>18</v>
      </c>
      <c r="AQ5" s="2" t="s">
        <v>45</v>
      </c>
      <c r="AR5" s="2" t="s">
        <v>38</v>
      </c>
      <c r="AS5" s="2" t="s">
        <v>58</v>
      </c>
      <c r="AT5" s="2" t="s">
        <v>38</v>
      </c>
      <c r="AU5" s="2" t="s">
        <v>38</v>
      </c>
      <c r="AV5" s="2" t="s">
        <v>45</v>
      </c>
      <c r="AW5" s="2" t="s">
        <v>58</v>
      </c>
      <c r="AX5" s="2" t="s">
        <v>45</v>
      </c>
      <c r="AY5" s="2" t="s">
        <v>58</v>
      </c>
      <c r="AZ5" s="2" t="s">
        <v>26</v>
      </c>
      <c r="BA5" s="2" t="s">
        <v>58</v>
      </c>
      <c r="BB5" s="2" t="s">
        <v>45</v>
      </c>
      <c r="BC5" s="2" t="s">
        <v>38</v>
      </c>
      <c r="BD5" s="2" t="s">
        <v>58</v>
      </c>
      <c r="BE5" s="2" t="s">
        <v>58</v>
      </c>
      <c r="BF5" s="2" t="s">
        <v>18</v>
      </c>
      <c r="BG5" s="2" t="s">
        <v>38</v>
      </c>
      <c r="BH5" s="2" t="s">
        <v>26</v>
      </c>
      <c r="BI5" s="2" t="s">
        <v>45</v>
      </c>
      <c r="BJ5" s="2" t="s">
        <v>26</v>
      </c>
      <c r="BK5" s="2" t="s">
        <v>38</v>
      </c>
      <c r="BL5" s="2" t="s">
        <v>58</v>
      </c>
      <c r="BM5" s="2" t="s">
        <v>58</v>
      </c>
      <c r="BN5" s="2" t="s">
        <v>38</v>
      </c>
      <c r="BO5" s="2" t="s">
        <v>58</v>
      </c>
      <c r="BP5" s="2" t="s">
        <v>58</v>
      </c>
      <c r="BQ5" s="2" t="s">
        <v>58</v>
      </c>
      <c r="BR5" s="2" t="s">
        <v>45</v>
      </c>
      <c r="BS5" s="2" t="s">
        <v>45</v>
      </c>
      <c r="BT5" s="2" t="s">
        <v>18</v>
      </c>
      <c r="BU5" s="2" t="s">
        <v>26</v>
      </c>
      <c r="BV5" s="2" t="s">
        <v>38</v>
      </c>
      <c r="BW5" s="2" t="s">
        <v>38</v>
      </c>
      <c r="BX5" s="2" t="s">
        <v>38</v>
      </c>
      <c r="BY5" s="2" t="s">
        <v>18</v>
      </c>
      <c r="BZ5" s="2" t="s">
        <v>45</v>
      </c>
      <c r="CA5" s="2" t="s">
        <v>18</v>
      </c>
      <c r="CB5" s="2" t="s">
        <v>38</v>
      </c>
      <c r="CC5" s="2" t="s">
        <v>26</v>
      </c>
      <c r="CD5" s="2" t="s">
        <v>58</v>
      </c>
      <c r="CE5" s="2" t="s">
        <v>45</v>
      </c>
      <c r="CF5" s="2" t="s">
        <v>45</v>
      </c>
      <c r="CG5" s="2" t="s">
        <v>18</v>
      </c>
      <c r="CH5" s="2" t="s">
        <v>45</v>
      </c>
      <c r="CI5" s="2" t="s">
        <v>38</v>
      </c>
      <c r="CJ5" s="2" t="s">
        <v>38</v>
      </c>
      <c r="CK5" s="2" t="s">
        <v>18</v>
      </c>
      <c r="CL5" s="2" t="s">
        <v>38</v>
      </c>
      <c r="CM5" s="2" t="s">
        <v>26</v>
      </c>
      <c r="CN5" s="2" t="s">
        <v>18</v>
      </c>
      <c r="CO5" s="2" t="s">
        <v>26</v>
      </c>
      <c r="CP5" s="2" t="s">
        <v>58</v>
      </c>
      <c r="CQ5" s="2" t="s">
        <v>26</v>
      </c>
      <c r="CR5" s="2" t="s">
        <v>58</v>
      </c>
      <c r="CS5" s="2" t="s">
        <v>58</v>
      </c>
      <c r="CT5" s="2" t="s">
        <v>26</v>
      </c>
      <c r="CU5" s="2" t="s">
        <v>18</v>
      </c>
      <c r="CV5" s="2" t="s">
        <v>38</v>
      </c>
      <c r="CW5" s="2" t="s">
        <v>38</v>
      </c>
      <c r="CX5" s="2" t="s">
        <v>58</v>
      </c>
      <c r="CY5" s="2" t="s">
        <v>58</v>
      </c>
      <c r="CZ5" s="2" t="s">
        <v>18</v>
      </c>
      <c r="DA5" s="2" t="s">
        <v>45</v>
      </c>
      <c r="DB5" s="2" t="s">
        <v>26</v>
      </c>
      <c r="DC5" s="2" t="s">
        <v>58</v>
      </c>
      <c r="DD5" s="2" t="s">
        <v>38</v>
      </c>
      <c r="DE5" s="2" t="s">
        <v>18</v>
      </c>
      <c r="DF5" s="2" t="s">
        <v>26</v>
      </c>
      <c r="DG5" s="2" t="s">
        <v>18</v>
      </c>
      <c r="DH5" s="2" t="s">
        <v>26</v>
      </c>
      <c r="DI5" s="2" t="s">
        <v>26</v>
      </c>
      <c r="DJ5" s="2" t="s">
        <v>58</v>
      </c>
      <c r="DK5" s="2" t="s">
        <v>18</v>
      </c>
      <c r="DL5" s="2" t="s">
        <v>18</v>
      </c>
      <c r="DM5" s="2" t="s">
        <v>38</v>
      </c>
      <c r="DN5" s="2" t="s">
        <v>38</v>
      </c>
      <c r="DO5" s="2" t="s">
        <v>58</v>
      </c>
      <c r="DP5" s="2" t="s">
        <v>58</v>
      </c>
      <c r="DQ5" s="2" t="s">
        <v>45</v>
      </c>
      <c r="DR5" s="2" t="s">
        <v>38</v>
      </c>
      <c r="DS5" s="2" t="s">
        <v>26</v>
      </c>
      <c r="DT5" s="2" t="s">
        <v>18</v>
      </c>
      <c r="DU5" s="2" t="s">
        <v>58</v>
      </c>
      <c r="DV5" s="2" t="s">
        <v>18</v>
      </c>
      <c r="DW5" s="2" t="s">
        <v>18</v>
      </c>
      <c r="DX5" s="2" t="s">
        <v>45</v>
      </c>
      <c r="DY5" s="2" t="s">
        <v>38</v>
      </c>
      <c r="DZ5" s="2" t="s">
        <v>58</v>
      </c>
      <c r="EA5" s="2" t="s">
        <v>18</v>
      </c>
      <c r="EB5" s="2" t="s">
        <v>58</v>
      </c>
      <c r="EC5" s="2" t="s">
        <v>26</v>
      </c>
      <c r="ED5" s="2" t="s">
        <v>45</v>
      </c>
      <c r="EE5" s="2" t="s">
        <v>26</v>
      </c>
      <c r="EF5" s="2" t="s">
        <v>58</v>
      </c>
      <c r="EG5" s="2" t="s">
        <v>58</v>
      </c>
      <c r="EH5" s="2" t="s">
        <v>38</v>
      </c>
      <c r="EI5" s="2" t="s">
        <v>18</v>
      </c>
      <c r="EJ5" s="2" t="s">
        <v>18</v>
      </c>
      <c r="EK5" s="2" t="s">
        <v>26</v>
      </c>
      <c r="EL5" s="2" t="s">
        <v>45</v>
      </c>
      <c r="EM5" s="2" t="s">
        <v>18</v>
      </c>
      <c r="EN5" s="2" t="s">
        <v>38</v>
      </c>
      <c r="EO5" s="2" t="s">
        <v>26</v>
      </c>
      <c r="EP5" s="2" t="s">
        <v>26</v>
      </c>
      <c r="EQ5" s="2" t="s">
        <v>38</v>
      </c>
      <c r="ER5" s="2" t="s">
        <v>45</v>
      </c>
      <c r="ES5" s="2" t="s">
        <v>38</v>
      </c>
      <c r="ET5" s="2" t="s">
        <v>45</v>
      </c>
      <c r="EU5" s="2" t="s">
        <v>38</v>
      </c>
      <c r="EV5" s="2" t="s">
        <v>38</v>
      </c>
      <c r="EW5" s="2" t="s">
        <v>58</v>
      </c>
      <c r="EX5" s="2" t="s">
        <v>26</v>
      </c>
      <c r="EY5" s="2" t="s">
        <v>38</v>
      </c>
      <c r="EZ5" s="2" t="s">
        <v>38</v>
      </c>
      <c r="FA5" s="2" t="s">
        <v>18</v>
      </c>
      <c r="FB5" s="2" t="s">
        <v>26</v>
      </c>
      <c r="FC5" s="2" t="s">
        <v>18</v>
      </c>
      <c r="FD5" s="2" t="s">
        <v>26</v>
      </c>
      <c r="FE5" s="2" t="s">
        <v>18</v>
      </c>
      <c r="FF5" s="2" t="s">
        <v>38</v>
      </c>
      <c r="FG5" s="2" t="s">
        <v>38</v>
      </c>
      <c r="FH5" s="2" t="s">
        <v>58</v>
      </c>
      <c r="FI5" s="2" t="s">
        <v>18</v>
      </c>
      <c r="FJ5" s="2" t="s">
        <v>45</v>
      </c>
      <c r="FK5" s="2" t="s">
        <v>58</v>
      </c>
      <c r="FL5" s="2" t="s">
        <v>18</v>
      </c>
      <c r="FM5" s="2" t="s">
        <v>18</v>
      </c>
      <c r="FN5" s="2" t="s">
        <v>58</v>
      </c>
      <c r="FO5" s="2" t="s">
        <v>38</v>
      </c>
      <c r="FP5" s="2" t="s">
        <v>18</v>
      </c>
      <c r="FQ5" s="2" t="s">
        <v>38</v>
      </c>
      <c r="FR5" s="2" t="s">
        <v>58</v>
      </c>
      <c r="FS5" s="2" t="s">
        <v>38</v>
      </c>
      <c r="FT5" s="2" t="s">
        <v>26</v>
      </c>
      <c r="FU5" s="2" t="s">
        <v>45</v>
      </c>
      <c r="FV5" s="2" t="s">
        <v>18</v>
      </c>
      <c r="FW5" s="2" t="s">
        <v>45</v>
      </c>
      <c r="FX5" s="2" t="s">
        <v>38</v>
      </c>
      <c r="FY5" s="2" t="s">
        <v>18</v>
      </c>
      <c r="FZ5" s="2" t="s">
        <v>38</v>
      </c>
      <c r="GA5" s="2" t="s">
        <v>26</v>
      </c>
      <c r="GB5" s="2" t="s">
        <v>58</v>
      </c>
      <c r="GC5" s="2" t="s">
        <v>18</v>
      </c>
      <c r="GD5" s="2" t="s">
        <v>26</v>
      </c>
      <c r="GE5" s="2" t="s">
        <v>26</v>
      </c>
      <c r="GF5" s="2" t="s">
        <v>18</v>
      </c>
      <c r="GG5" s="2" t="s">
        <v>38</v>
      </c>
      <c r="GH5" s="2" t="s">
        <v>26</v>
      </c>
      <c r="GI5" s="2" t="s">
        <v>45</v>
      </c>
      <c r="GJ5" s="2" t="s">
        <v>26</v>
      </c>
      <c r="GK5" s="2" t="s">
        <v>38</v>
      </c>
      <c r="GL5" s="2" t="s">
        <v>38</v>
      </c>
      <c r="GM5" s="2" t="s">
        <v>45</v>
      </c>
      <c r="GN5" s="2" t="s">
        <v>26</v>
      </c>
      <c r="GO5" s="2" t="s">
        <v>38</v>
      </c>
      <c r="GP5" s="2" t="s">
        <v>18</v>
      </c>
      <c r="GQ5" s="2" t="s">
        <v>58</v>
      </c>
      <c r="GR5" s="2" t="s">
        <v>58</v>
      </c>
      <c r="GS5" s="2" t="s">
        <v>58</v>
      </c>
      <c r="GT5" s="2" t="s">
        <v>26</v>
      </c>
      <c r="GU5" s="2" t="s">
        <v>45</v>
      </c>
      <c r="GV5" s="2" t="s">
        <v>38</v>
      </c>
      <c r="GW5" s="2" t="s">
        <v>18</v>
      </c>
      <c r="GX5" s="2" t="s">
        <v>18</v>
      </c>
      <c r="GY5" s="2" t="s">
        <v>26</v>
      </c>
      <c r="GZ5" s="2" t="s">
        <v>58</v>
      </c>
      <c r="HA5" s="2" t="s">
        <v>26</v>
      </c>
      <c r="HB5" s="2" t="s">
        <v>45</v>
      </c>
      <c r="HC5" s="2" t="s">
        <v>45</v>
      </c>
      <c r="HD5" s="2" t="s">
        <v>38</v>
      </c>
      <c r="HE5" s="2" t="s">
        <v>38</v>
      </c>
      <c r="HF5" s="2" t="s">
        <v>45</v>
      </c>
      <c r="HG5" s="2" t="s">
        <v>45</v>
      </c>
      <c r="HH5" s="2" t="s">
        <v>45</v>
      </c>
      <c r="HI5" s="2" t="s">
        <v>26</v>
      </c>
      <c r="HJ5" s="2" t="s">
        <v>45</v>
      </c>
      <c r="HK5" s="2" t="s">
        <v>18</v>
      </c>
      <c r="HL5" s="2" t="s">
        <v>58</v>
      </c>
      <c r="HM5" s="2" t="s">
        <v>45</v>
      </c>
      <c r="HN5" s="2" t="s">
        <v>58</v>
      </c>
      <c r="HO5" s="2" t="s">
        <v>26</v>
      </c>
      <c r="HP5" s="2" t="s">
        <v>58</v>
      </c>
      <c r="HQ5" s="2" t="s">
        <v>26</v>
      </c>
      <c r="HR5" s="2" t="s">
        <v>18</v>
      </c>
      <c r="HS5" s="2" t="s">
        <v>26</v>
      </c>
      <c r="HT5" s="2" t="s">
        <v>26</v>
      </c>
      <c r="HU5" s="2" t="s">
        <v>38</v>
      </c>
      <c r="HV5" s="2" t="s">
        <v>45</v>
      </c>
      <c r="HW5" s="2" t="s">
        <v>45</v>
      </c>
      <c r="HX5" s="2" t="s">
        <v>18</v>
      </c>
      <c r="HY5" s="2" t="s">
        <v>18</v>
      </c>
      <c r="HZ5" s="2" t="s">
        <v>45</v>
      </c>
      <c r="IA5" s="2" t="s">
        <v>38</v>
      </c>
      <c r="IB5" s="2" t="s">
        <v>45</v>
      </c>
      <c r="IC5" s="2" t="s">
        <v>38</v>
      </c>
      <c r="ID5" s="2" t="s">
        <v>18</v>
      </c>
      <c r="IE5" s="2" t="s">
        <v>58</v>
      </c>
      <c r="IF5" s="2" t="s">
        <v>18</v>
      </c>
      <c r="IG5" s="2" t="s">
        <v>18</v>
      </c>
      <c r="IH5" s="2" t="s">
        <v>26</v>
      </c>
      <c r="II5" s="2" t="s">
        <v>26</v>
      </c>
      <c r="IJ5" s="2" t="s">
        <v>26</v>
      </c>
      <c r="IK5" s="2" t="s">
        <v>26</v>
      </c>
      <c r="IL5" s="2" t="s">
        <v>38</v>
      </c>
      <c r="IM5" s="2" t="s">
        <v>45</v>
      </c>
      <c r="IN5" s="2" t="s">
        <v>58</v>
      </c>
      <c r="IO5" s="2" t="s">
        <v>18</v>
      </c>
      <c r="IP5" s="2" t="s">
        <v>38</v>
      </c>
      <c r="IQ5" s="2" t="s">
        <v>58</v>
      </c>
      <c r="IR5" s="2" t="s">
        <v>38</v>
      </c>
      <c r="IS5" s="2" t="s">
        <v>38</v>
      </c>
      <c r="IT5" s="2" t="s">
        <v>18</v>
      </c>
      <c r="IU5" s="2" t="s">
        <v>45</v>
      </c>
      <c r="IV5" s="2" t="s">
        <v>26</v>
      </c>
      <c r="IW5" s="2" t="s">
        <v>45</v>
      </c>
      <c r="IX5" s="2" t="s">
        <v>18</v>
      </c>
      <c r="IY5" s="2" t="s">
        <v>18</v>
      </c>
      <c r="IZ5" s="2" t="s">
        <v>18</v>
      </c>
      <c r="JA5" s="2" t="s">
        <v>58</v>
      </c>
      <c r="JB5" s="2" t="s">
        <v>45</v>
      </c>
      <c r="JC5" s="2" t="s">
        <v>45</v>
      </c>
      <c r="JD5" s="2" t="s">
        <v>38</v>
      </c>
      <c r="JE5" s="2" t="s">
        <v>38</v>
      </c>
      <c r="JF5" s="2" t="s">
        <v>38</v>
      </c>
      <c r="JG5" s="2" t="s">
        <v>18</v>
      </c>
      <c r="JH5" s="2" t="s">
        <v>45</v>
      </c>
      <c r="JI5" s="2" t="s">
        <v>18</v>
      </c>
      <c r="JJ5" s="2" t="s">
        <v>58</v>
      </c>
      <c r="JK5" s="2" t="s">
        <v>38</v>
      </c>
      <c r="JL5" s="2" t="s">
        <v>18</v>
      </c>
      <c r="JM5" s="2" t="s">
        <v>18</v>
      </c>
      <c r="JN5" s="2" t="s">
        <v>58</v>
      </c>
      <c r="JO5" s="2" t="s">
        <v>26</v>
      </c>
      <c r="JP5" s="2" t="s">
        <v>45</v>
      </c>
      <c r="JQ5" s="2" t="s">
        <v>26</v>
      </c>
      <c r="JR5" s="2" t="s">
        <v>38</v>
      </c>
      <c r="JS5" s="2" t="s">
        <v>18</v>
      </c>
      <c r="JT5" s="2" t="s">
        <v>58</v>
      </c>
      <c r="JU5" s="2" t="s">
        <v>58</v>
      </c>
      <c r="JV5" s="2" t="s">
        <v>45</v>
      </c>
      <c r="JW5" s="2" t="s">
        <v>26</v>
      </c>
      <c r="JX5" s="2" t="s">
        <v>45</v>
      </c>
      <c r="JY5" s="2" t="s">
        <v>18</v>
      </c>
      <c r="JZ5" s="2" t="s">
        <v>45</v>
      </c>
      <c r="KA5" s="2" t="s">
        <v>58</v>
      </c>
      <c r="KB5" s="2" t="s">
        <v>58</v>
      </c>
      <c r="KC5" s="2" t="s">
        <v>38</v>
      </c>
      <c r="KD5" s="2" t="s">
        <v>38</v>
      </c>
      <c r="KE5" s="2" t="s">
        <v>18</v>
      </c>
      <c r="KF5" s="2" t="s">
        <v>26</v>
      </c>
      <c r="KG5" s="2" t="s">
        <v>45</v>
      </c>
      <c r="KH5" s="2" t="s">
        <v>18</v>
      </c>
      <c r="KI5" s="2" t="s">
        <v>38</v>
      </c>
      <c r="KJ5" s="2" t="s">
        <v>45</v>
      </c>
      <c r="KK5" s="2" t="s">
        <v>38</v>
      </c>
      <c r="KL5" s="2" t="s">
        <v>45</v>
      </c>
      <c r="KM5" s="2" t="s">
        <v>26</v>
      </c>
      <c r="KN5" s="2" t="s">
        <v>18</v>
      </c>
      <c r="KO5" s="2" t="s">
        <v>45</v>
      </c>
      <c r="KP5" s="2" t="s">
        <v>58</v>
      </c>
      <c r="KQ5" s="2" t="s">
        <v>58</v>
      </c>
      <c r="KR5" s="2" t="s">
        <v>45</v>
      </c>
      <c r="KS5" s="2" t="s">
        <v>45</v>
      </c>
      <c r="KT5" s="2" t="s">
        <v>45</v>
      </c>
      <c r="KU5" s="2" t="s">
        <v>58</v>
      </c>
      <c r="KV5" s="2" t="s">
        <v>58</v>
      </c>
      <c r="KW5" s="2" t="s">
        <v>45</v>
      </c>
      <c r="KX5" s="2" t="s">
        <v>38</v>
      </c>
      <c r="KY5" s="2" t="s">
        <v>38</v>
      </c>
      <c r="KZ5" s="2" t="s">
        <v>26</v>
      </c>
      <c r="LA5" s="2" t="s">
        <v>18</v>
      </c>
      <c r="LB5" s="2" t="s">
        <v>38</v>
      </c>
      <c r="LC5" s="2" t="s">
        <v>58</v>
      </c>
      <c r="LD5" s="2" t="s">
        <v>38</v>
      </c>
      <c r="LE5" s="2" t="s">
        <v>26</v>
      </c>
      <c r="LF5" s="2" t="s">
        <v>26</v>
      </c>
      <c r="LG5" s="2" t="s">
        <v>18</v>
      </c>
      <c r="LH5" s="2" t="s">
        <v>38</v>
      </c>
      <c r="LI5" s="2" t="s">
        <v>58</v>
      </c>
      <c r="LJ5" s="2" t="s">
        <v>58</v>
      </c>
      <c r="LK5" s="2" t="s">
        <v>45</v>
      </c>
      <c r="LL5" s="2" t="s">
        <v>58</v>
      </c>
      <c r="LM5" s="2" t="s">
        <v>18</v>
      </c>
      <c r="LN5" s="2" t="s">
        <v>18</v>
      </c>
      <c r="LO5" s="2" t="s">
        <v>58</v>
      </c>
      <c r="LP5" s="2" t="s">
        <v>58</v>
      </c>
      <c r="LQ5" s="2" t="s">
        <v>45</v>
      </c>
      <c r="LR5" s="2" t="s">
        <v>58</v>
      </c>
      <c r="LS5" s="2" t="s">
        <v>45</v>
      </c>
      <c r="LT5" s="2" t="s">
        <v>45</v>
      </c>
      <c r="LU5" s="2" t="s">
        <v>58</v>
      </c>
      <c r="LV5" s="2" t="s">
        <v>26</v>
      </c>
      <c r="LW5" s="2" t="s">
        <v>26</v>
      </c>
      <c r="LX5" s="2" t="s">
        <v>45</v>
      </c>
      <c r="LY5" s="2" t="s">
        <v>58</v>
      </c>
      <c r="LZ5" s="2" t="s">
        <v>26</v>
      </c>
      <c r="MA5" s="2" t="s">
        <v>58</v>
      </c>
      <c r="MB5" s="2" t="s">
        <v>58</v>
      </c>
      <c r="MC5" s="2" t="s">
        <v>58</v>
      </c>
      <c r="MD5" s="2" t="s">
        <v>38</v>
      </c>
      <c r="ME5" s="2" t="s">
        <v>58</v>
      </c>
      <c r="MF5" s="2" t="s">
        <v>38</v>
      </c>
      <c r="MG5" s="2" t="s">
        <v>45</v>
      </c>
      <c r="MH5" s="2" t="s">
        <v>26</v>
      </c>
      <c r="MI5" s="2" t="s">
        <v>26</v>
      </c>
      <c r="MJ5" s="2" t="s">
        <v>26</v>
      </c>
      <c r="MK5" s="2" t="s">
        <v>26</v>
      </c>
      <c r="ML5" s="2" t="s">
        <v>26</v>
      </c>
      <c r="MM5" s="2" t="s">
        <v>26</v>
      </c>
      <c r="MN5" s="2" t="s">
        <v>26</v>
      </c>
      <c r="MO5" s="2" t="s">
        <v>45</v>
      </c>
      <c r="MP5" s="2" t="s">
        <v>58</v>
      </c>
      <c r="MQ5" s="2" t="s">
        <v>18</v>
      </c>
      <c r="MR5" s="2" t="s">
        <v>38</v>
      </c>
      <c r="MS5" s="2" t="s">
        <v>18</v>
      </c>
      <c r="MT5" s="2" t="s">
        <v>18</v>
      </c>
      <c r="MU5" s="2" t="s">
        <v>58</v>
      </c>
      <c r="MV5" s="2" t="s">
        <v>58</v>
      </c>
      <c r="MW5" s="2" t="s">
        <v>58</v>
      </c>
      <c r="MX5" s="2" t="s">
        <v>26</v>
      </c>
      <c r="MY5" s="2" t="s">
        <v>45</v>
      </c>
      <c r="MZ5" s="2" t="s">
        <v>26</v>
      </c>
      <c r="NA5" s="2" t="s">
        <v>45</v>
      </c>
      <c r="NB5" s="2" t="s">
        <v>45</v>
      </c>
      <c r="NC5" s="2" t="s">
        <v>18</v>
      </c>
      <c r="ND5" s="2" t="s">
        <v>18</v>
      </c>
      <c r="NE5" s="2" t="s">
        <v>45</v>
      </c>
      <c r="NF5" s="2" t="s">
        <v>45</v>
      </c>
      <c r="NG5" s="2" t="s">
        <v>26</v>
      </c>
      <c r="NH5" s="2" t="s">
        <v>26</v>
      </c>
      <c r="NI5" s="2" t="s">
        <v>18</v>
      </c>
      <c r="NJ5" s="2" t="s">
        <v>58</v>
      </c>
      <c r="NK5" s="2" t="s">
        <v>45</v>
      </c>
      <c r="NL5" s="2" t="s">
        <v>26</v>
      </c>
      <c r="NM5" s="2" t="s">
        <v>18</v>
      </c>
      <c r="NN5" s="2" t="s">
        <v>26</v>
      </c>
      <c r="NO5" s="2" t="s">
        <v>45</v>
      </c>
      <c r="NP5" s="2" t="s">
        <v>45</v>
      </c>
      <c r="NQ5" s="2" t="s">
        <v>38</v>
      </c>
      <c r="NR5" s="2" t="s">
        <v>58</v>
      </c>
      <c r="NS5" s="2" t="s">
        <v>38</v>
      </c>
      <c r="NT5" s="2" t="s">
        <v>18</v>
      </c>
      <c r="NU5" s="2" t="s">
        <v>26</v>
      </c>
      <c r="NV5" s="2" t="s">
        <v>18</v>
      </c>
      <c r="NW5" s="2" t="s">
        <v>45</v>
      </c>
      <c r="NX5" s="2" t="s">
        <v>38</v>
      </c>
      <c r="NY5" s="2" t="s">
        <v>38</v>
      </c>
      <c r="NZ5" s="2" t="s">
        <v>38</v>
      </c>
      <c r="OA5" s="2" t="s">
        <v>18</v>
      </c>
      <c r="OB5" s="2" t="s">
        <v>45</v>
      </c>
      <c r="OC5" s="2" t="s">
        <v>26</v>
      </c>
      <c r="OD5" s="2" t="s">
        <v>26</v>
      </c>
      <c r="OE5" s="2" t="s">
        <v>18</v>
      </c>
      <c r="OF5" s="2" t="s">
        <v>38</v>
      </c>
      <c r="OG5" s="2" t="s">
        <v>58</v>
      </c>
      <c r="OH5" s="2" t="s">
        <v>18</v>
      </c>
      <c r="OI5" s="2" t="s">
        <v>18</v>
      </c>
      <c r="OJ5" s="2" t="s">
        <v>45</v>
      </c>
      <c r="OK5" s="2" t="s">
        <v>26</v>
      </c>
      <c r="OL5" s="2" t="s">
        <v>18</v>
      </c>
      <c r="OM5" s="2" t="s">
        <v>18</v>
      </c>
      <c r="ON5" s="2" t="s">
        <v>38</v>
      </c>
      <c r="OO5" s="2" t="s">
        <v>38</v>
      </c>
      <c r="OP5" s="2" t="s">
        <v>58</v>
      </c>
      <c r="OQ5" s="2" t="s">
        <v>45</v>
      </c>
      <c r="OR5" s="2" t="s">
        <v>58</v>
      </c>
      <c r="OS5" s="2" t="s">
        <v>38</v>
      </c>
      <c r="OT5" s="2" t="s">
        <v>26</v>
      </c>
      <c r="OU5" s="2" t="s">
        <v>38</v>
      </c>
      <c r="OV5" s="2" t="s">
        <v>45</v>
      </c>
      <c r="OW5" s="2" t="s">
        <v>38</v>
      </c>
      <c r="OX5" s="2" t="s">
        <v>45</v>
      </c>
      <c r="OY5" s="2" t="s">
        <v>45</v>
      </c>
      <c r="OZ5" s="2" t="s">
        <v>45</v>
      </c>
      <c r="PA5" s="2" t="s">
        <v>45</v>
      </c>
      <c r="PB5" s="2" t="s">
        <v>45</v>
      </c>
      <c r="PC5" s="2" t="s">
        <v>26</v>
      </c>
      <c r="PD5" s="2" t="s">
        <v>58</v>
      </c>
      <c r="PE5" s="2" t="s">
        <v>18</v>
      </c>
      <c r="PF5" s="2" t="s">
        <v>58</v>
      </c>
      <c r="PG5" s="2" t="s">
        <v>45</v>
      </c>
      <c r="PH5" s="2" t="s">
        <v>26</v>
      </c>
      <c r="PI5" s="2" t="s">
        <v>38</v>
      </c>
      <c r="PJ5" s="2" t="s">
        <v>26</v>
      </c>
      <c r="PK5" s="2" t="s">
        <v>45</v>
      </c>
      <c r="PL5" s="2" t="s">
        <v>26</v>
      </c>
      <c r="PM5" s="2" t="s">
        <v>26</v>
      </c>
      <c r="PN5" s="2" t="s">
        <v>45</v>
      </c>
      <c r="PO5" s="2" t="s">
        <v>26</v>
      </c>
      <c r="PP5" s="2" t="s">
        <v>18</v>
      </c>
      <c r="PQ5" s="2" t="s">
        <v>18</v>
      </c>
      <c r="PR5" s="2" t="s">
        <v>26</v>
      </c>
      <c r="PS5" s="2" t="s">
        <v>38</v>
      </c>
      <c r="PT5" s="2" t="s">
        <v>45</v>
      </c>
      <c r="PU5" s="2" t="s">
        <v>18</v>
      </c>
      <c r="PV5" s="2" t="s">
        <v>38</v>
      </c>
      <c r="PW5" s="2" t="s">
        <v>26</v>
      </c>
      <c r="PX5" s="2" t="s">
        <v>38</v>
      </c>
      <c r="PY5" s="2" t="s">
        <v>58</v>
      </c>
      <c r="PZ5" s="2" t="s">
        <v>18</v>
      </c>
      <c r="QA5" s="2" t="s">
        <v>26</v>
      </c>
      <c r="QB5" s="2" t="s">
        <v>45</v>
      </c>
      <c r="QC5" s="2" t="s">
        <v>26</v>
      </c>
      <c r="QD5" s="2" t="s">
        <v>45</v>
      </c>
      <c r="QE5" s="2" t="s">
        <v>26</v>
      </c>
      <c r="QF5" s="2" t="s">
        <v>38</v>
      </c>
      <c r="QG5" s="2" t="s">
        <v>38</v>
      </c>
      <c r="QH5" s="2" t="s">
        <v>38</v>
      </c>
      <c r="QI5" s="2" t="s">
        <v>58</v>
      </c>
      <c r="QJ5" s="2" t="s">
        <v>45</v>
      </c>
      <c r="QK5" s="2" t="s">
        <v>38</v>
      </c>
      <c r="QL5" s="2" t="s">
        <v>58</v>
      </c>
      <c r="QM5" s="2" t="s">
        <v>45</v>
      </c>
      <c r="QN5" s="2" t="s">
        <v>26</v>
      </c>
      <c r="QO5" s="2" t="s">
        <v>58</v>
      </c>
      <c r="QP5" s="2" t="s">
        <v>18</v>
      </c>
      <c r="QQ5" s="2" t="s">
        <v>58</v>
      </c>
      <c r="QR5" s="2" t="s">
        <v>58</v>
      </c>
      <c r="QS5" s="2" t="s">
        <v>45</v>
      </c>
      <c r="QT5" s="2" t="s">
        <v>26</v>
      </c>
      <c r="QU5" s="2" t="s">
        <v>18</v>
      </c>
      <c r="QV5" s="2" t="s">
        <v>38</v>
      </c>
      <c r="QW5" s="2" t="s">
        <v>38</v>
      </c>
      <c r="QX5" s="2" t="s">
        <v>58</v>
      </c>
      <c r="QY5" s="2" t="s">
        <v>45</v>
      </c>
      <c r="QZ5" s="2" t="s">
        <v>45</v>
      </c>
      <c r="RA5" s="2" t="s">
        <v>38</v>
      </c>
      <c r="RB5" s="2" t="s">
        <v>18</v>
      </c>
      <c r="RC5" s="2" t="s">
        <v>26</v>
      </c>
      <c r="RD5" s="2" t="s">
        <v>18</v>
      </c>
      <c r="RE5" s="2" t="s">
        <v>26</v>
      </c>
      <c r="RF5" s="2" t="s">
        <v>38</v>
      </c>
      <c r="RG5" s="2" t="s">
        <v>26</v>
      </c>
      <c r="RH5" s="2" t="s">
        <v>45</v>
      </c>
      <c r="RI5" s="2" t="s">
        <v>58</v>
      </c>
      <c r="RJ5" s="2" t="s">
        <v>58</v>
      </c>
      <c r="RK5" s="2" t="s">
        <v>38</v>
      </c>
      <c r="RL5" s="2" t="s">
        <v>45</v>
      </c>
      <c r="RM5" s="2" t="s">
        <v>18</v>
      </c>
      <c r="RN5" s="2" t="s">
        <v>45</v>
      </c>
      <c r="RO5" s="2" t="s">
        <v>58</v>
      </c>
      <c r="RP5" s="2" t="s">
        <v>58</v>
      </c>
      <c r="RQ5" s="2" t="s">
        <v>45</v>
      </c>
      <c r="RR5" s="2" t="s">
        <v>45</v>
      </c>
      <c r="RS5" s="2" t="s">
        <v>58</v>
      </c>
      <c r="RT5" s="2" t="s">
        <v>18</v>
      </c>
      <c r="RU5" s="2" t="s">
        <v>38</v>
      </c>
      <c r="RV5" s="2" t="s">
        <v>38</v>
      </c>
      <c r="RW5" s="2" t="s">
        <v>45</v>
      </c>
      <c r="RX5" s="2" t="s">
        <v>38</v>
      </c>
      <c r="RY5" s="2" t="s">
        <v>58</v>
      </c>
      <c r="RZ5" s="2" t="s">
        <v>58</v>
      </c>
      <c r="SA5" s="2" t="s">
        <v>45</v>
      </c>
      <c r="SB5" s="2" t="s">
        <v>45</v>
      </c>
      <c r="SC5" s="2" t="s">
        <v>45</v>
      </c>
      <c r="SD5" s="2" t="s">
        <v>18</v>
      </c>
      <c r="SE5" s="2" t="s">
        <v>38</v>
      </c>
      <c r="SF5" s="2" t="s">
        <v>45</v>
      </c>
      <c r="SG5" s="2" t="s">
        <v>26</v>
      </c>
      <c r="SH5" s="2" t="s">
        <v>26</v>
      </c>
      <c r="SI5" s="2" t="s">
        <v>58</v>
      </c>
      <c r="SJ5" s="2" t="s">
        <v>38</v>
      </c>
      <c r="SK5" s="2" t="s">
        <v>45</v>
      </c>
      <c r="SL5" s="2" t="s">
        <v>26</v>
      </c>
      <c r="SM5" s="2" t="s">
        <v>38</v>
      </c>
      <c r="SN5" s="2" t="s">
        <v>58</v>
      </c>
      <c r="SO5" s="2" t="s">
        <v>18</v>
      </c>
      <c r="SP5" s="2" t="s">
        <v>38</v>
      </c>
      <c r="SQ5" s="2" t="s">
        <v>38</v>
      </c>
      <c r="SR5" s="2" t="s">
        <v>18</v>
      </c>
      <c r="SS5" s="2" t="s">
        <v>38</v>
      </c>
      <c r="ST5" s="2" t="s">
        <v>58</v>
      </c>
      <c r="SU5" s="2" t="s">
        <v>58</v>
      </c>
      <c r="SV5" s="2" t="s">
        <v>18</v>
      </c>
      <c r="SW5" s="2" t="s">
        <v>45</v>
      </c>
      <c r="SX5" s="2" t="s">
        <v>26</v>
      </c>
      <c r="SY5" s="2" t="s">
        <v>45</v>
      </c>
      <c r="SZ5" s="2" t="s">
        <v>38</v>
      </c>
      <c r="TA5" s="2" t="s">
        <v>26</v>
      </c>
      <c r="TB5" s="2" t="s">
        <v>18</v>
      </c>
      <c r="TC5" s="2" t="s">
        <v>18</v>
      </c>
      <c r="TD5" s="2" t="s">
        <v>26</v>
      </c>
      <c r="TE5" s="2" t="s">
        <v>58</v>
      </c>
      <c r="TF5" s="2" t="s">
        <v>26</v>
      </c>
      <c r="TG5" s="2" t="s">
        <v>38</v>
      </c>
      <c r="TH5" s="2" t="s">
        <v>58</v>
      </c>
      <c r="TI5" s="2" t="s">
        <v>18</v>
      </c>
      <c r="TJ5" s="2" t="s">
        <v>26</v>
      </c>
      <c r="TK5" s="2" t="s">
        <v>45</v>
      </c>
      <c r="TL5" s="2" t="s">
        <v>45</v>
      </c>
      <c r="TM5" s="2" t="s">
        <v>38</v>
      </c>
      <c r="TN5" s="2" t="s">
        <v>45</v>
      </c>
      <c r="TO5" s="2" t="s">
        <v>26</v>
      </c>
      <c r="TP5" s="2" t="s">
        <v>26</v>
      </c>
      <c r="TQ5" s="2" t="s">
        <v>45</v>
      </c>
      <c r="TR5" s="2" t="s">
        <v>26</v>
      </c>
      <c r="TS5" s="2" t="s">
        <v>38</v>
      </c>
      <c r="TT5" s="2" t="s">
        <v>58</v>
      </c>
      <c r="TU5" s="2" t="s">
        <v>38</v>
      </c>
      <c r="TV5" s="2" t="s">
        <v>38</v>
      </c>
      <c r="TW5" s="2" t="s">
        <v>26</v>
      </c>
      <c r="TX5" s="2" t="s">
        <v>58</v>
      </c>
      <c r="TY5" s="2" t="s">
        <v>26</v>
      </c>
      <c r="TZ5" s="2" t="s">
        <v>18</v>
      </c>
      <c r="UA5" s="2" t="s">
        <v>26</v>
      </c>
      <c r="UB5" s="2" t="s">
        <v>26</v>
      </c>
      <c r="UC5" s="2" t="s">
        <v>26</v>
      </c>
      <c r="UD5" s="2" t="s">
        <v>58</v>
      </c>
      <c r="UE5" s="2" t="s">
        <v>26</v>
      </c>
      <c r="UF5" s="2" t="s">
        <v>58</v>
      </c>
      <c r="UG5" s="2" t="s">
        <v>45</v>
      </c>
      <c r="UH5" s="2" t="s">
        <v>18</v>
      </c>
      <c r="UI5" s="2" t="s">
        <v>58</v>
      </c>
      <c r="UJ5" s="2" t="s">
        <v>45</v>
      </c>
      <c r="UK5" s="2" t="s">
        <v>58</v>
      </c>
      <c r="UL5" s="2" t="s">
        <v>58</v>
      </c>
      <c r="UM5" s="2" t="s">
        <v>18</v>
      </c>
      <c r="UN5" s="2" t="s">
        <v>38</v>
      </c>
      <c r="UO5" s="2" t="s">
        <v>38</v>
      </c>
      <c r="UP5" s="2" t="s">
        <v>58</v>
      </c>
      <c r="UQ5" s="2" t="s">
        <v>26</v>
      </c>
      <c r="UR5" s="2" t="s">
        <v>45</v>
      </c>
      <c r="US5" s="2" t="s">
        <v>26</v>
      </c>
      <c r="UT5" s="2" t="s">
        <v>26</v>
      </c>
      <c r="UU5" s="2" t="s">
        <v>58</v>
      </c>
      <c r="UV5" s="2" t="s">
        <v>58</v>
      </c>
      <c r="UW5" s="2" t="s">
        <v>58</v>
      </c>
      <c r="UX5" s="2" t="s">
        <v>58</v>
      </c>
      <c r="UY5" s="2" t="s">
        <v>38</v>
      </c>
      <c r="UZ5" s="2" t="s">
        <v>58</v>
      </c>
      <c r="VA5" s="2" t="s">
        <v>38</v>
      </c>
      <c r="VB5" s="2" t="s">
        <v>38</v>
      </c>
      <c r="VC5" s="2" t="s">
        <v>58</v>
      </c>
      <c r="VD5" s="2" t="s">
        <v>18</v>
      </c>
      <c r="VE5" s="2" t="s">
        <v>45</v>
      </c>
      <c r="VF5" s="2" t="s">
        <v>26</v>
      </c>
      <c r="VG5" s="2" t="s">
        <v>38</v>
      </c>
      <c r="VH5" s="2" t="s">
        <v>45</v>
      </c>
      <c r="VI5" s="2" t="s">
        <v>18</v>
      </c>
      <c r="VJ5" s="2" t="s">
        <v>26</v>
      </c>
      <c r="VK5" s="2" t="s">
        <v>26</v>
      </c>
      <c r="VL5" s="2" t="s">
        <v>38</v>
      </c>
      <c r="VM5" s="2" t="s">
        <v>58</v>
      </c>
      <c r="VN5" s="2" t="s">
        <v>18</v>
      </c>
      <c r="VO5" s="2" t="s">
        <v>38</v>
      </c>
      <c r="VP5" s="2" t="s">
        <v>18</v>
      </c>
      <c r="VQ5" s="2" t="s">
        <v>58</v>
      </c>
      <c r="VR5" s="2" t="s">
        <v>58</v>
      </c>
      <c r="VS5" s="2" t="s">
        <v>38</v>
      </c>
      <c r="VT5" s="2" t="s">
        <v>58</v>
      </c>
      <c r="VU5" s="2" t="s">
        <v>45</v>
      </c>
      <c r="VV5" s="2" t="s">
        <v>26</v>
      </c>
      <c r="VW5" s="2" t="s">
        <v>38</v>
      </c>
      <c r="VX5" s="2" t="s">
        <v>18</v>
      </c>
      <c r="VY5" s="2" t="s">
        <v>45</v>
      </c>
      <c r="VZ5" s="2" t="s">
        <v>38</v>
      </c>
      <c r="WA5" s="2" t="s">
        <v>58</v>
      </c>
      <c r="WB5" s="2" t="s">
        <v>58</v>
      </c>
      <c r="WC5" s="2" t="s">
        <v>58</v>
      </c>
      <c r="WD5" s="2" t="s">
        <v>58</v>
      </c>
      <c r="WE5" s="2" t="s">
        <v>18</v>
      </c>
      <c r="WF5" s="2" t="s">
        <v>45</v>
      </c>
      <c r="WG5" s="2" t="s">
        <v>26</v>
      </c>
      <c r="WH5" s="2" t="s">
        <v>18</v>
      </c>
      <c r="WI5" s="2" t="s">
        <v>18</v>
      </c>
      <c r="WJ5" s="2" t="s">
        <v>26</v>
      </c>
      <c r="WK5" s="2" t="s">
        <v>26</v>
      </c>
      <c r="WL5" s="2" t="s">
        <v>58</v>
      </c>
      <c r="WM5" s="2" t="s">
        <v>18</v>
      </c>
      <c r="WN5" s="2" t="s">
        <v>38</v>
      </c>
      <c r="WO5" s="2" t="s">
        <v>26</v>
      </c>
      <c r="WP5" s="2" t="s">
        <v>26</v>
      </c>
      <c r="WQ5" s="2" t="s">
        <v>45</v>
      </c>
      <c r="WR5" s="2" t="s">
        <v>38</v>
      </c>
      <c r="WS5" s="2" t="s">
        <v>38</v>
      </c>
      <c r="WT5" s="2" t="s">
        <v>26</v>
      </c>
      <c r="WU5" s="2" t="s">
        <v>58</v>
      </c>
      <c r="WV5" s="2" t="s">
        <v>45</v>
      </c>
      <c r="WW5" s="2" t="s">
        <v>38</v>
      </c>
      <c r="WX5" s="2" t="s">
        <v>26</v>
      </c>
      <c r="WY5" s="2" t="s">
        <v>38</v>
      </c>
      <c r="WZ5" s="2" t="s">
        <v>45</v>
      </c>
      <c r="XA5" s="2" t="s">
        <v>45</v>
      </c>
      <c r="XB5" s="2" t="s">
        <v>18</v>
      </c>
      <c r="XC5" s="2" t="s">
        <v>26</v>
      </c>
      <c r="XD5" s="2" t="s">
        <v>45</v>
      </c>
      <c r="XE5" s="2" t="s">
        <v>18</v>
      </c>
      <c r="XF5" s="2" t="s">
        <v>18</v>
      </c>
      <c r="XG5" s="2" t="s">
        <v>38</v>
      </c>
      <c r="XH5" s="2" t="s">
        <v>38</v>
      </c>
      <c r="XI5" s="2" t="s">
        <v>18</v>
      </c>
      <c r="XJ5" s="2" t="s">
        <v>38</v>
      </c>
      <c r="XK5" s="2" t="s">
        <v>45</v>
      </c>
      <c r="XL5" s="2" t="s">
        <v>58</v>
      </c>
      <c r="XM5" s="2" t="s">
        <v>45</v>
      </c>
      <c r="XN5" s="2" t="s">
        <v>18</v>
      </c>
      <c r="XO5" s="2" t="s">
        <v>18</v>
      </c>
      <c r="XP5" s="2" t="s">
        <v>45</v>
      </c>
      <c r="XQ5" s="2" t="s">
        <v>38</v>
      </c>
      <c r="XR5" s="2" t="s">
        <v>38</v>
      </c>
      <c r="XS5" s="2" t="s">
        <v>18</v>
      </c>
      <c r="XT5" s="2" t="s">
        <v>26</v>
      </c>
      <c r="XU5" s="2" t="s">
        <v>38</v>
      </c>
      <c r="XV5" s="2" t="s">
        <v>45</v>
      </c>
      <c r="XW5" s="2" t="s">
        <v>38</v>
      </c>
      <c r="XX5" s="2" t="s">
        <v>45</v>
      </c>
      <c r="XY5" s="2" t="s">
        <v>18</v>
      </c>
      <c r="XZ5" s="2" t="s">
        <v>38</v>
      </c>
      <c r="YA5" s="2" t="s">
        <v>45</v>
      </c>
      <c r="YB5" s="2" t="s">
        <v>18</v>
      </c>
      <c r="YC5" s="2" t="s">
        <v>26</v>
      </c>
      <c r="YD5" s="2" t="s">
        <v>45</v>
      </c>
      <c r="YE5" s="2" t="s">
        <v>26</v>
      </c>
      <c r="YF5" s="2" t="s">
        <v>26</v>
      </c>
      <c r="YG5" s="2" t="s">
        <v>58</v>
      </c>
      <c r="YH5" s="2" t="s">
        <v>38</v>
      </c>
      <c r="YI5" s="2" t="s">
        <v>45</v>
      </c>
      <c r="YJ5" s="2" t="s">
        <v>26</v>
      </c>
      <c r="YK5" s="2" t="s">
        <v>58</v>
      </c>
      <c r="YL5" s="2" t="s">
        <v>18</v>
      </c>
      <c r="YM5" s="2" t="s">
        <v>45</v>
      </c>
      <c r="YN5" s="2" t="s">
        <v>26</v>
      </c>
      <c r="YO5" s="2" t="s">
        <v>38</v>
      </c>
      <c r="YP5" s="2" t="s">
        <v>58</v>
      </c>
      <c r="YQ5" s="2" t="s">
        <v>26</v>
      </c>
      <c r="YR5" s="2" t="s">
        <v>38</v>
      </c>
      <c r="YS5" s="2" t="s">
        <v>26</v>
      </c>
      <c r="YT5" s="2" t="s">
        <v>45</v>
      </c>
      <c r="YU5" s="2" t="s">
        <v>45</v>
      </c>
      <c r="YV5" s="2" t="s">
        <v>45</v>
      </c>
      <c r="YW5" s="2" t="s">
        <v>58</v>
      </c>
      <c r="YX5" s="2" t="s">
        <v>45</v>
      </c>
      <c r="YY5" s="2" t="s">
        <v>38</v>
      </c>
      <c r="YZ5" s="2" t="s">
        <v>26</v>
      </c>
      <c r="ZA5" s="2" t="s">
        <v>18</v>
      </c>
      <c r="ZB5" s="2" t="s">
        <v>38</v>
      </c>
      <c r="ZC5" s="2" t="s">
        <v>38</v>
      </c>
      <c r="ZD5" s="2" t="s">
        <v>45</v>
      </c>
      <c r="ZE5" s="2" t="s">
        <v>58</v>
      </c>
      <c r="ZF5" s="2" t="s">
        <v>26</v>
      </c>
      <c r="ZG5" s="2" t="s">
        <v>58</v>
      </c>
      <c r="ZH5" s="2" t="s">
        <v>26</v>
      </c>
      <c r="ZI5" s="2" t="s">
        <v>26</v>
      </c>
      <c r="ZJ5" s="2" t="s">
        <v>58</v>
      </c>
      <c r="ZK5" s="2" t="s">
        <v>38</v>
      </c>
      <c r="ZL5" s="2" t="s">
        <v>26</v>
      </c>
      <c r="ZM5" s="2" t="s">
        <v>58</v>
      </c>
      <c r="ZN5" s="2" t="s">
        <v>26</v>
      </c>
      <c r="ZO5" s="2" t="s">
        <v>18</v>
      </c>
      <c r="ZP5" s="2" t="s">
        <v>38</v>
      </c>
      <c r="ZQ5" s="2" t="s">
        <v>45</v>
      </c>
      <c r="ZR5" s="2" t="s">
        <v>26</v>
      </c>
      <c r="ZS5" s="2" t="s">
        <v>18</v>
      </c>
      <c r="ZT5" s="2" t="s">
        <v>45</v>
      </c>
      <c r="ZU5" s="2" t="s">
        <v>45</v>
      </c>
      <c r="ZV5" s="2" t="s">
        <v>26</v>
      </c>
      <c r="ZW5" s="2" t="s">
        <v>58</v>
      </c>
      <c r="ZX5" s="2" t="s">
        <v>26</v>
      </c>
      <c r="ZY5" s="2" t="s">
        <v>18</v>
      </c>
      <c r="ZZ5" s="2" t="s">
        <v>45</v>
      </c>
      <c r="AAA5" s="2" t="s">
        <v>26</v>
      </c>
      <c r="AAB5" s="2" t="s">
        <v>58</v>
      </c>
      <c r="AAC5" s="2" t="s">
        <v>26</v>
      </c>
      <c r="AAD5" s="2" t="s">
        <v>38</v>
      </c>
      <c r="AAE5" s="2" t="s">
        <v>58</v>
      </c>
      <c r="AAF5" s="2" t="s">
        <v>18</v>
      </c>
      <c r="AAG5" s="2" t="s">
        <v>45</v>
      </c>
      <c r="AAH5" s="2" t="s">
        <v>26</v>
      </c>
      <c r="AAI5" s="2" t="s">
        <v>58</v>
      </c>
      <c r="AAJ5" s="2" t="s">
        <v>38</v>
      </c>
      <c r="AAK5" s="2" t="s">
        <v>58</v>
      </c>
      <c r="AAL5" s="2" t="s">
        <v>38</v>
      </c>
      <c r="AAM5" s="2" t="s">
        <v>18</v>
      </c>
      <c r="AAN5" s="2" t="s">
        <v>45</v>
      </c>
      <c r="AAO5" s="2" t="s">
        <v>18</v>
      </c>
      <c r="AAP5" s="2" t="s">
        <v>26</v>
      </c>
      <c r="AAQ5" s="2" t="s">
        <v>58</v>
      </c>
      <c r="AAR5" s="2" t="s">
        <v>38</v>
      </c>
      <c r="AAS5" s="2" t="s">
        <v>38</v>
      </c>
      <c r="AAT5" s="2" t="s">
        <v>58</v>
      </c>
      <c r="AAU5" s="2" t="s">
        <v>58</v>
      </c>
      <c r="AAV5" s="2" t="s">
        <v>26</v>
      </c>
      <c r="AAW5" s="2" t="s">
        <v>18</v>
      </c>
      <c r="AAX5" s="2" t="s">
        <v>38</v>
      </c>
      <c r="AAY5" s="2" t="s">
        <v>26</v>
      </c>
      <c r="AAZ5" s="2" t="s">
        <v>18</v>
      </c>
      <c r="ABA5" s="2" t="s">
        <v>26</v>
      </c>
      <c r="ABB5" s="2" t="s">
        <v>38</v>
      </c>
      <c r="ABC5" s="2" t="s">
        <v>58</v>
      </c>
      <c r="ABD5" s="2" t="s">
        <v>58</v>
      </c>
      <c r="ABE5" s="2" t="s">
        <v>18</v>
      </c>
      <c r="ABF5" s="2" t="s">
        <v>45</v>
      </c>
      <c r="ABG5" s="2" t="s">
        <v>18</v>
      </c>
      <c r="ABH5" s="2" t="s">
        <v>45</v>
      </c>
      <c r="ABI5" s="2" t="s">
        <v>26</v>
      </c>
      <c r="ABJ5" s="2" t="s">
        <v>26</v>
      </c>
      <c r="ABK5" s="2" t="s">
        <v>38</v>
      </c>
      <c r="ABL5" s="2" t="s">
        <v>45</v>
      </c>
      <c r="ABM5" s="2" t="s">
        <v>38</v>
      </c>
      <c r="ABN5" s="2" t="s">
        <v>58</v>
      </c>
      <c r="ABO5" s="2" t="s">
        <v>45</v>
      </c>
      <c r="ABP5" s="2" t="s">
        <v>18</v>
      </c>
      <c r="ABQ5" s="2" t="s">
        <v>58</v>
      </c>
      <c r="ABR5" s="2" t="s">
        <v>58</v>
      </c>
      <c r="ABS5" s="2" t="s">
        <v>18</v>
      </c>
      <c r="ABT5" s="2" t="s">
        <v>58</v>
      </c>
      <c r="ABU5" s="2" t="s">
        <v>45</v>
      </c>
      <c r="ABV5" s="2" t="s">
        <v>38</v>
      </c>
      <c r="ABW5" s="2" t="s">
        <v>58</v>
      </c>
      <c r="ABX5" s="2" t="s">
        <v>45</v>
      </c>
      <c r="ABY5" s="2" t="s">
        <v>26</v>
      </c>
      <c r="ABZ5" s="2" t="s">
        <v>45</v>
      </c>
      <c r="ACA5" s="2" t="s">
        <v>38</v>
      </c>
      <c r="ACB5" s="2" t="s">
        <v>45</v>
      </c>
      <c r="ACC5" s="2" t="s">
        <v>18</v>
      </c>
      <c r="ACD5" s="2" t="s">
        <v>38</v>
      </c>
      <c r="ACE5" s="2" t="s">
        <v>26</v>
      </c>
      <c r="ACF5" s="2" t="s">
        <v>18</v>
      </c>
      <c r="ACG5" s="2" t="s">
        <v>45</v>
      </c>
      <c r="ACH5" s="2" t="s">
        <v>38</v>
      </c>
      <c r="ACI5" s="2" t="s">
        <v>26</v>
      </c>
      <c r="ACJ5" s="2" t="s">
        <v>18</v>
      </c>
      <c r="ACK5" s="2" t="s">
        <v>26</v>
      </c>
      <c r="ACL5" s="2" t="s">
        <v>45</v>
      </c>
      <c r="ACM5" s="2" t="s">
        <v>26</v>
      </c>
      <c r="ACN5" s="2" t="s">
        <v>58</v>
      </c>
      <c r="ACO5" s="2" t="s">
        <v>18</v>
      </c>
      <c r="ACP5" s="2" t="s">
        <v>26</v>
      </c>
      <c r="ACQ5" s="2" t="s">
        <v>45</v>
      </c>
      <c r="ACR5" s="2" t="s">
        <v>45</v>
      </c>
      <c r="ACS5" s="2" t="s">
        <v>26</v>
      </c>
      <c r="ACT5" s="2" t="s">
        <v>45</v>
      </c>
      <c r="ACU5" s="2" t="s">
        <v>38</v>
      </c>
      <c r="ACV5" s="2" t="s">
        <v>38</v>
      </c>
      <c r="ACW5" s="2" t="s">
        <v>38</v>
      </c>
      <c r="ACX5" s="2" t="s">
        <v>58</v>
      </c>
      <c r="ACY5" s="2" t="s">
        <v>26</v>
      </c>
      <c r="ACZ5" s="2" t="s">
        <v>58</v>
      </c>
      <c r="ADA5" s="2" t="s">
        <v>45</v>
      </c>
      <c r="ADB5" s="2" t="s">
        <v>58</v>
      </c>
      <c r="ADC5" s="2" t="s">
        <v>45</v>
      </c>
      <c r="ADD5" s="2" t="s">
        <v>45</v>
      </c>
      <c r="ADE5" s="2" t="s">
        <v>18</v>
      </c>
      <c r="ADF5" s="2" t="s">
        <v>38</v>
      </c>
      <c r="ADG5" s="2" t="s">
        <v>45</v>
      </c>
      <c r="ADH5" s="2" t="s">
        <v>18</v>
      </c>
      <c r="ADI5" s="2" t="s">
        <v>38</v>
      </c>
      <c r="ADJ5" s="2" t="s">
        <v>45</v>
      </c>
      <c r="ADK5" s="2" t="s">
        <v>45</v>
      </c>
      <c r="ADL5" s="2" t="s">
        <v>58</v>
      </c>
      <c r="ADM5" s="2" t="s">
        <v>58</v>
      </c>
      <c r="ADN5" s="2" t="s">
        <v>38</v>
      </c>
      <c r="ADO5" s="2" t="s">
        <v>45</v>
      </c>
      <c r="ADP5" s="2" t="s">
        <v>26</v>
      </c>
      <c r="ADQ5" s="2" t="s">
        <v>58</v>
      </c>
      <c r="ADR5" s="2" t="s">
        <v>38</v>
      </c>
      <c r="ADS5" s="2" t="s">
        <v>45</v>
      </c>
      <c r="ADT5" s="2" t="s">
        <v>45</v>
      </c>
      <c r="ADU5" s="2" t="s">
        <v>26</v>
      </c>
      <c r="ADV5" s="2" t="s">
        <v>38</v>
      </c>
      <c r="ADW5" s="2" t="s">
        <v>45</v>
      </c>
      <c r="ADX5" s="2" t="s">
        <v>58</v>
      </c>
      <c r="ADY5" s="2" t="s">
        <v>26</v>
      </c>
      <c r="ADZ5" s="2" t="s">
        <v>38</v>
      </c>
      <c r="AEA5" s="2" t="s">
        <v>26</v>
      </c>
      <c r="AEB5" s="2" t="s">
        <v>58</v>
      </c>
      <c r="AEC5" s="2" t="s">
        <v>38</v>
      </c>
      <c r="AED5" s="2" t="s">
        <v>26</v>
      </c>
      <c r="AEE5" s="2" t="s">
        <v>18</v>
      </c>
      <c r="AEF5" s="2" t="s">
        <v>58</v>
      </c>
      <c r="AEG5" s="2" t="s">
        <v>58</v>
      </c>
      <c r="AEH5" s="2" t="s">
        <v>58</v>
      </c>
      <c r="AEI5" s="2" t="s">
        <v>18</v>
      </c>
      <c r="AEJ5" s="2" t="s">
        <v>18</v>
      </c>
      <c r="AEK5" s="2" t="s">
        <v>45</v>
      </c>
      <c r="AEL5" s="2" t="s">
        <v>26</v>
      </c>
      <c r="AEM5" s="2" t="s">
        <v>45</v>
      </c>
      <c r="AEN5" s="2" t="s">
        <v>26</v>
      </c>
      <c r="AEO5" s="2" t="s">
        <v>18</v>
      </c>
      <c r="AEP5" s="2" t="s">
        <v>18</v>
      </c>
      <c r="AEQ5" s="2" t="s">
        <v>45</v>
      </c>
      <c r="AER5" s="2" t="s">
        <v>38</v>
      </c>
      <c r="AES5" s="2" t="s">
        <v>45</v>
      </c>
      <c r="AET5" s="2" t="s">
        <v>26</v>
      </c>
      <c r="AEU5" s="2" t="s">
        <v>45</v>
      </c>
      <c r="AEV5" s="2" t="s">
        <v>58</v>
      </c>
      <c r="AEW5" s="2" t="s">
        <v>26</v>
      </c>
      <c r="AEX5" s="2" t="s">
        <v>26</v>
      </c>
      <c r="AEY5" s="2" t="s">
        <v>38</v>
      </c>
      <c r="AEZ5" s="2" t="s">
        <v>18</v>
      </c>
      <c r="AFA5" s="2" t="s">
        <v>26</v>
      </c>
      <c r="AFB5" s="2" t="s">
        <v>18</v>
      </c>
      <c r="AFC5" s="2" t="s">
        <v>45</v>
      </c>
      <c r="AFD5" s="2" t="s">
        <v>58</v>
      </c>
      <c r="AFE5" s="2" t="s">
        <v>38</v>
      </c>
      <c r="AFF5" s="2" t="s">
        <v>18</v>
      </c>
      <c r="AFG5" s="2" t="s">
        <v>26</v>
      </c>
      <c r="AFH5" s="2" t="s">
        <v>18</v>
      </c>
      <c r="AFI5" s="2" t="s">
        <v>26</v>
      </c>
      <c r="AFJ5" s="2" t="s">
        <v>18</v>
      </c>
      <c r="AFK5" s="2" t="s">
        <v>26</v>
      </c>
      <c r="AFL5" s="2" t="s">
        <v>45</v>
      </c>
      <c r="AFM5" s="2" t="s">
        <v>26</v>
      </c>
      <c r="AFN5" s="2" t="s">
        <v>26</v>
      </c>
      <c r="AFO5" s="2" t="s">
        <v>58</v>
      </c>
      <c r="AFP5" s="2" t="s">
        <v>26</v>
      </c>
      <c r="AFQ5" s="2" t="s">
        <v>58</v>
      </c>
      <c r="AFR5" s="2" t="s">
        <v>38</v>
      </c>
      <c r="AFS5" s="2" t="s">
        <v>58</v>
      </c>
      <c r="AFT5" s="2" t="s">
        <v>45</v>
      </c>
      <c r="AFU5" s="2" t="s">
        <v>58</v>
      </c>
      <c r="AFV5" s="2" t="s">
        <v>38</v>
      </c>
      <c r="AFW5" s="2" t="s">
        <v>45</v>
      </c>
      <c r="AFX5" s="2" t="s">
        <v>18</v>
      </c>
      <c r="AFY5" s="2" t="s">
        <v>18</v>
      </c>
      <c r="AFZ5" s="2" t="s">
        <v>58</v>
      </c>
      <c r="AGA5" s="2" t="s">
        <v>58</v>
      </c>
      <c r="AGB5" s="2" t="s">
        <v>38</v>
      </c>
      <c r="AGC5" s="2" t="s">
        <v>38</v>
      </c>
      <c r="AGD5" s="2" t="s">
        <v>26</v>
      </c>
      <c r="AGE5" s="2" t="s">
        <v>38</v>
      </c>
      <c r="AGF5" s="2" t="s">
        <v>26</v>
      </c>
      <c r="AGG5" s="2" t="s">
        <v>45</v>
      </c>
      <c r="AGH5" s="2" t="s">
        <v>58</v>
      </c>
      <c r="AGI5" s="2" t="s">
        <v>45</v>
      </c>
      <c r="AGJ5" s="2" t="s">
        <v>38</v>
      </c>
      <c r="AGK5" s="2" t="s">
        <v>45</v>
      </c>
      <c r="AGL5" s="2" t="s">
        <v>45</v>
      </c>
      <c r="AGM5" s="2" t="s">
        <v>45</v>
      </c>
      <c r="AGN5" s="2" t="s">
        <v>38</v>
      </c>
      <c r="AGO5" s="2" t="s">
        <v>45</v>
      </c>
      <c r="AGP5" s="2" t="s">
        <v>26</v>
      </c>
      <c r="AGQ5" s="2" t="s">
        <v>38</v>
      </c>
      <c r="AGR5" s="2" t="s">
        <v>45</v>
      </c>
      <c r="AGS5" s="2" t="s">
        <v>38</v>
      </c>
      <c r="AGT5" s="2" t="s">
        <v>18</v>
      </c>
      <c r="AGU5" s="2" t="s">
        <v>26</v>
      </c>
      <c r="AGV5" s="2" t="s">
        <v>45</v>
      </c>
      <c r="AGW5" s="2" t="s">
        <v>18</v>
      </c>
      <c r="AGX5" s="2" t="s">
        <v>18</v>
      </c>
      <c r="AGY5" s="2" t="s">
        <v>38</v>
      </c>
      <c r="AGZ5" s="2" t="s">
        <v>18</v>
      </c>
      <c r="AHA5" s="2" t="s">
        <v>26</v>
      </c>
      <c r="AHB5" s="2" t="s">
        <v>26</v>
      </c>
      <c r="AHC5" s="2" t="s">
        <v>58</v>
      </c>
      <c r="AHD5" s="2" t="s">
        <v>26</v>
      </c>
      <c r="AHE5" s="2" t="s">
        <v>18</v>
      </c>
      <c r="AHF5" s="2" t="s">
        <v>26</v>
      </c>
      <c r="AHG5" s="2" t="s">
        <v>38</v>
      </c>
      <c r="AHH5" s="2" t="s">
        <v>58</v>
      </c>
      <c r="AHI5" s="2" t="s">
        <v>18</v>
      </c>
      <c r="AHJ5" s="2" t="s">
        <v>58</v>
      </c>
      <c r="AHK5" s="2" t="s">
        <v>18</v>
      </c>
      <c r="AHL5" s="2" t="s">
        <v>38</v>
      </c>
      <c r="AHM5" s="2" t="s">
        <v>58</v>
      </c>
      <c r="AHN5" s="2" t="s">
        <v>45</v>
      </c>
      <c r="AHO5" s="2" t="s">
        <v>18</v>
      </c>
      <c r="AHP5" s="2" t="s">
        <v>45</v>
      </c>
      <c r="AHQ5" s="2" t="s">
        <v>58</v>
      </c>
      <c r="AHR5" s="2" t="s">
        <v>45</v>
      </c>
      <c r="AHS5" s="2" t="s">
        <v>45</v>
      </c>
      <c r="AHT5" s="2" t="s">
        <v>58</v>
      </c>
      <c r="AHU5" s="2" t="s">
        <v>38</v>
      </c>
      <c r="AHV5" s="2" t="s">
        <v>45</v>
      </c>
      <c r="AHW5" s="2" t="s">
        <v>45</v>
      </c>
      <c r="AHX5" s="2" t="s">
        <v>38</v>
      </c>
      <c r="AHY5" s="2" t="s">
        <v>45</v>
      </c>
      <c r="AHZ5" s="2" t="s">
        <v>45</v>
      </c>
      <c r="AIA5" s="2" t="s">
        <v>45</v>
      </c>
      <c r="AIB5" s="2" t="s">
        <v>26</v>
      </c>
      <c r="AIC5" s="2" t="s">
        <v>38</v>
      </c>
      <c r="AID5" s="2" t="s">
        <v>45</v>
      </c>
      <c r="AIE5" s="2" t="s">
        <v>38</v>
      </c>
      <c r="AIF5" s="2" t="s">
        <v>18</v>
      </c>
      <c r="AIG5" s="2" t="s">
        <v>18</v>
      </c>
      <c r="AIH5" s="2" t="s">
        <v>45</v>
      </c>
      <c r="AII5" s="2" t="s">
        <v>38</v>
      </c>
      <c r="AIJ5" s="2" t="s">
        <v>38</v>
      </c>
      <c r="AIK5" s="2" t="s">
        <v>38</v>
      </c>
      <c r="AIL5" s="2" t="s">
        <v>26</v>
      </c>
      <c r="AIM5" s="2" t="s">
        <v>18</v>
      </c>
      <c r="AIN5" s="2" t="s">
        <v>38</v>
      </c>
      <c r="AIO5" s="2" t="s">
        <v>38</v>
      </c>
      <c r="AIP5" s="2" t="s">
        <v>26</v>
      </c>
      <c r="AIQ5" s="2" t="s">
        <v>26</v>
      </c>
      <c r="AIR5" s="2" t="s">
        <v>38</v>
      </c>
      <c r="AIS5" s="2" t="s">
        <v>58</v>
      </c>
      <c r="AIT5" s="2" t="s">
        <v>38</v>
      </c>
      <c r="AIU5" s="2" t="s">
        <v>38</v>
      </c>
      <c r="AIV5" s="2" t="s">
        <v>26</v>
      </c>
      <c r="AIW5" s="2" t="s">
        <v>26</v>
      </c>
      <c r="AIX5" s="2" t="s">
        <v>38</v>
      </c>
      <c r="AIY5" s="2" t="s">
        <v>38</v>
      </c>
      <c r="AIZ5" s="2" t="s">
        <v>38</v>
      </c>
      <c r="AJA5" s="2" t="s">
        <v>26</v>
      </c>
      <c r="AJB5" s="2" t="s">
        <v>38</v>
      </c>
      <c r="AJC5" s="2" t="s">
        <v>38</v>
      </c>
      <c r="AJD5" s="2" t="s">
        <v>45</v>
      </c>
      <c r="AJE5" s="2" t="s">
        <v>58</v>
      </c>
      <c r="AJF5" s="2" t="s">
        <v>18</v>
      </c>
      <c r="AJG5" s="2" t="s">
        <v>58</v>
      </c>
      <c r="AJH5" s="2" t="s">
        <v>45</v>
      </c>
      <c r="AJI5" s="2" t="s">
        <v>18</v>
      </c>
      <c r="AJJ5" s="2" t="s">
        <v>38</v>
      </c>
      <c r="AJK5" s="2" t="s">
        <v>45</v>
      </c>
      <c r="AJL5" s="2" t="s">
        <v>38</v>
      </c>
      <c r="AJM5" s="2" t="s">
        <v>26</v>
      </c>
      <c r="AJN5" s="2" t="s">
        <v>45</v>
      </c>
      <c r="AJO5" s="2" t="s">
        <v>26</v>
      </c>
      <c r="AJP5" s="2" t="s">
        <v>45</v>
      </c>
      <c r="AJQ5" s="2" t="s">
        <v>45</v>
      </c>
      <c r="AJR5" s="2" t="s">
        <v>26</v>
      </c>
      <c r="AJS5" s="2" t="s">
        <v>18</v>
      </c>
      <c r="AJT5" s="2" t="s">
        <v>58</v>
      </c>
      <c r="AJU5" s="2" t="s">
        <v>38</v>
      </c>
      <c r="AJV5" s="2" t="s">
        <v>45</v>
      </c>
      <c r="AJW5" s="2" t="s">
        <v>38</v>
      </c>
      <c r="AJX5" s="2" t="s">
        <v>26</v>
      </c>
      <c r="AJY5" s="2" t="s">
        <v>38</v>
      </c>
      <c r="AJZ5" s="2" t="s">
        <v>26</v>
      </c>
      <c r="AKA5" s="2" t="s">
        <v>38</v>
      </c>
      <c r="AKB5" s="2" t="s">
        <v>58</v>
      </c>
      <c r="AKC5" s="2" t="s">
        <v>58</v>
      </c>
      <c r="AKD5" s="2" t="s">
        <v>58</v>
      </c>
      <c r="AKE5" s="2" t="s">
        <v>58</v>
      </c>
      <c r="AKF5" s="2" t="s">
        <v>58</v>
      </c>
      <c r="AKG5" s="2" t="s">
        <v>58</v>
      </c>
      <c r="AKH5" s="2" t="s">
        <v>26</v>
      </c>
      <c r="AKI5" s="2" t="s">
        <v>45</v>
      </c>
      <c r="AKJ5" s="2" t="s">
        <v>38</v>
      </c>
      <c r="AKK5" s="2" t="s">
        <v>58</v>
      </c>
      <c r="AKL5" s="2" t="s">
        <v>26</v>
      </c>
      <c r="AKM5" s="2" t="s">
        <v>26</v>
      </c>
      <c r="AKN5" s="2" t="s">
        <v>26</v>
      </c>
      <c r="AKO5" s="2" t="s">
        <v>45</v>
      </c>
      <c r="AKP5" s="2" t="s">
        <v>38</v>
      </c>
      <c r="AKQ5" s="2" t="s">
        <v>45</v>
      </c>
      <c r="AKR5" s="2" t="s">
        <v>18</v>
      </c>
      <c r="AKS5" s="2" t="s">
        <v>26</v>
      </c>
      <c r="AKT5" s="2" t="s">
        <v>18</v>
      </c>
      <c r="AKU5" s="2" t="s">
        <v>58</v>
      </c>
      <c r="AKV5" s="2" t="s">
        <v>58</v>
      </c>
      <c r="AKW5" s="2" t="s">
        <v>45</v>
      </c>
      <c r="AKX5" s="2" t="s">
        <v>38</v>
      </c>
      <c r="AKY5" s="2" t="s">
        <v>18</v>
      </c>
      <c r="AKZ5" s="2" t="s">
        <v>38</v>
      </c>
      <c r="ALA5" s="2" t="s">
        <v>45</v>
      </c>
      <c r="ALB5" s="2" t="s">
        <v>58</v>
      </c>
      <c r="ALC5" s="2" t="s">
        <v>38</v>
      </c>
      <c r="ALD5" s="2" t="s">
        <v>38</v>
      </c>
      <c r="ALE5" s="2" t="s">
        <v>58</v>
      </c>
      <c r="ALF5" s="2" t="s">
        <v>18</v>
      </c>
      <c r="ALG5" s="2" t="s">
        <v>58</v>
      </c>
      <c r="ALH5" s="2" t="s">
        <v>38</v>
      </c>
      <c r="ALI5" s="2" t="s">
        <v>18</v>
      </c>
      <c r="ALJ5" s="2" t="s">
        <v>18</v>
      </c>
      <c r="ALK5" s="2" t="s">
        <v>58</v>
      </c>
      <c r="ALL5" s="2" t="s">
        <v>38</v>
      </c>
      <c r="ALM5" s="2" t="s">
        <v>45</v>
      </c>
    </row>
    <row r="6" spans="1:1001" ht="21" x14ac:dyDescent="0.3">
      <c r="A6" s="3" t="s">
        <v>5</v>
      </c>
      <c r="B6" s="2" t="s">
        <v>19</v>
      </c>
      <c r="C6" s="2" t="s">
        <v>27</v>
      </c>
      <c r="D6" s="2" t="s">
        <v>34</v>
      </c>
      <c r="E6" s="2" t="s">
        <v>39</v>
      </c>
      <c r="F6" s="2" t="s">
        <v>34</v>
      </c>
      <c r="G6" s="2" t="s">
        <v>39</v>
      </c>
      <c r="H6" s="2" t="s">
        <v>39</v>
      </c>
      <c r="I6" s="2" t="s">
        <v>34</v>
      </c>
      <c r="J6" s="2" t="s">
        <v>39</v>
      </c>
      <c r="K6" s="2" t="s">
        <v>39</v>
      </c>
      <c r="L6" s="2" t="s">
        <v>27</v>
      </c>
      <c r="M6" s="2" t="s">
        <v>19</v>
      </c>
      <c r="N6" s="2" t="s">
        <v>19</v>
      </c>
      <c r="O6" s="2" t="s">
        <v>27</v>
      </c>
      <c r="P6" s="2" t="s">
        <v>34</v>
      </c>
      <c r="Q6" s="2" t="s">
        <v>68</v>
      </c>
      <c r="R6" s="2" t="s">
        <v>68</v>
      </c>
      <c r="S6" s="2" t="s">
        <v>68</v>
      </c>
      <c r="T6" s="2" t="s">
        <v>27</v>
      </c>
      <c r="U6" s="2" t="s">
        <v>27</v>
      </c>
      <c r="V6" s="2" t="s">
        <v>39</v>
      </c>
      <c r="W6" s="2" t="s">
        <v>68</v>
      </c>
      <c r="X6" s="2" t="s">
        <v>34</v>
      </c>
      <c r="Y6" s="2" t="s">
        <v>34</v>
      </c>
      <c r="Z6" s="2" t="s">
        <v>68</v>
      </c>
      <c r="AA6" s="2" t="s">
        <v>68</v>
      </c>
      <c r="AB6" s="2" t="s">
        <v>68</v>
      </c>
      <c r="AC6" s="2" t="s">
        <v>27</v>
      </c>
      <c r="AD6" s="2" t="s">
        <v>27</v>
      </c>
      <c r="AE6" s="2" t="s">
        <v>27</v>
      </c>
      <c r="AF6" s="2" t="s">
        <v>19</v>
      </c>
      <c r="AG6" s="2" t="s">
        <v>34</v>
      </c>
      <c r="AH6" s="2" t="s">
        <v>34</v>
      </c>
      <c r="AI6" s="2" t="s">
        <v>39</v>
      </c>
      <c r="AJ6" s="2" t="s">
        <v>27</v>
      </c>
      <c r="AK6" s="2" t="s">
        <v>19</v>
      </c>
      <c r="AL6" s="2" t="s">
        <v>19</v>
      </c>
      <c r="AM6" s="2" t="s">
        <v>34</v>
      </c>
      <c r="AN6" s="2" t="s">
        <v>27</v>
      </c>
      <c r="AO6" s="2" t="s">
        <v>39</v>
      </c>
      <c r="AP6" s="2" t="s">
        <v>27</v>
      </c>
      <c r="AQ6" s="2" t="s">
        <v>68</v>
      </c>
      <c r="AR6" s="2" t="s">
        <v>27</v>
      </c>
      <c r="AS6" s="2" t="s">
        <v>68</v>
      </c>
      <c r="AT6" s="2" t="s">
        <v>68</v>
      </c>
      <c r="AU6" s="2" t="s">
        <v>39</v>
      </c>
      <c r="AV6" s="2" t="s">
        <v>34</v>
      </c>
      <c r="AW6" s="2" t="s">
        <v>27</v>
      </c>
      <c r="AX6" s="2" t="s">
        <v>68</v>
      </c>
      <c r="AY6" s="2" t="s">
        <v>27</v>
      </c>
      <c r="AZ6" s="2" t="s">
        <v>34</v>
      </c>
      <c r="BA6" s="2" t="s">
        <v>34</v>
      </c>
      <c r="BB6" s="2" t="s">
        <v>19</v>
      </c>
      <c r="BC6" s="2" t="s">
        <v>34</v>
      </c>
      <c r="BD6" s="2" t="s">
        <v>39</v>
      </c>
      <c r="BE6" s="2" t="s">
        <v>68</v>
      </c>
      <c r="BF6" s="2" t="s">
        <v>19</v>
      </c>
      <c r="BG6" s="2" t="s">
        <v>39</v>
      </c>
      <c r="BH6" s="2" t="s">
        <v>27</v>
      </c>
      <c r="BI6" s="2" t="s">
        <v>68</v>
      </c>
      <c r="BJ6" s="2" t="s">
        <v>34</v>
      </c>
      <c r="BK6" s="2" t="s">
        <v>68</v>
      </c>
      <c r="BL6" s="2" t="s">
        <v>27</v>
      </c>
      <c r="BM6" s="2" t="s">
        <v>19</v>
      </c>
      <c r="BN6" s="2" t="s">
        <v>19</v>
      </c>
      <c r="BO6" s="2" t="s">
        <v>19</v>
      </c>
      <c r="BP6" s="2" t="s">
        <v>34</v>
      </c>
      <c r="BQ6" s="2" t="s">
        <v>39</v>
      </c>
      <c r="BR6" s="2" t="s">
        <v>39</v>
      </c>
      <c r="BS6" s="2" t="s">
        <v>68</v>
      </c>
      <c r="BT6" s="2" t="s">
        <v>34</v>
      </c>
      <c r="BU6" s="2" t="s">
        <v>19</v>
      </c>
      <c r="BV6" s="2" t="s">
        <v>19</v>
      </c>
      <c r="BW6" s="2" t="s">
        <v>27</v>
      </c>
      <c r="BX6" s="2" t="s">
        <v>27</v>
      </c>
      <c r="BY6" s="2" t="s">
        <v>19</v>
      </c>
      <c r="BZ6" s="2" t="s">
        <v>19</v>
      </c>
      <c r="CA6" s="2" t="s">
        <v>34</v>
      </c>
      <c r="CB6" s="2" t="s">
        <v>39</v>
      </c>
      <c r="CC6" s="2" t="s">
        <v>27</v>
      </c>
      <c r="CD6" s="2" t="s">
        <v>39</v>
      </c>
      <c r="CE6" s="2" t="s">
        <v>34</v>
      </c>
      <c r="CF6" s="2" t="s">
        <v>19</v>
      </c>
      <c r="CG6" s="2" t="s">
        <v>39</v>
      </c>
      <c r="CH6" s="2" t="s">
        <v>19</v>
      </c>
      <c r="CI6" s="2" t="s">
        <v>19</v>
      </c>
      <c r="CJ6" s="2" t="s">
        <v>68</v>
      </c>
      <c r="CK6" s="2" t="s">
        <v>39</v>
      </c>
      <c r="CL6" s="2" t="s">
        <v>39</v>
      </c>
      <c r="CM6" s="2" t="s">
        <v>19</v>
      </c>
      <c r="CN6" s="2" t="s">
        <v>34</v>
      </c>
      <c r="CO6" s="2" t="s">
        <v>68</v>
      </c>
      <c r="CP6" s="2" t="s">
        <v>19</v>
      </c>
      <c r="CQ6" s="2" t="s">
        <v>27</v>
      </c>
      <c r="CR6" s="2" t="s">
        <v>27</v>
      </c>
      <c r="CS6" s="2" t="s">
        <v>68</v>
      </c>
      <c r="CT6" s="2" t="s">
        <v>34</v>
      </c>
      <c r="CU6" s="2" t="s">
        <v>19</v>
      </c>
      <c r="CV6" s="2" t="s">
        <v>39</v>
      </c>
      <c r="CW6" s="2" t="s">
        <v>68</v>
      </c>
      <c r="CX6" s="2" t="s">
        <v>34</v>
      </c>
      <c r="CY6" s="2" t="s">
        <v>39</v>
      </c>
      <c r="CZ6" s="2" t="s">
        <v>27</v>
      </c>
      <c r="DA6" s="2" t="s">
        <v>27</v>
      </c>
      <c r="DB6" s="2" t="s">
        <v>39</v>
      </c>
      <c r="DC6" s="2" t="s">
        <v>68</v>
      </c>
      <c r="DD6" s="2" t="s">
        <v>27</v>
      </c>
      <c r="DE6" s="2" t="s">
        <v>19</v>
      </c>
      <c r="DF6" s="2" t="s">
        <v>39</v>
      </c>
      <c r="DG6" s="2" t="s">
        <v>39</v>
      </c>
      <c r="DH6" s="2" t="s">
        <v>27</v>
      </c>
      <c r="DI6" s="2" t="s">
        <v>68</v>
      </c>
      <c r="DJ6" s="2" t="s">
        <v>19</v>
      </c>
      <c r="DK6" s="2" t="s">
        <v>68</v>
      </c>
      <c r="DL6" s="2" t="s">
        <v>34</v>
      </c>
      <c r="DM6" s="2" t="s">
        <v>34</v>
      </c>
      <c r="DN6" s="2" t="s">
        <v>27</v>
      </c>
      <c r="DO6" s="2" t="s">
        <v>27</v>
      </c>
      <c r="DP6" s="2" t="s">
        <v>27</v>
      </c>
      <c r="DQ6" s="2" t="s">
        <v>34</v>
      </c>
      <c r="DR6" s="2" t="s">
        <v>68</v>
      </c>
      <c r="DS6" s="2" t="s">
        <v>68</v>
      </c>
      <c r="DT6" s="2" t="s">
        <v>27</v>
      </c>
      <c r="DU6" s="2" t="s">
        <v>19</v>
      </c>
      <c r="DV6" s="2" t="s">
        <v>68</v>
      </c>
      <c r="DW6" s="2" t="s">
        <v>34</v>
      </c>
      <c r="DX6" s="2" t="s">
        <v>39</v>
      </c>
      <c r="DY6" s="2" t="s">
        <v>39</v>
      </c>
      <c r="DZ6" s="2" t="s">
        <v>39</v>
      </c>
      <c r="EA6" s="2" t="s">
        <v>19</v>
      </c>
      <c r="EB6" s="2" t="s">
        <v>27</v>
      </c>
      <c r="EC6" s="2" t="s">
        <v>34</v>
      </c>
      <c r="ED6" s="2" t="s">
        <v>19</v>
      </c>
      <c r="EE6" s="2" t="s">
        <v>34</v>
      </c>
      <c r="EF6" s="2" t="s">
        <v>34</v>
      </c>
      <c r="EG6" s="2" t="s">
        <v>27</v>
      </c>
      <c r="EH6" s="2" t="s">
        <v>39</v>
      </c>
      <c r="EI6" s="2" t="s">
        <v>27</v>
      </c>
      <c r="EJ6" s="2" t="s">
        <v>19</v>
      </c>
      <c r="EK6" s="2" t="s">
        <v>19</v>
      </c>
      <c r="EL6" s="2" t="s">
        <v>19</v>
      </c>
      <c r="EM6" s="2" t="s">
        <v>27</v>
      </c>
      <c r="EN6" s="2" t="s">
        <v>34</v>
      </c>
      <c r="EO6" s="2" t="s">
        <v>34</v>
      </c>
      <c r="EP6" s="2" t="s">
        <v>68</v>
      </c>
      <c r="EQ6" s="2" t="s">
        <v>19</v>
      </c>
      <c r="ER6" s="2" t="s">
        <v>34</v>
      </c>
      <c r="ES6" s="2" t="s">
        <v>68</v>
      </c>
      <c r="ET6" s="2" t="s">
        <v>34</v>
      </c>
      <c r="EU6" s="2" t="s">
        <v>19</v>
      </c>
      <c r="EV6" s="2" t="s">
        <v>39</v>
      </c>
      <c r="EW6" s="2" t="s">
        <v>19</v>
      </c>
      <c r="EX6" s="2" t="s">
        <v>27</v>
      </c>
      <c r="EY6" s="2" t="s">
        <v>34</v>
      </c>
      <c r="EZ6" s="2" t="s">
        <v>34</v>
      </c>
      <c r="FA6" s="2" t="s">
        <v>27</v>
      </c>
      <c r="FB6" s="2" t="s">
        <v>27</v>
      </c>
      <c r="FC6" s="2" t="s">
        <v>39</v>
      </c>
      <c r="FD6" s="2" t="s">
        <v>34</v>
      </c>
      <c r="FE6" s="2" t="s">
        <v>34</v>
      </c>
      <c r="FF6" s="2" t="s">
        <v>39</v>
      </c>
      <c r="FG6" s="2" t="s">
        <v>68</v>
      </c>
      <c r="FH6" s="2" t="s">
        <v>39</v>
      </c>
      <c r="FI6" s="2" t="s">
        <v>19</v>
      </c>
      <c r="FJ6" s="2" t="s">
        <v>34</v>
      </c>
      <c r="FK6" s="2" t="s">
        <v>27</v>
      </c>
      <c r="FL6" s="2" t="s">
        <v>19</v>
      </c>
      <c r="FM6" s="2" t="s">
        <v>34</v>
      </c>
      <c r="FN6" s="2" t="s">
        <v>39</v>
      </c>
      <c r="FO6" s="2" t="s">
        <v>19</v>
      </c>
      <c r="FP6" s="2" t="s">
        <v>34</v>
      </c>
      <c r="FQ6" s="2" t="s">
        <v>68</v>
      </c>
      <c r="FR6" s="2" t="s">
        <v>68</v>
      </c>
      <c r="FS6" s="2" t="s">
        <v>27</v>
      </c>
      <c r="FT6" s="2" t="s">
        <v>34</v>
      </c>
      <c r="FU6" s="2" t="s">
        <v>68</v>
      </c>
      <c r="FV6" s="2" t="s">
        <v>39</v>
      </c>
      <c r="FW6" s="2" t="s">
        <v>34</v>
      </c>
      <c r="FX6" s="2" t="s">
        <v>39</v>
      </c>
      <c r="FY6" s="2" t="s">
        <v>39</v>
      </c>
      <c r="FZ6" s="2" t="s">
        <v>68</v>
      </c>
      <c r="GA6" s="2" t="s">
        <v>34</v>
      </c>
      <c r="GB6" s="2" t="s">
        <v>19</v>
      </c>
      <c r="GC6" s="2" t="s">
        <v>68</v>
      </c>
      <c r="GD6" s="2" t="s">
        <v>68</v>
      </c>
      <c r="GE6" s="2" t="s">
        <v>34</v>
      </c>
      <c r="GF6" s="2" t="s">
        <v>34</v>
      </c>
      <c r="GG6" s="2" t="s">
        <v>39</v>
      </c>
      <c r="GH6" s="2" t="s">
        <v>34</v>
      </c>
      <c r="GI6" s="2" t="s">
        <v>39</v>
      </c>
      <c r="GJ6" s="2" t="s">
        <v>68</v>
      </c>
      <c r="GK6" s="2" t="s">
        <v>27</v>
      </c>
      <c r="GL6" s="2" t="s">
        <v>19</v>
      </c>
      <c r="GM6" s="2" t="s">
        <v>68</v>
      </c>
      <c r="GN6" s="2" t="s">
        <v>34</v>
      </c>
      <c r="GO6" s="2" t="s">
        <v>19</v>
      </c>
      <c r="GP6" s="2" t="s">
        <v>27</v>
      </c>
      <c r="GQ6" s="2" t="s">
        <v>27</v>
      </c>
      <c r="GR6" s="2" t="s">
        <v>39</v>
      </c>
      <c r="GS6" s="2" t="s">
        <v>19</v>
      </c>
      <c r="GT6" s="2" t="s">
        <v>39</v>
      </c>
      <c r="GU6" s="2" t="s">
        <v>68</v>
      </c>
      <c r="GV6" s="2" t="s">
        <v>19</v>
      </c>
      <c r="GW6" s="2" t="s">
        <v>68</v>
      </c>
      <c r="GX6" s="2" t="s">
        <v>39</v>
      </c>
      <c r="GY6" s="2" t="s">
        <v>19</v>
      </c>
      <c r="GZ6" s="2" t="s">
        <v>39</v>
      </c>
      <c r="HA6" s="2" t="s">
        <v>19</v>
      </c>
      <c r="HB6" s="2" t="s">
        <v>39</v>
      </c>
      <c r="HC6" s="2" t="s">
        <v>27</v>
      </c>
      <c r="HD6" s="2" t="s">
        <v>39</v>
      </c>
      <c r="HE6" s="2" t="s">
        <v>27</v>
      </c>
      <c r="HF6" s="2" t="s">
        <v>39</v>
      </c>
      <c r="HG6" s="2" t="s">
        <v>19</v>
      </c>
      <c r="HH6" s="2" t="s">
        <v>19</v>
      </c>
      <c r="HI6" s="2" t="s">
        <v>19</v>
      </c>
      <c r="HJ6" s="2" t="s">
        <v>34</v>
      </c>
      <c r="HK6" s="2" t="s">
        <v>68</v>
      </c>
      <c r="HL6" s="2" t="s">
        <v>19</v>
      </c>
      <c r="HM6" s="2" t="s">
        <v>27</v>
      </c>
      <c r="HN6" s="2" t="s">
        <v>19</v>
      </c>
      <c r="HO6" s="2" t="s">
        <v>34</v>
      </c>
      <c r="HP6" s="2" t="s">
        <v>27</v>
      </c>
      <c r="HQ6" s="2" t="s">
        <v>34</v>
      </c>
      <c r="HR6" s="2" t="s">
        <v>27</v>
      </c>
      <c r="HS6" s="2" t="s">
        <v>39</v>
      </c>
      <c r="HT6" s="2" t="s">
        <v>68</v>
      </c>
      <c r="HU6" s="2" t="s">
        <v>68</v>
      </c>
      <c r="HV6" s="2" t="s">
        <v>34</v>
      </c>
      <c r="HW6" s="2" t="s">
        <v>68</v>
      </c>
      <c r="HX6" s="2" t="s">
        <v>34</v>
      </c>
      <c r="HY6" s="2" t="s">
        <v>34</v>
      </c>
      <c r="HZ6" s="2" t="s">
        <v>34</v>
      </c>
      <c r="IA6" s="2" t="s">
        <v>68</v>
      </c>
      <c r="IB6" s="2" t="s">
        <v>34</v>
      </c>
      <c r="IC6" s="2" t="s">
        <v>68</v>
      </c>
      <c r="ID6" s="2" t="s">
        <v>34</v>
      </c>
      <c r="IE6" s="2" t="s">
        <v>19</v>
      </c>
      <c r="IF6" s="2" t="s">
        <v>34</v>
      </c>
      <c r="IG6" s="2" t="s">
        <v>27</v>
      </c>
      <c r="IH6" s="2" t="s">
        <v>34</v>
      </c>
      <c r="II6" s="2" t="s">
        <v>39</v>
      </c>
      <c r="IJ6" s="2" t="s">
        <v>34</v>
      </c>
      <c r="IK6" s="2" t="s">
        <v>27</v>
      </c>
      <c r="IL6" s="2" t="s">
        <v>27</v>
      </c>
      <c r="IM6" s="2" t="s">
        <v>68</v>
      </c>
      <c r="IN6" s="2" t="s">
        <v>19</v>
      </c>
      <c r="IO6" s="2" t="s">
        <v>34</v>
      </c>
      <c r="IP6" s="2" t="s">
        <v>68</v>
      </c>
      <c r="IQ6" s="2" t="s">
        <v>19</v>
      </c>
      <c r="IR6" s="2" t="s">
        <v>34</v>
      </c>
      <c r="IS6" s="2" t="s">
        <v>39</v>
      </c>
      <c r="IT6" s="2" t="s">
        <v>34</v>
      </c>
      <c r="IU6" s="2" t="s">
        <v>27</v>
      </c>
      <c r="IV6" s="2" t="s">
        <v>27</v>
      </c>
      <c r="IW6" s="2" t="s">
        <v>39</v>
      </c>
      <c r="IX6" s="2" t="s">
        <v>68</v>
      </c>
      <c r="IY6" s="2" t="s">
        <v>19</v>
      </c>
      <c r="IZ6" s="2" t="s">
        <v>34</v>
      </c>
      <c r="JA6" s="2" t="s">
        <v>27</v>
      </c>
      <c r="JB6" s="2" t="s">
        <v>68</v>
      </c>
      <c r="JC6" s="2" t="s">
        <v>39</v>
      </c>
      <c r="JD6" s="2" t="s">
        <v>27</v>
      </c>
      <c r="JE6" s="2" t="s">
        <v>39</v>
      </c>
      <c r="JF6" s="2" t="s">
        <v>34</v>
      </c>
      <c r="JG6" s="2" t="s">
        <v>19</v>
      </c>
      <c r="JH6" s="2" t="s">
        <v>27</v>
      </c>
      <c r="JI6" s="2" t="s">
        <v>27</v>
      </c>
      <c r="JJ6" s="2" t="s">
        <v>34</v>
      </c>
      <c r="JK6" s="2" t="s">
        <v>68</v>
      </c>
      <c r="JL6" s="2" t="s">
        <v>19</v>
      </c>
      <c r="JM6" s="2" t="s">
        <v>27</v>
      </c>
      <c r="JN6" s="2" t="s">
        <v>19</v>
      </c>
      <c r="JO6" s="2" t="s">
        <v>27</v>
      </c>
      <c r="JP6" s="2" t="s">
        <v>19</v>
      </c>
      <c r="JQ6" s="2" t="s">
        <v>39</v>
      </c>
      <c r="JR6" s="2" t="s">
        <v>27</v>
      </c>
      <c r="JS6" s="2" t="s">
        <v>19</v>
      </c>
      <c r="JT6" s="2" t="s">
        <v>68</v>
      </c>
      <c r="JU6" s="2" t="s">
        <v>39</v>
      </c>
      <c r="JV6" s="2" t="s">
        <v>39</v>
      </c>
      <c r="JW6" s="2" t="s">
        <v>68</v>
      </c>
      <c r="JX6" s="2" t="s">
        <v>19</v>
      </c>
      <c r="JY6" s="2" t="s">
        <v>34</v>
      </c>
      <c r="JZ6" s="2" t="s">
        <v>68</v>
      </c>
      <c r="KA6" s="2" t="s">
        <v>19</v>
      </c>
      <c r="KB6" s="2" t="s">
        <v>68</v>
      </c>
      <c r="KC6" s="2" t="s">
        <v>68</v>
      </c>
      <c r="KD6" s="2" t="s">
        <v>27</v>
      </c>
      <c r="KE6" s="2" t="s">
        <v>19</v>
      </c>
      <c r="KF6" s="2" t="s">
        <v>34</v>
      </c>
      <c r="KG6" s="2" t="s">
        <v>27</v>
      </c>
      <c r="KH6" s="2" t="s">
        <v>68</v>
      </c>
      <c r="KI6" s="2" t="s">
        <v>68</v>
      </c>
      <c r="KJ6" s="2" t="s">
        <v>68</v>
      </c>
      <c r="KK6" s="2" t="s">
        <v>19</v>
      </c>
      <c r="KL6" s="2" t="s">
        <v>19</v>
      </c>
      <c r="KM6" s="2" t="s">
        <v>27</v>
      </c>
      <c r="KN6" s="2" t="s">
        <v>34</v>
      </c>
      <c r="KO6" s="2" t="s">
        <v>27</v>
      </c>
      <c r="KP6" s="2" t="s">
        <v>39</v>
      </c>
      <c r="KQ6" s="2" t="s">
        <v>68</v>
      </c>
      <c r="KR6" s="2" t="s">
        <v>68</v>
      </c>
      <c r="KS6" s="2" t="s">
        <v>68</v>
      </c>
      <c r="KT6" s="2" t="s">
        <v>27</v>
      </c>
      <c r="KU6" s="2" t="s">
        <v>27</v>
      </c>
      <c r="KV6" s="2" t="s">
        <v>68</v>
      </c>
      <c r="KW6" s="2" t="s">
        <v>27</v>
      </c>
      <c r="KX6" s="2" t="s">
        <v>19</v>
      </c>
      <c r="KY6" s="2" t="s">
        <v>19</v>
      </c>
      <c r="KZ6" s="2" t="s">
        <v>27</v>
      </c>
      <c r="LA6" s="2" t="s">
        <v>68</v>
      </c>
      <c r="LB6" s="2" t="s">
        <v>27</v>
      </c>
      <c r="LC6" s="2" t="s">
        <v>27</v>
      </c>
      <c r="LD6" s="2" t="s">
        <v>27</v>
      </c>
      <c r="LE6" s="2" t="s">
        <v>39</v>
      </c>
      <c r="LF6" s="2" t="s">
        <v>19</v>
      </c>
      <c r="LG6" s="2" t="s">
        <v>34</v>
      </c>
      <c r="LH6" s="2" t="s">
        <v>34</v>
      </c>
      <c r="LI6" s="2" t="s">
        <v>39</v>
      </c>
      <c r="LJ6" s="2" t="s">
        <v>27</v>
      </c>
      <c r="LK6" s="2" t="s">
        <v>39</v>
      </c>
      <c r="LL6" s="2" t="s">
        <v>39</v>
      </c>
      <c r="LM6" s="2" t="s">
        <v>68</v>
      </c>
      <c r="LN6" s="2" t="s">
        <v>19</v>
      </c>
      <c r="LO6" s="2" t="s">
        <v>34</v>
      </c>
      <c r="LP6" s="2" t="s">
        <v>27</v>
      </c>
      <c r="LQ6" s="2" t="s">
        <v>34</v>
      </c>
      <c r="LR6" s="2" t="s">
        <v>34</v>
      </c>
      <c r="LS6" s="2" t="s">
        <v>19</v>
      </c>
      <c r="LT6" s="2" t="s">
        <v>34</v>
      </c>
      <c r="LU6" s="2" t="s">
        <v>34</v>
      </c>
      <c r="LV6" s="2" t="s">
        <v>39</v>
      </c>
      <c r="LW6" s="2" t="s">
        <v>19</v>
      </c>
      <c r="LX6" s="2" t="s">
        <v>68</v>
      </c>
      <c r="LY6" s="2" t="s">
        <v>27</v>
      </c>
      <c r="LZ6" s="2" t="s">
        <v>34</v>
      </c>
      <c r="MA6" s="2" t="s">
        <v>27</v>
      </c>
      <c r="MB6" s="2" t="s">
        <v>68</v>
      </c>
      <c r="MC6" s="2" t="s">
        <v>27</v>
      </c>
      <c r="MD6" s="2" t="s">
        <v>68</v>
      </c>
      <c r="ME6" s="2" t="s">
        <v>39</v>
      </c>
      <c r="MF6" s="2" t="s">
        <v>34</v>
      </c>
      <c r="MG6" s="2" t="s">
        <v>68</v>
      </c>
      <c r="MH6" s="2" t="s">
        <v>27</v>
      </c>
      <c r="MI6" s="2" t="s">
        <v>34</v>
      </c>
      <c r="MJ6" s="2" t="s">
        <v>39</v>
      </c>
      <c r="MK6" s="2" t="s">
        <v>34</v>
      </c>
      <c r="ML6" s="2" t="s">
        <v>68</v>
      </c>
      <c r="MM6" s="2" t="s">
        <v>39</v>
      </c>
      <c r="MN6" s="2" t="s">
        <v>27</v>
      </c>
      <c r="MO6" s="2" t="s">
        <v>39</v>
      </c>
      <c r="MP6" s="2" t="s">
        <v>39</v>
      </c>
      <c r="MQ6" s="2" t="s">
        <v>19</v>
      </c>
      <c r="MR6" s="2" t="s">
        <v>39</v>
      </c>
      <c r="MS6" s="2" t="s">
        <v>39</v>
      </c>
      <c r="MT6" s="2" t="s">
        <v>34</v>
      </c>
      <c r="MU6" s="2" t="s">
        <v>27</v>
      </c>
      <c r="MV6" s="2" t="s">
        <v>34</v>
      </c>
      <c r="MW6" s="2" t="s">
        <v>34</v>
      </c>
      <c r="MX6" s="2" t="s">
        <v>68</v>
      </c>
      <c r="MY6" s="2" t="s">
        <v>34</v>
      </c>
      <c r="MZ6" s="2" t="s">
        <v>19</v>
      </c>
      <c r="NA6" s="2" t="s">
        <v>19</v>
      </c>
      <c r="NB6" s="2" t="s">
        <v>68</v>
      </c>
      <c r="NC6" s="2" t="s">
        <v>27</v>
      </c>
      <c r="ND6" s="2" t="s">
        <v>27</v>
      </c>
      <c r="NE6" s="2" t="s">
        <v>34</v>
      </c>
      <c r="NF6" s="2" t="s">
        <v>34</v>
      </c>
      <c r="NG6" s="2" t="s">
        <v>34</v>
      </c>
      <c r="NH6" s="2" t="s">
        <v>27</v>
      </c>
      <c r="NI6" s="2" t="s">
        <v>39</v>
      </c>
      <c r="NJ6" s="2" t="s">
        <v>19</v>
      </c>
      <c r="NK6" s="2" t="s">
        <v>39</v>
      </c>
      <c r="NL6" s="2" t="s">
        <v>39</v>
      </c>
      <c r="NM6" s="2" t="s">
        <v>27</v>
      </c>
      <c r="NN6" s="2" t="s">
        <v>39</v>
      </c>
      <c r="NO6" s="2" t="s">
        <v>68</v>
      </c>
      <c r="NP6" s="2" t="s">
        <v>34</v>
      </c>
      <c r="NQ6" s="2" t="s">
        <v>68</v>
      </c>
      <c r="NR6" s="2" t="s">
        <v>19</v>
      </c>
      <c r="NS6" s="2" t="s">
        <v>34</v>
      </c>
      <c r="NT6" s="2" t="s">
        <v>39</v>
      </c>
      <c r="NU6" s="2" t="s">
        <v>19</v>
      </c>
      <c r="NV6" s="2" t="s">
        <v>34</v>
      </c>
      <c r="NW6" s="2" t="s">
        <v>39</v>
      </c>
      <c r="NX6" s="2" t="s">
        <v>68</v>
      </c>
      <c r="NY6" s="2" t="s">
        <v>34</v>
      </c>
      <c r="NZ6" s="2" t="s">
        <v>39</v>
      </c>
      <c r="OA6" s="2" t="s">
        <v>68</v>
      </c>
      <c r="OB6" s="2" t="s">
        <v>19</v>
      </c>
      <c r="OC6" s="2" t="s">
        <v>19</v>
      </c>
      <c r="OD6" s="2" t="s">
        <v>19</v>
      </c>
      <c r="OE6" s="2" t="s">
        <v>19</v>
      </c>
      <c r="OF6" s="2" t="s">
        <v>27</v>
      </c>
      <c r="OG6" s="2" t="s">
        <v>34</v>
      </c>
      <c r="OH6" s="2" t="s">
        <v>34</v>
      </c>
      <c r="OI6" s="2" t="s">
        <v>27</v>
      </c>
      <c r="OJ6" s="2" t="s">
        <v>39</v>
      </c>
      <c r="OK6" s="2" t="s">
        <v>39</v>
      </c>
      <c r="OL6" s="2" t="s">
        <v>19</v>
      </c>
      <c r="OM6" s="2" t="s">
        <v>68</v>
      </c>
      <c r="ON6" s="2" t="s">
        <v>39</v>
      </c>
      <c r="OO6" s="2" t="s">
        <v>68</v>
      </c>
      <c r="OP6" s="2" t="s">
        <v>34</v>
      </c>
      <c r="OQ6" s="2" t="s">
        <v>68</v>
      </c>
      <c r="OR6" s="2" t="s">
        <v>34</v>
      </c>
      <c r="OS6" s="2" t="s">
        <v>27</v>
      </c>
      <c r="OT6" s="2" t="s">
        <v>27</v>
      </c>
      <c r="OU6" s="2" t="s">
        <v>19</v>
      </c>
      <c r="OV6" s="2" t="s">
        <v>39</v>
      </c>
      <c r="OW6" s="2" t="s">
        <v>19</v>
      </c>
      <c r="OX6" s="2" t="s">
        <v>34</v>
      </c>
      <c r="OY6" s="2" t="s">
        <v>19</v>
      </c>
      <c r="OZ6" s="2" t="s">
        <v>68</v>
      </c>
      <c r="PA6" s="2" t="s">
        <v>34</v>
      </c>
      <c r="PB6" s="2" t="s">
        <v>27</v>
      </c>
      <c r="PC6" s="2" t="s">
        <v>39</v>
      </c>
      <c r="PD6" s="2" t="s">
        <v>34</v>
      </c>
      <c r="PE6" s="2" t="s">
        <v>34</v>
      </c>
      <c r="PF6" s="2" t="s">
        <v>68</v>
      </c>
      <c r="PG6" s="2" t="s">
        <v>39</v>
      </c>
      <c r="PH6" s="2" t="s">
        <v>27</v>
      </c>
      <c r="PI6" s="2" t="s">
        <v>34</v>
      </c>
      <c r="PJ6" s="2" t="s">
        <v>34</v>
      </c>
      <c r="PK6" s="2" t="s">
        <v>68</v>
      </c>
      <c r="PL6" s="2" t="s">
        <v>19</v>
      </c>
      <c r="PM6" s="2" t="s">
        <v>27</v>
      </c>
      <c r="PN6" s="2" t="s">
        <v>39</v>
      </c>
      <c r="PO6" s="2" t="s">
        <v>34</v>
      </c>
      <c r="PP6" s="2" t="s">
        <v>34</v>
      </c>
      <c r="PQ6" s="2" t="s">
        <v>27</v>
      </c>
      <c r="PR6" s="2" t="s">
        <v>19</v>
      </c>
      <c r="PS6" s="2" t="s">
        <v>34</v>
      </c>
      <c r="PT6" s="2" t="s">
        <v>27</v>
      </c>
      <c r="PU6" s="2" t="s">
        <v>68</v>
      </c>
      <c r="PV6" s="2" t="s">
        <v>19</v>
      </c>
      <c r="PW6" s="2" t="s">
        <v>39</v>
      </c>
      <c r="PX6" s="2" t="s">
        <v>34</v>
      </c>
      <c r="PY6" s="2" t="s">
        <v>27</v>
      </c>
      <c r="PZ6" s="2" t="s">
        <v>68</v>
      </c>
      <c r="QA6" s="2" t="s">
        <v>39</v>
      </c>
      <c r="QB6" s="2" t="s">
        <v>27</v>
      </c>
      <c r="QC6" s="2" t="s">
        <v>27</v>
      </c>
      <c r="QD6" s="2" t="s">
        <v>39</v>
      </c>
      <c r="QE6" s="2" t="s">
        <v>68</v>
      </c>
      <c r="QF6" s="2" t="s">
        <v>68</v>
      </c>
      <c r="QG6" s="2" t="s">
        <v>19</v>
      </c>
      <c r="QH6" s="2" t="s">
        <v>34</v>
      </c>
      <c r="QI6" s="2" t="s">
        <v>39</v>
      </c>
      <c r="QJ6" s="2" t="s">
        <v>39</v>
      </c>
      <c r="QK6" s="2" t="s">
        <v>39</v>
      </c>
      <c r="QL6" s="2" t="s">
        <v>68</v>
      </c>
      <c r="QM6" s="2" t="s">
        <v>34</v>
      </c>
      <c r="QN6" s="2" t="s">
        <v>19</v>
      </c>
      <c r="QO6" s="2" t="s">
        <v>27</v>
      </c>
      <c r="QP6" s="2" t="s">
        <v>27</v>
      </c>
      <c r="QQ6" s="2" t="s">
        <v>39</v>
      </c>
      <c r="QR6" s="2" t="s">
        <v>34</v>
      </c>
      <c r="QS6" s="2" t="s">
        <v>68</v>
      </c>
      <c r="QT6" s="2" t="s">
        <v>34</v>
      </c>
      <c r="QU6" s="2" t="s">
        <v>34</v>
      </c>
      <c r="QV6" s="2" t="s">
        <v>68</v>
      </c>
      <c r="QW6" s="2" t="s">
        <v>39</v>
      </c>
      <c r="QX6" s="2" t="s">
        <v>34</v>
      </c>
      <c r="QY6" s="2" t="s">
        <v>27</v>
      </c>
      <c r="QZ6" s="2" t="s">
        <v>68</v>
      </c>
      <c r="RA6" s="2" t="s">
        <v>19</v>
      </c>
      <c r="RB6" s="2" t="s">
        <v>39</v>
      </c>
      <c r="RC6" s="2" t="s">
        <v>68</v>
      </c>
      <c r="RD6" s="2" t="s">
        <v>19</v>
      </c>
      <c r="RE6" s="2" t="s">
        <v>19</v>
      </c>
      <c r="RF6" s="2" t="s">
        <v>34</v>
      </c>
      <c r="RG6" s="2" t="s">
        <v>34</v>
      </c>
      <c r="RH6" s="2" t="s">
        <v>34</v>
      </c>
      <c r="RI6" s="2" t="s">
        <v>68</v>
      </c>
      <c r="RJ6" s="2" t="s">
        <v>68</v>
      </c>
      <c r="RK6" s="2" t="s">
        <v>39</v>
      </c>
      <c r="RL6" s="2" t="s">
        <v>34</v>
      </c>
      <c r="RM6" s="2" t="s">
        <v>19</v>
      </c>
      <c r="RN6" s="2" t="s">
        <v>27</v>
      </c>
      <c r="RO6" s="2" t="s">
        <v>39</v>
      </c>
      <c r="RP6" s="2" t="s">
        <v>68</v>
      </c>
      <c r="RQ6" s="2" t="s">
        <v>39</v>
      </c>
      <c r="RR6" s="2" t="s">
        <v>39</v>
      </c>
      <c r="RS6" s="2" t="s">
        <v>39</v>
      </c>
      <c r="RT6" s="2" t="s">
        <v>39</v>
      </c>
      <c r="RU6" s="2" t="s">
        <v>27</v>
      </c>
      <c r="RV6" s="2" t="s">
        <v>34</v>
      </c>
      <c r="RW6" s="2" t="s">
        <v>19</v>
      </c>
      <c r="RX6" s="2" t="s">
        <v>39</v>
      </c>
      <c r="RY6" s="2" t="s">
        <v>39</v>
      </c>
      <c r="RZ6" s="2" t="s">
        <v>39</v>
      </c>
      <c r="SA6" s="2" t="s">
        <v>34</v>
      </c>
      <c r="SB6" s="2" t="s">
        <v>68</v>
      </c>
      <c r="SC6" s="2" t="s">
        <v>68</v>
      </c>
      <c r="SD6" s="2" t="s">
        <v>27</v>
      </c>
      <c r="SE6" s="2" t="s">
        <v>68</v>
      </c>
      <c r="SF6" s="2" t="s">
        <v>39</v>
      </c>
      <c r="SG6" s="2" t="s">
        <v>39</v>
      </c>
      <c r="SH6" s="2" t="s">
        <v>39</v>
      </c>
      <c r="SI6" s="2" t="s">
        <v>27</v>
      </c>
      <c r="SJ6" s="2" t="s">
        <v>39</v>
      </c>
      <c r="SK6" s="2" t="s">
        <v>68</v>
      </c>
      <c r="SL6" s="2" t="s">
        <v>34</v>
      </c>
      <c r="SM6" s="2" t="s">
        <v>34</v>
      </c>
      <c r="SN6" s="2" t="s">
        <v>19</v>
      </c>
      <c r="SO6" s="2" t="s">
        <v>68</v>
      </c>
      <c r="SP6" s="2" t="s">
        <v>39</v>
      </c>
      <c r="SQ6" s="2" t="s">
        <v>34</v>
      </c>
      <c r="SR6" s="2" t="s">
        <v>68</v>
      </c>
      <c r="SS6" s="2" t="s">
        <v>34</v>
      </c>
      <c r="ST6" s="2" t="s">
        <v>39</v>
      </c>
      <c r="SU6" s="2" t="s">
        <v>34</v>
      </c>
      <c r="SV6" s="2" t="s">
        <v>19</v>
      </c>
      <c r="SW6" s="2" t="s">
        <v>19</v>
      </c>
      <c r="SX6" s="2" t="s">
        <v>34</v>
      </c>
      <c r="SY6" s="2" t="s">
        <v>68</v>
      </c>
      <c r="SZ6" s="2" t="s">
        <v>68</v>
      </c>
      <c r="TA6" s="2" t="s">
        <v>68</v>
      </c>
      <c r="TB6" s="2" t="s">
        <v>34</v>
      </c>
      <c r="TC6" s="2" t="s">
        <v>68</v>
      </c>
      <c r="TD6" s="2" t="s">
        <v>39</v>
      </c>
      <c r="TE6" s="2" t="s">
        <v>19</v>
      </c>
      <c r="TF6" s="2" t="s">
        <v>39</v>
      </c>
      <c r="TG6" s="2" t="s">
        <v>68</v>
      </c>
      <c r="TH6" s="2" t="s">
        <v>39</v>
      </c>
      <c r="TI6" s="2" t="s">
        <v>68</v>
      </c>
      <c r="TJ6" s="2" t="s">
        <v>34</v>
      </c>
      <c r="TK6" s="2" t="s">
        <v>39</v>
      </c>
      <c r="TL6" s="2" t="s">
        <v>34</v>
      </c>
      <c r="TM6" s="2" t="s">
        <v>34</v>
      </c>
      <c r="TN6" s="2" t="s">
        <v>27</v>
      </c>
      <c r="TO6" s="2" t="s">
        <v>68</v>
      </c>
      <c r="TP6" s="2" t="s">
        <v>19</v>
      </c>
      <c r="TQ6" s="2" t="s">
        <v>68</v>
      </c>
      <c r="TR6" s="2" t="s">
        <v>19</v>
      </c>
      <c r="TS6" s="2" t="s">
        <v>68</v>
      </c>
      <c r="TT6" s="2" t="s">
        <v>34</v>
      </c>
      <c r="TU6" s="2" t="s">
        <v>39</v>
      </c>
      <c r="TV6" s="2" t="s">
        <v>39</v>
      </c>
      <c r="TW6" s="2" t="s">
        <v>27</v>
      </c>
      <c r="TX6" s="2" t="s">
        <v>19</v>
      </c>
      <c r="TY6" s="2" t="s">
        <v>19</v>
      </c>
      <c r="TZ6" s="2" t="s">
        <v>19</v>
      </c>
      <c r="UA6" s="2" t="s">
        <v>34</v>
      </c>
      <c r="UB6" s="2" t="s">
        <v>19</v>
      </c>
      <c r="UC6" s="2" t="s">
        <v>39</v>
      </c>
      <c r="UD6" s="2" t="s">
        <v>34</v>
      </c>
      <c r="UE6" s="2" t="s">
        <v>68</v>
      </c>
      <c r="UF6" s="2" t="s">
        <v>19</v>
      </c>
      <c r="UG6" s="2" t="s">
        <v>19</v>
      </c>
      <c r="UH6" s="2" t="s">
        <v>68</v>
      </c>
      <c r="UI6" s="2" t="s">
        <v>19</v>
      </c>
      <c r="UJ6" s="2" t="s">
        <v>68</v>
      </c>
      <c r="UK6" s="2" t="s">
        <v>34</v>
      </c>
      <c r="UL6" s="2" t="s">
        <v>39</v>
      </c>
      <c r="UM6" s="2" t="s">
        <v>68</v>
      </c>
      <c r="UN6" s="2" t="s">
        <v>27</v>
      </c>
      <c r="UO6" s="2" t="s">
        <v>68</v>
      </c>
      <c r="UP6" s="2" t="s">
        <v>19</v>
      </c>
      <c r="UQ6" s="2" t="s">
        <v>34</v>
      </c>
      <c r="UR6" s="2" t="s">
        <v>34</v>
      </c>
      <c r="US6" s="2" t="s">
        <v>68</v>
      </c>
      <c r="UT6" s="2" t="s">
        <v>39</v>
      </c>
      <c r="UU6" s="2" t="s">
        <v>27</v>
      </c>
      <c r="UV6" s="2" t="s">
        <v>34</v>
      </c>
      <c r="UW6" s="2" t="s">
        <v>19</v>
      </c>
      <c r="UX6" s="2" t="s">
        <v>19</v>
      </c>
      <c r="UY6" s="2" t="s">
        <v>39</v>
      </c>
      <c r="UZ6" s="2" t="s">
        <v>34</v>
      </c>
      <c r="VA6" s="2" t="s">
        <v>68</v>
      </c>
      <c r="VB6" s="2" t="s">
        <v>19</v>
      </c>
      <c r="VC6" s="2" t="s">
        <v>39</v>
      </c>
      <c r="VD6" s="2" t="s">
        <v>34</v>
      </c>
      <c r="VE6" s="2" t="s">
        <v>34</v>
      </c>
      <c r="VF6" s="2" t="s">
        <v>34</v>
      </c>
      <c r="VG6" s="2" t="s">
        <v>34</v>
      </c>
      <c r="VH6" s="2" t="s">
        <v>34</v>
      </c>
      <c r="VI6" s="2" t="s">
        <v>19</v>
      </c>
      <c r="VJ6" s="2" t="s">
        <v>39</v>
      </c>
      <c r="VK6" s="2" t="s">
        <v>34</v>
      </c>
      <c r="VL6" s="2" t="s">
        <v>27</v>
      </c>
      <c r="VM6" s="2" t="s">
        <v>27</v>
      </c>
      <c r="VN6" s="2" t="s">
        <v>39</v>
      </c>
      <c r="VO6" s="2" t="s">
        <v>68</v>
      </c>
      <c r="VP6" s="2" t="s">
        <v>68</v>
      </c>
      <c r="VQ6" s="2" t="s">
        <v>68</v>
      </c>
      <c r="VR6" s="2" t="s">
        <v>27</v>
      </c>
      <c r="VS6" s="2" t="s">
        <v>68</v>
      </c>
      <c r="VT6" s="2" t="s">
        <v>19</v>
      </c>
      <c r="VU6" s="2" t="s">
        <v>34</v>
      </c>
      <c r="VV6" s="2" t="s">
        <v>27</v>
      </c>
      <c r="VW6" s="2" t="s">
        <v>39</v>
      </c>
      <c r="VX6" s="2" t="s">
        <v>39</v>
      </c>
      <c r="VY6" s="2" t="s">
        <v>34</v>
      </c>
      <c r="VZ6" s="2" t="s">
        <v>27</v>
      </c>
      <c r="WA6" s="2" t="s">
        <v>68</v>
      </c>
      <c r="WB6" s="2" t="s">
        <v>68</v>
      </c>
      <c r="WC6" s="2" t="s">
        <v>19</v>
      </c>
      <c r="WD6" s="2" t="s">
        <v>19</v>
      </c>
      <c r="WE6" s="2" t="s">
        <v>68</v>
      </c>
      <c r="WF6" s="2" t="s">
        <v>39</v>
      </c>
      <c r="WG6" s="2" t="s">
        <v>39</v>
      </c>
      <c r="WH6" s="2" t="s">
        <v>19</v>
      </c>
      <c r="WI6" s="2" t="s">
        <v>34</v>
      </c>
      <c r="WJ6" s="2" t="s">
        <v>68</v>
      </c>
      <c r="WK6" s="2" t="s">
        <v>19</v>
      </c>
      <c r="WL6" s="2" t="s">
        <v>19</v>
      </c>
      <c r="WM6" s="2" t="s">
        <v>68</v>
      </c>
      <c r="WN6" s="2" t="s">
        <v>68</v>
      </c>
      <c r="WO6" s="2" t="s">
        <v>39</v>
      </c>
      <c r="WP6" s="2" t="s">
        <v>34</v>
      </c>
      <c r="WQ6" s="2" t="s">
        <v>34</v>
      </c>
      <c r="WR6" s="2" t="s">
        <v>68</v>
      </c>
      <c r="WS6" s="2" t="s">
        <v>27</v>
      </c>
      <c r="WT6" s="2" t="s">
        <v>19</v>
      </c>
      <c r="WU6" s="2" t="s">
        <v>19</v>
      </c>
      <c r="WV6" s="2" t="s">
        <v>68</v>
      </c>
      <c r="WW6" s="2" t="s">
        <v>27</v>
      </c>
      <c r="WX6" s="2" t="s">
        <v>39</v>
      </c>
      <c r="WY6" s="2" t="s">
        <v>68</v>
      </c>
      <c r="WZ6" s="2" t="s">
        <v>68</v>
      </c>
      <c r="XA6" s="2" t="s">
        <v>19</v>
      </c>
      <c r="XB6" s="2" t="s">
        <v>68</v>
      </c>
      <c r="XC6" s="2" t="s">
        <v>68</v>
      </c>
      <c r="XD6" s="2" t="s">
        <v>68</v>
      </c>
      <c r="XE6" s="2" t="s">
        <v>19</v>
      </c>
      <c r="XF6" s="2" t="s">
        <v>39</v>
      </c>
      <c r="XG6" s="2" t="s">
        <v>39</v>
      </c>
      <c r="XH6" s="2" t="s">
        <v>68</v>
      </c>
      <c r="XI6" s="2" t="s">
        <v>19</v>
      </c>
      <c r="XJ6" s="2" t="s">
        <v>39</v>
      </c>
      <c r="XK6" s="2" t="s">
        <v>39</v>
      </c>
      <c r="XL6" s="2" t="s">
        <v>39</v>
      </c>
      <c r="XM6" s="2" t="s">
        <v>19</v>
      </c>
      <c r="XN6" s="2" t="s">
        <v>19</v>
      </c>
      <c r="XO6" s="2" t="s">
        <v>68</v>
      </c>
      <c r="XP6" s="2" t="s">
        <v>34</v>
      </c>
      <c r="XQ6" s="2" t="s">
        <v>39</v>
      </c>
      <c r="XR6" s="2" t="s">
        <v>34</v>
      </c>
      <c r="XS6" s="2" t="s">
        <v>19</v>
      </c>
      <c r="XT6" s="2" t="s">
        <v>19</v>
      </c>
      <c r="XU6" s="2" t="s">
        <v>19</v>
      </c>
      <c r="XV6" s="2" t="s">
        <v>34</v>
      </c>
      <c r="XW6" s="2" t="s">
        <v>19</v>
      </c>
      <c r="XX6" s="2" t="s">
        <v>68</v>
      </c>
      <c r="XY6" s="2" t="s">
        <v>19</v>
      </c>
      <c r="XZ6" s="2" t="s">
        <v>27</v>
      </c>
      <c r="YA6" s="2" t="s">
        <v>34</v>
      </c>
      <c r="YB6" s="2" t="s">
        <v>27</v>
      </c>
      <c r="YC6" s="2" t="s">
        <v>19</v>
      </c>
      <c r="YD6" s="2" t="s">
        <v>68</v>
      </c>
      <c r="YE6" s="2" t="s">
        <v>39</v>
      </c>
      <c r="YF6" s="2" t="s">
        <v>19</v>
      </c>
      <c r="YG6" s="2" t="s">
        <v>68</v>
      </c>
      <c r="YH6" s="2" t="s">
        <v>34</v>
      </c>
      <c r="YI6" s="2" t="s">
        <v>27</v>
      </c>
      <c r="YJ6" s="2" t="s">
        <v>27</v>
      </c>
      <c r="YK6" s="2" t="s">
        <v>27</v>
      </c>
      <c r="YL6" s="2" t="s">
        <v>34</v>
      </c>
      <c r="YM6" s="2" t="s">
        <v>68</v>
      </c>
      <c r="YN6" s="2" t="s">
        <v>34</v>
      </c>
      <c r="YO6" s="2" t="s">
        <v>27</v>
      </c>
      <c r="YP6" s="2" t="s">
        <v>19</v>
      </c>
      <c r="YQ6" s="2" t="s">
        <v>39</v>
      </c>
      <c r="YR6" s="2" t="s">
        <v>34</v>
      </c>
      <c r="YS6" s="2" t="s">
        <v>34</v>
      </c>
      <c r="YT6" s="2" t="s">
        <v>68</v>
      </c>
      <c r="YU6" s="2" t="s">
        <v>68</v>
      </c>
      <c r="YV6" s="2" t="s">
        <v>34</v>
      </c>
      <c r="YW6" s="2" t="s">
        <v>27</v>
      </c>
      <c r="YX6" s="2" t="s">
        <v>39</v>
      </c>
      <c r="YY6" s="2" t="s">
        <v>68</v>
      </c>
      <c r="YZ6" s="2" t="s">
        <v>27</v>
      </c>
      <c r="ZA6" s="2" t="s">
        <v>19</v>
      </c>
      <c r="ZB6" s="2" t="s">
        <v>68</v>
      </c>
      <c r="ZC6" s="2" t="s">
        <v>27</v>
      </c>
      <c r="ZD6" s="2" t="s">
        <v>27</v>
      </c>
      <c r="ZE6" s="2" t="s">
        <v>39</v>
      </c>
      <c r="ZF6" s="2" t="s">
        <v>39</v>
      </c>
      <c r="ZG6" s="2" t="s">
        <v>19</v>
      </c>
      <c r="ZH6" s="2" t="s">
        <v>27</v>
      </c>
      <c r="ZI6" s="2" t="s">
        <v>27</v>
      </c>
      <c r="ZJ6" s="2" t="s">
        <v>39</v>
      </c>
      <c r="ZK6" s="2" t="s">
        <v>68</v>
      </c>
      <c r="ZL6" s="2" t="s">
        <v>68</v>
      </c>
      <c r="ZM6" s="2" t="s">
        <v>34</v>
      </c>
      <c r="ZN6" s="2" t="s">
        <v>39</v>
      </c>
      <c r="ZO6" s="2" t="s">
        <v>34</v>
      </c>
      <c r="ZP6" s="2" t="s">
        <v>39</v>
      </c>
      <c r="ZQ6" s="2" t="s">
        <v>19</v>
      </c>
      <c r="ZR6" s="2" t="s">
        <v>27</v>
      </c>
      <c r="ZS6" s="2" t="s">
        <v>19</v>
      </c>
      <c r="ZT6" s="2" t="s">
        <v>39</v>
      </c>
      <c r="ZU6" s="2" t="s">
        <v>27</v>
      </c>
      <c r="ZV6" s="2" t="s">
        <v>68</v>
      </c>
      <c r="ZW6" s="2" t="s">
        <v>68</v>
      </c>
      <c r="ZX6" s="2" t="s">
        <v>34</v>
      </c>
      <c r="ZY6" s="2" t="s">
        <v>39</v>
      </c>
      <c r="ZZ6" s="2" t="s">
        <v>39</v>
      </c>
      <c r="AAA6" s="2" t="s">
        <v>68</v>
      </c>
      <c r="AAB6" s="2" t="s">
        <v>19</v>
      </c>
      <c r="AAC6" s="2" t="s">
        <v>27</v>
      </c>
      <c r="AAD6" s="2" t="s">
        <v>19</v>
      </c>
      <c r="AAE6" s="2" t="s">
        <v>19</v>
      </c>
      <c r="AAF6" s="2" t="s">
        <v>68</v>
      </c>
      <c r="AAG6" s="2" t="s">
        <v>68</v>
      </c>
      <c r="AAH6" s="2" t="s">
        <v>68</v>
      </c>
      <c r="AAI6" s="2" t="s">
        <v>34</v>
      </c>
      <c r="AAJ6" s="2" t="s">
        <v>19</v>
      </c>
      <c r="AAK6" s="2" t="s">
        <v>39</v>
      </c>
      <c r="AAL6" s="2" t="s">
        <v>27</v>
      </c>
      <c r="AAM6" s="2" t="s">
        <v>34</v>
      </c>
      <c r="AAN6" s="2" t="s">
        <v>39</v>
      </c>
      <c r="AAO6" s="2" t="s">
        <v>19</v>
      </c>
      <c r="AAP6" s="2" t="s">
        <v>68</v>
      </c>
      <c r="AAQ6" s="2" t="s">
        <v>19</v>
      </c>
      <c r="AAR6" s="2" t="s">
        <v>27</v>
      </c>
      <c r="AAS6" s="2" t="s">
        <v>34</v>
      </c>
      <c r="AAT6" s="2" t="s">
        <v>34</v>
      </c>
      <c r="AAU6" s="2" t="s">
        <v>27</v>
      </c>
      <c r="AAV6" s="2" t="s">
        <v>39</v>
      </c>
      <c r="AAW6" s="2" t="s">
        <v>39</v>
      </c>
      <c r="AAX6" s="2" t="s">
        <v>34</v>
      </c>
      <c r="AAY6" s="2" t="s">
        <v>34</v>
      </c>
      <c r="AAZ6" s="2" t="s">
        <v>68</v>
      </c>
      <c r="ABA6" s="2" t="s">
        <v>39</v>
      </c>
      <c r="ABB6" s="2" t="s">
        <v>27</v>
      </c>
      <c r="ABC6" s="2" t="s">
        <v>39</v>
      </c>
      <c r="ABD6" s="2" t="s">
        <v>68</v>
      </c>
      <c r="ABE6" s="2" t="s">
        <v>34</v>
      </c>
      <c r="ABF6" s="2" t="s">
        <v>34</v>
      </c>
      <c r="ABG6" s="2" t="s">
        <v>68</v>
      </c>
      <c r="ABH6" s="2" t="s">
        <v>27</v>
      </c>
      <c r="ABI6" s="2" t="s">
        <v>34</v>
      </c>
      <c r="ABJ6" s="2" t="s">
        <v>19</v>
      </c>
      <c r="ABK6" s="2" t="s">
        <v>34</v>
      </c>
      <c r="ABL6" s="2" t="s">
        <v>19</v>
      </c>
      <c r="ABM6" s="2" t="s">
        <v>68</v>
      </c>
      <c r="ABN6" s="2" t="s">
        <v>68</v>
      </c>
      <c r="ABO6" s="2" t="s">
        <v>34</v>
      </c>
      <c r="ABP6" s="2" t="s">
        <v>39</v>
      </c>
      <c r="ABQ6" s="2" t="s">
        <v>19</v>
      </c>
      <c r="ABR6" s="2" t="s">
        <v>27</v>
      </c>
      <c r="ABS6" s="2" t="s">
        <v>34</v>
      </c>
      <c r="ABT6" s="2" t="s">
        <v>27</v>
      </c>
      <c r="ABU6" s="2" t="s">
        <v>34</v>
      </c>
      <c r="ABV6" s="2" t="s">
        <v>39</v>
      </c>
      <c r="ABW6" s="2" t="s">
        <v>39</v>
      </c>
      <c r="ABX6" s="2" t="s">
        <v>39</v>
      </c>
      <c r="ABY6" s="2" t="s">
        <v>39</v>
      </c>
      <c r="ABZ6" s="2" t="s">
        <v>68</v>
      </c>
      <c r="ACA6" s="2" t="s">
        <v>68</v>
      </c>
      <c r="ACB6" s="2" t="s">
        <v>19</v>
      </c>
      <c r="ACC6" s="2" t="s">
        <v>27</v>
      </c>
      <c r="ACD6" s="2" t="s">
        <v>34</v>
      </c>
      <c r="ACE6" s="2" t="s">
        <v>34</v>
      </c>
      <c r="ACF6" s="2" t="s">
        <v>68</v>
      </c>
      <c r="ACG6" s="2" t="s">
        <v>34</v>
      </c>
      <c r="ACH6" s="2" t="s">
        <v>68</v>
      </c>
      <c r="ACI6" s="2" t="s">
        <v>19</v>
      </c>
      <c r="ACJ6" s="2" t="s">
        <v>27</v>
      </c>
      <c r="ACK6" s="2" t="s">
        <v>19</v>
      </c>
      <c r="ACL6" s="2" t="s">
        <v>39</v>
      </c>
      <c r="ACM6" s="2" t="s">
        <v>39</v>
      </c>
      <c r="ACN6" s="2" t="s">
        <v>39</v>
      </c>
      <c r="ACO6" s="2" t="s">
        <v>19</v>
      </c>
      <c r="ACP6" s="2" t="s">
        <v>34</v>
      </c>
      <c r="ACQ6" s="2" t="s">
        <v>27</v>
      </c>
      <c r="ACR6" s="2" t="s">
        <v>39</v>
      </c>
      <c r="ACS6" s="2" t="s">
        <v>39</v>
      </c>
      <c r="ACT6" s="2" t="s">
        <v>39</v>
      </c>
      <c r="ACU6" s="2" t="s">
        <v>27</v>
      </c>
      <c r="ACV6" s="2" t="s">
        <v>39</v>
      </c>
      <c r="ACW6" s="2" t="s">
        <v>27</v>
      </c>
      <c r="ACX6" s="2" t="s">
        <v>39</v>
      </c>
      <c r="ACY6" s="2" t="s">
        <v>19</v>
      </c>
      <c r="ACZ6" s="2" t="s">
        <v>19</v>
      </c>
      <c r="ADA6" s="2" t="s">
        <v>27</v>
      </c>
      <c r="ADB6" s="2" t="s">
        <v>19</v>
      </c>
      <c r="ADC6" s="2" t="s">
        <v>27</v>
      </c>
      <c r="ADD6" s="2" t="s">
        <v>19</v>
      </c>
      <c r="ADE6" s="2" t="s">
        <v>19</v>
      </c>
      <c r="ADF6" s="2" t="s">
        <v>27</v>
      </c>
      <c r="ADG6" s="2" t="s">
        <v>34</v>
      </c>
      <c r="ADH6" s="2" t="s">
        <v>19</v>
      </c>
      <c r="ADI6" s="2" t="s">
        <v>39</v>
      </c>
      <c r="ADJ6" s="2" t="s">
        <v>34</v>
      </c>
      <c r="ADK6" s="2" t="s">
        <v>27</v>
      </c>
      <c r="ADL6" s="2" t="s">
        <v>34</v>
      </c>
      <c r="ADM6" s="2" t="s">
        <v>68</v>
      </c>
      <c r="ADN6" s="2" t="s">
        <v>68</v>
      </c>
      <c r="ADO6" s="2" t="s">
        <v>19</v>
      </c>
      <c r="ADP6" s="2" t="s">
        <v>19</v>
      </c>
      <c r="ADQ6" s="2" t="s">
        <v>39</v>
      </c>
      <c r="ADR6" s="2" t="s">
        <v>34</v>
      </c>
      <c r="ADS6" s="2" t="s">
        <v>68</v>
      </c>
      <c r="ADT6" s="2" t="s">
        <v>19</v>
      </c>
      <c r="ADU6" s="2" t="s">
        <v>34</v>
      </c>
      <c r="ADV6" s="2" t="s">
        <v>19</v>
      </c>
      <c r="ADW6" s="2" t="s">
        <v>19</v>
      </c>
      <c r="ADX6" s="2" t="s">
        <v>68</v>
      </c>
      <c r="ADY6" s="2" t="s">
        <v>68</v>
      </c>
      <c r="ADZ6" s="2" t="s">
        <v>19</v>
      </c>
      <c r="AEA6" s="2" t="s">
        <v>27</v>
      </c>
      <c r="AEB6" s="2" t="s">
        <v>19</v>
      </c>
      <c r="AEC6" s="2" t="s">
        <v>19</v>
      </c>
      <c r="AED6" s="2" t="s">
        <v>39</v>
      </c>
      <c r="AEE6" s="2" t="s">
        <v>39</v>
      </c>
      <c r="AEF6" s="2" t="s">
        <v>39</v>
      </c>
      <c r="AEG6" s="2" t="s">
        <v>27</v>
      </c>
      <c r="AEH6" s="2" t="s">
        <v>27</v>
      </c>
      <c r="AEI6" s="2" t="s">
        <v>19</v>
      </c>
      <c r="AEJ6" s="2" t="s">
        <v>39</v>
      </c>
      <c r="AEK6" s="2" t="s">
        <v>27</v>
      </c>
      <c r="AEL6" s="2" t="s">
        <v>68</v>
      </c>
      <c r="AEM6" s="2" t="s">
        <v>19</v>
      </c>
      <c r="AEN6" s="2" t="s">
        <v>34</v>
      </c>
      <c r="AEO6" s="2" t="s">
        <v>19</v>
      </c>
      <c r="AEP6" s="2" t="s">
        <v>34</v>
      </c>
      <c r="AEQ6" s="2" t="s">
        <v>39</v>
      </c>
      <c r="AER6" s="2" t="s">
        <v>34</v>
      </c>
      <c r="AES6" s="2" t="s">
        <v>39</v>
      </c>
      <c r="AET6" s="2" t="s">
        <v>68</v>
      </c>
      <c r="AEU6" s="2" t="s">
        <v>34</v>
      </c>
      <c r="AEV6" s="2" t="s">
        <v>19</v>
      </c>
      <c r="AEW6" s="2" t="s">
        <v>39</v>
      </c>
      <c r="AEX6" s="2" t="s">
        <v>19</v>
      </c>
      <c r="AEY6" s="2" t="s">
        <v>27</v>
      </c>
      <c r="AEZ6" s="2" t="s">
        <v>39</v>
      </c>
      <c r="AFA6" s="2" t="s">
        <v>34</v>
      </c>
      <c r="AFB6" s="2" t="s">
        <v>39</v>
      </c>
      <c r="AFC6" s="2" t="s">
        <v>19</v>
      </c>
      <c r="AFD6" s="2" t="s">
        <v>68</v>
      </c>
      <c r="AFE6" s="2" t="s">
        <v>39</v>
      </c>
      <c r="AFF6" s="2" t="s">
        <v>34</v>
      </c>
      <c r="AFG6" s="2" t="s">
        <v>27</v>
      </c>
      <c r="AFH6" s="2" t="s">
        <v>68</v>
      </c>
      <c r="AFI6" s="2" t="s">
        <v>27</v>
      </c>
      <c r="AFJ6" s="2" t="s">
        <v>39</v>
      </c>
      <c r="AFK6" s="2" t="s">
        <v>19</v>
      </c>
      <c r="AFL6" s="2" t="s">
        <v>19</v>
      </c>
      <c r="AFM6" s="2" t="s">
        <v>34</v>
      </c>
      <c r="AFN6" s="2" t="s">
        <v>19</v>
      </c>
      <c r="AFO6" s="2" t="s">
        <v>68</v>
      </c>
      <c r="AFP6" s="2" t="s">
        <v>19</v>
      </c>
      <c r="AFQ6" s="2" t="s">
        <v>34</v>
      </c>
      <c r="AFR6" s="2" t="s">
        <v>39</v>
      </c>
      <c r="AFS6" s="2" t="s">
        <v>39</v>
      </c>
      <c r="AFT6" s="2" t="s">
        <v>19</v>
      </c>
      <c r="AFU6" s="2" t="s">
        <v>27</v>
      </c>
      <c r="AFV6" s="2" t="s">
        <v>39</v>
      </c>
      <c r="AFW6" s="2" t="s">
        <v>19</v>
      </c>
      <c r="AFX6" s="2" t="s">
        <v>34</v>
      </c>
      <c r="AFY6" s="2" t="s">
        <v>19</v>
      </c>
      <c r="AFZ6" s="2" t="s">
        <v>39</v>
      </c>
      <c r="AGA6" s="2" t="s">
        <v>34</v>
      </c>
      <c r="AGB6" s="2" t="s">
        <v>19</v>
      </c>
      <c r="AGC6" s="2" t="s">
        <v>68</v>
      </c>
      <c r="AGD6" s="2" t="s">
        <v>34</v>
      </c>
      <c r="AGE6" s="2" t="s">
        <v>68</v>
      </c>
      <c r="AGF6" s="2" t="s">
        <v>27</v>
      </c>
      <c r="AGG6" s="2" t="s">
        <v>34</v>
      </c>
      <c r="AGH6" s="2" t="s">
        <v>68</v>
      </c>
      <c r="AGI6" s="2" t="s">
        <v>39</v>
      </c>
      <c r="AGJ6" s="2" t="s">
        <v>39</v>
      </c>
      <c r="AGK6" s="2" t="s">
        <v>27</v>
      </c>
      <c r="AGL6" s="2" t="s">
        <v>34</v>
      </c>
      <c r="AGM6" s="2" t="s">
        <v>34</v>
      </c>
      <c r="AGN6" s="2" t="s">
        <v>34</v>
      </c>
      <c r="AGO6" s="2" t="s">
        <v>27</v>
      </c>
      <c r="AGP6" s="2" t="s">
        <v>34</v>
      </c>
      <c r="AGQ6" s="2" t="s">
        <v>39</v>
      </c>
      <c r="AGR6" s="2" t="s">
        <v>68</v>
      </c>
      <c r="AGS6" s="2" t="s">
        <v>39</v>
      </c>
      <c r="AGT6" s="2" t="s">
        <v>39</v>
      </c>
      <c r="AGU6" s="2" t="s">
        <v>68</v>
      </c>
      <c r="AGV6" s="2" t="s">
        <v>39</v>
      </c>
      <c r="AGW6" s="2" t="s">
        <v>27</v>
      </c>
      <c r="AGX6" s="2" t="s">
        <v>68</v>
      </c>
      <c r="AGY6" s="2" t="s">
        <v>39</v>
      </c>
      <c r="AGZ6" s="2" t="s">
        <v>19</v>
      </c>
      <c r="AHA6" s="2" t="s">
        <v>39</v>
      </c>
      <c r="AHB6" s="2" t="s">
        <v>27</v>
      </c>
      <c r="AHC6" s="2" t="s">
        <v>34</v>
      </c>
      <c r="AHD6" s="2" t="s">
        <v>39</v>
      </c>
      <c r="AHE6" s="2" t="s">
        <v>34</v>
      </c>
      <c r="AHF6" s="2" t="s">
        <v>19</v>
      </c>
      <c r="AHG6" s="2" t="s">
        <v>39</v>
      </c>
      <c r="AHH6" s="2" t="s">
        <v>68</v>
      </c>
      <c r="AHI6" s="2" t="s">
        <v>34</v>
      </c>
      <c r="AHJ6" s="2" t="s">
        <v>19</v>
      </c>
      <c r="AHK6" s="2" t="s">
        <v>68</v>
      </c>
      <c r="AHL6" s="2" t="s">
        <v>68</v>
      </c>
      <c r="AHM6" s="2" t="s">
        <v>68</v>
      </c>
      <c r="AHN6" s="2" t="s">
        <v>68</v>
      </c>
      <c r="AHO6" s="2" t="s">
        <v>39</v>
      </c>
      <c r="AHP6" s="2" t="s">
        <v>39</v>
      </c>
      <c r="AHQ6" s="2" t="s">
        <v>39</v>
      </c>
      <c r="AHR6" s="2" t="s">
        <v>19</v>
      </c>
      <c r="AHS6" s="2" t="s">
        <v>19</v>
      </c>
      <c r="AHT6" s="2" t="s">
        <v>19</v>
      </c>
      <c r="AHU6" s="2" t="s">
        <v>27</v>
      </c>
      <c r="AHV6" s="2" t="s">
        <v>19</v>
      </c>
      <c r="AHW6" s="2" t="s">
        <v>39</v>
      </c>
      <c r="AHX6" s="2" t="s">
        <v>39</v>
      </c>
      <c r="AHY6" s="2" t="s">
        <v>27</v>
      </c>
      <c r="AHZ6" s="2" t="s">
        <v>27</v>
      </c>
      <c r="AIA6" s="2" t="s">
        <v>19</v>
      </c>
      <c r="AIB6" s="2" t="s">
        <v>34</v>
      </c>
      <c r="AIC6" s="2" t="s">
        <v>27</v>
      </c>
      <c r="AID6" s="2" t="s">
        <v>68</v>
      </c>
      <c r="AIE6" s="2" t="s">
        <v>39</v>
      </c>
      <c r="AIF6" s="2" t="s">
        <v>68</v>
      </c>
      <c r="AIG6" s="2" t="s">
        <v>39</v>
      </c>
      <c r="AIH6" s="2" t="s">
        <v>39</v>
      </c>
      <c r="AII6" s="2" t="s">
        <v>27</v>
      </c>
      <c r="AIJ6" s="2" t="s">
        <v>27</v>
      </c>
      <c r="AIK6" s="2" t="s">
        <v>68</v>
      </c>
      <c r="AIL6" s="2" t="s">
        <v>39</v>
      </c>
      <c r="AIM6" s="2" t="s">
        <v>68</v>
      </c>
      <c r="AIN6" s="2" t="s">
        <v>34</v>
      </c>
      <c r="AIO6" s="2" t="s">
        <v>68</v>
      </c>
      <c r="AIP6" s="2" t="s">
        <v>19</v>
      </c>
      <c r="AIQ6" s="2" t="s">
        <v>68</v>
      </c>
      <c r="AIR6" s="2" t="s">
        <v>19</v>
      </c>
      <c r="AIS6" s="2" t="s">
        <v>19</v>
      </c>
      <c r="AIT6" s="2" t="s">
        <v>19</v>
      </c>
      <c r="AIU6" s="2" t="s">
        <v>34</v>
      </c>
      <c r="AIV6" s="2" t="s">
        <v>68</v>
      </c>
      <c r="AIW6" s="2" t="s">
        <v>68</v>
      </c>
      <c r="AIX6" s="2" t="s">
        <v>34</v>
      </c>
      <c r="AIY6" s="2" t="s">
        <v>39</v>
      </c>
      <c r="AIZ6" s="2" t="s">
        <v>27</v>
      </c>
      <c r="AJA6" s="2" t="s">
        <v>68</v>
      </c>
      <c r="AJB6" s="2" t="s">
        <v>27</v>
      </c>
      <c r="AJC6" s="2" t="s">
        <v>34</v>
      </c>
      <c r="AJD6" s="2" t="s">
        <v>39</v>
      </c>
      <c r="AJE6" s="2" t="s">
        <v>39</v>
      </c>
      <c r="AJF6" s="2" t="s">
        <v>39</v>
      </c>
      <c r="AJG6" s="2" t="s">
        <v>34</v>
      </c>
      <c r="AJH6" s="2" t="s">
        <v>19</v>
      </c>
      <c r="AJI6" s="2" t="s">
        <v>19</v>
      </c>
      <c r="AJJ6" s="2" t="s">
        <v>27</v>
      </c>
      <c r="AJK6" s="2" t="s">
        <v>19</v>
      </c>
      <c r="AJL6" s="2" t="s">
        <v>19</v>
      </c>
      <c r="AJM6" s="2" t="s">
        <v>39</v>
      </c>
      <c r="AJN6" s="2" t="s">
        <v>39</v>
      </c>
      <c r="AJO6" s="2" t="s">
        <v>27</v>
      </c>
      <c r="AJP6" s="2" t="s">
        <v>68</v>
      </c>
      <c r="AJQ6" s="2" t="s">
        <v>27</v>
      </c>
      <c r="AJR6" s="2" t="s">
        <v>27</v>
      </c>
      <c r="AJS6" s="2" t="s">
        <v>34</v>
      </c>
      <c r="AJT6" s="2" t="s">
        <v>34</v>
      </c>
      <c r="AJU6" s="2" t="s">
        <v>27</v>
      </c>
      <c r="AJV6" s="2" t="s">
        <v>27</v>
      </c>
      <c r="AJW6" s="2" t="s">
        <v>27</v>
      </c>
      <c r="AJX6" s="2" t="s">
        <v>19</v>
      </c>
      <c r="AJY6" s="2" t="s">
        <v>34</v>
      </c>
      <c r="AJZ6" s="2" t="s">
        <v>27</v>
      </c>
      <c r="AKA6" s="2" t="s">
        <v>39</v>
      </c>
      <c r="AKB6" s="2" t="s">
        <v>39</v>
      </c>
      <c r="AKC6" s="2" t="s">
        <v>19</v>
      </c>
      <c r="AKD6" s="2" t="s">
        <v>19</v>
      </c>
      <c r="AKE6" s="2" t="s">
        <v>68</v>
      </c>
      <c r="AKF6" s="2" t="s">
        <v>68</v>
      </c>
      <c r="AKG6" s="2" t="s">
        <v>68</v>
      </c>
      <c r="AKH6" s="2" t="s">
        <v>19</v>
      </c>
      <c r="AKI6" s="2" t="s">
        <v>19</v>
      </c>
      <c r="AKJ6" s="2" t="s">
        <v>19</v>
      </c>
      <c r="AKK6" s="2" t="s">
        <v>39</v>
      </c>
      <c r="AKL6" s="2" t="s">
        <v>19</v>
      </c>
      <c r="AKM6" s="2" t="s">
        <v>39</v>
      </c>
      <c r="AKN6" s="2" t="s">
        <v>68</v>
      </c>
      <c r="AKO6" s="2" t="s">
        <v>68</v>
      </c>
      <c r="AKP6" s="2" t="s">
        <v>68</v>
      </c>
      <c r="AKQ6" s="2" t="s">
        <v>27</v>
      </c>
      <c r="AKR6" s="2" t="s">
        <v>27</v>
      </c>
      <c r="AKS6" s="2" t="s">
        <v>34</v>
      </c>
      <c r="AKT6" s="2" t="s">
        <v>34</v>
      </c>
      <c r="AKU6" s="2" t="s">
        <v>34</v>
      </c>
      <c r="AKV6" s="2" t="s">
        <v>27</v>
      </c>
      <c r="AKW6" s="2" t="s">
        <v>27</v>
      </c>
      <c r="AKX6" s="2" t="s">
        <v>34</v>
      </c>
      <c r="AKY6" s="2" t="s">
        <v>34</v>
      </c>
      <c r="AKZ6" s="2" t="s">
        <v>19</v>
      </c>
      <c r="ALA6" s="2" t="s">
        <v>34</v>
      </c>
      <c r="ALB6" s="2" t="s">
        <v>19</v>
      </c>
      <c r="ALC6" s="2" t="s">
        <v>39</v>
      </c>
      <c r="ALD6" s="2" t="s">
        <v>27</v>
      </c>
      <c r="ALE6" s="2" t="s">
        <v>34</v>
      </c>
      <c r="ALF6" s="2" t="s">
        <v>27</v>
      </c>
      <c r="ALG6" s="2" t="s">
        <v>27</v>
      </c>
      <c r="ALH6" s="2" t="s">
        <v>27</v>
      </c>
      <c r="ALI6" s="2" t="s">
        <v>39</v>
      </c>
      <c r="ALJ6" s="2" t="s">
        <v>68</v>
      </c>
      <c r="ALK6" s="2" t="s">
        <v>34</v>
      </c>
      <c r="ALL6" s="2" t="s">
        <v>68</v>
      </c>
      <c r="ALM6" s="2" t="s">
        <v>68</v>
      </c>
    </row>
    <row r="7" spans="1:1001" ht="21" x14ac:dyDescent="0.3">
      <c r="A7" s="3" t="s">
        <v>6</v>
      </c>
      <c r="B7" s="2" t="s">
        <v>20</v>
      </c>
      <c r="C7" s="2" t="s">
        <v>28</v>
      </c>
      <c r="D7" s="2" t="s">
        <v>35</v>
      </c>
      <c r="E7" s="2" t="s">
        <v>28</v>
      </c>
      <c r="F7" s="2" t="s">
        <v>28</v>
      </c>
      <c r="G7" s="2" t="s">
        <v>20</v>
      </c>
      <c r="H7" s="2" t="s">
        <v>28</v>
      </c>
      <c r="I7" s="2" t="s">
        <v>20</v>
      </c>
      <c r="J7" s="2" t="s">
        <v>35</v>
      </c>
      <c r="K7" s="2" t="s">
        <v>55</v>
      </c>
      <c r="L7" s="2" t="s">
        <v>20</v>
      </c>
      <c r="M7" s="2" t="s">
        <v>35</v>
      </c>
      <c r="N7" s="2" t="s">
        <v>55</v>
      </c>
      <c r="O7" s="2" t="s">
        <v>64</v>
      </c>
      <c r="P7" s="2" t="s">
        <v>20</v>
      </c>
      <c r="Q7" s="2" t="s">
        <v>20</v>
      </c>
      <c r="R7" s="2" t="s">
        <v>64</v>
      </c>
      <c r="S7" s="2" t="s">
        <v>64</v>
      </c>
      <c r="T7" s="2" t="s">
        <v>20</v>
      </c>
      <c r="U7" s="2" t="s">
        <v>64</v>
      </c>
      <c r="V7" s="2" t="s">
        <v>28</v>
      </c>
      <c r="W7" s="2" t="s">
        <v>55</v>
      </c>
      <c r="X7" s="2" t="s">
        <v>55</v>
      </c>
      <c r="Y7" s="2" t="s">
        <v>55</v>
      </c>
      <c r="Z7" s="2" t="s">
        <v>28</v>
      </c>
      <c r="AA7" s="2" t="s">
        <v>64</v>
      </c>
      <c r="AB7" s="2" t="s">
        <v>35</v>
      </c>
      <c r="AC7" s="2" t="s">
        <v>64</v>
      </c>
      <c r="AD7" s="2" t="s">
        <v>20</v>
      </c>
      <c r="AE7" s="2" t="s">
        <v>55</v>
      </c>
      <c r="AF7" s="2" t="s">
        <v>64</v>
      </c>
      <c r="AG7" s="2" t="s">
        <v>35</v>
      </c>
      <c r="AH7" s="2" t="s">
        <v>20</v>
      </c>
      <c r="AI7" s="2" t="s">
        <v>28</v>
      </c>
      <c r="AJ7" s="2" t="s">
        <v>28</v>
      </c>
      <c r="AK7" s="2" t="s">
        <v>35</v>
      </c>
      <c r="AL7" s="2" t="s">
        <v>20</v>
      </c>
      <c r="AM7" s="2" t="s">
        <v>55</v>
      </c>
      <c r="AN7" s="2" t="s">
        <v>64</v>
      </c>
      <c r="AO7" s="2" t="s">
        <v>20</v>
      </c>
      <c r="AP7" s="2" t="s">
        <v>28</v>
      </c>
      <c r="AQ7" s="2" t="s">
        <v>35</v>
      </c>
      <c r="AR7" s="2" t="s">
        <v>35</v>
      </c>
      <c r="AS7" s="2" t="s">
        <v>64</v>
      </c>
      <c r="AT7" s="2" t="s">
        <v>35</v>
      </c>
      <c r="AU7" s="2" t="s">
        <v>35</v>
      </c>
      <c r="AV7" s="2" t="s">
        <v>20</v>
      </c>
      <c r="AW7" s="2" t="s">
        <v>55</v>
      </c>
      <c r="AX7" s="2" t="s">
        <v>64</v>
      </c>
      <c r="AY7" s="2" t="s">
        <v>20</v>
      </c>
      <c r="AZ7" s="2" t="s">
        <v>55</v>
      </c>
      <c r="BA7" s="2" t="s">
        <v>20</v>
      </c>
      <c r="BB7" s="2" t="s">
        <v>20</v>
      </c>
      <c r="BC7" s="2" t="s">
        <v>35</v>
      </c>
      <c r="BD7" s="2" t="s">
        <v>55</v>
      </c>
      <c r="BE7" s="2" t="s">
        <v>64</v>
      </c>
      <c r="BF7" s="2" t="s">
        <v>64</v>
      </c>
      <c r="BG7" s="2" t="s">
        <v>55</v>
      </c>
      <c r="BH7" s="2" t="s">
        <v>35</v>
      </c>
      <c r="BI7" s="2" t="s">
        <v>28</v>
      </c>
      <c r="BJ7" s="2" t="s">
        <v>20</v>
      </c>
      <c r="BK7" s="2" t="s">
        <v>35</v>
      </c>
      <c r="BL7" s="2" t="s">
        <v>55</v>
      </c>
      <c r="BM7" s="2" t="s">
        <v>20</v>
      </c>
      <c r="BN7" s="2" t="s">
        <v>64</v>
      </c>
      <c r="BO7" s="2" t="s">
        <v>28</v>
      </c>
      <c r="BP7" s="2" t="s">
        <v>64</v>
      </c>
      <c r="BQ7" s="2" t="s">
        <v>55</v>
      </c>
      <c r="BR7" s="2" t="s">
        <v>20</v>
      </c>
      <c r="BS7" s="2" t="s">
        <v>55</v>
      </c>
      <c r="BT7" s="2" t="s">
        <v>20</v>
      </c>
      <c r="BU7" s="2" t="s">
        <v>35</v>
      </c>
      <c r="BV7" s="2" t="s">
        <v>28</v>
      </c>
      <c r="BW7" s="2" t="s">
        <v>35</v>
      </c>
      <c r="BX7" s="2" t="s">
        <v>35</v>
      </c>
      <c r="BY7" s="2" t="s">
        <v>55</v>
      </c>
      <c r="BZ7" s="2" t="s">
        <v>28</v>
      </c>
      <c r="CA7" s="2" t="s">
        <v>20</v>
      </c>
      <c r="CB7" s="2" t="s">
        <v>20</v>
      </c>
      <c r="CC7" s="2" t="s">
        <v>64</v>
      </c>
      <c r="CD7" s="2" t="s">
        <v>20</v>
      </c>
      <c r="CE7" s="2" t="s">
        <v>55</v>
      </c>
      <c r="CF7" s="2" t="s">
        <v>35</v>
      </c>
      <c r="CG7" s="2" t="s">
        <v>35</v>
      </c>
      <c r="CH7" s="2" t="s">
        <v>35</v>
      </c>
      <c r="CI7" s="2" t="s">
        <v>28</v>
      </c>
      <c r="CJ7" s="2" t="s">
        <v>20</v>
      </c>
      <c r="CK7" s="2" t="s">
        <v>55</v>
      </c>
      <c r="CL7" s="2" t="s">
        <v>28</v>
      </c>
      <c r="CM7" s="2" t="s">
        <v>64</v>
      </c>
      <c r="CN7" s="2" t="s">
        <v>55</v>
      </c>
      <c r="CO7" s="2" t="s">
        <v>55</v>
      </c>
      <c r="CP7" s="2" t="s">
        <v>55</v>
      </c>
      <c r="CQ7" s="2" t="s">
        <v>35</v>
      </c>
      <c r="CR7" s="2" t="s">
        <v>55</v>
      </c>
      <c r="CS7" s="2" t="s">
        <v>20</v>
      </c>
      <c r="CT7" s="2" t="s">
        <v>55</v>
      </c>
      <c r="CU7" s="2" t="s">
        <v>35</v>
      </c>
      <c r="CV7" s="2" t="s">
        <v>55</v>
      </c>
      <c r="CW7" s="2" t="s">
        <v>64</v>
      </c>
      <c r="CX7" s="2" t="s">
        <v>64</v>
      </c>
      <c r="CY7" s="2" t="s">
        <v>35</v>
      </c>
      <c r="CZ7" s="2" t="s">
        <v>20</v>
      </c>
      <c r="DA7" s="2" t="s">
        <v>20</v>
      </c>
      <c r="DB7" s="2" t="s">
        <v>28</v>
      </c>
      <c r="DC7" s="2" t="s">
        <v>35</v>
      </c>
      <c r="DD7" s="2" t="s">
        <v>55</v>
      </c>
      <c r="DE7" s="2" t="s">
        <v>35</v>
      </c>
      <c r="DF7" s="2" t="s">
        <v>28</v>
      </c>
      <c r="DG7" s="2" t="s">
        <v>35</v>
      </c>
      <c r="DH7" s="2" t="s">
        <v>35</v>
      </c>
      <c r="DI7" s="2" t="s">
        <v>28</v>
      </c>
      <c r="DJ7" s="2" t="s">
        <v>20</v>
      </c>
      <c r="DK7" s="2" t="s">
        <v>55</v>
      </c>
      <c r="DL7" s="2" t="s">
        <v>28</v>
      </c>
      <c r="DM7" s="2" t="s">
        <v>64</v>
      </c>
      <c r="DN7" s="2" t="s">
        <v>20</v>
      </c>
      <c r="DO7" s="2" t="s">
        <v>64</v>
      </c>
      <c r="DP7" s="2" t="s">
        <v>20</v>
      </c>
      <c r="DQ7" s="2" t="s">
        <v>55</v>
      </c>
      <c r="DR7" s="2" t="s">
        <v>55</v>
      </c>
      <c r="DS7" s="2" t="s">
        <v>35</v>
      </c>
      <c r="DT7" s="2" t="s">
        <v>64</v>
      </c>
      <c r="DU7" s="2" t="s">
        <v>20</v>
      </c>
      <c r="DV7" s="2" t="s">
        <v>55</v>
      </c>
      <c r="DW7" s="2" t="s">
        <v>28</v>
      </c>
      <c r="DX7" s="2" t="s">
        <v>55</v>
      </c>
      <c r="DY7" s="2" t="s">
        <v>28</v>
      </c>
      <c r="DZ7" s="2" t="s">
        <v>20</v>
      </c>
      <c r="EA7" s="2" t="s">
        <v>55</v>
      </c>
      <c r="EB7" s="2" t="s">
        <v>55</v>
      </c>
      <c r="EC7" s="2" t="s">
        <v>20</v>
      </c>
      <c r="ED7" s="2" t="s">
        <v>55</v>
      </c>
      <c r="EE7" s="2" t="s">
        <v>28</v>
      </c>
      <c r="EF7" s="2" t="s">
        <v>55</v>
      </c>
      <c r="EG7" s="2" t="s">
        <v>64</v>
      </c>
      <c r="EH7" s="2" t="s">
        <v>35</v>
      </c>
      <c r="EI7" s="2" t="s">
        <v>28</v>
      </c>
      <c r="EJ7" s="2" t="s">
        <v>64</v>
      </c>
      <c r="EK7" s="2" t="s">
        <v>20</v>
      </c>
      <c r="EL7" s="2" t="s">
        <v>28</v>
      </c>
      <c r="EM7" s="2" t="s">
        <v>35</v>
      </c>
      <c r="EN7" s="2" t="s">
        <v>35</v>
      </c>
      <c r="EO7" s="2" t="s">
        <v>20</v>
      </c>
      <c r="EP7" s="2" t="s">
        <v>20</v>
      </c>
      <c r="EQ7" s="2" t="s">
        <v>28</v>
      </c>
      <c r="ER7" s="2" t="s">
        <v>55</v>
      </c>
      <c r="ES7" s="2" t="s">
        <v>20</v>
      </c>
      <c r="ET7" s="2" t="s">
        <v>55</v>
      </c>
      <c r="EU7" s="2" t="s">
        <v>64</v>
      </c>
      <c r="EV7" s="2" t="s">
        <v>35</v>
      </c>
      <c r="EW7" s="2" t="s">
        <v>55</v>
      </c>
      <c r="EX7" s="2" t="s">
        <v>35</v>
      </c>
      <c r="EY7" s="2" t="s">
        <v>55</v>
      </c>
      <c r="EZ7" s="2" t="s">
        <v>64</v>
      </c>
      <c r="FA7" s="2" t="s">
        <v>20</v>
      </c>
      <c r="FB7" s="2" t="s">
        <v>64</v>
      </c>
      <c r="FC7" s="2" t="s">
        <v>20</v>
      </c>
      <c r="FD7" s="2" t="s">
        <v>20</v>
      </c>
      <c r="FE7" s="2" t="s">
        <v>35</v>
      </c>
      <c r="FF7" s="2" t="s">
        <v>64</v>
      </c>
      <c r="FG7" s="2" t="s">
        <v>55</v>
      </c>
      <c r="FH7" s="2" t="s">
        <v>64</v>
      </c>
      <c r="FI7" s="2" t="s">
        <v>35</v>
      </c>
      <c r="FJ7" s="2" t="s">
        <v>20</v>
      </c>
      <c r="FK7" s="2" t="s">
        <v>35</v>
      </c>
      <c r="FL7" s="2" t="s">
        <v>28</v>
      </c>
      <c r="FM7" s="2" t="s">
        <v>28</v>
      </c>
      <c r="FN7" s="2" t="s">
        <v>55</v>
      </c>
      <c r="FO7" s="2" t="s">
        <v>35</v>
      </c>
      <c r="FP7" s="2" t="s">
        <v>55</v>
      </c>
      <c r="FQ7" s="2" t="s">
        <v>55</v>
      </c>
      <c r="FR7" s="2" t="s">
        <v>28</v>
      </c>
      <c r="FS7" s="2" t="s">
        <v>55</v>
      </c>
      <c r="FT7" s="2" t="s">
        <v>28</v>
      </c>
      <c r="FU7" s="2" t="s">
        <v>20</v>
      </c>
      <c r="FV7" s="2" t="s">
        <v>35</v>
      </c>
      <c r="FW7" s="2" t="s">
        <v>55</v>
      </c>
      <c r="FX7" s="2" t="s">
        <v>28</v>
      </c>
      <c r="FY7" s="2" t="s">
        <v>64</v>
      </c>
      <c r="FZ7" s="2" t="s">
        <v>55</v>
      </c>
      <c r="GA7" s="2" t="s">
        <v>20</v>
      </c>
      <c r="GB7" s="2" t="s">
        <v>20</v>
      </c>
      <c r="GC7" s="2" t="s">
        <v>64</v>
      </c>
      <c r="GD7" s="2" t="s">
        <v>28</v>
      </c>
      <c r="GE7" s="2" t="s">
        <v>55</v>
      </c>
      <c r="GF7" s="2" t="s">
        <v>28</v>
      </c>
      <c r="GG7" s="2" t="s">
        <v>20</v>
      </c>
      <c r="GH7" s="2" t="s">
        <v>28</v>
      </c>
      <c r="GI7" s="2" t="s">
        <v>20</v>
      </c>
      <c r="GJ7" s="2" t="s">
        <v>28</v>
      </c>
      <c r="GK7" s="2" t="s">
        <v>64</v>
      </c>
      <c r="GL7" s="2" t="s">
        <v>35</v>
      </c>
      <c r="GM7" s="2" t="s">
        <v>64</v>
      </c>
      <c r="GN7" s="2" t="s">
        <v>64</v>
      </c>
      <c r="GO7" s="2" t="s">
        <v>35</v>
      </c>
      <c r="GP7" s="2" t="s">
        <v>35</v>
      </c>
      <c r="GQ7" s="2" t="s">
        <v>55</v>
      </c>
      <c r="GR7" s="2" t="s">
        <v>55</v>
      </c>
      <c r="GS7" s="2" t="s">
        <v>64</v>
      </c>
      <c r="GT7" s="2" t="s">
        <v>64</v>
      </c>
      <c r="GU7" s="2" t="s">
        <v>20</v>
      </c>
      <c r="GV7" s="2" t="s">
        <v>20</v>
      </c>
      <c r="GW7" s="2" t="s">
        <v>55</v>
      </c>
      <c r="GX7" s="2" t="s">
        <v>55</v>
      </c>
      <c r="GY7" s="2" t="s">
        <v>20</v>
      </c>
      <c r="GZ7" s="2" t="s">
        <v>20</v>
      </c>
      <c r="HA7" s="2" t="s">
        <v>28</v>
      </c>
      <c r="HB7" s="2" t="s">
        <v>28</v>
      </c>
      <c r="HC7" s="2" t="s">
        <v>20</v>
      </c>
      <c r="HD7" s="2" t="s">
        <v>28</v>
      </c>
      <c r="HE7" s="2" t="s">
        <v>35</v>
      </c>
      <c r="HF7" s="2" t="s">
        <v>55</v>
      </c>
      <c r="HG7" s="2" t="s">
        <v>55</v>
      </c>
      <c r="HH7" s="2" t="s">
        <v>20</v>
      </c>
      <c r="HI7" s="2" t="s">
        <v>64</v>
      </c>
      <c r="HJ7" s="2" t="s">
        <v>20</v>
      </c>
      <c r="HK7" s="2" t="s">
        <v>28</v>
      </c>
      <c r="HL7" s="2" t="s">
        <v>64</v>
      </c>
      <c r="HM7" s="2" t="s">
        <v>28</v>
      </c>
      <c r="HN7" s="2" t="s">
        <v>35</v>
      </c>
      <c r="HO7" s="2" t="s">
        <v>28</v>
      </c>
      <c r="HP7" s="2" t="s">
        <v>35</v>
      </c>
      <c r="HQ7" s="2" t="s">
        <v>35</v>
      </c>
      <c r="HR7" s="2" t="s">
        <v>28</v>
      </c>
      <c r="HS7" s="2" t="s">
        <v>28</v>
      </c>
      <c r="HT7" s="2" t="s">
        <v>35</v>
      </c>
      <c r="HU7" s="2" t="s">
        <v>64</v>
      </c>
      <c r="HV7" s="2" t="s">
        <v>35</v>
      </c>
      <c r="HW7" s="2" t="s">
        <v>55</v>
      </c>
      <c r="HX7" s="2" t="s">
        <v>35</v>
      </c>
      <c r="HY7" s="2" t="s">
        <v>64</v>
      </c>
      <c r="HZ7" s="2" t="s">
        <v>55</v>
      </c>
      <c r="IA7" s="2" t="s">
        <v>20</v>
      </c>
      <c r="IB7" s="2" t="s">
        <v>20</v>
      </c>
      <c r="IC7" s="2" t="s">
        <v>64</v>
      </c>
      <c r="ID7" s="2" t="s">
        <v>35</v>
      </c>
      <c r="IE7" s="2" t="s">
        <v>28</v>
      </c>
      <c r="IF7" s="2" t="s">
        <v>64</v>
      </c>
      <c r="IG7" s="2" t="s">
        <v>55</v>
      </c>
      <c r="IH7" s="2" t="s">
        <v>55</v>
      </c>
      <c r="II7" s="2" t="s">
        <v>20</v>
      </c>
      <c r="IJ7" s="2" t="s">
        <v>55</v>
      </c>
      <c r="IK7" s="2" t="s">
        <v>64</v>
      </c>
      <c r="IL7" s="2" t="s">
        <v>55</v>
      </c>
      <c r="IM7" s="2" t="s">
        <v>64</v>
      </c>
      <c r="IN7" s="2" t="s">
        <v>28</v>
      </c>
      <c r="IO7" s="2" t="s">
        <v>20</v>
      </c>
      <c r="IP7" s="2" t="s">
        <v>55</v>
      </c>
      <c r="IQ7" s="2" t="s">
        <v>64</v>
      </c>
      <c r="IR7" s="2" t="s">
        <v>35</v>
      </c>
      <c r="IS7" s="2" t="s">
        <v>20</v>
      </c>
      <c r="IT7" s="2" t="s">
        <v>28</v>
      </c>
      <c r="IU7" s="2" t="s">
        <v>64</v>
      </c>
      <c r="IV7" s="2" t="s">
        <v>28</v>
      </c>
      <c r="IW7" s="2" t="s">
        <v>28</v>
      </c>
      <c r="IX7" s="2" t="s">
        <v>55</v>
      </c>
      <c r="IY7" s="2" t="s">
        <v>55</v>
      </c>
      <c r="IZ7" s="2" t="s">
        <v>64</v>
      </c>
      <c r="JA7" s="2" t="s">
        <v>35</v>
      </c>
      <c r="JB7" s="2" t="s">
        <v>64</v>
      </c>
      <c r="JC7" s="2" t="s">
        <v>35</v>
      </c>
      <c r="JD7" s="2" t="s">
        <v>28</v>
      </c>
      <c r="JE7" s="2" t="s">
        <v>20</v>
      </c>
      <c r="JF7" s="2" t="s">
        <v>64</v>
      </c>
      <c r="JG7" s="2" t="s">
        <v>64</v>
      </c>
      <c r="JH7" s="2" t="s">
        <v>35</v>
      </c>
      <c r="JI7" s="2" t="s">
        <v>28</v>
      </c>
      <c r="JJ7" s="2" t="s">
        <v>28</v>
      </c>
      <c r="JK7" s="2" t="s">
        <v>35</v>
      </c>
      <c r="JL7" s="2" t="s">
        <v>28</v>
      </c>
      <c r="JM7" s="2" t="s">
        <v>55</v>
      </c>
      <c r="JN7" s="2" t="s">
        <v>20</v>
      </c>
      <c r="JO7" s="2" t="s">
        <v>64</v>
      </c>
      <c r="JP7" s="2" t="s">
        <v>20</v>
      </c>
      <c r="JQ7" s="2" t="s">
        <v>64</v>
      </c>
      <c r="JR7" s="2" t="s">
        <v>55</v>
      </c>
      <c r="JS7" s="2" t="s">
        <v>28</v>
      </c>
      <c r="JT7" s="2" t="s">
        <v>35</v>
      </c>
      <c r="JU7" s="2" t="s">
        <v>55</v>
      </c>
      <c r="JV7" s="2" t="s">
        <v>20</v>
      </c>
      <c r="JW7" s="2" t="s">
        <v>35</v>
      </c>
      <c r="JX7" s="2" t="s">
        <v>28</v>
      </c>
      <c r="JY7" s="2" t="s">
        <v>55</v>
      </c>
      <c r="JZ7" s="2" t="s">
        <v>35</v>
      </c>
      <c r="KA7" s="2" t="s">
        <v>55</v>
      </c>
      <c r="KB7" s="2" t="s">
        <v>55</v>
      </c>
      <c r="KC7" s="2" t="s">
        <v>28</v>
      </c>
      <c r="KD7" s="2" t="s">
        <v>64</v>
      </c>
      <c r="KE7" s="2" t="s">
        <v>35</v>
      </c>
      <c r="KF7" s="2" t="s">
        <v>28</v>
      </c>
      <c r="KG7" s="2" t="s">
        <v>55</v>
      </c>
      <c r="KH7" s="2" t="s">
        <v>28</v>
      </c>
      <c r="KI7" s="2" t="s">
        <v>64</v>
      </c>
      <c r="KJ7" s="2" t="s">
        <v>35</v>
      </c>
      <c r="KK7" s="2" t="s">
        <v>64</v>
      </c>
      <c r="KL7" s="2" t="s">
        <v>20</v>
      </c>
      <c r="KM7" s="2" t="s">
        <v>35</v>
      </c>
      <c r="KN7" s="2" t="s">
        <v>64</v>
      </c>
      <c r="KO7" s="2" t="s">
        <v>55</v>
      </c>
      <c r="KP7" s="2" t="s">
        <v>35</v>
      </c>
      <c r="KQ7" s="2" t="s">
        <v>35</v>
      </c>
      <c r="KR7" s="2" t="s">
        <v>28</v>
      </c>
      <c r="KS7" s="2" t="s">
        <v>55</v>
      </c>
      <c r="KT7" s="2" t="s">
        <v>20</v>
      </c>
      <c r="KU7" s="2" t="s">
        <v>64</v>
      </c>
      <c r="KV7" s="2" t="s">
        <v>28</v>
      </c>
      <c r="KW7" s="2" t="s">
        <v>64</v>
      </c>
      <c r="KX7" s="2" t="s">
        <v>20</v>
      </c>
      <c r="KY7" s="2" t="s">
        <v>20</v>
      </c>
      <c r="KZ7" s="2" t="s">
        <v>35</v>
      </c>
      <c r="LA7" s="2" t="s">
        <v>20</v>
      </c>
      <c r="LB7" s="2" t="s">
        <v>64</v>
      </c>
      <c r="LC7" s="2" t="s">
        <v>55</v>
      </c>
      <c r="LD7" s="2" t="s">
        <v>55</v>
      </c>
      <c r="LE7" s="2" t="s">
        <v>35</v>
      </c>
      <c r="LF7" s="2" t="s">
        <v>64</v>
      </c>
      <c r="LG7" s="2" t="s">
        <v>64</v>
      </c>
      <c r="LH7" s="2" t="s">
        <v>20</v>
      </c>
      <c r="LI7" s="2" t="s">
        <v>64</v>
      </c>
      <c r="LJ7" s="2" t="s">
        <v>28</v>
      </c>
      <c r="LK7" s="2" t="s">
        <v>20</v>
      </c>
      <c r="LL7" s="2" t="s">
        <v>28</v>
      </c>
      <c r="LM7" s="2" t="s">
        <v>35</v>
      </c>
      <c r="LN7" s="2" t="s">
        <v>55</v>
      </c>
      <c r="LO7" s="2" t="s">
        <v>35</v>
      </c>
      <c r="LP7" s="2" t="s">
        <v>55</v>
      </c>
      <c r="LQ7" s="2" t="s">
        <v>35</v>
      </c>
      <c r="LR7" s="2" t="s">
        <v>64</v>
      </c>
      <c r="LS7" s="2" t="s">
        <v>28</v>
      </c>
      <c r="LT7" s="2" t="s">
        <v>55</v>
      </c>
      <c r="LU7" s="2" t="s">
        <v>20</v>
      </c>
      <c r="LV7" s="2" t="s">
        <v>28</v>
      </c>
      <c r="LW7" s="2" t="s">
        <v>20</v>
      </c>
      <c r="LX7" s="2" t="s">
        <v>28</v>
      </c>
      <c r="LY7" s="2" t="s">
        <v>28</v>
      </c>
      <c r="LZ7" s="2" t="s">
        <v>35</v>
      </c>
      <c r="MA7" s="2" t="s">
        <v>55</v>
      </c>
      <c r="MB7" s="2" t="s">
        <v>55</v>
      </c>
      <c r="MC7" s="2" t="s">
        <v>28</v>
      </c>
      <c r="MD7" s="2" t="s">
        <v>64</v>
      </c>
      <c r="ME7" s="2" t="s">
        <v>64</v>
      </c>
      <c r="MF7" s="2" t="s">
        <v>20</v>
      </c>
      <c r="MG7" s="2" t="s">
        <v>20</v>
      </c>
      <c r="MH7" s="2" t="s">
        <v>35</v>
      </c>
      <c r="MI7" s="2" t="s">
        <v>28</v>
      </c>
      <c r="MJ7" s="2" t="s">
        <v>20</v>
      </c>
      <c r="MK7" s="2" t="s">
        <v>20</v>
      </c>
      <c r="ML7" s="2" t="s">
        <v>28</v>
      </c>
      <c r="MM7" s="2" t="s">
        <v>35</v>
      </c>
      <c r="MN7" s="2" t="s">
        <v>20</v>
      </c>
      <c r="MO7" s="2" t="s">
        <v>35</v>
      </c>
      <c r="MP7" s="2" t="s">
        <v>55</v>
      </c>
      <c r="MQ7" s="2" t="s">
        <v>35</v>
      </c>
      <c r="MR7" s="2" t="s">
        <v>64</v>
      </c>
      <c r="MS7" s="2" t="s">
        <v>64</v>
      </c>
      <c r="MT7" s="2" t="s">
        <v>35</v>
      </c>
      <c r="MU7" s="2" t="s">
        <v>64</v>
      </c>
      <c r="MV7" s="2" t="s">
        <v>55</v>
      </c>
      <c r="MW7" s="2" t="s">
        <v>28</v>
      </c>
      <c r="MX7" s="2" t="s">
        <v>64</v>
      </c>
      <c r="MY7" s="2" t="s">
        <v>64</v>
      </c>
      <c r="MZ7" s="2" t="s">
        <v>35</v>
      </c>
      <c r="NA7" s="2" t="s">
        <v>55</v>
      </c>
      <c r="NB7" s="2" t="s">
        <v>28</v>
      </c>
      <c r="NC7" s="2" t="s">
        <v>35</v>
      </c>
      <c r="ND7" s="2" t="s">
        <v>35</v>
      </c>
      <c r="NE7" s="2" t="s">
        <v>55</v>
      </c>
      <c r="NF7" s="2" t="s">
        <v>28</v>
      </c>
      <c r="NG7" s="2" t="s">
        <v>55</v>
      </c>
      <c r="NH7" s="2" t="s">
        <v>28</v>
      </c>
      <c r="NI7" s="2" t="s">
        <v>55</v>
      </c>
      <c r="NJ7" s="2" t="s">
        <v>35</v>
      </c>
      <c r="NK7" s="2" t="s">
        <v>35</v>
      </c>
      <c r="NL7" s="2" t="s">
        <v>20</v>
      </c>
      <c r="NM7" s="2" t="s">
        <v>64</v>
      </c>
      <c r="NN7" s="2" t="s">
        <v>55</v>
      </c>
      <c r="NO7" s="2" t="s">
        <v>20</v>
      </c>
      <c r="NP7" s="2" t="s">
        <v>64</v>
      </c>
      <c r="NQ7" s="2" t="s">
        <v>55</v>
      </c>
      <c r="NR7" s="2" t="s">
        <v>28</v>
      </c>
      <c r="NS7" s="2" t="s">
        <v>64</v>
      </c>
      <c r="NT7" s="2" t="s">
        <v>35</v>
      </c>
      <c r="NU7" s="2" t="s">
        <v>20</v>
      </c>
      <c r="NV7" s="2" t="s">
        <v>64</v>
      </c>
      <c r="NW7" s="2" t="s">
        <v>64</v>
      </c>
      <c r="NX7" s="2" t="s">
        <v>35</v>
      </c>
      <c r="NY7" s="2" t="s">
        <v>55</v>
      </c>
      <c r="NZ7" s="2" t="s">
        <v>28</v>
      </c>
      <c r="OA7" s="2" t="s">
        <v>35</v>
      </c>
      <c r="OB7" s="2" t="s">
        <v>28</v>
      </c>
      <c r="OC7" s="2" t="s">
        <v>55</v>
      </c>
      <c r="OD7" s="2" t="s">
        <v>64</v>
      </c>
      <c r="OE7" s="2" t="s">
        <v>28</v>
      </c>
      <c r="OF7" s="2" t="s">
        <v>20</v>
      </c>
      <c r="OG7" s="2" t="s">
        <v>20</v>
      </c>
      <c r="OH7" s="2" t="s">
        <v>35</v>
      </c>
      <c r="OI7" s="2" t="s">
        <v>55</v>
      </c>
      <c r="OJ7" s="2" t="s">
        <v>35</v>
      </c>
      <c r="OK7" s="2" t="s">
        <v>35</v>
      </c>
      <c r="OL7" s="2" t="s">
        <v>35</v>
      </c>
      <c r="OM7" s="2" t="s">
        <v>20</v>
      </c>
      <c r="ON7" s="2" t="s">
        <v>20</v>
      </c>
      <c r="OO7" s="2" t="s">
        <v>35</v>
      </c>
      <c r="OP7" s="2" t="s">
        <v>20</v>
      </c>
      <c r="OQ7" s="2" t="s">
        <v>55</v>
      </c>
      <c r="OR7" s="2" t="s">
        <v>35</v>
      </c>
      <c r="OS7" s="2" t="s">
        <v>20</v>
      </c>
      <c r="OT7" s="2" t="s">
        <v>28</v>
      </c>
      <c r="OU7" s="2" t="s">
        <v>35</v>
      </c>
      <c r="OV7" s="2" t="s">
        <v>35</v>
      </c>
      <c r="OW7" s="2" t="s">
        <v>55</v>
      </c>
      <c r="OX7" s="2" t="s">
        <v>64</v>
      </c>
      <c r="OY7" s="2" t="s">
        <v>64</v>
      </c>
      <c r="OZ7" s="2" t="s">
        <v>55</v>
      </c>
      <c r="PA7" s="2" t="s">
        <v>55</v>
      </c>
      <c r="PB7" s="2" t="s">
        <v>55</v>
      </c>
      <c r="PC7" s="2" t="s">
        <v>64</v>
      </c>
      <c r="PD7" s="2" t="s">
        <v>55</v>
      </c>
      <c r="PE7" s="2" t="s">
        <v>20</v>
      </c>
      <c r="PF7" s="2" t="s">
        <v>35</v>
      </c>
      <c r="PG7" s="2" t="s">
        <v>35</v>
      </c>
      <c r="PH7" s="2" t="s">
        <v>28</v>
      </c>
      <c r="PI7" s="2" t="s">
        <v>28</v>
      </c>
      <c r="PJ7" s="2" t="s">
        <v>35</v>
      </c>
      <c r="PK7" s="2" t="s">
        <v>20</v>
      </c>
      <c r="PL7" s="2" t="s">
        <v>64</v>
      </c>
      <c r="PM7" s="2" t="s">
        <v>64</v>
      </c>
      <c r="PN7" s="2" t="s">
        <v>20</v>
      </c>
      <c r="PO7" s="2" t="s">
        <v>64</v>
      </c>
      <c r="PP7" s="2" t="s">
        <v>55</v>
      </c>
      <c r="PQ7" s="2" t="s">
        <v>35</v>
      </c>
      <c r="PR7" s="2" t="s">
        <v>35</v>
      </c>
      <c r="PS7" s="2" t="s">
        <v>20</v>
      </c>
      <c r="PT7" s="2" t="s">
        <v>64</v>
      </c>
      <c r="PU7" s="2" t="s">
        <v>28</v>
      </c>
      <c r="PV7" s="2" t="s">
        <v>28</v>
      </c>
      <c r="PW7" s="2" t="s">
        <v>64</v>
      </c>
      <c r="PX7" s="2" t="s">
        <v>28</v>
      </c>
      <c r="PY7" s="2" t="s">
        <v>20</v>
      </c>
      <c r="PZ7" s="2" t="s">
        <v>20</v>
      </c>
      <c r="QA7" s="2" t="s">
        <v>64</v>
      </c>
      <c r="QB7" s="2" t="s">
        <v>28</v>
      </c>
      <c r="QC7" s="2" t="s">
        <v>20</v>
      </c>
      <c r="QD7" s="2" t="s">
        <v>20</v>
      </c>
      <c r="QE7" s="2" t="s">
        <v>55</v>
      </c>
      <c r="QF7" s="2" t="s">
        <v>55</v>
      </c>
      <c r="QG7" s="2" t="s">
        <v>20</v>
      </c>
      <c r="QH7" s="2" t="s">
        <v>64</v>
      </c>
      <c r="QI7" s="2" t="s">
        <v>35</v>
      </c>
      <c r="QJ7" s="2" t="s">
        <v>35</v>
      </c>
      <c r="QK7" s="2" t="s">
        <v>20</v>
      </c>
      <c r="QL7" s="2" t="s">
        <v>20</v>
      </c>
      <c r="QM7" s="2" t="s">
        <v>20</v>
      </c>
      <c r="QN7" s="2" t="s">
        <v>64</v>
      </c>
      <c r="QO7" s="2" t="s">
        <v>55</v>
      </c>
      <c r="QP7" s="2" t="s">
        <v>20</v>
      </c>
      <c r="QQ7" s="2" t="s">
        <v>20</v>
      </c>
      <c r="QR7" s="2" t="s">
        <v>28</v>
      </c>
      <c r="QS7" s="2" t="s">
        <v>64</v>
      </c>
      <c r="QT7" s="2" t="s">
        <v>20</v>
      </c>
      <c r="QU7" s="2" t="s">
        <v>28</v>
      </c>
      <c r="QV7" s="2" t="s">
        <v>35</v>
      </c>
      <c r="QW7" s="2" t="s">
        <v>20</v>
      </c>
      <c r="QX7" s="2" t="s">
        <v>20</v>
      </c>
      <c r="QY7" s="2" t="s">
        <v>28</v>
      </c>
      <c r="QZ7" s="2" t="s">
        <v>64</v>
      </c>
      <c r="RA7" s="2" t="s">
        <v>20</v>
      </c>
      <c r="RB7" s="2" t="s">
        <v>35</v>
      </c>
      <c r="RC7" s="2" t="s">
        <v>20</v>
      </c>
      <c r="RD7" s="2" t="s">
        <v>35</v>
      </c>
      <c r="RE7" s="2" t="s">
        <v>55</v>
      </c>
      <c r="RF7" s="2" t="s">
        <v>55</v>
      </c>
      <c r="RG7" s="2" t="s">
        <v>35</v>
      </c>
      <c r="RH7" s="2" t="s">
        <v>64</v>
      </c>
      <c r="RI7" s="2" t="s">
        <v>20</v>
      </c>
      <c r="RJ7" s="2" t="s">
        <v>20</v>
      </c>
      <c r="RK7" s="2" t="s">
        <v>55</v>
      </c>
      <c r="RL7" s="2" t="s">
        <v>35</v>
      </c>
      <c r="RM7" s="2" t="s">
        <v>20</v>
      </c>
      <c r="RN7" s="2" t="s">
        <v>20</v>
      </c>
      <c r="RO7" s="2" t="s">
        <v>64</v>
      </c>
      <c r="RP7" s="2" t="s">
        <v>28</v>
      </c>
      <c r="RQ7" s="2" t="s">
        <v>55</v>
      </c>
      <c r="RR7" s="2" t="s">
        <v>55</v>
      </c>
      <c r="RS7" s="2" t="s">
        <v>28</v>
      </c>
      <c r="RT7" s="2" t="s">
        <v>20</v>
      </c>
      <c r="RU7" s="2" t="s">
        <v>64</v>
      </c>
      <c r="RV7" s="2" t="s">
        <v>64</v>
      </c>
      <c r="RW7" s="2" t="s">
        <v>55</v>
      </c>
      <c r="RX7" s="2" t="s">
        <v>64</v>
      </c>
      <c r="RY7" s="2" t="s">
        <v>28</v>
      </c>
      <c r="RZ7" s="2" t="s">
        <v>20</v>
      </c>
      <c r="SA7" s="2" t="s">
        <v>28</v>
      </c>
      <c r="SB7" s="2" t="s">
        <v>35</v>
      </c>
      <c r="SC7" s="2" t="s">
        <v>55</v>
      </c>
      <c r="SD7" s="2" t="s">
        <v>64</v>
      </c>
      <c r="SE7" s="2" t="s">
        <v>35</v>
      </c>
      <c r="SF7" s="2" t="s">
        <v>64</v>
      </c>
      <c r="SG7" s="2" t="s">
        <v>20</v>
      </c>
      <c r="SH7" s="2" t="s">
        <v>20</v>
      </c>
      <c r="SI7" s="2" t="s">
        <v>20</v>
      </c>
      <c r="SJ7" s="2" t="s">
        <v>64</v>
      </c>
      <c r="SK7" s="2" t="s">
        <v>35</v>
      </c>
      <c r="SL7" s="2" t="s">
        <v>20</v>
      </c>
      <c r="SM7" s="2" t="s">
        <v>35</v>
      </c>
      <c r="SN7" s="2" t="s">
        <v>64</v>
      </c>
      <c r="SO7" s="2" t="s">
        <v>35</v>
      </c>
      <c r="SP7" s="2" t="s">
        <v>64</v>
      </c>
      <c r="SQ7" s="2" t="s">
        <v>64</v>
      </c>
      <c r="SR7" s="2" t="s">
        <v>55</v>
      </c>
      <c r="SS7" s="2" t="s">
        <v>64</v>
      </c>
      <c r="ST7" s="2" t="s">
        <v>64</v>
      </c>
      <c r="SU7" s="2" t="s">
        <v>28</v>
      </c>
      <c r="SV7" s="2" t="s">
        <v>20</v>
      </c>
      <c r="SW7" s="2" t="s">
        <v>55</v>
      </c>
      <c r="SX7" s="2" t="s">
        <v>55</v>
      </c>
      <c r="SY7" s="2" t="s">
        <v>55</v>
      </c>
      <c r="SZ7" s="2" t="s">
        <v>28</v>
      </c>
      <c r="TA7" s="2" t="s">
        <v>64</v>
      </c>
      <c r="TB7" s="2" t="s">
        <v>20</v>
      </c>
      <c r="TC7" s="2" t="s">
        <v>35</v>
      </c>
      <c r="TD7" s="2" t="s">
        <v>64</v>
      </c>
      <c r="TE7" s="2" t="s">
        <v>28</v>
      </c>
      <c r="TF7" s="2" t="s">
        <v>64</v>
      </c>
      <c r="TG7" s="2" t="s">
        <v>64</v>
      </c>
      <c r="TH7" s="2" t="s">
        <v>28</v>
      </c>
      <c r="TI7" s="2" t="s">
        <v>55</v>
      </c>
      <c r="TJ7" s="2" t="s">
        <v>55</v>
      </c>
      <c r="TK7" s="2" t="s">
        <v>20</v>
      </c>
      <c r="TL7" s="2" t="s">
        <v>20</v>
      </c>
      <c r="TM7" s="2" t="s">
        <v>55</v>
      </c>
      <c r="TN7" s="2" t="s">
        <v>35</v>
      </c>
      <c r="TO7" s="2" t="s">
        <v>64</v>
      </c>
      <c r="TP7" s="2" t="s">
        <v>35</v>
      </c>
      <c r="TQ7" s="2" t="s">
        <v>64</v>
      </c>
      <c r="TR7" s="2" t="s">
        <v>55</v>
      </c>
      <c r="TS7" s="2" t="s">
        <v>20</v>
      </c>
      <c r="TT7" s="2" t="s">
        <v>20</v>
      </c>
      <c r="TU7" s="2" t="s">
        <v>35</v>
      </c>
      <c r="TV7" s="2" t="s">
        <v>20</v>
      </c>
      <c r="TW7" s="2" t="s">
        <v>55</v>
      </c>
      <c r="TX7" s="2" t="s">
        <v>35</v>
      </c>
      <c r="TY7" s="2" t="s">
        <v>64</v>
      </c>
      <c r="TZ7" s="2" t="s">
        <v>20</v>
      </c>
      <c r="UA7" s="2" t="s">
        <v>28</v>
      </c>
      <c r="UB7" s="2" t="s">
        <v>20</v>
      </c>
      <c r="UC7" s="2" t="s">
        <v>64</v>
      </c>
      <c r="UD7" s="2" t="s">
        <v>35</v>
      </c>
      <c r="UE7" s="2" t="s">
        <v>64</v>
      </c>
      <c r="UF7" s="2" t="s">
        <v>28</v>
      </c>
      <c r="UG7" s="2" t="s">
        <v>55</v>
      </c>
      <c r="UH7" s="2" t="s">
        <v>20</v>
      </c>
      <c r="UI7" s="2" t="s">
        <v>35</v>
      </c>
      <c r="UJ7" s="2" t="s">
        <v>55</v>
      </c>
      <c r="UK7" s="2" t="s">
        <v>64</v>
      </c>
      <c r="UL7" s="2" t="s">
        <v>35</v>
      </c>
      <c r="UM7" s="2" t="s">
        <v>55</v>
      </c>
      <c r="UN7" s="2" t="s">
        <v>35</v>
      </c>
      <c r="UO7" s="2" t="s">
        <v>28</v>
      </c>
      <c r="UP7" s="2" t="s">
        <v>28</v>
      </c>
      <c r="UQ7" s="2" t="s">
        <v>20</v>
      </c>
      <c r="UR7" s="2" t="s">
        <v>20</v>
      </c>
      <c r="US7" s="2" t="s">
        <v>28</v>
      </c>
      <c r="UT7" s="2" t="s">
        <v>35</v>
      </c>
      <c r="UU7" s="2" t="s">
        <v>28</v>
      </c>
      <c r="UV7" s="2" t="s">
        <v>20</v>
      </c>
      <c r="UW7" s="2" t="s">
        <v>28</v>
      </c>
      <c r="UX7" s="2" t="s">
        <v>28</v>
      </c>
      <c r="UY7" s="2" t="s">
        <v>35</v>
      </c>
      <c r="UZ7" s="2" t="s">
        <v>55</v>
      </c>
      <c r="VA7" s="2" t="s">
        <v>20</v>
      </c>
      <c r="VB7" s="2" t="s">
        <v>35</v>
      </c>
      <c r="VC7" s="2" t="s">
        <v>28</v>
      </c>
      <c r="VD7" s="2" t="s">
        <v>28</v>
      </c>
      <c r="VE7" s="2" t="s">
        <v>55</v>
      </c>
      <c r="VF7" s="2" t="s">
        <v>20</v>
      </c>
      <c r="VG7" s="2" t="s">
        <v>20</v>
      </c>
      <c r="VH7" s="2" t="s">
        <v>64</v>
      </c>
      <c r="VI7" s="2" t="s">
        <v>20</v>
      </c>
      <c r="VJ7" s="2" t="s">
        <v>55</v>
      </c>
      <c r="VK7" s="2" t="s">
        <v>64</v>
      </c>
      <c r="VL7" s="2" t="s">
        <v>64</v>
      </c>
      <c r="VM7" s="2" t="s">
        <v>28</v>
      </c>
      <c r="VN7" s="2" t="s">
        <v>28</v>
      </c>
      <c r="VO7" s="2" t="s">
        <v>20</v>
      </c>
      <c r="VP7" s="2" t="s">
        <v>64</v>
      </c>
      <c r="VQ7" s="2" t="s">
        <v>28</v>
      </c>
      <c r="VR7" s="2" t="s">
        <v>55</v>
      </c>
      <c r="VS7" s="2" t="s">
        <v>28</v>
      </c>
      <c r="VT7" s="2" t="s">
        <v>28</v>
      </c>
      <c r="VU7" s="2" t="s">
        <v>64</v>
      </c>
      <c r="VV7" s="2" t="s">
        <v>64</v>
      </c>
      <c r="VW7" s="2" t="s">
        <v>35</v>
      </c>
      <c r="VX7" s="2" t="s">
        <v>55</v>
      </c>
      <c r="VY7" s="2" t="s">
        <v>64</v>
      </c>
      <c r="VZ7" s="2" t="s">
        <v>20</v>
      </c>
      <c r="WA7" s="2" t="s">
        <v>55</v>
      </c>
      <c r="WB7" s="2" t="s">
        <v>55</v>
      </c>
      <c r="WC7" s="2" t="s">
        <v>64</v>
      </c>
      <c r="WD7" s="2" t="s">
        <v>55</v>
      </c>
      <c r="WE7" s="2" t="s">
        <v>64</v>
      </c>
      <c r="WF7" s="2" t="s">
        <v>28</v>
      </c>
      <c r="WG7" s="2" t="s">
        <v>35</v>
      </c>
      <c r="WH7" s="2" t="s">
        <v>28</v>
      </c>
      <c r="WI7" s="2" t="s">
        <v>64</v>
      </c>
      <c r="WJ7" s="2" t="s">
        <v>64</v>
      </c>
      <c r="WK7" s="2" t="s">
        <v>28</v>
      </c>
      <c r="WL7" s="2" t="s">
        <v>20</v>
      </c>
      <c r="WM7" s="2" t="s">
        <v>20</v>
      </c>
      <c r="WN7" s="2" t="s">
        <v>20</v>
      </c>
      <c r="WO7" s="2" t="s">
        <v>64</v>
      </c>
      <c r="WP7" s="2" t="s">
        <v>55</v>
      </c>
      <c r="WQ7" s="2" t="s">
        <v>64</v>
      </c>
      <c r="WR7" s="2" t="s">
        <v>55</v>
      </c>
      <c r="WS7" s="2" t="s">
        <v>28</v>
      </c>
      <c r="WT7" s="2" t="s">
        <v>35</v>
      </c>
      <c r="WU7" s="2" t="s">
        <v>55</v>
      </c>
      <c r="WV7" s="2" t="s">
        <v>20</v>
      </c>
      <c r="WW7" s="2" t="s">
        <v>64</v>
      </c>
      <c r="WX7" s="2" t="s">
        <v>28</v>
      </c>
      <c r="WY7" s="2" t="s">
        <v>20</v>
      </c>
      <c r="WZ7" s="2" t="s">
        <v>28</v>
      </c>
      <c r="XA7" s="2" t="s">
        <v>35</v>
      </c>
      <c r="XB7" s="2" t="s">
        <v>64</v>
      </c>
      <c r="XC7" s="2" t="s">
        <v>64</v>
      </c>
      <c r="XD7" s="2" t="s">
        <v>35</v>
      </c>
      <c r="XE7" s="2" t="s">
        <v>64</v>
      </c>
      <c r="XF7" s="2" t="s">
        <v>55</v>
      </c>
      <c r="XG7" s="2" t="s">
        <v>28</v>
      </c>
      <c r="XH7" s="2" t="s">
        <v>20</v>
      </c>
      <c r="XI7" s="2" t="s">
        <v>35</v>
      </c>
      <c r="XJ7" s="2" t="s">
        <v>55</v>
      </c>
      <c r="XK7" s="2" t="s">
        <v>20</v>
      </c>
      <c r="XL7" s="2" t="s">
        <v>20</v>
      </c>
      <c r="XM7" s="2" t="s">
        <v>35</v>
      </c>
      <c r="XN7" s="2" t="s">
        <v>55</v>
      </c>
      <c r="XO7" s="2" t="s">
        <v>20</v>
      </c>
      <c r="XP7" s="2" t="s">
        <v>20</v>
      </c>
      <c r="XQ7" s="2" t="s">
        <v>55</v>
      </c>
      <c r="XR7" s="2" t="s">
        <v>64</v>
      </c>
      <c r="XS7" s="2" t="s">
        <v>20</v>
      </c>
      <c r="XT7" s="2" t="s">
        <v>28</v>
      </c>
      <c r="XU7" s="2" t="s">
        <v>55</v>
      </c>
      <c r="XV7" s="2" t="s">
        <v>20</v>
      </c>
      <c r="XW7" s="2" t="s">
        <v>35</v>
      </c>
      <c r="XX7" s="2" t="s">
        <v>28</v>
      </c>
      <c r="XY7" s="2" t="s">
        <v>20</v>
      </c>
      <c r="XZ7" s="2" t="s">
        <v>28</v>
      </c>
      <c r="YA7" s="2" t="s">
        <v>28</v>
      </c>
      <c r="YB7" s="2" t="s">
        <v>64</v>
      </c>
      <c r="YC7" s="2" t="s">
        <v>28</v>
      </c>
      <c r="YD7" s="2" t="s">
        <v>64</v>
      </c>
      <c r="YE7" s="2" t="s">
        <v>55</v>
      </c>
      <c r="YF7" s="2" t="s">
        <v>64</v>
      </c>
      <c r="YG7" s="2" t="s">
        <v>35</v>
      </c>
      <c r="YH7" s="2" t="s">
        <v>20</v>
      </c>
      <c r="YI7" s="2" t="s">
        <v>55</v>
      </c>
      <c r="YJ7" s="2" t="s">
        <v>55</v>
      </c>
      <c r="YK7" s="2" t="s">
        <v>35</v>
      </c>
      <c r="YL7" s="2" t="s">
        <v>64</v>
      </c>
      <c r="YM7" s="2" t="s">
        <v>20</v>
      </c>
      <c r="YN7" s="2" t="s">
        <v>64</v>
      </c>
      <c r="YO7" s="2" t="s">
        <v>28</v>
      </c>
      <c r="YP7" s="2" t="s">
        <v>64</v>
      </c>
      <c r="YQ7" s="2" t="s">
        <v>55</v>
      </c>
      <c r="YR7" s="2" t="s">
        <v>20</v>
      </c>
      <c r="YS7" s="2" t="s">
        <v>64</v>
      </c>
      <c r="YT7" s="2" t="s">
        <v>20</v>
      </c>
      <c r="YU7" s="2" t="s">
        <v>20</v>
      </c>
      <c r="YV7" s="2" t="s">
        <v>28</v>
      </c>
      <c r="YW7" s="2" t="s">
        <v>28</v>
      </c>
      <c r="YX7" s="2" t="s">
        <v>55</v>
      </c>
      <c r="YY7" s="2" t="s">
        <v>35</v>
      </c>
      <c r="YZ7" s="2" t="s">
        <v>20</v>
      </c>
      <c r="ZA7" s="2" t="s">
        <v>35</v>
      </c>
      <c r="ZB7" s="2" t="s">
        <v>55</v>
      </c>
      <c r="ZC7" s="2" t="s">
        <v>20</v>
      </c>
      <c r="ZD7" s="2" t="s">
        <v>20</v>
      </c>
      <c r="ZE7" s="2" t="s">
        <v>35</v>
      </c>
      <c r="ZF7" s="2" t="s">
        <v>64</v>
      </c>
      <c r="ZG7" s="2" t="s">
        <v>28</v>
      </c>
      <c r="ZH7" s="2" t="s">
        <v>64</v>
      </c>
      <c r="ZI7" s="2" t="s">
        <v>35</v>
      </c>
      <c r="ZJ7" s="2" t="s">
        <v>28</v>
      </c>
      <c r="ZK7" s="2" t="s">
        <v>64</v>
      </c>
      <c r="ZL7" s="2" t="s">
        <v>28</v>
      </c>
      <c r="ZM7" s="2" t="s">
        <v>20</v>
      </c>
      <c r="ZN7" s="2" t="s">
        <v>64</v>
      </c>
      <c r="ZO7" s="2" t="s">
        <v>28</v>
      </c>
      <c r="ZP7" s="2" t="s">
        <v>28</v>
      </c>
      <c r="ZQ7" s="2" t="s">
        <v>28</v>
      </c>
      <c r="ZR7" s="2" t="s">
        <v>64</v>
      </c>
      <c r="ZS7" s="2" t="s">
        <v>55</v>
      </c>
      <c r="ZT7" s="2" t="s">
        <v>64</v>
      </c>
      <c r="ZU7" s="2" t="s">
        <v>35</v>
      </c>
      <c r="ZV7" s="2" t="s">
        <v>64</v>
      </c>
      <c r="ZW7" s="2" t="s">
        <v>28</v>
      </c>
      <c r="ZX7" s="2" t="s">
        <v>20</v>
      </c>
      <c r="ZY7" s="2" t="s">
        <v>64</v>
      </c>
      <c r="ZZ7" s="2" t="s">
        <v>64</v>
      </c>
      <c r="AAA7" s="2" t="s">
        <v>28</v>
      </c>
      <c r="AAB7" s="2" t="s">
        <v>20</v>
      </c>
      <c r="AAC7" s="2" t="s">
        <v>20</v>
      </c>
      <c r="AAD7" s="2" t="s">
        <v>35</v>
      </c>
      <c r="AAE7" s="2" t="s">
        <v>64</v>
      </c>
      <c r="AAF7" s="2" t="s">
        <v>20</v>
      </c>
      <c r="AAG7" s="2" t="s">
        <v>20</v>
      </c>
      <c r="AAH7" s="2" t="s">
        <v>55</v>
      </c>
      <c r="AAI7" s="2" t="s">
        <v>55</v>
      </c>
      <c r="AAJ7" s="2" t="s">
        <v>20</v>
      </c>
      <c r="AAK7" s="2" t="s">
        <v>35</v>
      </c>
      <c r="AAL7" s="2" t="s">
        <v>20</v>
      </c>
      <c r="AAM7" s="2" t="s">
        <v>28</v>
      </c>
      <c r="AAN7" s="2" t="s">
        <v>64</v>
      </c>
      <c r="AAO7" s="2" t="s">
        <v>35</v>
      </c>
      <c r="AAP7" s="2" t="s">
        <v>28</v>
      </c>
      <c r="AAQ7" s="2" t="s">
        <v>35</v>
      </c>
      <c r="AAR7" s="2" t="s">
        <v>28</v>
      </c>
      <c r="AAS7" s="2" t="s">
        <v>64</v>
      </c>
      <c r="AAT7" s="2" t="s">
        <v>64</v>
      </c>
      <c r="AAU7" s="2" t="s">
        <v>55</v>
      </c>
      <c r="AAV7" s="2" t="s">
        <v>28</v>
      </c>
      <c r="AAW7" s="2" t="s">
        <v>55</v>
      </c>
      <c r="AAX7" s="2" t="s">
        <v>28</v>
      </c>
      <c r="AAY7" s="2" t="s">
        <v>55</v>
      </c>
      <c r="AAZ7" s="2" t="s">
        <v>64</v>
      </c>
      <c r="ABA7" s="2" t="s">
        <v>35</v>
      </c>
      <c r="ABB7" s="2" t="s">
        <v>55</v>
      </c>
      <c r="ABC7" s="2" t="s">
        <v>28</v>
      </c>
      <c r="ABD7" s="2" t="s">
        <v>28</v>
      </c>
      <c r="ABE7" s="2" t="s">
        <v>64</v>
      </c>
      <c r="ABF7" s="2" t="s">
        <v>28</v>
      </c>
      <c r="ABG7" s="2" t="s">
        <v>20</v>
      </c>
      <c r="ABH7" s="2" t="s">
        <v>35</v>
      </c>
      <c r="ABI7" s="2" t="s">
        <v>55</v>
      </c>
      <c r="ABJ7" s="2" t="s">
        <v>35</v>
      </c>
      <c r="ABK7" s="2" t="s">
        <v>64</v>
      </c>
      <c r="ABL7" s="2" t="s">
        <v>55</v>
      </c>
      <c r="ABM7" s="2" t="s">
        <v>55</v>
      </c>
      <c r="ABN7" s="2" t="s">
        <v>20</v>
      </c>
      <c r="ABO7" s="2" t="s">
        <v>64</v>
      </c>
      <c r="ABP7" s="2" t="s">
        <v>28</v>
      </c>
      <c r="ABQ7" s="2" t="s">
        <v>20</v>
      </c>
      <c r="ABR7" s="2" t="s">
        <v>20</v>
      </c>
      <c r="ABS7" s="2" t="s">
        <v>35</v>
      </c>
      <c r="ABT7" s="2" t="s">
        <v>35</v>
      </c>
      <c r="ABU7" s="2" t="s">
        <v>35</v>
      </c>
      <c r="ABV7" s="2" t="s">
        <v>20</v>
      </c>
      <c r="ABW7" s="2" t="s">
        <v>28</v>
      </c>
      <c r="ABX7" s="2" t="s">
        <v>55</v>
      </c>
      <c r="ABY7" s="2" t="s">
        <v>35</v>
      </c>
      <c r="ABZ7" s="2" t="s">
        <v>28</v>
      </c>
      <c r="ACA7" s="2" t="s">
        <v>64</v>
      </c>
      <c r="ACB7" s="2" t="s">
        <v>35</v>
      </c>
      <c r="ACC7" s="2" t="s">
        <v>55</v>
      </c>
      <c r="ACD7" s="2" t="s">
        <v>64</v>
      </c>
      <c r="ACE7" s="2" t="s">
        <v>64</v>
      </c>
      <c r="ACF7" s="2" t="s">
        <v>55</v>
      </c>
      <c r="ACG7" s="2" t="s">
        <v>35</v>
      </c>
      <c r="ACH7" s="2" t="s">
        <v>20</v>
      </c>
      <c r="ACI7" s="2" t="s">
        <v>55</v>
      </c>
      <c r="ACJ7" s="2" t="s">
        <v>55</v>
      </c>
      <c r="ACK7" s="2" t="s">
        <v>55</v>
      </c>
      <c r="ACL7" s="2" t="s">
        <v>64</v>
      </c>
      <c r="ACM7" s="2" t="s">
        <v>28</v>
      </c>
      <c r="ACN7" s="2" t="s">
        <v>20</v>
      </c>
      <c r="ACO7" s="2" t="s">
        <v>35</v>
      </c>
      <c r="ACP7" s="2" t="s">
        <v>35</v>
      </c>
      <c r="ACQ7" s="2" t="s">
        <v>28</v>
      </c>
      <c r="ACR7" s="2" t="s">
        <v>55</v>
      </c>
      <c r="ACS7" s="2" t="s">
        <v>20</v>
      </c>
      <c r="ACT7" s="2" t="s">
        <v>35</v>
      </c>
      <c r="ACU7" s="2" t="s">
        <v>35</v>
      </c>
      <c r="ACV7" s="2" t="s">
        <v>55</v>
      </c>
      <c r="ACW7" s="2" t="s">
        <v>28</v>
      </c>
      <c r="ACX7" s="2" t="s">
        <v>20</v>
      </c>
      <c r="ACY7" s="2" t="s">
        <v>28</v>
      </c>
      <c r="ACZ7" s="2" t="s">
        <v>28</v>
      </c>
      <c r="ADA7" s="2" t="s">
        <v>20</v>
      </c>
      <c r="ADB7" s="2" t="s">
        <v>20</v>
      </c>
      <c r="ADC7" s="2" t="s">
        <v>35</v>
      </c>
      <c r="ADD7" s="2" t="s">
        <v>35</v>
      </c>
      <c r="ADE7" s="2" t="s">
        <v>20</v>
      </c>
      <c r="ADF7" s="2" t="s">
        <v>64</v>
      </c>
      <c r="ADG7" s="2" t="s">
        <v>35</v>
      </c>
      <c r="ADH7" s="2" t="s">
        <v>64</v>
      </c>
      <c r="ADI7" s="2" t="s">
        <v>20</v>
      </c>
      <c r="ADJ7" s="2" t="s">
        <v>35</v>
      </c>
      <c r="ADK7" s="2" t="s">
        <v>28</v>
      </c>
      <c r="ADL7" s="2" t="s">
        <v>20</v>
      </c>
      <c r="ADM7" s="2" t="s">
        <v>55</v>
      </c>
      <c r="ADN7" s="2" t="s">
        <v>64</v>
      </c>
      <c r="ADO7" s="2" t="s">
        <v>20</v>
      </c>
      <c r="ADP7" s="2" t="s">
        <v>20</v>
      </c>
      <c r="ADQ7" s="2" t="s">
        <v>35</v>
      </c>
      <c r="ADR7" s="2" t="s">
        <v>35</v>
      </c>
      <c r="ADS7" s="2" t="s">
        <v>35</v>
      </c>
      <c r="ADT7" s="2" t="s">
        <v>55</v>
      </c>
      <c r="ADU7" s="2" t="s">
        <v>35</v>
      </c>
      <c r="ADV7" s="2" t="s">
        <v>20</v>
      </c>
      <c r="ADW7" s="2" t="s">
        <v>35</v>
      </c>
      <c r="ADX7" s="2" t="s">
        <v>28</v>
      </c>
      <c r="ADY7" s="2" t="s">
        <v>35</v>
      </c>
      <c r="ADZ7" s="2" t="s">
        <v>55</v>
      </c>
      <c r="AEA7" s="2" t="s">
        <v>28</v>
      </c>
      <c r="AEB7" s="2" t="s">
        <v>20</v>
      </c>
      <c r="AEC7" s="2" t="s">
        <v>20</v>
      </c>
      <c r="AED7" s="2" t="s">
        <v>64</v>
      </c>
      <c r="AEE7" s="2" t="s">
        <v>28</v>
      </c>
      <c r="AEF7" s="2" t="s">
        <v>64</v>
      </c>
      <c r="AEG7" s="2" t="s">
        <v>28</v>
      </c>
      <c r="AEH7" s="2" t="s">
        <v>28</v>
      </c>
      <c r="AEI7" s="2" t="s">
        <v>55</v>
      </c>
      <c r="AEJ7" s="2" t="s">
        <v>64</v>
      </c>
      <c r="AEK7" s="2" t="s">
        <v>55</v>
      </c>
      <c r="AEL7" s="2" t="s">
        <v>28</v>
      </c>
      <c r="AEM7" s="2" t="s">
        <v>20</v>
      </c>
      <c r="AEN7" s="2" t="s">
        <v>28</v>
      </c>
      <c r="AEO7" s="2" t="s">
        <v>55</v>
      </c>
      <c r="AEP7" s="2" t="s">
        <v>64</v>
      </c>
      <c r="AEQ7" s="2" t="s">
        <v>64</v>
      </c>
      <c r="AER7" s="2" t="s">
        <v>55</v>
      </c>
      <c r="AES7" s="2" t="s">
        <v>64</v>
      </c>
      <c r="AET7" s="2" t="s">
        <v>35</v>
      </c>
      <c r="AEU7" s="2" t="s">
        <v>20</v>
      </c>
      <c r="AEV7" s="2" t="s">
        <v>20</v>
      </c>
      <c r="AEW7" s="2" t="s">
        <v>20</v>
      </c>
      <c r="AEX7" s="2" t="s">
        <v>64</v>
      </c>
      <c r="AEY7" s="2" t="s">
        <v>64</v>
      </c>
      <c r="AEZ7" s="2" t="s">
        <v>28</v>
      </c>
      <c r="AFA7" s="2" t="s">
        <v>28</v>
      </c>
      <c r="AFB7" s="2" t="s">
        <v>20</v>
      </c>
      <c r="AFC7" s="2" t="s">
        <v>35</v>
      </c>
      <c r="AFD7" s="2" t="s">
        <v>28</v>
      </c>
      <c r="AFE7" s="2" t="s">
        <v>28</v>
      </c>
      <c r="AFF7" s="2" t="s">
        <v>64</v>
      </c>
      <c r="AFG7" s="2" t="s">
        <v>35</v>
      </c>
      <c r="AFH7" s="2" t="s">
        <v>20</v>
      </c>
      <c r="AFI7" s="2" t="s">
        <v>28</v>
      </c>
      <c r="AFJ7" s="2" t="s">
        <v>35</v>
      </c>
      <c r="AFK7" s="2" t="s">
        <v>35</v>
      </c>
      <c r="AFL7" s="2" t="s">
        <v>20</v>
      </c>
      <c r="AFM7" s="2" t="s">
        <v>35</v>
      </c>
      <c r="AFN7" s="2" t="s">
        <v>35</v>
      </c>
      <c r="AFO7" s="2" t="s">
        <v>35</v>
      </c>
      <c r="AFP7" s="2" t="s">
        <v>28</v>
      </c>
      <c r="AFQ7" s="2" t="s">
        <v>20</v>
      </c>
      <c r="AFR7" s="2" t="s">
        <v>35</v>
      </c>
      <c r="AFS7" s="2" t="s">
        <v>35</v>
      </c>
      <c r="AFT7" s="2" t="s">
        <v>28</v>
      </c>
      <c r="AFU7" s="2" t="s">
        <v>20</v>
      </c>
      <c r="AFV7" s="2" t="s">
        <v>64</v>
      </c>
      <c r="AFW7" s="2" t="s">
        <v>28</v>
      </c>
      <c r="AFX7" s="2" t="s">
        <v>20</v>
      </c>
      <c r="AFY7" s="2" t="s">
        <v>35</v>
      </c>
      <c r="AFZ7" s="2" t="s">
        <v>20</v>
      </c>
      <c r="AGA7" s="2" t="s">
        <v>20</v>
      </c>
      <c r="AGB7" s="2" t="s">
        <v>20</v>
      </c>
      <c r="AGC7" s="2" t="s">
        <v>64</v>
      </c>
      <c r="AGD7" s="2" t="s">
        <v>20</v>
      </c>
      <c r="AGE7" s="2" t="s">
        <v>64</v>
      </c>
      <c r="AGF7" s="2" t="s">
        <v>35</v>
      </c>
      <c r="AGG7" s="2" t="s">
        <v>64</v>
      </c>
      <c r="AGH7" s="2" t="s">
        <v>35</v>
      </c>
      <c r="AGI7" s="2" t="s">
        <v>35</v>
      </c>
      <c r="AGJ7" s="2" t="s">
        <v>64</v>
      </c>
      <c r="AGK7" s="2" t="s">
        <v>28</v>
      </c>
      <c r="AGL7" s="2" t="s">
        <v>55</v>
      </c>
      <c r="AGM7" s="2" t="s">
        <v>20</v>
      </c>
      <c r="AGN7" s="2" t="s">
        <v>55</v>
      </c>
      <c r="AGO7" s="2" t="s">
        <v>20</v>
      </c>
      <c r="AGP7" s="2" t="s">
        <v>20</v>
      </c>
      <c r="AGQ7" s="2" t="s">
        <v>35</v>
      </c>
      <c r="AGR7" s="2" t="s">
        <v>20</v>
      </c>
      <c r="AGS7" s="2" t="s">
        <v>20</v>
      </c>
      <c r="AGT7" s="2" t="s">
        <v>64</v>
      </c>
      <c r="AGU7" s="2" t="s">
        <v>55</v>
      </c>
      <c r="AGV7" s="2" t="s">
        <v>64</v>
      </c>
      <c r="AGW7" s="2" t="s">
        <v>20</v>
      </c>
      <c r="AGX7" s="2" t="s">
        <v>35</v>
      </c>
      <c r="AGY7" s="2" t="s">
        <v>64</v>
      </c>
      <c r="AGZ7" s="2" t="s">
        <v>64</v>
      </c>
      <c r="AHA7" s="2" t="s">
        <v>28</v>
      </c>
      <c r="AHB7" s="2" t="s">
        <v>20</v>
      </c>
      <c r="AHC7" s="2" t="s">
        <v>35</v>
      </c>
      <c r="AHD7" s="2" t="s">
        <v>64</v>
      </c>
      <c r="AHE7" s="2" t="s">
        <v>64</v>
      </c>
      <c r="AHF7" s="2" t="s">
        <v>35</v>
      </c>
      <c r="AHG7" s="2" t="s">
        <v>20</v>
      </c>
      <c r="AHH7" s="2" t="s">
        <v>28</v>
      </c>
      <c r="AHI7" s="2" t="s">
        <v>64</v>
      </c>
      <c r="AHJ7" s="2" t="s">
        <v>28</v>
      </c>
      <c r="AHK7" s="2" t="s">
        <v>55</v>
      </c>
      <c r="AHL7" s="2" t="s">
        <v>20</v>
      </c>
      <c r="AHM7" s="2" t="s">
        <v>55</v>
      </c>
      <c r="AHN7" s="2" t="s">
        <v>55</v>
      </c>
      <c r="AHO7" s="2" t="s">
        <v>55</v>
      </c>
      <c r="AHP7" s="2" t="s">
        <v>20</v>
      </c>
      <c r="AHQ7" s="2" t="s">
        <v>20</v>
      </c>
      <c r="AHR7" s="2" t="s">
        <v>35</v>
      </c>
      <c r="AHS7" s="2" t="s">
        <v>28</v>
      </c>
      <c r="AHT7" s="2" t="s">
        <v>28</v>
      </c>
      <c r="AHU7" s="2" t="s">
        <v>35</v>
      </c>
      <c r="AHV7" s="2" t="s">
        <v>35</v>
      </c>
      <c r="AHW7" s="2" t="s">
        <v>55</v>
      </c>
      <c r="AHX7" s="2" t="s">
        <v>35</v>
      </c>
      <c r="AHY7" s="2" t="s">
        <v>64</v>
      </c>
      <c r="AHZ7" s="2" t="s">
        <v>28</v>
      </c>
      <c r="AIA7" s="2" t="s">
        <v>35</v>
      </c>
      <c r="AIB7" s="2" t="s">
        <v>64</v>
      </c>
      <c r="AIC7" s="2" t="s">
        <v>64</v>
      </c>
      <c r="AID7" s="2" t="s">
        <v>64</v>
      </c>
      <c r="AIE7" s="2" t="s">
        <v>64</v>
      </c>
      <c r="AIF7" s="2" t="s">
        <v>55</v>
      </c>
      <c r="AIG7" s="2" t="s">
        <v>64</v>
      </c>
      <c r="AIH7" s="2" t="s">
        <v>55</v>
      </c>
      <c r="AII7" s="2" t="s">
        <v>55</v>
      </c>
      <c r="AIJ7" s="2" t="s">
        <v>64</v>
      </c>
      <c r="AIK7" s="2" t="s">
        <v>28</v>
      </c>
      <c r="AIL7" s="2" t="s">
        <v>64</v>
      </c>
      <c r="AIM7" s="2" t="s">
        <v>64</v>
      </c>
      <c r="AIN7" s="2" t="s">
        <v>64</v>
      </c>
      <c r="AIO7" s="2" t="s">
        <v>28</v>
      </c>
      <c r="AIP7" s="2" t="s">
        <v>20</v>
      </c>
      <c r="AIQ7" s="2" t="s">
        <v>20</v>
      </c>
      <c r="AIR7" s="2" t="s">
        <v>55</v>
      </c>
      <c r="AIS7" s="2" t="s">
        <v>55</v>
      </c>
      <c r="AIT7" s="2" t="s">
        <v>28</v>
      </c>
      <c r="AIU7" s="2" t="s">
        <v>35</v>
      </c>
      <c r="AIV7" s="2" t="s">
        <v>20</v>
      </c>
      <c r="AIW7" s="2" t="s">
        <v>55</v>
      </c>
      <c r="AIX7" s="2" t="s">
        <v>20</v>
      </c>
      <c r="AIY7" s="2" t="s">
        <v>28</v>
      </c>
      <c r="AIZ7" s="2" t="s">
        <v>28</v>
      </c>
      <c r="AJA7" s="2" t="s">
        <v>35</v>
      </c>
      <c r="AJB7" s="2" t="s">
        <v>35</v>
      </c>
      <c r="AJC7" s="2" t="s">
        <v>28</v>
      </c>
      <c r="AJD7" s="2" t="s">
        <v>55</v>
      </c>
      <c r="AJE7" s="2" t="s">
        <v>20</v>
      </c>
      <c r="AJF7" s="2" t="s">
        <v>64</v>
      </c>
      <c r="AJG7" s="2" t="s">
        <v>35</v>
      </c>
      <c r="AJH7" s="2" t="s">
        <v>64</v>
      </c>
      <c r="AJI7" s="2" t="s">
        <v>55</v>
      </c>
      <c r="AJJ7" s="2" t="s">
        <v>35</v>
      </c>
      <c r="AJK7" s="2" t="s">
        <v>64</v>
      </c>
      <c r="AJL7" s="2" t="s">
        <v>55</v>
      </c>
      <c r="AJM7" s="2" t="s">
        <v>20</v>
      </c>
      <c r="AJN7" s="2" t="s">
        <v>55</v>
      </c>
      <c r="AJO7" s="2" t="s">
        <v>35</v>
      </c>
      <c r="AJP7" s="2" t="s">
        <v>28</v>
      </c>
      <c r="AJQ7" s="2" t="s">
        <v>20</v>
      </c>
      <c r="AJR7" s="2" t="s">
        <v>64</v>
      </c>
      <c r="AJS7" s="2" t="s">
        <v>35</v>
      </c>
      <c r="AJT7" s="2" t="s">
        <v>28</v>
      </c>
      <c r="AJU7" s="2" t="s">
        <v>55</v>
      </c>
      <c r="AJV7" s="2" t="s">
        <v>28</v>
      </c>
      <c r="AJW7" s="2" t="s">
        <v>35</v>
      </c>
      <c r="AJX7" s="2" t="s">
        <v>35</v>
      </c>
      <c r="AJY7" s="2" t="s">
        <v>28</v>
      </c>
      <c r="AJZ7" s="2" t="s">
        <v>55</v>
      </c>
      <c r="AKA7" s="2" t="s">
        <v>28</v>
      </c>
      <c r="AKB7" s="2" t="s">
        <v>35</v>
      </c>
      <c r="AKC7" s="2" t="s">
        <v>35</v>
      </c>
      <c r="AKD7" s="2" t="s">
        <v>64</v>
      </c>
      <c r="AKE7" s="2" t="s">
        <v>64</v>
      </c>
      <c r="AKF7" s="2" t="s">
        <v>20</v>
      </c>
      <c r="AKG7" s="2" t="s">
        <v>35</v>
      </c>
      <c r="AKH7" s="2" t="s">
        <v>64</v>
      </c>
      <c r="AKI7" s="2" t="s">
        <v>28</v>
      </c>
      <c r="AKJ7" s="2" t="s">
        <v>55</v>
      </c>
      <c r="AKK7" s="2" t="s">
        <v>28</v>
      </c>
      <c r="AKL7" s="2" t="s">
        <v>55</v>
      </c>
      <c r="AKM7" s="2" t="s">
        <v>64</v>
      </c>
      <c r="AKN7" s="2" t="s">
        <v>20</v>
      </c>
      <c r="AKO7" s="2" t="s">
        <v>28</v>
      </c>
      <c r="AKP7" s="2" t="s">
        <v>28</v>
      </c>
      <c r="AKQ7" s="2" t="s">
        <v>28</v>
      </c>
      <c r="AKR7" s="2" t="s">
        <v>55</v>
      </c>
      <c r="AKS7" s="2" t="s">
        <v>64</v>
      </c>
      <c r="AKT7" s="2" t="s">
        <v>28</v>
      </c>
      <c r="AKU7" s="2" t="s">
        <v>28</v>
      </c>
      <c r="AKV7" s="2" t="s">
        <v>20</v>
      </c>
      <c r="AKW7" s="2" t="s">
        <v>20</v>
      </c>
      <c r="AKX7" s="2" t="s">
        <v>64</v>
      </c>
      <c r="AKY7" s="2" t="s">
        <v>64</v>
      </c>
      <c r="AKZ7" s="2" t="s">
        <v>35</v>
      </c>
      <c r="ALA7" s="2" t="s">
        <v>20</v>
      </c>
      <c r="ALB7" s="2" t="s">
        <v>35</v>
      </c>
      <c r="ALC7" s="2" t="s">
        <v>55</v>
      </c>
      <c r="ALD7" s="2" t="s">
        <v>35</v>
      </c>
      <c r="ALE7" s="2" t="s">
        <v>28</v>
      </c>
      <c r="ALF7" s="2" t="s">
        <v>35</v>
      </c>
      <c r="ALG7" s="2" t="s">
        <v>64</v>
      </c>
      <c r="ALH7" s="2" t="s">
        <v>55</v>
      </c>
      <c r="ALI7" s="2" t="s">
        <v>28</v>
      </c>
      <c r="ALJ7" s="2" t="s">
        <v>35</v>
      </c>
      <c r="ALK7" s="2" t="s">
        <v>55</v>
      </c>
      <c r="ALL7" s="2" t="s">
        <v>55</v>
      </c>
      <c r="ALM7" s="2" t="s">
        <v>28</v>
      </c>
    </row>
    <row r="8" spans="1:1001" ht="21" x14ac:dyDescent="0.3">
      <c r="A8" s="3" t="s">
        <v>7</v>
      </c>
      <c r="B8" s="2" t="s">
        <v>21</v>
      </c>
      <c r="C8" s="2" t="s">
        <v>29</v>
      </c>
      <c r="D8" s="2" t="s">
        <v>29</v>
      </c>
      <c r="E8" s="2" t="s">
        <v>21</v>
      </c>
      <c r="F8" s="2" t="s">
        <v>29</v>
      </c>
      <c r="G8" s="2" t="s">
        <v>29</v>
      </c>
      <c r="H8" s="2" t="s">
        <v>21</v>
      </c>
      <c r="I8" s="2" t="s">
        <v>21</v>
      </c>
      <c r="J8" s="2" t="s">
        <v>52</v>
      </c>
      <c r="K8" s="2" t="s">
        <v>56</v>
      </c>
      <c r="L8" s="2" t="s">
        <v>56</v>
      </c>
      <c r="M8" s="2" t="s">
        <v>21</v>
      </c>
      <c r="N8" s="2" t="s">
        <v>21</v>
      </c>
      <c r="O8" s="2" t="s">
        <v>29</v>
      </c>
      <c r="P8" s="2" t="s">
        <v>52</v>
      </c>
      <c r="Q8" s="2" t="s">
        <v>52</v>
      </c>
      <c r="R8" s="2" t="s">
        <v>21</v>
      </c>
      <c r="S8" s="2" t="s">
        <v>29</v>
      </c>
      <c r="T8" s="2" t="s">
        <v>29</v>
      </c>
      <c r="U8" s="2" t="s">
        <v>56</v>
      </c>
      <c r="V8" s="2" t="s">
        <v>56</v>
      </c>
      <c r="W8" s="2" t="s">
        <v>29</v>
      </c>
      <c r="X8" s="2" t="s">
        <v>56</v>
      </c>
      <c r="Y8" s="2" t="s">
        <v>21</v>
      </c>
      <c r="Z8" s="2" t="s">
        <v>29</v>
      </c>
      <c r="AA8" s="2" t="s">
        <v>56</v>
      </c>
      <c r="AB8" s="2" t="s">
        <v>52</v>
      </c>
      <c r="AC8" s="2" t="s">
        <v>29</v>
      </c>
      <c r="AD8" s="2" t="s">
        <v>29</v>
      </c>
      <c r="AE8" s="2" t="s">
        <v>52</v>
      </c>
      <c r="AF8" s="2" t="s">
        <v>21</v>
      </c>
      <c r="AG8" s="2" t="s">
        <v>52</v>
      </c>
      <c r="AH8" s="2" t="s">
        <v>29</v>
      </c>
      <c r="AI8" s="2" t="s">
        <v>21</v>
      </c>
      <c r="AJ8" s="2" t="s">
        <v>56</v>
      </c>
      <c r="AK8" s="2" t="s">
        <v>56</v>
      </c>
      <c r="AL8" s="2" t="s">
        <v>56</v>
      </c>
      <c r="AM8" s="2" t="s">
        <v>29</v>
      </c>
      <c r="AN8" s="2" t="s">
        <v>52</v>
      </c>
      <c r="AO8" s="2" t="s">
        <v>21</v>
      </c>
      <c r="AP8" s="2" t="s">
        <v>56</v>
      </c>
      <c r="AQ8" s="2" t="s">
        <v>21</v>
      </c>
      <c r="AR8" s="2" t="s">
        <v>29</v>
      </c>
      <c r="AS8" s="2" t="s">
        <v>56</v>
      </c>
      <c r="AT8" s="2" t="s">
        <v>29</v>
      </c>
      <c r="AU8" s="2" t="s">
        <v>52</v>
      </c>
      <c r="AV8" s="2" t="s">
        <v>29</v>
      </c>
      <c r="AW8" s="2" t="s">
        <v>29</v>
      </c>
      <c r="AX8" s="2" t="s">
        <v>52</v>
      </c>
      <c r="AY8" s="2" t="s">
        <v>21</v>
      </c>
      <c r="AZ8" s="2" t="s">
        <v>52</v>
      </c>
      <c r="BA8" s="2" t="s">
        <v>52</v>
      </c>
      <c r="BB8" s="2" t="s">
        <v>29</v>
      </c>
      <c r="BC8" s="2" t="s">
        <v>21</v>
      </c>
      <c r="BD8" s="2" t="s">
        <v>56</v>
      </c>
      <c r="BE8" s="2" t="s">
        <v>52</v>
      </c>
      <c r="BF8" s="2" t="s">
        <v>21</v>
      </c>
      <c r="BG8" s="2" t="s">
        <v>52</v>
      </c>
      <c r="BH8" s="2" t="s">
        <v>52</v>
      </c>
      <c r="BI8" s="2" t="s">
        <v>52</v>
      </c>
      <c r="BJ8" s="2" t="s">
        <v>52</v>
      </c>
      <c r="BK8" s="2" t="s">
        <v>29</v>
      </c>
      <c r="BL8" s="2" t="s">
        <v>21</v>
      </c>
      <c r="BM8" s="2" t="s">
        <v>21</v>
      </c>
      <c r="BN8" s="2" t="s">
        <v>21</v>
      </c>
      <c r="BO8" s="2" t="s">
        <v>52</v>
      </c>
      <c r="BP8" s="2" t="s">
        <v>29</v>
      </c>
      <c r="BQ8" s="2" t="s">
        <v>52</v>
      </c>
      <c r="BR8" s="2" t="s">
        <v>52</v>
      </c>
      <c r="BS8" s="2" t="s">
        <v>21</v>
      </c>
      <c r="BT8" s="2" t="s">
        <v>52</v>
      </c>
      <c r="BU8" s="2" t="s">
        <v>56</v>
      </c>
      <c r="BV8" s="2" t="s">
        <v>52</v>
      </c>
      <c r="BW8" s="2" t="s">
        <v>56</v>
      </c>
      <c r="BX8" s="2" t="s">
        <v>52</v>
      </c>
      <c r="BY8" s="2" t="s">
        <v>29</v>
      </c>
      <c r="BZ8" s="2" t="s">
        <v>29</v>
      </c>
      <c r="CA8" s="2" t="s">
        <v>21</v>
      </c>
      <c r="CB8" s="2" t="s">
        <v>52</v>
      </c>
      <c r="CC8" s="2" t="s">
        <v>56</v>
      </c>
      <c r="CD8" s="2" t="s">
        <v>56</v>
      </c>
      <c r="CE8" s="2" t="s">
        <v>52</v>
      </c>
      <c r="CF8" s="2" t="s">
        <v>56</v>
      </c>
      <c r="CG8" s="2" t="s">
        <v>29</v>
      </c>
      <c r="CH8" s="2" t="s">
        <v>56</v>
      </c>
      <c r="CI8" s="2" t="s">
        <v>21</v>
      </c>
      <c r="CJ8" s="2" t="s">
        <v>29</v>
      </c>
      <c r="CK8" s="2" t="s">
        <v>29</v>
      </c>
      <c r="CL8" s="2" t="s">
        <v>29</v>
      </c>
      <c r="CM8" s="2" t="s">
        <v>52</v>
      </c>
      <c r="CN8" s="2" t="s">
        <v>52</v>
      </c>
      <c r="CO8" s="2" t="s">
        <v>29</v>
      </c>
      <c r="CP8" s="2" t="s">
        <v>52</v>
      </c>
      <c r="CQ8" s="2" t="s">
        <v>56</v>
      </c>
      <c r="CR8" s="2" t="s">
        <v>52</v>
      </c>
      <c r="CS8" s="2" t="s">
        <v>52</v>
      </c>
      <c r="CT8" s="2" t="s">
        <v>29</v>
      </c>
      <c r="CU8" s="2" t="s">
        <v>21</v>
      </c>
      <c r="CV8" s="2" t="s">
        <v>21</v>
      </c>
      <c r="CW8" s="2" t="s">
        <v>21</v>
      </c>
      <c r="CX8" s="2" t="s">
        <v>56</v>
      </c>
      <c r="CY8" s="2" t="s">
        <v>52</v>
      </c>
      <c r="CZ8" s="2" t="s">
        <v>21</v>
      </c>
      <c r="DA8" s="2" t="s">
        <v>29</v>
      </c>
      <c r="DB8" s="2" t="s">
        <v>21</v>
      </c>
      <c r="DC8" s="2" t="s">
        <v>21</v>
      </c>
      <c r="DD8" s="2" t="s">
        <v>52</v>
      </c>
      <c r="DE8" s="2" t="s">
        <v>52</v>
      </c>
      <c r="DF8" s="2" t="s">
        <v>52</v>
      </c>
      <c r="DG8" s="2" t="s">
        <v>56</v>
      </c>
      <c r="DH8" s="2" t="s">
        <v>56</v>
      </c>
      <c r="DI8" s="2" t="s">
        <v>21</v>
      </c>
      <c r="DJ8" s="2" t="s">
        <v>52</v>
      </c>
      <c r="DK8" s="2" t="s">
        <v>21</v>
      </c>
      <c r="DL8" s="2" t="s">
        <v>29</v>
      </c>
      <c r="DM8" s="2" t="s">
        <v>29</v>
      </c>
      <c r="DN8" s="2" t="s">
        <v>52</v>
      </c>
      <c r="DO8" s="2" t="s">
        <v>52</v>
      </c>
      <c r="DP8" s="2" t="s">
        <v>29</v>
      </c>
      <c r="DQ8" s="2" t="s">
        <v>52</v>
      </c>
      <c r="DR8" s="2" t="s">
        <v>56</v>
      </c>
      <c r="DS8" s="2" t="s">
        <v>56</v>
      </c>
      <c r="DT8" s="2" t="s">
        <v>52</v>
      </c>
      <c r="DU8" s="2" t="s">
        <v>29</v>
      </c>
      <c r="DV8" s="2" t="s">
        <v>21</v>
      </c>
      <c r="DW8" s="2" t="s">
        <v>52</v>
      </c>
      <c r="DX8" s="2" t="s">
        <v>52</v>
      </c>
      <c r="DY8" s="2" t="s">
        <v>21</v>
      </c>
      <c r="DZ8" s="2" t="s">
        <v>52</v>
      </c>
      <c r="EA8" s="2" t="s">
        <v>21</v>
      </c>
      <c r="EB8" s="2" t="s">
        <v>29</v>
      </c>
      <c r="EC8" s="2" t="s">
        <v>56</v>
      </c>
      <c r="ED8" s="2" t="s">
        <v>29</v>
      </c>
      <c r="EE8" s="2" t="s">
        <v>56</v>
      </c>
      <c r="EF8" s="2" t="s">
        <v>21</v>
      </c>
      <c r="EG8" s="2" t="s">
        <v>56</v>
      </c>
      <c r="EH8" s="2" t="s">
        <v>29</v>
      </c>
      <c r="EI8" s="2" t="s">
        <v>56</v>
      </c>
      <c r="EJ8" s="2" t="s">
        <v>21</v>
      </c>
      <c r="EK8" s="2" t="s">
        <v>56</v>
      </c>
      <c r="EL8" s="2" t="s">
        <v>52</v>
      </c>
      <c r="EM8" s="2" t="s">
        <v>29</v>
      </c>
      <c r="EN8" s="2" t="s">
        <v>52</v>
      </c>
      <c r="EO8" s="2" t="s">
        <v>21</v>
      </c>
      <c r="EP8" s="2" t="s">
        <v>56</v>
      </c>
      <c r="EQ8" s="2" t="s">
        <v>52</v>
      </c>
      <c r="ER8" s="2" t="s">
        <v>52</v>
      </c>
      <c r="ES8" s="2" t="s">
        <v>56</v>
      </c>
      <c r="ET8" s="2" t="s">
        <v>56</v>
      </c>
      <c r="EU8" s="2" t="s">
        <v>29</v>
      </c>
      <c r="EV8" s="2" t="s">
        <v>52</v>
      </c>
      <c r="EW8" s="2" t="s">
        <v>52</v>
      </c>
      <c r="EX8" s="2" t="s">
        <v>21</v>
      </c>
      <c r="EY8" s="2" t="s">
        <v>29</v>
      </c>
      <c r="EZ8" s="2" t="s">
        <v>21</v>
      </c>
      <c r="FA8" s="2" t="s">
        <v>52</v>
      </c>
      <c r="FB8" s="2" t="s">
        <v>21</v>
      </c>
      <c r="FC8" s="2" t="s">
        <v>52</v>
      </c>
      <c r="FD8" s="2" t="s">
        <v>52</v>
      </c>
      <c r="FE8" s="2" t="s">
        <v>21</v>
      </c>
      <c r="FF8" s="2" t="s">
        <v>21</v>
      </c>
      <c r="FG8" s="2" t="s">
        <v>56</v>
      </c>
      <c r="FH8" s="2" t="s">
        <v>56</v>
      </c>
      <c r="FI8" s="2" t="s">
        <v>56</v>
      </c>
      <c r="FJ8" s="2" t="s">
        <v>52</v>
      </c>
      <c r="FK8" s="2" t="s">
        <v>21</v>
      </c>
      <c r="FL8" s="2" t="s">
        <v>29</v>
      </c>
      <c r="FM8" s="2" t="s">
        <v>52</v>
      </c>
      <c r="FN8" s="2" t="s">
        <v>29</v>
      </c>
      <c r="FO8" s="2" t="s">
        <v>21</v>
      </c>
      <c r="FP8" s="2" t="s">
        <v>52</v>
      </c>
      <c r="FQ8" s="2" t="s">
        <v>29</v>
      </c>
      <c r="FR8" s="2" t="s">
        <v>29</v>
      </c>
      <c r="FS8" s="2" t="s">
        <v>56</v>
      </c>
      <c r="FT8" s="2" t="s">
        <v>56</v>
      </c>
      <c r="FU8" s="2" t="s">
        <v>56</v>
      </c>
      <c r="FV8" s="2" t="s">
        <v>52</v>
      </c>
      <c r="FW8" s="2" t="s">
        <v>21</v>
      </c>
      <c r="FX8" s="2" t="s">
        <v>21</v>
      </c>
      <c r="FY8" s="2" t="s">
        <v>56</v>
      </c>
      <c r="FZ8" s="2" t="s">
        <v>56</v>
      </c>
      <c r="GA8" s="2" t="s">
        <v>56</v>
      </c>
      <c r="GB8" s="2" t="s">
        <v>29</v>
      </c>
      <c r="GC8" s="2" t="s">
        <v>56</v>
      </c>
      <c r="GD8" s="2" t="s">
        <v>29</v>
      </c>
      <c r="GE8" s="2" t="s">
        <v>21</v>
      </c>
      <c r="GF8" s="2" t="s">
        <v>52</v>
      </c>
      <c r="GG8" s="2" t="s">
        <v>52</v>
      </c>
      <c r="GH8" s="2" t="s">
        <v>52</v>
      </c>
      <c r="GI8" s="2" t="s">
        <v>52</v>
      </c>
      <c r="GJ8" s="2" t="s">
        <v>29</v>
      </c>
      <c r="GK8" s="2" t="s">
        <v>29</v>
      </c>
      <c r="GL8" s="2" t="s">
        <v>56</v>
      </c>
      <c r="GM8" s="2" t="s">
        <v>29</v>
      </c>
      <c r="GN8" s="2" t="s">
        <v>56</v>
      </c>
      <c r="GO8" s="2" t="s">
        <v>56</v>
      </c>
      <c r="GP8" s="2" t="s">
        <v>52</v>
      </c>
      <c r="GQ8" s="2" t="s">
        <v>29</v>
      </c>
      <c r="GR8" s="2" t="s">
        <v>29</v>
      </c>
      <c r="GS8" s="2" t="s">
        <v>56</v>
      </c>
      <c r="GT8" s="2" t="s">
        <v>56</v>
      </c>
      <c r="GU8" s="2" t="s">
        <v>21</v>
      </c>
      <c r="GV8" s="2" t="s">
        <v>21</v>
      </c>
      <c r="GW8" s="2" t="s">
        <v>56</v>
      </c>
      <c r="GX8" s="2" t="s">
        <v>21</v>
      </c>
      <c r="GY8" s="2" t="s">
        <v>21</v>
      </c>
      <c r="GZ8" s="2" t="s">
        <v>56</v>
      </c>
      <c r="HA8" s="2" t="s">
        <v>56</v>
      </c>
      <c r="HB8" s="2" t="s">
        <v>29</v>
      </c>
      <c r="HC8" s="2" t="s">
        <v>56</v>
      </c>
      <c r="HD8" s="2" t="s">
        <v>56</v>
      </c>
      <c r="HE8" s="2" t="s">
        <v>52</v>
      </c>
      <c r="HF8" s="2" t="s">
        <v>29</v>
      </c>
      <c r="HG8" s="2" t="s">
        <v>29</v>
      </c>
      <c r="HH8" s="2" t="s">
        <v>29</v>
      </c>
      <c r="HI8" s="2" t="s">
        <v>52</v>
      </c>
      <c r="HJ8" s="2" t="s">
        <v>56</v>
      </c>
      <c r="HK8" s="2" t="s">
        <v>29</v>
      </c>
      <c r="HL8" s="2" t="s">
        <v>29</v>
      </c>
      <c r="HM8" s="2" t="s">
        <v>21</v>
      </c>
      <c r="HN8" s="2" t="s">
        <v>29</v>
      </c>
      <c r="HO8" s="2" t="s">
        <v>56</v>
      </c>
      <c r="HP8" s="2" t="s">
        <v>56</v>
      </c>
      <c r="HQ8" s="2" t="s">
        <v>21</v>
      </c>
      <c r="HR8" s="2" t="s">
        <v>29</v>
      </c>
      <c r="HS8" s="2" t="s">
        <v>29</v>
      </c>
      <c r="HT8" s="2" t="s">
        <v>29</v>
      </c>
      <c r="HU8" s="2" t="s">
        <v>52</v>
      </c>
      <c r="HV8" s="2" t="s">
        <v>29</v>
      </c>
      <c r="HW8" s="2" t="s">
        <v>56</v>
      </c>
      <c r="HX8" s="2" t="s">
        <v>56</v>
      </c>
      <c r="HY8" s="2" t="s">
        <v>52</v>
      </c>
      <c r="HZ8" s="2" t="s">
        <v>52</v>
      </c>
      <c r="IA8" s="2" t="s">
        <v>29</v>
      </c>
      <c r="IB8" s="2" t="s">
        <v>21</v>
      </c>
      <c r="IC8" s="2" t="s">
        <v>52</v>
      </c>
      <c r="ID8" s="2" t="s">
        <v>52</v>
      </c>
      <c r="IE8" s="2" t="s">
        <v>29</v>
      </c>
      <c r="IF8" s="2" t="s">
        <v>29</v>
      </c>
      <c r="IG8" s="2" t="s">
        <v>52</v>
      </c>
      <c r="IH8" s="2" t="s">
        <v>21</v>
      </c>
      <c r="II8" s="2" t="s">
        <v>52</v>
      </c>
      <c r="IJ8" s="2" t="s">
        <v>29</v>
      </c>
      <c r="IK8" s="2" t="s">
        <v>29</v>
      </c>
      <c r="IL8" s="2" t="s">
        <v>52</v>
      </c>
      <c r="IM8" s="2" t="s">
        <v>21</v>
      </c>
      <c r="IN8" s="2" t="s">
        <v>52</v>
      </c>
      <c r="IO8" s="2" t="s">
        <v>52</v>
      </c>
      <c r="IP8" s="2" t="s">
        <v>29</v>
      </c>
      <c r="IQ8" s="2" t="s">
        <v>21</v>
      </c>
      <c r="IR8" s="2" t="s">
        <v>56</v>
      </c>
      <c r="IS8" s="2" t="s">
        <v>21</v>
      </c>
      <c r="IT8" s="2" t="s">
        <v>52</v>
      </c>
      <c r="IU8" s="2" t="s">
        <v>52</v>
      </c>
      <c r="IV8" s="2" t="s">
        <v>52</v>
      </c>
      <c r="IW8" s="2" t="s">
        <v>21</v>
      </c>
      <c r="IX8" s="2" t="s">
        <v>29</v>
      </c>
      <c r="IY8" s="2" t="s">
        <v>52</v>
      </c>
      <c r="IZ8" s="2" t="s">
        <v>52</v>
      </c>
      <c r="JA8" s="2" t="s">
        <v>21</v>
      </c>
      <c r="JB8" s="2" t="s">
        <v>56</v>
      </c>
      <c r="JC8" s="2" t="s">
        <v>56</v>
      </c>
      <c r="JD8" s="2" t="s">
        <v>29</v>
      </c>
      <c r="JE8" s="2" t="s">
        <v>29</v>
      </c>
      <c r="JF8" s="2" t="s">
        <v>52</v>
      </c>
      <c r="JG8" s="2" t="s">
        <v>21</v>
      </c>
      <c r="JH8" s="2" t="s">
        <v>52</v>
      </c>
      <c r="JI8" s="2" t="s">
        <v>29</v>
      </c>
      <c r="JJ8" s="2" t="s">
        <v>21</v>
      </c>
      <c r="JK8" s="2" t="s">
        <v>21</v>
      </c>
      <c r="JL8" s="2" t="s">
        <v>29</v>
      </c>
      <c r="JM8" s="2" t="s">
        <v>56</v>
      </c>
      <c r="JN8" s="2" t="s">
        <v>56</v>
      </c>
      <c r="JO8" s="2" t="s">
        <v>21</v>
      </c>
      <c r="JP8" s="2" t="s">
        <v>52</v>
      </c>
      <c r="JQ8" s="2" t="s">
        <v>56</v>
      </c>
      <c r="JR8" s="2" t="s">
        <v>52</v>
      </c>
      <c r="JS8" s="2" t="s">
        <v>56</v>
      </c>
      <c r="JT8" s="2" t="s">
        <v>56</v>
      </c>
      <c r="JU8" s="2" t="s">
        <v>52</v>
      </c>
      <c r="JV8" s="2" t="s">
        <v>29</v>
      </c>
      <c r="JW8" s="2" t="s">
        <v>56</v>
      </c>
      <c r="JX8" s="2" t="s">
        <v>56</v>
      </c>
      <c r="JY8" s="2" t="s">
        <v>52</v>
      </c>
      <c r="JZ8" s="2" t="s">
        <v>29</v>
      </c>
      <c r="KA8" s="2" t="s">
        <v>56</v>
      </c>
      <c r="KB8" s="2" t="s">
        <v>56</v>
      </c>
      <c r="KC8" s="2" t="s">
        <v>29</v>
      </c>
      <c r="KD8" s="2" t="s">
        <v>56</v>
      </c>
      <c r="KE8" s="2" t="s">
        <v>29</v>
      </c>
      <c r="KF8" s="2" t="s">
        <v>29</v>
      </c>
      <c r="KG8" s="2" t="s">
        <v>52</v>
      </c>
      <c r="KH8" s="2" t="s">
        <v>21</v>
      </c>
      <c r="KI8" s="2" t="s">
        <v>29</v>
      </c>
      <c r="KJ8" s="2" t="s">
        <v>52</v>
      </c>
      <c r="KK8" s="2" t="s">
        <v>21</v>
      </c>
      <c r="KL8" s="2" t="s">
        <v>56</v>
      </c>
      <c r="KM8" s="2" t="s">
        <v>21</v>
      </c>
      <c r="KN8" s="2" t="s">
        <v>29</v>
      </c>
      <c r="KO8" s="2" t="s">
        <v>29</v>
      </c>
      <c r="KP8" s="2" t="s">
        <v>29</v>
      </c>
      <c r="KQ8" s="2" t="s">
        <v>29</v>
      </c>
      <c r="KR8" s="2" t="s">
        <v>29</v>
      </c>
      <c r="KS8" s="2" t="s">
        <v>52</v>
      </c>
      <c r="KT8" s="2" t="s">
        <v>29</v>
      </c>
      <c r="KU8" s="2" t="s">
        <v>52</v>
      </c>
      <c r="KV8" s="2" t="s">
        <v>56</v>
      </c>
      <c r="KW8" s="2" t="s">
        <v>29</v>
      </c>
      <c r="KX8" s="2" t="s">
        <v>29</v>
      </c>
      <c r="KY8" s="2" t="s">
        <v>21</v>
      </c>
      <c r="KZ8" s="2" t="s">
        <v>56</v>
      </c>
      <c r="LA8" s="2" t="s">
        <v>29</v>
      </c>
      <c r="LB8" s="2" t="s">
        <v>29</v>
      </c>
      <c r="LC8" s="2" t="s">
        <v>56</v>
      </c>
      <c r="LD8" s="2" t="s">
        <v>52</v>
      </c>
      <c r="LE8" s="2" t="s">
        <v>29</v>
      </c>
      <c r="LF8" s="2" t="s">
        <v>21</v>
      </c>
      <c r="LG8" s="2" t="s">
        <v>29</v>
      </c>
      <c r="LH8" s="2" t="s">
        <v>21</v>
      </c>
      <c r="LI8" s="2" t="s">
        <v>21</v>
      </c>
      <c r="LJ8" s="2" t="s">
        <v>29</v>
      </c>
      <c r="LK8" s="2" t="s">
        <v>29</v>
      </c>
      <c r="LL8" s="2" t="s">
        <v>21</v>
      </c>
      <c r="LM8" s="2" t="s">
        <v>56</v>
      </c>
      <c r="LN8" s="2" t="s">
        <v>56</v>
      </c>
      <c r="LO8" s="2" t="s">
        <v>29</v>
      </c>
      <c r="LP8" s="2" t="s">
        <v>52</v>
      </c>
      <c r="LQ8" s="2" t="s">
        <v>56</v>
      </c>
      <c r="LR8" s="2" t="s">
        <v>29</v>
      </c>
      <c r="LS8" s="2" t="s">
        <v>56</v>
      </c>
      <c r="LT8" s="2" t="s">
        <v>52</v>
      </c>
      <c r="LU8" s="2" t="s">
        <v>29</v>
      </c>
      <c r="LV8" s="2" t="s">
        <v>52</v>
      </c>
      <c r="LW8" s="2" t="s">
        <v>29</v>
      </c>
      <c r="LX8" s="2" t="s">
        <v>52</v>
      </c>
      <c r="LY8" s="2" t="s">
        <v>56</v>
      </c>
      <c r="LZ8" s="2" t="s">
        <v>56</v>
      </c>
      <c r="MA8" s="2" t="s">
        <v>52</v>
      </c>
      <c r="MB8" s="2" t="s">
        <v>52</v>
      </c>
      <c r="MC8" s="2" t="s">
        <v>52</v>
      </c>
      <c r="MD8" s="2" t="s">
        <v>29</v>
      </c>
      <c r="ME8" s="2" t="s">
        <v>56</v>
      </c>
      <c r="MF8" s="2" t="s">
        <v>29</v>
      </c>
      <c r="MG8" s="2" t="s">
        <v>56</v>
      </c>
      <c r="MH8" s="2" t="s">
        <v>21</v>
      </c>
      <c r="MI8" s="2" t="s">
        <v>29</v>
      </c>
      <c r="MJ8" s="2" t="s">
        <v>56</v>
      </c>
      <c r="MK8" s="2" t="s">
        <v>56</v>
      </c>
      <c r="ML8" s="2" t="s">
        <v>29</v>
      </c>
      <c r="MM8" s="2" t="s">
        <v>29</v>
      </c>
      <c r="MN8" s="2" t="s">
        <v>56</v>
      </c>
      <c r="MO8" s="2" t="s">
        <v>29</v>
      </c>
      <c r="MP8" s="2" t="s">
        <v>52</v>
      </c>
      <c r="MQ8" s="2" t="s">
        <v>29</v>
      </c>
      <c r="MR8" s="2" t="s">
        <v>29</v>
      </c>
      <c r="MS8" s="2" t="s">
        <v>29</v>
      </c>
      <c r="MT8" s="2" t="s">
        <v>56</v>
      </c>
      <c r="MU8" s="2" t="s">
        <v>52</v>
      </c>
      <c r="MV8" s="2" t="s">
        <v>21</v>
      </c>
      <c r="MW8" s="2" t="s">
        <v>21</v>
      </c>
      <c r="MX8" s="2" t="s">
        <v>52</v>
      </c>
      <c r="MY8" s="2" t="s">
        <v>52</v>
      </c>
      <c r="MZ8" s="2" t="s">
        <v>52</v>
      </c>
      <c r="NA8" s="2" t="s">
        <v>56</v>
      </c>
      <c r="NB8" s="2" t="s">
        <v>21</v>
      </c>
      <c r="NC8" s="2" t="s">
        <v>52</v>
      </c>
      <c r="ND8" s="2" t="s">
        <v>56</v>
      </c>
      <c r="NE8" s="2" t="s">
        <v>21</v>
      </c>
      <c r="NF8" s="2" t="s">
        <v>29</v>
      </c>
      <c r="NG8" s="2" t="s">
        <v>56</v>
      </c>
      <c r="NH8" s="2" t="s">
        <v>21</v>
      </c>
      <c r="NI8" s="2" t="s">
        <v>56</v>
      </c>
      <c r="NJ8" s="2" t="s">
        <v>21</v>
      </c>
      <c r="NK8" s="2" t="s">
        <v>21</v>
      </c>
      <c r="NL8" s="2" t="s">
        <v>29</v>
      </c>
      <c r="NM8" s="2" t="s">
        <v>56</v>
      </c>
      <c r="NN8" s="2" t="s">
        <v>52</v>
      </c>
      <c r="NO8" s="2" t="s">
        <v>29</v>
      </c>
      <c r="NP8" s="2" t="s">
        <v>29</v>
      </c>
      <c r="NQ8" s="2" t="s">
        <v>21</v>
      </c>
      <c r="NR8" s="2" t="s">
        <v>52</v>
      </c>
      <c r="NS8" s="2" t="s">
        <v>56</v>
      </c>
      <c r="NT8" s="2" t="s">
        <v>52</v>
      </c>
      <c r="NU8" s="2" t="s">
        <v>52</v>
      </c>
      <c r="NV8" s="2" t="s">
        <v>52</v>
      </c>
      <c r="NW8" s="2" t="s">
        <v>52</v>
      </c>
      <c r="NX8" s="2" t="s">
        <v>52</v>
      </c>
      <c r="NY8" s="2" t="s">
        <v>21</v>
      </c>
      <c r="NZ8" s="2" t="s">
        <v>21</v>
      </c>
      <c r="OA8" s="2" t="s">
        <v>29</v>
      </c>
      <c r="OB8" s="2" t="s">
        <v>21</v>
      </c>
      <c r="OC8" s="2" t="s">
        <v>29</v>
      </c>
      <c r="OD8" s="2" t="s">
        <v>29</v>
      </c>
      <c r="OE8" s="2" t="s">
        <v>56</v>
      </c>
      <c r="OF8" s="2" t="s">
        <v>52</v>
      </c>
      <c r="OG8" s="2" t="s">
        <v>21</v>
      </c>
      <c r="OH8" s="2" t="s">
        <v>56</v>
      </c>
      <c r="OI8" s="2" t="s">
        <v>21</v>
      </c>
      <c r="OJ8" s="2" t="s">
        <v>29</v>
      </c>
      <c r="OK8" s="2" t="s">
        <v>21</v>
      </c>
      <c r="OL8" s="2" t="s">
        <v>52</v>
      </c>
      <c r="OM8" s="2" t="s">
        <v>29</v>
      </c>
      <c r="ON8" s="2" t="s">
        <v>29</v>
      </c>
      <c r="OO8" s="2" t="s">
        <v>56</v>
      </c>
      <c r="OP8" s="2" t="s">
        <v>52</v>
      </c>
      <c r="OQ8" s="2" t="s">
        <v>29</v>
      </c>
      <c r="OR8" s="2" t="s">
        <v>52</v>
      </c>
      <c r="OS8" s="2" t="s">
        <v>21</v>
      </c>
      <c r="OT8" s="2" t="s">
        <v>52</v>
      </c>
      <c r="OU8" s="2" t="s">
        <v>29</v>
      </c>
      <c r="OV8" s="2" t="s">
        <v>56</v>
      </c>
      <c r="OW8" s="2" t="s">
        <v>29</v>
      </c>
      <c r="OX8" s="2" t="s">
        <v>52</v>
      </c>
      <c r="OY8" s="2" t="s">
        <v>52</v>
      </c>
      <c r="OZ8" s="2" t="s">
        <v>29</v>
      </c>
      <c r="PA8" s="2" t="s">
        <v>52</v>
      </c>
      <c r="PB8" s="2" t="s">
        <v>21</v>
      </c>
      <c r="PC8" s="2" t="s">
        <v>29</v>
      </c>
      <c r="PD8" s="2" t="s">
        <v>56</v>
      </c>
      <c r="PE8" s="2" t="s">
        <v>29</v>
      </c>
      <c r="PF8" s="2" t="s">
        <v>21</v>
      </c>
      <c r="PG8" s="2" t="s">
        <v>21</v>
      </c>
      <c r="PH8" s="2" t="s">
        <v>21</v>
      </c>
      <c r="PI8" s="2" t="s">
        <v>21</v>
      </c>
      <c r="PJ8" s="2" t="s">
        <v>21</v>
      </c>
      <c r="PK8" s="2" t="s">
        <v>56</v>
      </c>
      <c r="PL8" s="2" t="s">
        <v>52</v>
      </c>
      <c r="PM8" s="2" t="s">
        <v>21</v>
      </c>
      <c r="PN8" s="2" t="s">
        <v>21</v>
      </c>
      <c r="PO8" s="2" t="s">
        <v>29</v>
      </c>
      <c r="PP8" s="2" t="s">
        <v>56</v>
      </c>
      <c r="PQ8" s="2" t="s">
        <v>56</v>
      </c>
      <c r="PR8" s="2" t="s">
        <v>52</v>
      </c>
      <c r="PS8" s="2" t="s">
        <v>56</v>
      </c>
      <c r="PT8" s="2" t="s">
        <v>29</v>
      </c>
      <c r="PU8" s="2" t="s">
        <v>29</v>
      </c>
      <c r="PV8" s="2" t="s">
        <v>52</v>
      </c>
      <c r="PW8" s="2" t="s">
        <v>29</v>
      </c>
      <c r="PX8" s="2" t="s">
        <v>21</v>
      </c>
      <c r="PY8" s="2" t="s">
        <v>21</v>
      </c>
      <c r="PZ8" s="2" t="s">
        <v>29</v>
      </c>
      <c r="QA8" s="2" t="s">
        <v>52</v>
      </c>
      <c r="QB8" s="2" t="s">
        <v>56</v>
      </c>
      <c r="QC8" s="2" t="s">
        <v>52</v>
      </c>
      <c r="QD8" s="2" t="s">
        <v>56</v>
      </c>
      <c r="QE8" s="2" t="s">
        <v>29</v>
      </c>
      <c r="QF8" s="2" t="s">
        <v>29</v>
      </c>
      <c r="QG8" s="2" t="s">
        <v>21</v>
      </c>
      <c r="QH8" s="2" t="s">
        <v>56</v>
      </c>
      <c r="QI8" s="2" t="s">
        <v>52</v>
      </c>
      <c r="QJ8" s="2" t="s">
        <v>29</v>
      </c>
      <c r="QK8" s="2" t="s">
        <v>52</v>
      </c>
      <c r="QL8" s="2" t="s">
        <v>21</v>
      </c>
      <c r="QM8" s="2" t="s">
        <v>56</v>
      </c>
      <c r="QN8" s="2" t="s">
        <v>56</v>
      </c>
      <c r="QO8" s="2" t="s">
        <v>29</v>
      </c>
      <c r="QP8" s="2" t="s">
        <v>56</v>
      </c>
      <c r="QQ8" s="2" t="s">
        <v>29</v>
      </c>
      <c r="QR8" s="2" t="s">
        <v>21</v>
      </c>
      <c r="QS8" s="2" t="s">
        <v>56</v>
      </c>
      <c r="QT8" s="2" t="s">
        <v>29</v>
      </c>
      <c r="QU8" s="2" t="s">
        <v>52</v>
      </c>
      <c r="QV8" s="2" t="s">
        <v>29</v>
      </c>
      <c r="QW8" s="2" t="s">
        <v>56</v>
      </c>
      <c r="QX8" s="2" t="s">
        <v>21</v>
      </c>
      <c r="QY8" s="2" t="s">
        <v>56</v>
      </c>
      <c r="QZ8" s="2" t="s">
        <v>56</v>
      </c>
      <c r="RA8" s="2" t="s">
        <v>29</v>
      </c>
      <c r="RB8" s="2" t="s">
        <v>52</v>
      </c>
      <c r="RC8" s="2" t="s">
        <v>56</v>
      </c>
      <c r="RD8" s="2" t="s">
        <v>52</v>
      </c>
      <c r="RE8" s="2" t="s">
        <v>29</v>
      </c>
      <c r="RF8" s="2" t="s">
        <v>52</v>
      </c>
      <c r="RG8" s="2" t="s">
        <v>29</v>
      </c>
      <c r="RH8" s="2" t="s">
        <v>21</v>
      </c>
      <c r="RI8" s="2" t="s">
        <v>52</v>
      </c>
      <c r="RJ8" s="2" t="s">
        <v>52</v>
      </c>
      <c r="RK8" s="2" t="s">
        <v>21</v>
      </c>
      <c r="RL8" s="2" t="s">
        <v>52</v>
      </c>
      <c r="RM8" s="2" t="s">
        <v>21</v>
      </c>
      <c r="RN8" s="2" t="s">
        <v>56</v>
      </c>
      <c r="RO8" s="2" t="s">
        <v>29</v>
      </c>
      <c r="RP8" s="2" t="s">
        <v>21</v>
      </c>
      <c r="RQ8" s="2" t="s">
        <v>52</v>
      </c>
      <c r="RR8" s="2" t="s">
        <v>21</v>
      </c>
      <c r="RS8" s="2" t="s">
        <v>52</v>
      </c>
      <c r="RT8" s="2" t="s">
        <v>56</v>
      </c>
      <c r="RU8" s="2" t="s">
        <v>21</v>
      </c>
      <c r="RV8" s="2" t="s">
        <v>56</v>
      </c>
      <c r="RW8" s="2" t="s">
        <v>29</v>
      </c>
      <c r="RX8" s="2" t="s">
        <v>52</v>
      </c>
      <c r="RY8" s="2" t="s">
        <v>52</v>
      </c>
      <c r="RZ8" s="2" t="s">
        <v>56</v>
      </c>
      <c r="SA8" s="2" t="s">
        <v>29</v>
      </c>
      <c r="SB8" s="2" t="s">
        <v>21</v>
      </c>
      <c r="SC8" s="2" t="s">
        <v>21</v>
      </c>
      <c r="SD8" s="2" t="s">
        <v>52</v>
      </c>
      <c r="SE8" s="2" t="s">
        <v>56</v>
      </c>
      <c r="SF8" s="2" t="s">
        <v>56</v>
      </c>
      <c r="SG8" s="2" t="s">
        <v>21</v>
      </c>
      <c r="SH8" s="2" t="s">
        <v>29</v>
      </c>
      <c r="SI8" s="2" t="s">
        <v>29</v>
      </c>
      <c r="SJ8" s="2" t="s">
        <v>21</v>
      </c>
      <c r="SK8" s="2" t="s">
        <v>21</v>
      </c>
      <c r="SL8" s="2" t="s">
        <v>56</v>
      </c>
      <c r="SM8" s="2" t="s">
        <v>29</v>
      </c>
      <c r="SN8" s="2" t="s">
        <v>21</v>
      </c>
      <c r="SO8" s="2" t="s">
        <v>21</v>
      </c>
      <c r="SP8" s="2" t="s">
        <v>52</v>
      </c>
      <c r="SQ8" s="2" t="s">
        <v>21</v>
      </c>
      <c r="SR8" s="2" t="s">
        <v>21</v>
      </c>
      <c r="SS8" s="2" t="s">
        <v>29</v>
      </c>
      <c r="ST8" s="2" t="s">
        <v>56</v>
      </c>
      <c r="SU8" s="2" t="s">
        <v>29</v>
      </c>
      <c r="SV8" s="2" t="s">
        <v>56</v>
      </c>
      <c r="SW8" s="2" t="s">
        <v>52</v>
      </c>
      <c r="SX8" s="2" t="s">
        <v>21</v>
      </c>
      <c r="SY8" s="2" t="s">
        <v>52</v>
      </c>
      <c r="SZ8" s="2" t="s">
        <v>56</v>
      </c>
      <c r="TA8" s="2" t="s">
        <v>29</v>
      </c>
      <c r="TB8" s="2" t="s">
        <v>29</v>
      </c>
      <c r="TC8" s="2" t="s">
        <v>52</v>
      </c>
      <c r="TD8" s="2" t="s">
        <v>56</v>
      </c>
      <c r="TE8" s="2" t="s">
        <v>52</v>
      </c>
      <c r="TF8" s="2" t="s">
        <v>52</v>
      </c>
      <c r="TG8" s="2" t="s">
        <v>21</v>
      </c>
      <c r="TH8" s="2" t="s">
        <v>52</v>
      </c>
      <c r="TI8" s="2" t="s">
        <v>21</v>
      </c>
      <c r="TJ8" s="2" t="s">
        <v>21</v>
      </c>
      <c r="TK8" s="2" t="s">
        <v>29</v>
      </c>
      <c r="TL8" s="2" t="s">
        <v>21</v>
      </c>
      <c r="TM8" s="2" t="s">
        <v>21</v>
      </c>
      <c r="TN8" s="2" t="s">
        <v>29</v>
      </c>
      <c r="TO8" s="2" t="s">
        <v>52</v>
      </c>
      <c r="TP8" s="2" t="s">
        <v>56</v>
      </c>
      <c r="TQ8" s="2" t="s">
        <v>56</v>
      </c>
      <c r="TR8" s="2" t="s">
        <v>56</v>
      </c>
      <c r="TS8" s="2" t="s">
        <v>52</v>
      </c>
      <c r="TT8" s="2" t="s">
        <v>21</v>
      </c>
      <c r="TU8" s="2" t="s">
        <v>56</v>
      </c>
      <c r="TV8" s="2" t="s">
        <v>52</v>
      </c>
      <c r="TW8" s="2" t="s">
        <v>21</v>
      </c>
      <c r="TX8" s="2" t="s">
        <v>29</v>
      </c>
      <c r="TY8" s="2" t="s">
        <v>56</v>
      </c>
      <c r="TZ8" s="2" t="s">
        <v>21</v>
      </c>
      <c r="UA8" s="2" t="s">
        <v>56</v>
      </c>
      <c r="UB8" s="2" t="s">
        <v>56</v>
      </c>
      <c r="UC8" s="2" t="s">
        <v>56</v>
      </c>
      <c r="UD8" s="2" t="s">
        <v>21</v>
      </c>
      <c r="UE8" s="2" t="s">
        <v>52</v>
      </c>
      <c r="UF8" s="2" t="s">
        <v>21</v>
      </c>
      <c r="UG8" s="2" t="s">
        <v>56</v>
      </c>
      <c r="UH8" s="2" t="s">
        <v>21</v>
      </c>
      <c r="UI8" s="2" t="s">
        <v>29</v>
      </c>
      <c r="UJ8" s="2" t="s">
        <v>52</v>
      </c>
      <c r="UK8" s="2" t="s">
        <v>21</v>
      </c>
      <c r="UL8" s="2" t="s">
        <v>29</v>
      </c>
      <c r="UM8" s="2" t="s">
        <v>52</v>
      </c>
      <c r="UN8" s="2" t="s">
        <v>29</v>
      </c>
      <c r="UO8" s="2" t="s">
        <v>52</v>
      </c>
      <c r="UP8" s="2" t="s">
        <v>21</v>
      </c>
      <c r="UQ8" s="2" t="s">
        <v>29</v>
      </c>
      <c r="UR8" s="2" t="s">
        <v>56</v>
      </c>
      <c r="US8" s="2" t="s">
        <v>29</v>
      </c>
      <c r="UT8" s="2" t="s">
        <v>52</v>
      </c>
      <c r="UU8" s="2" t="s">
        <v>21</v>
      </c>
      <c r="UV8" s="2" t="s">
        <v>52</v>
      </c>
      <c r="UW8" s="2" t="s">
        <v>29</v>
      </c>
      <c r="UX8" s="2" t="s">
        <v>29</v>
      </c>
      <c r="UY8" s="2" t="s">
        <v>56</v>
      </c>
      <c r="UZ8" s="2" t="s">
        <v>21</v>
      </c>
      <c r="VA8" s="2" t="s">
        <v>21</v>
      </c>
      <c r="VB8" s="2" t="s">
        <v>29</v>
      </c>
      <c r="VC8" s="2" t="s">
        <v>21</v>
      </c>
      <c r="VD8" s="2" t="s">
        <v>56</v>
      </c>
      <c r="VE8" s="2" t="s">
        <v>52</v>
      </c>
      <c r="VF8" s="2" t="s">
        <v>21</v>
      </c>
      <c r="VG8" s="2" t="s">
        <v>29</v>
      </c>
      <c r="VH8" s="2" t="s">
        <v>52</v>
      </c>
      <c r="VI8" s="2" t="s">
        <v>52</v>
      </c>
      <c r="VJ8" s="2" t="s">
        <v>56</v>
      </c>
      <c r="VK8" s="2" t="s">
        <v>29</v>
      </c>
      <c r="VL8" s="2" t="s">
        <v>21</v>
      </c>
      <c r="VM8" s="2" t="s">
        <v>29</v>
      </c>
      <c r="VN8" s="2" t="s">
        <v>52</v>
      </c>
      <c r="VO8" s="2" t="s">
        <v>29</v>
      </c>
      <c r="VP8" s="2" t="s">
        <v>21</v>
      </c>
      <c r="VQ8" s="2" t="s">
        <v>21</v>
      </c>
      <c r="VR8" s="2" t="s">
        <v>56</v>
      </c>
      <c r="VS8" s="2" t="s">
        <v>21</v>
      </c>
      <c r="VT8" s="2" t="s">
        <v>21</v>
      </c>
      <c r="VU8" s="2" t="s">
        <v>29</v>
      </c>
      <c r="VV8" s="2" t="s">
        <v>29</v>
      </c>
      <c r="VW8" s="2" t="s">
        <v>52</v>
      </c>
      <c r="VX8" s="2" t="s">
        <v>56</v>
      </c>
      <c r="VY8" s="2" t="s">
        <v>29</v>
      </c>
      <c r="VZ8" s="2" t="s">
        <v>21</v>
      </c>
      <c r="WA8" s="2" t="s">
        <v>52</v>
      </c>
      <c r="WB8" s="2" t="s">
        <v>29</v>
      </c>
      <c r="WC8" s="2" t="s">
        <v>56</v>
      </c>
      <c r="WD8" s="2" t="s">
        <v>56</v>
      </c>
      <c r="WE8" s="2" t="s">
        <v>52</v>
      </c>
      <c r="WF8" s="2" t="s">
        <v>52</v>
      </c>
      <c r="WG8" s="2" t="s">
        <v>52</v>
      </c>
      <c r="WH8" s="2" t="s">
        <v>52</v>
      </c>
      <c r="WI8" s="2" t="s">
        <v>52</v>
      </c>
      <c r="WJ8" s="2" t="s">
        <v>21</v>
      </c>
      <c r="WK8" s="2" t="s">
        <v>21</v>
      </c>
      <c r="WL8" s="2" t="s">
        <v>29</v>
      </c>
      <c r="WM8" s="2" t="s">
        <v>56</v>
      </c>
      <c r="WN8" s="2" t="s">
        <v>21</v>
      </c>
      <c r="WO8" s="2" t="s">
        <v>21</v>
      </c>
      <c r="WP8" s="2" t="s">
        <v>21</v>
      </c>
      <c r="WQ8" s="2" t="s">
        <v>29</v>
      </c>
      <c r="WR8" s="2" t="s">
        <v>52</v>
      </c>
      <c r="WS8" s="2" t="s">
        <v>29</v>
      </c>
      <c r="WT8" s="2" t="s">
        <v>56</v>
      </c>
      <c r="WU8" s="2" t="s">
        <v>56</v>
      </c>
      <c r="WV8" s="2" t="s">
        <v>56</v>
      </c>
      <c r="WW8" s="2" t="s">
        <v>56</v>
      </c>
      <c r="WX8" s="2" t="s">
        <v>21</v>
      </c>
      <c r="WY8" s="2" t="s">
        <v>21</v>
      </c>
      <c r="WZ8" s="2" t="s">
        <v>29</v>
      </c>
      <c r="XA8" s="2" t="s">
        <v>52</v>
      </c>
      <c r="XB8" s="2" t="s">
        <v>56</v>
      </c>
      <c r="XC8" s="2" t="s">
        <v>29</v>
      </c>
      <c r="XD8" s="2" t="s">
        <v>21</v>
      </c>
      <c r="XE8" s="2" t="s">
        <v>21</v>
      </c>
      <c r="XF8" s="2" t="s">
        <v>52</v>
      </c>
      <c r="XG8" s="2" t="s">
        <v>52</v>
      </c>
      <c r="XH8" s="2" t="s">
        <v>52</v>
      </c>
      <c r="XI8" s="2" t="s">
        <v>29</v>
      </c>
      <c r="XJ8" s="2" t="s">
        <v>21</v>
      </c>
      <c r="XK8" s="2" t="s">
        <v>21</v>
      </c>
      <c r="XL8" s="2" t="s">
        <v>52</v>
      </c>
      <c r="XM8" s="2" t="s">
        <v>56</v>
      </c>
      <c r="XN8" s="2" t="s">
        <v>52</v>
      </c>
      <c r="XO8" s="2" t="s">
        <v>29</v>
      </c>
      <c r="XP8" s="2" t="s">
        <v>52</v>
      </c>
      <c r="XQ8" s="2" t="s">
        <v>52</v>
      </c>
      <c r="XR8" s="2" t="s">
        <v>29</v>
      </c>
      <c r="XS8" s="2" t="s">
        <v>52</v>
      </c>
      <c r="XT8" s="2" t="s">
        <v>21</v>
      </c>
      <c r="XU8" s="2" t="s">
        <v>56</v>
      </c>
      <c r="XV8" s="2" t="s">
        <v>52</v>
      </c>
      <c r="XW8" s="2" t="s">
        <v>29</v>
      </c>
      <c r="XX8" s="2" t="s">
        <v>56</v>
      </c>
      <c r="XY8" s="2" t="s">
        <v>29</v>
      </c>
      <c r="XZ8" s="2" t="s">
        <v>56</v>
      </c>
      <c r="YA8" s="2" t="s">
        <v>56</v>
      </c>
      <c r="YB8" s="2" t="s">
        <v>52</v>
      </c>
      <c r="YC8" s="2" t="s">
        <v>21</v>
      </c>
      <c r="YD8" s="2" t="s">
        <v>52</v>
      </c>
      <c r="YE8" s="2" t="s">
        <v>29</v>
      </c>
      <c r="YF8" s="2" t="s">
        <v>29</v>
      </c>
      <c r="YG8" s="2" t="s">
        <v>56</v>
      </c>
      <c r="YH8" s="2" t="s">
        <v>56</v>
      </c>
      <c r="YI8" s="2" t="s">
        <v>21</v>
      </c>
      <c r="YJ8" s="2" t="s">
        <v>52</v>
      </c>
      <c r="YK8" s="2" t="s">
        <v>29</v>
      </c>
      <c r="YL8" s="2" t="s">
        <v>56</v>
      </c>
      <c r="YM8" s="2" t="s">
        <v>21</v>
      </c>
      <c r="YN8" s="2" t="s">
        <v>29</v>
      </c>
      <c r="YO8" s="2" t="s">
        <v>56</v>
      </c>
      <c r="YP8" s="2" t="s">
        <v>29</v>
      </c>
      <c r="YQ8" s="2" t="s">
        <v>21</v>
      </c>
      <c r="YR8" s="2" t="s">
        <v>21</v>
      </c>
      <c r="YS8" s="2" t="s">
        <v>29</v>
      </c>
      <c r="YT8" s="2" t="s">
        <v>52</v>
      </c>
      <c r="YU8" s="2" t="s">
        <v>29</v>
      </c>
      <c r="YV8" s="2" t="s">
        <v>56</v>
      </c>
      <c r="YW8" s="2" t="s">
        <v>52</v>
      </c>
      <c r="YX8" s="2" t="s">
        <v>56</v>
      </c>
      <c r="YY8" s="2" t="s">
        <v>29</v>
      </c>
      <c r="YZ8" s="2" t="s">
        <v>52</v>
      </c>
      <c r="ZA8" s="2" t="s">
        <v>56</v>
      </c>
      <c r="ZB8" s="2" t="s">
        <v>29</v>
      </c>
      <c r="ZC8" s="2" t="s">
        <v>29</v>
      </c>
      <c r="ZD8" s="2" t="s">
        <v>52</v>
      </c>
      <c r="ZE8" s="2" t="s">
        <v>29</v>
      </c>
      <c r="ZF8" s="2" t="s">
        <v>21</v>
      </c>
      <c r="ZG8" s="2" t="s">
        <v>56</v>
      </c>
      <c r="ZH8" s="2" t="s">
        <v>56</v>
      </c>
      <c r="ZI8" s="2" t="s">
        <v>29</v>
      </c>
      <c r="ZJ8" s="2" t="s">
        <v>29</v>
      </c>
      <c r="ZK8" s="2" t="s">
        <v>21</v>
      </c>
      <c r="ZL8" s="2" t="s">
        <v>52</v>
      </c>
      <c r="ZM8" s="2" t="s">
        <v>29</v>
      </c>
      <c r="ZN8" s="2" t="s">
        <v>29</v>
      </c>
      <c r="ZO8" s="2" t="s">
        <v>29</v>
      </c>
      <c r="ZP8" s="2" t="s">
        <v>29</v>
      </c>
      <c r="ZQ8" s="2" t="s">
        <v>56</v>
      </c>
      <c r="ZR8" s="2" t="s">
        <v>29</v>
      </c>
      <c r="ZS8" s="2" t="s">
        <v>56</v>
      </c>
      <c r="ZT8" s="2" t="s">
        <v>29</v>
      </c>
      <c r="ZU8" s="2" t="s">
        <v>52</v>
      </c>
      <c r="ZV8" s="2" t="s">
        <v>21</v>
      </c>
      <c r="ZW8" s="2" t="s">
        <v>52</v>
      </c>
      <c r="ZX8" s="2" t="s">
        <v>29</v>
      </c>
      <c r="ZY8" s="2" t="s">
        <v>29</v>
      </c>
      <c r="ZZ8" s="2" t="s">
        <v>29</v>
      </c>
      <c r="AAA8" s="2" t="s">
        <v>52</v>
      </c>
      <c r="AAB8" s="2" t="s">
        <v>29</v>
      </c>
      <c r="AAC8" s="2" t="s">
        <v>52</v>
      </c>
      <c r="AAD8" s="2" t="s">
        <v>56</v>
      </c>
      <c r="AAE8" s="2" t="s">
        <v>21</v>
      </c>
      <c r="AAF8" s="2" t="s">
        <v>21</v>
      </c>
      <c r="AAG8" s="2" t="s">
        <v>52</v>
      </c>
      <c r="AAH8" s="2" t="s">
        <v>56</v>
      </c>
      <c r="AAI8" s="2" t="s">
        <v>52</v>
      </c>
      <c r="AAJ8" s="2" t="s">
        <v>56</v>
      </c>
      <c r="AAK8" s="2" t="s">
        <v>29</v>
      </c>
      <c r="AAL8" s="2" t="s">
        <v>56</v>
      </c>
      <c r="AAM8" s="2" t="s">
        <v>56</v>
      </c>
      <c r="AAN8" s="2" t="s">
        <v>56</v>
      </c>
      <c r="AAO8" s="2" t="s">
        <v>21</v>
      </c>
      <c r="AAP8" s="2" t="s">
        <v>56</v>
      </c>
      <c r="AAQ8" s="2" t="s">
        <v>29</v>
      </c>
      <c r="AAR8" s="2" t="s">
        <v>29</v>
      </c>
      <c r="AAS8" s="2" t="s">
        <v>29</v>
      </c>
      <c r="AAT8" s="2" t="s">
        <v>56</v>
      </c>
      <c r="AAU8" s="2" t="s">
        <v>52</v>
      </c>
      <c r="AAV8" s="2" t="s">
        <v>52</v>
      </c>
      <c r="AAW8" s="2" t="s">
        <v>29</v>
      </c>
      <c r="AAX8" s="2" t="s">
        <v>21</v>
      </c>
      <c r="AAY8" s="2" t="s">
        <v>52</v>
      </c>
      <c r="AAZ8" s="2" t="s">
        <v>56</v>
      </c>
      <c r="ABA8" s="2" t="s">
        <v>52</v>
      </c>
      <c r="ABB8" s="2" t="s">
        <v>29</v>
      </c>
      <c r="ABC8" s="2" t="s">
        <v>21</v>
      </c>
      <c r="ABD8" s="2" t="s">
        <v>52</v>
      </c>
      <c r="ABE8" s="2" t="s">
        <v>52</v>
      </c>
      <c r="ABF8" s="2" t="s">
        <v>29</v>
      </c>
      <c r="ABG8" s="2" t="s">
        <v>21</v>
      </c>
      <c r="ABH8" s="2" t="s">
        <v>21</v>
      </c>
      <c r="ABI8" s="2" t="s">
        <v>29</v>
      </c>
      <c r="ABJ8" s="2" t="s">
        <v>56</v>
      </c>
      <c r="ABK8" s="2" t="s">
        <v>52</v>
      </c>
      <c r="ABL8" s="2" t="s">
        <v>56</v>
      </c>
      <c r="ABM8" s="2" t="s">
        <v>52</v>
      </c>
      <c r="ABN8" s="2" t="s">
        <v>52</v>
      </c>
      <c r="ABO8" s="2" t="s">
        <v>56</v>
      </c>
      <c r="ABP8" s="2" t="s">
        <v>29</v>
      </c>
      <c r="ABQ8" s="2" t="s">
        <v>29</v>
      </c>
      <c r="ABR8" s="2" t="s">
        <v>52</v>
      </c>
      <c r="ABS8" s="2" t="s">
        <v>29</v>
      </c>
      <c r="ABT8" s="2" t="s">
        <v>52</v>
      </c>
      <c r="ABU8" s="2" t="s">
        <v>29</v>
      </c>
      <c r="ABV8" s="2" t="s">
        <v>52</v>
      </c>
      <c r="ABW8" s="2" t="s">
        <v>29</v>
      </c>
      <c r="ABX8" s="2" t="s">
        <v>21</v>
      </c>
      <c r="ABY8" s="2" t="s">
        <v>56</v>
      </c>
      <c r="ABZ8" s="2" t="s">
        <v>21</v>
      </c>
      <c r="ACA8" s="2" t="s">
        <v>56</v>
      </c>
      <c r="ACB8" s="2" t="s">
        <v>56</v>
      </c>
      <c r="ACC8" s="2" t="s">
        <v>52</v>
      </c>
      <c r="ACD8" s="2" t="s">
        <v>56</v>
      </c>
      <c r="ACE8" s="2" t="s">
        <v>21</v>
      </c>
      <c r="ACF8" s="2" t="s">
        <v>21</v>
      </c>
      <c r="ACG8" s="2" t="s">
        <v>29</v>
      </c>
      <c r="ACH8" s="2" t="s">
        <v>21</v>
      </c>
      <c r="ACI8" s="2" t="s">
        <v>29</v>
      </c>
      <c r="ACJ8" s="2" t="s">
        <v>56</v>
      </c>
      <c r="ACK8" s="2" t="s">
        <v>21</v>
      </c>
      <c r="ACL8" s="2" t="s">
        <v>56</v>
      </c>
      <c r="ACM8" s="2" t="s">
        <v>21</v>
      </c>
      <c r="ACN8" s="2" t="s">
        <v>21</v>
      </c>
      <c r="ACO8" s="2" t="s">
        <v>29</v>
      </c>
      <c r="ACP8" s="2" t="s">
        <v>56</v>
      </c>
      <c r="ACQ8" s="2" t="s">
        <v>21</v>
      </c>
      <c r="ACR8" s="2" t="s">
        <v>52</v>
      </c>
      <c r="ACS8" s="2" t="s">
        <v>56</v>
      </c>
      <c r="ACT8" s="2" t="s">
        <v>56</v>
      </c>
      <c r="ACU8" s="2" t="s">
        <v>56</v>
      </c>
      <c r="ACV8" s="2" t="s">
        <v>29</v>
      </c>
      <c r="ACW8" s="2" t="s">
        <v>52</v>
      </c>
      <c r="ACX8" s="2" t="s">
        <v>56</v>
      </c>
      <c r="ACY8" s="2" t="s">
        <v>21</v>
      </c>
      <c r="ACZ8" s="2" t="s">
        <v>21</v>
      </c>
      <c r="ADA8" s="2" t="s">
        <v>29</v>
      </c>
      <c r="ADB8" s="2" t="s">
        <v>21</v>
      </c>
      <c r="ADC8" s="2" t="s">
        <v>56</v>
      </c>
      <c r="ADD8" s="2" t="s">
        <v>21</v>
      </c>
      <c r="ADE8" s="2" t="s">
        <v>56</v>
      </c>
      <c r="ADF8" s="2" t="s">
        <v>21</v>
      </c>
      <c r="ADG8" s="2" t="s">
        <v>52</v>
      </c>
      <c r="ADH8" s="2" t="s">
        <v>29</v>
      </c>
      <c r="ADI8" s="2" t="s">
        <v>29</v>
      </c>
      <c r="ADJ8" s="2" t="s">
        <v>52</v>
      </c>
      <c r="ADK8" s="2" t="s">
        <v>52</v>
      </c>
      <c r="ADL8" s="2" t="s">
        <v>29</v>
      </c>
      <c r="ADM8" s="2" t="s">
        <v>52</v>
      </c>
      <c r="ADN8" s="2" t="s">
        <v>56</v>
      </c>
      <c r="ADO8" s="2" t="s">
        <v>21</v>
      </c>
      <c r="ADP8" s="2" t="s">
        <v>29</v>
      </c>
      <c r="ADQ8" s="2" t="s">
        <v>52</v>
      </c>
      <c r="ADR8" s="2" t="s">
        <v>56</v>
      </c>
      <c r="ADS8" s="2" t="s">
        <v>29</v>
      </c>
      <c r="ADT8" s="2" t="s">
        <v>52</v>
      </c>
      <c r="ADU8" s="2" t="s">
        <v>29</v>
      </c>
      <c r="ADV8" s="2" t="s">
        <v>52</v>
      </c>
      <c r="ADW8" s="2" t="s">
        <v>29</v>
      </c>
      <c r="ADX8" s="2" t="s">
        <v>56</v>
      </c>
      <c r="ADY8" s="2" t="s">
        <v>56</v>
      </c>
      <c r="ADZ8" s="2" t="s">
        <v>21</v>
      </c>
      <c r="AEA8" s="2" t="s">
        <v>29</v>
      </c>
      <c r="AEB8" s="2" t="s">
        <v>21</v>
      </c>
      <c r="AEC8" s="2" t="s">
        <v>29</v>
      </c>
      <c r="AED8" s="2" t="s">
        <v>52</v>
      </c>
      <c r="AEE8" s="2" t="s">
        <v>52</v>
      </c>
      <c r="AEF8" s="2" t="s">
        <v>21</v>
      </c>
      <c r="AEG8" s="2" t="s">
        <v>29</v>
      </c>
      <c r="AEH8" s="2" t="s">
        <v>21</v>
      </c>
      <c r="AEI8" s="2" t="s">
        <v>56</v>
      </c>
      <c r="AEJ8" s="2" t="s">
        <v>21</v>
      </c>
      <c r="AEK8" s="2" t="s">
        <v>21</v>
      </c>
      <c r="AEL8" s="2" t="s">
        <v>52</v>
      </c>
      <c r="AEM8" s="2" t="s">
        <v>21</v>
      </c>
      <c r="AEN8" s="2" t="s">
        <v>29</v>
      </c>
      <c r="AEO8" s="2" t="s">
        <v>52</v>
      </c>
      <c r="AEP8" s="2" t="s">
        <v>21</v>
      </c>
      <c r="AEQ8" s="2" t="s">
        <v>56</v>
      </c>
      <c r="AER8" s="2" t="s">
        <v>21</v>
      </c>
      <c r="AES8" s="2" t="s">
        <v>21</v>
      </c>
      <c r="AET8" s="2" t="s">
        <v>21</v>
      </c>
      <c r="AEU8" s="2" t="s">
        <v>52</v>
      </c>
      <c r="AEV8" s="2" t="s">
        <v>29</v>
      </c>
      <c r="AEW8" s="2" t="s">
        <v>56</v>
      </c>
      <c r="AEX8" s="2" t="s">
        <v>21</v>
      </c>
      <c r="AEY8" s="2" t="s">
        <v>29</v>
      </c>
      <c r="AEZ8" s="2" t="s">
        <v>29</v>
      </c>
      <c r="AFA8" s="2" t="s">
        <v>52</v>
      </c>
      <c r="AFB8" s="2" t="s">
        <v>56</v>
      </c>
      <c r="AFC8" s="2" t="s">
        <v>52</v>
      </c>
      <c r="AFD8" s="2" t="s">
        <v>29</v>
      </c>
      <c r="AFE8" s="2" t="s">
        <v>29</v>
      </c>
      <c r="AFF8" s="2" t="s">
        <v>29</v>
      </c>
      <c r="AFG8" s="2" t="s">
        <v>52</v>
      </c>
      <c r="AFH8" s="2" t="s">
        <v>56</v>
      </c>
      <c r="AFI8" s="2" t="s">
        <v>21</v>
      </c>
      <c r="AFJ8" s="2" t="s">
        <v>52</v>
      </c>
      <c r="AFK8" s="2" t="s">
        <v>29</v>
      </c>
      <c r="AFL8" s="2" t="s">
        <v>52</v>
      </c>
      <c r="AFM8" s="2" t="s">
        <v>29</v>
      </c>
      <c r="AFN8" s="2" t="s">
        <v>21</v>
      </c>
      <c r="AFO8" s="2" t="s">
        <v>21</v>
      </c>
      <c r="AFP8" s="2" t="s">
        <v>56</v>
      </c>
      <c r="AFQ8" s="2" t="s">
        <v>29</v>
      </c>
      <c r="AFR8" s="2" t="s">
        <v>56</v>
      </c>
      <c r="AFS8" s="2" t="s">
        <v>56</v>
      </c>
      <c r="AFT8" s="2" t="s">
        <v>21</v>
      </c>
      <c r="AFU8" s="2" t="s">
        <v>52</v>
      </c>
      <c r="AFV8" s="2" t="s">
        <v>52</v>
      </c>
      <c r="AFW8" s="2" t="s">
        <v>56</v>
      </c>
      <c r="AFX8" s="2" t="s">
        <v>21</v>
      </c>
      <c r="AFY8" s="2" t="s">
        <v>29</v>
      </c>
      <c r="AFZ8" s="2" t="s">
        <v>52</v>
      </c>
      <c r="AGA8" s="2" t="s">
        <v>56</v>
      </c>
      <c r="AGB8" s="2" t="s">
        <v>52</v>
      </c>
      <c r="AGC8" s="2" t="s">
        <v>52</v>
      </c>
      <c r="AGD8" s="2" t="s">
        <v>29</v>
      </c>
      <c r="AGE8" s="2" t="s">
        <v>21</v>
      </c>
      <c r="AGF8" s="2" t="s">
        <v>29</v>
      </c>
      <c r="AGG8" s="2" t="s">
        <v>21</v>
      </c>
      <c r="AGH8" s="2" t="s">
        <v>52</v>
      </c>
      <c r="AGI8" s="2" t="s">
        <v>56</v>
      </c>
      <c r="AGJ8" s="2" t="s">
        <v>29</v>
      </c>
      <c r="AGK8" s="2" t="s">
        <v>21</v>
      </c>
      <c r="AGL8" s="2" t="s">
        <v>52</v>
      </c>
      <c r="AGM8" s="2" t="s">
        <v>21</v>
      </c>
      <c r="AGN8" s="2" t="s">
        <v>21</v>
      </c>
      <c r="AGO8" s="2" t="s">
        <v>21</v>
      </c>
      <c r="AGP8" s="2" t="s">
        <v>52</v>
      </c>
      <c r="AGQ8" s="2" t="s">
        <v>56</v>
      </c>
      <c r="AGR8" s="2" t="s">
        <v>56</v>
      </c>
      <c r="AGS8" s="2" t="s">
        <v>56</v>
      </c>
      <c r="AGT8" s="2" t="s">
        <v>21</v>
      </c>
      <c r="AGU8" s="2" t="s">
        <v>52</v>
      </c>
      <c r="AGV8" s="2" t="s">
        <v>21</v>
      </c>
      <c r="AGW8" s="2" t="s">
        <v>56</v>
      </c>
      <c r="AGX8" s="2" t="s">
        <v>56</v>
      </c>
      <c r="AGY8" s="2" t="s">
        <v>52</v>
      </c>
      <c r="AGZ8" s="2" t="s">
        <v>21</v>
      </c>
      <c r="AHA8" s="2" t="s">
        <v>29</v>
      </c>
      <c r="AHB8" s="2" t="s">
        <v>29</v>
      </c>
      <c r="AHC8" s="2" t="s">
        <v>56</v>
      </c>
      <c r="AHD8" s="2" t="s">
        <v>52</v>
      </c>
      <c r="AHE8" s="2" t="s">
        <v>21</v>
      </c>
      <c r="AHF8" s="2" t="s">
        <v>21</v>
      </c>
      <c r="AHG8" s="2" t="s">
        <v>56</v>
      </c>
      <c r="AHH8" s="2" t="s">
        <v>56</v>
      </c>
      <c r="AHI8" s="2" t="s">
        <v>21</v>
      </c>
      <c r="AHJ8" s="2" t="s">
        <v>21</v>
      </c>
      <c r="AHK8" s="2" t="s">
        <v>56</v>
      </c>
      <c r="AHL8" s="2" t="s">
        <v>21</v>
      </c>
      <c r="AHM8" s="2" t="s">
        <v>29</v>
      </c>
      <c r="AHN8" s="2" t="s">
        <v>56</v>
      </c>
      <c r="AHO8" s="2" t="s">
        <v>21</v>
      </c>
      <c r="AHP8" s="2" t="s">
        <v>56</v>
      </c>
      <c r="AHQ8" s="2" t="s">
        <v>52</v>
      </c>
      <c r="AHR8" s="2" t="s">
        <v>56</v>
      </c>
      <c r="AHS8" s="2" t="s">
        <v>56</v>
      </c>
      <c r="AHT8" s="2" t="s">
        <v>52</v>
      </c>
      <c r="AHU8" s="2" t="s">
        <v>29</v>
      </c>
      <c r="AHV8" s="2" t="s">
        <v>21</v>
      </c>
      <c r="AHW8" s="2" t="s">
        <v>52</v>
      </c>
      <c r="AHX8" s="2" t="s">
        <v>56</v>
      </c>
      <c r="AHY8" s="2" t="s">
        <v>21</v>
      </c>
      <c r="AHZ8" s="2" t="s">
        <v>52</v>
      </c>
      <c r="AIA8" s="2" t="s">
        <v>21</v>
      </c>
      <c r="AIB8" s="2" t="s">
        <v>21</v>
      </c>
      <c r="AIC8" s="2" t="s">
        <v>52</v>
      </c>
      <c r="AID8" s="2" t="s">
        <v>21</v>
      </c>
      <c r="AIE8" s="2" t="s">
        <v>29</v>
      </c>
      <c r="AIF8" s="2" t="s">
        <v>52</v>
      </c>
      <c r="AIG8" s="2" t="s">
        <v>29</v>
      </c>
      <c r="AIH8" s="2" t="s">
        <v>56</v>
      </c>
      <c r="AII8" s="2" t="s">
        <v>21</v>
      </c>
      <c r="AIJ8" s="2" t="s">
        <v>56</v>
      </c>
      <c r="AIK8" s="2" t="s">
        <v>56</v>
      </c>
      <c r="AIL8" s="2" t="s">
        <v>21</v>
      </c>
      <c r="AIM8" s="2" t="s">
        <v>52</v>
      </c>
      <c r="AIN8" s="2" t="s">
        <v>21</v>
      </c>
      <c r="AIO8" s="2" t="s">
        <v>56</v>
      </c>
      <c r="AIP8" s="2" t="s">
        <v>56</v>
      </c>
      <c r="AIQ8" s="2" t="s">
        <v>52</v>
      </c>
      <c r="AIR8" s="2" t="s">
        <v>21</v>
      </c>
      <c r="AIS8" s="2" t="s">
        <v>56</v>
      </c>
      <c r="AIT8" s="2" t="s">
        <v>29</v>
      </c>
      <c r="AIU8" s="2" t="s">
        <v>56</v>
      </c>
      <c r="AIV8" s="2" t="s">
        <v>56</v>
      </c>
      <c r="AIW8" s="2" t="s">
        <v>52</v>
      </c>
      <c r="AIX8" s="2" t="s">
        <v>29</v>
      </c>
      <c r="AIY8" s="2" t="s">
        <v>56</v>
      </c>
      <c r="AIZ8" s="2" t="s">
        <v>56</v>
      </c>
      <c r="AJA8" s="2" t="s">
        <v>29</v>
      </c>
      <c r="AJB8" s="2" t="s">
        <v>21</v>
      </c>
      <c r="AJC8" s="2" t="s">
        <v>21</v>
      </c>
      <c r="AJD8" s="2" t="s">
        <v>56</v>
      </c>
      <c r="AJE8" s="2" t="s">
        <v>56</v>
      </c>
      <c r="AJF8" s="2" t="s">
        <v>21</v>
      </c>
      <c r="AJG8" s="2" t="s">
        <v>52</v>
      </c>
      <c r="AJH8" s="2" t="s">
        <v>29</v>
      </c>
      <c r="AJI8" s="2" t="s">
        <v>29</v>
      </c>
      <c r="AJJ8" s="2" t="s">
        <v>52</v>
      </c>
      <c r="AJK8" s="2" t="s">
        <v>52</v>
      </c>
      <c r="AJL8" s="2" t="s">
        <v>52</v>
      </c>
      <c r="AJM8" s="2" t="s">
        <v>52</v>
      </c>
      <c r="AJN8" s="2" t="s">
        <v>52</v>
      </c>
      <c r="AJO8" s="2" t="s">
        <v>52</v>
      </c>
      <c r="AJP8" s="2" t="s">
        <v>29</v>
      </c>
      <c r="AJQ8" s="2" t="s">
        <v>52</v>
      </c>
      <c r="AJR8" s="2" t="s">
        <v>21</v>
      </c>
      <c r="AJS8" s="2" t="s">
        <v>52</v>
      </c>
      <c r="AJT8" s="2" t="s">
        <v>52</v>
      </c>
      <c r="AJU8" s="2" t="s">
        <v>29</v>
      </c>
      <c r="AJV8" s="2" t="s">
        <v>29</v>
      </c>
      <c r="AJW8" s="2" t="s">
        <v>52</v>
      </c>
      <c r="AJX8" s="2" t="s">
        <v>29</v>
      </c>
      <c r="AJY8" s="2" t="s">
        <v>56</v>
      </c>
      <c r="AJZ8" s="2" t="s">
        <v>29</v>
      </c>
      <c r="AKA8" s="2" t="s">
        <v>29</v>
      </c>
      <c r="AKB8" s="2" t="s">
        <v>29</v>
      </c>
      <c r="AKC8" s="2" t="s">
        <v>29</v>
      </c>
      <c r="AKD8" s="2" t="s">
        <v>21</v>
      </c>
      <c r="AKE8" s="2" t="s">
        <v>21</v>
      </c>
      <c r="AKF8" s="2" t="s">
        <v>21</v>
      </c>
      <c r="AKG8" s="2" t="s">
        <v>52</v>
      </c>
      <c r="AKH8" s="2" t="s">
        <v>52</v>
      </c>
      <c r="AKI8" s="2" t="s">
        <v>56</v>
      </c>
      <c r="AKJ8" s="2" t="s">
        <v>21</v>
      </c>
      <c r="AKK8" s="2" t="s">
        <v>52</v>
      </c>
      <c r="AKL8" s="2" t="s">
        <v>29</v>
      </c>
      <c r="AKM8" s="2" t="s">
        <v>29</v>
      </c>
      <c r="AKN8" s="2" t="s">
        <v>21</v>
      </c>
      <c r="AKO8" s="2" t="s">
        <v>56</v>
      </c>
      <c r="AKP8" s="2" t="s">
        <v>56</v>
      </c>
      <c r="AKQ8" s="2" t="s">
        <v>29</v>
      </c>
      <c r="AKR8" s="2" t="s">
        <v>56</v>
      </c>
      <c r="AKS8" s="2" t="s">
        <v>21</v>
      </c>
      <c r="AKT8" s="2" t="s">
        <v>29</v>
      </c>
      <c r="AKU8" s="2" t="s">
        <v>52</v>
      </c>
      <c r="AKV8" s="2" t="s">
        <v>52</v>
      </c>
      <c r="AKW8" s="2" t="s">
        <v>56</v>
      </c>
      <c r="AKX8" s="2" t="s">
        <v>29</v>
      </c>
      <c r="AKY8" s="2" t="s">
        <v>29</v>
      </c>
      <c r="AKZ8" s="2" t="s">
        <v>52</v>
      </c>
      <c r="ALA8" s="2" t="s">
        <v>29</v>
      </c>
      <c r="ALB8" s="2" t="s">
        <v>29</v>
      </c>
      <c r="ALC8" s="2" t="s">
        <v>29</v>
      </c>
      <c r="ALD8" s="2" t="s">
        <v>56</v>
      </c>
      <c r="ALE8" s="2" t="s">
        <v>29</v>
      </c>
      <c r="ALF8" s="2" t="s">
        <v>21</v>
      </c>
      <c r="ALG8" s="2" t="s">
        <v>56</v>
      </c>
      <c r="ALH8" s="2" t="s">
        <v>29</v>
      </c>
      <c r="ALI8" s="2" t="s">
        <v>29</v>
      </c>
      <c r="ALJ8" s="2" t="s">
        <v>21</v>
      </c>
      <c r="ALK8" s="2" t="s">
        <v>56</v>
      </c>
      <c r="ALL8" s="2" t="s">
        <v>52</v>
      </c>
      <c r="ALM8" s="2" t="s">
        <v>52</v>
      </c>
    </row>
    <row r="9" spans="1:1001" ht="21" x14ac:dyDescent="0.3">
      <c r="A9" s="3" t="s">
        <v>8</v>
      </c>
      <c r="B9" s="2">
        <v>74</v>
      </c>
      <c r="C9" s="2">
        <v>28</v>
      </c>
      <c r="D9" s="2">
        <v>44</v>
      </c>
      <c r="E9" s="2">
        <v>35</v>
      </c>
      <c r="F9" s="2">
        <v>63</v>
      </c>
      <c r="G9" s="2">
        <v>51</v>
      </c>
      <c r="H9" s="2">
        <v>29</v>
      </c>
      <c r="I9" s="2">
        <v>59</v>
      </c>
      <c r="J9" s="2">
        <v>65</v>
      </c>
      <c r="K9" s="2">
        <v>22</v>
      </c>
      <c r="L9" s="2">
        <v>28</v>
      </c>
      <c r="M9" s="2">
        <v>27</v>
      </c>
      <c r="N9" s="2">
        <v>64</v>
      </c>
      <c r="O9" s="2">
        <v>71</v>
      </c>
      <c r="P9" s="2">
        <v>59</v>
      </c>
      <c r="Q9" s="2">
        <v>62</v>
      </c>
      <c r="R9" s="2">
        <v>36</v>
      </c>
      <c r="S9" s="2">
        <v>55</v>
      </c>
      <c r="T9" s="2">
        <v>50</v>
      </c>
      <c r="U9" s="2">
        <v>30</v>
      </c>
      <c r="V9" s="2">
        <v>58</v>
      </c>
      <c r="W9" s="2">
        <v>38</v>
      </c>
      <c r="X9" s="2">
        <v>70</v>
      </c>
      <c r="Y9" s="2">
        <v>25</v>
      </c>
      <c r="Z9" s="2">
        <v>73</v>
      </c>
      <c r="AA9" s="2">
        <v>49</v>
      </c>
      <c r="AB9" s="2">
        <v>59</v>
      </c>
      <c r="AC9" s="2">
        <v>54</v>
      </c>
      <c r="AD9" s="2">
        <v>63</v>
      </c>
      <c r="AE9" s="2">
        <v>65</v>
      </c>
      <c r="AF9" s="2">
        <v>43</v>
      </c>
      <c r="AG9" s="2">
        <v>25</v>
      </c>
      <c r="AH9" s="2">
        <v>50</v>
      </c>
      <c r="AI9" s="2">
        <v>26</v>
      </c>
      <c r="AJ9" s="2">
        <v>66</v>
      </c>
      <c r="AK9" s="2">
        <v>64</v>
      </c>
      <c r="AL9" s="2">
        <v>24</v>
      </c>
      <c r="AM9" s="2">
        <v>49</v>
      </c>
      <c r="AN9" s="2">
        <v>43</v>
      </c>
      <c r="AO9" s="2">
        <v>26</v>
      </c>
      <c r="AP9" s="2">
        <v>52</v>
      </c>
      <c r="AQ9" s="2">
        <v>62</v>
      </c>
      <c r="AR9" s="2">
        <v>38</v>
      </c>
      <c r="AS9" s="2">
        <v>35</v>
      </c>
      <c r="AT9" s="2">
        <v>60</v>
      </c>
      <c r="AU9" s="2">
        <v>52</v>
      </c>
      <c r="AV9" s="2">
        <v>29</v>
      </c>
      <c r="AW9" s="2">
        <v>57</v>
      </c>
      <c r="AX9" s="2">
        <v>30</v>
      </c>
      <c r="AY9" s="2">
        <v>40</v>
      </c>
      <c r="AZ9" s="2">
        <v>26</v>
      </c>
      <c r="BA9" s="2">
        <v>68</v>
      </c>
      <c r="BB9" s="2">
        <v>23</v>
      </c>
      <c r="BC9" s="2">
        <v>62</v>
      </c>
      <c r="BD9" s="2">
        <v>31</v>
      </c>
      <c r="BE9" s="2">
        <v>63</v>
      </c>
      <c r="BF9" s="2">
        <v>37</v>
      </c>
      <c r="BG9" s="2">
        <v>52</v>
      </c>
      <c r="BH9" s="2">
        <v>24</v>
      </c>
      <c r="BI9" s="2">
        <v>24</v>
      </c>
      <c r="BJ9" s="2">
        <v>37</v>
      </c>
      <c r="BK9" s="2">
        <v>61</v>
      </c>
      <c r="BL9" s="2">
        <v>39</v>
      </c>
      <c r="BM9" s="2">
        <v>25</v>
      </c>
      <c r="BN9" s="2">
        <v>52</v>
      </c>
      <c r="BO9" s="2">
        <v>42</v>
      </c>
      <c r="BP9" s="2">
        <v>26</v>
      </c>
      <c r="BQ9" s="2">
        <v>55</v>
      </c>
      <c r="BR9" s="2">
        <v>42</v>
      </c>
      <c r="BS9" s="2">
        <v>21</v>
      </c>
      <c r="BT9" s="2">
        <v>40</v>
      </c>
      <c r="BU9" s="2">
        <v>42</v>
      </c>
      <c r="BV9" s="2">
        <v>68</v>
      </c>
      <c r="BW9" s="2">
        <v>31</v>
      </c>
      <c r="BX9" s="2">
        <v>33</v>
      </c>
      <c r="BY9" s="2">
        <v>62</v>
      </c>
      <c r="BZ9" s="2">
        <v>23</v>
      </c>
      <c r="CA9" s="2">
        <v>29</v>
      </c>
      <c r="CB9" s="2">
        <v>32</v>
      </c>
      <c r="CC9" s="2">
        <v>43</v>
      </c>
      <c r="CD9" s="2">
        <v>34</v>
      </c>
      <c r="CE9" s="2">
        <v>53</v>
      </c>
      <c r="CF9" s="2">
        <v>38</v>
      </c>
      <c r="CG9" s="2">
        <v>69</v>
      </c>
      <c r="CH9" s="2">
        <v>61</v>
      </c>
      <c r="CI9" s="2">
        <v>29</v>
      </c>
      <c r="CJ9" s="2">
        <v>43</v>
      </c>
      <c r="CK9" s="2">
        <v>30</v>
      </c>
      <c r="CL9" s="2">
        <v>39</v>
      </c>
      <c r="CM9" s="2">
        <v>67</v>
      </c>
      <c r="CN9" s="2">
        <v>25</v>
      </c>
      <c r="CO9" s="2">
        <v>67</v>
      </c>
      <c r="CP9" s="2">
        <v>72</v>
      </c>
      <c r="CQ9" s="2">
        <v>43</v>
      </c>
      <c r="CR9" s="2">
        <v>50</v>
      </c>
      <c r="CS9" s="2">
        <v>45</v>
      </c>
      <c r="CT9" s="2">
        <v>48</v>
      </c>
      <c r="CU9" s="2">
        <v>54</v>
      </c>
      <c r="CV9" s="2">
        <v>65</v>
      </c>
      <c r="CW9" s="2">
        <v>68</v>
      </c>
      <c r="CX9" s="2">
        <v>67</v>
      </c>
      <c r="CY9" s="2">
        <v>45</v>
      </c>
      <c r="CZ9" s="2">
        <v>30</v>
      </c>
      <c r="DA9" s="2">
        <v>34</v>
      </c>
      <c r="DB9" s="2">
        <v>62</v>
      </c>
      <c r="DC9" s="2">
        <v>66</v>
      </c>
      <c r="DD9" s="2">
        <v>50</v>
      </c>
      <c r="DE9" s="2">
        <v>61</v>
      </c>
      <c r="DF9" s="2">
        <v>45</v>
      </c>
      <c r="DG9" s="2">
        <v>34</v>
      </c>
      <c r="DH9" s="2">
        <v>55</v>
      </c>
      <c r="DI9" s="2">
        <v>72</v>
      </c>
      <c r="DJ9" s="2">
        <v>68</v>
      </c>
      <c r="DK9" s="2">
        <v>54</v>
      </c>
      <c r="DL9" s="2">
        <v>30</v>
      </c>
      <c r="DM9" s="2">
        <v>55</v>
      </c>
      <c r="DN9" s="2">
        <v>31</v>
      </c>
      <c r="DO9" s="2">
        <v>31</v>
      </c>
      <c r="DP9" s="2">
        <v>41</v>
      </c>
      <c r="DQ9" s="2">
        <v>41</v>
      </c>
      <c r="DR9" s="2">
        <v>42</v>
      </c>
      <c r="DS9" s="2">
        <v>65</v>
      </c>
      <c r="DT9" s="2">
        <v>27</v>
      </c>
      <c r="DU9" s="2">
        <v>37</v>
      </c>
      <c r="DV9" s="2">
        <v>22</v>
      </c>
      <c r="DW9" s="2">
        <v>32</v>
      </c>
      <c r="DX9" s="2">
        <v>62</v>
      </c>
      <c r="DY9" s="2">
        <v>38</v>
      </c>
      <c r="DZ9" s="2">
        <v>74</v>
      </c>
      <c r="EA9" s="2">
        <v>31</v>
      </c>
      <c r="EB9" s="2">
        <v>36</v>
      </c>
      <c r="EC9" s="2">
        <v>69</v>
      </c>
      <c r="ED9" s="2">
        <v>71</v>
      </c>
      <c r="EE9" s="2">
        <v>38</v>
      </c>
      <c r="EF9" s="2">
        <v>55</v>
      </c>
      <c r="EG9" s="2">
        <v>73</v>
      </c>
      <c r="EH9" s="2">
        <v>46</v>
      </c>
      <c r="EI9" s="2">
        <v>36</v>
      </c>
      <c r="EJ9" s="2">
        <v>26</v>
      </c>
      <c r="EK9" s="2">
        <v>64</v>
      </c>
      <c r="EL9" s="2">
        <v>63</v>
      </c>
      <c r="EM9" s="2">
        <v>67</v>
      </c>
      <c r="EN9" s="2">
        <v>67</v>
      </c>
      <c r="EO9" s="2">
        <v>68</v>
      </c>
      <c r="EP9" s="2">
        <v>62</v>
      </c>
      <c r="EQ9" s="2">
        <v>32</v>
      </c>
      <c r="ER9" s="2">
        <v>33</v>
      </c>
      <c r="ES9" s="2">
        <v>24</v>
      </c>
      <c r="ET9" s="2">
        <v>59</v>
      </c>
      <c r="EU9" s="2">
        <v>74</v>
      </c>
      <c r="EV9" s="2">
        <v>22</v>
      </c>
      <c r="EW9" s="2">
        <v>46</v>
      </c>
      <c r="EX9" s="2">
        <v>47</v>
      </c>
      <c r="EY9" s="2">
        <v>47</v>
      </c>
      <c r="EZ9" s="2">
        <v>35</v>
      </c>
      <c r="FA9" s="2">
        <v>28</v>
      </c>
      <c r="FB9" s="2">
        <v>27</v>
      </c>
      <c r="FC9" s="2">
        <v>67</v>
      </c>
      <c r="FD9" s="2">
        <v>66</v>
      </c>
      <c r="FE9" s="2">
        <v>60</v>
      </c>
      <c r="FF9" s="2">
        <v>32</v>
      </c>
      <c r="FG9" s="2">
        <v>33</v>
      </c>
      <c r="FH9" s="2">
        <v>63</v>
      </c>
      <c r="FI9" s="2">
        <v>37</v>
      </c>
      <c r="FJ9" s="2">
        <v>37</v>
      </c>
      <c r="FK9" s="2">
        <v>56</v>
      </c>
      <c r="FL9" s="2">
        <v>41</v>
      </c>
      <c r="FM9" s="2">
        <v>28</v>
      </c>
      <c r="FN9" s="2">
        <v>25</v>
      </c>
      <c r="FO9" s="2">
        <v>46</v>
      </c>
      <c r="FP9" s="2">
        <v>36</v>
      </c>
      <c r="FQ9" s="2">
        <v>56</v>
      </c>
      <c r="FR9" s="2">
        <v>48</v>
      </c>
      <c r="FS9" s="2">
        <v>74</v>
      </c>
      <c r="FT9" s="2">
        <v>49</v>
      </c>
      <c r="FU9" s="2">
        <v>67</v>
      </c>
      <c r="FV9" s="2">
        <v>32</v>
      </c>
      <c r="FW9" s="2">
        <v>57</v>
      </c>
      <c r="FX9" s="2">
        <v>50</v>
      </c>
      <c r="FY9" s="2">
        <v>43</v>
      </c>
      <c r="FZ9" s="2">
        <v>36</v>
      </c>
      <c r="GA9" s="2">
        <v>34</v>
      </c>
      <c r="GB9" s="2">
        <v>30</v>
      </c>
      <c r="GC9" s="2">
        <v>27</v>
      </c>
      <c r="GD9" s="2">
        <v>65</v>
      </c>
      <c r="GE9" s="2">
        <v>72</v>
      </c>
      <c r="GF9" s="2">
        <v>57</v>
      </c>
      <c r="GG9" s="2">
        <v>49</v>
      </c>
      <c r="GH9" s="2">
        <v>23</v>
      </c>
      <c r="GI9" s="2">
        <v>35</v>
      </c>
      <c r="GJ9" s="2">
        <v>56</v>
      </c>
      <c r="GK9" s="2">
        <v>67</v>
      </c>
      <c r="GL9" s="2">
        <v>66</v>
      </c>
      <c r="GM9" s="2">
        <v>72</v>
      </c>
      <c r="GN9" s="2">
        <v>39</v>
      </c>
      <c r="GO9" s="2">
        <v>33</v>
      </c>
      <c r="GP9" s="2">
        <v>62</v>
      </c>
      <c r="GQ9" s="2">
        <v>41</v>
      </c>
      <c r="GR9" s="2">
        <v>57</v>
      </c>
      <c r="GS9" s="2">
        <v>47</v>
      </c>
      <c r="GT9" s="2">
        <v>72</v>
      </c>
      <c r="GU9" s="2">
        <v>49</v>
      </c>
      <c r="GV9" s="2">
        <v>40</v>
      </c>
      <c r="GW9" s="2">
        <v>45</v>
      </c>
      <c r="GX9" s="2">
        <v>26</v>
      </c>
      <c r="GY9" s="2">
        <v>56</v>
      </c>
      <c r="GZ9" s="2">
        <v>22</v>
      </c>
      <c r="HA9" s="2">
        <v>42</v>
      </c>
      <c r="HB9" s="2">
        <v>52</v>
      </c>
      <c r="HC9" s="2">
        <v>36</v>
      </c>
      <c r="HD9" s="2">
        <v>38</v>
      </c>
      <c r="HE9" s="2">
        <v>25</v>
      </c>
      <c r="HF9" s="2">
        <v>74</v>
      </c>
      <c r="HG9" s="2">
        <v>56</v>
      </c>
      <c r="HH9" s="2">
        <v>50</v>
      </c>
      <c r="HI9" s="2">
        <v>65</v>
      </c>
      <c r="HJ9" s="2">
        <v>39</v>
      </c>
      <c r="HK9" s="2">
        <v>43</v>
      </c>
      <c r="HL9" s="2">
        <v>54</v>
      </c>
      <c r="HM9" s="2">
        <v>33</v>
      </c>
      <c r="HN9" s="2">
        <v>63</v>
      </c>
      <c r="HO9" s="2">
        <v>74</v>
      </c>
      <c r="HP9" s="2">
        <v>49</v>
      </c>
      <c r="HQ9" s="2">
        <v>56</v>
      </c>
      <c r="HR9" s="2">
        <v>42</v>
      </c>
      <c r="HS9" s="2">
        <v>72</v>
      </c>
      <c r="HT9" s="2">
        <v>72</v>
      </c>
      <c r="HU9" s="2">
        <v>67</v>
      </c>
      <c r="HV9" s="2">
        <v>56</v>
      </c>
      <c r="HW9" s="2">
        <v>29</v>
      </c>
      <c r="HX9" s="2">
        <v>59</v>
      </c>
      <c r="HY9" s="2">
        <v>71</v>
      </c>
      <c r="HZ9" s="2">
        <v>39</v>
      </c>
      <c r="IA9" s="2">
        <v>58</v>
      </c>
      <c r="IB9" s="2">
        <v>26</v>
      </c>
      <c r="IC9" s="2">
        <v>72</v>
      </c>
      <c r="ID9" s="2">
        <v>67</v>
      </c>
      <c r="IE9" s="2">
        <v>35</v>
      </c>
      <c r="IF9" s="2">
        <v>40</v>
      </c>
      <c r="IG9" s="2">
        <v>29</v>
      </c>
      <c r="IH9" s="2">
        <v>52</v>
      </c>
      <c r="II9" s="2">
        <v>24</v>
      </c>
      <c r="IJ9" s="2">
        <v>70</v>
      </c>
      <c r="IK9" s="2">
        <v>38</v>
      </c>
      <c r="IL9" s="2">
        <v>25</v>
      </c>
      <c r="IM9" s="2">
        <v>40</v>
      </c>
      <c r="IN9" s="2">
        <v>43</v>
      </c>
      <c r="IO9" s="2">
        <v>31</v>
      </c>
      <c r="IP9" s="2">
        <v>57</v>
      </c>
      <c r="IQ9" s="2">
        <v>42</v>
      </c>
      <c r="IR9" s="2">
        <v>24</v>
      </c>
      <c r="IS9" s="2">
        <v>49</v>
      </c>
      <c r="IT9" s="2">
        <v>64</v>
      </c>
      <c r="IU9" s="2">
        <v>54</v>
      </c>
      <c r="IV9" s="2">
        <v>33</v>
      </c>
      <c r="IW9" s="2">
        <v>62</v>
      </c>
      <c r="IX9" s="2">
        <v>29</v>
      </c>
      <c r="IY9" s="2">
        <v>62</v>
      </c>
      <c r="IZ9" s="2">
        <v>51</v>
      </c>
      <c r="JA9" s="2">
        <v>27</v>
      </c>
      <c r="JB9" s="2">
        <v>24</v>
      </c>
      <c r="JC9" s="2">
        <v>39</v>
      </c>
      <c r="JD9" s="2">
        <v>62</v>
      </c>
      <c r="JE9" s="2">
        <v>50</v>
      </c>
      <c r="JF9" s="2">
        <v>51</v>
      </c>
      <c r="JG9" s="2">
        <v>55</v>
      </c>
      <c r="JH9" s="2">
        <v>41</v>
      </c>
      <c r="JI9" s="2">
        <v>51</v>
      </c>
      <c r="JJ9" s="2">
        <v>39</v>
      </c>
      <c r="JK9" s="2">
        <v>51</v>
      </c>
      <c r="JL9" s="2">
        <v>73</v>
      </c>
      <c r="JM9" s="2">
        <v>52</v>
      </c>
      <c r="JN9" s="2">
        <v>22</v>
      </c>
      <c r="JO9" s="2">
        <v>72</v>
      </c>
      <c r="JP9" s="2">
        <v>30</v>
      </c>
      <c r="JQ9" s="2">
        <v>22</v>
      </c>
      <c r="JR9" s="2">
        <v>22</v>
      </c>
      <c r="JS9" s="2">
        <v>44</v>
      </c>
      <c r="JT9" s="2">
        <v>37</v>
      </c>
      <c r="JU9" s="2">
        <v>52</v>
      </c>
      <c r="JV9" s="2">
        <v>36</v>
      </c>
      <c r="JW9" s="2">
        <v>36</v>
      </c>
      <c r="JX9" s="2">
        <v>66</v>
      </c>
      <c r="JY9" s="2">
        <v>59</v>
      </c>
      <c r="JZ9" s="2">
        <v>73</v>
      </c>
      <c r="KA9" s="2">
        <v>51</v>
      </c>
      <c r="KB9" s="2">
        <v>63</v>
      </c>
      <c r="KC9" s="2">
        <v>44</v>
      </c>
      <c r="KD9" s="2">
        <v>21</v>
      </c>
      <c r="KE9" s="2">
        <v>31</v>
      </c>
      <c r="KF9" s="2">
        <v>41</v>
      </c>
      <c r="KG9" s="2">
        <v>24</v>
      </c>
      <c r="KH9" s="2">
        <v>27</v>
      </c>
      <c r="KI9" s="2">
        <v>46</v>
      </c>
      <c r="KJ9" s="2">
        <v>67</v>
      </c>
      <c r="KK9" s="2">
        <v>70</v>
      </c>
      <c r="KL9" s="2">
        <v>32</v>
      </c>
      <c r="KM9" s="2">
        <v>51</v>
      </c>
      <c r="KN9" s="2">
        <v>37</v>
      </c>
      <c r="KO9" s="2">
        <v>53</v>
      </c>
      <c r="KP9" s="2">
        <v>31</v>
      </c>
      <c r="KQ9" s="2">
        <v>48</v>
      </c>
      <c r="KR9" s="2">
        <v>52</v>
      </c>
      <c r="KS9" s="2">
        <v>21</v>
      </c>
      <c r="KT9" s="2">
        <v>67</v>
      </c>
      <c r="KU9" s="2">
        <v>48</v>
      </c>
      <c r="KV9" s="2">
        <v>73</v>
      </c>
      <c r="KW9" s="2">
        <v>62</v>
      </c>
      <c r="KX9" s="2">
        <v>27</v>
      </c>
      <c r="KY9" s="2">
        <v>22</v>
      </c>
      <c r="KZ9" s="2">
        <v>62</v>
      </c>
      <c r="LA9" s="2">
        <v>44</v>
      </c>
      <c r="LB9" s="2">
        <v>24</v>
      </c>
      <c r="LC9" s="2">
        <v>64</v>
      </c>
      <c r="LD9" s="2">
        <v>39</v>
      </c>
      <c r="LE9" s="2">
        <v>46</v>
      </c>
      <c r="LF9" s="2">
        <v>31</v>
      </c>
      <c r="LG9" s="2">
        <v>60</v>
      </c>
      <c r="LH9" s="2">
        <v>70</v>
      </c>
      <c r="LI9" s="2">
        <v>63</v>
      </c>
      <c r="LJ9" s="2">
        <v>31</v>
      </c>
      <c r="LK9" s="2">
        <v>65</v>
      </c>
      <c r="LL9" s="2">
        <v>23</v>
      </c>
      <c r="LM9" s="2">
        <v>32</v>
      </c>
      <c r="LN9" s="2">
        <v>23</v>
      </c>
      <c r="LO9" s="2">
        <v>62</v>
      </c>
      <c r="LP9" s="2">
        <v>47</v>
      </c>
      <c r="LQ9" s="2">
        <v>69</v>
      </c>
      <c r="LR9" s="2">
        <v>74</v>
      </c>
      <c r="LS9" s="2">
        <v>22</v>
      </c>
      <c r="LT9" s="2">
        <v>69</v>
      </c>
      <c r="LU9" s="2">
        <v>36</v>
      </c>
      <c r="LV9" s="2">
        <v>22</v>
      </c>
      <c r="LW9" s="2">
        <v>74</v>
      </c>
      <c r="LX9" s="2">
        <v>50</v>
      </c>
      <c r="LY9" s="2">
        <v>40</v>
      </c>
      <c r="LZ9" s="2">
        <v>58</v>
      </c>
      <c r="MA9" s="2">
        <v>48</v>
      </c>
      <c r="MB9" s="2">
        <v>45</v>
      </c>
      <c r="MC9" s="2">
        <v>52</v>
      </c>
      <c r="MD9" s="2">
        <v>30</v>
      </c>
      <c r="ME9" s="2">
        <v>62</v>
      </c>
      <c r="MF9" s="2">
        <v>60</v>
      </c>
      <c r="MG9" s="2">
        <v>53</v>
      </c>
      <c r="MH9" s="2">
        <v>33</v>
      </c>
      <c r="MI9" s="2">
        <v>61</v>
      </c>
      <c r="MJ9" s="2">
        <v>74</v>
      </c>
      <c r="MK9" s="2">
        <v>62</v>
      </c>
      <c r="ML9" s="2">
        <v>67</v>
      </c>
      <c r="MM9" s="2">
        <v>57</v>
      </c>
      <c r="MN9" s="2">
        <v>74</v>
      </c>
      <c r="MO9" s="2">
        <v>36</v>
      </c>
      <c r="MP9" s="2">
        <v>65</v>
      </c>
      <c r="MQ9" s="2">
        <v>42</v>
      </c>
      <c r="MR9" s="2">
        <v>40</v>
      </c>
      <c r="MS9" s="2">
        <v>70</v>
      </c>
      <c r="MT9" s="2">
        <v>63</v>
      </c>
      <c r="MU9" s="2">
        <v>47</v>
      </c>
      <c r="MV9" s="2">
        <v>61</v>
      </c>
      <c r="MW9" s="2">
        <v>36</v>
      </c>
      <c r="MX9" s="2">
        <v>54</v>
      </c>
      <c r="MY9" s="2">
        <v>52</v>
      </c>
      <c r="MZ9" s="2">
        <v>46</v>
      </c>
      <c r="NA9" s="2">
        <v>45</v>
      </c>
      <c r="NB9" s="2">
        <v>22</v>
      </c>
      <c r="NC9" s="2">
        <v>32</v>
      </c>
      <c r="ND9" s="2">
        <v>60</v>
      </c>
      <c r="NE9" s="2">
        <v>29</v>
      </c>
      <c r="NF9" s="2">
        <v>32</v>
      </c>
      <c r="NG9" s="2">
        <v>46</v>
      </c>
      <c r="NH9" s="2">
        <v>29</v>
      </c>
      <c r="NI9" s="2">
        <v>30</v>
      </c>
      <c r="NJ9" s="2">
        <v>52</v>
      </c>
      <c r="NK9" s="2">
        <v>54</v>
      </c>
      <c r="NL9" s="2">
        <v>68</v>
      </c>
      <c r="NM9" s="2">
        <v>40</v>
      </c>
      <c r="NN9" s="2">
        <v>59</v>
      </c>
      <c r="NO9" s="2">
        <v>22</v>
      </c>
      <c r="NP9" s="2">
        <v>21</v>
      </c>
      <c r="NQ9" s="2">
        <v>71</v>
      </c>
      <c r="NR9" s="2">
        <v>56</v>
      </c>
      <c r="NS9" s="2">
        <v>44</v>
      </c>
      <c r="NT9" s="2">
        <v>74</v>
      </c>
      <c r="NU9" s="2">
        <v>47</v>
      </c>
      <c r="NV9" s="2">
        <v>22</v>
      </c>
      <c r="NW9" s="2">
        <v>51</v>
      </c>
      <c r="NX9" s="2">
        <v>34</v>
      </c>
      <c r="NY9" s="2">
        <v>22</v>
      </c>
      <c r="NZ9" s="2">
        <v>49</v>
      </c>
      <c r="OA9" s="2">
        <v>35</v>
      </c>
      <c r="OB9" s="2">
        <v>32</v>
      </c>
      <c r="OC9" s="2">
        <v>57</v>
      </c>
      <c r="OD9" s="2">
        <v>48</v>
      </c>
      <c r="OE9" s="2">
        <v>40</v>
      </c>
      <c r="OF9" s="2">
        <v>59</v>
      </c>
      <c r="OG9" s="2">
        <v>44</v>
      </c>
      <c r="OH9" s="2">
        <v>41</v>
      </c>
      <c r="OI9" s="2">
        <v>30</v>
      </c>
      <c r="OJ9" s="2">
        <v>66</v>
      </c>
      <c r="OK9" s="2">
        <v>34</v>
      </c>
      <c r="OL9" s="2">
        <v>57</v>
      </c>
      <c r="OM9" s="2">
        <v>38</v>
      </c>
      <c r="ON9" s="2">
        <v>44</v>
      </c>
      <c r="OO9" s="2">
        <v>34</v>
      </c>
      <c r="OP9" s="2">
        <v>54</v>
      </c>
      <c r="OQ9" s="2">
        <v>32</v>
      </c>
      <c r="OR9" s="2">
        <v>42</v>
      </c>
      <c r="OS9" s="2">
        <v>26</v>
      </c>
      <c r="OT9" s="2">
        <v>56</v>
      </c>
      <c r="OU9" s="2">
        <v>65</v>
      </c>
      <c r="OV9" s="2">
        <v>56</v>
      </c>
      <c r="OW9" s="2">
        <v>42</v>
      </c>
      <c r="OX9" s="2">
        <v>34</v>
      </c>
      <c r="OY9" s="2">
        <v>36</v>
      </c>
      <c r="OZ9" s="2">
        <v>56</v>
      </c>
      <c r="PA9" s="2">
        <v>45</v>
      </c>
      <c r="PB9" s="2">
        <v>52</v>
      </c>
      <c r="PC9" s="2">
        <v>53</v>
      </c>
      <c r="PD9" s="2">
        <v>65</v>
      </c>
      <c r="PE9" s="2">
        <v>56</v>
      </c>
      <c r="PF9" s="2">
        <v>40</v>
      </c>
      <c r="PG9" s="2">
        <v>38</v>
      </c>
      <c r="PH9" s="2">
        <v>58</v>
      </c>
      <c r="PI9" s="2">
        <v>23</v>
      </c>
      <c r="PJ9" s="2">
        <v>43</v>
      </c>
      <c r="PK9" s="2">
        <v>52</v>
      </c>
      <c r="PL9" s="2">
        <v>65</v>
      </c>
      <c r="PM9" s="2">
        <v>36</v>
      </c>
      <c r="PN9" s="2">
        <v>25</v>
      </c>
      <c r="PO9" s="2">
        <v>24</v>
      </c>
      <c r="PP9" s="2">
        <v>41</v>
      </c>
      <c r="PQ9" s="2">
        <v>60</v>
      </c>
      <c r="PR9" s="2">
        <v>71</v>
      </c>
      <c r="PS9" s="2">
        <v>34</v>
      </c>
      <c r="PT9" s="2">
        <v>59</v>
      </c>
      <c r="PU9" s="2">
        <v>51</v>
      </c>
      <c r="PV9" s="2">
        <v>34</v>
      </c>
      <c r="PW9" s="2">
        <v>26</v>
      </c>
      <c r="PX9" s="2">
        <v>32</v>
      </c>
      <c r="PY9" s="2">
        <v>36</v>
      </c>
      <c r="PZ9" s="2">
        <v>37</v>
      </c>
      <c r="QA9" s="2">
        <v>65</v>
      </c>
      <c r="QB9" s="2">
        <v>43</v>
      </c>
      <c r="QC9" s="2">
        <v>34</v>
      </c>
      <c r="QD9" s="2">
        <v>27</v>
      </c>
      <c r="QE9" s="2">
        <v>66</v>
      </c>
      <c r="QF9" s="2">
        <v>52</v>
      </c>
      <c r="QG9" s="2">
        <v>35</v>
      </c>
      <c r="QH9" s="2">
        <v>64</v>
      </c>
      <c r="QI9" s="2">
        <v>37</v>
      </c>
      <c r="QJ9" s="2">
        <v>61</v>
      </c>
      <c r="QK9" s="2">
        <v>74</v>
      </c>
      <c r="QL9" s="2">
        <v>67</v>
      </c>
      <c r="QM9" s="2">
        <v>64</v>
      </c>
      <c r="QN9" s="2">
        <v>54</v>
      </c>
      <c r="QO9" s="2">
        <v>25</v>
      </c>
      <c r="QP9" s="2">
        <v>65</v>
      </c>
      <c r="QQ9" s="2">
        <v>47</v>
      </c>
      <c r="QR9" s="2">
        <v>72</v>
      </c>
      <c r="QS9" s="2">
        <v>43</v>
      </c>
      <c r="QT9" s="2">
        <v>60</v>
      </c>
      <c r="QU9" s="2">
        <v>34</v>
      </c>
      <c r="QV9" s="2">
        <v>35</v>
      </c>
      <c r="QW9" s="2">
        <v>63</v>
      </c>
      <c r="QX9" s="2">
        <v>53</v>
      </c>
      <c r="QY9" s="2">
        <v>73</v>
      </c>
      <c r="QZ9" s="2">
        <v>51</v>
      </c>
      <c r="RA9" s="2">
        <v>55</v>
      </c>
      <c r="RB9" s="2">
        <v>37</v>
      </c>
      <c r="RC9" s="2">
        <v>48</v>
      </c>
      <c r="RD9" s="2">
        <v>39</v>
      </c>
      <c r="RE9" s="2">
        <v>66</v>
      </c>
      <c r="RF9" s="2">
        <v>74</v>
      </c>
      <c r="RG9" s="2">
        <v>43</v>
      </c>
      <c r="RH9" s="2">
        <v>52</v>
      </c>
      <c r="RI9" s="2">
        <v>60</v>
      </c>
      <c r="RJ9" s="2">
        <v>33</v>
      </c>
      <c r="RK9" s="2">
        <v>40</v>
      </c>
      <c r="RL9" s="2">
        <v>55</v>
      </c>
      <c r="RM9" s="2">
        <v>25</v>
      </c>
      <c r="RN9" s="2">
        <v>29</v>
      </c>
      <c r="RO9" s="2">
        <v>49</v>
      </c>
      <c r="RP9" s="2">
        <v>26</v>
      </c>
      <c r="RQ9" s="2">
        <v>45</v>
      </c>
      <c r="RR9" s="2">
        <v>51</v>
      </c>
      <c r="RS9" s="2">
        <v>42</v>
      </c>
      <c r="RT9" s="2">
        <v>22</v>
      </c>
      <c r="RU9" s="2">
        <v>65</v>
      </c>
      <c r="RV9" s="2">
        <v>25</v>
      </c>
      <c r="RW9" s="2">
        <v>47</v>
      </c>
      <c r="RX9" s="2">
        <v>45</v>
      </c>
      <c r="RY9" s="2">
        <v>28</v>
      </c>
      <c r="RZ9" s="2">
        <v>21</v>
      </c>
      <c r="SA9" s="2">
        <v>40</v>
      </c>
      <c r="SB9" s="2">
        <v>64</v>
      </c>
      <c r="SC9" s="2">
        <v>43</v>
      </c>
      <c r="SD9" s="2">
        <v>52</v>
      </c>
      <c r="SE9" s="2">
        <v>31</v>
      </c>
      <c r="SF9" s="2">
        <v>59</v>
      </c>
      <c r="SG9" s="2">
        <v>67</v>
      </c>
      <c r="SH9" s="2">
        <v>74</v>
      </c>
      <c r="SI9" s="2">
        <v>44</v>
      </c>
      <c r="SJ9" s="2">
        <v>31</v>
      </c>
      <c r="SK9" s="2">
        <v>49</v>
      </c>
      <c r="SL9" s="2">
        <v>74</v>
      </c>
      <c r="SM9" s="2">
        <v>46</v>
      </c>
      <c r="SN9" s="2">
        <v>36</v>
      </c>
      <c r="SO9" s="2">
        <v>55</v>
      </c>
      <c r="SP9" s="2">
        <v>40</v>
      </c>
      <c r="SQ9" s="2">
        <v>66</v>
      </c>
      <c r="SR9" s="2">
        <v>23</v>
      </c>
      <c r="SS9" s="2">
        <v>21</v>
      </c>
      <c r="ST9" s="2">
        <v>73</v>
      </c>
      <c r="SU9" s="2">
        <v>67</v>
      </c>
      <c r="SV9" s="2">
        <v>21</v>
      </c>
      <c r="SW9" s="2">
        <v>37</v>
      </c>
      <c r="SX9" s="2">
        <v>22</v>
      </c>
      <c r="SY9" s="2">
        <v>49</v>
      </c>
      <c r="SZ9" s="2">
        <v>40</v>
      </c>
      <c r="TA9" s="2">
        <v>26</v>
      </c>
      <c r="TB9" s="2">
        <v>28</v>
      </c>
      <c r="TC9" s="2">
        <v>49</v>
      </c>
      <c r="TD9" s="2">
        <v>68</v>
      </c>
      <c r="TE9" s="2">
        <v>71</v>
      </c>
      <c r="TF9" s="2">
        <v>53</v>
      </c>
      <c r="TG9" s="2">
        <v>23</v>
      </c>
      <c r="TH9" s="2">
        <v>55</v>
      </c>
      <c r="TI9" s="2">
        <v>25</v>
      </c>
      <c r="TJ9" s="2">
        <v>47</v>
      </c>
      <c r="TK9" s="2">
        <v>64</v>
      </c>
      <c r="TL9" s="2">
        <v>32</v>
      </c>
      <c r="TM9" s="2">
        <v>40</v>
      </c>
      <c r="TN9" s="2">
        <v>65</v>
      </c>
      <c r="TO9" s="2">
        <v>40</v>
      </c>
      <c r="TP9" s="2">
        <v>29</v>
      </c>
      <c r="TQ9" s="2">
        <v>59</v>
      </c>
      <c r="TR9" s="2">
        <v>24</v>
      </c>
      <c r="TS9" s="2">
        <v>71</v>
      </c>
      <c r="TT9" s="2">
        <v>74</v>
      </c>
      <c r="TU9" s="2">
        <v>39</v>
      </c>
      <c r="TV9" s="2">
        <v>58</v>
      </c>
      <c r="TW9" s="2">
        <v>47</v>
      </c>
      <c r="TX9" s="2">
        <v>65</v>
      </c>
      <c r="TY9" s="2">
        <v>63</v>
      </c>
      <c r="TZ9" s="2">
        <v>33</v>
      </c>
      <c r="UA9" s="2">
        <v>33</v>
      </c>
      <c r="UB9" s="2">
        <v>42</v>
      </c>
      <c r="UC9" s="2">
        <v>48</v>
      </c>
      <c r="UD9" s="2">
        <v>72</v>
      </c>
      <c r="UE9" s="2">
        <v>67</v>
      </c>
      <c r="UF9" s="2">
        <v>73</v>
      </c>
      <c r="UG9" s="2">
        <v>65</v>
      </c>
      <c r="UH9" s="2">
        <v>42</v>
      </c>
      <c r="UI9" s="2">
        <v>63</v>
      </c>
      <c r="UJ9" s="2">
        <v>39</v>
      </c>
      <c r="UK9" s="2">
        <v>28</v>
      </c>
      <c r="UL9" s="2">
        <v>72</v>
      </c>
      <c r="UM9" s="2">
        <v>28</v>
      </c>
      <c r="UN9" s="2">
        <v>62</v>
      </c>
      <c r="UO9" s="2">
        <v>46</v>
      </c>
      <c r="UP9" s="2">
        <v>68</v>
      </c>
      <c r="UQ9" s="2">
        <v>71</v>
      </c>
      <c r="UR9" s="2">
        <v>46</v>
      </c>
      <c r="US9" s="2">
        <v>43</v>
      </c>
      <c r="UT9" s="2">
        <v>63</v>
      </c>
      <c r="UU9" s="2">
        <v>33</v>
      </c>
      <c r="UV9" s="2">
        <v>48</v>
      </c>
      <c r="UW9" s="2">
        <v>29</v>
      </c>
      <c r="UX9" s="2">
        <v>40</v>
      </c>
      <c r="UY9" s="2">
        <v>39</v>
      </c>
      <c r="UZ9" s="2">
        <v>68</v>
      </c>
      <c r="VA9" s="2">
        <v>59</v>
      </c>
      <c r="VB9" s="2">
        <v>71</v>
      </c>
      <c r="VC9" s="2">
        <v>32</v>
      </c>
      <c r="VD9" s="2">
        <v>35</v>
      </c>
      <c r="VE9" s="2">
        <v>51</v>
      </c>
      <c r="VF9" s="2">
        <v>34</v>
      </c>
      <c r="VG9" s="2">
        <v>31</v>
      </c>
      <c r="VH9" s="2">
        <v>46</v>
      </c>
      <c r="VI9" s="2">
        <v>62</v>
      </c>
      <c r="VJ9" s="2">
        <v>47</v>
      </c>
      <c r="VK9" s="2">
        <v>31</v>
      </c>
      <c r="VL9" s="2">
        <v>58</v>
      </c>
      <c r="VM9" s="2">
        <v>54</v>
      </c>
      <c r="VN9" s="2">
        <v>63</v>
      </c>
      <c r="VO9" s="2">
        <v>39</v>
      </c>
      <c r="VP9" s="2">
        <v>26</v>
      </c>
      <c r="VQ9" s="2">
        <v>66</v>
      </c>
      <c r="VR9" s="2">
        <v>72</v>
      </c>
      <c r="VS9" s="2">
        <v>58</v>
      </c>
      <c r="VT9" s="2">
        <v>69</v>
      </c>
      <c r="VU9" s="2">
        <v>62</v>
      </c>
      <c r="VV9" s="2">
        <v>48</v>
      </c>
      <c r="VW9" s="2">
        <v>21</v>
      </c>
      <c r="VX9" s="2">
        <v>55</v>
      </c>
      <c r="VY9" s="2">
        <v>60</v>
      </c>
      <c r="VZ9" s="2">
        <v>28</v>
      </c>
      <c r="WA9" s="2">
        <v>72</v>
      </c>
      <c r="WB9" s="2">
        <v>74</v>
      </c>
      <c r="WC9" s="2">
        <v>67</v>
      </c>
      <c r="WD9" s="2">
        <v>27</v>
      </c>
      <c r="WE9" s="2">
        <v>31</v>
      </c>
      <c r="WF9" s="2">
        <v>59</v>
      </c>
      <c r="WG9" s="2">
        <v>24</v>
      </c>
      <c r="WH9" s="2">
        <v>45</v>
      </c>
      <c r="WI9" s="2">
        <v>32</v>
      </c>
      <c r="WJ9" s="2">
        <v>46</v>
      </c>
      <c r="WK9" s="2">
        <v>58</v>
      </c>
      <c r="WL9" s="2">
        <v>66</v>
      </c>
      <c r="WM9" s="2">
        <v>32</v>
      </c>
      <c r="WN9" s="2">
        <v>63</v>
      </c>
      <c r="WO9" s="2">
        <v>71</v>
      </c>
      <c r="WP9" s="2">
        <v>73</v>
      </c>
      <c r="WQ9" s="2">
        <v>57</v>
      </c>
      <c r="WR9" s="2">
        <v>66</v>
      </c>
      <c r="WS9" s="2">
        <v>73</v>
      </c>
      <c r="WT9" s="2">
        <v>44</v>
      </c>
      <c r="WU9" s="2">
        <v>36</v>
      </c>
      <c r="WV9" s="2">
        <v>33</v>
      </c>
      <c r="WW9" s="2">
        <v>45</v>
      </c>
      <c r="WX9" s="2">
        <v>74</v>
      </c>
      <c r="WY9" s="2">
        <v>74</v>
      </c>
      <c r="WZ9" s="2">
        <v>72</v>
      </c>
      <c r="XA9" s="2">
        <v>74</v>
      </c>
      <c r="XB9" s="2">
        <v>24</v>
      </c>
      <c r="XC9" s="2">
        <v>31</v>
      </c>
      <c r="XD9" s="2">
        <v>52</v>
      </c>
      <c r="XE9" s="2">
        <v>69</v>
      </c>
      <c r="XF9" s="2">
        <v>27</v>
      </c>
      <c r="XG9" s="2">
        <v>66</v>
      </c>
      <c r="XH9" s="2">
        <v>31</v>
      </c>
      <c r="XI9" s="2">
        <v>48</v>
      </c>
      <c r="XJ9" s="2">
        <v>74</v>
      </c>
      <c r="XK9" s="2">
        <v>61</v>
      </c>
      <c r="XL9" s="2">
        <v>43</v>
      </c>
      <c r="XM9" s="2">
        <v>65</v>
      </c>
      <c r="XN9" s="2">
        <v>43</v>
      </c>
      <c r="XO9" s="2">
        <v>70</v>
      </c>
      <c r="XP9" s="2">
        <v>48</v>
      </c>
      <c r="XQ9" s="2">
        <v>63</v>
      </c>
      <c r="XR9" s="2">
        <v>67</v>
      </c>
      <c r="XS9" s="2">
        <v>46</v>
      </c>
      <c r="XT9" s="2">
        <v>45</v>
      </c>
      <c r="XU9" s="2">
        <v>74</v>
      </c>
      <c r="XV9" s="2">
        <v>49</v>
      </c>
      <c r="XW9" s="2">
        <v>39</v>
      </c>
      <c r="XX9" s="2">
        <v>53</v>
      </c>
      <c r="XY9" s="2">
        <v>56</v>
      </c>
      <c r="XZ9" s="2">
        <v>34</v>
      </c>
      <c r="YA9" s="2">
        <v>34</v>
      </c>
      <c r="YB9" s="2">
        <v>55</v>
      </c>
      <c r="YC9" s="2">
        <v>50</v>
      </c>
      <c r="YD9" s="2">
        <v>48</v>
      </c>
      <c r="YE9" s="2">
        <v>37</v>
      </c>
      <c r="YF9" s="2">
        <v>23</v>
      </c>
      <c r="YG9" s="2">
        <v>36</v>
      </c>
      <c r="YH9" s="2">
        <v>66</v>
      </c>
      <c r="YI9" s="2">
        <v>50</v>
      </c>
      <c r="YJ9" s="2">
        <v>72</v>
      </c>
      <c r="YK9" s="2">
        <v>49</v>
      </c>
      <c r="YL9" s="2">
        <v>65</v>
      </c>
      <c r="YM9" s="2">
        <v>35</v>
      </c>
      <c r="YN9" s="2">
        <v>66</v>
      </c>
      <c r="YO9" s="2">
        <v>45</v>
      </c>
      <c r="YP9" s="2">
        <v>71</v>
      </c>
      <c r="YQ9" s="2">
        <v>58</v>
      </c>
      <c r="YR9" s="2">
        <v>62</v>
      </c>
      <c r="YS9" s="2">
        <v>67</v>
      </c>
      <c r="YT9" s="2">
        <v>73</v>
      </c>
      <c r="YU9" s="2">
        <v>74</v>
      </c>
      <c r="YV9" s="2">
        <v>72</v>
      </c>
      <c r="YW9" s="2">
        <v>58</v>
      </c>
      <c r="YX9" s="2">
        <v>43</v>
      </c>
      <c r="YY9" s="2">
        <v>45</v>
      </c>
      <c r="YZ9" s="2">
        <v>62</v>
      </c>
      <c r="ZA9" s="2">
        <v>27</v>
      </c>
      <c r="ZB9" s="2">
        <v>42</v>
      </c>
      <c r="ZC9" s="2">
        <v>37</v>
      </c>
      <c r="ZD9" s="2">
        <v>38</v>
      </c>
      <c r="ZE9" s="2">
        <v>69</v>
      </c>
      <c r="ZF9" s="2">
        <v>61</v>
      </c>
      <c r="ZG9" s="2">
        <v>30</v>
      </c>
      <c r="ZH9" s="2">
        <v>30</v>
      </c>
      <c r="ZI9" s="2">
        <v>27</v>
      </c>
      <c r="ZJ9" s="2">
        <v>68</v>
      </c>
      <c r="ZK9" s="2">
        <v>70</v>
      </c>
      <c r="ZL9" s="2">
        <v>58</v>
      </c>
      <c r="ZM9" s="2">
        <v>47</v>
      </c>
      <c r="ZN9" s="2">
        <v>72</v>
      </c>
      <c r="ZO9" s="2">
        <v>53</v>
      </c>
      <c r="ZP9" s="2">
        <v>21</v>
      </c>
      <c r="ZQ9" s="2">
        <v>64</v>
      </c>
      <c r="ZR9" s="2">
        <v>73</v>
      </c>
      <c r="ZS9" s="2">
        <v>54</v>
      </c>
      <c r="ZT9" s="2">
        <v>24</v>
      </c>
      <c r="ZU9" s="2">
        <v>37</v>
      </c>
      <c r="ZV9" s="2">
        <v>24</v>
      </c>
      <c r="ZW9" s="2">
        <v>63</v>
      </c>
      <c r="ZX9" s="2">
        <v>74</v>
      </c>
      <c r="ZY9" s="2">
        <v>46</v>
      </c>
      <c r="ZZ9" s="2">
        <v>24</v>
      </c>
      <c r="AAA9" s="2">
        <v>21</v>
      </c>
      <c r="AAB9" s="2">
        <v>27</v>
      </c>
      <c r="AAC9" s="2">
        <v>50</v>
      </c>
      <c r="AAD9" s="2">
        <v>70</v>
      </c>
      <c r="AAE9" s="2">
        <v>29</v>
      </c>
      <c r="AAF9" s="2">
        <v>55</v>
      </c>
      <c r="AAG9" s="2">
        <v>28</v>
      </c>
      <c r="AAH9" s="2">
        <v>44</v>
      </c>
      <c r="AAI9" s="2">
        <v>39</v>
      </c>
      <c r="AAJ9" s="2">
        <v>56</v>
      </c>
      <c r="AAK9" s="2">
        <v>70</v>
      </c>
      <c r="AAL9" s="2">
        <v>72</v>
      </c>
      <c r="AAM9" s="2">
        <v>63</v>
      </c>
      <c r="AAN9" s="2">
        <v>47</v>
      </c>
      <c r="AAO9" s="2">
        <v>52</v>
      </c>
      <c r="AAP9" s="2">
        <v>34</v>
      </c>
      <c r="AAQ9" s="2">
        <v>38</v>
      </c>
      <c r="AAR9" s="2">
        <v>48</v>
      </c>
      <c r="AAS9" s="2">
        <v>49</v>
      </c>
      <c r="AAT9" s="2">
        <v>36</v>
      </c>
      <c r="AAU9" s="2">
        <v>55</v>
      </c>
      <c r="AAV9" s="2">
        <v>67</v>
      </c>
      <c r="AAW9" s="2">
        <v>51</v>
      </c>
      <c r="AAX9" s="2">
        <v>24</v>
      </c>
      <c r="AAY9" s="2">
        <v>57</v>
      </c>
      <c r="AAZ9" s="2">
        <v>37</v>
      </c>
      <c r="ABA9" s="2">
        <v>59</v>
      </c>
      <c r="ABB9" s="2">
        <v>68</v>
      </c>
      <c r="ABC9" s="2">
        <v>66</v>
      </c>
      <c r="ABD9" s="2">
        <v>46</v>
      </c>
      <c r="ABE9" s="2">
        <v>68</v>
      </c>
      <c r="ABF9" s="2">
        <v>59</v>
      </c>
      <c r="ABG9" s="2">
        <v>61</v>
      </c>
      <c r="ABH9" s="2">
        <v>24</v>
      </c>
      <c r="ABI9" s="2">
        <v>50</v>
      </c>
      <c r="ABJ9" s="2">
        <v>50</v>
      </c>
      <c r="ABK9" s="2">
        <v>42</v>
      </c>
      <c r="ABL9" s="2">
        <v>31</v>
      </c>
      <c r="ABM9" s="2">
        <v>22</v>
      </c>
      <c r="ABN9" s="2">
        <v>64</v>
      </c>
      <c r="ABO9" s="2">
        <v>32</v>
      </c>
      <c r="ABP9" s="2">
        <v>50</v>
      </c>
      <c r="ABQ9" s="2">
        <v>56</v>
      </c>
      <c r="ABR9" s="2">
        <v>38</v>
      </c>
      <c r="ABS9" s="2">
        <v>46</v>
      </c>
      <c r="ABT9" s="2">
        <v>73</v>
      </c>
      <c r="ABU9" s="2">
        <v>27</v>
      </c>
      <c r="ABV9" s="2">
        <v>21</v>
      </c>
      <c r="ABW9" s="2">
        <v>46</v>
      </c>
      <c r="ABX9" s="2">
        <v>43</v>
      </c>
      <c r="ABY9" s="2">
        <v>46</v>
      </c>
      <c r="ABZ9" s="2">
        <v>65</v>
      </c>
      <c r="ACA9" s="2">
        <v>26</v>
      </c>
      <c r="ACB9" s="2">
        <v>26</v>
      </c>
      <c r="ACC9" s="2">
        <v>64</v>
      </c>
      <c r="ACD9" s="2">
        <v>28</v>
      </c>
      <c r="ACE9" s="2">
        <v>44</v>
      </c>
      <c r="ACF9" s="2">
        <v>42</v>
      </c>
      <c r="ACG9" s="2">
        <v>39</v>
      </c>
      <c r="ACH9" s="2">
        <v>57</v>
      </c>
      <c r="ACI9" s="2">
        <v>38</v>
      </c>
      <c r="ACJ9" s="2">
        <v>51</v>
      </c>
      <c r="ACK9" s="2">
        <v>57</v>
      </c>
      <c r="ACL9" s="2">
        <v>50</v>
      </c>
      <c r="ACM9" s="2">
        <v>62</v>
      </c>
      <c r="ACN9" s="2">
        <v>53</v>
      </c>
      <c r="ACO9" s="2">
        <v>30</v>
      </c>
      <c r="ACP9" s="2">
        <v>57</v>
      </c>
      <c r="ACQ9" s="2">
        <v>32</v>
      </c>
      <c r="ACR9" s="2">
        <v>74</v>
      </c>
      <c r="ACS9" s="2">
        <v>50</v>
      </c>
      <c r="ACT9" s="2">
        <v>47</v>
      </c>
      <c r="ACU9" s="2">
        <v>59</v>
      </c>
      <c r="ACV9" s="2">
        <v>29</v>
      </c>
      <c r="ACW9" s="2">
        <v>74</v>
      </c>
      <c r="ACX9" s="2">
        <v>41</v>
      </c>
      <c r="ACY9" s="2">
        <v>32</v>
      </c>
      <c r="ACZ9" s="2">
        <v>49</v>
      </c>
      <c r="ADA9" s="2">
        <v>53</v>
      </c>
      <c r="ADB9" s="2">
        <v>63</v>
      </c>
      <c r="ADC9" s="2">
        <v>73</v>
      </c>
      <c r="ADD9" s="2">
        <v>35</v>
      </c>
      <c r="ADE9" s="2">
        <v>22</v>
      </c>
      <c r="ADF9" s="2">
        <v>72</v>
      </c>
      <c r="ADG9" s="2">
        <v>59</v>
      </c>
      <c r="ADH9" s="2">
        <v>73</v>
      </c>
      <c r="ADI9" s="2">
        <v>64</v>
      </c>
      <c r="ADJ9" s="2">
        <v>74</v>
      </c>
      <c r="ADK9" s="2">
        <v>38</v>
      </c>
      <c r="ADL9" s="2">
        <v>23</v>
      </c>
      <c r="ADM9" s="2">
        <v>27</v>
      </c>
      <c r="ADN9" s="2">
        <v>63</v>
      </c>
      <c r="ADO9" s="2">
        <v>38</v>
      </c>
      <c r="ADP9" s="2">
        <v>64</v>
      </c>
      <c r="ADQ9" s="2">
        <v>58</v>
      </c>
      <c r="ADR9" s="2">
        <v>57</v>
      </c>
      <c r="ADS9" s="2">
        <v>53</v>
      </c>
      <c r="ADT9" s="2">
        <v>64</v>
      </c>
      <c r="ADU9" s="2">
        <v>51</v>
      </c>
      <c r="ADV9" s="2">
        <v>31</v>
      </c>
      <c r="ADW9" s="2">
        <v>24</v>
      </c>
      <c r="ADX9" s="2">
        <v>38</v>
      </c>
      <c r="ADY9" s="2">
        <v>24</v>
      </c>
      <c r="ADZ9" s="2">
        <v>69</v>
      </c>
      <c r="AEA9" s="2">
        <v>54</v>
      </c>
      <c r="AEB9" s="2">
        <v>49</v>
      </c>
      <c r="AEC9" s="2">
        <v>44</v>
      </c>
      <c r="AED9" s="2">
        <v>42</v>
      </c>
      <c r="AEE9" s="2">
        <v>22</v>
      </c>
      <c r="AEF9" s="2">
        <v>64</v>
      </c>
      <c r="AEG9" s="2">
        <v>26</v>
      </c>
      <c r="AEH9" s="2">
        <v>62</v>
      </c>
      <c r="AEI9" s="2">
        <v>45</v>
      </c>
      <c r="AEJ9" s="2">
        <v>41</v>
      </c>
      <c r="AEK9" s="2">
        <v>36</v>
      </c>
      <c r="AEL9" s="2">
        <v>51</v>
      </c>
      <c r="AEM9" s="2">
        <v>34</v>
      </c>
      <c r="AEN9" s="2">
        <v>59</v>
      </c>
      <c r="AEO9" s="2">
        <v>48</v>
      </c>
      <c r="AEP9" s="2">
        <v>52</v>
      </c>
      <c r="AEQ9" s="2">
        <v>48</v>
      </c>
      <c r="AER9" s="2">
        <v>71</v>
      </c>
      <c r="AES9" s="2">
        <v>69</v>
      </c>
      <c r="AET9" s="2">
        <v>29</v>
      </c>
      <c r="AEU9" s="2">
        <v>65</v>
      </c>
      <c r="AEV9" s="2">
        <v>42</v>
      </c>
      <c r="AEW9" s="2">
        <v>52</v>
      </c>
      <c r="AEX9" s="2">
        <v>25</v>
      </c>
      <c r="AEY9" s="2">
        <v>43</v>
      </c>
      <c r="AEZ9" s="2">
        <v>25</v>
      </c>
      <c r="AFA9" s="2">
        <v>62</v>
      </c>
      <c r="AFB9" s="2">
        <v>73</v>
      </c>
      <c r="AFC9" s="2">
        <v>52</v>
      </c>
      <c r="AFD9" s="2">
        <v>30</v>
      </c>
      <c r="AFE9" s="2">
        <v>59</v>
      </c>
      <c r="AFF9" s="2">
        <v>35</v>
      </c>
      <c r="AFG9" s="2">
        <v>27</v>
      </c>
      <c r="AFH9" s="2">
        <v>49</v>
      </c>
      <c r="AFI9" s="2">
        <v>67</v>
      </c>
      <c r="AFJ9" s="2">
        <v>23</v>
      </c>
      <c r="AFK9" s="2">
        <v>39</v>
      </c>
      <c r="AFL9" s="2">
        <v>30</v>
      </c>
      <c r="AFM9" s="2">
        <v>48</v>
      </c>
      <c r="AFN9" s="2">
        <v>49</v>
      </c>
      <c r="AFO9" s="2">
        <v>35</v>
      </c>
      <c r="AFP9" s="2">
        <v>55</v>
      </c>
      <c r="AFQ9" s="2">
        <v>26</v>
      </c>
      <c r="AFR9" s="2">
        <v>32</v>
      </c>
      <c r="AFS9" s="2">
        <v>67</v>
      </c>
      <c r="AFT9" s="2">
        <v>58</v>
      </c>
      <c r="AFU9" s="2">
        <v>33</v>
      </c>
      <c r="AFV9" s="2">
        <v>49</v>
      </c>
      <c r="AFW9" s="2">
        <v>39</v>
      </c>
      <c r="AFX9" s="2">
        <v>23</v>
      </c>
      <c r="AFY9" s="2">
        <v>28</v>
      </c>
      <c r="AFZ9" s="2">
        <v>28</v>
      </c>
      <c r="AGA9" s="2">
        <v>40</v>
      </c>
      <c r="AGB9" s="2">
        <v>67</v>
      </c>
      <c r="AGC9" s="2">
        <v>24</v>
      </c>
      <c r="AGD9" s="2">
        <v>71</v>
      </c>
      <c r="AGE9" s="2">
        <v>41</v>
      </c>
      <c r="AGF9" s="2">
        <v>23</v>
      </c>
      <c r="AGG9" s="2">
        <v>65</v>
      </c>
      <c r="AGH9" s="2">
        <v>28</v>
      </c>
      <c r="AGI9" s="2">
        <v>43</v>
      </c>
      <c r="AGJ9" s="2">
        <v>36</v>
      </c>
      <c r="AGK9" s="2">
        <v>33</v>
      </c>
      <c r="AGL9" s="2">
        <v>23</v>
      </c>
      <c r="AGM9" s="2">
        <v>68</v>
      </c>
      <c r="AGN9" s="2">
        <v>29</v>
      </c>
      <c r="AGO9" s="2">
        <v>34</v>
      </c>
      <c r="AGP9" s="2">
        <v>33</v>
      </c>
      <c r="AGQ9" s="2">
        <v>73</v>
      </c>
      <c r="AGR9" s="2">
        <v>27</v>
      </c>
      <c r="AGS9" s="2">
        <v>35</v>
      </c>
      <c r="AGT9" s="2">
        <v>27</v>
      </c>
      <c r="AGU9" s="2">
        <v>58</v>
      </c>
      <c r="AGV9" s="2">
        <v>54</v>
      </c>
      <c r="AGW9" s="2">
        <v>61</v>
      </c>
      <c r="AGX9" s="2">
        <v>42</v>
      </c>
      <c r="AGY9" s="2">
        <v>44</v>
      </c>
      <c r="AGZ9" s="2">
        <v>69</v>
      </c>
      <c r="AHA9" s="2">
        <v>57</v>
      </c>
      <c r="AHB9" s="2">
        <v>64</v>
      </c>
      <c r="AHC9" s="2">
        <v>21</v>
      </c>
      <c r="AHD9" s="2">
        <v>30</v>
      </c>
      <c r="AHE9" s="2">
        <v>63</v>
      </c>
      <c r="AHF9" s="2">
        <v>36</v>
      </c>
      <c r="AHG9" s="2">
        <v>66</v>
      </c>
      <c r="AHH9" s="2">
        <v>28</v>
      </c>
      <c r="AHI9" s="2">
        <v>69</v>
      </c>
      <c r="AHJ9" s="2">
        <v>45</v>
      </c>
      <c r="AHK9" s="2">
        <v>70</v>
      </c>
      <c r="AHL9" s="2">
        <v>32</v>
      </c>
      <c r="AHM9" s="2">
        <v>45</v>
      </c>
      <c r="AHN9" s="2">
        <v>37</v>
      </c>
      <c r="AHO9" s="2">
        <v>46</v>
      </c>
      <c r="AHP9" s="2">
        <v>66</v>
      </c>
      <c r="AHQ9" s="2">
        <v>68</v>
      </c>
      <c r="AHR9" s="2">
        <v>34</v>
      </c>
      <c r="AHS9" s="2">
        <v>61</v>
      </c>
      <c r="AHT9" s="2">
        <v>56</v>
      </c>
      <c r="AHU9" s="2">
        <v>43</v>
      </c>
      <c r="AHV9" s="2">
        <v>63</v>
      </c>
      <c r="AHW9" s="2">
        <v>26</v>
      </c>
      <c r="AHX9" s="2">
        <v>67</v>
      </c>
      <c r="AHY9" s="2">
        <v>25</v>
      </c>
      <c r="AHZ9" s="2">
        <v>63</v>
      </c>
      <c r="AIA9" s="2">
        <v>45</v>
      </c>
      <c r="AIB9" s="2">
        <v>38</v>
      </c>
      <c r="AIC9" s="2">
        <v>33</v>
      </c>
      <c r="AID9" s="2">
        <v>63</v>
      </c>
      <c r="AIE9" s="2">
        <v>34</v>
      </c>
      <c r="AIF9" s="2">
        <v>48</v>
      </c>
      <c r="AIG9" s="2">
        <v>38</v>
      </c>
      <c r="AIH9" s="2">
        <v>48</v>
      </c>
      <c r="AII9" s="2">
        <v>71</v>
      </c>
      <c r="AIJ9" s="2">
        <v>47</v>
      </c>
      <c r="AIK9" s="2">
        <v>52</v>
      </c>
      <c r="AIL9" s="2">
        <v>67</v>
      </c>
      <c r="AIM9" s="2">
        <v>29</v>
      </c>
      <c r="AIN9" s="2">
        <v>60</v>
      </c>
      <c r="AIO9" s="2">
        <v>52</v>
      </c>
      <c r="AIP9" s="2">
        <v>40</v>
      </c>
      <c r="AIQ9" s="2">
        <v>48</v>
      </c>
      <c r="AIR9" s="2">
        <v>53</v>
      </c>
      <c r="AIS9" s="2">
        <v>24</v>
      </c>
      <c r="AIT9" s="2">
        <v>66</v>
      </c>
      <c r="AIU9" s="2">
        <v>54</v>
      </c>
      <c r="AIV9" s="2">
        <v>68</v>
      </c>
      <c r="AIW9" s="2">
        <v>23</v>
      </c>
      <c r="AIX9" s="2">
        <v>46</v>
      </c>
      <c r="AIY9" s="2">
        <v>28</v>
      </c>
      <c r="AIZ9" s="2">
        <v>26</v>
      </c>
      <c r="AJA9" s="2">
        <v>36</v>
      </c>
      <c r="AJB9" s="2">
        <v>44</v>
      </c>
      <c r="AJC9" s="2">
        <v>68</v>
      </c>
      <c r="AJD9" s="2">
        <v>59</v>
      </c>
      <c r="AJE9" s="2">
        <v>50</v>
      </c>
      <c r="AJF9" s="2">
        <v>65</v>
      </c>
      <c r="AJG9" s="2">
        <v>33</v>
      </c>
      <c r="AJH9" s="2">
        <v>25</v>
      </c>
      <c r="AJI9" s="2">
        <v>45</v>
      </c>
      <c r="AJJ9" s="2">
        <v>40</v>
      </c>
      <c r="AJK9" s="2">
        <v>74</v>
      </c>
      <c r="AJL9" s="2">
        <v>38</v>
      </c>
      <c r="AJM9" s="2">
        <v>67</v>
      </c>
      <c r="AJN9" s="2">
        <v>38</v>
      </c>
      <c r="AJO9" s="2">
        <v>22</v>
      </c>
      <c r="AJP9" s="2">
        <v>30</v>
      </c>
      <c r="AJQ9" s="2">
        <v>65</v>
      </c>
      <c r="AJR9" s="2">
        <v>70</v>
      </c>
      <c r="AJS9" s="2">
        <v>67</v>
      </c>
      <c r="AJT9" s="2">
        <v>32</v>
      </c>
      <c r="AJU9" s="2">
        <v>67</v>
      </c>
      <c r="AJV9" s="2">
        <v>33</v>
      </c>
      <c r="AJW9" s="2">
        <v>70</v>
      </c>
      <c r="AJX9" s="2">
        <v>67</v>
      </c>
      <c r="AJY9" s="2">
        <v>31</v>
      </c>
      <c r="AJZ9" s="2">
        <v>39</v>
      </c>
      <c r="AKA9" s="2">
        <v>55</v>
      </c>
      <c r="AKB9" s="2">
        <v>59</v>
      </c>
      <c r="AKC9" s="2">
        <v>73</v>
      </c>
      <c r="AKD9" s="2">
        <v>46</v>
      </c>
      <c r="AKE9" s="2">
        <v>66</v>
      </c>
      <c r="AKF9" s="2">
        <v>34</v>
      </c>
      <c r="AKG9" s="2">
        <v>74</v>
      </c>
      <c r="AKH9" s="2">
        <v>65</v>
      </c>
      <c r="AKI9" s="2">
        <v>64</v>
      </c>
      <c r="AKJ9" s="2">
        <v>44</v>
      </c>
      <c r="AKK9" s="2">
        <v>61</v>
      </c>
      <c r="AKL9" s="2">
        <v>21</v>
      </c>
      <c r="AKM9" s="2">
        <v>71</v>
      </c>
      <c r="AKN9" s="2">
        <v>63</v>
      </c>
      <c r="AKO9" s="2">
        <v>42</v>
      </c>
      <c r="AKP9" s="2">
        <v>43</v>
      </c>
      <c r="AKQ9" s="2">
        <v>74</v>
      </c>
      <c r="AKR9" s="2">
        <v>39</v>
      </c>
      <c r="AKS9" s="2">
        <v>38</v>
      </c>
      <c r="AKT9" s="2">
        <v>32</v>
      </c>
      <c r="AKU9" s="2">
        <v>48</v>
      </c>
      <c r="AKV9" s="2">
        <v>48</v>
      </c>
      <c r="AKW9" s="2">
        <v>53</v>
      </c>
      <c r="AKX9" s="2">
        <v>39</v>
      </c>
      <c r="AKY9" s="2">
        <v>48</v>
      </c>
      <c r="AKZ9" s="2">
        <v>72</v>
      </c>
      <c r="ALA9" s="2">
        <v>69</v>
      </c>
      <c r="ALB9" s="2">
        <v>57</v>
      </c>
      <c r="ALC9" s="2">
        <v>46</v>
      </c>
      <c r="ALD9" s="2">
        <v>55</v>
      </c>
      <c r="ALE9" s="2">
        <v>54</v>
      </c>
      <c r="ALF9" s="2">
        <v>55</v>
      </c>
      <c r="ALG9" s="2">
        <v>60</v>
      </c>
      <c r="ALH9" s="2">
        <v>36</v>
      </c>
      <c r="ALI9" s="2">
        <v>58</v>
      </c>
      <c r="ALJ9" s="2">
        <v>33</v>
      </c>
      <c r="ALK9" s="2">
        <v>43</v>
      </c>
      <c r="ALL9" s="2">
        <v>74</v>
      </c>
      <c r="ALM9" s="2">
        <v>42</v>
      </c>
    </row>
    <row r="10" spans="1:1001" ht="21" x14ac:dyDescent="0.3">
      <c r="A10" s="3" t="s">
        <v>9</v>
      </c>
      <c r="B10" s="2">
        <v>16</v>
      </c>
      <c r="C10" s="2">
        <v>28</v>
      </c>
      <c r="D10" s="2">
        <v>112</v>
      </c>
      <c r="E10" s="2">
        <v>35</v>
      </c>
      <c r="F10" s="2">
        <v>60</v>
      </c>
      <c r="G10" s="2">
        <v>45</v>
      </c>
      <c r="H10" s="2">
        <v>46</v>
      </c>
      <c r="I10" s="2">
        <v>72</v>
      </c>
      <c r="J10" s="2">
        <v>108</v>
      </c>
      <c r="K10" s="2">
        <v>55</v>
      </c>
      <c r="L10" s="2">
        <v>119</v>
      </c>
      <c r="M10" s="2">
        <v>86</v>
      </c>
      <c r="N10" s="2">
        <v>85</v>
      </c>
      <c r="O10" s="2">
        <v>26</v>
      </c>
      <c r="P10" s="2">
        <v>104</v>
      </c>
      <c r="Q10" s="2">
        <v>85</v>
      </c>
      <c r="R10" s="2">
        <v>25</v>
      </c>
      <c r="S10" s="2">
        <v>105</v>
      </c>
      <c r="T10" s="2">
        <v>65</v>
      </c>
      <c r="U10" s="2">
        <v>6</v>
      </c>
      <c r="V10" s="2">
        <v>23</v>
      </c>
      <c r="W10" s="2">
        <v>115</v>
      </c>
      <c r="X10" s="2">
        <v>64</v>
      </c>
      <c r="Y10" s="2">
        <v>87</v>
      </c>
      <c r="Z10" s="2">
        <v>43</v>
      </c>
      <c r="AA10" s="2">
        <v>107</v>
      </c>
      <c r="AB10" s="2">
        <v>23</v>
      </c>
      <c r="AC10" s="2">
        <v>96</v>
      </c>
      <c r="AD10" s="2">
        <v>30</v>
      </c>
      <c r="AE10" s="2">
        <v>77</v>
      </c>
      <c r="AF10" s="2">
        <v>107</v>
      </c>
      <c r="AG10" s="2">
        <v>18</v>
      </c>
      <c r="AH10" s="2">
        <v>87</v>
      </c>
      <c r="AI10" s="2">
        <v>79</v>
      </c>
      <c r="AJ10" s="2">
        <v>97</v>
      </c>
      <c r="AK10" s="2">
        <v>21</v>
      </c>
      <c r="AL10" s="2">
        <v>57</v>
      </c>
      <c r="AM10" s="2">
        <v>103</v>
      </c>
      <c r="AN10" s="2">
        <v>23</v>
      </c>
      <c r="AO10" s="2">
        <v>91</v>
      </c>
      <c r="AP10" s="2">
        <v>45</v>
      </c>
      <c r="AQ10" s="2">
        <v>44</v>
      </c>
      <c r="AR10" s="2">
        <v>82</v>
      </c>
      <c r="AS10" s="2">
        <v>88</v>
      </c>
      <c r="AT10" s="2">
        <v>115</v>
      </c>
      <c r="AU10" s="2">
        <v>47</v>
      </c>
      <c r="AV10" s="2">
        <v>40</v>
      </c>
      <c r="AW10" s="2">
        <v>51</v>
      </c>
      <c r="AX10" s="2">
        <v>42</v>
      </c>
      <c r="AY10" s="2">
        <v>7</v>
      </c>
      <c r="AZ10" s="2">
        <v>50</v>
      </c>
      <c r="BA10" s="2">
        <v>48</v>
      </c>
      <c r="BB10" s="2">
        <v>84</v>
      </c>
      <c r="BC10" s="2">
        <v>91</v>
      </c>
      <c r="BD10" s="2">
        <v>6</v>
      </c>
      <c r="BE10" s="2">
        <v>91</v>
      </c>
      <c r="BF10" s="2">
        <v>9</v>
      </c>
      <c r="BG10" s="2">
        <v>117</v>
      </c>
      <c r="BH10" s="2">
        <v>109</v>
      </c>
      <c r="BI10" s="2">
        <v>57</v>
      </c>
      <c r="BJ10" s="2">
        <v>31</v>
      </c>
      <c r="BK10" s="2">
        <v>21</v>
      </c>
      <c r="BL10" s="2">
        <v>90</v>
      </c>
      <c r="BM10" s="2">
        <v>40</v>
      </c>
      <c r="BN10" s="2">
        <v>112</v>
      </c>
      <c r="BO10" s="2">
        <v>45</v>
      </c>
      <c r="BP10" s="2">
        <v>77</v>
      </c>
      <c r="BQ10" s="2">
        <v>49</v>
      </c>
      <c r="BR10" s="2">
        <v>87</v>
      </c>
      <c r="BS10" s="2">
        <v>20</v>
      </c>
      <c r="BT10" s="2">
        <v>101</v>
      </c>
      <c r="BU10" s="2">
        <v>118</v>
      </c>
      <c r="BV10" s="2">
        <v>117</v>
      </c>
      <c r="BW10" s="2">
        <v>92</v>
      </c>
      <c r="BX10" s="2">
        <v>17</v>
      </c>
      <c r="BY10" s="2">
        <v>28</v>
      </c>
      <c r="BZ10" s="2">
        <v>41</v>
      </c>
      <c r="CA10" s="2">
        <v>66</v>
      </c>
      <c r="CB10" s="2">
        <v>25</v>
      </c>
      <c r="CC10" s="2">
        <v>58</v>
      </c>
      <c r="CD10" s="2">
        <v>114</v>
      </c>
      <c r="CE10" s="2">
        <v>41</v>
      </c>
      <c r="CF10" s="2">
        <v>6</v>
      </c>
      <c r="CG10" s="2">
        <v>75</v>
      </c>
      <c r="CH10" s="2">
        <v>38</v>
      </c>
      <c r="CI10" s="2">
        <v>6</v>
      </c>
      <c r="CJ10" s="2">
        <v>45</v>
      </c>
      <c r="CK10" s="2">
        <v>75</v>
      </c>
      <c r="CL10" s="2">
        <v>14</v>
      </c>
      <c r="CM10" s="2">
        <v>66</v>
      </c>
      <c r="CN10" s="2">
        <v>40</v>
      </c>
      <c r="CO10" s="2">
        <v>3</v>
      </c>
      <c r="CP10" s="2">
        <v>119</v>
      </c>
      <c r="CQ10" s="2">
        <v>117</v>
      </c>
      <c r="CR10" s="2">
        <v>99</v>
      </c>
      <c r="CS10" s="2">
        <v>97</v>
      </c>
      <c r="CT10" s="2">
        <v>24</v>
      </c>
      <c r="CU10" s="2">
        <v>19</v>
      </c>
      <c r="CV10" s="2">
        <v>18</v>
      </c>
      <c r="CW10" s="2">
        <v>64</v>
      </c>
      <c r="CX10" s="2">
        <v>113</v>
      </c>
      <c r="CY10" s="2">
        <v>116</v>
      </c>
      <c r="CZ10" s="2">
        <v>88</v>
      </c>
      <c r="DA10" s="2">
        <v>109</v>
      </c>
      <c r="DB10" s="2">
        <v>35</v>
      </c>
      <c r="DC10" s="2">
        <v>62</v>
      </c>
      <c r="DD10" s="2">
        <v>1</v>
      </c>
      <c r="DE10" s="2">
        <v>100</v>
      </c>
      <c r="DF10" s="2">
        <v>25</v>
      </c>
      <c r="DG10" s="2">
        <v>45</v>
      </c>
      <c r="DH10" s="2">
        <v>49</v>
      </c>
      <c r="DI10" s="2">
        <v>107</v>
      </c>
      <c r="DJ10" s="2">
        <v>98</v>
      </c>
      <c r="DK10" s="2">
        <v>89</v>
      </c>
      <c r="DL10" s="2">
        <v>16</v>
      </c>
      <c r="DM10" s="2">
        <v>98</v>
      </c>
      <c r="DN10" s="2">
        <v>93</v>
      </c>
      <c r="DO10" s="2">
        <v>19</v>
      </c>
      <c r="DP10" s="2">
        <v>23</v>
      </c>
      <c r="DQ10" s="2">
        <v>83</v>
      </c>
      <c r="DR10" s="2">
        <v>25</v>
      </c>
      <c r="DS10" s="2">
        <v>16</v>
      </c>
      <c r="DT10" s="2">
        <v>54</v>
      </c>
      <c r="DU10" s="2">
        <v>115</v>
      </c>
      <c r="DV10" s="2">
        <v>73</v>
      </c>
      <c r="DW10" s="2">
        <v>1</v>
      </c>
      <c r="DX10" s="2">
        <v>42</v>
      </c>
      <c r="DY10" s="2">
        <v>19</v>
      </c>
      <c r="DZ10" s="2">
        <v>97</v>
      </c>
      <c r="EA10" s="2">
        <v>34</v>
      </c>
      <c r="EB10" s="2">
        <v>80</v>
      </c>
      <c r="EC10" s="2">
        <v>108</v>
      </c>
      <c r="ED10" s="2">
        <v>104</v>
      </c>
      <c r="EE10" s="2">
        <v>55</v>
      </c>
      <c r="EF10" s="2">
        <v>18</v>
      </c>
      <c r="EG10" s="2">
        <v>34</v>
      </c>
      <c r="EH10" s="2">
        <v>89</v>
      </c>
      <c r="EI10" s="2">
        <v>45</v>
      </c>
      <c r="EJ10" s="2">
        <v>6</v>
      </c>
      <c r="EK10" s="2">
        <v>21</v>
      </c>
      <c r="EL10" s="2">
        <v>70</v>
      </c>
      <c r="EM10" s="2">
        <v>96</v>
      </c>
      <c r="EN10" s="2">
        <v>105</v>
      </c>
      <c r="EO10" s="2">
        <v>48</v>
      </c>
      <c r="EP10" s="2">
        <v>107</v>
      </c>
      <c r="EQ10" s="2">
        <v>39</v>
      </c>
      <c r="ER10" s="2">
        <v>31</v>
      </c>
      <c r="ES10" s="2">
        <v>106</v>
      </c>
      <c r="ET10" s="2">
        <v>10</v>
      </c>
      <c r="EU10" s="2">
        <v>30</v>
      </c>
      <c r="EV10" s="2">
        <v>116</v>
      </c>
      <c r="EW10" s="2">
        <v>18</v>
      </c>
      <c r="EX10" s="2">
        <v>60</v>
      </c>
      <c r="EY10" s="2">
        <v>88</v>
      </c>
      <c r="EZ10" s="2">
        <v>116</v>
      </c>
      <c r="FA10" s="2">
        <v>73</v>
      </c>
      <c r="FB10" s="2">
        <v>95</v>
      </c>
      <c r="FC10" s="2">
        <v>15</v>
      </c>
      <c r="FD10" s="2">
        <v>4</v>
      </c>
      <c r="FE10" s="2">
        <v>63</v>
      </c>
      <c r="FF10" s="2">
        <v>40</v>
      </c>
      <c r="FG10" s="2">
        <v>9</v>
      </c>
      <c r="FH10" s="2">
        <v>109</v>
      </c>
      <c r="FI10" s="2">
        <v>9</v>
      </c>
      <c r="FJ10" s="2">
        <v>26</v>
      </c>
      <c r="FK10" s="2">
        <v>4</v>
      </c>
      <c r="FL10" s="2">
        <v>81</v>
      </c>
      <c r="FM10" s="2">
        <v>16</v>
      </c>
      <c r="FN10" s="2">
        <v>15</v>
      </c>
      <c r="FO10" s="2">
        <v>99</v>
      </c>
      <c r="FP10" s="2">
        <v>52</v>
      </c>
      <c r="FQ10" s="2">
        <v>69</v>
      </c>
      <c r="FR10" s="2">
        <v>119</v>
      </c>
      <c r="FS10" s="2">
        <v>5</v>
      </c>
      <c r="FT10" s="2">
        <v>20</v>
      </c>
      <c r="FU10" s="2">
        <v>79</v>
      </c>
      <c r="FV10" s="2">
        <v>18</v>
      </c>
      <c r="FW10" s="2">
        <v>111</v>
      </c>
      <c r="FX10" s="2">
        <v>2</v>
      </c>
      <c r="FY10" s="2">
        <v>93</v>
      </c>
      <c r="FZ10" s="2">
        <v>13</v>
      </c>
      <c r="GA10" s="2">
        <v>4</v>
      </c>
      <c r="GB10" s="2">
        <v>42</v>
      </c>
      <c r="GC10" s="2">
        <v>109</v>
      </c>
      <c r="GD10" s="2">
        <v>74</v>
      </c>
      <c r="GE10" s="2">
        <v>61</v>
      </c>
      <c r="GF10" s="2">
        <v>95</v>
      </c>
      <c r="GG10" s="2">
        <v>105</v>
      </c>
      <c r="GH10" s="2">
        <v>8</v>
      </c>
      <c r="GI10" s="2">
        <v>67</v>
      </c>
      <c r="GJ10" s="2">
        <v>112</v>
      </c>
      <c r="GK10" s="2">
        <v>63</v>
      </c>
      <c r="GL10" s="2">
        <v>110</v>
      </c>
      <c r="GM10" s="2">
        <v>9</v>
      </c>
      <c r="GN10" s="2">
        <v>94</v>
      </c>
      <c r="GO10" s="2">
        <v>117</v>
      </c>
      <c r="GP10" s="2">
        <v>11</v>
      </c>
      <c r="GQ10" s="2">
        <v>99</v>
      </c>
      <c r="GR10" s="2">
        <v>101</v>
      </c>
      <c r="GS10" s="2">
        <v>42</v>
      </c>
      <c r="GT10" s="2">
        <v>13</v>
      </c>
      <c r="GU10" s="2">
        <v>36</v>
      </c>
      <c r="GV10" s="2">
        <v>13</v>
      </c>
      <c r="GW10" s="2">
        <v>12</v>
      </c>
      <c r="GX10" s="2">
        <v>37</v>
      </c>
      <c r="GY10" s="2">
        <v>74</v>
      </c>
      <c r="GZ10" s="2">
        <v>73</v>
      </c>
      <c r="HA10" s="2">
        <v>52</v>
      </c>
      <c r="HB10" s="2">
        <v>71</v>
      </c>
      <c r="HC10" s="2">
        <v>2</v>
      </c>
      <c r="HD10" s="2">
        <v>118</v>
      </c>
      <c r="HE10" s="2">
        <v>56</v>
      </c>
      <c r="HF10" s="2">
        <v>60</v>
      </c>
      <c r="HG10" s="2">
        <v>23</v>
      </c>
      <c r="HH10" s="2">
        <v>103</v>
      </c>
      <c r="HI10" s="2">
        <v>40</v>
      </c>
      <c r="HJ10" s="2">
        <v>64</v>
      </c>
      <c r="HK10" s="2">
        <v>103</v>
      </c>
      <c r="HL10" s="2">
        <v>85</v>
      </c>
      <c r="HM10" s="2">
        <v>23</v>
      </c>
      <c r="HN10" s="2">
        <v>29</v>
      </c>
      <c r="HO10" s="2">
        <v>78</v>
      </c>
      <c r="HP10" s="2">
        <v>90</v>
      </c>
      <c r="HQ10" s="2">
        <v>51</v>
      </c>
      <c r="HR10" s="2">
        <v>69</v>
      </c>
      <c r="HS10" s="2">
        <v>119</v>
      </c>
      <c r="HT10" s="2">
        <v>95</v>
      </c>
      <c r="HU10" s="2">
        <v>89</v>
      </c>
      <c r="HV10" s="2">
        <v>31</v>
      </c>
      <c r="HW10" s="2">
        <v>50</v>
      </c>
      <c r="HX10" s="2">
        <v>20</v>
      </c>
      <c r="HY10" s="2">
        <v>108</v>
      </c>
      <c r="HZ10" s="2">
        <v>55</v>
      </c>
      <c r="IA10" s="2">
        <v>81</v>
      </c>
      <c r="IB10" s="2">
        <v>109</v>
      </c>
      <c r="IC10" s="2">
        <v>2</v>
      </c>
      <c r="ID10" s="2">
        <v>25</v>
      </c>
      <c r="IE10" s="2">
        <v>13</v>
      </c>
      <c r="IF10" s="2">
        <v>103</v>
      </c>
      <c r="IG10" s="2">
        <v>92</v>
      </c>
      <c r="IH10" s="2">
        <v>106</v>
      </c>
      <c r="II10" s="2">
        <v>119</v>
      </c>
      <c r="IJ10" s="2">
        <v>70</v>
      </c>
      <c r="IK10" s="2">
        <v>67</v>
      </c>
      <c r="IL10" s="2">
        <v>58</v>
      </c>
      <c r="IM10" s="2">
        <v>99</v>
      </c>
      <c r="IN10" s="2">
        <v>82</v>
      </c>
      <c r="IO10" s="2">
        <v>75</v>
      </c>
      <c r="IP10" s="2">
        <v>118</v>
      </c>
      <c r="IQ10" s="2">
        <v>84</v>
      </c>
      <c r="IR10" s="2">
        <v>64</v>
      </c>
      <c r="IS10" s="2">
        <v>69</v>
      </c>
      <c r="IT10" s="2">
        <v>83</v>
      </c>
      <c r="IU10" s="2">
        <v>86</v>
      </c>
      <c r="IV10" s="2">
        <v>59</v>
      </c>
      <c r="IW10" s="2">
        <v>60</v>
      </c>
      <c r="IX10" s="2">
        <v>83</v>
      </c>
      <c r="IY10" s="2">
        <v>111</v>
      </c>
      <c r="IZ10" s="2">
        <v>62</v>
      </c>
      <c r="JA10" s="2">
        <v>16</v>
      </c>
      <c r="JB10" s="2">
        <v>88</v>
      </c>
      <c r="JC10" s="2">
        <v>105</v>
      </c>
      <c r="JD10" s="2">
        <v>68</v>
      </c>
      <c r="JE10" s="2">
        <v>15</v>
      </c>
      <c r="JF10" s="2">
        <v>89</v>
      </c>
      <c r="JG10" s="2">
        <v>108</v>
      </c>
      <c r="JH10" s="2">
        <v>55</v>
      </c>
      <c r="JI10" s="2">
        <v>35</v>
      </c>
      <c r="JJ10" s="2">
        <v>55</v>
      </c>
      <c r="JK10" s="2">
        <v>14</v>
      </c>
      <c r="JL10" s="2">
        <v>49</v>
      </c>
      <c r="JM10" s="2">
        <v>83</v>
      </c>
      <c r="JN10" s="2">
        <v>102</v>
      </c>
      <c r="JO10" s="2">
        <v>100</v>
      </c>
      <c r="JP10" s="2">
        <v>7</v>
      </c>
      <c r="JQ10" s="2">
        <v>30</v>
      </c>
      <c r="JR10" s="2">
        <v>83</v>
      </c>
      <c r="JS10" s="2">
        <v>49</v>
      </c>
      <c r="JT10" s="2">
        <v>89</v>
      </c>
      <c r="JU10" s="2">
        <v>16</v>
      </c>
      <c r="JV10" s="2">
        <v>111</v>
      </c>
      <c r="JW10" s="2">
        <v>118</v>
      </c>
      <c r="JX10" s="2">
        <v>104</v>
      </c>
      <c r="JY10" s="2">
        <v>51</v>
      </c>
      <c r="JZ10" s="2">
        <v>72</v>
      </c>
      <c r="KA10" s="2">
        <v>82</v>
      </c>
      <c r="KB10" s="2">
        <v>92</v>
      </c>
      <c r="KC10" s="2">
        <v>80</v>
      </c>
      <c r="KD10" s="2">
        <v>116</v>
      </c>
      <c r="KE10" s="2">
        <v>83</v>
      </c>
      <c r="KF10" s="2">
        <v>42</v>
      </c>
      <c r="KG10" s="2">
        <v>17</v>
      </c>
      <c r="KH10" s="2">
        <v>63</v>
      </c>
      <c r="KI10" s="2">
        <v>45</v>
      </c>
      <c r="KJ10" s="2">
        <v>77</v>
      </c>
      <c r="KK10" s="2">
        <v>7</v>
      </c>
      <c r="KL10" s="2">
        <v>27</v>
      </c>
      <c r="KM10" s="2">
        <v>10</v>
      </c>
      <c r="KN10" s="2">
        <v>34</v>
      </c>
      <c r="KO10" s="2">
        <v>36</v>
      </c>
      <c r="KP10" s="2">
        <v>25</v>
      </c>
      <c r="KQ10" s="2">
        <v>6</v>
      </c>
      <c r="KR10" s="2">
        <v>24</v>
      </c>
      <c r="KS10" s="2">
        <v>18</v>
      </c>
      <c r="KT10" s="2">
        <v>87</v>
      </c>
      <c r="KU10" s="2">
        <v>6</v>
      </c>
      <c r="KV10" s="2">
        <v>29</v>
      </c>
      <c r="KW10" s="2">
        <v>25</v>
      </c>
      <c r="KX10" s="2">
        <v>55</v>
      </c>
      <c r="KY10" s="2">
        <v>81</v>
      </c>
      <c r="KZ10" s="2">
        <v>46</v>
      </c>
      <c r="LA10" s="2">
        <v>24</v>
      </c>
      <c r="LB10" s="2">
        <v>75</v>
      </c>
      <c r="LC10" s="2">
        <v>26</v>
      </c>
      <c r="LD10" s="2">
        <v>115</v>
      </c>
      <c r="LE10" s="2">
        <v>98</v>
      </c>
      <c r="LF10" s="2">
        <v>28</v>
      </c>
      <c r="LG10" s="2">
        <v>3</v>
      </c>
      <c r="LH10" s="2">
        <v>75</v>
      </c>
      <c r="LI10" s="2">
        <v>38</v>
      </c>
      <c r="LJ10" s="2">
        <v>61</v>
      </c>
      <c r="LK10" s="2">
        <v>78</v>
      </c>
      <c r="LL10" s="2">
        <v>51</v>
      </c>
      <c r="LM10" s="2">
        <v>90</v>
      </c>
      <c r="LN10" s="2">
        <v>48</v>
      </c>
      <c r="LO10" s="2">
        <v>21</v>
      </c>
      <c r="LP10" s="2">
        <v>54</v>
      </c>
      <c r="LQ10" s="2">
        <v>56</v>
      </c>
      <c r="LR10" s="2">
        <v>103</v>
      </c>
      <c r="LS10" s="2">
        <v>94</v>
      </c>
      <c r="LT10" s="2">
        <v>59</v>
      </c>
      <c r="LU10" s="2">
        <v>72</v>
      </c>
      <c r="LV10" s="2">
        <v>51</v>
      </c>
      <c r="LW10" s="2">
        <v>20</v>
      </c>
      <c r="LX10" s="2">
        <v>112</v>
      </c>
      <c r="LY10" s="2">
        <v>96</v>
      </c>
      <c r="LZ10" s="2">
        <v>86</v>
      </c>
      <c r="MA10" s="2">
        <v>59</v>
      </c>
      <c r="MB10" s="2">
        <v>71</v>
      </c>
      <c r="MC10" s="2">
        <v>9</v>
      </c>
      <c r="MD10" s="2">
        <v>109</v>
      </c>
      <c r="ME10" s="2">
        <v>1</v>
      </c>
      <c r="MF10" s="2">
        <v>29</v>
      </c>
      <c r="MG10" s="2">
        <v>63</v>
      </c>
      <c r="MH10" s="2">
        <v>72</v>
      </c>
      <c r="MI10" s="2">
        <v>56</v>
      </c>
      <c r="MJ10" s="2">
        <v>118</v>
      </c>
      <c r="MK10" s="2">
        <v>68</v>
      </c>
      <c r="ML10" s="2">
        <v>35</v>
      </c>
      <c r="MM10" s="2">
        <v>3</v>
      </c>
      <c r="MN10" s="2">
        <v>118</v>
      </c>
      <c r="MO10" s="2">
        <v>109</v>
      </c>
      <c r="MP10" s="2">
        <v>104</v>
      </c>
      <c r="MQ10" s="2">
        <v>7</v>
      </c>
      <c r="MR10" s="2">
        <v>27</v>
      </c>
      <c r="MS10" s="2">
        <v>1</v>
      </c>
      <c r="MT10" s="2">
        <v>91</v>
      </c>
      <c r="MU10" s="2">
        <v>80</v>
      </c>
      <c r="MV10" s="2">
        <v>102</v>
      </c>
      <c r="MW10" s="2">
        <v>71</v>
      </c>
      <c r="MX10" s="2">
        <v>44</v>
      </c>
      <c r="MY10" s="2">
        <v>87</v>
      </c>
      <c r="MZ10" s="2">
        <v>41</v>
      </c>
      <c r="NA10" s="2">
        <v>75</v>
      </c>
      <c r="NB10" s="2">
        <v>42</v>
      </c>
      <c r="NC10" s="2">
        <v>117</v>
      </c>
      <c r="ND10" s="2">
        <v>33</v>
      </c>
      <c r="NE10" s="2">
        <v>50</v>
      </c>
      <c r="NF10" s="2">
        <v>63</v>
      </c>
      <c r="NG10" s="2">
        <v>100</v>
      </c>
      <c r="NH10" s="2">
        <v>37</v>
      </c>
      <c r="NI10" s="2">
        <v>105</v>
      </c>
      <c r="NJ10" s="2">
        <v>59</v>
      </c>
      <c r="NK10" s="2">
        <v>81</v>
      </c>
      <c r="NL10" s="2">
        <v>99</v>
      </c>
      <c r="NM10" s="2">
        <v>48</v>
      </c>
      <c r="NN10" s="2">
        <v>5</v>
      </c>
      <c r="NO10" s="2">
        <v>48</v>
      </c>
      <c r="NP10" s="2">
        <v>96</v>
      </c>
      <c r="NQ10" s="2">
        <v>3</v>
      </c>
      <c r="NR10" s="2">
        <v>116</v>
      </c>
      <c r="NS10" s="2">
        <v>47</v>
      </c>
      <c r="NT10" s="2">
        <v>62</v>
      </c>
      <c r="NU10" s="2">
        <v>99</v>
      </c>
      <c r="NV10" s="2">
        <v>116</v>
      </c>
      <c r="NW10" s="2">
        <v>14</v>
      </c>
      <c r="NX10" s="2">
        <v>63</v>
      </c>
      <c r="NY10" s="2">
        <v>112</v>
      </c>
      <c r="NZ10" s="2">
        <v>61</v>
      </c>
      <c r="OA10" s="2">
        <v>31</v>
      </c>
      <c r="OB10" s="2">
        <v>95</v>
      </c>
      <c r="OC10" s="2">
        <v>17</v>
      </c>
      <c r="OD10" s="2">
        <v>24</v>
      </c>
      <c r="OE10" s="2">
        <v>116</v>
      </c>
      <c r="OF10" s="2">
        <v>23</v>
      </c>
      <c r="OG10" s="2">
        <v>82</v>
      </c>
      <c r="OH10" s="2">
        <v>50</v>
      </c>
      <c r="OI10" s="2">
        <v>118</v>
      </c>
      <c r="OJ10" s="2">
        <v>78</v>
      </c>
      <c r="OK10" s="2">
        <v>114</v>
      </c>
      <c r="OL10" s="2">
        <v>79</v>
      </c>
      <c r="OM10" s="2">
        <v>79</v>
      </c>
      <c r="ON10" s="2">
        <v>70</v>
      </c>
      <c r="OO10" s="2">
        <v>27</v>
      </c>
      <c r="OP10" s="2">
        <v>15</v>
      </c>
      <c r="OQ10" s="2">
        <v>50</v>
      </c>
      <c r="OR10" s="2">
        <v>36</v>
      </c>
      <c r="OS10" s="2">
        <v>119</v>
      </c>
      <c r="OT10" s="2">
        <v>8</v>
      </c>
      <c r="OU10" s="2">
        <v>79</v>
      </c>
      <c r="OV10" s="2">
        <v>3</v>
      </c>
      <c r="OW10" s="2">
        <v>62</v>
      </c>
      <c r="OX10" s="2">
        <v>47</v>
      </c>
      <c r="OY10" s="2">
        <v>77</v>
      </c>
      <c r="OZ10" s="2">
        <v>105</v>
      </c>
      <c r="PA10" s="2">
        <v>98</v>
      </c>
      <c r="PB10" s="2">
        <v>88</v>
      </c>
      <c r="PC10" s="2">
        <v>104</v>
      </c>
      <c r="PD10" s="2">
        <v>96</v>
      </c>
      <c r="PE10" s="2">
        <v>61</v>
      </c>
      <c r="PF10" s="2">
        <v>32</v>
      </c>
      <c r="PG10" s="2">
        <v>94</v>
      </c>
      <c r="PH10" s="2">
        <v>116</v>
      </c>
      <c r="PI10" s="2">
        <v>113</v>
      </c>
      <c r="PJ10" s="2">
        <v>13</v>
      </c>
      <c r="PK10" s="2">
        <v>1</v>
      </c>
      <c r="PL10" s="2">
        <v>34</v>
      </c>
      <c r="PM10" s="2">
        <v>62</v>
      </c>
      <c r="PN10" s="2">
        <v>79</v>
      </c>
      <c r="PO10" s="2">
        <v>108</v>
      </c>
      <c r="PP10" s="2">
        <v>78</v>
      </c>
      <c r="PQ10" s="2">
        <v>93</v>
      </c>
      <c r="PR10" s="2">
        <v>98</v>
      </c>
      <c r="PS10" s="2">
        <v>82</v>
      </c>
      <c r="PT10" s="2">
        <v>118</v>
      </c>
      <c r="PU10" s="2">
        <v>71</v>
      </c>
      <c r="PV10" s="2">
        <v>93</v>
      </c>
      <c r="PW10" s="2">
        <v>119</v>
      </c>
      <c r="PX10" s="2">
        <v>31</v>
      </c>
      <c r="PY10" s="2">
        <v>64</v>
      </c>
      <c r="PZ10" s="2">
        <v>25</v>
      </c>
      <c r="QA10" s="2">
        <v>38</v>
      </c>
      <c r="QB10" s="2">
        <v>14</v>
      </c>
      <c r="QC10" s="2">
        <v>8</v>
      </c>
      <c r="QD10" s="2">
        <v>91</v>
      </c>
      <c r="QE10" s="2">
        <v>54</v>
      </c>
      <c r="QF10" s="2">
        <v>2</v>
      </c>
      <c r="QG10" s="2">
        <v>81</v>
      </c>
      <c r="QH10" s="2">
        <v>101</v>
      </c>
      <c r="QI10" s="2">
        <v>78</v>
      </c>
      <c r="QJ10" s="2">
        <v>89</v>
      </c>
      <c r="QK10" s="2">
        <v>56</v>
      </c>
      <c r="QL10" s="2">
        <v>94</v>
      </c>
      <c r="QM10" s="2">
        <v>93</v>
      </c>
      <c r="QN10" s="2">
        <v>84</v>
      </c>
      <c r="QO10" s="2">
        <v>85</v>
      </c>
      <c r="QP10" s="2">
        <v>61</v>
      </c>
      <c r="QQ10" s="2">
        <v>117</v>
      </c>
      <c r="QR10" s="2">
        <v>22</v>
      </c>
      <c r="QS10" s="2">
        <v>35</v>
      </c>
      <c r="QT10" s="2">
        <v>101</v>
      </c>
      <c r="QU10" s="2">
        <v>16</v>
      </c>
      <c r="QV10" s="2">
        <v>50</v>
      </c>
      <c r="QW10" s="2">
        <v>113</v>
      </c>
      <c r="QX10" s="2">
        <v>43</v>
      </c>
      <c r="QY10" s="2">
        <v>17</v>
      </c>
      <c r="QZ10" s="2">
        <v>80</v>
      </c>
      <c r="RA10" s="2">
        <v>58</v>
      </c>
      <c r="RB10" s="2">
        <v>119</v>
      </c>
      <c r="RC10" s="2">
        <v>2</v>
      </c>
      <c r="RD10" s="2">
        <v>4</v>
      </c>
      <c r="RE10" s="2">
        <v>85</v>
      </c>
      <c r="RF10" s="2">
        <v>39</v>
      </c>
      <c r="RG10" s="2">
        <v>98</v>
      </c>
      <c r="RH10" s="2">
        <v>94</v>
      </c>
      <c r="RI10" s="2">
        <v>6</v>
      </c>
      <c r="RJ10" s="2">
        <v>81</v>
      </c>
      <c r="RK10" s="2">
        <v>103</v>
      </c>
      <c r="RL10" s="2">
        <v>89</v>
      </c>
      <c r="RM10" s="2">
        <v>69</v>
      </c>
      <c r="RN10" s="2">
        <v>69</v>
      </c>
      <c r="RO10" s="2">
        <v>20</v>
      </c>
      <c r="RP10" s="2">
        <v>64</v>
      </c>
      <c r="RQ10" s="2">
        <v>16</v>
      </c>
      <c r="RR10" s="2">
        <v>51</v>
      </c>
      <c r="RS10" s="2">
        <v>105</v>
      </c>
      <c r="RT10" s="2">
        <v>37</v>
      </c>
      <c r="RU10" s="2">
        <v>104</v>
      </c>
      <c r="RV10" s="2">
        <v>73</v>
      </c>
      <c r="RW10" s="2">
        <v>69</v>
      </c>
      <c r="RX10" s="2">
        <v>42</v>
      </c>
      <c r="RY10" s="2">
        <v>57</v>
      </c>
      <c r="RZ10" s="2">
        <v>66</v>
      </c>
      <c r="SA10" s="2">
        <v>9</v>
      </c>
      <c r="SB10" s="2">
        <v>107</v>
      </c>
      <c r="SC10" s="2">
        <v>100</v>
      </c>
      <c r="SD10" s="2">
        <v>86</v>
      </c>
      <c r="SE10" s="2">
        <v>64</v>
      </c>
      <c r="SF10" s="2">
        <v>86</v>
      </c>
      <c r="SG10" s="2">
        <v>22</v>
      </c>
      <c r="SH10" s="2">
        <v>34</v>
      </c>
      <c r="SI10" s="2">
        <v>55</v>
      </c>
      <c r="SJ10" s="2">
        <v>29</v>
      </c>
      <c r="SK10" s="2">
        <v>38</v>
      </c>
      <c r="SL10" s="2">
        <v>110</v>
      </c>
      <c r="SM10" s="2">
        <v>97</v>
      </c>
      <c r="SN10" s="2">
        <v>18</v>
      </c>
      <c r="SO10" s="2">
        <v>71</v>
      </c>
      <c r="SP10" s="2">
        <v>65</v>
      </c>
      <c r="SQ10" s="2">
        <v>97</v>
      </c>
      <c r="SR10" s="2">
        <v>1</v>
      </c>
      <c r="SS10" s="2">
        <v>88</v>
      </c>
      <c r="ST10" s="2">
        <v>4</v>
      </c>
      <c r="SU10" s="2">
        <v>4</v>
      </c>
      <c r="SV10" s="2">
        <v>82</v>
      </c>
      <c r="SW10" s="2">
        <v>27</v>
      </c>
      <c r="SX10" s="2">
        <v>43</v>
      </c>
      <c r="SY10" s="2">
        <v>59</v>
      </c>
      <c r="SZ10" s="2">
        <v>32</v>
      </c>
      <c r="TA10" s="2">
        <v>33</v>
      </c>
      <c r="TB10" s="2">
        <v>28</v>
      </c>
      <c r="TC10" s="2">
        <v>106</v>
      </c>
      <c r="TD10" s="2">
        <v>105</v>
      </c>
      <c r="TE10" s="2">
        <v>55</v>
      </c>
      <c r="TF10" s="2">
        <v>100</v>
      </c>
      <c r="TG10" s="2">
        <v>60</v>
      </c>
      <c r="TH10" s="2">
        <v>70</v>
      </c>
      <c r="TI10" s="2">
        <v>62</v>
      </c>
      <c r="TJ10" s="2">
        <v>80</v>
      </c>
      <c r="TK10" s="2">
        <v>34</v>
      </c>
      <c r="TL10" s="2">
        <v>87</v>
      </c>
      <c r="TM10" s="2">
        <v>114</v>
      </c>
      <c r="TN10" s="2">
        <v>106</v>
      </c>
      <c r="TO10" s="2">
        <v>88</v>
      </c>
      <c r="TP10" s="2">
        <v>56</v>
      </c>
      <c r="TQ10" s="2">
        <v>113</v>
      </c>
      <c r="TR10" s="2">
        <v>13</v>
      </c>
      <c r="TS10" s="2">
        <v>56</v>
      </c>
      <c r="TT10" s="2">
        <v>18</v>
      </c>
      <c r="TU10" s="2">
        <v>54</v>
      </c>
      <c r="TV10" s="2">
        <v>77</v>
      </c>
      <c r="TW10" s="2">
        <v>113</v>
      </c>
      <c r="TX10" s="2">
        <v>101</v>
      </c>
      <c r="TY10" s="2">
        <v>43</v>
      </c>
      <c r="TZ10" s="2">
        <v>39</v>
      </c>
      <c r="UA10" s="2">
        <v>61</v>
      </c>
      <c r="UB10" s="2">
        <v>42</v>
      </c>
      <c r="UC10" s="2">
        <v>81</v>
      </c>
      <c r="UD10" s="2">
        <v>79</v>
      </c>
      <c r="UE10" s="2">
        <v>18</v>
      </c>
      <c r="UF10" s="2">
        <v>23</v>
      </c>
      <c r="UG10" s="2">
        <v>54</v>
      </c>
      <c r="UH10" s="2">
        <v>115</v>
      </c>
      <c r="UI10" s="2">
        <v>30</v>
      </c>
      <c r="UJ10" s="2">
        <v>98</v>
      </c>
      <c r="UK10" s="2">
        <v>58</v>
      </c>
      <c r="UL10" s="2">
        <v>68</v>
      </c>
      <c r="UM10" s="2">
        <v>67</v>
      </c>
      <c r="UN10" s="2">
        <v>71</v>
      </c>
      <c r="UO10" s="2">
        <v>18</v>
      </c>
      <c r="UP10" s="2">
        <v>106</v>
      </c>
      <c r="UQ10" s="2">
        <v>7</v>
      </c>
      <c r="UR10" s="2">
        <v>40</v>
      </c>
      <c r="US10" s="2">
        <v>70</v>
      </c>
      <c r="UT10" s="2">
        <v>86</v>
      </c>
      <c r="UU10" s="2">
        <v>65</v>
      </c>
      <c r="UV10" s="2">
        <v>68</v>
      </c>
      <c r="UW10" s="2">
        <v>110</v>
      </c>
      <c r="UX10" s="2">
        <v>49</v>
      </c>
      <c r="UY10" s="2">
        <v>52</v>
      </c>
      <c r="UZ10" s="2">
        <v>114</v>
      </c>
      <c r="VA10" s="2">
        <v>107</v>
      </c>
      <c r="VB10" s="2">
        <v>29</v>
      </c>
      <c r="VC10" s="2">
        <v>21</v>
      </c>
      <c r="VD10" s="2">
        <v>90</v>
      </c>
      <c r="VE10" s="2">
        <v>78</v>
      </c>
      <c r="VF10" s="2">
        <v>9</v>
      </c>
      <c r="VG10" s="2">
        <v>47</v>
      </c>
      <c r="VH10" s="2">
        <v>76</v>
      </c>
      <c r="VI10" s="2">
        <v>42</v>
      </c>
      <c r="VJ10" s="2">
        <v>51</v>
      </c>
      <c r="VK10" s="2">
        <v>56</v>
      </c>
      <c r="VL10" s="2">
        <v>51</v>
      </c>
      <c r="VM10" s="2">
        <v>70</v>
      </c>
      <c r="VN10" s="2">
        <v>20</v>
      </c>
      <c r="VO10" s="2">
        <v>88</v>
      </c>
      <c r="VP10" s="2">
        <v>27</v>
      </c>
      <c r="VQ10" s="2">
        <v>38</v>
      </c>
      <c r="VR10" s="2">
        <v>72</v>
      </c>
      <c r="VS10" s="2">
        <v>65</v>
      </c>
      <c r="VT10" s="2">
        <v>54</v>
      </c>
      <c r="VU10" s="2">
        <v>113</v>
      </c>
      <c r="VV10" s="2">
        <v>113</v>
      </c>
      <c r="VW10" s="2">
        <v>24</v>
      </c>
      <c r="VX10" s="2">
        <v>47</v>
      </c>
      <c r="VY10" s="2">
        <v>71</v>
      </c>
      <c r="VZ10" s="2">
        <v>83</v>
      </c>
      <c r="WA10" s="2">
        <v>86</v>
      </c>
      <c r="WB10" s="2">
        <v>63</v>
      </c>
      <c r="WC10" s="2">
        <v>57</v>
      </c>
      <c r="WD10" s="2">
        <v>55</v>
      </c>
      <c r="WE10" s="2">
        <v>60</v>
      </c>
      <c r="WF10" s="2">
        <v>99</v>
      </c>
      <c r="WG10" s="2">
        <v>62</v>
      </c>
      <c r="WH10" s="2">
        <v>30</v>
      </c>
      <c r="WI10" s="2">
        <v>93</v>
      </c>
      <c r="WJ10" s="2">
        <v>22</v>
      </c>
      <c r="WK10" s="2">
        <v>75</v>
      </c>
      <c r="WL10" s="2">
        <v>84</v>
      </c>
      <c r="WM10" s="2">
        <v>29</v>
      </c>
      <c r="WN10" s="2">
        <v>115</v>
      </c>
      <c r="WO10" s="2">
        <v>41</v>
      </c>
      <c r="WP10" s="2">
        <v>42</v>
      </c>
      <c r="WQ10" s="2">
        <v>98</v>
      </c>
      <c r="WR10" s="2">
        <v>65</v>
      </c>
      <c r="WS10" s="2">
        <v>31</v>
      </c>
      <c r="WT10" s="2">
        <v>30</v>
      </c>
      <c r="WU10" s="2">
        <v>112</v>
      </c>
      <c r="WV10" s="2">
        <v>18</v>
      </c>
      <c r="WW10" s="2">
        <v>119</v>
      </c>
      <c r="WX10" s="2">
        <v>17</v>
      </c>
      <c r="WY10" s="2">
        <v>38</v>
      </c>
      <c r="WZ10" s="2">
        <v>14</v>
      </c>
      <c r="XA10" s="2">
        <v>87</v>
      </c>
      <c r="XB10" s="2">
        <v>89</v>
      </c>
      <c r="XC10" s="2">
        <v>79</v>
      </c>
      <c r="XD10" s="2">
        <v>110</v>
      </c>
      <c r="XE10" s="2">
        <v>56</v>
      </c>
      <c r="XF10" s="2">
        <v>22</v>
      </c>
      <c r="XG10" s="2">
        <v>67</v>
      </c>
      <c r="XH10" s="2">
        <v>56</v>
      </c>
      <c r="XI10" s="2">
        <v>119</v>
      </c>
      <c r="XJ10" s="2">
        <v>19</v>
      </c>
      <c r="XK10" s="2">
        <v>57</v>
      </c>
      <c r="XL10" s="2">
        <v>44</v>
      </c>
      <c r="XM10" s="2">
        <v>98</v>
      </c>
      <c r="XN10" s="2">
        <v>35</v>
      </c>
      <c r="XO10" s="2">
        <v>114</v>
      </c>
      <c r="XP10" s="2">
        <v>1</v>
      </c>
      <c r="XQ10" s="2">
        <v>52</v>
      </c>
      <c r="XR10" s="2">
        <v>85</v>
      </c>
      <c r="XS10" s="2">
        <v>93</v>
      </c>
      <c r="XT10" s="2">
        <v>70</v>
      </c>
      <c r="XU10" s="2">
        <v>37</v>
      </c>
      <c r="XV10" s="2">
        <v>65</v>
      </c>
      <c r="XW10" s="2">
        <v>51</v>
      </c>
      <c r="XX10" s="2">
        <v>1</v>
      </c>
      <c r="XY10" s="2">
        <v>91</v>
      </c>
      <c r="XZ10" s="2">
        <v>21</v>
      </c>
      <c r="YA10" s="2">
        <v>53</v>
      </c>
      <c r="YB10" s="2">
        <v>16</v>
      </c>
      <c r="YC10" s="2">
        <v>108</v>
      </c>
      <c r="YD10" s="2">
        <v>61</v>
      </c>
      <c r="YE10" s="2">
        <v>54</v>
      </c>
      <c r="YF10" s="2">
        <v>40</v>
      </c>
      <c r="YG10" s="2">
        <v>26</v>
      </c>
      <c r="YH10" s="2">
        <v>80</v>
      </c>
      <c r="YI10" s="2">
        <v>92</v>
      </c>
      <c r="YJ10" s="2">
        <v>65</v>
      </c>
      <c r="YK10" s="2">
        <v>100</v>
      </c>
      <c r="YL10" s="2">
        <v>74</v>
      </c>
      <c r="YM10" s="2">
        <v>64</v>
      </c>
      <c r="YN10" s="2">
        <v>43</v>
      </c>
      <c r="YO10" s="2">
        <v>17</v>
      </c>
      <c r="YP10" s="2">
        <v>59</v>
      </c>
      <c r="YQ10" s="2">
        <v>23</v>
      </c>
      <c r="YR10" s="2">
        <v>7</v>
      </c>
      <c r="YS10" s="2">
        <v>44</v>
      </c>
      <c r="YT10" s="2">
        <v>53</v>
      </c>
      <c r="YU10" s="2">
        <v>71</v>
      </c>
      <c r="YV10" s="2">
        <v>108</v>
      </c>
      <c r="YW10" s="2">
        <v>79</v>
      </c>
      <c r="YX10" s="2">
        <v>34</v>
      </c>
      <c r="YY10" s="2">
        <v>46</v>
      </c>
      <c r="YZ10" s="2">
        <v>109</v>
      </c>
      <c r="ZA10" s="2">
        <v>68</v>
      </c>
      <c r="ZB10" s="2">
        <v>78</v>
      </c>
      <c r="ZC10" s="2">
        <v>78</v>
      </c>
      <c r="ZD10" s="2">
        <v>16</v>
      </c>
      <c r="ZE10" s="2">
        <v>71</v>
      </c>
      <c r="ZF10" s="2">
        <v>96</v>
      </c>
      <c r="ZG10" s="2">
        <v>19</v>
      </c>
      <c r="ZH10" s="2">
        <v>2</v>
      </c>
      <c r="ZI10" s="2">
        <v>10</v>
      </c>
      <c r="ZJ10" s="2">
        <v>50</v>
      </c>
      <c r="ZK10" s="2">
        <v>81</v>
      </c>
      <c r="ZL10" s="2">
        <v>101</v>
      </c>
      <c r="ZM10" s="2">
        <v>12</v>
      </c>
      <c r="ZN10" s="2">
        <v>70</v>
      </c>
      <c r="ZO10" s="2">
        <v>22</v>
      </c>
      <c r="ZP10" s="2">
        <v>32</v>
      </c>
      <c r="ZQ10" s="2">
        <v>105</v>
      </c>
      <c r="ZR10" s="2">
        <v>84</v>
      </c>
      <c r="ZS10" s="2">
        <v>1</v>
      </c>
      <c r="ZT10" s="2">
        <v>54</v>
      </c>
      <c r="ZU10" s="2">
        <v>111</v>
      </c>
      <c r="ZV10" s="2">
        <v>117</v>
      </c>
      <c r="ZW10" s="2">
        <v>58</v>
      </c>
      <c r="ZX10" s="2">
        <v>70</v>
      </c>
      <c r="ZY10" s="2">
        <v>83</v>
      </c>
      <c r="ZZ10" s="2">
        <v>18</v>
      </c>
      <c r="AAA10" s="2">
        <v>6</v>
      </c>
      <c r="AAB10" s="2">
        <v>45</v>
      </c>
      <c r="AAC10" s="2">
        <v>97</v>
      </c>
      <c r="AAD10" s="2">
        <v>23</v>
      </c>
      <c r="AAE10" s="2">
        <v>23</v>
      </c>
      <c r="AAF10" s="2">
        <v>26</v>
      </c>
      <c r="AAG10" s="2">
        <v>77</v>
      </c>
      <c r="AAH10" s="2">
        <v>7</v>
      </c>
      <c r="AAI10" s="2">
        <v>79</v>
      </c>
      <c r="AAJ10" s="2">
        <v>44</v>
      </c>
      <c r="AAK10" s="2">
        <v>27</v>
      </c>
      <c r="AAL10" s="2">
        <v>26</v>
      </c>
      <c r="AAM10" s="2">
        <v>97</v>
      </c>
      <c r="AAN10" s="2">
        <v>79</v>
      </c>
      <c r="AAO10" s="2">
        <v>36</v>
      </c>
      <c r="AAP10" s="2">
        <v>109</v>
      </c>
      <c r="AAQ10" s="2">
        <v>55</v>
      </c>
      <c r="AAR10" s="2">
        <v>64</v>
      </c>
      <c r="AAS10" s="2">
        <v>91</v>
      </c>
      <c r="AAT10" s="2">
        <v>57</v>
      </c>
      <c r="AAU10" s="2">
        <v>69</v>
      </c>
      <c r="AAV10" s="2">
        <v>61</v>
      </c>
      <c r="AAW10" s="2">
        <v>2</v>
      </c>
      <c r="AAX10" s="2">
        <v>55</v>
      </c>
      <c r="AAY10" s="2">
        <v>97</v>
      </c>
      <c r="AAZ10" s="2">
        <v>80</v>
      </c>
      <c r="ABA10" s="2">
        <v>87</v>
      </c>
      <c r="ABB10" s="2">
        <v>38</v>
      </c>
      <c r="ABC10" s="2">
        <v>119</v>
      </c>
      <c r="ABD10" s="2">
        <v>80</v>
      </c>
      <c r="ABE10" s="2">
        <v>78</v>
      </c>
      <c r="ABF10" s="2">
        <v>29</v>
      </c>
      <c r="ABG10" s="2">
        <v>26</v>
      </c>
      <c r="ABH10" s="2">
        <v>35</v>
      </c>
      <c r="ABI10" s="2">
        <v>79</v>
      </c>
      <c r="ABJ10" s="2">
        <v>67</v>
      </c>
      <c r="ABK10" s="2">
        <v>87</v>
      </c>
      <c r="ABL10" s="2">
        <v>29</v>
      </c>
      <c r="ABM10" s="2">
        <v>34</v>
      </c>
      <c r="ABN10" s="2">
        <v>97</v>
      </c>
      <c r="ABO10" s="2">
        <v>41</v>
      </c>
      <c r="ABP10" s="2">
        <v>41</v>
      </c>
      <c r="ABQ10" s="2">
        <v>23</v>
      </c>
      <c r="ABR10" s="2">
        <v>71</v>
      </c>
      <c r="ABS10" s="2">
        <v>3</v>
      </c>
      <c r="ABT10" s="2">
        <v>58</v>
      </c>
      <c r="ABU10" s="2">
        <v>32</v>
      </c>
      <c r="ABV10" s="2">
        <v>31</v>
      </c>
      <c r="ABW10" s="2">
        <v>82</v>
      </c>
      <c r="ABX10" s="2">
        <v>43</v>
      </c>
      <c r="ABY10" s="2">
        <v>7</v>
      </c>
      <c r="ABZ10" s="2">
        <v>105</v>
      </c>
      <c r="ACA10" s="2">
        <v>1</v>
      </c>
      <c r="ACB10" s="2">
        <v>61</v>
      </c>
      <c r="ACC10" s="2">
        <v>14</v>
      </c>
      <c r="ACD10" s="2">
        <v>52</v>
      </c>
      <c r="ACE10" s="2">
        <v>96</v>
      </c>
      <c r="ACF10" s="2">
        <v>6</v>
      </c>
      <c r="ACG10" s="2">
        <v>103</v>
      </c>
      <c r="ACH10" s="2">
        <v>10</v>
      </c>
      <c r="ACI10" s="2">
        <v>71</v>
      </c>
      <c r="ACJ10" s="2">
        <v>90</v>
      </c>
      <c r="ACK10" s="2">
        <v>98</v>
      </c>
      <c r="ACL10" s="2">
        <v>30</v>
      </c>
      <c r="ACM10" s="2">
        <v>100</v>
      </c>
      <c r="ACN10" s="2">
        <v>21</v>
      </c>
      <c r="ACO10" s="2">
        <v>60</v>
      </c>
      <c r="ACP10" s="2">
        <v>81</v>
      </c>
      <c r="ACQ10" s="2">
        <v>97</v>
      </c>
      <c r="ACR10" s="2">
        <v>74</v>
      </c>
      <c r="ACS10" s="2">
        <v>115</v>
      </c>
      <c r="ACT10" s="2">
        <v>63</v>
      </c>
      <c r="ACU10" s="2">
        <v>111</v>
      </c>
      <c r="ACV10" s="2">
        <v>42</v>
      </c>
      <c r="ACW10" s="2">
        <v>51</v>
      </c>
      <c r="ACX10" s="2">
        <v>64</v>
      </c>
      <c r="ACY10" s="2">
        <v>76</v>
      </c>
      <c r="ACZ10" s="2">
        <v>56</v>
      </c>
      <c r="ADA10" s="2">
        <v>80</v>
      </c>
      <c r="ADB10" s="2">
        <v>41</v>
      </c>
      <c r="ADC10" s="2">
        <v>32</v>
      </c>
      <c r="ADD10" s="2">
        <v>15</v>
      </c>
      <c r="ADE10" s="2">
        <v>62</v>
      </c>
      <c r="ADF10" s="2">
        <v>27</v>
      </c>
      <c r="ADG10" s="2">
        <v>28</v>
      </c>
      <c r="ADH10" s="2">
        <v>81</v>
      </c>
      <c r="ADI10" s="2">
        <v>64</v>
      </c>
      <c r="ADJ10" s="2">
        <v>110</v>
      </c>
      <c r="ADK10" s="2">
        <v>59</v>
      </c>
      <c r="ADL10" s="2">
        <v>114</v>
      </c>
      <c r="ADM10" s="2">
        <v>58</v>
      </c>
      <c r="ADN10" s="2">
        <v>2</v>
      </c>
      <c r="ADO10" s="2">
        <v>36</v>
      </c>
      <c r="ADP10" s="2">
        <v>114</v>
      </c>
      <c r="ADQ10" s="2">
        <v>71</v>
      </c>
      <c r="ADR10" s="2">
        <v>13</v>
      </c>
      <c r="ADS10" s="2">
        <v>15</v>
      </c>
      <c r="ADT10" s="2">
        <v>89</v>
      </c>
      <c r="ADU10" s="2">
        <v>87</v>
      </c>
      <c r="ADV10" s="2">
        <v>60</v>
      </c>
      <c r="ADW10" s="2">
        <v>22</v>
      </c>
      <c r="ADX10" s="2">
        <v>63</v>
      </c>
      <c r="ADY10" s="2">
        <v>90</v>
      </c>
      <c r="ADZ10" s="2">
        <v>97</v>
      </c>
      <c r="AEA10" s="2">
        <v>75</v>
      </c>
      <c r="AEB10" s="2">
        <v>74</v>
      </c>
      <c r="AEC10" s="2">
        <v>25</v>
      </c>
      <c r="AED10" s="2">
        <v>101</v>
      </c>
      <c r="AEE10" s="2">
        <v>48</v>
      </c>
      <c r="AEF10" s="2">
        <v>43</v>
      </c>
      <c r="AEG10" s="2">
        <v>117</v>
      </c>
      <c r="AEH10" s="2">
        <v>38</v>
      </c>
      <c r="AEI10" s="2">
        <v>41</v>
      </c>
      <c r="AEJ10" s="2">
        <v>45</v>
      </c>
      <c r="AEK10" s="2">
        <v>88</v>
      </c>
      <c r="AEL10" s="2">
        <v>40</v>
      </c>
      <c r="AEM10" s="2">
        <v>110</v>
      </c>
      <c r="AEN10" s="2">
        <v>97</v>
      </c>
      <c r="AEO10" s="2">
        <v>17</v>
      </c>
      <c r="AEP10" s="2">
        <v>88</v>
      </c>
      <c r="AEQ10" s="2">
        <v>101</v>
      </c>
      <c r="AER10" s="2">
        <v>57</v>
      </c>
      <c r="AES10" s="2">
        <v>2</v>
      </c>
      <c r="AET10" s="2">
        <v>96</v>
      </c>
      <c r="AEU10" s="2">
        <v>62</v>
      </c>
      <c r="AEV10" s="2">
        <v>88</v>
      </c>
      <c r="AEW10" s="2">
        <v>9</v>
      </c>
      <c r="AEX10" s="2">
        <v>68</v>
      </c>
      <c r="AEY10" s="2">
        <v>81</v>
      </c>
      <c r="AEZ10" s="2">
        <v>17</v>
      </c>
      <c r="AFA10" s="2">
        <v>117</v>
      </c>
      <c r="AFB10" s="2">
        <v>50</v>
      </c>
      <c r="AFC10" s="2">
        <v>112</v>
      </c>
      <c r="AFD10" s="2">
        <v>94</v>
      </c>
      <c r="AFE10" s="2">
        <v>40</v>
      </c>
      <c r="AFF10" s="2">
        <v>58</v>
      </c>
      <c r="AFG10" s="2">
        <v>75</v>
      </c>
      <c r="AFH10" s="2">
        <v>85</v>
      </c>
      <c r="AFI10" s="2">
        <v>21</v>
      </c>
      <c r="AFJ10" s="2">
        <v>18</v>
      </c>
      <c r="AFK10" s="2">
        <v>55</v>
      </c>
      <c r="AFL10" s="2">
        <v>29</v>
      </c>
      <c r="AFM10" s="2">
        <v>24</v>
      </c>
      <c r="AFN10" s="2">
        <v>74</v>
      </c>
      <c r="AFO10" s="2">
        <v>109</v>
      </c>
      <c r="AFP10" s="2">
        <v>17</v>
      </c>
      <c r="AFQ10" s="2">
        <v>18</v>
      </c>
      <c r="AFR10" s="2">
        <v>42</v>
      </c>
      <c r="AFS10" s="2">
        <v>112</v>
      </c>
      <c r="AFT10" s="2">
        <v>84</v>
      </c>
      <c r="AFU10" s="2">
        <v>101</v>
      </c>
      <c r="AFV10" s="2">
        <v>45</v>
      </c>
      <c r="AFW10" s="2">
        <v>82</v>
      </c>
      <c r="AFX10" s="2">
        <v>17</v>
      </c>
      <c r="AFY10" s="2">
        <v>73</v>
      </c>
      <c r="AFZ10" s="2">
        <v>14</v>
      </c>
      <c r="AGA10" s="2">
        <v>49</v>
      </c>
      <c r="AGB10" s="2">
        <v>29</v>
      </c>
      <c r="AGC10" s="2">
        <v>95</v>
      </c>
      <c r="AGD10" s="2">
        <v>4</v>
      </c>
      <c r="AGE10" s="2">
        <v>82</v>
      </c>
      <c r="AGF10" s="2">
        <v>20</v>
      </c>
      <c r="AGG10" s="2">
        <v>47</v>
      </c>
      <c r="AGH10" s="2">
        <v>107</v>
      </c>
      <c r="AGI10" s="2">
        <v>108</v>
      </c>
      <c r="AGJ10" s="2">
        <v>9</v>
      </c>
      <c r="AGK10" s="2">
        <v>77</v>
      </c>
      <c r="AGL10" s="2">
        <v>79</v>
      </c>
      <c r="AGM10" s="2">
        <v>27</v>
      </c>
      <c r="AGN10" s="2">
        <v>15</v>
      </c>
      <c r="AGO10" s="2">
        <v>92</v>
      </c>
      <c r="AGP10" s="2">
        <v>101</v>
      </c>
      <c r="AGQ10" s="2">
        <v>119</v>
      </c>
      <c r="AGR10" s="2">
        <v>19</v>
      </c>
      <c r="AGS10" s="2">
        <v>90</v>
      </c>
      <c r="AGT10" s="2">
        <v>52</v>
      </c>
      <c r="AGU10" s="2">
        <v>26</v>
      </c>
      <c r="AGV10" s="2">
        <v>89</v>
      </c>
      <c r="AGW10" s="2">
        <v>26</v>
      </c>
      <c r="AGX10" s="2">
        <v>26</v>
      </c>
      <c r="AGY10" s="2">
        <v>46</v>
      </c>
      <c r="AGZ10" s="2">
        <v>92</v>
      </c>
      <c r="AHA10" s="2">
        <v>49</v>
      </c>
      <c r="AHB10" s="2">
        <v>82</v>
      </c>
      <c r="AHC10" s="2">
        <v>96</v>
      </c>
      <c r="AHD10" s="2">
        <v>53</v>
      </c>
      <c r="AHE10" s="2">
        <v>3</v>
      </c>
      <c r="AHF10" s="2">
        <v>66</v>
      </c>
      <c r="AHG10" s="2">
        <v>97</v>
      </c>
      <c r="AHH10" s="2">
        <v>42</v>
      </c>
      <c r="AHI10" s="2">
        <v>19</v>
      </c>
      <c r="AHJ10" s="2">
        <v>17</v>
      </c>
      <c r="AHK10" s="2">
        <v>108</v>
      </c>
      <c r="AHL10" s="2">
        <v>33</v>
      </c>
      <c r="AHM10" s="2">
        <v>76</v>
      </c>
      <c r="AHN10" s="2">
        <v>49</v>
      </c>
      <c r="AHO10" s="2">
        <v>56</v>
      </c>
      <c r="AHP10" s="2">
        <v>63</v>
      </c>
      <c r="AHQ10" s="2">
        <v>3</v>
      </c>
      <c r="AHR10" s="2">
        <v>107</v>
      </c>
      <c r="AHS10" s="2">
        <v>49</v>
      </c>
      <c r="AHT10" s="2">
        <v>55</v>
      </c>
      <c r="AHU10" s="2">
        <v>26</v>
      </c>
      <c r="AHV10" s="2">
        <v>99</v>
      </c>
      <c r="AHW10" s="2">
        <v>72</v>
      </c>
      <c r="AHX10" s="2">
        <v>52</v>
      </c>
      <c r="AHY10" s="2">
        <v>100</v>
      </c>
      <c r="AHZ10" s="2">
        <v>117</v>
      </c>
      <c r="AIA10" s="2">
        <v>118</v>
      </c>
      <c r="AIB10" s="2">
        <v>7</v>
      </c>
      <c r="AIC10" s="2">
        <v>46</v>
      </c>
      <c r="AID10" s="2">
        <v>46</v>
      </c>
      <c r="AIE10" s="2">
        <v>100</v>
      </c>
      <c r="AIF10" s="2">
        <v>16</v>
      </c>
      <c r="AIG10" s="2">
        <v>24</v>
      </c>
      <c r="AIH10" s="2">
        <v>61</v>
      </c>
      <c r="AII10" s="2">
        <v>54</v>
      </c>
      <c r="AIJ10" s="2">
        <v>62</v>
      </c>
      <c r="AIK10" s="2">
        <v>1</v>
      </c>
      <c r="AIL10" s="2">
        <v>49</v>
      </c>
      <c r="AIM10" s="2">
        <v>25</v>
      </c>
      <c r="AIN10" s="2">
        <v>10</v>
      </c>
      <c r="AIO10" s="2">
        <v>118</v>
      </c>
      <c r="AIP10" s="2">
        <v>80</v>
      </c>
      <c r="AIQ10" s="2">
        <v>16</v>
      </c>
      <c r="AIR10" s="2">
        <v>58</v>
      </c>
      <c r="AIS10" s="2">
        <v>72</v>
      </c>
      <c r="AIT10" s="2">
        <v>29</v>
      </c>
      <c r="AIU10" s="2">
        <v>103</v>
      </c>
      <c r="AIV10" s="2">
        <v>92</v>
      </c>
      <c r="AIW10" s="2">
        <v>6</v>
      </c>
      <c r="AIX10" s="2">
        <v>16</v>
      </c>
      <c r="AIY10" s="2">
        <v>20</v>
      </c>
      <c r="AIZ10" s="2">
        <v>80</v>
      </c>
      <c r="AJA10" s="2">
        <v>71</v>
      </c>
      <c r="AJB10" s="2">
        <v>105</v>
      </c>
      <c r="AJC10" s="2">
        <v>78</v>
      </c>
      <c r="AJD10" s="2">
        <v>43</v>
      </c>
      <c r="AJE10" s="2">
        <v>26</v>
      </c>
      <c r="AJF10" s="2">
        <v>90</v>
      </c>
      <c r="AJG10" s="2">
        <v>78</v>
      </c>
      <c r="AJH10" s="2">
        <v>71</v>
      </c>
      <c r="AJI10" s="2">
        <v>33</v>
      </c>
      <c r="AJJ10" s="2">
        <v>26</v>
      </c>
      <c r="AJK10" s="2">
        <v>45</v>
      </c>
      <c r="AJL10" s="2">
        <v>84</v>
      </c>
      <c r="AJM10" s="2">
        <v>63</v>
      </c>
      <c r="AJN10" s="2">
        <v>67</v>
      </c>
      <c r="AJO10" s="2">
        <v>52</v>
      </c>
      <c r="AJP10" s="2">
        <v>68</v>
      </c>
      <c r="AJQ10" s="2">
        <v>26</v>
      </c>
      <c r="AJR10" s="2">
        <v>75</v>
      </c>
      <c r="AJS10" s="2">
        <v>2</v>
      </c>
      <c r="AJT10" s="2">
        <v>14</v>
      </c>
      <c r="AJU10" s="2">
        <v>108</v>
      </c>
      <c r="AJV10" s="2">
        <v>30</v>
      </c>
      <c r="AJW10" s="2">
        <v>49</v>
      </c>
      <c r="AJX10" s="2">
        <v>12</v>
      </c>
      <c r="AJY10" s="2">
        <v>90</v>
      </c>
      <c r="AJZ10" s="2">
        <v>44</v>
      </c>
      <c r="AKA10" s="2">
        <v>33</v>
      </c>
      <c r="AKB10" s="2">
        <v>13</v>
      </c>
      <c r="AKC10" s="2">
        <v>78</v>
      </c>
      <c r="AKD10" s="2">
        <v>88</v>
      </c>
      <c r="AKE10" s="2">
        <v>98</v>
      </c>
      <c r="AKF10" s="2">
        <v>108</v>
      </c>
      <c r="AKG10" s="2">
        <v>26</v>
      </c>
      <c r="AKH10" s="2">
        <v>21</v>
      </c>
      <c r="AKI10" s="2">
        <v>28</v>
      </c>
      <c r="AKJ10" s="2">
        <v>48</v>
      </c>
      <c r="AKK10" s="2">
        <v>100</v>
      </c>
      <c r="AKL10" s="2">
        <v>40</v>
      </c>
      <c r="AKM10" s="2">
        <v>66</v>
      </c>
      <c r="AKN10" s="2">
        <v>106</v>
      </c>
      <c r="AKO10" s="2">
        <v>73</v>
      </c>
      <c r="AKP10" s="2">
        <v>87</v>
      </c>
      <c r="AKQ10" s="2">
        <v>79</v>
      </c>
      <c r="AKR10" s="2">
        <v>77</v>
      </c>
      <c r="AKS10" s="2">
        <v>23</v>
      </c>
      <c r="AKT10" s="2">
        <v>81</v>
      </c>
      <c r="AKU10" s="2">
        <v>48</v>
      </c>
      <c r="AKV10" s="2">
        <v>2</v>
      </c>
      <c r="AKW10" s="2">
        <v>84</v>
      </c>
      <c r="AKX10" s="2">
        <v>20</v>
      </c>
      <c r="AKY10" s="2">
        <v>59</v>
      </c>
      <c r="AKZ10" s="2">
        <v>46</v>
      </c>
      <c r="ALA10" s="2">
        <v>3</v>
      </c>
      <c r="ALB10" s="2">
        <v>55</v>
      </c>
      <c r="ALC10" s="2">
        <v>12</v>
      </c>
      <c r="ALD10" s="2">
        <v>40</v>
      </c>
      <c r="ALE10" s="2">
        <v>66</v>
      </c>
      <c r="ALF10" s="2">
        <v>100</v>
      </c>
      <c r="ALG10" s="2">
        <v>78</v>
      </c>
      <c r="ALH10" s="2">
        <v>16</v>
      </c>
      <c r="ALI10" s="2">
        <v>83</v>
      </c>
      <c r="ALJ10" s="2">
        <v>34</v>
      </c>
      <c r="ALK10" s="2">
        <v>44</v>
      </c>
      <c r="ALL10" s="2">
        <v>110</v>
      </c>
      <c r="ALM10" s="2">
        <v>6</v>
      </c>
    </row>
    <row r="11" spans="1:1001" ht="21" x14ac:dyDescent="0.3">
      <c r="A11" s="3" t="s">
        <v>10</v>
      </c>
      <c r="B11" s="2">
        <v>25114.07</v>
      </c>
      <c r="C11" s="2">
        <v>9331.6</v>
      </c>
      <c r="D11" s="2">
        <v>5853.67</v>
      </c>
      <c r="E11" s="2">
        <v>42184.29</v>
      </c>
      <c r="F11" s="2">
        <v>30899.59</v>
      </c>
      <c r="G11" s="2">
        <v>16628.32</v>
      </c>
      <c r="H11" s="2">
        <v>9990.94</v>
      </c>
      <c r="I11" s="2">
        <v>27997.119999999999</v>
      </c>
      <c r="J11" s="2">
        <v>29404</v>
      </c>
      <c r="K11" s="2">
        <v>10746.18</v>
      </c>
      <c r="L11" s="2">
        <v>42644.58</v>
      </c>
      <c r="M11" s="2">
        <v>4671.09</v>
      </c>
      <c r="N11" s="2">
        <v>18126.61</v>
      </c>
      <c r="O11" s="2">
        <v>34179.03</v>
      </c>
      <c r="P11" s="2">
        <v>14068.96</v>
      </c>
      <c r="Q11" s="2">
        <v>41469.919999999998</v>
      </c>
      <c r="R11" s="2">
        <v>37123.46</v>
      </c>
      <c r="S11" s="2">
        <v>39556.629999999997</v>
      </c>
      <c r="T11" s="2">
        <v>6395.77</v>
      </c>
      <c r="U11" s="2">
        <v>7457.08</v>
      </c>
      <c r="V11" s="2">
        <v>14680.45</v>
      </c>
      <c r="W11" s="2">
        <v>26144.82</v>
      </c>
      <c r="X11" s="2">
        <v>37526.800000000003</v>
      </c>
      <c r="Y11" s="2">
        <v>41908.28</v>
      </c>
      <c r="Z11" s="2">
        <v>35364.6</v>
      </c>
      <c r="AA11" s="2">
        <v>46465.55</v>
      </c>
      <c r="AB11" s="2">
        <v>37067.800000000003</v>
      </c>
      <c r="AC11" s="2">
        <v>15660.26</v>
      </c>
      <c r="AD11" s="2">
        <v>13621.52</v>
      </c>
      <c r="AE11" s="2">
        <v>34961.53</v>
      </c>
      <c r="AF11" s="2">
        <v>10047.09</v>
      </c>
      <c r="AG11" s="2">
        <v>5089.38</v>
      </c>
      <c r="AH11" s="2">
        <v>26845.03</v>
      </c>
      <c r="AI11" s="2">
        <v>41171.26</v>
      </c>
      <c r="AJ11" s="2">
        <v>5518.3</v>
      </c>
      <c r="AK11" s="2">
        <v>39698.620000000003</v>
      </c>
      <c r="AL11" s="2">
        <v>40672.81</v>
      </c>
      <c r="AM11" s="2">
        <v>24372.560000000001</v>
      </c>
      <c r="AN11" s="2">
        <v>3336.86</v>
      </c>
      <c r="AO11" s="2">
        <v>9142.2000000000007</v>
      </c>
      <c r="AP11" s="2">
        <v>35517.599999999999</v>
      </c>
      <c r="AQ11" s="2">
        <v>35733.01</v>
      </c>
      <c r="AR11" s="2">
        <v>44968.59</v>
      </c>
      <c r="AS11" s="2">
        <v>29342.959999999999</v>
      </c>
      <c r="AT11" s="2">
        <v>6643.31</v>
      </c>
      <c r="AU11" s="2">
        <v>6510.04</v>
      </c>
      <c r="AV11" s="2">
        <v>36196.050000000003</v>
      </c>
      <c r="AW11" s="2">
        <v>9597.34</v>
      </c>
      <c r="AX11" s="2">
        <v>16755.080000000002</v>
      </c>
      <c r="AY11" s="2">
        <v>24616.99</v>
      </c>
      <c r="AZ11" s="2">
        <v>1725.86</v>
      </c>
      <c r="BA11" s="2">
        <v>12816.54</v>
      </c>
      <c r="BB11" s="2">
        <v>20690.54</v>
      </c>
      <c r="BC11" s="2">
        <v>14342</v>
      </c>
      <c r="BD11" s="2">
        <v>7250.33</v>
      </c>
      <c r="BE11" s="2">
        <v>36536.61</v>
      </c>
      <c r="BF11" s="2">
        <v>40750.81</v>
      </c>
      <c r="BG11" s="2">
        <v>13245.21</v>
      </c>
      <c r="BH11" s="2">
        <v>38833.760000000002</v>
      </c>
      <c r="BI11" s="2">
        <v>19584.900000000001</v>
      </c>
      <c r="BJ11" s="2">
        <v>25580.95</v>
      </c>
      <c r="BK11" s="2">
        <v>42872.05</v>
      </c>
      <c r="BL11" s="2">
        <v>37622.71</v>
      </c>
      <c r="BM11" s="2">
        <v>40353.279999999999</v>
      </c>
      <c r="BN11" s="2">
        <v>7273.84</v>
      </c>
      <c r="BO11" s="2">
        <v>3951.11</v>
      </c>
      <c r="BP11" s="2">
        <v>44723.53</v>
      </c>
      <c r="BQ11" s="2">
        <v>19697.8</v>
      </c>
      <c r="BR11" s="2">
        <v>14750.04</v>
      </c>
      <c r="BS11" s="2">
        <v>36372.46</v>
      </c>
      <c r="BT11" s="2">
        <v>41902.57</v>
      </c>
      <c r="BU11" s="2">
        <v>43193.24</v>
      </c>
      <c r="BV11" s="2">
        <v>16141.86</v>
      </c>
      <c r="BW11" s="2">
        <v>42684.51</v>
      </c>
      <c r="BX11" s="2">
        <v>2526.23</v>
      </c>
      <c r="BY11" s="2">
        <v>2958.24</v>
      </c>
      <c r="BZ11" s="2">
        <v>31364.2</v>
      </c>
      <c r="CA11" s="2">
        <v>3623.77</v>
      </c>
      <c r="CB11" s="2">
        <v>16568.150000000001</v>
      </c>
      <c r="CC11" s="2">
        <v>33801.42</v>
      </c>
      <c r="CD11" s="2">
        <v>17194.71</v>
      </c>
      <c r="CE11" s="2">
        <v>9390.19</v>
      </c>
      <c r="CF11" s="2">
        <v>14426.86</v>
      </c>
      <c r="CG11" s="2">
        <v>23149.98</v>
      </c>
      <c r="CH11" s="2">
        <v>24031.599999999999</v>
      </c>
      <c r="CI11" s="2">
        <v>39258.51</v>
      </c>
      <c r="CJ11" s="2">
        <v>37632.58</v>
      </c>
      <c r="CK11" s="2">
        <v>23112.48</v>
      </c>
      <c r="CL11" s="2">
        <v>42360.53</v>
      </c>
      <c r="CM11" s="2">
        <v>6154.74</v>
      </c>
      <c r="CN11" s="2">
        <v>13139.99</v>
      </c>
      <c r="CO11" s="2">
        <v>41484.83</v>
      </c>
      <c r="CP11" s="2">
        <v>19210.7</v>
      </c>
      <c r="CQ11" s="2">
        <v>49068.49</v>
      </c>
      <c r="CR11" s="2">
        <v>23579.54</v>
      </c>
      <c r="CS11" s="2">
        <v>39700.81</v>
      </c>
      <c r="CT11" s="2">
        <v>20414.2</v>
      </c>
      <c r="CU11" s="2">
        <v>21535.200000000001</v>
      </c>
      <c r="CV11" s="2">
        <v>19452.72</v>
      </c>
      <c r="CW11" s="2">
        <v>36094.239999999998</v>
      </c>
      <c r="CX11" s="2">
        <v>27602.14</v>
      </c>
      <c r="CY11" s="2">
        <v>47217.02</v>
      </c>
      <c r="CZ11" s="2">
        <v>12919.07</v>
      </c>
      <c r="DA11" s="2">
        <v>5477.86</v>
      </c>
      <c r="DB11" s="2">
        <v>19966.439999999999</v>
      </c>
      <c r="DC11" s="2">
        <v>31027.279999999999</v>
      </c>
      <c r="DD11" s="2">
        <v>43109.55</v>
      </c>
      <c r="DE11" s="2">
        <v>17636.75</v>
      </c>
      <c r="DF11" s="2">
        <v>32862.44</v>
      </c>
      <c r="DG11" s="2">
        <v>17834.830000000002</v>
      </c>
      <c r="DH11" s="2">
        <v>31052.37</v>
      </c>
      <c r="DI11" s="2">
        <v>44297.99</v>
      </c>
      <c r="DJ11" s="2">
        <v>11952.2</v>
      </c>
      <c r="DK11" s="2">
        <v>20509.96</v>
      </c>
      <c r="DL11" s="2">
        <v>49666.63</v>
      </c>
      <c r="DM11" s="2">
        <v>43493.57</v>
      </c>
      <c r="DN11" s="2">
        <v>28449.67</v>
      </c>
      <c r="DO11" s="2">
        <v>26073.07</v>
      </c>
      <c r="DP11" s="2">
        <v>14587.72</v>
      </c>
      <c r="DQ11" s="2">
        <v>26101.87</v>
      </c>
      <c r="DR11" s="2">
        <v>42484.98</v>
      </c>
      <c r="DS11" s="2">
        <v>34416.14</v>
      </c>
      <c r="DT11" s="2">
        <v>14857.18</v>
      </c>
      <c r="DU11" s="2">
        <v>10472.459999999999</v>
      </c>
      <c r="DV11" s="2">
        <v>13627.82</v>
      </c>
      <c r="DW11" s="2">
        <v>8903.08</v>
      </c>
      <c r="DX11" s="2">
        <v>5234.21</v>
      </c>
      <c r="DY11" s="2">
        <v>21247.24</v>
      </c>
      <c r="DZ11" s="2">
        <v>6108.33</v>
      </c>
      <c r="EA11" s="2">
        <v>9009.67</v>
      </c>
      <c r="EB11" s="2">
        <v>27592.57</v>
      </c>
      <c r="EC11" s="2">
        <v>8647.66</v>
      </c>
      <c r="ED11" s="2">
        <v>3662.05</v>
      </c>
      <c r="EE11" s="2">
        <v>16210.75</v>
      </c>
      <c r="EF11" s="2">
        <v>11405.8</v>
      </c>
      <c r="EG11" s="2">
        <v>26007.61</v>
      </c>
      <c r="EH11" s="2">
        <v>5567.17</v>
      </c>
      <c r="EI11" s="2">
        <v>37712.65</v>
      </c>
      <c r="EJ11" s="2">
        <v>45358.559999999998</v>
      </c>
      <c r="EK11" s="2">
        <v>37300.04</v>
      </c>
      <c r="EL11" s="2">
        <v>26874.94</v>
      </c>
      <c r="EM11" s="2">
        <v>43103.06</v>
      </c>
      <c r="EN11" s="2">
        <v>34898.46</v>
      </c>
      <c r="EO11" s="2">
        <v>1022.28</v>
      </c>
      <c r="EP11" s="2">
        <v>20007.46</v>
      </c>
      <c r="EQ11" s="2">
        <v>42622.12</v>
      </c>
      <c r="ER11" s="2">
        <v>17620.009999999998</v>
      </c>
      <c r="ES11" s="2">
        <v>2243.15</v>
      </c>
      <c r="ET11" s="2">
        <v>37435.89</v>
      </c>
      <c r="EU11" s="2">
        <v>40200.89</v>
      </c>
      <c r="EV11" s="2">
        <v>8449.39</v>
      </c>
      <c r="EW11" s="2">
        <v>27098.35</v>
      </c>
      <c r="EX11" s="2">
        <v>10001.790000000001</v>
      </c>
      <c r="EY11" s="2">
        <v>36102.1</v>
      </c>
      <c r="EZ11" s="2">
        <v>13941.75</v>
      </c>
      <c r="FA11" s="2">
        <v>16152.65</v>
      </c>
      <c r="FB11" s="2">
        <v>42326.06</v>
      </c>
      <c r="FC11" s="2">
        <v>24077.96</v>
      </c>
      <c r="FD11" s="2">
        <v>33652.85</v>
      </c>
      <c r="FE11" s="2">
        <v>20417.47</v>
      </c>
      <c r="FF11" s="2">
        <v>15251.34</v>
      </c>
      <c r="FG11" s="2">
        <v>31461.16</v>
      </c>
      <c r="FH11" s="2">
        <v>8165.45</v>
      </c>
      <c r="FI11" s="2">
        <v>18963.490000000002</v>
      </c>
      <c r="FJ11" s="2">
        <v>10847.33</v>
      </c>
      <c r="FK11" s="2">
        <v>34941.85</v>
      </c>
      <c r="FL11" s="2">
        <v>47238.34</v>
      </c>
      <c r="FM11" s="2">
        <v>49777.79</v>
      </c>
      <c r="FN11" s="2">
        <v>22788.7</v>
      </c>
      <c r="FO11" s="2">
        <v>13000.25</v>
      </c>
      <c r="FP11" s="2">
        <v>22420.05</v>
      </c>
      <c r="FQ11" s="2">
        <v>42439.839999999997</v>
      </c>
      <c r="FR11" s="2">
        <v>10697.28</v>
      </c>
      <c r="FS11" s="2">
        <v>47628.73</v>
      </c>
      <c r="FT11" s="2">
        <v>17422.36</v>
      </c>
      <c r="FU11" s="2">
        <v>49297.279999999999</v>
      </c>
      <c r="FV11" s="2">
        <v>42011.14</v>
      </c>
      <c r="FW11" s="2">
        <v>40524.239999999998</v>
      </c>
      <c r="FX11" s="2">
        <v>16236.28</v>
      </c>
      <c r="FY11" s="2">
        <v>934.47</v>
      </c>
      <c r="FZ11" s="2">
        <v>19415.580000000002</v>
      </c>
      <c r="GA11" s="2">
        <v>15439.56</v>
      </c>
      <c r="GB11" s="2">
        <v>2351.15</v>
      </c>
      <c r="GC11" s="2">
        <v>25515.58</v>
      </c>
      <c r="GD11" s="2">
        <v>20450.05</v>
      </c>
      <c r="GE11" s="2">
        <v>31910.55</v>
      </c>
      <c r="GF11" s="2">
        <v>31248.720000000001</v>
      </c>
      <c r="GG11" s="2">
        <v>6476.96</v>
      </c>
      <c r="GH11" s="2">
        <v>48859.79</v>
      </c>
      <c r="GI11" s="2">
        <v>9753.11</v>
      </c>
      <c r="GJ11" s="2">
        <v>22541.06</v>
      </c>
      <c r="GK11" s="2">
        <v>24661.82</v>
      </c>
      <c r="GL11" s="2">
        <v>40746.61</v>
      </c>
      <c r="GM11" s="2">
        <v>5411.87</v>
      </c>
      <c r="GN11" s="2">
        <v>21717.89</v>
      </c>
      <c r="GO11" s="2">
        <v>31610.86</v>
      </c>
      <c r="GP11" s="2">
        <v>11150.2</v>
      </c>
      <c r="GQ11" s="2">
        <v>31559.66</v>
      </c>
      <c r="GR11" s="2">
        <v>46221.41</v>
      </c>
      <c r="GS11" s="2">
        <v>49877.15</v>
      </c>
      <c r="GT11" s="2">
        <v>2106.33</v>
      </c>
      <c r="GU11" s="2">
        <v>12161.62</v>
      </c>
      <c r="GV11" s="2">
        <v>15860.2</v>
      </c>
      <c r="GW11" s="2">
        <v>20256.740000000002</v>
      </c>
      <c r="GX11" s="2">
        <v>12491.73</v>
      </c>
      <c r="GY11" s="2">
        <v>10572.66</v>
      </c>
      <c r="GZ11" s="2">
        <v>47750.42</v>
      </c>
      <c r="HA11" s="2">
        <v>45966.82</v>
      </c>
      <c r="HB11" s="2">
        <v>2826.13</v>
      </c>
      <c r="HC11" s="2">
        <v>17271.240000000002</v>
      </c>
      <c r="HD11" s="2">
        <v>20554.849999999999</v>
      </c>
      <c r="HE11" s="2">
        <v>12331.22</v>
      </c>
      <c r="HF11" s="2">
        <v>31629.21</v>
      </c>
      <c r="HG11" s="2">
        <v>32198.85</v>
      </c>
      <c r="HH11" s="2">
        <v>42599.96</v>
      </c>
      <c r="HI11" s="2">
        <v>37173.03</v>
      </c>
      <c r="HJ11" s="2">
        <v>27357.38</v>
      </c>
      <c r="HK11" s="2">
        <v>32852.550000000003</v>
      </c>
      <c r="HL11" s="2">
        <v>14062.44</v>
      </c>
      <c r="HM11" s="2">
        <v>29856.28</v>
      </c>
      <c r="HN11" s="2">
        <v>24716.75</v>
      </c>
      <c r="HO11" s="2">
        <v>7100.55</v>
      </c>
      <c r="HP11" s="2">
        <v>12505.94</v>
      </c>
      <c r="HQ11" s="2">
        <v>14938.83</v>
      </c>
      <c r="HR11" s="2">
        <v>46253.32</v>
      </c>
      <c r="HS11" s="2">
        <v>11904.14</v>
      </c>
      <c r="HT11" s="2">
        <v>14817.57</v>
      </c>
      <c r="HU11" s="2">
        <v>18783.03</v>
      </c>
      <c r="HV11" s="2">
        <v>33355.269999999997</v>
      </c>
      <c r="HW11" s="2">
        <v>6352.8</v>
      </c>
      <c r="HX11" s="2">
        <v>47720.29</v>
      </c>
      <c r="HY11" s="2">
        <v>43345.78</v>
      </c>
      <c r="HZ11" s="2">
        <v>29072.2</v>
      </c>
      <c r="IA11" s="2">
        <v>33864.870000000003</v>
      </c>
      <c r="IB11" s="2">
        <v>1324.69</v>
      </c>
      <c r="IC11" s="2">
        <v>17277.77</v>
      </c>
      <c r="ID11" s="2">
        <v>39885.18</v>
      </c>
      <c r="IE11" s="2">
        <v>4335.41</v>
      </c>
      <c r="IF11" s="2">
        <v>14474.53</v>
      </c>
      <c r="IG11" s="2">
        <v>29472.19</v>
      </c>
      <c r="IH11" s="2">
        <v>13192.44</v>
      </c>
      <c r="II11" s="2">
        <v>46731.91</v>
      </c>
      <c r="IJ11" s="2">
        <v>6987.4</v>
      </c>
      <c r="IK11" s="2">
        <v>39971.019999999997</v>
      </c>
      <c r="IL11" s="2">
        <v>25643.46</v>
      </c>
      <c r="IM11" s="2">
        <v>37641.370000000003</v>
      </c>
      <c r="IN11" s="2">
        <v>15880.41</v>
      </c>
      <c r="IO11" s="2">
        <v>25967.24</v>
      </c>
      <c r="IP11" s="2">
        <v>42913.35</v>
      </c>
      <c r="IQ11" s="2">
        <v>23610.47</v>
      </c>
      <c r="IR11" s="2">
        <v>18306.13</v>
      </c>
      <c r="IS11" s="2">
        <v>27039.69</v>
      </c>
      <c r="IT11" s="2">
        <v>36009.46</v>
      </c>
      <c r="IU11" s="2">
        <v>22456.39</v>
      </c>
      <c r="IV11" s="2">
        <v>46974.41</v>
      </c>
      <c r="IW11" s="2">
        <v>15099.82</v>
      </c>
      <c r="IX11" s="2">
        <v>24035.45</v>
      </c>
      <c r="IY11" s="2">
        <v>37967.919999999998</v>
      </c>
      <c r="IZ11" s="2">
        <v>34611.49</v>
      </c>
      <c r="JA11" s="2">
        <v>43250.23</v>
      </c>
      <c r="JB11" s="2">
        <v>49842.05</v>
      </c>
      <c r="JC11" s="2">
        <v>21629.49</v>
      </c>
      <c r="JD11" s="2">
        <v>6001.97</v>
      </c>
      <c r="JE11" s="2">
        <v>2005.59</v>
      </c>
      <c r="JF11" s="2">
        <v>36480.410000000003</v>
      </c>
      <c r="JG11" s="2">
        <v>43763.68</v>
      </c>
      <c r="JH11" s="2">
        <v>11425.27</v>
      </c>
      <c r="JI11" s="2">
        <v>8343.18</v>
      </c>
      <c r="JJ11" s="2">
        <v>3579.15</v>
      </c>
      <c r="JK11" s="2">
        <v>41223.79</v>
      </c>
      <c r="JL11" s="2">
        <v>15913.41</v>
      </c>
      <c r="JM11" s="2">
        <v>20384</v>
      </c>
      <c r="JN11" s="2">
        <v>25386.13</v>
      </c>
      <c r="JO11" s="2">
        <v>42052.94</v>
      </c>
      <c r="JP11" s="2">
        <v>32716.240000000002</v>
      </c>
      <c r="JQ11" s="2">
        <v>30945.7</v>
      </c>
      <c r="JR11" s="2">
        <v>9195.77</v>
      </c>
      <c r="JS11" s="2">
        <v>25902.9</v>
      </c>
      <c r="JT11" s="2">
        <v>35911.360000000001</v>
      </c>
      <c r="JU11" s="2">
        <v>48676.41</v>
      </c>
      <c r="JV11" s="2">
        <v>10469.61</v>
      </c>
      <c r="JW11" s="2">
        <v>972.4</v>
      </c>
      <c r="JX11" s="2">
        <v>4227.42</v>
      </c>
      <c r="JY11" s="2">
        <v>19104.7</v>
      </c>
      <c r="JZ11" s="2">
        <v>41116.959999999999</v>
      </c>
      <c r="KA11" s="2">
        <v>853.53</v>
      </c>
      <c r="KB11" s="2">
        <v>23108.16</v>
      </c>
      <c r="KC11" s="2">
        <v>16796.919999999998</v>
      </c>
      <c r="KD11" s="2">
        <v>3097.84</v>
      </c>
      <c r="KE11" s="2">
        <v>22786.7</v>
      </c>
      <c r="KF11" s="2">
        <v>13110.06</v>
      </c>
      <c r="KG11" s="2">
        <v>17918.3</v>
      </c>
      <c r="KH11" s="2">
        <v>35427.96</v>
      </c>
      <c r="KI11" s="2">
        <v>26316.77</v>
      </c>
      <c r="KJ11" s="2">
        <v>6670.05</v>
      </c>
      <c r="KK11" s="2">
        <v>48090.02</v>
      </c>
      <c r="KL11" s="2">
        <v>31977.58</v>
      </c>
      <c r="KM11" s="2">
        <v>38410.49</v>
      </c>
      <c r="KN11" s="2">
        <v>4421.05</v>
      </c>
      <c r="KO11" s="2">
        <v>2829.39</v>
      </c>
      <c r="KP11" s="2">
        <v>1462.68</v>
      </c>
      <c r="KQ11" s="2">
        <v>9845.2999999999993</v>
      </c>
      <c r="KR11" s="2">
        <v>21013.22</v>
      </c>
      <c r="KS11" s="2">
        <v>46823.39</v>
      </c>
      <c r="KT11" s="2">
        <v>23124.45</v>
      </c>
      <c r="KU11" s="2">
        <v>14867.63</v>
      </c>
      <c r="KV11" s="2">
        <v>28315.8</v>
      </c>
      <c r="KW11" s="2">
        <v>6040.76</v>
      </c>
      <c r="KX11" s="2">
        <v>30670.54</v>
      </c>
      <c r="KY11" s="2">
        <v>28637.38</v>
      </c>
      <c r="KZ11" s="2">
        <v>39703.660000000003</v>
      </c>
      <c r="LA11" s="2">
        <v>49341.04</v>
      </c>
      <c r="LB11" s="2">
        <v>12918.24</v>
      </c>
      <c r="LC11" s="2">
        <v>25727.99</v>
      </c>
      <c r="LD11" s="2">
        <v>45488.84</v>
      </c>
      <c r="LE11" s="2">
        <v>39366.9</v>
      </c>
      <c r="LF11" s="2">
        <v>24626.61</v>
      </c>
      <c r="LG11" s="2">
        <v>47295.9</v>
      </c>
      <c r="LH11" s="2">
        <v>3333.22</v>
      </c>
      <c r="LI11" s="2">
        <v>46584.43</v>
      </c>
      <c r="LJ11" s="2">
        <v>3000.12</v>
      </c>
      <c r="LK11" s="2">
        <v>27591.58</v>
      </c>
      <c r="LL11" s="2">
        <v>44576.83</v>
      </c>
      <c r="LM11" s="2">
        <v>13504.69</v>
      </c>
      <c r="LN11" s="2">
        <v>23876.3</v>
      </c>
      <c r="LO11" s="2">
        <v>16554.28</v>
      </c>
      <c r="LP11" s="2">
        <v>47631.12</v>
      </c>
      <c r="LQ11" s="2">
        <v>41270.46</v>
      </c>
      <c r="LR11" s="2">
        <v>35595.57</v>
      </c>
      <c r="LS11" s="2">
        <v>29587.54</v>
      </c>
      <c r="LT11" s="2">
        <v>41119.29</v>
      </c>
      <c r="LU11" s="2">
        <v>19917.22</v>
      </c>
      <c r="LV11" s="2">
        <v>22653.82</v>
      </c>
      <c r="LW11" s="2">
        <v>36635.089999999997</v>
      </c>
      <c r="LX11" s="2">
        <v>18208.86</v>
      </c>
      <c r="LY11" s="2">
        <v>3663.1</v>
      </c>
      <c r="LZ11" s="2">
        <v>4179.5600000000004</v>
      </c>
      <c r="MA11" s="2">
        <v>6210.46</v>
      </c>
      <c r="MB11" s="2">
        <v>43549.23</v>
      </c>
      <c r="MC11" s="2">
        <v>23875.21</v>
      </c>
      <c r="MD11" s="2">
        <v>35787.68</v>
      </c>
      <c r="ME11" s="2">
        <v>19949.009999999998</v>
      </c>
      <c r="MF11" s="2">
        <v>13306.19</v>
      </c>
      <c r="MG11" s="2">
        <v>17686.009999999998</v>
      </c>
      <c r="MH11" s="2">
        <v>39812.03</v>
      </c>
      <c r="MI11" s="2">
        <v>31448.2</v>
      </c>
      <c r="MJ11" s="2">
        <v>46913.17</v>
      </c>
      <c r="MK11" s="2">
        <v>34145.39</v>
      </c>
      <c r="ML11" s="2">
        <v>28723.99</v>
      </c>
      <c r="MM11" s="2">
        <v>30704.7</v>
      </c>
      <c r="MN11" s="2">
        <v>47147.39</v>
      </c>
      <c r="MO11" s="2">
        <v>39515.949999999997</v>
      </c>
      <c r="MP11" s="2">
        <v>1690.04</v>
      </c>
      <c r="MQ11" s="2">
        <v>26939.91</v>
      </c>
      <c r="MR11" s="2">
        <v>34572.75</v>
      </c>
      <c r="MS11" s="2">
        <v>37560.57</v>
      </c>
      <c r="MT11" s="2">
        <v>11050.53</v>
      </c>
      <c r="MU11" s="2">
        <v>43425.279999999999</v>
      </c>
      <c r="MV11" s="2">
        <v>47814.239999999998</v>
      </c>
      <c r="MW11" s="2">
        <v>12217.41</v>
      </c>
      <c r="MX11" s="2">
        <v>44189.47</v>
      </c>
      <c r="MY11" s="2">
        <v>5300.45</v>
      </c>
      <c r="MZ11" s="2">
        <v>3257.49</v>
      </c>
      <c r="NA11" s="2">
        <v>6896.58</v>
      </c>
      <c r="NB11" s="2">
        <v>3358.18</v>
      </c>
      <c r="NC11" s="2">
        <v>42328.11</v>
      </c>
      <c r="ND11" s="2">
        <v>3422.98</v>
      </c>
      <c r="NE11" s="2">
        <v>13947.38</v>
      </c>
      <c r="NF11" s="2">
        <v>5635.94</v>
      </c>
      <c r="NG11" s="2">
        <v>15123.39</v>
      </c>
      <c r="NH11" s="2">
        <v>4982.6899999999996</v>
      </c>
      <c r="NI11" s="2">
        <v>33566.160000000003</v>
      </c>
      <c r="NJ11" s="2">
        <v>7099.68</v>
      </c>
      <c r="NK11" s="2">
        <v>42666.37</v>
      </c>
      <c r="NL11" s="2">
        <v>40950.959999999999</v>
      </c>
      <c r="NM11" s="2">
        <v>1176.25</v>
      </c>
      <c r="NN11" s="2">
        <v>44838.45</v>
      </c>
      <c r="NO11" s="2">
        <v>1932.74</v>
      </c>
      <c r="NP11" s="2">
        <v>12362.47</v>
      </c>
      <c r="NQ11" s="2">
        <v>2103.2600000000002</v>
      </c>
      <c r="NR11" s="2">
        <v>17124.25</v>
      </c>
      <c r="NS11" s="2">
        <v>25936.39</v>
      </c>
      <c r="NT11" s="2">
        <v>39933.919999999998</v>
      </c>
      <c r="NU11" s="2">
        <v>17230.09</v>
      </c>
      <c r="NV11" s="2">
        <v>35421.760000000002</v>
      </c>
      <c r="NW11" s="2">
        <v>9781.4699999999993</v>
      </c>
      <c r="NX11" s="2">
        <v>37654.620000000003</v>
      </c>
      <c r="NY11" s="2">
        <v>12181.83</v>
      </c>
      <c r="NZ11" s="2">
        <v>7605.47</v>
      </c>
      <c r="OA11" s="2">
        <v>9677.74</v>
      </c>
      <c r="OB11" s="2">
        <v>9512.1200000000008</v>
      </c>
      <c r="OC11" s="2">
        <v>25886.71</v>
      </c>
      <c r="OD11" s="2">
        <v>42317.48</v>
      </c>
      <c r="OE11" s="2">
        <v>4440.45</v>
      </c>
      <c r="OF11" s="2">
        <v>35494.339999999997</v>
      </c>
      <c r="OG11" s="2">
        <v>32890.15</v>
      </c>
      <c r="OH11" s="2">
        <v>43689.74</v>
      </c>
      <c r="OI11" s="2">
        <v>12585.3</v>
      </c>
      <c r="OJ11" s="2">
        <v>22780.44</v>
      </c>
      <c r="OK11" s="2">
        <v>46328.46</v>
      </c>
      <c r="OL11" s="2">
        <v>33169.68</v>
      </c>
      <c r="OM11" s="2">
        <v>19744.04</v>
      </c>
      <c r="ON11" s="2">
        <v>7004.91</v>
      </c>
      <c r="OO11" s="2">
        <v>13493.01</v>
      </c>
      <c r="OP11" s="2">
        <v>29270.17</v>
      </c>
      <c r="OQ11" s="2">
        <v>36049.31</v>
      </c>
      <c r="OR11" s="2">
        <v>6658.88</v>
      </c>
      <c r="OS11" s="2">
        <v>30180.06</v>
      </c>
      <c r="OT11" s="2">
        <v>27742.39</v>
      </c>
      <c r="OU11" s="2">
        <v>25940.79</v>
      </c>
      <c r="OV11" s="2">
        <v>34661.089999999997</v>
      </c>
      <c r="OW11" s="2">
        <v>41953.75</v>
      </c>
      <c r="OX11" s="2">
        <v>16487.990000000002</v>
      </c>
      <c r="OY11" s="2">
        <v>44506.1</v>
      </c>
      <c r="OZ11" s="2">
        <v>8451.36</v>
      </c>
      <c r="PA11" s="2">
        <v>9064.68</v>
      </c>
      <c r="PB11" s="2">
        <v>13705.22</v>
      </c>
      <c r="PC11" s="2">
        <v>6416.78</v>
      </c>
      <c r="PD11" s="2">
        <v>11900.8</v>
      </c>
      <c r="PE11" s="2">
        <v>5767.38</v>
      </c>
      <c r="PF11" s="2">
        <v>41176.74</v>
      </c>
      <c r="PG11" s="2">
        <v>7378.97</v>
      </c>
      <c r="PH11" s="2">
        <v>37491.230000000003</v>
      </c>
      <c r="PI11" s="2">
        <v>2871.74</v>
      </c>
      <c r="PJ11" s="2">
        <v>47451.76</v>
      </c>
      <c r="PK11" s="2">
        <v>35702.42</v>
      </c>
      <c r="PL11" s="2">
        <v>836.43</v>
      </c>
      <c r="PM11" s="2">
        <v>38310.9</v>
      </c>
      <c r="PN11" s="2">
        <v>25947.06</v>
      </c>
      <c r="PO11" s="2">
        <v>39078.58</v>
      </c>
      <c r="PP11" s="2">
        <v>26363.59</v>
      </c>
      <c r="PQ11" s="2">
        <v>32230.73</v>
      </c>
      <c r="PR11" s="2">
        <v>39423.42</v>
      </c>
      <c r="PS11" s="2">
        <v>20552.849999999999</v>
      </c>
      <c r="PT11" s="2">
        <v>634.04999999999995</v>
      </c>
      <c r="PU11" s="2">
        <v>42572.35</v>
      </c>
      <c r="PV11" s="2">
        <v>19354.07</v>
      </c>
      <c r="PW11" s="2">
        <v>25054.11</v>
      </c>
      <c r="PX11" s="2">
        <v>884.45</v>
      </c>
      <c r="PY11" s="2">
        <v>24858.55</v>
      </c>
      <c r="PZ11" s="2">
        <v>49331.13</v>
      </c>
      <c r="QA11" s="2">
        <v>14274.25</v>
      </c>
      <c r="QB11" s="2">
        <v>20073.2</v>
      </c>
      <c r="QC11" s="2">
        <v>34515.9</v>
      </c>
      <c r="QD11" s="2">
        <v>40832.29</v>
      </c>
      <c r="QE11" s="2">
        <v>21160.89</v>
      </c>
      <c r="QF11" s="2">
        <v>15828.61</v>
      </c>
      <c r="QG11" s="2">
        <v>46922.38</v>
      </c>
      <c r="QH11" s="2">
        <v>34018.68</v>
      </c>
      <c r="QI11" s="2">
        <v>6391.55</v>
      </c>
      <c r="QJ11" s="2">
        <v>3911.93</v>
      </c>
      <c r="QK11" s="2">
        <v>24435.72</v>
      </c>
      <c r="QL11" s="2">
        <v>11394.46</v>
      </c>
      <c r="QM11" s="2">
        <v>13072.25</v>
      </c>
      <c r="QN11" s="2">
        <v>43945.760000000002</v>
      </c>
      <c r="QO11" s="2">
        <v>4933.5200000000004</v>
      </c>
      <c r="QP11" s="2">
        <v>35910.519999999997</v>
      </c>
      <c r="QQ11" s="2">
        <v>13921.54</v>
      </c>
      <c r="QR11" s="2">
        <v>38136.25</v>
      </c>
      <c r="QS11" s="2">
        <v>36259.360000000001</v>
      </c>
      <c r="QT11" s="2">
        <v>865.9</v>
      </c>
      <c r="QU11" s="2">
        <v>25702.2</v>
      </c>
      <c r="QV11" s="2">
        <v>7396.31</v>
      </c>
      <c r="QW11" s="2">
        <v>43378.239999999998</v>
      </c>
      <c r="QX11" s="2">
        <v>43643.5</v>
      </c>
      <c r="QY11" s="2">
        <v>21208.12</v>
      </c>
      <c r="QZ11" s="2">
        <v>22497.58</v>
      </c>
      <c r="RA11" s="2">
        <v>15512.51</v>
      </c>
      <c r="RB11" s="2">
        <v>35972.01</v>
      </c>
      <c r="RC11" s="2">
        <v>18253.740000000002</v>
      </c>
      <c r="RD11" s="2">
        <v>13755.73</v>
      </c>
      <c r="RE11" s="2">
        <v>21895.439999999999</v>
      </c>
      <c r="RF11" s="2">
        <v>5028.63</v>
      </c>
      <c r="RG11" s="2">
        <v>37456.86</v>
      </c>
      <c r="RH11" s="2">
        <v>1123.52</v>
      </c>
      <c r="RI11" s="2">
        <v>32402.01</v>
      </c>
      <c r="RJ11" s="2">
        <v>9551.7900000000009</v>
      </c>
      <c r="RK11" s="2">
        <v>12004</v>
      </c>
      <c r="RL11" s="2">
        <v>31963.78</v>
      </c>
      <c r="RM11" s="2">
        <v>49650.7</v>
      </c>
      <c r="RN11" s="2">
        <v>38997.019999999997</v>
      </c>
      <c r="RO11" s="2">
        <v>11679.06</v>
      </c>
      <c r="RP11" s="2">
        <v>9213.23</v>
      </c>
      <c r="RQ11" s="2">
        <v>43378.53</v>
      </c>
      <c r="RR11" s="2">
        <v>22487.11</v>
      </c>
      <c r="RS11" s="2">
        <v>7284.11</v>
      </c>
      <c r="RT11" s="2">
        <v>43179.47</v>
      </c>
      <c r="RU11" s="2">
        <v>40896.57</v>
      </c>
      <c r="RV11" s="2">
        <v>49203.37</v>
      </c>
      <c r="RW11" s="2">
        <v>45532.31</v>
      </c>
      <c r="RX11" s="2">
        <v>42663.62</v>
      </c>
      <c r="RY11" s="2">
        <v>3102.43</v>
      </c>
      <c r="RZ11" s="2">
        <v>5668.56</v>
      </c>
      <c r="SA11" s="2">
        <v>28664.67</v>
      </c>
      <c r="SB11" s="2">
        <v>26808.22</v>
      </c>
      <c r="SC11" s="2">
        <v>23169.18</v>
      </c>
      <c r="SD11" s="2">
        <v>20141.07</v>
      </c>
      <c r="SE11" s="2">
        <v>21844.92</v>
      </c>
      <c r="SF11" s="2">
        <v>28680.25</v>
      </c>
      <c r="SG11" s="2">
        <v>602.79</v>
      </c>
      <c r="SH11" s="2">
        <v>13405.08</v>
      </c>
      <c r="SI11" s="2">
        <v>26154.85</v>
      </c>
      <c r="SJ11" s="2">
        <v>36249.699999999997</v>
      </c>
      <c r="SK11" s="2">
        <v>9120.76</v>
      </c>
      <c r="SL11" s="2">
        <v>27570.62</v>
      </c>
      <c r="SM11" s="2">
        <v>35865.75</v>
      </c>
      <c r="SN11" s="2">
        <v>22509.07</v>
      </c>
      <c r="SO11" s="2">
        <v>1840.52</v>
      </c>
      <c r="SP11" s="2">
        <v>22738.77</v>
      </c>
      <c r="SQ11" s="2">
        <v>15174.02</v>
      </c>
      <c r="SR11" s="2">
        <v>46517.66</v>
      </c>
      <c r="SS11" s="2">
        <v>6668.36</v>
      </c>
      <c r="ST11" s="2">
        <v>32797.56</v>
      </c>
      <c r="SU11" s="2">
        <v>3109.63</v>
      </c>
      <c r="SV11" s="2">
        <v>22585.439999999999</v>
      </c>
      <c r="SW11" s="2">
        <v>27921.98</v>
      </c>
      <c r="SX11" s="2">
        <v>15248.77</v>
      </c>
      <c r="SY11" s="2">
        <v>23026.240000000002</v>
      </c>
      <c r="SZ11" s="2">
        <v>8595.91</v>
      </c>
      <c r="TA11" s="2">
        <v>15554.13</v>
      </c>
      <c r="TB11" s="2">
        <v>31244.76</v>
      </c>
      <c r="TC11" s="2">
        <v>15439.1</v>
      </c>
      <c r="TD11" s="2">
        <v>45037.279999999999</v>
      </c>
      <c r="TE11" s="2">
        <v>31606.14</v>
      </c>
      <c r="TF11" s="2">
        <v>22213.13</v>
      </c>
      <c r="TG11" s="2">
        <v>2418.4699999999998</v>
      </c>
      <c r="TH11" s="2">
        <v>25227.64</v>
      </c>
      <c r="TI11" s="2">
        <v>38356.42</v>
      </c>
      <c r="TJ11" s="2">
        <v>13645.1</v>
      </c>
      <c r="TK11" s="2">
        <v>40435.29</v>
      </c>
      <c r="TL11" s="2">
        <v>12964.43</v>
      </c>
      <c r="TM11" s="2">
        <v>41275.449999999997</v>
      </c>
      <c r="TN11" s="2">
        <v>4720.78</v>
      </c>
      <c r="TO11" s="2">
        <v>43376.09</v>
      </c>
      <c r="TP11" s="2">
        <v>25209.73</v>
      </c>
      <c r="TQ11" s="2">
        <v>15178.61</v>
      </c>
      <c r="TR11" s="2">
        <v>13623.11</v>
      </c>
      <c r="TS11" s="2">
        <v>21884.52</v>
      </c>
      <c r="TT11" s="2">
        <v>49952.95</v>
      </c>
      <c r="TU11" s="2">
        <v>11406.21</v>
      </c>
      <c r="TV11" s="2">
        <v>5609.22</v>
      </c>
      <c r="TW11" s="2">
        <v>29459.24</v>
      </c>
      <c r="TX11" s="2">
        <v>24682.85</v>
      </c>
      <c r="TY11" s="2">
        <v>26447.72</v>
      </c>
      <c r="TZ11" s="2">
        <v>33513.300000000003</v>
      </c>
      <c r="UA11" s="2">
        <v>13723.63</v>
      </c>
      <c r="UB11" s="2">
        <v>45577.919999999998</v>
      </c>
      <c r="UC11" s="2">
        <v>22065.77</v>
      </c>
      <c r="UD11" s="2">
        <v>6889.77</v>
      </c>
      <c r="UE11" s="2">
        <v>37243.79</v>
      </c>
      <c r="UF11" s="2">
        <v>32333.67</v>
      </c>
      <c r="UG11" s="2">
        <v>16129.3</v>
      </c>
      <c r="UH11" s="2">
        <v>31265.18</v>
      </c>
      <c r="UI11" s="2">
        <v>11383.17</v>
      </c>
      <c r="UJ11" s="2">
        <v>22519.55</v>
      </c>
      <c r="UK11" s="2">
        <v>45020.92</v>
      </c>
      <c r="UL11" s="2">
        <v>7109.94</v>
      </c>
      <c r="UM11" s="2">
        <v>19641.47</v>
      </c>
      <c r="UN11" s="2">
        <v>41146.550000000003</v>
      </c>
      <c r="UO11" s="2">
        <v>48489.8</v>
      </c>
      <c r="UP11" s="2">
        <v>22969.34</v>
      </c>
      <c r="UQ11" s="2">
        <v>25596.48</v>
      </c>
      <c r="UR11" s="2">
        <v>28822.51</v>
      </c>
      <c r="US11" s="2">
        <v>46651.23</v>
      </c>
      <c r="UT11" s="2">
        <v>42981.24</v>
      </c>
      <c r="UU11" s="2">
        <v>8944.76</v>
      </c>
      <c r="UV11" s="2">
        <v>22119.51</v>
      </c>
      <c r="UW11" s="2">
        <v>23468.02</v>
      </c>
      <c r="UX11" s="2">
        <v>39560.26</v>
      </c>
      <c r="UY11" s="2">
        <v>30343.200000000001</v>
      </c>
      <c r="UZ11" s="2">
        <v>32883.910000000003</v>
      </c>
      <c r="VA11" s="2">
        <v>49910.9</v>
      </c>
      <c r="VB11" s="2">
        <v>4210.5200000000004</v>
      </c>
      <c r="VC11" s="2">
        <v>11538.99</v>
      </c>
      <c r="VD11" s="2">
        <v>20690.849999999999</v>
      </c>
      <c r="VE11" s="2">
        <v>17715.23</v>
      </c>
      <c r="VF11" s="2">
        <v>1571.46</v>
      </c>
      <c r="VG11" s="2">
        <v>5042.99</v>
      </c>
      <c r="VH11" s="2">
        <v>34207.19</v>
      </c>
      <c r="VI11" s="2">
        <v>44026.559999999998</v>
      </c>
      <c r="VJ11" s="2">
        <v>25954.240000000002</v>
      </c>
      <c r="VK11" s="2">
        <v>27189.96</v>
      </c>
      <c r="VL11" s="2">
        <v>13127.12</v>
      </c>
      <c r="VM11" s="2">
        <v>38509.879999999997</v>
      </c>
      <c r="VN11" s="2">
        <v>37713.83</v>
      </c>
      <c r="VO11" s="2">
        <v>29624.1</v>
      </c>
      <c r="VP11" s="2">
        <v>11026.88</v>
      </c>
      <c r="VQ11" s="2">
        <v>5302.4</v>
      </c>
      <c r="VR11" s="2">
        <v>3679.81</v>
      </c>
      <c r="VS11" s="2">
        <v>29838.46</v>
      </c>
      <c r="VT11" s="2">
        <v>41339.25</v>
      </c>
      <c r="VU11" s="2">
        <v>42987.360000000001</v>
      </c>
      <c r="VV11" s="2">
        <v>23449.29</v>
      </c>
      <c r="VW11" s="2">
        <v>39321.43</v>
      </c>
      <c r="VX11" s="2">
        <v>47370.57</v>
      </c>
      <c r="VY11" s="2">
        <v>14120.92</v>
      </c>
      <c r="VZ11" s="2">
        <v>20199.04</v>
      </c>
      <c r="WA11" s="2">
        <v>46608.21</v>
      </c>
      <c r="WB11" s="2">
        <v>17242.43</v>
      </c>
      <c r="WC11" s="2">
        <v>45736.88</v>
      </c>
      <c r="WD11" s="2">
        <v>49061.72</v>
      </c>
      <c r="WE11" s="2">
        <v>33259.629999999997</v>
      </c>
      <c r="WF11" s="2">
        <v>40936.07</v>
      </c>
      <c r="WG11" s="2">
        <v>37602.51</v>
      </c>
      <c r="WH11" s="2">
        <v>35126.949999999997</v>
      </c>
      <c r="WI11" s="2">
        <v>15693.09</v>
      </c>
      <c r="WJ11" s="2">
        <v>3326.17</v>
      </c>
      <c r="WK11" s="2">
        <v>17481.060000000001</v>
      </c>
      <c r="WL11" s="2">
        <v>33513.33</v>
      </c>
      <c r="WM11" s="2">
        <v>5575.2</v>
      </c>
      <c r="WN11" s="2">
        <v>1089.94</v>
      </c>
      <c r="WO11" s="2">
        <v>7414.77</v>
      </c>
      <c r="WP11" s="2">
        <v>35928.93</v>
      </c>
      <c r="WQ11" s="2">
        <v>48653.29</v>
      </c>
      <c r="WR11" s="2">
        <v>49161.7</v>
      </c>
      <c r="WS11" s="2">
        <v>24951.97</v>
      </c>
      <c r="WT11" s="2">
        <v>43532.94</v>
      </c>
      <c r="WU11" s="2">
        <v>36972.910000000003</v>
      </c>
      <c r="WV11" s="2">
        <v>25301.49</v>
      </c>
      <c r="WW11" s="2">
        <v>28851.65</v>
      </c>
      <c r="WX11" s="2">
        <v>7292.74</v>
      </c>
      <c r="WY11" s="2">
        <v>46914.239999999998</v>
      </c>
      <c r="WZ11" s="2">
        <v>17920.52</v>
      </c>
      <c r="XA11" s="2">
        <v>22584.39</v>
      </c>
      <c r="XB11" s="2">
        <v>33747.18</v>
      </c>
      <c r="XC11" s="2">
        <v>17028.169999999998</v>
      </c>
      <c r="XD11" s="2">
        <v>13085.83</v>
      </c>
      <c r="XE11" s="2">
        <v>31736.94</v>
      </c>
      <c r="XF11" s="2">
        <v>1736.71</v>
      </c>
      <c r="XG11" s="2">
        <v>36175.89</v>
      </c>
      <c r="XH11" s="2">
        <v>25944.16</v>
      </c>
      <c r="XI11" s="2">
        <v>30484.81</v>
      </c>
      <c r="XJ11" s="2">
        <v>31778.07</v>
      </c>
      <c r="XK11" s="2">
        <v>26588.98</v>
      </c>
      <c r="XL11" s="2">
        <v>29335.42</v>
      </c>
      <c r="XM11" s="2">
        <v>34347.519999999997</v>
      </c>
      <c r="XN11" s="2">
        <v>37779.379999999997</v>
      </c>
      <c r="XO11" s="2">
        <v>36508.89</v>
      </c>
      <c r="XP11" s="2">
        <v>43546.01</v>
      </c>
      <c r="XQ11" s="2">
        <v>9877.4500000000007</v>
      </c>
      <c r="XR11" s="2">
        <v>20356.82</v>
      </c>
      <c r="XS11" s="2">
        <v>47415.91</v>
      </c>
      <c r="XT11" s="2">
        <v>20131.23</v>
      </c>
      <c r="XU11" s="2">
        <v>6681.07</v>
      </c>
      <c r="XV11" s="2">
        <v>26509.53</v>
      </c>
      <c r="XW11" s="2">
        <v>5919.8</v>
      </c>
      <c r="XX11" s="2">
        <v>10541.24</v>
      </c>
      <c r="XY11" s="2">
        <v>49916.78</v>
      </c>
      <c r="XZ11" s="2">
        <v>27297.45</v>
      </c>
      <c r="YA11" s="2">
        <v>14560.89</v>
      </c>
      <c r="YB11" s="2">
        <v>49741.36</v>
      </c>
      <c r="YC11" s="2">
        <v>48344.67</v>
      </c>
      <c r="YD11" s="2">
        <v>22316.58</v>
      </c>
      <c r="YE11" s="2">
        <v>13389.95</v>
      </c>
      <c r="YF11" s="2">
        <v>42000.78</v>
      </c>
      <c r="YG11" s="2">
        <v>35923.230000000003</v>
      </c>
      <c r="YH11" s="2">
        <v>34503.599999999999</v>
      </c>
      <c r="YI11" s="2">
        <v>44709.13</v>
      </c>
      <c r="YJ11" s="2">
        <v>34626.15</v>
      </c>
      <c r="YK11" s="2">
        <v>14548</v>
      </c>
      <c r="YL11" s="2">
        <v>34846.230000000003</v>
      </c>
      <c r="YM11" s="2">
        <v>15637.77</v>
      </c>
      <c r="YN11" s="2">
        <v>38082.33</v>
      </c>
      <c r="YO11" s="2">
        <v>31177.52</v>
      </c>
      <c r="YP11" s="2">
        <v>4331.87</v>
      </c>
      <c r="YQ11" s="2">
        <v>25885.35</v>
      </c>
      <c r="YR11" s="2">
        <v>17493.400000000001</v>
      </c>
      <c r="YS11" s="2">
        <v>16764.25</v>
      </c>
      <c r="YT11" s="2">
        <v>30311.69</v>
      </c>
      <c r="YU11" s="2">
        <v>16455.080000000002</v>
      </c>
      <c r="YV11" s="2">
        <v>38956.239999999998</v>
      </c>
      <c r="YW11" s="2">
        <v>4004.18</v>
      </c>
      <c r="YX11" s="2">
        <v>33189.22</v>
      </c>
      <c r="YY11" s="2">
        <v>40555.14</v>
      </c>
      <c r="YZ11" s="2">
        <v>33805.17</v>
      </c>
      <c r="ZA11" s="2">
        <v>25112.85</v>
      </c>
      <c r="ZB11" s="2">
        <v>47540.2</v>
      </c>
      <c r="ZC11" s="2">
        <v>15346.96</v>
      </c>
      <c r="ZD11" s="2">
        <v>1448.81</v>
      </c>
      <c r="ZE11" s="2">
        <v>21883.47</v>
      </c>
      <c r="ZF11" s="2">
        <v>2134.09</v>
      </c>
      <c r="ZG11" s="2">
        <v>47719.87</v>
      </c>
      <c r="ZH11" s="2">
        <v>10890.94</v>
      </c>
      <c r="ZI11" s="2">
        <v>39551.89</v>
      </c>
      <c r="ZJ11" s="2">
        <v>38841.32</v>
      </c>
      <c r="ZK11" s="2">
        <v>11277.58</v>
      </c>
      <c r="ZL11" s="2">
        <v>31250.71</v>
      </c>
      <c r="ZM11" s="2">
        <v>2879.91</v>
      </c>
      <c r="ZN11" s="2">
        <v>24436.94</v>
      </c>
      <c r="ZO11" s="2">
        <v>1225.03</v>
      </c>
      <c r="ZP11" s="2">
        <v>46096.62</v>
      </c>
      <c r="ZQ11" s="2">
        <v>48816.26</v>
      </c>
      <c r="ZR11" s="2">
        <v>11503</v>
      </c>
      <c r="ZS11" s="2">
        <v>10801.25</v>
      </c>
      <c r="ZT11" s="2">
        <v>37809.15</v>
      </c>
      <c r="ZU11" s="2">
        <v>13042.28</v>
      </c>
      <c r="ZV11" s="2">
        <v>44806.29</v>
      </c>
      <c r="ZW11" s="2">
        <v>28909.49</v>
      </c>
      <c r="ZX11" s="2">
        <v>17863.490000000002</v>
      </c>
      <c r="ZY11" s="2">
        <v>41718.339999999997</v>
      </c>
      <c r="ZZ11" s="2">
        <v>24923.63</v>
      </c>
      <c r="AAA11" s="2">
        <v>45625.83</v>
      </c>
      <c r="AAB11" s="2">
        <v>46436.7</v>
      </c>
      <c r="AAC11" s="2">
        <v>8688.2999999999993</v>
      </c>
      <c r="AAD11" s="2">
        <v>615.01</v>
      </c>
      <c r="AAE11" s="2">
        <v>49204.58</v>
      </c>
      <c r="AAF11" s="2">
        <v>45353.81</v>
      </c>
      <c r="AAG11" s="2">
        <v>3244.54</v>
      </c>
      <c r="AAH11" s="2">
        <v>41735.199999999997</v>
      </c>
      <c r="AAI11" s="2">
        <v>23161.34</v>
      </c>
      <c r="AAJ11" s="2">
        <v>13318.6</v>
      </c>
      <c r="AAK11" s="2">
        <v>43997.95</v>
      </c>
      <c r="AAL11" s="2">
        <v>10235.030000000001</v>
      </c>
      <c r="AAM11" s="2">
        <v>47391.35</v>
      </c>
      <c r="AAN11" s="2">
        <v>10678.26</v>
      </c>
      <c r="AAO11" s="2">
        <v>30877.32</v>
      </c>
      <c r="AAP11" s="2">
        <v>11542.77</v>
      </c>
      <c r="AAQ11" s="2">
        <v>27510.6</v>
      </c>
      <c r="AAR11" s="2">
        <v>34356.769999999997</v>
      </c>
      <c r="AAS11" s="2">
        <v>9916.2800000000007</v>
      </c>
      <c r="AAT11" s="2">
        <v>26283.85</v>
      </c>
      <c r="AAU11" s="2">
        <v>23718.46</v>
      </c>
      <c r="AAV11" s="2">
        <v>4016.35</v>
      </c>
      <c r="AAW11" s="2">
        <v>41006.239999999998</v>
      </c>
      <c r="AAX11" s="2">
        <v>17116.28</v>
      </c>
      <c r="AAY11" s="2">
        <v>28941.82</v>
      </c>
      <c r="AAZ11" s="2">
        <v>25981.82</v>
      </c>
      <c r="ABA11" s="2">
        <v>25906.39</v>
      </c>
      <c r="ABB11" s="2">
        <v>5807.51</v>
      </c>
      <c r="ABC11" s="2">
        <v>21462.36</v>
      </c>
      <c r="ABD11" s="2">
        <v>22892.15</v>
      </c>
      <c r="ABE11" s="2">
        <v>36815.32</v>
      </c>
      <c r="ABF11" s="2">
        <v>42080.93</v>
      </c>
      <c r="ABG11" s="2">
        <v>27476.62</v>
      </c>
      <c r="ABH11" s="2">
        <v>4795.76</v>
      </c>
      <c r="ABI11" s="2">
        <v>12224.05</v>
      </c>
      <c r="ABJ11" s="2">
        <v>8664.23</v>
      </c>
      <c r="ABK11" s="2">
        <v>6668.45</v>
      </c>
      <c r="ABL11" s="2">
        <v>18612.02</v>
      </c>
      <c r="ABM11" s="2">
        <v>11854.98</v>
      </c>
      <c r="ABN11" s="2">
        <v>11306</v>
      </c>
      <c r="ABO11" s="2">
        <v>3207.31</v>
      </c>
      <c r="ABP11" s="2">
        <v>1374.67</v>
      </c>
      <c r="ABQ11" s="2">
        <v>5587.03</v>
      </c>
      <c r="ABR11" s="2">
        <v>9023.7800000000007</v>
      </c>
      <c r="ABS11" s="2">
        <v>21833.69</v>
      </c>
      <c r="ABT11" s="2">
        <v>25770.75</v>
      </c>
      <c r="ABU11" s="2">
        <v>7459.3</v>
      </c>
      <c r="ABV11" s="2">
        <v>21526.78</v>
      </c>
      <c r="ABW11" s="2">
        <v>17416.57</v>
      </c>
      <c r="ABX11" s="2">
        <v>9579.4699999999993</v>
      </c>
      <c r="ABY11" s="2">
        <v>838.62</v>
      </c>
      <c r="ABZ11" s="2">
        <v>23617.38</v>
      </c>
      <c r="ACA11" s="2">
        <v>34439.760000000002</v>
      </c>
      <c r="ACB11" s="2">
        <v>11700.73</v>
      </c>
      <c r="ACC11" s="2">
        <v>7024.44</v>
      </c>
      <c r="ACD11" s="2">
        <v>44408.62</v>
      </c>
      <c r="ACE11" s="2">
        <v>14113.73</v>
      </c>
      <c r="ACF11" s="2">
        <v>11568.82</v>
      </c>
      <c r="ACG11" s="2">
        <v>42926.3</v>
      </c>
      <c r="ACH11" s="2">
        <v>40946.800000000003</v>
      </c>
      <c r="ACI11" s="2">
        <v>22693.15</v>
      </c>
      <c r="ACJ11" s="2">
        <v>24717.32</v>
      </c>
      <c r="ACK11" s="2">
        <v>11278.56</v>
      </c>
      <c r="ACL11" s="2">
        <v>4375.93</v>
      </c>
      <c r="ACM11" s="2">
        <v>28884.880000000001</v>
      </c>
      <c r="ACN11" s="2">
        <v>5368.07</v>
      </c>
      <c r="ACO11" s="2">
        <v>22739.09</v>
      </c>
      <c r="ACP11" s="2">
        <v>47054.61</v>
      </c>
      <c r="ACQ11" s="2">
        <v>47665.3</v>
      </c>
      <c r="ACR11" s="2">
        <v>12346.95</v>
      </c>
      <c r="ACS11" s="2">
        <v>31393.61</v>
      </c>
      <c r="ACT11" s="2">
        <v>23966.78</v>
      </c>
      <c r="ACU11" s="2">
        <v>43846.41</v>
      </c>
      <c r="ACV11" s="2">
        <v>13935.83</v>
      </c>
      <c r="ACW11" s="2">
        <v>683.27</v>
      </c>
      <c r="ACX11" s="2">
        <v>8546.7800000000007</v>
      </c>
      <c r="ACY11" s="2">
        <v>17801.38</v>
      </c>
      <c r="ACZ11" s="2">
        <v>16128.2</v>
      </c>
      <c r="ADA11" s="2">
        <v>39672.46</v>
      </c>
      <c r="ADB11" s="2">
        <v>34187.75</v>
      </c>
      <c r="ADC11" s="2">
        <v>15328.04</v>
      </c>
      <c r="ADD11" s="2">
        <v>23158.32</v>
      </c>
      <c r="ADE11" s="2">
        <v>5230.18</v>
      </c>
      <c r="ADF11" s="2">
        <v>44958.25</v>
      </c>
      <c r="ADG11" s="2">
        <v>46803.53</v>
      </c>
      <c r="ADH11" s="2">
        <v>49000.28</v>
      </c>
      <c r="ADI11" s="2">
        <v>43493.37</v>
      </c>
      <c r="ADJ11" s="2">
        <v>9111.06</v>
      </c>
      <c r="ADK11" s="2">
        <v>2786.73</v>
      </c>
      <c r="ADL11" s="2">
        <v>29190.04</v>
      </c>
      <c r="ADM11" s="2">
        <v>45673.95</v>
      </c>
      <c r="ADN11" s="2">
        <v>9278.89</v>
      </c>
      <c r="ADO11" s="2">
        <v>848.62</v>
      </c>
      <c r="ADP11" s="2">
        <v>40372.050000000003</v>
      </c>
      <c r="ADQ11" s="2">
        <v>4301.3900000000003</v>
      </c>
      <c r="ADR11" s="2">
        <v>20978.45</v>
      </c>
      <c r="ADS11" s="2">
        <v>34104.92</v>
      </c>
      <c r="ADT11" s="2">
        <v>12221.48</v>
      </c>
      <c r="ADU11" s="2">
        <v>4656.1499999999996</v>
      </c>
      <c r="ADV11" s="2">
        <v>38616.050000000003</v>
      </c>
      <c r="ADW11" s="2">
        <v>31693.67</v>
      </c>
      <c r="ADX11" s="2">
        <v>49430.28</v>
      </c>
      <c r="ADY11" s="2">
        <v>17543.25</v>
      </c>
      <c r="ADZ11" s="2">
        <v>3557.24</v>
      </c>
      <c r="AEA11" s="2">
        <v>36850.33</v>
      </c>
      <c r="AEB11" s="2">
        <v>26325.8</v>
      </c>
      <c r="AEC11" s="2">
        <v>11053.59</v>
      </c>
      <c r="AED11" s="2">
        <v>39195.58</v>
      </c>
      <c r="AEE11" s="2">
        <v>10585.9</v>
      </c>
      <c r="AEF11" s="2">
        <v>13402.75</v>
      </c>
      <c r="AEG11" s="2">
        <v>5080.16</v>
      </c>
      <c r="AEH11" s="2">
        <v>20271.900000000001</v>
      </c>
      <c r="AEI11" s="2">
        <v>21237</v>
      </c>
      <c r="AEJ11" s="2">
        <v>25970.81</v>
      </c>
      <c r="AEK11" s="2">
        <v>35593.730000000003</v>
      </c>
      <c r="AEL11" s="2">
        <v>45352</v>
      </c>
      <c r="AEM11" s="2">
        <v>7317.84</v>
      </c>
      <c r="AEN11" s="2">
        <v>3190.23</v>
      </c>
      <c r="AEO11" s="2">
        <v>1417.3</v>
      </c>
      <c r="AEP11" s="2">
        <v>7609.26</v>
      </c>
      <c r="AEQ11" s="2">
        <v>33068.5</v>
      </c>
      <c r="AER11" s="2">
        <v>36510.120000000003</v>
      </c>
      <c r="AES11" s="2">
        <v>39432.03</v>
      </c>
      <c r="AET11" s="2">
        <v>12563.56</v>
      </c>
      <c r="AEU11" s="2">
        <v>15641.79</v>
      </c>
      <c r="AEV11" s="2">
        <v>24415.16</v>
      </c>
      <c r="AEW11" s="2">
        <v>3627.56</v>
      </c>
      <c r="AEX11" s="2">
        <v>30751.51</v>
      </c>
      <c r="AEY11" s="2">
        <v>49194.879999999997</v>
      </c>
      <c r="AEZ11" s="2">
        <v>18359.91</v>
      </c>
      <c r="AFA11" s="2">
        <v>37765.949999999997</v>
      </c>
      <c r="AFB11" s="2">
        <v>25251.68</v>
      </c>
      <c r="AFC11" s="2">
        <v>6826.69</v>
      </c>
      <c r="AFD11" s="2">
        <v>29320.75</v>
      </c>
      <c r="AFE11" s="2">
        <v>15343.78</v>
      </c>
      <c r="AFF11" s="2">
        <v>2202.96</v>
      </c>
      <c r="AFG11" s="2">
        <v>31929.02</v>
      </c>
      <c r="AFH11" s="2">
        <v>43017.15</v>
      </c>
      <c r="AFI11" s="2">
        <v>17566.099999999999</v>
      </c>
      <c r="AFJ11" s="2">
        <v>19819.63</v>
      </c>
      <c r="AFK11" s="2">
        <v>44605.57</v>
      </c>
      <c r="AFL11" s="2">
        <v>40773.64</v>
      </c>
      <c r="AFM11" s="2">
        <v>35890.160000000003</v>
      </c>
      <c r="AFN11" s="2">
        <v>12815.45</v>
      </c>
      <c r="AFO11" s="2">
        <v>45555.72</v>
      </c>
      <c r="AFP11" s="2">
        <v>8143.58</v>
      </c>
      <c r="AFQ11" s="2">
        <v>31525.14</v>
      </c>
      <c r="AFR11" s="2">
        <v>1925.66</v>
      </c>
      <c r="AFS11" s="2">
        <v>32364.13</v>
      </c>
      <c r="AFT11" s="2">
        <v>14218.65</v>
      </c>
      <c r="AFU11" s="2">
        <v>22759.01</v>
      </c>
      <c r="AFV11" s="2">
        <v>17590.599999999999</v>
      </c>
      <c r="AFW11" s="2">
        <v>9051.4599999999991</v>
      </c>
      <c r="AFX11" s="2">
        <v>31288.05</v>
      </c>
      <c r="AFY11" s="2">
        <v>44157.79</v>
      </c>
      <c r="AFZ11" s="2">
        <v>47974.67</v>
      </c>
      <c r="AGA11" s="2">
        <v>10021.14</v>
      </c>
      <c r="AGB11" s="2">
        <v>36009.949999999997</v>
      </c>
      <c r="AGC11" s="2">
        <v>33384.800000000003</v>
      </c>
      <c r="AGD11" s="2">
        <v>17497.2</v>
      </c>
      <c r="AGE11" s="2">
        <v>1445.41</v>
      </c>
      <c r="AGF11" s="2">
        <v>34644.67</v>
      </c>
      <c r="AGG11" s="2">
        <v>47302</v>
      </c>
      <c r="AGH11" s="2">
        <v>31789.95</v>
      </c>
      <c r="AGI11" s="2">
        <v>22046.99</v>
      </c>
      <c r="AGJ11" s="2">
        <v>26495.119999999999</v>
      </c>
      <c r="AGK11" s="2">
        <v>10381.629999999999</v>
      </c>
      <c r="AGL11" s="2">
        <v>37651.94</v>
      </c>
      <c r="AGM11" s="2">
        <v>37447.78</v>
      </c>
      <c r="AGN11" s="2">
        <v>7703.11</v>
      </c>
      <c r="AGO11" s="2">
        <v>43959.93</v>
      </c>
      <c r="AGP11" s="2">
        <v>13824.89</v>
      </c>
      <c r="AGQ11" s="2">
        <v>49121.68</v>
      </c>
      <c r="AGR11" s="2">
        <v>19453.7</v>
      </c>
      <c r="AGS11" s="2">
        <v>9305.26</v>
      </c>
      <c r="AGT11" s="2">
        <v>17910.150000000001</v>
      </c>
      <c r="AGU11" s="2">
        <v>22288.93</v>
      </c>
      <c r="AGV11" s="2">
        <v>3930.73</v>
      </c>
      <c r="AGW11" s="2">
        <v>29121.81</v>
      </c>
      <c r="AGX11" s="2">
        <v>30082.81</v>
      </c>
      <c r="AGY11" s="2">
        <v>37077.06</v>
      </c>
      <c r="AGZ11" s="2">
        <v>1943.91</v>
      </c>
      <c r="AHA11" s="2">
        <v>27291.29</v>
      </c>
      <c r="AHB11" s="2">
        <v>3118.92</v>
      </c>
      <c r="AHC11" s="2">
        <v>35206.639999999999</v>
      </c>
      <c r="AHD11" s="2">
        <v>3258.54</v>
      </c>
      <c r="AHE11" s="2">
        <v>45630.53</v>
      </c>
      <c r="AHF11" s="2">
        <v>35253.089999999997</v>
      </c>
      <c r="AHG11" s="2">
        <v>25615.79</v>
      </c>
      <c r="AHH11" s="2">
        <v>22354.44</v>
      </c>
      <c r="AHI11" s="2">
        <v>6968.3</v>
      </c>
      <c r="AHJ11" s="2">
        <v>14904.47</v>
      </c>
      <c r="AHK11" s="2">
        <v>43513.48</v>
      </c>
      <c r="AHL11" s="2">
        <v>45270.41</v>
      </c>
      <c r="AHM11" s="2">
        <v>537.01</v>
      </c>
      <c r="AHN11" s="2">
        <v>29909.75</v>
      </c>
      <c r="AHO11" s="2">
        <v>36105.379999999997</v>
      </c>
      <c r="AHP11" s="2">
        <v>31127.98</v>
      </c>
      <c r="AHQ11" s="2">
        <v>4543.1499999999996</v>
      </c>
      <c r="AHR11" s="2">
        <v>11277.38</v>
      </c>
      <c r="AHS11" s="2">
        <v>12891.84</v>
      </c>
      <c r="AHT11" s="2">
        <v>41670.370000000003</v>
      </c>
      <c r="AHU11" s="2">
        <v>23428.37</v>
      </c>
      <c r="AHV11" s="2">
        <v>24598</v>
      </c>
      <c r="AHW11" s="2">
        <v>46777.21</v>
      </c>
      <c r="AHX11" s="2">
        <v>32035.75</v>
      </c>
      <c r="AHY11" s="2">
        <v>44984.05</v>
      </c>
      <c r="AHZ11" s="2">
        <v>23097.19</v>
      </c>
      <c r="AIA11" s="2">
        <v>7897.09</v>
      </c>
      <c r="AIB11" s="2">
        <v>46531.81</v>
      </c>
      <c r="AIC11" s="2">
        <v>23205.9</v>
      </c>
      <c r="AID11" s="2">
        <v>9490.76</v>
      </c>
      <c r="AIE11" s="2">
        <v>15468.59</v>
      </c>
      <c r="AIF11" s="2">
        <v>3014.73</v>
      </c>
      <c r="AIG11" s="2">
        <v>23680.880000000001</v>
      </c>
      <c r="AIH11" s="2">
        <v>42729.84</v>
      </c>
      <c r="AII11" s="2">
        <v>46712.23</v>
      </c>
      <c r="AIJ11" s="2">
        <v>46663.81</v>
      </c>
      <c r="AIK11" s="2">
        <v>6698.89</v>
      </c>
      <c r="AIL11" s="2">
        <v>19411.669999999998</v>
      </c>
      <c r="AIM11" s="2">
        <v>1897.32</v>
      </c>
      <c r="AIN11" s="2">
        <v>42830.68</v>
      </c>
      <c r="AIO11" s="2">
        <v>18258.41</v>
      </c>
      <c r="AIP11" s="2">
        <v>31740.29</v>
      </c>
      <c r="AIQ11" s="2">
        <v>35887.47</v>
      </c>
      <c r="AIR11" s="2">
        <v>21777.31</v>
      </c>
      <c r="AIS11" s="2">
        <v>15668.9</v>
      </c>
      <c r="AIT11" s="2">
        <v>48129.54</v>
      </c>
      <c r="AIU11" s="2">
        <v>48242.17</v>
      </c>
      <c r="AIV11" s="2">
        <v>14827.1</v>
      </c>
      <c r="AIW11" s="2">
        <v>24241.439999999999</v>
      </c>
      <c r="AIX11" s="2">
        <v>48655.79</v>
      </c>
      <c r="AIY11" s="2">
        <v>740.99</v>
      </c>
      <c r="AIZ11" s="2">
        <v>20927.57</v>
      </c>
      <c r="AJA11" s="2">
        <v>5472.65</v>
      </c>
      <c r="AJB11" s="2">
        <v>25703.32</v>
      </c>
      <c r="AJC11" s="2">
        <v>1721.16</v>
      </c>
      <c r="AJD11" s="2">
        <v>20641.47</v>
      </c>
      <c r="AJE11" s="2">
        <v>11424.6</v>
      </c>
      <c r="AJF11" s="2">
        <v>26898.76</v>
      </c>
      <c r="AJG11" s="2">
        <v>49801.69</v>
      </c>
      <c r="AJH11" s="2">
        <v>40126.54</v>
      </c>
      <c r="AJI11" s="2">
        <v>42359.28</v>
      </c>
      <c r="AJJ11" s="2">
        <v>31945.62</v>
      </c>
      <c r="AJK11" s="2">
        <v>2557.21</v>
      </c>
      <c r="AJL11" s="2">
        <v>10736.48</v>
      </c>
      <c r="AJM11" s="2">
        <v>46290.7</v>
      </c>
      <c r="AJN11" s="2">
        <v>18622.599999999999</v>
      </c>
      <c r="AJO11" s="2">
        <v>5630.02</v>
      </c>
      <c r="AJP11" s="2">
        <v>35269.07</v>
      </c>
      <c r="AJQ11" s="2">
        <v>15323.16</v>
      </c>
      <c r="AJR11" s="2">
        <v>13808.42</v>
      </c>
      <c r="AJS11" s="2">
        <v>49899.88</v>
      </c>
      <c r="AJT11" s="2">
        <v>42977.88</v>
      </c>
      <c r="AJU11" s="2">
        <v>20692.919999999998</v>
      </c>
      <c r="AJV11" s="2">
        <v>49022.93</v>
      </c>
      <c r="AJW11" s="2">
        <v>32680.6</v>
      </c>
      <c r="AJX11" s="2">
        <v>37230.11</v>
      </c>
      <c r="AJY11" s="2">
        <v>2059.9</v>
      </c>
      <c r="AJZ11" s="2">
        <v>6519.46</v>
      </c>
      <c r="AKA11" s="2">
        <v>31837.71</v>
      </c>
      <c r="AKB11" s="2">
        <v>45001.69</v>
      </c>
      <c r="AKC11" s="2">
        <v>31375.31</v>
      </c>
      <c r="AKD11" s="2">
        <v>7134.23</v>
      </c>
      <c r="AKE11" s="2">
        <v>6230.12</v>
      </c>
      <c r="AKF11" s="2">
        <v>42287.199999999997</v>
      </c>
      <c r="AKG11" s="2">
        <v>7395.47</v>
      </c>
      <c r="AKH11" s="2">
        <v>26251.48</v>
      </c>
      <c r="AKI11" s="2">
        <v>2337.11</v>
      </c>
      <c r="AKJ11" s="2">
        <v>4493.1499999999996</v>
      </c>
      <c r="AKK11" s="2">
        <v>33781.24</v>
      </c>
      <c r="AKL11" s="2">
        <v>34614.480000000003</v>
      </c>
      <c r="AKM11" s="2">
        <v>17402.740000000002</v>
      </c>
      <c r="AKN11" s="2">
        <v>11172.68</v>
      </c>
      <c r="AKO11" s="2">
        <v>40778.660000000003</v>
      </c>
      <c r="AKP11" s="2">
        <v>11246.61</v>
      </c>
      <c r="AKQ11" s="2">
        <v>27330.34</v>
      </c>
      <c r="AKR11" s="2">
        <v>48426.34</v>
      </c>
      <c r="AKS11" s="2">
        <v>7818.7</v>
      </c>
      <c r="AKT11" s="2">
        <v>47073.38</v>
      </c>
      <c r="AKU11" s="2">
        <v>9553.2099999999991</v>
      </c>
      <c r="AKV11" s="2">
        <v>28588.44</v>
      </c>
      <c r="AKW11" s="2">
        <v>19161.88</v>
      </c>
      <c r="AKX11" s="2">
        <v>48263.97</v>
      </c>
      <c r="AKY11" s="2">
        <v>14040.33</v>
      </c>
      <c r="AKZ11" s="2">
        <v>20283.07</v>
      </c>
      <c r="ALA11" s="2">
        <v>49151.58</v>
      </c>
      <c r="ALB11" s="2">
        <v>27055.279999999999</v>
      </c>
      <c r="ALC11" s="2">
        <v>25380.19</v>
      </c>
      <c r="ALD11" s="2">
        <v>13260.04</v>
      </c>
      <c r="ALE11" s="2">
        <v>35217.5</v>
      </c>
      <c r="ALF11" s="2">
        <v>1211.46</v>
      </c>
      <c r="ALG11" s="2">
        <v>2950.88</v>
      </c>
      <c r="ALH11" s="2">
        <v>30168.25</v>
      </c>
      <c r="ALI11" s="2">
        <v>17412.89</v>
      </c>
      <c r="ALJ11" s="2">
        <v>47689.16</v>
      </c>
      <c r="ALK11" s="2">
        <v>45207.94</v>
      </c>
      <c r="ALL11" s="2">
        <v>35828.46</v>
      </c>
      <c r="ALM11" s="2">
        <v>40998.21</v>
      </c>
    </row>
    <row r="12" spans="1:1001" ht="21" x14ac:dyDescent="0.3">
      <c r="A12" s="3" t="s">
        <v>11</v>
      </c>
      <c r="B12" s="2">
        <v>350.3</v>
      </c>
      <c r="C12" s="2">
        <v>106.51</v>
      </c>
      <c r="D12" s="2">
        <v>394.49</v>
      </c>
      <c r="E12" s="2">
        <v>144.59</v>
      </c>
      <c r="F12" s="2">
        <v>195.55</v>
      </c>
      <c r="G12" s="2">
        <v>418.66</v>
      </c>
      <c r="H12" s="2">
        <v>291.44</v>
      </c>
      <c r="I12" s="2">
        <v>436.97</v>
      </c>
      <c r="J12" s="2">
        <v>145.87</v>
      </c>
      <c r="K12" s="2">
        <v>323.5</v>
      </c>
      <c r="L12" s="2">
        <v>87.71</v>
      </c>
      <c r="M12" s="2">
        <v>339.38</v>
      </c>
      <c r="N12" s="2">
        <v>393.14</v>
      </c>
      <c r="O12" s="2">
        <v>313.22000000000003</v>
      </c>
      <c r="P12" s="2">
        <v>169.8</v>
      </c>
      <c r="Q12" s="2">
        <v>64.099999999999994</v>
      </c>
      <c r="R12" s="2">
        <v>103.75</v>
      </c>
      <c r="S12" s="2">
        <v>330.04</v>
      </c>
      <c r="T12" s="2">
        <v>470.49</v>
      </c>
      <c r="U12" s="2">
        <v>142.94</v>
      </c>
      <c r="V12" s="2">
        <v>380.76</v>
      </c>
      <c r="W12" s="2">
        <v>439.9</v>
      </c>
      <c r="X12" s="2">
        <v>284.39999999999998</v>
      </c>
      <c r="Y12" s="2">
        <v>351.17</v>
      </c>
      <c r="Z12" s="2">
        <v>416.76</v>
      </c>
      <c r="AA12" s="2">
        <v>167.3</v>
      </c>
      <c r="AB12" s="2">
        <v>183.6</v>
      </c>
      <c r="AC12" s="2">
        <v>50.28</v>
      </c>
      <c r="AD12" s="2">
        <v>483.39</v>
      </c>
      <c r="AE12" s="2">
        <v>462.9</v>
      </c>
      <c r="AF12" s="2">
        <v>394.06</v>
      </c>
      <c r="AG12" s="2">
        <v>85.58</v>
      </c>
      <c r="AH12" s="2">
        <v>251.38</v>
      </c>
      <c r="AI12" s="2">
        <v>95.85</v>
      </c>
      <c r="AJ12" s="2">
        <v>57.16</v>
      </c>
      <c r="AK12" s="2">
        <v>327.27999999999997</v>
      </c>
      <c r="AL12" s="2">
        <v>482.37</v>
      </c>
      <c r="AM12" s="2">
        <v>456.29</v>
      </c>
      <c r="AN12" s="2">
        <v>363.54</v>
      </c>
      <c r="AO12" s="2">
        <v>93.49</v>
      </c>
      <c r="AP12" s="2">
        <v>173.37</v>
      </c>
      <c r="AQ12" s="2">
        <v>194.03</v>
      </c>
      <c r="AR12" s="2">
        <v>393.42</v>
      </c>
      <c r="AS12" s="2">
        <v>411.01</v>
      </c>
      <c r="AT12" s="2">
        <v>223.3</v>
      </c>
      <c r="AU12" s="2">
        <v>238.05</v>
      </c>
      <c r="AV12" s="2">
        <v>70.03</v>
      </c>
      <c r="AW12" s="2">
        <v>180.11</v>
      </c>
      <c r="AX12" s="2">
        <v>253.08</v>
      </c>
      <c r="AY12" s="2">
        <v>102.64</v>
      </c>
      <c r="AZ12" s="2">
        <v>253.97</v>
      </c>
      <c r="BA12" s="2">
        <v>433.93</v>
      </c>
      <c r="BB12" s="2">
        <v>311.58999999999997</v>
      </c>
      <c r="BC12" s="2">
        <v>85.52</v>
      </c>
      <c r="BD12" s="2">
        <v>136.25</v>
      </c>
      <c r="BE12" s="2">
        <v>263.54000000000002</v>
      </c>
      <c r="BF12" s="2">
        <v>212.67</v>
      </c>
      <c r="BG12" s="2">
        <v>211.43</v>
      </c>
      <c r="BH12" s="2">
        <v>288.17</v>
      </c>
      <c r="BI12" s="2">
        <v>312.98</v>
      </c>
      <c r="BJ12" s="2">
        <v>408.59</v>
      </c>
      <c r="BK12" s="2">
        <v>203.43</v>
      </c>
      <c r="BL12" s="2">
        <v>412.46</v>
      </c>
      <c r="BM12" s="2">
        <v>202.38</v>
      </c>
      <c r="BN12" s="2">
        <v>74.94</v>
      </c>
      <c r="BO12" s="2">
        <v>299.38</v>
      </c>
      <c r="BP12" s="2">
        <v>314.56</v>
      </c>
      <c r="BQ12" s="2">
        <v>470.54</v>
      </c>
      <c r="BR12" s="2">
        <v>376.73</v>
      </c>
      <c r="BS12" s="2">
        <v>463</v>
      </c>
      <c r="BT12" s="2">
        <v>458.76</v>
      </c>
      <c r="BU12" s="2">
        <v>322.06</v>
      </c>
      <c r="BV12" s="2">
        <v>287.49</v>
      </c>
      <c r="BW12" s="2">
        <v>300.85000000000002</v>
      </c>
      <c r="BX12" s="2">
        <v>490.25</v>
      </c>
      <c r="BY12" s="2">
        <v>397.93</v>
      </c>
      <c r="BZ12" s="2">
        <v>97.82</v>
      </c>
      <c r="CA12" s="2">
        <v>400.29</v>
      </c>
      <c r="CB12" s="2">
        <v>126.74</v>
      </c>
      <c r="CC12" s="2">
        <v>251.31</v>
      </c>
      <c r="CD12" s="2">
        <v>144.71</v>
      </c>
      <c r="CE12" s="2">
        <v>360.31</v>
      </c>
      <c r="CF12" s="2">
        <v>444.79</v>
      </c>
      <c r="CG12" s="2">
        <v>180.66</v>
      </c>
      <c r="CH12" s="2">
        <v>86.9</v>
      </c>
      <c r="CI12" s="2">
        <v>184.32</v>
      </c>
      <c r="CJ12" s="2">
        <v>352.56</v>
      </c>
      <c r="CK12" s="2">
        <v>197.94</v>
      </c>
      <c r="CL12" s="2">
        <v>175.15</v>
      </c>
      <c r="CM12" s="2">
        <v>133</v>
      </c>
      <c r="CN12" s="2">
        <v>273.88</v>
      </c>
      <c r="CO12" s="2">
        <v>174.18</v>
      </c>
      <c r="CP12" s="2">
        <v>378.95</v>
      </c>
      <c r="CQ12" s="2">
        <v>84.48</v>
      </c>
      <c r="CR12" s="2">
        <v>348.81</v>
      </c>
      <c r="CS12" s="2">
        <v>156.9</v>
      </c>
      <c r="CT12" s="2">
        <v>270.18</v>
      </c>
      <c r="CU12" s="2">
        <v>178.74</v>
      </c>
      <c r="CV12" s="2">
        <v>375.25</v>
      </c>
      <c r="CW12" s="2">
        <v>475.39</v>
      </c>
      <c r="CX12" s="2">
        <v>462.68</v>
      </c>
      <c r="CY12" s="2">
        <v>312.54000000000002</v>
      </c>
      <c r="CZ12" s="2">
        <v>258.17</v>
      </c>
      <c r="DA12" s="2">
        <v>418.24</v>
      </c>
      <c r="DB12" s="2">
        <v>357.5</v>
      </c>
      <c r="DC12" s="2">
        <v>132.6</v>
      </c>
      <c r="DD12" s="2">
        <v>419.41</v>
      </c>
      <c r="DE12" s="2">
        <v>243</v>
      </c>
      <c r="DF12" s="2">
        <v>135.04</v>
      </c>
      <c r="DG12" s="2">
        <v>176.81</v>
      </c>
      <c r="DH12" s="2">
        <v>170.39</v>
      </c>
      <c r="DI12" s="2">
        <v>283.64</v>
      </c>
      <c r="DJ12" s="2">
        <v>155.47</v>
      </c>
      <c r="DK12" s="2">
        <v>105.6</v>
      </c>
      <c r="DL12" s="2">
        <v>105.66</v>
      </c>
      <c r="DM12" s="2">
        <v>312.47000000000003</v>
      </c>
      <c r="DN12" s="2">
        <v>380.64</v>
      </c>
      <c r="DO12" s="2">
        <v>194.69</v>
      </c>
      <c r="DP12" s="2">
        <v>65.59</v>
      </c>
      <c r="DQ12" s="2">
        <v>107.25</v>
      </c>
      <c r="DR12" s="2">
        <v>461.61</v>
      </c>
      <c r="DS12" s="2">
        <v>272.08999999999997</v>
      </c>
      <c r="DT12" s="2">
        <v>254.11</v>
      </c>
      <c r="DU12" s="2">
        <v>67.12</v>
      </c>
      <c r="DV12" s="2">
        <v>377.89</v>
      </c>
      <c r="DW12" s="2">
        <v>287.63</v>
      </c>
      <c r="DX12" s="2">
        <v>140.94</v>
      </c>
      <c r="DY12" s="2">
        <v>99.53</v>
      </c>
      <c r="DZ12" s="2">
        <v>222.52</v>
      </c>
      <c r="EA12" s="2">
        <v>426.72</v>
      </c>
      <c r="EB12" s="2">
        <v>439.38</v>
      </c>
      <c r="EC12" s="2">
        <v>321.27999999999997</v>
      </c>
      <c r="ED12" s="2">
        <v>377.39</v>
      </c>
      <c r="EE12" s="2">
        <v>101.82</v>
      </c>
      <c r="EF12" s="2">
        <v>314.66000000000003</v>
      </c>
      <c r="EG12" s="2">
        <v>350.13</v>
      </c>
      <c r="EH12" s="2">
        <v>140.32</v>
      </c>
      <c r="EI12" s="2">
        <v>446.07</v>
      </c>
      <c r="EJ12" s="2">
        <v>137.75</v>
      </c>
      <c r="EK12" s="2">
        <v>191.06</v>
      </c>
      <c r="EL12" s="2">
        <v>329.25</v>
      </c>
      <c r="EM12" s="2">
        <v>337.26</v>
      </c>
      <c r="EN12" s="2">
        <v>364.72</v>
      </c>
      <c r="EO12" s="2">
        <v>100.41</v>
      </c>
      <c r="EP12" s="2">
        <v>432.26</v>
      </c>
      <c r="EQ12" s="2">
        <v>289.77999999999997</v>
      </c>
      <c r="ER12" s="2">
        <v>262.08999999999997</v>
      </c>
      <c r="ES12" s="2">
        <v>491.49</v>
      </c>
      <c r="ET12" s="2">
        <v>383.17</v>
      </c>
      <c r="EU12" s="2">
        <v>103.1</v>
      </c>
      <c r="EV12" s="2">
        <v>390.44</v>
      </c>
      <c r="EW12" s="2">
        <v>92.86</v>
      </c>
      <c r="EX12" s="2">
        <v>62.36</v>
      </c>
      <c r="EY12" s="2">
        <v>231.63</v>
      </c>
      <c r="EZ12" s="2">
        <v>497.11</v>
      </c>
      <c r="FA12" s="2">
        <v>128.69999999999999</v>
      </c>
      <c r="FB12" s="2">
        <v>352.69</v>
      </c>
      <c r="FC12" s="2">
        <v>128.03</v>
      </c>
      <c r="FD12" s="2">
        <v>376.15</v>
      </c>
      <c r="FE12" s="2">
        <v>277.41000000000003</v>
      </c>
      <c r="FF12" s="2">
        <v>355.99</v>
      </c>
      <c r="FG12" s="2">
        <v>141.29</v>
      </c>
      <c r="FH12" s="2">
        <v>385.53</v>
      </c>
      <c r="FI12" s="2">
        <v>498.03</v>
      </c>
      <c r="FJ12" s="2">
        <v>349.54</v>
      </c>
      <c r="FK12" s="2">
        <v>272.07</v>
      </c>
      <c r="FL12" s="2">
        <v>465.43</v>
      </c>
      <c r="FM12" s="2">
        <v>57.13</v>
      </c>
      <c r="FN12" s="2">
        <v>378.47</v>
      </c>
      <c r="FO12" s="2">
        <v>449.94</v>
      </c>
      <c r="FP12" s="2">
        <v>77.75</v>
      </c>
      <c r="FQ12" s="2">
        <v>252.53</v>
      </c>
      <c r="FR12" s="2">
        <v>142.12</v>
      </c>
      <c r="FS12" s="2">
        <v>304.93</v>
      </c>
      <c r="FT12" s="2">
        <v>342.29</v>
      </c>
      <c r="FU12" s="2">
        <v>186.18</v>
      </c>
      <c r="FV12" s="2">
        <v>256.99</v>
      </c>
      <c r="FW12" s="2">
        <v>175.7</v>
      </c>
      <c r="FX12" s="2">
        <v>216.23</v>
      </c>
      <c r="FY12" s="2">
        <v>121.79</v>
      </c>
      <c r="FZ12" s="2">
        <v>448.5</v>
      </c>
      <c r="GA12" s="2">
        <v>54.5</v>
      </c>
      <c r="GB12" s="2">
        <v>447.08</v>
      </c>
      <c r="GC12" s="2">
        <v>307.26</v>
      </c>
      <c r="GD12" s="2">
        <v>199.25</v>
      </c>
      <c r="GE12" s="2">
        <v>375.38</v>
      </c>
      <c r="GF12" s="2">
        <v>278.49</v>
      </c>
      <c r="GG12" s="2">
        <v>274.60000000000002</v>
      </c>
      <c r="GH12" s="2">
        <v>99.56</v>
      </c>
      <c r="GI12" s="2">
        <v>225.28</v>
      </c>
      <c r="GJ12" s="2">
        <v>158.47999999999999</v>
      </c>
      <c r="GK12" s="2">
        <v>57.06</v>
      </c>
      <c r="GL12" s="2">
        <v>212.04</v>
      </c>
      <c r="GM12" s="2">
        <v>90.42</v>
      </c>
      <c r="GN12" s="2">
        <v>165.57</v>
      </c>
      <c r="GO12" s="2">
        <v>91.63</v>
      </c>
      <c r="GP12" s="2">
        <v>95.42</v>
      </c>
      <c r="GQ12" s="2">
        <v>139.56</v>
      </c>
      <c r="GR12" s="2">
        <v>499.93</v>
      </c>
      <c r="GS12" s="2">
        <v>50.98</v>
      </c>
      <c r="GT12" s="2">
        <v>337.4</v>
      </c>
      <c r="GU12" s="2">
        <v>113.56</v>
      </c>
      <c r="GV12" s="2">
        <v>464.28</v>
      </c>
      <c r="GW12" s="2">
        <v>92.13</v>
      </c>
      <c r="GX12" s="2">
        <v>479.78</v>
      </c>
      <c r="GY12" s="2">
        <v>324.92</v>
      </c>
      <c r="GZ12" s="2">
        <v>50.57</v>
      </c>
      <c r="HA12" s="2">
        <v>452.3</v>
      </c>
      <c r="HB12" s="2">
        <v>284.77</v>
      </c>
      <c r="HC12" s="2">
        <v>168.2</v>
      </c>
      <c r="HD12" s="2">
        <v>395.28</v>
      </c>
      <c r="HE12" s="2">
        <v>467</v>
      </c>
      <c r="HF12" s="2">
        <v>267.66000000000003</v>
      </c>
      <c r="HG12" s="2">
        <v>192</v>
      </c>
      <c r="HH12" s="2">
        <v>405.03</v>
      </c>
      <c r="HI12" s="2">
        <v>356.8</v>
      </c>
      <c r="HJ12" s="2">
        <v>449.94</v>
      </c>
      <c r="HK12" s="2">
        <v>361.63</v>
      </c>
      <c r="HL12" s="2">
        <v>159.59</v>
      </c>
      <c r="HM12" s="2">
        <v>469.25</v>
      </c>
      <c r="HN12" s="2">
        <v>97.18</v>
      </c>
      <c r="HO12" s="2">
        <v>170.57</v>
      </c>
      <c r="HP12" s="2">
        <v>284.08999999999997</v>
      </c>
      <c r="HQ12" s="2">
        <v>304.58</v>
      </c>
      <c r="HR12" s="2">
        <v>56.89</v>
      </c>
      <c r="HS12" s="2">
        <v>401.26</v>
      </c>
      <c r="HT12" s="2">
        <v>212.72</v>
      </c>
      <c r="HU12" s="2">
        <v>232.89</v>
      </c>
      <c r="HV12" s="2">
        <v>414.22</v>
      </c>
      <c r="HW12" s="2">
        <v>220.68</v>
      </c>
      <c r="HX12" s="2">
        <v>71.25</v>
      </c>
      <c r="HY12" s="2">
        <v>129.4</v>
      </c>
      <c r="HZ12" s="2">
        <v>480.16</v>
      </c>
      <c r="IA12" s="2">
        <v>81.680000000000007</v>
      </c>
      <c r="IB12" s="2">
        <v>209.72</v>
      </c>
      <c r="IC12" s="2">
        <v>276.43</v>
      </c>
      <c r="ID12" s="2">
        <v>271.98</v>
      </c>
      <c r="IE12" s="2">
        <v>51.78</v>
      </c>
      <c r="IF12" s="2">
        <v>275.52</v>
      </c>
      <c r="IG12" s="2">
        <v>222.7</v>
      </c>
      <c r="IH12" s="2">
        <v>487.44</v>
      </c>
      <c r="II12" s="2">
        <v>121.62</v>
      </c>
      <c r="IJ12" s="2">
        <v>209.37</v>
      </c>
      <c r="IK12" s="2">
        <v>238.77</v>
      </c>
      <c r="IL12" s="2">
        <v>225.81</v>
      </c>
      <c r="IM12" s="2">
        <v>349.62</v>
      </c>
      <c r="IN12" s="2">
        <v>146.97999999999999</v>
      </c>
      <c r="IO12" s="2">
        <v>149.47999999999999</v>
      </c>
      <c r="IP12" s="2">
        <v>378.14</v>
      </c>
      <c r="IQ12" s="2">
        <v>275.13</v>
      </c>
      <c r="IR12" s="2">
        <v>236.82</v>
      </c>
      <c r="IS12" s="2">
        <v>126.14</v>
      </c>
      <c r="IT12" s="2">
        <v>134.38999999999999</v>
      </c>
      <c r="IU12" s="2">
        <v>54.75</v>
      </c>
      <c r="IV12" s="2">
        <v>91.14</v>
      </c>
      <c r="IW12" s="2">
        <v>300.58</v>
      </c>
      <c r="IX12" s="2">
        <v>451.34</v>
      </c>
      <c r="IY12" s="2">
        <v>179.22</v>
      </c>
      <c r="IZ12" s="2">
        <v>197.49</v>
      </c>
      <c r="JA12" s="2">
        <v>102.02</v>
      </c>
      <c r="JB12" s="2">
        <v>224.88</v>
      </c>
      <c r="JC12" s="2">
        <v>66.75</v>
      </c>
      <c r="JD12" s="2">
        <v>462.92</v>
      </c>
      <c r="JE12" s="2">
        <v>352.9</v>
      </c>
      <c r="JF12" s="2">
        <v>495.84</v>
      </c>
      <c r="JG12" s="2">
        <v>447.27</v>
      </c>
      <c r="JH12" s="2">
        <v>262.85000000000002</v>
      </c>
      <c r="JI12" s="2">
        <v>283.86</v>
      </c>
      <c r="JJ12" s="2">
        <v>135.76</v>
      </c>
      <c r="JK12" s="2">
        <v>257.92</v>
      </c>
      <c r="JL12" s="2">
        <v>456.36</v>
      </c>
      <c r="JM12" s="2">
        <v>72.88</v>
      </c>
      <c r="JN12" s="2">
        <v>438.6</v>
      </c>
      <c r="JO12" s="2">
        <v>203.43</v>
      </c>
      <c r="JP12" s="2">
        <v>454.78</v>
      </c>
      <c r="JQ12" s="2">
        <v>473.4</v>
      </c>
      <c r="JR12" s="2">
        <v>351.89</v>
      </c>
      <c r="JS12" s="2">
        <v>348.99</v>
      </c>
      <c r="JT12" s="2">
        <v>253.74</v>
      </c>
      <c r="JU12" s="2">
        <v>425.99</v>
      </c>
      <c r="JV12" s="2">
        <v>482.73</v>
      </c>
      <c r="JW12" s="2">
        <v>398.79</v>
      </c>
      <c r="JX12" s="2">
        <v>329.87</v>
      </c>
      <c r="JY12" s="2">
        <v>323.06</v>
      </c>
      <c r="JZ12" s="2">
        <v>432.26</v>
      </c>
      <c r="KA12" s="2">
        <v>293.54000000000002</v>
      </c>
      <c r="KB12" s="2">
        <v>411.74</v>
      </c>
      <c r="KC12" s="2">
        <v>279</v>
      </c>
      <c r="KD12" s="2">
        <v>78.099999999999994</v>
      </c>
      <c r="KE12" s="2">
        <v>222.78</v>
      </c>
      <c r="KF12" s="2">
        <v>250</v>
      </c>
      <c r="KG12" s="2">
        <v>113.73</v>
      </c>
      <c r="KH12" s="2">
        <v>96.12</v>
      </c>
      <c r="KI12" s="2">
        <v>290.95999999999998</v>
      </c>
      <c r="KJ12" s="2">
        <v>88.31</v>
      </c>
      <c r="KK12" s="2">
        <v>186.33</v>
      </c>
      <c r="KL12" s="2">
        <v>385.07</v>
      </c>
      <c r="KM12" s="2">
        <v>483.99</v>
      </c>
      <c r="KN12" s="2">
        <v>373.04</v>
      </c>
      <c r="KO12" s="2">
        <v>496.68</v>
      </c>
      <c r="KP12" s="2">
        <v>364.25</v>
      </c>
      <c r="KQ12" s="2">
        <v>182.21</v>
      </c>
      <c r="KR12" s="2">
        <v>352.42</v>
      </c>
      <c r="KS12" s="2">
        <v>365.97</v>
      </c>
      <c r="KT12" s="2">
        <v>217.28</v>
      </c>
      <c r="KU12" s="2">
        <v>57.97</v>
      </c>
      <c r="KV12" s="2">
        <v>366.44</v>
      </c>
      <c r="KW12" s="2">
        <v>59.77</v>
      </c>
      <c r="KX12" s="2">
        <v>334.03</v>
      </c>
      <c r="KY12" s="2">
        <v>123.63</v>
      </c>
      <c r="KZ12" s="2">
        <v>304.52</v>
      </c>
      <c r="LA12" s="2">
        <v>276.76</v>
      </c>
      <c r="LB12" s="2">
        <v>56.08</v>
      </c>
      <c r="LC12" s="2">
        <v>213.29</v>
      </c>
      <c r="LD12" s="2">
        <v>320.49</v>
      </c>
      <c r="LE12" s="2">
        <v>431.87</v>
      </c>
      <c r="LF12" s="2">
        <v>449.89</v>
      </c>
      <c r="LG12" s="2">
        <v>267.73</v>
      </c>
      <c r="LH12" s="2">
        <v>377.79</v>
      </c>
      <c r="LI12" s="2">
        <v>192.4</v>
      </c>
      <c r="LJ12" s="2">
        <v>203.98</v>
      </c>
      <c r="LK12" s="2">
        <v>137.51</v>
      </c>
      <c r="LL12" s="2">
        <v>302.88</v>
      </c>
      <c r="LM12" s="2">
        <v>191.55</v>
      </c>
      <c r="LN12" s="2">
        <v>87.97</v>
      </c>
      <c r="LO12" s="2">
        <v>358.25</v>
      </c>
      <c r="LP12" s="2">
        <v>368.49</v>
      </c>
      <c r="LQ12" s="2">
        <v>212</v>
      </c>
      <c r="LR12" s="2">
        <v>84.53</v>
      </c>
      <c r="LS12" s="2">
        <v>241.83</v>
      </c>
      <c r="LT12" s="2">
        <v>249.05</v>
      </c>
      <c r="LU12" s="2">
        <v>350.9</v>
      </c>
      <c r="LV12" s="2">
        <v>191.94</v>
      </c>
      <c r="LW12" s="2">
        <v>357.17</v>
      </c>
      <c r="LX12" s="2">
        <v>442.17</v>
      </c>
      <c r="LY12" s="2">
        <v>156.87</v>
      </c>
      <c r="LZ12" s="2">
        <v>490.51</v>
      </c>
      <c r="MA12" s="2">
        <v>223.87</v>
      </c>
      <c r="MB12" s="2">
        <v>170.27</v>
      </c>
      <c r="MC12" s="2">
        <v>239.68</v>
      </c>
      <c r="MD12" s="2">
        <v>92.48</v>
      </c>
      <c r="ME12" s="2">
        <v>106.57</v>
      </c>
      <c r="MF12" s="2">
        <v>236.5</v>
      </c>
      <c r="MG12" s="2">
        <v>393.1</v>
      </c>
      <c r="MH12" s="2">
        <v>455.14</v>
      </c>
      <c r="MI12" s="2">
        <v>349.17</v>
      </c>
      <c r="MJ12" s="2">
        <v>97.35</v>
      </c>
      <c r="MK12" s="2">
        <v>352.41</v>
      </c>
      <c r="ML12" s="2">
        <v>335.94</v>
      </c>
      <c r="MM12" s="2">
        <v>412.59</v>
      </c>
      <c r="MN12" s="2">
        <v>421.36</v>
      </c>
      <c r="MO12" s="2">
        <v>440.69</v>
      </c>
      <c r="MP12" s="2">
        <v>236.36</v>
      </c>
      <c r="MQ12" s="2">
        <v>364.04</v>
      </c>
      <c r="MR12" s="2">
        <v>170.71</v>
      </c>
      <c r="MS12" s="2">
        <v>499.7</v>
      </c>
      <c r="MT12" s="2">
        <v>128.9</v>
      </c>
      <c r="MU12" s="2">
        <v>54.55</v>
      </c>
      <c r="MV12" s="2">
        <v>116.96</v>
      </c>
      <c r="MW12" s="2">
        <v>399.14</v>
      </c>
      <c r="MX12" s="2">
        <v>251.05</v>
      </c>
      <c r="MY12" s="2">
        <v>251.38</v>
      </c>
      <c r="MZ12" s="2">
        <v>479.76</v>
      </c>
      <c r="NA12" s="2">
        <v>463.84</v>
      </c>
      <c r="NB12" s="2">
        <v>190.04</v>
      </c>
      <c r="NC12" s="2">
        <v>144.08000000000001</v>
      </c>
      <c r="ND12" s="2">
        <v>431.82</v>
      </c>
      <c r="NE12" s="2">
        <v>457.71</v>
      </c>
      <c r="NF12" s="2">
        <v>293.72000000000003</v>
      </c>
      <c r="NG12" s="2">
        <v>333.24</v>
      </c>
      <c r="NH12" s="2">
        <v>165.61</v>
      </c>
      <c r="NI12" s="2">
        <v>410.36</v>
      </c>
      <c r="NJ12" s="2">
        <v>334.46</v>
      </c>
      <c r="NK12" s="2">
        <v>276.58</v>
      </c>
      <c r="NL12" s="2">
        <v>77.05</v>
      </c>
      <c r="NM12" s="2">
        <v>462.17</v>
      </c>
      <c r="NN12" s="2">
        <v>326.95</v>
      </c>
      <c r="NO12" s="2">
        <v>136.71</v>
      </c>
      <c r="NP12" s="2">
        <v>322.87</v>
      </c>
      <c r="NQ12" s="2">
        <v>354.86</v>
      </c>
      <c r="NR12" s="2">
        <v>286.60000000000002</v>
      </c>
      <c r="NS12" s="2">
        <v>373.15</v>
      </c>
      <c r="NT12" s="2">
        <v>311.64999999999998</v>
      </c>
      <c r="NU12" s="2">
        <v>476.5</v>
      </c>
      <c r="NV12" s="2">
        <v>74.16</v>
      </c>
      <c r="NW12" s="2">
        <v>97.81</v>
      </c>
      <c r="NX12" s="2">
        <v>128.15</v>
      </c>
      <c r="NY12" s="2">
        <v>360.58</v>
      </c>
      <c r="NZ12" s="2">
        <v>340.52</v>
      </c>
      <c r="OA12" s="2">
        <v>451.43</v>
      </c>
      <c r="OB12" s="2">
        <v>379.79</v>
      </c>
      <c r="OC12" s="2">
        <v>278.76</v>
      </c>
      <c r="OD12" s="2">
        <v>496.32</v>
      </c>
      <c r="OE12" s="2">
        <v>169.75</v>
      </c>
      <c r="OF12" s="2">
        <v>424.94</v>
      </c>
      <c r="OG12" s="2">
        <v>242.06</v>
      </c>
      <c r="OH12" s="2">
        <v>341.93</v>
      </c>
      <c r="OI12" s="2">
        <v>377.27</v>
      </c>
      <c r="OJ12" s="2">
        <v>335.19</v>
      </c>
      <c r="OK12" s="2">
        <v>113.23</v>
      </c>
      <c r="OL12" s="2">
        <v>249.33</v>
      </c>
      <c r="OM12" s="2">
        <v>302.64999999999998</v>
      </c>
      <c r="ON12" s="2">
        <v>432.07</v>
      </c>
      <c r="OO12" s="2">
        <v>249.64</v>
      </c>
      <c r="OP12" s="2">
        <v>463.44</v>
      </c>
      <c r="OQ12" s="2">
        <v>248.17</v>
      </c>
      <c r="OR12" s="2">
        <v>296.95</v>
      </c>
      <c r="OS12" s="2">
        <v>408.33</v>
      </c>
      <c r="OT12" s="2">
        <v>312.38</v>
      </c>
      <c r="OU12" s="2">
        <v>482.1</v>
      </c>
      <c r="OV12" s="2">
        <v>347.15</v>
      </c>
      <c r="OW12" s="2">
        <v>285.22000000000003</v>
      </c>
      <c r="OX12" s="2">
        <v>60.62</v>
      </c>
      <c r="OY12" s="2">
        <v>236.18</v>
      </c>
      <c r="OZ12" s="2">
        <v>184.66</v>
      </c>
      <c r="PA12" s="2">
        <v>386.65</v>
      </c>
      <c r="PB12" s="2">
        <v>143.72</v>
      </c>
      <c r="PC12" s="2">
        <v>142.35</v>
      </c>
      <c r="PD12" s="2">
        <v>135.28</v>
      </c>
      <c r="PE12" s="2">
        <v>106.53</v>
      </c>
      <c r="PF12" s="2">
        <v>189.95</v>
      </c>
      <c r="PG12" s="2">
        <v>448.66</v>
      </c>
      <c r="PH12" s="2">
        <v>398.72</v>
      </c>
      <c r="PI12" s="2">
        <v>380.86</v>
      </c>
      <c r="PJ12" s="2">
        <v>408.8</v>
      </c>
      <c r="PK12" s="2">
        <v>171.24</v>
      </c>
      <c r="PL12" s="2">
        <v>449.35</v>
      </c>
      <c r="PM12" s="2">
        <v>111.79</v>
      </c>
      <c r="PN12" s="2">
        <v>201.36</v>
      </c>
      <c r="PO12" s="2">
        <v>314.04000000000002</v>
      </c>
      <c r="PP12" s="2">
        <v>96.31</v>
      </c>
      <c r="PQ12" s="2">
        <v>378.56</v>
      </c>
      <c r="PR12" s="2">
        <v>224.26</v>
      </c>
      <c r="PS12" s="2">
        <v>402.98</v>
      </c>
      <c r="PT12" s="2">
        <v>271.8</v>
      </c>
      <c r="PU12" s="2">
        <v>131.38999999999999</v>
      </c>
      <c r="PV12" s="2">
        <v>380.64</v>
      </c>
      <c r="PW12" s="2">
        <v>163.46</v>
      </c>
      <c r="PX12" s="2">
        <v>270.86</v>
      </c>
      <c r="PY12" s="2">
        <v>83.99</v>
      </c>
      <c r="PZ12" s="2">
        <v>328.04</v>
      </c>
      <c r="QA12" s="2">
        <v>349.64</v>
      </c>
      <c r="QB12" s="2">
        <v>220.4</v>
      </c>
      <c r="QC12" s="2">
        <v>479.49</v>
      </c>
      <c r="QD12" s="2">
        <v>443.38</v>
      </c>
      <c r="QE12" s="2">
        <v>368.57</v>
      </c>
      <c r="QF12" s="2">
        <v>371.14</v>
      </c>
      <c r="QG12" s="2">
        <v>163.58000000000001</v>
      </c>
      <c r="QH12" s="2">
        <v>345.57</v>
      </c>
      <c r="QI12" s="2">
        <v>139.19</v>
      </c>
      <c r="QJ12" s="2">
        <v>114.8</v>
      </c>
      <c r="QK12" s="2">
        <v>499.76</v>
      </c>
      <c r="QL12" s="2">
        <v>330.07</v>
      </c>
      <c r="QM12" s="2">
        <v>243.94</v>
      </c>
      <c r="QN12" s="2">
        <v>179.67</v>
      </c>
      <c r="QO12" s="2">
        <v>321.76</v>
      </c>
      <c r="QP12" s="2">
        <v>72.319999999999993</v>
      </c>
      <c r="QQ12" s="2">
        <v>92.61</v>
      </c>
      <c r="QR12" s="2">
        <v>64.790000000000006</v>
      </c>
      <c r="QS12" s="2">
        <v>274.63</v>
      </c>
      <c r="QT12" s="2">
        <v>320.27</v>
      </c>
      <c r="QU12" s="2">
        <v>78.12</v>
      </c>
      <c r="QV12" s="2">
        <v>374.55</v>
      </c>
      <c r="QW12" s="2">
        <v>153.68</v>
      </c>
      <c r="QX12" s="2">
        <v>358.34</v>
      </c>
      <c r="QY12" s="2">
        <v>491.85</v>
      </c>
      <c r="QZ12" s="2">
        <v>361</v>
      </c>
      <c r="RA12" s="2">
        <v>447.44</v>
      </c>
      <c r="RB12" s="2">
        <v>476.69</v>
      </c>
      <c r="RC12" s="2">
        <v>269.04000000000002</v>
      </c>
      <c r="RD12" s="2">
        <v>366.05</v>
      </c>
      <c r="RE12" s="2">
        <v>433.39</v>
      </c>
      <c r="RF12" s="2">
        <v>210.47</v>
      </c>
      <c r="RG12" s="2">
        <v>167.63</v>
      </c>
      <c r="RH12" s="2">
        <v>475.97</v>
      </c>
      <c r="RI12" s="2">
        <v>376.84</v>
      </c>
      <c r="RJ12" s="2">
        <v>148.86000000000001</v>
      </c>
      <c r="RK12" s="2">
        <v>252.09</v>
      </c>
      <c r="RL12" s="2">
        <v>408.4</v>
      </c>
      <c r="RM12" s="2">
        <v>296.18</v>
      </c>
      <c r="RN12" s="2">
        <v>342.48</v>
      </c>
      <c r="RO12" s="2">
        <v>389.2</v>
      </c>
      <c r="RP12" s="2">
        <v>329.9</v>
      </c>
      <c r="RQ12" s="2">
        <v>293.04000000000002</v>
      </c>
      <c r="RR12" s="2">
        <v>387.33</v>
      </c>
      <c r="RS12" s="2">
        <v>377.4</v>
      </c>
      <c r="RT12" s="2">
        <v>333.44</v>
      </c>
      <c r="RU12" s="2">
        <v>211.91</v>
      </c>
      <c r="RV12" s="2">
        <v>232.62</v>
      </c>
      <c r="RW12" s="2">
        <v>486.7</v>
      </c>
      <c r="RX12" s="2">
        <v>100.57</v>
      </c>
      <c r="RY12" s="2">
        <v>170.83</v>
      </c>
      <c r="RZ12" s="2">
        <v>271.58</v>
      </c>
      <c r="SA12" s="2">
        <v>426.53</v>
      </c>
      <c r="SB12" s="2">
        <v>123.65</v>
      </c>
      <c r="SC12" s="2">
        <v>174.63</v>
      </c>
      <c r="SD12" s="2">
        <v>79.61</v>
      </c>
      <c r="SE12" s="2">
        <v>367.69</v>
      </c>
      <c r="SF12" s="2">
        <v>157.19</v>
      </c>
      <c r="SG12" s="2">
        <v>224.9</v>
      </c>
      <c r="SH12" s="2">
        <v>249.67</v>
      </c>
      <c r="SI12" s="2">
        <v>451.09</v>
      </c>
      <c r="SJ12" s="2">
        <v>235.1</v>
      </c>
      <c r="SK12" s="2">
        <v>115.35</v>
      </c>
      <c r="SL12" s="2">
        <v>285.94</v>
      </c>
      <c r="SM12" s="2">
        <v>483.33</v>
      </c>
      <c r="SN12" s="2">
        <v>323.45999999999998</v>
      </c>
      <c r="SO12" s="2">
        <v>492.52</v>
      </c>
      <c r="SP12" s="2">
        <v>428.5</v>
      </c>
      <c r="SQ12" s="2">
        <v>66.180000000000007</v>
      </c>
      <c r="SR12" s="2">
        <v>346.28</v>
      </c>
      <c r="SS12" s="2">
        <v>179.05</v>
      </c>
      <c r="ST12" s="2">
        <v>301.83</v>
      </c>
      <c r="SU12" s="2">
        <v>175.71</v>
      </c>
      <c r="SV12" s="2">
        <v>206.99</v>
      </c>
      <c r="SW12" s="2">
        <v>465.43</v>
      </c>
      <c r="SX12" s="2">
        <v>142.99</v>
      </c>
      <c r="SY12" s="2">
        <v>443.35</v>
      </c>
      <c r="SZ12" s="2">
        <v>63.71</v>
      </c>
      <c r="TA12" s="2">
        <v>90.89</v>
      </c>
      <c r="TB12" s="2">
        <v>434.6</v>
      </c>
      <c r="TC12" s="2">
        <v>333.75</v>
      </c>
      <c r="TD12" s="2">
        <v>386.26</v>
      </c>
      <c r="TE12" s="2">
        <v>144.24</v>
      </c>
      <c r="TF12" s="2">
        <v>291.69</v>
      </c>
      <c r="TG12" s="2">
        <v>381.75</v>
      </c>
      <c r="TH12" s="2">
        <v>332.29</v>
      </c>
      <c r="TI12" s="2">
        <v>262.26</v>
      </c>
      <c r="TJ12" s="2">
        <v>481.9</v>
      </c>
      <c r="TK12" s="2">
        <v>354.27</v>
      </c>
      <c r="TL12" s="2">
        <v>458.49</v>
      </c>
      <c r="TM12" s="2">
        <v>378.4</v>
      </c>
      <c r="TN12" s="2">
        <v>380.96</v>
      </c>
      <c r="TO12" s="2">
        <v>86.01</v>
      </c>
      <c r="TP12" s="2">
        <v>211.76</v>
      </c>
      <c r="TQ12" s="2">
        <v>436.27</v>
      </c>
      <c r="TR12" s="2">
        <v>154.66999999999999</v>
      </c>
      <c r="TS12" s="2">
        <v>101.98</v>
      </c>
      <c r="TT12" s="2">
        <v>196.75</v>
      </c>
      <c r="TU12" s="2">
        <v>149.19999999999999</v>
      </c>
      <c r="TV12" s="2">
        <v>466.38</v>
      </c>
      <c r="TW12" s="2">
        <v>440.58</v>
      </c>
      <c r="TX12" s="2">
        <v>274.86</v>
      </c>
      <c r="TY12" s="2">
        <v>77.599999999999994</v>
      </c>
      <c r="TZ12" s="2">
        <v>371.55</v>
      </c>
      <c r="UA12" s="2">
        <v>330.54</v>
      </c>
      <c r="UB12" s="2">
        <v>486.75</v>
      </c>
      <c r="UC12" s="2">
        <v>301.52999999999997</v>
      </c>
      <c r="UD12" s="2">
        <v>201.38</v>
      </c>
      <c r="UE12" s="2">
        <v>283.56</v>
      </c>
      <c r="UF12" s="2">
        <v>490.67</v>
      </c>
      <c r="UG12" s="2">
        <v>363.36</v>
      </c>
      <c r="UH12" s="2">
        <v>352.39</v>
      </c>
      <c r="UI12" s="2">
        <v>158.31</v>
      </c>
      <c r="UJ12" s="2">
        <v>384.62</v>
      </c>
      <c r="UK12" s="2">
        <v>387.62</v>
      </c>
      <c r="UL12" s="2">
        <v>192.78</v>
      </c>
      <c r="UM12" s="2">
        <v>267.67</v>
      </c>
      <c r="UN12" s="2">
        <v>182.57</v>
      </c>
      <c r="UO12" s="2">
        <v>166.42</v>
      </c>
      <c r="UP12" s="2">
        <v>61.65</v>
      </c>
      <c r="UQ12" s="2">
        <v>178.35</v>
      </c>
      <c r="UR12" s="2">
        <v>299.29000000000002</v>
      </c>
      <c r="US12" s="2">
        <v>50.72</v>
      </c>
      <c r="UT12" s="2">
        <v>177.45</v>
      </c>
      <c r="UU12" s="2">
        <v>446.63</v>
      </c>
      <c r="UV12" s="2">
        <v>317.14</v>
      </c>
      <c r="UW12" s="2">
        <v>323.54000000000002</v>
      </c>
      <c r="UX12" s="2">
        <v>231.51</v>
      </c>
      <c r="UY12" s="2">
        <v>354.41</v>
      </c>
      <c r="UZ12" s="2">
        <v>135.47</v>
      </c>
      <c r="VA12" s="2">
        <v>418.44</v>
      </c>
      <c r="VB12" s="2">
        <v>102.51</v>
      </c>
      <c r="VC12" s="2">
        <v>345.2</v>
      </c>
      <c r="VD12" s="2">
        <v>203.52</v>
      </c>
      <c r="VE12" s="2">
        <v>386.38</v>
      </c>
      <c r="VF12" s="2">
        <v>297.39</v>
      </c>
      <c r="VG12" s="2">
        <v>253.56</v>
      </c>
      <c r="VH12" s="2">
        <v>126.24</v>
      </c>
      <c r="VI12" s="2">
        <v>336.57</v>
      </c>
      <c r="VJ12" s="2">
        <v>488.65</v>
      </c>
      <c r="VK12" s="2">
        <v>421.52</v>
      </c>
      <c r="VL12" s="2">
        <v>77</v>
      </c>
      <c r="VM12" s="2">
        <v>219.3</v>
      </c>
      <c r="VN12" s="2">
        <v>466.51</v>
      </c>
      <c r="VO12" s="2">
        <v>276.37</v>
      </c>
      <c r="VP12" s="2">
        <v>347.95</v>
      </c>
      <c r="VQ12" s="2">
        <v>460.67</v>
      </c>
      <c r="VR12" s="2">
        <v>443.21</v>
      </c>
      <c r="VS12" s="2">
        <v>275.82</v>
      </c>
      <c r="VT12" s="2">
        <v>246.94</v>
      </c>
      <c r="VU12" s="2">
        <v>202.86</v>
      </c>
      <c r="VV12" s="2">
        <v>373.56</v>
      </c>
      <c r="VW12" s="2">
        <v>179.14</v>
      </c>
      <c r="VX12" s="2">
        <v>162.44999999999999</v>
      </c>
      <c r="VY12" s="2">
        <v>210.31</v>
      </c>
      <c r="VZ12" s="2">
        <v>129.75</v>
      </c>
      <c r="WA12" s="2">
        <v>362.8</v>
      </c>
      <c r="WB12" s="2">
        <v>327.31</v>
      </c>
      <c r="WC12" s="2">
        <v>267.3</v>
      </c>
      <c r="WD12" s="2">
        <v>225.65</v>
      </c>
      <c r="WE12" s="2">
        <v>459.08</v>
      </c>
      <c r="WF12" s="2">
        <v>63.11</v>
      </c>
      <c r="WG12" s="2">
        <v>396.1</v>
      </c>
      <c r="WH12" s="2">
        <v>455.86</v>
      </c>
      <c r="WI12" s="2">
        <v>250.86</v>
      </c>
      <c r="WJ12" s="2">
        <v>297.81</v>
      </c>
      <c r="WK12" s="2">
        <v>475.01</v>
      </c>
      <c r="WL12" s="2">
        <v>145.52000000000001</v>
      </c>
      <c r="WM12" s="2">
        <v>284.06</v>
      </c>
      <c r="WN12" s="2">
        <v>263.62</v>
      </c>
      <c r="WO12" s="2">
        <v>166.28</v>
      </c>
      <c r="WP12" s="2">
        <v>418.37</v>
      </c>
      <c r="WQ12" s="2">
        <v>454.82</v>
      </c>
      <c r="WR12" s="2">
        <v>401.87</v>
      </c>
      <c r="WS12" s="2">
        <v>137.91</v>
      </c>
      <c r="WT12" s="2">
        <v>89.04</v>
      </c>
      <c r="WU12" s="2">
        <v>322.45</v>
      </c>
      <c r="WV12" s="2">
        <v>75.69</v>
      </c>
      <c r="WW12" s="2">
        <v>352.77</v>
      </c>
      <c r="WX12" s="2">
        <v>288.69</v>
      </c>
      <c r="WY12" s="2">
        <v>348.25</v>
      </c>
      <c r="WZ12" s="2">
        <v>315.58</v>
      </c>
      <c r="XA12" s="2">
        <v>240.22</v>
      </c>
      <c r="XB12" s="2">
        <v>140.38999999999999</v>
      </c>
      <c r="XC12" s="2">
        <v>187.57</v>
      </c>
      <c r="XD12" s="2">
        <v>286.02999999999997</v>
      </c>
      <c r="XE12" s="2">
        <v>343.34</v>
      </c>
      <c r="XF12" s="2">
        <v>400.77</v>
      </c>
      <c r="XG12" s="2">
        <v>395.23</v>
      </c>
      <c r="XH12" s="2">
        <v>487.71</v>
      </c>
      <c r="XI12" s="2">
        <v>178.63</v>
      </c>
      <c r="XJ12" s="2">
        <v>82</v>
      </c>
      <c r="XK12" s="2">
        <v>205.55</v>
      </c>
      <c r="XL12" s="2">
        <v>384.48</v>
      </c>
      <c r="XM12" s="2">
        <v>247.15</v>
      </c>
      <c r="XN12" s="2">
        <v>418</v>
      </c>
      <c r="XO12" s="2">
        <v>297.2</v>
      </c>
      <c r="XP12" s="2">
        <v>468.41</v>
      </c>
      <c r="XQ12" s="2">
        <v>476.54</v>
      </c>
      <c r="XR12" s="2">
        <v>81.19</v>
      </c>
      <c r="XS12" s="2">
        <v>255.39</v>
      </c>
      <c r="XT12" s="2">
        <v>324.36</v>
      </c>
      <c r="XU12" s="2">
        <v>165.14</v>
      </c>
      <c r="XV12" s="2">
        <v>233.18</v>
      </c>
      <c r="XW12" s="2">
        <v>354.96</v>
      </c>
      <c r="XX12" s="2">
        <v>152.03</v>
      </c>
      <c r="XY12" s="2">
        <v>320.89</v>
      </c>
      <c r="XZ12" s="2">
        <v>363.85</v>
      </c>
      <c r="YA12" s="2">
        <v>90.72</v>
      </c>
      <c r="YB12" s="2">
        <v>273.89</v>
      </c>
      <c r="YC12" s="2">
        <v>168.39</v>
      </c>
      <c r="YD12" s="2">
        <v>375.97</v>
      </c>
      <c r="YE12" s="2">
        <v>135.30000000000001</v>
      </c>
      <c r="YF12" s="2">
        <v>451.51</v>
      </c>
      <c r="YG12" s="2">
        <v>243.92</v>
      </c>
      <c r="YH12" s="2">
        <v>139.1</v>
      </c>
      <c r="YI12" s="2">
        <v>247.11</v>
      </c>
      <c r="YJ12" s="2">
        <v>233.93</v>
      </c>
      <c r="YK12" s="2">
        <v>243.01</v>
      </c>
      <c r="YL12" s="2">
        <v>313.5</v>
      </c>
      <c r="YM12" s="2">
        <v>284.52999999999997</v>
      </c>
      <c r="YN12" s="2">
        <v>117.4</v>
      </c>
      <c r="YO12" s="2">
        <v>79.510000000000005</v>
      </c>
      <c r="YP12" s="2">
        <v>378.24</v>
      </c>
      <c r="YQ12" s="2">
        <v>301.87</v>
      </c>
      <c r="YR12" s="2">
        <v>211.55</v>
      </c>
      <c r="YS12" s="2">
        <v>413.76</v>
      </c>
      <c r="YT12" s="2">
        <v>224.63</v>
      </c>
      <c r="YU12" s="2">
        <v>408.18</v>
      </c>
      <c r="YV12" s="2">
        <v>187.59</v>
      </c>
      <c r="YW12" s="2">
        <v>82.78</v>
      </c>
      <c r="YX12" s="2">
        <v>469.69</v>
      </c>
      <c r="YY12" s="2">
        <v>227.55</v>
      </c>
      <c r="YZ12" s="2">
        <v>406.71</v>
      </c>
      <c r="ZA12" s="2">
        <v>175.61</v>
      </c>
      <c r="ZB12" s="2">
        <v>340.86</v>
      </c>
      <c r="ZC12" s="2">
        <v>442.99</v>
      </c>
      <c r="ZD12" s="2">
        <v>68.739999999999995</v>
      </c>
      <c r="ZE12" s="2">
        <v>423.79</v>
      </c>
      <c r="ZF12" s="2">
        <v>307.10000000000002</v>
      </c>
      <c r="ZG12" s="2">
        <v>323.36</v>
      </c>
      <c r="ZH12" s="2">
        <v>285.42</v>
      </c>
      <c r="ZI12" s="2">
        <v>443.51</v>
      </c>
      <c r="ZJ12" s="2">
        <v>69.55</v>
      </c>
      <c r="ZK12" s="2">
        <v>167.46</v>
      </c>
      <c r="ZL12" s="2">
        <v>444.09</v>
      </c>
      <c r="ZM12" s="2">
        <v>388.56</v>
      </c>
      <c r="ZN12" s="2">
        <v>57.94</v>
      </c>
      <c r="ZO12" s="2">
        <v>282.64999999999998</v>
      </c>
      <c r="ZP12" s="2">
        <v>288.31</v>
      </c>
      <c r="ZQ12" s="2">
        <v>230.4</v>
      </c>
      <c r="ZR12" s="2">
        <v>183.83</v>
      </c>
      <c r="ZS12" s="2">
        <v>356.78</v>
      </c>
      <c r="ZT12" s="2">
        <v>143.51</v>
      </c>
      <c r="ZU12" s="2">
        <v>409.53</v>
      </c>
      <c r="ZV12" s="2">
        <v>411.37</v>
      </c>
      <c r="ZW12" s="2">
        <v>236.87</v>
      </c>
      <c r="ZX12" s="2">
        <v>177.6</v>
      </c>
      <c r="ZY12" s="2">
        <v>177.75</v>
      </c>
      <c r="ZZ12" s="2">
        <v>267.02999999999997</v>
      </c>
      <c r="AAA12" s="2">
        <v>373.81</v>
      </c>
      <c r="AAB12" s="2">
        <v>211.49</v>
      </c>
      <c r="AAC12" s="2">
        <v>324.52</v>
      </c>
      <c r="AAD12" s="2">
        <v>222.12</v>
      </c>
      <c r="AAE12" s="2">
        <v>187.04</v>
      </c>
      <c r="AAF12" s="2">
        <v>61.19</v>
      </c>
      <c r="AAG12" s="2">
        <v>51.76</v>
      </c>
      <c r="AAH12" s="2">
        <v>152.24</v>
      </c>
      <c r="AAI12" s="2">
        <v>232.88</v>
      </c>
      <c r="AAJ12" s="2">
        <v>433.07</v>
      </c>
      <c r="AAK12" s="2">
        <v>409.32</v>
      </c>
      <c r="AAL12" s="2">
        <v>170.22</v>
      </c>
      <c r="AAM12" s="2">
        <v>160.04</v>
      </c>
      <c r="AAN12" s="2">
        <v>152.29</v>
      </c>
      <c r="AAO12" s="2">
        <v>202.66</v>
      </c>
      <c r="AAP12" s="2">
        <v>274.19</v>
      </c>
      <c r="AAQ12" s="2">
        <v>247.4</v>
      </c>
      <c r="AAR12" s="2">
        <v>148.22</v>
      </c>
      <c r="AAS12" s="2">
        <v>108.7</v>
      </c>
      <c r="AAT12" s="2">
        <v>55.66</v>
      </c>
      <c r="AAU12" s="2">
        <v>119.28</v>
      </c>
      <c r="AAV12" s="2">
        <v>367.41</v>
      </c>
      <c r="AAW12" s="2">
        <v>159.63999999999999</v>
      </c>
      <c r="AAX12" s="2">
        <v>260.87</v>
      </c>
      <c r="AAY12" s="2">
        <v>316.08999999999997</v>
      </c>
      <c r="AAZ12" s="2">
        <v>449.08</v>
      </c>
      <c r="ABA12" s="2">
        <v>449.98</v>
      </c>
      <c r="ABB12" s="2">
        <v>385.58</v>
      </c>
      <c r="ABC12" s="2">
        <v>65.819999999999993</v>
      </c>
      <c r="ABD12" s="2">
        <v>308.77999999999997</v>
      </c>
      <c r="ABE12" s="2">
        <v>403.96</v>
      </c>
      <c r="ABF12" s="2">
        <v>57.78</v>
      </c>
      <c r="ABG12" s="2">
        <v>297.36</v>
      </c>
      <c r="ABH12" s="2">
        <v>435.99</v>
      </c>
      <c r="ABI12" s="2">
        <v>263.35000000000002</v>
      </c>
      <c r="ABJ12" s="2">
        <v>51.85</v>
      </c>
      <c r="ABK12" s="2">
        <v>54.96</v>
      </c>
      <c r="ABL12" s="2">
        <v>237.49</v>
      </c>
      <c r="ABM12" s="2">
        <v>119.75</v>
      </c>
      <c r="ABN12" s="2">
        <v>349</v>
      </c>
      <c r="ABO12" s="2">
        <v>368.96</v>
      </c>
      <c r="ABP12" s="2">
        <v>130.05000000000001</v>
      </c>
      <c r="ABQ12" s="2">
        <v>449.84</v>
      </c>
      <c r="ABR12" s="2">
        <v>248.86</v>
      </c>
      <c r="ABS12" s="2">
        <v>114.28</v>
      </c>
      <c r="ABT12" s="2">
        <v>393.91</v>
      </c>
      <c r="ABU12" s="2">
        <v>405.49</v>
      </c>
      <c r="ABV12" s="2">
        <v>337.68</v>
      </c>
      <c r="ABW12" s="2">
        <v>434.06</v>
      </c>
      <c r="ABX12" s="2">
        <v>381.82</v>
      </c>
      <c r="ABY12" s="2">
        <v>446.99</v>
      </c>
      <c r="ABZ12" s="2">
        <v>245.25</v>
      </c>
      <c r="ACA12" s="2">
        <v>386.42</v>
      </c>
      <c r="ACB12" s="2">
        <v>499.89</v>
      </c>
      <c r="ACC12" s="2">
        <v>376.22</v>
      </c>
      <c r="ACD12" s="2">
        <v>101.38</v>
      </c>
      <c r="ACE12" s="2">
        <v>283.24</v>
      </c>
      <c r="ACF12" s="2">
        <v>314.31</v>
      </c>
      <c r="ACG12" s="2">
        <v>128.38999999999999</v>
      </c>
      <c r="ACH12" s="2">
        <v>483.3</v>
      </c>
      <c r="ACI12" s="2">
        <v>129.01</v>
      </c>
      <c r="ACJ12" s="2">
        <v>129.9</v>
      </c>
      <c r="ACK12" s="2">
        <v>461.83</v>
      </c>
      <c r="ACL12" s="2">
        <v>259.33999999999997</v>
      </c>
      <c r="ACM12" s="2">
        <v>78.430000000000007</v>
      </c>
      <c r="ACN12" s="2">
        <v>319.18</v>
      </c>
      <c r="ACO12" s="2">
        <v>320.82</v>
      </c>
      <c r="ACP12" s="2">
        <v>79.03</v>
      </c>
      <c r="ACQ12" s="2">
        <v>487.64</v>
      </c>
      <c r="ACR12" s="2">
        <v>294.81</v>
      </c>
      <c r="ACS12" s="2">
        <v>301.91000000000003</v>
      </c>
      <c r="ACT12" s="2">
        <v>284.05</v>
      </c>
      <c r="ACU12" s="2">
        <v>324.83</v>
      </c>
      <c r="ACV12" s="2">
        <v>168.93</v>
      </c>
      <c r="ACW12" s="2">
        <v>179.26</v>
      </c>
      <c r="ACX12" s="2">
        <v>280.10000000000002</v>
      </c>
      <c r="ACY12" s="2">
        <v>413.01</v>
      </c>
      <c r="ACZ12" s="2">
        <v>72.44</v>
      </c>
      <c r="ADA12" s="2">
        <v>321.52999999999997</v>
      </c>
      <c r="ADB12" s="2">
        <v>413.05</v>
      </c>
      <c r="ADC12" s="2">
        <v>120.61</v>
      </c>
      <c r="ADD12" s="2">
        <v>56.76</v>
      </c>
      <c r="ADE12" s="2">
        <v>190.72</v>
      </c>
      <c r="ADF12" s="2">
        <v>314.66000000000003</v>
      </c>
      <c r="ADG12" s="2">
        <v>112.23</v>
      </c>
      <c r="ADH12" s="2">
        <v>241.76</v>
      </c>
      <c r="ADI12" s="2">
        <v>298.54000000000002</v>
      </c>
      <c r="ADJ12" s="2">
        <v>319.5</v>
      </c>
      <c r="ADK12" s="2">
        <v>173.49</v>
      </c>
      <c r="ADL12" s="2">
        <v>230.01</v>
      </c>
      <c r="ADM12" s="2">
        <v>400.25</v>
      </c>
      <c r="ADN12" s="2">
        <v>473.55</v>
      </c>
      <c r="ADO12" s="2">
        <v>437.85</v>
      </c>
      <c r="ADP12" s="2">
        <v>303.93</v>
      </c>
      <c r="ADQ12" s="2">
        <v>234.63</v>
      </c>
      <c r="ADR12" s="2">
        <v>199.83</v>
      </c>
      <c r="ADS12" s="2">
        <v>106.23</v>
      </c>
      <c r="ADT12" s="2">
        <v>97.95</v>
      </c>
      <c r="ADU12" s="2">
        <v>359.76</v>
      </c>
      <c r="ADV12" s="2">
        <v>166.91</v>
      </c>
      <c r="ADW12" s="2">
        <v>164.6</v>
      </c>
      <c r="ADX12" s="2">
        <v>499.19</v>
      </c>
      <c r="ADY12" s="2">
        <v>134.57</v>
      </c>
      <c r="ADZ12" s="2">
        <v>116.63</v>
      </c>
      <c r="AEA12" s="2">
        <v>94.41</v>
      </c>
      <c r="AEB12" s="2">
        <v>310.91000000000003</v>
      </c>
      <c r="AEC12" s="2">
        <v>332.54</v>
      </c>
      <c r="AED12" s="2">
        <v>214.35</v>
      </c>
      <c r="AEE12" s="2">
        <v>290.94</v>
      </c>
      <c r="AEF12" s="2">
        <v>404.78</v>
      </c>
      <c r="AEG12" s="2">
        <v>418.15</v>
      </c>
      <c r="AEH12" s="2">
        <v>481.06</v>
      </c>
      <c r="AEI12" s="2">
        <v>420.92</v>
      </c>
      <c r="AEJ12" s="2">
        <v>304.18</v>
      </c>
      <c r="AEK12" s="2">
        <v>130.85</v>
      </c>
      <c r="AEL12" s="2">
        <v>94.89</v>
      </c>
      <c r="AEM12" s="2">
        <v>74.53</v>
      </c>
      <c r="AEN12" s="2">
        <v>349.94</v>
      </c>
      <c r="AEO12" s="2">
        <v>413.39</v>
      </c>
      <c r="AEP12" s="2">
        <v>278.91000000000003</v>
      </c>
      <c r="AEQ12" s="2">
        <v>74.62</v>
      </c>
      <c r="AER12" s="2">
        <v>290.95999999999998</v>
      </c>
      <c r="AES12" s="2">
        <v>471.09</v>
      </c>
      <c r="AET12" s="2">
        <v>318.93</v>
      </c>
      <c r="AEU12" s="2">
        <v>414.24</v>
      </c>
      <c r="AEV12" s="2">
        <v>410.07</v>
      </c>
      <c r="AEW12" s="2">
        <v>469.46</v>
      </c>
      <c r="AEX12" s="2">
        <v>396.6</v>
      </c>
      <c r="AEY12" s="2">
        <v>386.47</v>
      </c>
      <c r="AEZ12" s="2">
        <v>155.35</v>
      </c>
      <c r="AFA12" s="2">
        <v>76.97</v>
      </c>
      <c r="AFB12" s="2">
        <v>282.92</v>
      </c>
      <c r="AFC12" s="2">
        <v>106</v>
      </c>
      <c r="AFD12" s="2">
        <v>482.99</v>
      </c>
      <c r="AFE12" s="2">
        <v>180.47</v>
      </c>
      <c r="AFF12" s="2">
        <v>433.82</v>
      </c>
      <c r="AFG12" s="2">
        <v>224.43</v>
      </c>
      <c r="AFH12" s="2">
        <v>195.44</v>
      </c>
      <c r="AFI12" s="2">
        <v>470.82</v>
      </c>
      <c r="AFJ12" s="2">
        <v>213.5</v>
      </c>
      <c r="AFK12" s="2">
        <v>225.63</v>
      </c>
      <c r="AFL12" s="2">
        <v>97.74</v>
      </c>
      <c r="AFM12" s="2">
        <v>351.7</v>
      </c>
      <c r="AFN12" s="2">
        <v>179.98</v>
      </c>
      <c r="AFO12" s="2">
        <v>313.52</v>
      </c>
      <c r="AFP12" s="2">
        <v>316.11</v>
      </c>
      <c r="AFQ12" s="2">
        <v>373.64</v>
      </c>
      <c r="AFR12" s="2">
        <v>385.36</v>
      </c>
      <c r="AFS12" s="2">
        <v>281.5</v>
      </c>
      <c r="AFT12" s="2">
        <v>198.95</v>
      </c>
      <c r="AFU12" s="2">
        <v>426.85</v>
      </c>
      <c r="AFV12" s="2">
        <v>189.44</v>
      </c>
      <c r="AFW12" s="2">
        <v>278.38</v>
      </c>
      <c r="AFX12" s="2">
        <v>230.56</v>
      </c>
      <c r="AFY12" s="2">
        <v>434.79</v>
      </c>
      <c r="AFZ12" s="2">
        <v>244.36</v>
      </c>
      <c r="AGA12" s="2">
        <v>223.74</v>
      </c>
      <c r="AGB12" s="2">
        <v>360.42</v>
      </c>
      <c r="AGC12" s="2">
        <v>321.10000000000002</v>
      </c>
      <c r="AGD12" s="2">
        <v>98.26</v>
      </c>
      <c r="AGE12" s="2">
        <v>278.68</v>
      </c>
      <c r="AGF12" s="2">
        <v>380.97</v>
      </c>
      <c r="AGG12" s="2">
        <v>496.43</v>
      </c>
      <c r="AGH12" s="2">
        <v>333.12</v>
      </c>
      <c r="AGI12" s="2">
        <v>216.63</v>
      </c>
      <c r="AGJ12" s="2">
        <v>151.77000000000001</v>
      </c>
      <c r="AGK12" s="2">
        <v>442.77</v>
      </c>
      <c r="AGL12" s="2">
        <v>416.55</v>
      </c>
      <c r="AGM12" s="2">
        <v>155.27000000000001</v>
      </c>
      <c r="AGN12" s="2">
        <v>140.28</v>
      </c>
      <c r="AGO12" s="2">
        <v>371.81</v>
      </c>
      <c r="AGP12" s="2">
        <v>191.73</v>
      </c>
      <c r="AGQ12" s="2">
        <v>187.88</v>
      </c>
      <c r="AGR12" s="2">
        <v>118.53</v>
      </c>
      <c r="AGS12" s="2">
        <v>168.79</v>
      </c>
      <c r="AGT12" s="2">
        <v>242.38</v>
      </c>
      <c r="AGU12" s="2">
        <v>379.78</v>
      </c>
      <c r="AGV12" s="2">
        <v>201.34</v>
      </c>
      <c r="AGW12" s="2">
        <v>197.87</v>
      </c>
      <c r="AGX12" s="2">
        <v>178.21</v>
      </c>
      <c r="AGY12" s="2">
        <v>265.23</v>
      </c>
      <c r="AGZ12" s="2">
        <v>131.29</v>
      </c>
      <c r="AHA12" s="2">
        <v>268.52999999999997</v>
      </c>
      <c r="AHB12" s="2">
        <v>366.88</v>
      </c>
      <c r="AHC12" s="2">
        <v>63.41</v>
      </c>
      <c r="AHD12" s="2">
        <v>54.4</v>
      </c>
      <c r="AHE12" s="2">
        <v>83.81</v>
      </c>
      <c r="AHF12" s="2">
        <v>291.05</v>
      </c>
      <c r="AHG12" s="2">
        <v>434.5</v>
      </c>
      <c r="AHH12" s="2">
        <v>52.2</v>
      </c>
      <c r="AHI12" s="2">
        <v>471.5</v>
      </c>
      <c r="AHJ12" s="2">
        <v>97.83</v>
      </c>
      <c r="AHK12" s="2">
        <v>428.89</v>
      </c>
      <c r="AHL12" s="2">
        <v>267.27999999999997</v>
      </c>
      <c r="AHM12" s="2">
        <v>346.71</v>
      </c>
      <c r="AHN12" s="2">
        <v>279.81</v>
      </c>
      <c r="AHO12" s="2">
        <v>264.67</v>
      </c>
      <c r="AHP12" s="2">
        <v>425.7</v>
      </c>
      <c r="AHQ12" s="2">
        <v>390.15</v>
      </c>
      <c r="AHR12" s="2">
        <v>267.52999999999997</v>
      </c>
      <c r="AHS12" s="2">
        <v>100.24</v>
      </c>
      <c r="AHT12" s="2">
        <v>101.93</v>
      </c>
      <c r="AHU12" s="2">
        <v>410.69</v>
      </c>
      <c r="AHV12" s="2">
        <v>288.23</v>
      </c>
      <c r="AHW12" s="2">
        <v>266.72000000000003</v>
      </c>
      <c r="AHX12" s="2">
        <v>356.26</v>
      </c>
      <c r="AHY12" s="2">
        <v>436.48</v>
      </c>
      <c r="AHZ12" s="2">
        <v>332.99</v>
      </c>
      <c r="AIA12" s="2">
        <v>393.28</v>
      </c>
      <c r="AIB12" s="2">
        <v>394.37</v>
      </c>
      <c r="AIC12" s="2">
        <v>210.32</v>
      </c>
      <c r="AID12" s="2">
        <v>173.34</v>
      </c>
      <c r="AIE12" s="2">
        <v>410.52</v>
      </c>
      <c r="AIF12" s="2">
        <v>219.73</v>
      </c>
      <c r="AIG12" s="2">
        <v>456.5</v>
      </c>
      <c r="AIH12" s="2">
        <v>81.36</v>
      </c>
      <c r="AII12" s="2">
        <v>76.2</v>
      </c>
      <c r="AIJ12" s="2">
        <v>467.15</v>
      </c>
      <c r="AIK12" s="2">
        <v>341.8</v>
      </c>
      <c r="AIL12" s="2">
        <v>220.82</v>
      </c>
      <c r="AIM12" s="2">
        <v>389.78</v>
      </c>
      <c r="AIN12" s="2">
        <v>352.55</v>
      </c>
      <c r="AIO12" s="2">
        <v>289.04000000000002</v>
      </c>
      <c r="AIP12" s="2">
        <v>94.49</v>
      </c>
      <c r="AIQ12" s="2">
        <v>415.48</v>
      </c>
      <c r="AIR12" s="2">
        <v>439.71</v>
      </c>
      <c r="AIS12" s="2">
        <v>127.48</v>
      </c>
      <c r="AIT12" s="2">
        <v>432.73</v>
      </c>
      <c r="AIU12" s="2">
        <v>445.03</v>
      </c>
      <c r="AIV12" s="2">
        <v>297.24</v>
      </c>
      <c r="AIW12" s="2">
        <v>345.28</v>
      </c>
      <c r="AIX12" s="2">
        <v>222.01</v>
      </c>
      <c r="AIY12" s="2">
        <v>176.81</v>
      </c>
      <c r="AIZ12" s="2">
        <v>374.89</v>
      </c>
      <c r="AJA12" s="2">
        <v>437.84</v>
      </c>
      <c r="AJB12" s="2">
        <v>344.33</v>
      </c>
      <c r="AJC12" s="2">
        <v>280.22000000000003</v>
      </c>
      <c r="AJD12" s="2">
        <v>121.52</v>
      </c>
      <c r="AJE12" s="2">
        <v>74.06</v>
      </c>
      <c r="AJF12" s="2">
        <v>250.56</v>
      </c>
      <c r="AJG12" s="2">
        <v>72.209999999999994</v>
      </c>
      <c r="AJH12" s="2">
        <v>306.2</v>
      </c>
      <c r="AJI12" s="2">
        <v>222.23</v>
      </c>
      <c r="AJJ12" s="2">
        <v>390.74</v>
      </c>
      <c r="AJK12" s="2">
        <v>187.54</v>
      </c>
      <c r="AJL12" s="2">
        <v>316.83999999999997</v>
      </c>
      <c r="AJM12" s="2">
        <v>291.95999999999998</v>
      </c>
      <c r="AJN12" s="2">
        <v>52.12</v>
      </c>
      <c r="AJO12" s="2">
        <v>82.58</v>
      </c>
      <c r="AJP12" s="2">
        <v>180.67</v>
      </c>
      <c r="AJQ12" s="2">
        <v>447.01</v>
      </c>
      <c r="AJR12" s="2">
        <v>116.16</v>
      </c>
      <c r="AJS12" s="2">
        <v>369.9</v>
      </c>
      <c r="AJT12" s="2">
        <v>488.01</v>
      </c>
      <c r="AJU12" s="2">
        <v>405.76</v>
      </c>
      <c r="AJV12" s="2">
        <v>159.33000000000001</v>
      </c>
      <c r="AJW12" s="2">
        <v>458.76</v>
      </c>
      <c r="AJX12" s="2">
        <v>91.9</v>
      </c>
      <c r="AJY12" s="2">
        <v>260.66000000000003</v>
      </c>
      <c r="AJZ12" s="2">
        <v>449.39</v>
      </c>
      <c r="AKA12" s="2">
        <v>338.57</v>
      </c>
      <c r="AKB12" s="2">
        <v>236.14</v>
      </c>
      <c r="AKC12" s="2">
        <v>181.77</v>
      </c>
      <c r="AKD12" s="2">
        <v>218.79</v>
      </c>
      <c r="AKE12" s="2">
        <v>279.02</v>
      </c>
      <c r="AKF12" s="2">
        <v>193.57</v>
      </c>
      <c r="AKG12" s="2">
        <v>486.04</v>
      </c>
      <c r="AKH12" s="2">
        <v>469.88</v>
      </c>
      <c r="AKI12" s="2">
        <v>441.8</v>
      </c>
      <c r="AKJ12" s="2">
        <v>239.82</v>
      </c>
      <c r="AKK12" s="2">
        <v>361.09</v>
      </c>
      <c r="AKL12" s="2">
        <v>456.27</v>
      </c>
      <c r="AKM12" s="2">
        <v>432.69</v>
      </c>
      <c r="AKN12" s="2">
        <v>236.45</v>
      </c>
      <c r="AKO12" s="2">
        <v>100.57</v>
      </c>
      <c r="AKP12" s="2">
        <v>84.03</v>
      </c>
      <c r="AKQ12" s="2">
        <v>309.68</v>
      </c>
      <c r="AKR12" s="2">
        <v>339.18</v>
      </c>
      <c r="AKS12" s="2">
        <v>432.43</v>
      </c>
      <c r="AKT12" s="2">
        <v>181.63</v>
      </c>
      <c r="AKU12" s="2">
        <v>125.36</v>
      </c>
      <c r="AKV12" s="2">
        <v>220.55</v>
      </c>
      <c r="AKW12" s="2">
        <v>209.11</v>
      </c>
      <c r="AKX12" s="2">
        <v>109.61</v>
      </c>
      <c r="AKY12" s="2">
        <v>352.53</v>
      </c>
      <c r="AKZ12" s="2">
        <v>278.91000000000003</v>
      </c>
      <c r="ALA12" s="2">
        <v>374.51</v>
      </c>
      <c r="ALB12" s="2">
        <v>208.71</v>
      </c>
      <c r="ALC12" s="2">
        <v>196.57</v>
      </c>
      <c r="ALD12" s="2">
        <v>262.66000000000003</v>
      </c>
      <c r="ALE12" s="2">
        <v>444.83</v>
      </c>
      <c r="ALF12" s="2">
        <v>68.13</v>
      </c>
      <c r="ALG12" s="2">
        <v>412.17</v>
      </c>
      <c r="ALH12" s="2">
        <v>216.04</v>
      </c>
      <c r="ALI12" s="2">
        <v>434.58</v>
      </c>
      <c r="ALJ12" s="2">
        <v>410.99</v>
      </c>
      <c r="ALK12" s="2">
        <v>206.94</v>
      </c>
      <c r="ALL12" s="2">
        <v>362.24</v>
      </c>
      <c r="ALM12" s="2">
        <v>121.83</v>
      </c>
    </row>
    <row r="13" spans="1:1001" ht="21" x14ac:dyDescent="0.3">
      <c r="A13" s="3" t="s">
        <v>12</v>
      </c>
      <c r="B13" s="2">
        <v>179.26</v>
      </c>
      <c r="C13" s="2">
        <v>121.35</v>
      </c>
      <c r="D13" s="2">
        <v>136.69999999999999</v>
      </c>
      <c r="E13" s="2">
        <v>141.15</v>
      </c>
      <c r="F13" s="2">
        <v>246.26</v>
      </c>
      <c r="G13" s="2">
        <v>70.900000000000006</v>
      </c>
      <c r="H13" s="2">
        <v>132.27000000000001</v>
      </c>
      <c r="I13" s="2">
        <v>78.400000000000006</v>
      </c>
      <c r="J13" s="2">
        <v>73.739999999999995</v>
      </c>
      <c r="K13" s="2">
        <v>138.01</v>
      </c>
      <c r="L13" s="2">
        <v>77.44</v>
      </c>
      <c r="M13" s="2">
        <v>69.22</v>
      </c>
      <c r="N13" s="2">
        <v>167.18</v>
      </c>
      <c r="O13" s="2">
        <v>30.39</v>
      </c>
      <c r="P13" s="2">
        <v>135.18</v>
      </c>
      <c r="Q13" s="2">
        <v>49.75</v>
      </c>
      <c r="R13" s="2">
        <v>3.1</v>
      </c>
      <c r="S13" s="2">
        <v>50.03</v>
      </c>
      <c r="T13" s="2">
        <v>182</v>
      </c>
      <c r="U13" s="2">
        <v>141.83000000000001</v>
      </c>
      <c r="V13" s="2">
        <v>4.21</v>
      </c>
      <c r="W13" s="2">
        <v>10.94</v>
      </c>
      <c r="X13" s="2">
        <v>180.51</v>
      </c>
      <c r="Y13" s="2">
        <v>14.66</v>
      </c>
      <c r="Z13" s="2">
        <v>268.26</v>
      </c>
      <c r="AA13" s="2">
        <v>45.63</v>
      </c>
      <c r="AB13" s="2">
        <v>148</v>
      </c>
      <c r="AC13" s="2">
        <v>92.93</v>
      </c>
      <c r="AD13" s="2">
        <v>257.62</v>
      </c>
      <c r="AE13" s="2">
        <v>140.09</v>
      </c>
      <c r="AF13" s="2">
        <v>80.36</v>
      </c>
      <c r="AG13" s="2">
        <v>15.26</v>
      </c>
      <c r="AH13" s="2">
        <v>219.81</v>
      </c>
      <c r="AI13" s="2">
        <v>123.38</v>
      </c>
      <c r="AJ13" s="2">
        <v>0.57999999999999996</v>
      </c>
      <c r="AK13" s="2">
        <v>1.88</v>
      </c>
      <c r="AL13" s="2">
        <v>161.76</v>
      </c>
      <c r="AM13" s="2">
        <v>77.819999999999993</v>
      </c>
      <c r="AN13" s="2">
        <v>127.23</v>
      </c>
      <c r="AO13" s="2">
        <v>90.84</v>
      </c>
      <c r="AP13" s="2">
        <v>172.69</v>
      </c>
      <c r="AQ13" s="2">
        <v>183.39</v>
      </c>
      <c r="AR13" s="2">
        <v>299.04000000000002</v>
      </c>
      <c r="AS13" s="2">
        <v>30.74</v>
      </c>
      <c r="AT13" s="2">
        <v>258.88</v>
      </c>
      <c r="AU13" s="2">
        <v>53.2</v>
      </c>
      <c r="AV13" s="2">
        <v>177.24</v>
      </c>
      <c r="AW13" s="2">
        <v>151.72999999999999</v>
      </c>
      <c r="AX13" s="2">
        <v>3.6</v>
      </c>
      <c r="AY13" s="2">
        <v>186.55</v>
      </c>
      <c r="AZ13" s="2">
        <v>15.67</v>
      </c>
      <c r="BA13" s="2">
        <v>137.63999999999999</v>
      </c>
      <c r="BB13" s="2">
        <v>235.5</v>
      </c>
      <c r="BC13" s="2">
        <v>159.06</v>
      </c>
      <c r="BD13" s="2">
        <v>27.1</v>
      </c>
      <c r="BE13" s="2">
        <v>89.51</v>
      </c>
      <c r="BF13" s="2">
        <v>165.89</v>
      </c>
      <c r="BG13" s="2">
        <v>60.54</v>
      </c>
      <c r="BH13" s="2">
        <v>93.55</v>
      </c>
      <c r="BI13" s="2">
        <v>54.56</v>
      </c>
      <c r="BJ13" s="2">
        <v>92.71</v>
      </c>
      <c r="BK13" s="2">
        <v>266.36</v>
      </c>
      <c r="BL13" s="2">
        <v>91.02</v>
      </c>
      <c r="BM13" s="2">
        <v>111.18</v>
      </c>
      <c r="BN13" s="2">
        <v>80.8</v>
      </c>
      <c r="BO13" s="2">
        <v>92.02</v>
      </c>
      <c r="BP13" s="2">
        <v>4.54</v>
      </c>
      <c r="BQ13" s="2">
        <v>56.75</v>
      </c>
      <c r="BR13" s="2">
        <v>87.32</v>
      </c>
      <c r="BS13" s="2">
        <v>126.76</v>
      </c>
      <c r="BT13" s="2">
        <v>90.01</v>
      </c>
      <c r="BU13" s="2">
        <v>67.56</v>
      </c>
      <c r="BV13" s="2">
        <v>77.62</v>
      </c>
      <c r="BW13" s="2">
        <v>48.46</v>
      </c>
      <c r="BX13" s="2">
        <v>184.9</v>
      </c>
      <c r="BY13" s="2">
        <v>156.52000000000001</v>
      </c>
      <c r="BZ13" s="2">
        <v>4.0199999999999996</v>
      </c>
      <c r="CA13" s="2">
        <v>3.89</v>
      </c>
      <c r="CB13" s="2">
        <v>194.59</v>
      </c>
      <c r="CC13" s="2">
        <v>44.29</v>
      </c>
      <c r="CD13" s="2">
        <v>161.12</v>
      </c>
      <c r="CE13" s="2">
        <v>11.66</v>
      </c>
      <c r="CF13" s="2">
        <v>184.23</v>
      </c>
      <c r="CG13" s="2">
        <v>262.32</v>
      </c>
      <c r="CH13" s="2">
        <v>114.22</v>
      </c>
      <c r="CI13" s="2">
        <v>1.8</v>
      </c>
      <c r="CJ13" s="2">
        <v>77.34</v>
      </c>
      <c r="CK13" s="2">
        <v>122.04</v>
      </c>
      <c r="CL13" s="2">
        <v>138.02000000000001</v>
      </c>
      <c r="CM13" s="2">
        <v>59.54</v>
      </c>
      <c r="CN13" s="2">
        <v>6.59</v>
      </c>
      <c r="CO13" s="2">
        <v>177.04</v>
      </c>
      <c r="CP13" s="2">
        <v>104.83</v>
      </c>
      <c r="CQ13" s="2">
        <v>56.6</v>
      </c>
      <c r="CR13" s="2">
        <v>7.6</v>
      </c>
      <c r="CS13" s="2">
        <v>198.92</v>
      </c>
      <c r="CT13" s="2">
        <v>144.6</v>
      </c>
      <c r="CU13" s="2">
        <v>151.19999999999999</v>
      </c>
      <c r="CV13" s="2">
        <v>90.46</v>
      </c>
      <c r="CW13" s="2">
        <v>8.6300000000000008</v>
      </c>
      <c r="CX13" s="2">
        <v>61.92</v>
      </c>
      <c r="CY13" s="2">
        <v>64.02</v>
      </c>
      <c r="CZ13" s="2">
        <v>167.67</v>
      </c>
      <c r="DA13" s="2">
        <v>196.27</v>
      </c>
      <c r="DB13" s="2">
        <v>55.09</v>
      </c>
      <c r="DC13" s="2">
        <v>193.55</v>
      </c>
      <c r="DD13" s="2">
        <v>64.31</v>
      </c>
      <c r="DE13" s="2">
        <v>199.65</v>
      </c>
      <c r="DF13" s="2">
        <v>199.23</v>
      </c>
      <c r="DG13" s="2">
        <v>38.24</v>
      </c>
      <c r="DH13" s="2">
        <v>62.55</v>
      </c>
      <c r="DI13" s="2">
        <v>97.21</v>
      </c>
      <c r="DJ13" s="2">
        <v>132.82</v>
      </c>
      <c r="DK13" s="2">
        <v>105.61</v>
      </c>
      <c r="DL13" s="2">
        <v>290.83</v>
      </c>
      <c r="DM13" s="2">
        <v>217.2</v>
      </c>
      <c r="DN13" s="2">
        <v>42.41</v>
      </c>
      <c r="DO13" s="2">
        <v>21.02</v>
      </c>
      <c r="DP13" s="2">
        <v>206.52</v>
      </c>
      <c r="DQ13" s="2">
        <v>31.69</v>
      </c>
      <c r="DR13" s="2">
        <v>157.54</v>
      </c>
      <c r="DS13" s="2">
        <v>62.21</v>
      </c>
      <c r="DT13" s="2">
        <v>65.38</v>
      </c>
      <c r="DU13" s="2">
        <v>3.24</v>
      </c>
      <c r="DV13" s="2">
        <v>140.19999999999999</v>
      </c>
      <c r="DW13" s="2">
        <v>22.65</v>
      </c>
      <c r="DX13" s="2">
        <v>154.58000000000001</v>
      </c>
      <c r="DY13" s="2">
        <v>98.37</v>
      </c>
      <c r="DZ13" s="2">
        <v>156.86000000000001</v>
      </c>
      <c r="EA13" s="2">
        <v>116.79</v>
      </c>
      <c r="EB13" s="2">
        <v>24.74</v>
      </c>
      <c r="EC13" s="2">
        <v>153.13</v>
      </c>
      <c r="ED13" s="2">
        <v>20.94</v>
      </c>
      <c r="EE13" s="2">
        <v>95.74</v>
      </c>
      <c r="EF13" s="2">
        <v>34.47</v>
      </c>
      <c r="EG13" s="2">
        <v>150.47</v>
      </c>
      <c r="EH13" s="2">
        <v>273.48</v>
      </c>
      <c r="EI13" s="2">
        <v>110.83</v>
      </c>
      <c r="EJ13" s="2">
        <v>105.43</v>
      </c>
      <c r="EK13" s="2">
        <v>152.79</v>
      </c>
      <c r="EL13" s="2">
        <v>1.02</v>
      </c>
      <c r="EM13" s="2">
        <v>275.33</v>
      </c>
      <c r="EN13" s="2">
        <v>39.49</v>
      </c>
      <c r="EO13" s="2">
        <v>196.82</v>
      </c>
      <c r="EP13" s="2">
        <v>147.25</v>
      </c>
      <c r="EQ13" s="2">
        <v>154.85</v>
      </c>
      <c r="ER13" s="2">
        <v>131.24</v>
      </c>
      <c r="ES13" s="2">
        <v>94.33</v>
      </c>
      <c r="ET13" s="2">
        <v>114.33</v>
      </c>
      <c r="EU13" s="2">
        <v>13.92</v>
      </c>
      <c r="EV13" s="2">
        <v>124.79</v>
      </c>
      <c r="EW13" s="2">
        <v>125.22</v>
      </c>
      <c r="EX13" s="2">
        <v>178.24</v>
      </c>
      <c r="EY13" s="2">
        <v>151.69999999999999</v>
      </c>
      <c r="EZ13" s="2">
        <v>15.43</v>
      </c>
      <c r="FA13" s="2">
        <v>61.24</v>
      </c>
      <c r="FB13" s="2">
        <v>131.13</v>
      </c>
      <c r="FC13" s="2">
        <v>47.85</v>
      </c>
      <c r="FD13" s="2">
        <v>56.11</v>
      </c>
      <c r="FE13" s="2">
        <v>164.09</v>
      </c>
      <c r="FF13" s="2">
        <v>116.86</v>
      </c>
      <c r="FG13" s="2">
        <v>101.71</v>
      </c>
      <c r="FH13" s="2">
        <v>63.69</v>
      </c>
      <c r="FI13" s="2">
        <v>146.19</v>
      </c>
      <c r="FJ13" s="2">
        <v>57.54</v>
      </c>
      <c r="FK13" s="2">
        <v>147.41</v>
      </c>
      <c r="FL13" s="2">
        <v>21.03</v>
      </c>
      <c r="FM13" s="2">
        <v>172.91</v>
      </c>
      <c r="FN13" s="2">
        <v>149.86000000000001</v>
      </c>
      <c r="FO13" s="2">
        <v>87.7</v>
      </c>
      <c r="FP13" s="2">
        <v>122.2</v>
      </c>
      <c r="FQ13" s="2">
        <v>187.26</v>
      </c>
      <c r="FR13" s="2">
        <v>39.619999999999997</v>
      </c>
      <c r="FS13" s="2">
        <v>151.25</v>
      </c>
      <c r="FT13" s="2">
        <v>55.19</v>
      </c>
      <c r="FU13" s="2">
        <v>180.99</v>
      </c>
      <c r="FV13" s="2">
        <v>163.57</v>
      </c>
      <c r="FW13" s="2">
        <v>69.25</v>
      </c>
      <c r="FX13" s="2">
        <v>161.55000000000001</v>
      </c>
      <c r="FY13" s="2">
        <v>71.28</v>
      </c>
      <c r="FZ13" s="2">
        <v>20.190000000000001</v>
      </c>
      <c r="GA13" s="2">
        <v>192.38</v>
      </c>
      <c r="GB13" s="2">
        <v>195.78</v>
      </c>
      <c r="GC13" s="2">
        <v>91.22</v>
      </c>
      <c r="GD13" s="2">
        <v>119.32</v>
      </c>
      <c r="GE13" s="2">
        <v>64.94</v>
      </c>
      <c r="GF13" s="2">
        <v>196.29</v>
      </c>
      <c r="GG13" s="2">
        <v>26.95</v>
      </c>
      <c r="GH13" s="2">
        <v>62.96</v>
      </c>
      <c r="GI13" s="2">
        <v>97.1</v>
      </c>
      <c r="GJ13" s="2">
        <v>143.4</v>
      </c>
      <c r="GK13" s="2">
        <v>141.4</v>
      </c>
      <c r="GL13" s="2">
        <v>35.159999999999997</v>
      </c>
      <c r="GM13" s="2">
        <v>43.48</v>
      </c>
      <c r="GN13" s="2">
        <v>50.95</v>
      </c>
      <c r="GO13" s="2">
        <v>182.91</v>
      </c>
      <c r="GP13" s="2">
        <v>22.61</v>
      </c>
      <c r="GQ13" s="2">
        <v>227.24</v>
      </c>
      <c r="GR13" s="2">
        <v>227.26</v>
      </c>
      <c r="GS13" s="2">
        <v>161.94999999999999</v>
      </c>
      <c r="GT13" s="2">
        <v>177.32</v>
      </c>
      <c r="GU13" s="2">
        <v>52.61</v>
      </c>
      <c r="GV13" s="2">
        <v>44.91</v>
      </c>
      <c r="GW13" s="2">
        <v>93.1</v>
      </c>
      <c r="GX13" s="2">
        <v>53.02</v>
      </c>
      <c r="GY13" s="2">
        <v>146.86000000000001</v>
      </c>
      <c r="GZ13" s="2">
        <v>127.19</v>
      </c>
      <c r="HA13" s="2">
        <v>175</v>
      </c>
      <c r="HB13" s="2">
        <v>24.83</v>
      </c>
      <c r="HC13" s="2">
        <v>183.02</v>
      </c>
      <c r="HD13" s="2">
        <v>58.67</v>
      </c>
      <c r="HE13" s="2">
        <v>98.14</v>
      </c>
      <c r="HF13" s="2">
        <v>131.58000000000001</v>
      </c>
      <c r="HG13" s="2">
        <v>228.09</v>
      </c>
      <c r="HH13" s="2">
        <v>126.1</v>
      </c>
      <c r="HI13" s="2">
        <v>188.71</v>
      </c>
      <c r="HJ13" s="2">
        <v>180.51</v>
      </c>
      <c r="HK13" s="2">
        <v>261.64</v>
      </c>
      <c r="HL13" s="2">
        <v>21.38</v>
      </c>
      <c r="HM13" s="2">
        <v>170.85</v>
      </c>
      <c r="HN13" s="2">
        <v>234.5</v>
      </c>
      <c r="HO13" s="2">
        <v>20.7</v>
      </c>
      <c r="HP13" s="2">
        <v>21.48</v>
      </c>
      <c r="HQ13" s="2">
        <v>20.23</v>
      </c>
      <c r="HR13" s="2">
        <v>3.4</v>
      </c>
      <c r="HS13" s="2">
        <v>164.6</v>
      </c>
      <c r="HT13" s="2">
        <v>292.02</v>
      </c>
      <c r="HU13" s="2">
        <v>87.74</v>
      </c>
      <c r="HV13" s="2">
        <v>162.22999999999999</v>
      </c>
      <c r="HW13" s="2">
        <v>193.59</v>
      </c>
      <c r="HX13" s="2">
        <v>51.04</v>
      </c>
      <c r="HY13" s="2">
        <v>171.69</v>
      </c>
      <c r="HZ13" s="2">
        <v>109.28</v>
      </c>
      <c r="IA13" s="2">
        <v>170.85</v>
      </c>
      <c r="IB13" s="2">
        <v>68.63</v>
      </c>
      <c r="IC13" s="2">
        <v>112.32</v>
      </c>
      <c r="ID13" s="2">
        <v>14.63</v>
      </c>
      <c r="IE13" s="2">
        <v>229.4</v>
      </c>
      <c r="IF13" s="2">
        <v>85.41</v>
      </c>
      <c r="IG13" s="2">
        <v>177.52</v>
      </c>
      <c r="IH13" s="2">
        <v>73.569999999999993</v>
      </c>
      <c r="II13" s="2">
        <v>28.56</v>
      </c>
      <c r="IJ13" s="2">
        <v>208.77</v>
      </c>
      <c r="IK13" s="2">
        <v>49.38</v>
      </c>
      <c r="IL13" s="2">
        <v>150.74</v>
      </c>
      <c r="IM13" s="2">
        <v>193.62</v>
      </c>
      <c r="IN13" s="2">
        <v>155.91</v>
      </c>
      <c r="IO13" s="2">
        <v>4.49</v>
      </c>
      <c r="IP13" s="2">
        <v>179.97</v>
      </c>
      <c r="IQ13" s="2">
        <v>139.08000000000001</v>
      </c>
      <c r="IR13" s="2">
        <v>165.09</v>
      </c>
      <c r="IS13" s="2">
        <v>11.2</v>
      </c>
      <c r="IT13" s="2">
        <v>96.02</v>
      </c>
      <c r="IU13" s="2">
        <v>107.07</v>
      </c>
      <c r="IV13" s="2">
        <v>33.82</v>
      </c>
      <c r="IW13" s="2">
        <v>64.489999999999995</v>
      </c>
      <c r="IX13" s="2">
        <v>132.06</v>
      </c>
      <c r="IY13" s="2">
        <v>166.64</v>
      </c>
      <c r="IZ13" s="2">
        <v>185.88</v>
      </c>
      <c r="JA13" s="2">
        <v>125.68</v>
      </c>
      <c r="JB13" s="2">
        <v>78.989999999999995</v>
      </c>
      <c r="JC13" s="2">
        <v>50.81</v>
      </c>
      <c r="JD13" s="2">
        <v>294.64</v>
      </c>
      <c r="JE13" s="2">
        <v>294.89999999999998</v>
      </c>
      <c r="JF13" s="2">
        <v>185</v>
      </c>
      <c r="JG13" s="2">
        <v>157.13</v>
      </c>
      <c r="JH13" s="2">
        <v>65.16</v>
      </c>
      <c r="JI13" s="2">
        <v>245.1</v>
      </c>
      <c r="JJ13" s="2">
        <v>81.760000000000005</v>
      </c>
      <c r="JK13" s="2">
        <v>65.349999999999994</v>
      </c>
      <c r="JL13" s="2">
        <v>223.46</v>
      </c>
      <c r="JM13" s="2">
        <v>15.93</v>
      </c>
      <c r="JN13" s="2">
        <v>9.7100000000000009</v>
      </c>
      <c r="JO13" s="2">
        <v>89.59</v>
      </c>
      <c r="JP13" s="2">
        <v>89.13</v>
      </c>
      <c r="JQ13" s="2">
        <v>179.13</v>
      </c>
      <c r="JR13" s="2">
        <v>25.23</v>
      </c>
      <c r="JS13" s="2">
        <v>24.66</v>
      </c>
      <c r="JT13" s="2">
        <v>29.49</v>
      </c>
      <c r="JU13" s="2">
        <v>5.95</v>
      </c>
      <c r="JV13" s="2">
        <v>21.52</v>
      </c>
      <c r="JW13" s="2">
        <v>131.97</v>
      </c>
      <c r="JX13" s="2">
        <v>86.32</v>
      </c>
      <c r="JY13" s="2">
        <v>152.72</v>
      </c>
      <c r="JZ13" s="2">
        <v>297.77999999999997</v>
      </c>
      <c r="KA13" s="2">
        <v>131.81</v>
      </c>
      <c r="KB13" s="2">
        <v>10.09</v>
      </c>
      <c r="KC13" s="2">
        <v>31.36</v>
      </c>
      <c r="KD13" s="2">
        <v>176.2</v>
      </c>
      <c r="KE13" s="2">
        <v>158.25</v>
      </c>
      <c r="KF13" s="2">
        <v>247.46</v>
      </c>
      <c r="KG13" s="2">
        <v>171.32</v>
      </c>
      <c r="KH13" s="2">
        <v>185.53</v>
      </c>
      <c r="KI13" s="2">
        <v>284.95999999999998</v>
      </c>
      <c r="KJ13" s="2">
        <v>110.97</v>
      </c>
      <c r="KK13" s="2">
        <v>68.2</v>
      </c>
      <c r="KL13" s="2">
        <v>192.37</v>
      </c>
      <c r="KM13" s="2">
        <v>109.48</v>
      </c>
      <c r="KN13" s="2">
        <v>19.27</v>
      </c>
      <c r="KO13" s="2">
        <v>192.84</v>
      </c>
      <c r="KP13" s="2">
        <v>176.31</v>
      </c>
      <c r="KQ13" s="2">
        <v>268.74</v>
      </c>
      <c r="KR13" s="2">
        <v>195.96</v>
      </c>
      <c r="KS13" s="2">
        <v>69.81</v>
      </c>
      <c r="KT13" s="2">
        <v>289.88</v>
      </c>
      <c r="KU13" s="2">
        <v>160.32</v>
      </c>
      <c r="KV13" s="2">
        <v>126.08</v>
      </c>
      <c r="KW13" s="2">
        <v>87.88</v>
      </c>
      <c r="KX13" s="2">
        <v>112.06</v>
      </c>
      <c r="KY13" s="2">
        <v>133.99</v>
      </c>
      <c r="KZ13" s="2">
        <v>14.4</v>
      </c>
      <c r="LA13" s="2">
        <v>77.010000000000005</v>
      </c>
      <c r="LB13" s="2">
        <v>214.17</v>
      </c>
      <c r="LC13" s="2">
        <v>96</v>
      </c>
      <c r="LD13" s="2">
        <v>80.48</v>
      </c>
      <c r="LE13" s="2">
        <v>45.44</v>
      </c>
      <c r="LF13" s="2">
        <v>88.37</v>
      </c>
      <c r="LG13" s="2">
        <v>231.21</v>
      </c>
      <c r="LH13" s="2">
        <v>52.8</v>
      </c>
      <c r="LI13" s="2">
        <v>1.08</v>
      </c>
      <c r="LJ13" s="2">
        <v>200.55</v>
      </c>
      <c r="LK13" s="2">
        <v>291.8</v>
      </c>
      <c r="LL13" s="2">
        <v>121.37</v>
      </c>
      <c r="LM13" s="2">
        <v>23.98</v>
      </c>
      <c r="LN13" s="2">
        <v>64.150000000000006</v>
      </c>
      <c r="LO13" s="2">
        <v>260.3</v>
      </c>
      <c r="LP13" s="2">
        <v>46.51</v>
      </c>
      <c r="LQ13" s="2">
        <v>121.54</v>
      </c>
      <c r="LR13" s="2">
        <v>120.8</v>
      </c>
      <c r="LS13" s="2">
        <v>41.57</v>
      </c>
      <c r="LT13" s="2">
        <v>162.68</v>
      </c>
      <c r="LU13" s="2">
        <v>222.86</v>
      </c>
      <c r="LV13" s="2">
        <v>132.32</v>
      </c>
      <c r="LW13" s="2">
        <v>70.900000000000006</v>
      </c>
      <c r="LX13" s="2">
        <v>19.57</v>
      </c>
      <c r="LY13" s="2">
        <v>115.23</v>
      </c>
      <c r="LZ13" s="2">
        <v>110.74</v>
      </c>
      <c r="MA13" s="2">
        <v>37.68</v>
      </c>
      <c r="MB13" s="2">
        <v>11.25</v>
      </c>
      <c r="MC13" s="2">
        <v>16.14</v>
      </c>
      <c r="MD13" s="2">
        <v>297.83</v>
      </c>
      <c r="ME13" s="2">
        <v>156.72</v>
      </c>
      <c r="MF13" s="2">
        <v>276.60000000000002</v>
      </c>
      <c r="MG13" s="2">
        <v>39.01</v>
      </c>
      <c r="MH13" s="2">
        <v>192.11</v>
      </c>
      <c r="MI13" s="2">
        <v>42.8</v>
      </c>
      <c r="MJ13" s="2">
        <v>101.82</v>
      </c>
      <c r="MK13" s="2">
        <v>165.94</v>
      </c>
      <c r="ML13" s="2">
        <v>104.94</v>
      </c>
      <c r="MM13" s="2">
        <v>127.46</v>
      </c>
      <c r="MN13" s="2">
        <v>25.64</v>
      </c>
      <c r="MO13" s="2">
        <v>36.869999999999997</v>
      </c>
      <c r="MP13" s="2">
        <v>123.91</v>
      </c>
      <c r="MQ13" s="2">
        <v>202.67</v>
      </c>
      <c r="MR13" s="2">
        <v>233.2</v>
      </c>
      <c r="MS13" s="2">
        <v>167.01</v>
      </c>
      <c r="MT13" s="2">
        <v>129.15</v>
      </c>
      <c r="MU13" s="2">
        <v>2.7</v>
      </c>
      <c r="MV13" s="2">
        <v>32.43</v>
      </c>
      <c r="MW13" s="2">
        <v>196.98</v>
      </c>
      <c r="MX13" s="2">
        <v>15.2</v>
      </c>
      <c r="MY13" s="2">
        <v>135.76</v>
      </c>
      <c r="MZ13" s="2">
        <v>35.22</v>
      </c>
      <c r="NA13" s="2">
        <v>143.34</v>
      </c>
      <c r="NB13" s="2">
        <v>141.19999999999999</v>
      </c>
      <c r="NC13" s="2">
        <v>46.84</v>
      </c>
      <c r="ND13" s="2">
        <v>53.93</v>
      </c>
      <c r="NE13" s="2">
        <v>130.94999999999999</v>
      </c>
      <c r="NF13" s="2">
        <v>117.03</v>
      </c>
      <c r="NG13" s="2">
        <v>38.909999999999997</v>
      </c>
      <c r="NH13" s="2">
        <v>146.34</v>
      </c>
      <c r="NI13" s="2">
        <v>30.83</v>
      </c>
      <c r="NJ13" s="2">
        <v>171.13</v>
      </c>
      <c r="NK13" s="2">
        <v>102.93</v>
      </c>
      <c r="NL13" s="2">
        <v>31.71</v>
      </c>
      <c r="NM13" s="2">
        <v>138.81</v>
      </c>
      <c r="NN13" s="2">
        <v>103.83</v>
      </c>
      <c r="NO13" s="2">
        <v>89.42</v>
      </c>
      <c r="NP13" s="2">
        <v>126.77</v>
      </c>
      <c r="NQ13" s="2">
        <v>59.67</v>
      </c>
      <c r="NR13" s="2">
        <v>52.61</v>
      </c>
      <c r="NS13" s="2">
        <v>32.72</v>
      </c>
      <c r="NT13" s="2">
        <v>72.55</v>
      </c>
      <c r="NU13" s="2">
        <v>50.2</v>
      </c>
      <c r="NV13" s="2">
        <v>136.69</v>
      </c>
      <c r="NW13" s="2">
        <v>136.78</v>
      </c>
      <c r="NX13" s="2">
        <v>100.37</v>
      </c>
      <c r="NY13" s="2">
        <v>155.59</v>
      </c>
      <c r="NZ13" s="2">
        <v>168.27</v>
      </c>
      <c r="OA13" s="2">
        <v>173.92</v>
      </c>
      <c r="OB13" s="2">
        <v>123.79</v>
      </c>
      <c r="OC13" s="2">
        <v>84.87</v>
      </c>
      <c r="OD13" s="2">
        <v>268.45999999999998</v>
      </c>
      <c r="OE13" s="2">
        <v>4.84</v>
      </c>
      <c r="OF13" s="2">
        <v>69.72</v>
      </c>
      <c r="OG13" s="2">
        <v>144.36000000000001</v>
      </c>
      <c r="OH13" s="2">
        <v>16.02</v>
      </c>
      <c r="OI13" s="2">
        <v>36.630000000000003</v>
      </c>
      <c r="OJ13" s="2">
        <v>176.79</v>
      </c>
      <c r="OK13" s="2">
        <v>112</v>
      </c>
      <c r="OL13" s="2">
        <v>147.79</v>
      </c>
      <c r="OM13" s="2">
        <v>243.78</v>
      </c>
      <c r="ON13" s="2">
        <v>38.58</v>
      </c>
      <c r="OO13" s="2">
        <v>3.68</v>
      </c>
      <c r="OP13" s="2">
        <v>137.93</v>
      </c>
      <c r="OQ13" s="2">
        <v>90.42</v>
      </c>
      <c r="OR13" s="2">
        <v>125.2</v>
      </c>
      <c r="OS13" s="2">
        <v>30.11</v>
      </c>
      <c r="OT13" s="2">
        <v>93.81</v>
      </c>
      <c r="OU13" s="2">
        <v>151.32</v>
      </c>
      <c r="OV13" s="2">
        <v>117.02</v>
      </c>
      <c r="OW13" s="2">
        <v>153.94</v>
      </c>
      <c r="OX13" s="2">
        <v>99.14</v>
      </c>
      <c r="OY13" s="2">
        <v>66.55</v>
      </c>
      <c r="OZ13" s="2">
        <v>21.36</v>
      </c>
      <c r="PA13" s="2">
        <v>17.899999999999999</v>
      </c>
      <c r="PB13" s="2">
        <v>86.76</v>
      </c>
      <c r="PC13" s="2">
        <v>106.74</v>
      </c>
      <c r="PD13" s="2">
        <v>103.23</v>
      </c>
      <c r="PE13" s="2">
        <v>91.46</v>
      </c>
      <c r="PF13" s="2">
        <v>137.58000000000001</v>
      </c>
      <c r="PG13" s="2">
        <v>172.79</v>
      </c>
      <c r="PH13" s="2">
        <v>59.77</v>
      </c>
      <c r="PI13" s="2">
        <v>38.6</v>
      </c>
      <c r="PJ13" s="2">
        <v>23.24</v>
      </c>
      <c r="PK13" s="2">
        <v>123.25</v>
      </c>
      <c r="PL13" s="2">
        <v>88.77</v>
      </c>
      <c r="PM13" s="2">
        <v>37.6</v>
      </c>
      <c r="PN13" s="2">
        <v>130.63</v>
      </c>
      <c r="PO13" s="2">
        <v>44.55</v>
      </c>
      <c r="PP13" s="2">
        <v>110.86</v>
      </c>
      <c r="PQ13" s="2">
        <v>105.43</v>
      </c>
      <c r="PR13" s="2">
        <v>146.85</v>
      </c>
      <c r="PS13" s="2">
        <v>11.02</v>
      </c>
      <c r="PT13" s="2">
        <v>266.36</v>
      </c>
      <c r="PU13" s="2">
        <v>210.9</v>
      </c>
      <c r="PV13" s="2">
        <v>43.23</v>
      </c>
      <c r="PW13" s="2">
        <v>55.02</v>
      </c>
      <c r="PX13" s="2">
        <v>86.33</v>
      </c>
      <c r="PY13" s="2">
        <v>163.51</v>
      </c>
      <c r="PZ13" s="2">
        <v>252.88</v>
      </c>
      <c r="QA13" s="2">
        <v>104.09</v>
      </c>
      <c r="QB13" s="2">
        <v>172.16</v>
      </c>
      <c r="QC13" s="2">
        <v>1.0900000000000001</v>
      </c>
      <c r="QD13" s="2">
        <v>7.03</v>
      </c>
      <c r="QE13" s="2">
        <v>273.54000000000002</v>
      </c>
      <c r="QF13" s="2">
        <v>232.6</v>
      </c>
      <c r="QG13" s="2">
        <v>90.14</v>
      </c>
      <c r="QH13" s="2">
        <v>150.72</v>
      </c>
      <c r="QI13" s="2">
        <v>191.13</v>
      </c>
      <c r="QJ13" s="2">
        <v>231.63</v>
      </c>
      <c r="QK13" s="2">
        <v>168.47</v>
      </c>
      <c r="QL13" s="2">
        <v>152.12</v>
      </c>
      <c r="QM13" s="2">
        <v>33.64</v>
      </c>
      <c r="QN13" s="2">
        <v>166.71</v>
      </c>
      <c r="QO13" s="2">
        <v>58.53</v>
      </c>
      <c r="QP13" s="2">
        <v>178.52</v>
      </c>
      <c r="QQ13" s="2">
        <v>137.6</v>
      </c>
      <c r="QR13" s="2">
        <v>135.4</v>
      </c>
      <c r="QS13" s="2">
        <v>99.45</v>
      </c>
      <c r="QT13" s="2">
        <v>28.2</v>
      </c>
      <c r="QU13" s="2">
        <v>58.14</v>
      </c>
      <c r="QV13" s="2">
        <v>295.12</v>
      </c>
      <c r="QW13" s="2">
        <v>192.14</v>
      </c>
      <c r="QX13" s="2">
        <v>64.099999999999994</v>
      </c>
      <c r="QY13" s="2">
        <v>199.26</v>
      </c>
      <c r="QZ13" s="2">
        <v>169.11</v>
      </c>
      <c r="RA13" s="2">
        <v>183.28</v>
      </c>
      <c r="RB13" s="2">
        <v>8.02</v>
      </c>
      <c r="RC13" s="2">
        <v>180.29</v>
      </c>
      <c r="RD13" s="2">
        <v>111.49</v>
      </c>
      <c r="RE13" s="2">
        <v>260.55</v>
      </c>
      <c r="RF13" s="2">
        <v>166.89</v>
      </c>
      <c r="RG13" s="2">
        <v>249.9</v>
      </c>
      <c r="RH13" s="2">
        <v>139.63</v>
      </c>
      <c r="RI13" s="2">
        <v>58.28</v>
      </c>
      <c r="RJ13" s="2">
        <v>67.23</v>
      </c>
      <c r="RK13" s="2">
        <v>61.69</v>
      </c>
      <c r="RL13" s="2">
        <v>4.01</v>
      </c>
      <c r="RM13" s="2">
        <v>116.51</v>
      </c>
      <c r="RN13" s="2">
        <v>139.77000000000001</v>
      </c>
      <c r="RO13" s="2">
        <v>256.16000000000003</v>
      </c>
      <c r="RP13" s="2">
        <v>28.03</v>
      </c>
      <c r="RQ13" s="2">
        <v>108.84</v>
      </c>
      <c r="RR13" s="2">
        <v>1.6</v>
      </c>
      <c r="RS13" s="2">
        <v>19.02</v>
      </c>
      <c r="RT13" s="2">
        <v>10.84</v>
      </c>
      <c r="RU13" s="2">
        <v>145.1</v>
      </c>
      <c r="RV13" s="2">
        <v>16.21</v>
      </c>
      <c r="RW13" s="2">
        <v>214.94</v>
      </c>
      <c r="RX13" s="2">
        <v>49.92</v>
      </c>
      <c r="RY13" s="2">
        <v>175.54</v>
      </c>
      <c r="RZ13" s="2">
        <v>162.63</v>
      </c>
      <c r="SA13" s="2">
        <v>287.36</v>
      </c>
      <c r="SB13" s="2">
        <v>176.75</v>
      </c>
      <c r="SC13" s="2">
        <v>186.67</v>
      </c>
      <c r="SD13" s="2">
        <v>171.75</v>
      </c>
      <c r="SE13" s="2">
        <v>138.68</v>
      </c>
      <c r="SF13" s="2">
        <v>34.049999999999997</v>
      </c>
      <c r="SG13" s="2">
        <v>54.34</v>
      </c>
      <c r="SH13" s="2">
        <v>63.82</v>
      </c>
      <c r="SI13" s="2">
        <v>181.08</v>
      </c>
      <c r="SJ13" s="2">
        <v>100.72</v>
      </c>
      <c r="SK13" s="2">
        <v>173.42</v>
      </c>
      <c r="SL13" s="2">
        <v>190.53</v>
      </c>
      <c r="SM13" s="2">
        <v>121.46</v>
      </c>
      <c r="SN13" s="2">
        <v>101.27</v>
      </c>
      <c r="SO13" s="2">
        <v>194.3</v>
      </c>
      <c r="SP13" s="2">
        <v>55.25</v>
      </c>
      <c r="SQ13" s="2">
        <v>158.47999999999999</v>
      </c>
      <c r="SR13" s="2">
        <v>45.05</v>
      </c>
      <c r="SS13" s="2">
        <v>204.44</v>
      </c>
      <c r="ST13" s="2">
        <v>50.72</v>
      </c>
      <c r="SU13" s="2">
        <v>265.12</v>
      </c>
      <c r="SV13" s="2">
        <v>112.3</v>
      </c>
      <c r="SW13" s="2">
        <v>37.19</v>
      </c>
      <c r="SX13" s="2">
        <v>44.87</v>
      </c>
      <c r="SY13" s="2">
        <v>98.77</v>
      </c>
      <c r="SZ13" s="2">
        <v>192.32</v>
      </c>
      <c r="TA13" s="2">
        <v>230.9</v>
      </c>
      <c r="TB13" s="2">
        <v>146.49</v>
      </c>
      <c r="TC13" s="2">
        <v>67.540000000000006</v>
      </c>
      <c r="TD13" s="2">
        <v>109.85</v>
      </c>
      <c r="TE13" s="2">
        <v>149.66999999999999</v>
      </c>
      <c r="TF13" s="2">
        <v>156.79</v>
      </c>
      <c r="TG13" s="2">
        <v>64.92</v>
      </c>
      <c r="TH13" s="2">
        <v>144.22999999999999</v>
      </c>
      <c r="TI13" s="2">
        <v>131.56</v>
      </c>
      <c r="TJ13" s="2">
        <v>191.82</v>
      </c>
      <c r="TK13" s="2">
        <v>279.33</v>
      </c>
      <c r="TL13" s="2">
        <v>157.88</v>
      </c>
      <c r="TM13" s="2">
        <v>144.68</v>
      </c>
      <c r="TN13" s="2">
        <v>82.22</v>
      </c>
      <c r="TO13" s="2">
        <v>169.19</v>
      </c>
      <c r="TP13" s="2">
        <v>85.5</v>
      </c>
      <c r="TQ13" s="2">
        <v>54.45</v>
      </c>
      <c r="TR13" s="2">
        <v>76.83</v>
      </c>
      <c r="TS13" s="2">
        <v>167.19</v>
      </c>
      <c r="TT13" s="2">
        <v>29.73</v>
      </c>
      <c r="TU13" s="2">
        <v>91.23</v>
      </c>
      <c r="TV13" s="2">
        <v>98.47</v>
      </c>
      <c r="TW13" s="2">
        <v>7.33</v>
      </c>
      <c r="TX13" s="2">
        <v>58.72</v>
      </c>
      <c r="TY13" s="2">
        <v>165.35</v>
      </c>
      <c r="TZ13" s="2">
        <v>166.15</v>
      </c>
      <c r="UA13" s="2">
        <v>58.48</v>
      </c>
      <c r="UB13" s="2">
        <v>174.98</v>
      </c>
      <c r="UC13" s="2">
        <v>154.36000000000001</v>
      </c>
      <c r="UD13" s="2">
        <v>83.58</v>
      </c>
      <c r="UE13" s="2">
        <v>149.68</v>
      </c>
      <c r="UF13" s="2">
        <v>192.27</v>
      </c>
      <c r="UG13" s="2">
        <v>91.79</v>
      </c>
      <c r="UH13" s="2">
        <v>47.69</v>
      </c>
      <c r="UI13" s="2">
        <v>282.54000000000002</v>
      </c>
      <c r="UJ13" s="2">
        <v>120.75</v>
      </c>
      <c r="UK13" s="2">
        <v>21.05</v>
      </c>
      <c r="UL13" s="2">
        <v>171.81</v>
      </c>
      <c r="UM13" s="2">
        <v>100.12</v>
      </c>
      <c r="UN13" s="2">
        <v>256.68</v>
      </c>
      <c r="UO13" s="2">
        <v>106.14</v>
      </c>
      <c r="UP13" s="2">
        <v>51.05</v>
      </c>
      <c r="UQ13" s="2">
        <v>202.7</v>
      </c>
      <c r="UR13" s="2">
        <v>108.52</v>
      </c>
      <c r="US13" s="2">
        <v>69.91</v>
      </c>
      <c r="UT13" s="2">
        <v>114.73</v>
      </c>
      <c r="UU13" s="2">
        <v>164.31</v>
      </c>
      <c r="UV13" s="2">
        <v>5.71</v>
      </c>
      <c r="UW13" s="2">
        <v>189.26</v>
      </c>
      <c r="UX13" s="2">
        <v>104.88</v>
      </c>
      <c r="UY13" s="2">
        <v>58.53</v>
      </c>
      <c r="UZ13" s="2">
        <v>78.52</v>
      </c>
      <c r="VA13" s="2">
        <v>68.400000000000006</v>
      </c>
      <c r="VB13" s="2">
        <v>249.68</v>
      </c>
      <c r="VC13" s="2">
        <v>54.96</v>
      </c>
      <c r="VD13" s="2">
        <v>146.63</v>
      </c>
      <c r="VE13" s="2">
        <v>18.809999999999999</v>
      </c>
      <c r="VF13" s="2">
        <v>190.28</v>
      </c>
      <c r="VG13" s="2">
        <v>186.69</v>
      </c>
      <c r="VH13" s="2">
        <v>141.34</v>
      </c>
      <c r="VI13" s="2">
        <v>59.61</v>
      </c>
      <c r="VJ13" s="2">
        <v>82.42</v>
      </c>
      <c r="VK13" s="2">
        <v>67.14</v>
      </c>
      <c r="VL13" s="2">
        <v>186.51</v>
      </c>
      <c r="VM13" s="2">
        <v>146.43</v>
      </c>
      <c r="VN13" s="2">
        <v>126.09</v>
      </c>
      <c r="VO13" s="2">
        <v>220.27</v>
      </c>
      <c r="VP13" s="2">
        <v>74.22</v>
      </c>
      <c r="VQ13" s="2">
        <v>144.02000000000001</v>
      </c>
      <c r="VR13" s="2">
        <v>135.19999999999999</v>
      </c>
      <c r="VS13" s="2">
        <v>141.13</v>
      </c>
      <c r="VT13" s="2">
        <v>97.85</v>
      </c>
      <c r="VU13" s="2">
        <v>114.88</v>
      </c>
      <c r="VV13" s="2">
        <v>66.63</v>
      </c>
      <c r="VW13" s="2">
        <v>164.93</v>
      </c>
      <c r="VX13" s="2">
        <v>121.67</v>
      </c>
      <c r="VY13" s="2">
        <v>133.30000000000001</v>
      </c>
      <c r="VZ13" s="2">
        <v>188.8</v>
      </c>
      <c r="WA13" s="2">
        <v>9.57</v>
      </c>
      <c r="WB13" s="2">
        <v>255.04</v>
      </c>
      <c r="WC13" s="2">
        <v>199.52</v>
      </c>
      <c r="WD13" s="2">
        <v>177.39</v>
      </c>
      <c r="WE13" s="2">
        <v>162.09</v>
      </c>
      <c r="WF13" s="2">
        <v>74.86</v>
      </c>
      <c r="WG13" s="2">
        <v>46.26</v>
      </c>
      <c r="WH13" s="2">
        <v>146.97</v>
      </c>
      <c r="WI13" s="2">
        <v>60.92</v>
      </c>
      <c r="WJ13" s="2">
        <v>35.21</v>
      </c>
      <c r="WK13" s="2">
        <v>157.31</v>
      </c>
      <c r="WL13" s="2">
        <v>93.76</v>
      </c>
      <c r="WM13" s="2">
        <v>182.89</v>
      </c>
      <c r="WN13" s="2">
        <v>168.13</v>
      </c>
      <c r="WO13" s="2">
        <v>169.53</v>
      </c>
      <c r="WP13" s="2">
        <v>154.31</v>
      </c>
      <c r="WQ13" s="2">
        <v>264.27</v>
      </c>
      <c r="WR13" s="2">
        <v>161.15</v>
      </c>
      <c r="WS13" s="2">
        <v>180.75</v>
      </c>
      <c r="WT13" s="2">
        <v>59.16</v>
      </c>
      <c r="WU13" s="2">
        <v>177.64</v>
      </c>
      <c r="WV13" s="2">
        <v>168.12</v>
      </c>
      <c r="WW13" s="2">
        <v>94.58</v>
      </c>
      <c r="WX13" s="2">
        <v>7.82</v>
      </c>
      <c r="WY13" s="2">
        <v>127.71</v>
      </c>
      <c r="WZ13" s="2">
        <v>15.18</v>
      </c>
      <c r="XA13" s="2">
        <v>185.26</v>
      </c>
      <c r="XB13" s="2">
        <v>192.33</v>
      </c>
      <c r="XC13" s="2">
        <v>56.85</v>
      </c>
      <c r="XD13" s="2">
        <v>135.28</v>
      </c>
      <c r="XE13" s="2">
        <v>18.45</v>
      </c>
      <c r="XF13" s="2">
        <v>145.9</v>
      </c>
      <c r="XG13" s="2">
        <v>69.459999999999994</v>
      </c>
      <c r="XH13" s="2">
        <v>136.21</v>
      </c>
      <c r="XI13" s="2">
        <v>111.87</v>
      </c>
      <c r="XJ13" s="2">
        <v>29.11</v>
      </c>
      <c r="XK13" s="2">
        <v>81.22</v>
      </c>
      <c r="XL13" s="2">
        <v>22.53</v>
      </c>
      <c r="XM13" s="2">
        <v>115.38</v>
      </c>
      <c r="XN13" s="2">
        <v>8.19</v>
      </c>
      <c r="XO13" s="2">
        <v>158.19</v>
      </c>
      <c r="XP13" s="2">
        <v>177.27</v>
      </c>
      <c r="XQ13" s="2">
        <v>167.57</v>
      </c>
      <c r="XR13" s="2">
        <v>264.83999999999997</v>
      </c>
      <c r="XS13" s="2">
        <v>184.41</v>
      </c>
      <c r="XT13" s="2">
        <v>20.91</v>
      </c>
      <c r="XU13" s="2">
        <v>25.75</v>
      </c>
      <c r="XV13" s="2">
        <v>111.4</v>
      </c>
      <c r="XW13" s="2">
        <v>268.18</v>
      </c>
      <c r="XX13" s="2">
        <v>194.87</v>
      </c>
      <c r="XY13" s="2">
        <v>13.88</v>
      </c>
      <c r="XZ13" s="2">
        <v>71.150000000000006</v>
      </c>
      <c r="YA13" s="2">
        <v>42.58</v>
      </c>
      <c r="YB13" s="2">
        <v>151.19</v>
      </c>
      <c r="YC13" s="2">
        <v>128.04</v>
      </c>
      <c r="YD13" s="2">
        <v>23.98</v>
      </c>
      <c r="YE13" s="2">
        <v>145.05000000000001</v>
      </c>
      <c r="YF13" s="2">
        <v>205.64</v>
      </c>
      <c r="YG13" s="2">
        <v>155.80000000000001</v>
      </c>
      <c r="YH13" s="2">
        <v>4.01</v>
      </c>
      <c r="YI13" s="2">
        <v>178.09</v>
      </c>
      <c r="YJ13" s="2">
        <v>113.86</v>
      </c>
      <c r="YK13" s="2">
        <v>243.57</v>
      </c>
      <c r="YL13" s="2">
        <v>161.59</v>
      </c>
      <c r="YM13" s="2">
        <v>37.97</v>
      </c>
      <c r="YN13" s="2">
        <v>33.04</v>
      </c>
      <c r="YO13" s="2">
        <v>144.26</v>
      </c>
      <c r="YP13" s="2">
        <v>46.94</v>
      </c>
      <c r="YQ13" s="2">
        <v>169.99</v>
      </c>
      <c r="YR13" s="2">
        <v>145.24</v>
      </c>
      <c r="YS13" s="2">
        <v>252.56</v>
      </c>
      <c r="YT13" s="2">
        <v>59.8</v>
      </c>
      <c r="YU13" s="2">
        <v>94.98</v>
      </c>
      <c r="YV13" s="2">
        <v>134.24</v>
      </c>
      <c r="YW13" s="2">
        <v>6.29</v>
      </c>
      <c r="YX13" s="2">
        <v>145.30000000000001</v>
      </c>
      <c r="YY13" s="2">
        <v>250.74</v>
      </c>
      <c r="YZ13" s="2">
        <v>83.03</v>
      </c>
      <c r="ZA13" s="2">
        <v>152.97999999999999</v>
      </c>
      <c r="ZB13" s="2">
        <v>52.38</v>
      </c>
      <c r="ZC13" s="2">
        <v>96.68</v>
      </c>
      <c r="ZD13" s="2">
        <v>194.86</v>
      </c>
      <c r="ZE13" s="2">
        <v>295.91000000000003</v>
      </c>
      <c r="ZF13" s="2">
        <v>102.52</v>
      </c>
      <c r="ZG13" s="2">
        <v>186.85</v>
      </c>
      <c r="ZH13" s="2">
        <v>104.55</v>
      </c>
      <c r="ZI13" s="2">
        <v>87.48</v>
      </c>
      <c r="ZJ13" s="2">
        <v>80.069999999999993</v>
      </c>
      <c r="ZK13" s="2">
        <v>185.9</v>
      </c>
      <c r="ZL13" s="2">
        <v>34.49</v>
      </c>
      <c r="ZM13" s="2">
        <v>173.9</v>
      </c>
      <c r="ZN13" s="2">
        <v>166.66</v>
      </c>
      <c r="ZO13" s="2">
        <v>221.88</v>
      </c>
      <c r="ZP13" s="2">
        <v>149.77000000000001</v>
      </c>
      <c r="ZQ13" s="2">
        <v>54.46</v>
      </c>
      <c r="ZR13" s="2">
        <v>50.82</v>
      </c>
      <c r="ZS13" s="2">
        <v>124.16</v>
      </c>
      <c r="ZT13" s="2">
        <v>215.7</v>
      </c>
      <c r="ZU13" s="2">
        <v>113.9</v>
      </c>
      <c r="ZV13" s="2">
        <v>147.66999999999999</v>
      </c>
      <c r="ZW13" s="2">
        <v>28.3</v>
      </c>
      <c r="ZX13" s="2">
        <v>264.74</v>
      </c>
      <c r="ZY13" s="2">
        <v>174.72</v>
      </c>
      <c r="ZZ13" s="2">
        <v>38.06</v>
      </c>
      <c r="AAA13" s="2">
        <v>92.39</v>
      </c>
      <c r="AAB13" s="2">
        <v>253.44</v>
      </c>
      <c r="AAC13" s="2">
        <v>179.51</v>
      </c>
      <c r="AAD13" s="2">
        <v>52.93</v>
      </c>
      <c r="AAE13" s="2">
        <v>142.25</v>
      </c>
      <c r="AAF13" s="2">
        <v>20</v>
      </c>
      <c r="AAG13" s="2">
        <v>6.71</v>
      </c>
      <c r="AAH13" s="2">
        <v>112.08</v>
      </c>
      <c r="AAI13" s="2">
        <v>138.97</v>
      </c>
      <c r="AAJ13" s="2">
        <v>159.16</v>
      </c>
      <c r="AAK13" s="2">
        <v>102.06</v>
      </c>
      <c r="AAL13" s="2">
        <v>1.31</v>
      </c>
      <c r="AAM13" s="2">
        <v>95.9</v>
      </c>
      <c r="AAN13" s="2">
        <v>3.17</v>
      </c>
      <c r="AAO13" s="2">
        <v>18.399999999999999</v>
      </c>
      <c r="AAP13" s="2">
        <v>65.34</v>
      </c>
      <c r="AAQ13" s="2">
        <v>131.15</v>
      </c>
      <c r="AAR13" s="2">
        <v>83.84</v>
      </c>
      <c r="AAS13" s="2">
        <v>174.56</v>
      </c>
      <c r="AAT13" s="2">
        <v>11.07</v>
      </c>
      <c r="AAU13" s="2">
        <v>28.92</v>
      </c>
      <c r="AAV13" s="2">
        <v>139.05000000000001</v>
      </c>
      <c r="AAW13" s="2">
        <v>42.64</v>
      </c>
      <c r="AAX13" s="2">
        <v>127.96</v>
      </c>
      <c r="AAY13" s="2">
        <v>10.94</v>
      </c>
      <c r="AAZ13" s="2">
        <v>81.48</v>
      </c>
      <c r="ABA13" s="2">
        <v>35.479999999999997</v>
      </c>
      <c r="ABB13" s="2">
        <v>32.89</v>
      </c>
      <c r="ABC13" s="2">
        <v>113.41</v>
      </c>
      <c r="ABD13" s="2">
        <v>185.67</v>
      </c>
      <c r="ABE13" s="2">
        <v>10.96</v>
      </c>
      <c r="ABF13" s="2">
        <v>126.46</v>
      </c>
      <c r="ABG13" s="2">
        <v>141.51</v>
      </c>
      <c r="ABH13" s="2">
        <v>92.54</v>
      </c>
      <c r="ABI13" s="2">
        <v>241.95</v>
      </c>
      <c r="ABJ13" s="2">
        <v>35.93</v>
      </c>
      <c r="ABK13" s="2">
        <v>191.92</v>
      </c>
      <c r="ABL13" s="2">
        <v>77.03</v>
      </c>
      <c r="ABM13" s="2">
        <v>68.31</v>
      </c>
      <c r="ABN13" s="2">
        <v>174.92</v>
      </c>
      <c r="ABO13" s="2">
        <v>112.77</v>
      </c>
      <c r="ABP13" s="2">
        <v>154.94</v>
      </c>
      <c r="ABQ13" s="2">
        <v>218.1</v>
      </c>
      <c r="ABR13" s="2">
        <v>115.97</v>
      </c>
      <c r="ABS13" s="2">
        <v>48.75</v>
      </c>
      <c r="ABT13" s="2">
        <v>134.84</v>
      </c>
      <c r="ABU13" s="2">
        <v>40.04</v>
      </c>
      <c r="ABV13" s="2">
        <v>161.16999999999999</v>
      </c>
      <c r="ABW13" s="2">
        <v>296.92</v>
      </c>
      <c r="ABX13" s="2">
        <v>75.48</v>
      </c>
      <c r="ABY13" s="2">
        <v>88.95</v>
      </c>
      <c r="ABZ13" s="2">
        <v>9.2899999999999991</v>
      </c>
      <c r="ACA13" s="2">
        <v>2.75</v>
      </c>
      <c r="ACB13" s="2">
        <v>184.28</v>
      </c>
      <c r="ACC13" s="2">
        <v>25.72</v>
      </c>
      <c r="ACD13" s="2">
        <v>89.16</v>
      </c>
      <c r="ACE13" s="2">
        <v>163.07</v>
      </c>
      <c r="ACF13" s="2">
        <v>177.86</v>
      </c>
      <c r="ACG13" s="2">
        <v>155.82</v>
      </c>
      <c r="ACH13" s="2">
        <v>113.01</v>
      </c>
      <c r="ACI13" s="2">
        <v>200.91</v>
      </c>
      <c r="ACJ13" s="2">
        <v>192.28</v>
      </c>
      <c r="ACK13" s="2">
        <v>120.53</v>
      </c>
      <c r="ACL13" s="2">
        <v>111.9</v>
      </c>
      <c r="ACM13" s="2">
        <v>2.91</v>
      </c>
      <c r="ACN13" s="2">
        <v>16.190000000000001</v>
      </c>
      <c r="ACO13" s="2">
        <v>173.14</v>
      </c>
      <c r="ACP13" s="2">
        <v>187.25</v>
      </c>
      <c r="ACQ13" s="2">
        <v>173.34</v>
      </c>
      <c r="ACR13" s="2">
        <v>196.52</v>
      </c>
      <c r="ACS13" s="2">
        <v>105.57</v>
      </c>
      <c r="ACT13" s="2">
        <v>157.59</v>
      </c>
      <c r="ACU13" s="2">
        <v>168.08</v>
      </c>
      <c r="ACV13" s="2">
        <v>194.42</v>
      </c>
      <c r="ACW13" s="2">
        <v>67.75</v>
      </c>
      <c r="ACX13" s="2">
        <v>94</v>
      </c>
      <c r="ACY13" s="2">
        <v>171.58</v>
      </c>
      <c r="ACZ13" s="2">
        <v>59.71</v>
      </c>
      <c r="ADA13" s="2">
        <v>277.12</v>
      </c>
      <c r="ADB13" s="2">
        <v>45.96</v>
      </c>
      <c r="ADC13" s="2">
        <v>149.9</v>
      </c>
      <c r="ADD13" s="2">
        <v>126.11</v>
      </c>
      <c r="ADE13" s="2">
        <v>149.91999999999999</v>
      </c>
      <c r="ADF13" s="2">
        <v>87.47</v>
      </c>
      <c r="ADG13" s="2">
        <v>186.53</v>
      </c>
      <c r="ADH13" s="2">
        <v>189.74</v>
      </c>
      <c r="ADI13" s="2">
        <v>86.49</v>
      </c>
      <c r="ADJ13" s="2">
        <v>127.69</v>
      </c>
      <c r="ADK13" s="2">
        <v>57.36</v>
      </c>
      <c r="ADL13" s="2">
        <v>88.1</v>
      </c>
      <c r="ADM13" s="2">
        <v>79.92</v>
      </c>
      <c r="ADN13" s="2">
        <v>170.49</v>
      </c>
      <c r="ADO13" s="2">
        <v>100.06</v>
      </c>
      <c r="ADP13" s="2">
        <v>203.67</v>
      </c>
      <c r="ADQ13" s="2">
        <v>78.39</v>
      </c>
      <c r="ADR13" s="2">
        <v>52.72</v>
      </c>
      <c r="ADS13" s="2">
        <v>286.39999999999998</v>
      </c>
      <c r="ADT13" s="2">
        <v>120.72</v>
      </c>
      <c r="ADU13" s="2">
        <v>280.18</v>
      </c>
      <c r="ADV13" s="2">
        <v>40.68</v>
      </c>
      <c r="ADW13" s="2">
        <v>44.07</v>
      </c>
      <c r="ADX13" s="2">
        <v>171.16</v>
      </c>
      <c r="ADY13" s="2">
        <v>136.18</v>
      </c>
      <c r="ADZ13" s="2">
        <v>37.32</v>
      </c>
      <c r="AEA13" s="2">
        <v>80.8</v>
      </c>
      <c r="AEB13" s="2">
        <v>160.13</v>
      </c>
      <c r="AEC13" s="2">
        <v>136.16</v>
      </c>
      <c r="AED13" s="2">
        <v>134.11000000000001</v>
      </c>
      <c r="AEE13" s="2">
        <v>63.67</v>
      </c>
      <c r="AEF13" s="2">
        <v>76.25</v>
      </c>
      <c r="AEG13" s="2">
        <v>297.20999999999998</v>
      </c>
      <c r="AEH13" s="2">
        <v>49.52</v>
      </c>
      <c r="AEI13" s="2">
        <v>101.29</v>
      </c>
      <c r="AEJ13" s="2">
        <v>168.88</v>
      </c>
      <c r="AEK13" s="2">
        <v>47.84</v>
      </c>
      <c r="AEL13" s="2">
        <v>83.04</v>
      </c>
      <c r="AEM13" s="2">
        <v>123.02</v>
      </c>
      <c r="AEN13" s="2">
        <v>144.36000000000001</v>
      </c>
      <c r="AEO13" s="2">
        <v>91.9</v>
      </c>
      <c r="AEP13" s="2">
        <v>72.5</v>
      </c>
      <c r="AEQ13" s="2">
        <v>117.33</v>
      </c>
      <c r="AER13" s="2">
        <v>124.87</v>
      </c>
      <c r="AES13" s="2">
        <v>130.66</v>
      </c>
      <c r="AET13" s="2">
        <v>14.07</v>
      </c>
      <c r="AEU13" s="2">
        <v>126.21</v>
      </c>
      <c r="AEV13" s="2">
        <v>285.98</v>
      </c>
      <c r="AEW13" s="2">
        <v>108.2</v>
      </c>
      <c r="AEX13" s="2">
        <v>143.05000000000001</v>
      </c>
      <c r="AEY13" s="2">
        <v>167.02</v>
      </c>
      <c r="AEZ13" s="2">
        <v>256.42</v>
      </c>
      <c r="AFA13" s="2">
        <v>185.92</v>
      </c>
      <c r="AFB13" s="2">
        <v>36.840000000000003</v>
      </c>
      <c r="AFC13" s="2">
        <v>87.37</v>
      </c>
      <c r="AFD13" s="2">
        <v>117.72</v>
      </c>
      <c r="AFE13" s="2">
        <v>121.56</v>
      </c>
      <c r="AFF13" s="2">
        <v>37.65</v>
      </c>
      <c r="AFG13" s="2">
        <v>162.72</v>
      </c>
      <c r="AFH13" s="2">
        <v>7.15</v>
      </c>
      <c r="AFI13" s="2">
        <v>105.65</v>
      </c>
      <c r="AFJ13" s="2">
        <v>132.38</v>
      </c>
      <c r="AFK13" s="2">
        <v>62.24</v>
      </c>
      <c r="AFL13" s="2">
        <v>181.17</v>
      </c>
      <c r="AFM13" s="2">
        <v>251.56</v>
      </c>
      <c r="AFN13" s="2">
        <v>94.22</v>
      </c>
      <c r="AFO13" s="2">
        <v>82.23</v>
      </c>
      <c r="AFP13" s="2">
        <v>47.31</v>
      </c>
      <c r="AFQ13" s="2">
        <v>219</v>
      </c>
      <c r="AFR13" s="2">
        <v>26.35</v>
      </c>
      <c r="AFS13" s="2">
        <v>136.05000000000001</v>
      </c>
      <c r="AFT13" s="2">
        <v>168.49</v>
      </c>
      <c r="AFU13" s="2">
        <v>45.69</v>
      </c>
      <c r="AFV13" s="2">
        <v>173.29</v>
      </c>
      <c r="AFW13" s="2">
        <v>6.66</v>
      </c>
      <c r="AFX13" s="2">
        <v>182.56</v>
      </c>
      <c r="AFY13" s="2">
        <v>35.51</v>
      </c>
      <c r="AFZ13" s="2">
        <v>129.15</v>
      </c>
      <c r="AGA13" s="2">
        <v>50.02</v>
      </c>
      <c r="AGB13" s="2">
        <v>167.31</v>
      </c>
      <c r="AGC13" s="2">
        <v>102.46</v>
      </c>
      <c r="AGD13" s="2">
        <v>40.58</v>
      </c>
      <c r="AGE13" s="2">
        <v>114.2</v>
      </c>
      <c r="AGF13" s="2">
        <v>122.37</v>
      </c>
      <c r="AGG13" s="2">
        <v>132.29</v>
      </c>
      <c r="AGH13" s="2">
        <v>176.38</v>
      </c>
      <c r="AGI13" s="2">
        <v>81.88</v>
      </c>
      <c r="AGJ13" s="2">
        <v>86.97</v>
      </c>
      <c r="AGK13" s="2">
        <v>2.9</v>
      </c>
      <c r="AGL13" s="2">
        <v>114.97</v>
      </c>
      <c r="AGM13" s="2">
        <v>80.45</v>
      </c>
      <c r="AGN13" s="2">
        <v>74.930000000000007</v>
      </c>
      <c r="AGO13" s="2">
        <v>36.590000000000003</v>
      </c>
      <c r="AGP13" s="2">
        <v>86.01</v>
      </c>
      <c r="AGQ13" s="2">
        <v>196.89</v>
      </c>
      <c r="AGR13" s="2">
        <v>59.55</v>
      </c>
      <c r="AGS13" s="2">
        <v>119.94</v>
      </c>
      <c r="AGT13" s="2">
        <v>155.30000000000001</v>
      </c>
      <c r="AGU13" s="2">
        <v>149.83000000000001</v>
      </c>
      <c r="AGV13" s="2">
        <v>65.75</v>
      </c>
      <c r="AGW13" s="2">
        <v>122.17</v>
      </c>
      <c r="AGX13" s="2">
        <v>174.25</v>
      </c>
      <c r="AGY13" s="2">
        <v>3.09</v>
      </c>
      <c r="AGZ13" s="2">
        <v>87.15</v>
      </c>
      <c r="AHA13" s="2">
        <v>67.28</v>
      </c>
      <c r="AHB13" s="2">
        <v>116.6</v>
      </c>
      <c r="AHC13" s="2">
        <v>83.2</v>
      </c>
      <c r="AHD13" s="2">
        <v>149.33000000000001</v>
      </c>
      <c r="AHE13" s="2">
        <v>18.760000000000002</v>
      </c>
      <c r="AHF13" s="2">
        <v>102.52</v>
      </c>
      <c r="AHG13" s="2">
        <v>112.84</v>
      </c>
      <c r="AHH13" s="2">
        <v>98.83</v>
      </c>
      <c r="AHI13" s="2">
        <v>146.37</v>
      </c>
      <c r="AHJ13" s="2">
        <v>76.760000000000005</v>
      </c>
      <c r="AHK13" s="2">
        <v>188.99</v>
      </c>
      <c r="AHL13" s="2">
        <v>96.36</v>
      </c>
      <c r="AHM13" s="2">
        <v>171.36</v>
      </c>
      <c r="AHN13" s="2">
        <v>165.11</v>
      </c>
      <c r="AHO13" s="2">
        <v>55.05</v>
      </c>
      <c r="AHP13" s="2">
        <v>15.04</v>
      </c>
      <c r="AHQ13" s="2">
        <v>141.56</v>
      </c>
      <c r="AHR13" s="2">
        <v>96.6</v>
      </c>
      <c r="AHS13" s="2">
        <v>179.3</v>
      </c>
      <c r="AHT13" s="2">
        <v>196.54</v>
      </c>
      <c r="AHU13" s="2">
        <v>119.73</v>
      </c>
      <c r="AHV13" s="2">
        <v>83.09</v>
      </c>
      <c r="AHW13" s="2">
        <v>81.59</v>
      </c>
      <c r="AHX13" s="2">
        <v>64.91</v>
      </c>
      <c r="AHY13" s="2">
        <v>156.34</v>
      </c>
      <c r="AHZ13" s="2">
        <v>151.80000000000001</v>
      </c>
      <c r="AIA13" s="2">
        <v>95.73</v>
      </c>
      <c r="AIB13" s="2">
        <v>8.93</v>
      </c>
      <c r="AIC13" s="2">
        <v>61.91</v>
      </c>
      <c r="AID13" s="2">
        <v>58.46</v>
      </c>
      <c r="AIE13" s="2">
        <v>243.33</v>
      </c>
      <c r="AIF13" s="2">
        <v>17.52</v>
      </c>
      <c r="AIG13" s="2">
        <v>241.71</v>
      </c>
      <c r="AIH13" s="2">
        <v>133.84</v>
      </c>
      <c r="AII13" s="2">
        <v>146.49</v>
      </c>
      <c r="AIJ13" s="2">
        <v>86.44</v>
      </c>
      <c r="AIK13" s="2">
        <v>135.94999999999999</v>
      </c>
      <c r="AIL13" s="2">
        <v>121.81</v>
      </c>
      <c r="AIM13" s="2">
        <v>153.80000000000001</v>
      </c>
      <c r="AIN13" s="2">
        <v>89.35</v>
      </c>
      <c r="AIO13" s="2">
        <v>94.57</v>
      </c>
      <c r="AIP13" s="2">
        <v>128.72</v>
      </c>
      <c r="AIQ13" s="2">
        <v>21.62</v>
      </c>
      <c r="AIR13" s="2">
        <v>87.25</v>
      </c>
      <c r="AIS13" s="2">
        <v>194.39</v>
      </c>
      <c r="AIT13" s="2">
        <v>11.26</v>
      </c>
      <c r="AIU13" s="2">
        <v>63.2</v>
      </c>
      <c r="AIV13" s="2">
        <v>62.82</v>
      </c>
      <c r="AIW13" s="2">
        <v>126.69</v>
      </c>
      <c r="AIX13" s="2">
        <v>31.74</v>
      </c>
      <c r="AIY13" s="2">
        <v>125.71</v>
      </c>
      <c r="AIZ13" s="2">
        <v>19.010000000000002</v>
      </c>
      <c r="AJA13" s="2">
        <v>28.48</v>
      </c>
      <c r="AJB13" s="2">
        <v>145.63999999999999</v>
      </c>
      <c r="AJC13" s="2">
        <v>64.83</v>
      </c>
      <c r="AJD13" s="2">
        <v>195.48</v>
      </c>
      <c r="AJE13" s="2">
        <v>7.47</v>
      </c>
      <c r="AJF13" s="2">
        <v>89.02</v>
      </c>
      <c r="AJG13" s="2">
        <v>22.63</v>
      </c>
      <c r="AJH13" s="2">
        <v>105.42</v>
      </c>
      <c r="AJI13" s="2">
        <v>299.45999999999998</v>
      </c>
      <c r="AJJ13" s="2">
        <v>177.77</v>
      </c>
      <c r="AJK13" s="2">
        <v>9.66</v>
      </c>
      <c r="AJL13" s="2">
        <v>112.65</v>
      </c>
      <c r="AJM13" s="2">
        <v>129.56</v>
      </c>
      <c r="AJN13" s="2">
        <v>41.91</v>
      </c>
      <c r="AJO13" s="2">
        <v>29.02</v>
      </c>
      <c r="AJP13" s="2">
        <v>271.32</v>
      </c>
      <c r="AJQ13" s="2">
        <v>193.76</v>
      </c>
      <c r="AJR13" s="2">
        <v>198.38</v>
      </c>
      <c r="AJS13" s="2">
        <v>157.94999999999999</v>
      </c>
      <c r="AJT13" s="2">
        <v>132.69999999999999</v>
      </c>
      <c r="AJU13" s="2">
        <v>103.72</v>
      </c>
      <c r="AJV13" s="2">
        <v>51.42</v>
      </c>
      <c r="AJW13" s="2">
        <v>15.8</v>
      </c>
      <c r="AJX13" s="2">
        <v>207.99</v>
      </c>
      <c r="AJY13" s="2">
        <v>156.94</v>
      </c>
      <c r="AJZ13" s="2">
        <v>247.94</v>
      </c>
      <c r="AKA13" s="2">
        <v>274.12</v>
      </c>
      <c r="AKB13" s="2">
        <v>263.98</v>
      </c>
      <c r="AKC13" s="2">
        <v>299.92</v>
      </c>
      <c r="AKD13" s="2">
        <v>48.81</v>
      </c>
      <c r="AKE13" s="2">
        <v>152.66</v>
      </c>
      <c r="AKF13" s="2">
        <v>117.29</v>
      </c>
      <c r="AKG13" s="2">
        <v>52.25</v>
      </c>
      <c r="AKH13" s="2">
        <v>196.38</v>
      </c>
      <c r="AKI13" s="2">
        <v>179.58</v>
      </c>
      <c r="AKJ13" s="2">
        <v>25.7</v>
      </c>
      <c r="AKK13" s="2">
        <v>5.23</v>
      </c>
      <c r="AKL13" s="2">
        <v>206.5</v>
      </c>
      <c r="AKM13" s="2">
        <v>181.24</v>
      </c>
      <c r="AKN13" s="2">
        <v>187.16</v>
      </c>
      <c r="AKO13" s="2">
        <v>46.8</v>
      </c>
      <c r="AKP13" s="2">
        <v>16.88</v>
      </c>
      <c r="AKQ13" s="2">
        <v>77.760000000000005</v>
      </c>
      <c r="AKR13" s="2">
        <v>3.79</v>
      </c>
      <c r="AKS13" s="2">
        <v>7.18</v>
      </c>
      <c r="AKT13" s="2">
        <v>274.45999999999998</v>
      </c>
      <c r="AKU13" s="2">
        <v>70.400000000000006</v>
      </c>
      <c r="AKV13" s="2">
        <v>82.16</v>
      </c>
      <c r="AKW13" s="2">
        <v>3.67</v>
      </c>
      <c r="AKX13" s="2">
        <v>81.150000000000006</v>
      </c>
      <c r="AKY13" s="2">
        <v>241.42</v>
      </c>
      <c r="AKZ13" s="2">
        <v>123.1</v>
      </c>
      <c r="ALA13" s="2">
        <v>226.14</v>
      </c>
      <c r="ALB13" s="2">
        <v>134.16</v>
      </c>
      <c r="ALC13" s="2">
        <v>92.93</v>
      </c>
      <c r="ALD13" s="2">
        <v>96.56</v>
      </c>
      <c r="ALE13" s="2">
        <v>96.92</v>
      </c>
      <c r="ALF13" s="2">
        <v>167.79</v>
      </c>
      <c r="ALG13" s="2">
        <v>59.53</v>
      </c>
      <c r="ALH13" s="2">
        <v>197.92</v>
      </c>
      <c r="ALI13" s="2">
        <v>41.1</v>
      </c>
      <c r="ALJ13" s="2">
        <v>137.37</v>
      </c>
      <c r="ALK13" s="2">
        <v>182.66</v>
      </c>
      <c r="ALL13" s="2">
        <v>121.72</v>
      </c>
      <c r="ALM13" s="2">
        <v>111.97</v>
      </c>
    </row>
    <row r="14" spans="1:1001" ht="21" x14ac:dyDescent="0.3">
      <c r="A14" s="3" t="s">
        <v>13</v>
      </c>
      <c r="B14" s="2" t="s">
        <v>22</v>
      </c>
      <c r="C14" s="2" t="s">
        <v>30</v>
      </c>
      <c r="D14" s="2" t="s">
        <v>30</v>
      </c>
      <c r="E14" s="2" t="s">
        <v>30</v>
      </c>
      <c r="F14" s="2" t="s">
        <v>22</v>
      </c>
      <c r="G14" s="2" t="s">
        <v>22</v>
      </c>
      <c r="H14" s="2" t="s">
        <v>30</v>
      </c>
      <c r="I14" s="2" t="s">
        <v>30</v>
      </c>
      <c r="J14" s="2" t="s">
        <v>22</v>
      </c>
      <c r="K14" s="2" t="s">
        <v>30</v>
      </c>
      <c r="L14" s="2" t="s">
        <v>30</v>
      </c>
      <c r="M14" s="2" t="s">
        <v>30</v>
      </c>
      <c r="N14" s="2" t="s">
        <v>22</v>
      </c>
      <c r="O14" s="2" t="s">
        <v>30</v>
      </c>
      <c r="P14" s="2" t="s">
        <v>22</v>
      </c>
      <c r="Q14" s="2" t="s">
        <v>30</v>
      </c>
      <c r="R14" s="2" t="s">
        <v>22</v>
      </c>
      <c r="S14" s="2" t="s">
        <v>22</v>
      </c>
      <c r="T14" s="2" t="s">
        <v>30</v>
      </c>
      <c r="U14" s="2" t="s">
        <v>30</v>
      </c>
      <c r="V14" s="2" t="s">
        <v>30</v>
      </c>
      <c r="W14" s="2" t="s">
        <v>30</v>
      </c>
      <c r="X14" s="2" t="s">
        <v>22</v>
      </c>
      <c r="Y14" s="2" t="s">
        <v>30</v>
      </c>
      <c r="Z14" s="2" t="s">
        <v>22</v>
      </c>
      <c r="AA14" s="2" t="s">
        <v>30</v>
      </c>
      <c r="AB14" s="2" t="s">
        <v>30</v>
      </c>
      <c r="AC14" s="2" t="s">
        <v>30</v>
      </c>
      <c r="AD14" s="2" t="s">
        <v>30</v>
      </c>
      <c r="AE14" s="2" t="s">
        <v>30</v>
      </c>
      <c r="AF14" s="2" t="s">
        <v>22</v>
      </c>
      <c r="AG14" s="2" t="s">
        <v>30</v>
      </c>
      <c r="AH14" s="2" t="s">
        <v>30</v>
      </c>
      <c r="AI14" s="2" t="s">
        <v>22</v>
      </c>
      <c r="AJ14" s="2" t="s">
        <v>22</v>
      </c>
      <c r="AK14" s="2" t="s">
        <v>30</v>
      </c>
      <c r="AL14" s="2" t="s">
        <v>30</v>
      </c>
      <c r="AM14" s="2" t="s">
        <v>30</v>
      </c>
      <c r="AN14" s="2" t="s">
        <v>22</v>
      </c>
      <c r="AO14" s="2" t="s">
        <v>22</v>
      </c>
      <c r="AP14" s="2" t="s">
        <v>22</v>
      </c>
      <c r="AQ14" s="2" t="s">
        <v>22</v>
      </c>
      <c r="AR14" s="2" t="s">
        <v>30</v>
      </c>
      <c r="AS14" s="2" t="s">
        <v>22</v>
      </c>
      <c r="AT14" s="2" t="s">
        <v>30</v>
      </c>
      <c r="AU14" s="2" t="s">
        <v>30</v>
      </c>
      <c r="AV14" s="2" t="s">
        <v>30</v>
      </c>
      <c r="AW14" s="2" t="s">
        <v>22</v>
      </c>
      <c r="AX14" s="2" t="s">
        <v>22</v>
      </c>
      <c r="AY14" s="2" t="s">
        <v>30</v>
      </c>
      <c r="AZ14" s="2" t="s">
        <v>22</v>
      </c>
      <c r="BA14" s="2" t="s">
        <v>22</v>
      </c>
      <c r="BB14" s="2" t="s">
        <v>30</v>
      </c>
      <c r="BC14" s="2" t="s">
        <v>30</v>
      </c>
      <c r="BD14" s="2" t="s">
        <v>22</v>
      </c>
      <c r="BE14" s="2" t="s">
        <v>30</v>
      </c>
      <c r="BF14" s="2" t="s">
        <v>30</v>
      </c>
      <c r="BG14" s="2" t="s">
        <v>22</v>
      </c>
      <c r="BH14" s="2" t="s">
        <v>22</v>
      </c>
      <c r="BI14" s="2" t="s">
        <v>22</v>
      </c>
      <c r="BJ14" s="2" t="s">
        <v>22</v>
      </c>
      <c r="BK14" s="2" t="s">
        <v>30</v>
      </c>
      <c r="BL14" s="2" t="s">
        <v>30</v>
      </c>
      <c r="BM14" s="2" t="s">
        <v>30</v>
      </c>
      <c r="BN14" s="2" t="s">
        <v>30</v>
      </c>
      <c r="BO14" s="2" t="s">
        <v>22</v>
      </c>
      <c r="BP14" s="2" t="s">
        <v>30</v>
      </c>
      <c r="BQ14" s="2" t="s">
        <v>30</v>
      </c>
      <c r="BR14" s="2" t="s">
        <v>30</v>
      </c>
      <c r="BS14" s="2" t="s">
        <v>22</v>
      </c>
      <c r="BT14" s="2" t="s">
        <v>30</v>
      </c>
      <c r="BU14" s="2" t="s">
        <v>30</v>
      </c>
      <c r="BV14" s="2" t="s">
        <v>30</v>
      </c>
      <c r="BW14" s="2" t="s">
        <v>22</v>
      </c>
      <c r="BX14" s="2" t="s">
        <v>30</v>
      </c>
      <c r="BY14" s="2" t="s">
        <v>30</v>
      </c>
      <c r="BZ14" s="2" t="s">
        <v>30</v>
      </c>
      <c r="CA14" s="2" t="s">
        <v>22</v>
      </c>
      <c r="CB14" s="2" t="s">
        <v>30</v>
      </c>
      <c r="CC14" s="2" t="s">
        <v>30</v>
      </c>
      <c r="CD14" s="2" t="s">
        <v>30</v>
      </c>
      <c r="CE14" s="2" t="s">
        <v>30</v>
      </c>
      <c r="CF14" s="2" t="s">
        <v>22</v>
      </c>
      <c r="CG14" s="2" t="s">
        <v>30</v>
      </c>
      <c r="CH14" s="2" t="s">
        <v>22</v>
      </c>
      <c r="CI14" s="2" t="s">
        <v>22</v>
      </c>
      <c r="CJ14" s="2" t="s">
        <v>30</v>
      </c>
      <c r="CK14" s="2" t="s">
        <v>22</v>
      </c>
      <c r="CL14" s="2" t="s">
        <v>22</v>
      </c>
      <c r="CM14" s="2" t="s">
        <v>22</v>
      </c>
      <c r="CN14" s="2" t="s">
        <v>30</v>
      </c>
      <c r="CO14" s="2" t="s">
        <v>30</v>
      </c>
      <c r="CP14" s="2" t="s">
        <v>30</v>
      </c>
      <c r="CQ14" s="2" t="s">
        <v>22</v>
      </c>
      <c r="CR14" s="2" t="s">
        <v>30</v>
      </c>
      <c r="CS14" s="2" t="s">
        <v>30</v>
      </c>
      <c r="CT14" s="2" t="s">
        <v>30</v>
      </c>
      <c r="CU14" s="2" t="s">
        <v>30</v>
      </c>
      <c r="CV14" s="2" t="s">
        <v>30</v>
      </c>
      <c r="CW14" s="2" t="s">
        <v>30</v>
      </c>
      <c r="CX14" s="2" t="s">
        <v>30</v>
      </c>
      <c r="CY14" s="2" t="s">
        <v>22</v>
      </c>
      <c r="CZ14" s="2" t="s">
        <v>30</v>
      </c>
      <c r="DA14" s="2" t="s">
        <v>22</v>
      </c>
      <c r="DB14" s="2" t="s">
        <v>30</v>
      </c>
      <c r="DC14" s="2" t="s">
        <v>30</v>
      </c>
      <c r="DD14" s="2" t="s">
        <v>22</v>
      </c>
      <c r="DE14" s="2" t="s">
        <v>22</v>
      </c>
      <c r="DF14" s="2" t="s">
        <v>30</v>
      </c>
      <c r="DG14" s="2" t="s">
        <v>22</v>
      </c>
      <c r="DH14" s="2" t="s">
        <v>22</v>
      </c>
      <c r="DI14" s="2" t="s">
        <v>22</v>
      </c>
      <c r="DJ14" s="2" t="s">
        <v>30</v>
      </c>
      <c r="DK14" s="2" t="s">
        <v>30</v>
      </c>
      <c r="DL14" s="2" t="s">
        <v>30</v>
      </c>
      <c r="DM14" s="2" t="s">
        <v>22</v>
      </c>
      <c r="DN14" s="2" t="s">
        <v>30</v>
      </c>
      <c r="DO14" s="2" t="s">
        <v>22</v>
      </c>
      <c r="DP14" s="2" t="s">
        <v>30</v>
      </c>
      <c r="DQ14" s="2" t="s">
        <v>30</v>
      </c>
      <c r="DR14" s="2" t="s">
        <v>30</v>
      </c>
      <c r="DS14" s="2" t="s">
        <v>22</v>
      </c>
      <c r="DT14" s="2" t="s">
        <v>30</v>
      </c>
      <c r="DU14" s="2" t="s">
        <v>22</v>
      </c>
      <c r="DV14" s="2" t="s">
        <v>30</v>
      </c>
      <c r="DW14" s="2" t="s">
        <v>22</v>
      </c>
      <c r="DX14" s="2" t="s">
        <v>22</v>
      </c>
      <c r="DY14" s="2" t="s">
        <v>22</v>
      </c>
      <c r="DZ14" s="2" t="s">
        <v>22</v>
      </c>
      <c r="EA14" s="2" t="s">
        <v>30</v>
      </c>
      <c r="EB14" s="2" t="s">
        <v>30</v>
      </c>
      <c r="EC14" s="2" t="s">
        <v>30</v>
      </c>
      <c r="ED14" s="2" t="s">
        <v>30</v>
      </c>
      <c r="EE14" s="2" t="s">
        <v>22</v>
      </c>
      <c r="EF14" s="2" t="s">
        <v>30</v>
      </c>
      <c r="EG14" s="2" t="s">
        <v>30</v>
      </c>
      <c r="EH14" s="2" t="s">
        <v>30</v>
      </c>
      <c r="EI14" s="2" t="s">
        <v>30</v>
      </c>
      <c r="EJ14" s="2" t="s">
        <v>30</v>
      </c>
      <c r="EK14" s="2" t="s">
        <v>22</v>
      </c>
      <c r="EL14" s="2" t="s">
        <v>30</v>
      </c>
      <c r="EM14" s="2" t="s">
        <v>30</v>
      </c>
      <c r="EN14" s="2" t="s">
        <v>30</v>
      </c>
      <c r="EO14" s="2" t="s">
        <v>22</v>
      </c>
      <c r="EP14" s="2" t="s">
        <v>30</v>
      </c>
      <c r="EQ14" s="2" t="s">
        <v>22</v>
      </c>
      <c r="ER14" s="2" t="s">
        <v>30</v>
      </c>
      <c r="ES14" s="2" t="s">
        <v>30</v>
      </c>
      <c r="ET14" s="2" t="s">
        <v>30</v>
      </c>
      <c r="EU14" s="2" t="s">
        <v>30</v>
      </c>
      <c r="EV14" s="2" t="s">
        <v>22</v>
      </c>
      <c r="EW14" s="2" t="s">
        <v>30</v>
      </c>
      <c r="EX14" s="2" t="s">
        <v>30</v>
      </c>
      <c r="EY14" s="2" t="s">
        <v>22</v>
      </c>
      <c r="EZ14" s="2" t="s">
        <v>30</v>
      </c>
      <c r="FA14" s="2" t="s">
        <v>30</v>
      </c>
      <c r="FB14" s="2" t="s">
        <v>22</v>
      </c>
      <c r="FC14" s="2" t="s">
        <v>30</v>
      </c>
      <c r="FD14" s="2" t="s">
        <v>22</v>
      </c>
      <c r="FE14" s="2" t="s">
        <v>30</v>
      </c>
      <c r="FF14" s="2" t="s">
        <v>22</v>
      </c>
      <c r="FG14" s="2" t="s">
        <v>30</v>
      </c>
      <c r="FH14" s="2" t="s">
        <v>22</v>
      </c>
      <c r="FI14" s="2" t="s">
        <v>30</v>
      </c>
      <c r="FJ14" s="2" t="s">
        <v>22</v>
      </c>
      <c r="FK14" s="2" t="s">
        <v>30</v>
      </c>
      <c r="FL14" s="2" t="s">
        <v>30</v>
      </c>
      <c r="FM14" s="2" t="s">
        <v>30</v>
      </c>
      <c r="FN14" s="2" t="s">
        <v>22</v>
      </c>
      <c r="FO14" s="2" t="s">
        <v>22</v>
      </c>
      <c r="FP14" s="2" t="s">
        <v>30</v>
      </c>
      <c r="FQ14" s="2" t="s">
        <v>30</v>
      </c>
      <c r="FR14" s="2" t="s">
        <v>22</v>
      </c>
      <c r="FS14" s="2" t="s">
        <v>30</v>
      </c>
      <c r="FT14" s="2" t="s">
        <v>22</v>
      </c>
      <c r="FU14" s="2" t="s">
        <v>30</v>
      </c>
      <c r="FV14" s="2" t="s">
        <v>22</v>
      </c>
      <c r="FW14" s="2" t="s">
        <v>30</v>
      </c>
      <c r="FX14" s="2" t="s">
        <v>30</v>
      </c>
      <c r="FY14" s="2" t="s">
        <v>22</v>
      </c>
      <c r="FZ14" s="2" t="s">
        <v>22</v>
      </c>
      <c r="GA14" s="2" t="s">
        <v>22</v>
      </c>
      <c r="GB14" s="2" t="s">
        <v>30</v>
      </c>
      <c r="GC14" s="2" t="s">
        <v>30</v>
      </c>
      <c r="GD14" s="2" t="s">
        <v>30</v>
      </c>
      <c r="GE14" s="2" t="s">
        <v>22</v>
      </c>
      <c r="GF14" s="2" t="s">
        <v>30</v>
      </c>
      <c r="GG14" s="2" t="s">
        <v>30</v>
      </c>
      <c r="GH14" s="2" t="s">
        <v>30</v>
      </c>
      <c r="GI14" s="2" t="s">
        <v>30</v>
      </c>
      <c r="GJ14" s="2" t="s">
        <v>22</v>
      </c>
      <c r="GK14" s="2" t="s">
        <v>30</v>
      </c>
      <c r="GL14" s="2" t="s">
        <v>30</v>
      </c>
      <c r="GM14" s="2" t="s">
        <v>30</v>
      </c>
      <c r="GN14" s="2" t="s">
        <v>30</v>
      </c>
      <c r="GO14" s="2" t="s">
        <v>30</v>
      </c>
      <c r="GP14" s="2" t="s">
        <v>30</v>
      </c>
      <c r="GQ14" s="2" t="s">
        <v>22</v>
      </c>
      <c r="GR14" s="2" t="s">
        <v>30</v>
      </c>
      <c r="GS14" s="2" t="s">
        <v>30</v>
      </c>
      <c r="GT14" s="2" t="s">
        <v>30</v>
      </c>
      <c r="GU14" s="2" t="s">
        <v>22</v>
      </c>
      <c r="GV14" s="2" t="s">
        <v>30</v>
      </c>
      <c r="GW14" s="2" t="s">
        <v>22</v>
      </c>
      <c r="GX14" s="2" t="s">
        <v>30</v>
      </c>
      <c r="GY14" s="2" t="s">
        <v>22</v>
      </c>
      <c r="GZ14" s="2" t="s">
        <v>30</v>
      </c>
      <c r="HA14" s="2" t="s">
        <v>22</v>
      </c>
      <c r="HB14" s="2" t="s">
        <v>30</v>
      </c>
      <c r="HC14" s="2" t="s">
        <v>30</v>
      </c>
      <c r="HD14" s="2" t="s">
        <v>22</v>
      </c>
      <c r="HE14" s="2" t="s">
        <v>30</v>
      </c>
      <c r="HF14" s="2" t="s">
        <v>22</v>
      </c>
      <c r="HG14" s="2" t="s">
        <v>30</v>
      </c>
      <c r="HH14" s="2" t="s">
        <v>22</v>
      </c>
      <c r="HI14" s="2" t="s">
        <v>22</v>
      </c>
      <c r="HJ14" s="2" t="s">
        <v>22</v>
      </c>
      <c r="HK14" s="2" t="s">
        <v>22</v>
      </c>
      <c r="HL14" s="2" t="s">
        <v>22</v>
      </c>
      <c r="HM14" s="2" t="s">
        <v>22</v>
      </c>
      <c r="HN14" s="2" t="s">
        <v>30</v>
      </c>
      <c r="HO14" s="2" t="s">
        <v>30</v>
      </c>
      <c r="HP14" s="2" t="s">
        <v>22</v>
      </c>
      <c r="HQ14" s="2" t="s">
        <v>22</v>
      </c>
      <c r="HR14" s="2" t="s">
        <v>22</v>
      </c>
      <c r="HS14" s="2" t="s">
        <v>22</v>
      </c>
      <c r="HT14" s="2" t="s">
        <v>22</v>
      </c>
      <c r="HU14" s="2" t="s">
        <v>30</v>
      </c>
      <c r="HV14" s="2" t="s">
        <v>30</v>
      </c>
      <c r="HW14" s="2" t="s">
        <v>30</v>
      </c>
      <c r="HX14" s="2" t="s">
        <v>30</v>
      </c>
      <c r="HY14" s="2" t="s">
        <v>30</v>
      </c>
      <c r="HZ14" s="2" t="s">
        <v>22</v>
      </c>
      <c r="IA14" s="2" t="s">
        <v>22</v>
      </c>
      <c r="IB14" s="2" t="s">
        <v>30</v>
      </c>
      <c r="IC14" s="2" t="s">
        <v>30</v>
      </c>
      <c r="ID14" s="2" t="s">
        <v>30</v>
      </c>
      <c r="IE14" s="2" t="s">
        <v>30</v>
      </c>
      <c r="IF14" s="2" t="s">
        <v>30</v>
      </c>
      <c r="IG14" s="2" t="s">
        <v>30</v>
      </c>
      <c r="IH14" s="2" t="s">
        <v>30</v>
      </c>
      <c r="II14" s="2" t="s">
        <v>30</v>
      </c>
      <c r="IJ14" s="2" t="s">
        <v>22</v>
      </c>
      <c r="IK14" s="2" t="s">
        <v>30</v>
      </c>
      <c r="IL14" s="2" t="s">
        <v>30</v>
      </c>
      <c r="IM14" s="2" t="s">
        <v>30</v>
      </c>
      <c r="IN14" s="2" t="s">
        <v>30</v>
      </c>
      <c r="IO14" s="2" t="s">
        <v>22</v>
      </c>
      <c r="IP14" s="2" t="s">
        <v>22</v>
      </c>
      <c r="IQ14" s="2" t="s">
        <v>30</v>
      </c>
      <c r="IR14" s="2" t="s">
        <v>22</v>
      </c>
      <c r="IS14" s="2" t="s">
        <v>30</v>
      </c>
      <c r="IT14" s="2" t="s">
        <v>22</v>
      </c>
      <c r="IU14" s="2" t="s">
        <v>30</v>
      </c>
      <c r="IV14" s="2" t="s">
        <v>30</v>
      </c>
      <c r="IW14" s="2" t="s">
        <v>22</v>
      </c>
      <c r="IX14" s="2" t="s">
        <v>22</v>
      </c>
      <c r="IY14" s="2" t="s">
        <v>22</v>
      </c>
      <c r="IZ14" s="2" t="s">
        <v>30</v>
      </c>
      <c r="JA14" s="2" t="s">
        <v>30</v>
      </c>
      <c r="JB14" s="2" t="s">
        <v>22</v>
      </c>
      <c r="JC14" s="2" t="s">
        <v>30</v>
      </c>
      <c r="JD14" s="2" t="s">
        <v>30</v>
      </c>
      <c r="JE14" s="2" t="s">
        <v>30</v>
      </c>
      <c r="JF14" s="2" t="s">
        <v>30</v>
      </c>
      <c r="JG14" s="2" t="s">
        <v>30</v>
      </c>
      <c r="JH14" s="2" t="s">
        <v>30</v>
      </c>
      <c r="JI14" s="2" t="s">
        <v>30</v>
      </c>
      <c r="JJ14" s="2" t="s">
        <v>22</v>
      </c>
      <c r="JK14" s="2" t="s">
        <v>30</v>
      </c>
      <c r="JL14" s="2" t="s">
        <v>30</v>
      </c>
      <c r="JM14" s="2" t="s">
        <v>30</v>
      </c>
      <c r="JN14" s="2" t="s">
        <v>30</v>
      </c>
      <c r="JO14" s="2" t="s">
        <v>30</v>
      </c>
      <c r="JP14" s="2" t="s">
        <v>22</v>
      </c>
      <c r="JQ14" s="2" t="s">
        <v>30</v>
      </c>
      <c r="JR14" s="2" t="s">
        <v>22</v>
      </c>
      <c r="JS14" s="2" t="s">
        <v>30</v>
      </c>
      <c r="JT14" s="2" t="s">
        <v>30</v>
      </c>
      <c r="JU14" s="2" t="s">
        <v>22</v>
      </c>
      <c r="JV14" s="2" t="s">
        <v>30</v>
      </c>
      <c r="JW14" s="2" t="s">
        <v>30</v>
      </c>
      <c r="JX14" s="2" t="s">
        <v>30</v>
      </c>
      <c r="JY14" s="2" t="s">
        <v>30</v>
      </c>
      <c r="JZ14" s="2" t="s">
        <v>30</v>
      </c>
      <c r="KA14" s="2" t="s">
        <v>30</v>
      </c>
      <c r="KB14" s="2" t="s">
        <v>30</v>
      </c>
      <c r="KC14" s="2" t="s">
        <v>30</v>
      </c>
      <c r="KD14" s="2" t="s">
        <v>22</v>
      </c>
      <c r="KE14" s="2" t="s">
        <v>22</v>
      </c>
      <c r="KF14" s="2" t="s">
        <v>22</v>
      </c>
      <c r="KG14" s="2" t="s">
        <v>30</v>
      </c>
      <c r="KH14" s="2" t="s">
        <v>22</v>
      </c>
      <c r="KI14" s="2" t="s">
        <v>22</v>
      </c>
      <c r="KJ14" s="2" t="s">
        <v>22</v>
      </c>
      <c r="KK14" s="2" t="s">
        <v>30</v>
      </c>
      <c r="KL14" s="2" t="s">
        <v>30</v>
      </c>
      <c r="KM14" s="2" t="s">
        <v>22</v>
      </c>
      <c r="KN14" s="2" t="s">
        <v>30</v>
      </c>
      <c r="KO14" s="2" t="s">
        <v>30</v>
      </c>
      <c r="KP14" s="2" t="s">
        <v>22</v>
      </c>
      <c r="KQ14" s="2" t="s">
        <v>22</v>
      </c>
      <c r="KR14" s="2" t="s">
        <v>22</v>
      </c>
      <c r="KS14" s="2" t="s">
        <v>22</v>
      </c>
      <c r="KT14" s="2" t="s">
        <v>30</v>
      </c>
      <c r="KU14" s="2" t="s">
        <v>30</v>
      </c>
      <c r="KV14" s="2" t="s">
        <v>30</v>
      </c>
      <c r="KW14" s="2" t="s">
        <v>30</v>
      </c>
      <c r="KX14" s="2" t="s">
        <v>30</v>
      </c>
      <c r="KY14" s="2" t="s">
        <v>30</v>
      </c>
      <c r="KZ14" s="2" t="s">
        <v>30</v>
      </c>
      <c r="LA14" s="2" t="s">
        <v>22</v>
      </c>
      <c r="LB14" s="2" t="s">
        <v>22</v>
      </c>
      <c r="LC14" s="2" t="s">
        <v>22</v>
      </c>
      <c r="LD14" s="2" t="s">
        <v>22</v>
      </c>
      <c r="LE14" s="2" t="s">
        <v>30</v>
      </c>
      <c r="LF14" s="2" t="s">
        <v>22</v>
      </c>
      <c r="LG14" s="2" t="s">
        <v>30</v>
      </c>
      <c r="LH14" s="2" t="s">
        <v>22</v>
      </c>
      <c r="LI14" s="2" t="s">
        <v>22</v>
      </c>
      <c r="LJ14" s="2" t="s">
        <v>22</v>
      </c>
      <c r="LK14" s="2" t="s">
        <v>30</v>
      </c>
      <c r="LL14" s="2" t="s">
        <v>30</v>
      </c>
      <c r="LM14" s="2" t="s">
        <v>30</v>
      </c>
      <c r="LN14" s="2" t="s">
        <v>30</v>
      </c>
      <c r="LO14" s="2" t="s">
        <v>30</v>
      </c>
      <c r="LP14" s="2" t="s">
        <v>30</v>
      </c>
      <c r="LQ14" s="2" t="s">
        <v>30</v>
      </c>
      <c r="LR14" s="2" t="s">
        <v>30</v>
      </c>
      <c r="LS14" s="2" t="s">
        <v>22</v>
      </c>
      <c r="LT14" s="2" t="s">
        <v>30</v>
      </c>
      <c r="LU14" s="2" t="s">
        <v>22</v>
      </c>
      <c r="LV14" s="2" t="s">
        <v>22</v>
      </c>
      <c r="LW14" s="2" t="s">
        <v>30</v>
      </c>
      <c r="LX14" s="2" t="s">
        <v>22</v>
      </c>
      <c r="LY14" s="2" t="s">
        <v>30</v>
      </c>
      <c r="LZ14" s="2" t="s">
        <v>30</v>
      </c>
      <c r="MA14" s="2" t="s">
        <v>30</v>
      </c>
      <c r="MB14" s="2" t="s">
        <v>30</v>
      </c>
      <c r="MC14" s="2" t="s">
        <v>30</v>
      </c>
      <c r="MD14" s="2" t="s">
        <v>30</v>
      </c>
      <c r="ME14" s="2" t="s">
        <v>30</v>
      </c>
      <c r="MF14" s="2" t="s">
        <v>30</v>
      </c>
      <c r="MG14" s="2" t="s">
        <v>30</v>
      </c>
      <c r="MH14" s="2" t="s">
        <v>30</v>
      </c>
      <c r="MI14" s="2" t="s">
        <v>30</v>
      </c>
      <c r="MJ14" s="2" t="s">
        <v>30</v>
      </c>
      <c r="MK14" s="2" t="s">
        <v>30</v>
      </c>
      <c r="ML14" s="2" t="s">
        <v>30</v>
      </c>
      <c r="MM14" s="2" t="s">
        <v>30</v>
      </c>
      <c r="MN14" s="2" t="s">
        <v>22</v>
      </c>
      <c r="MO14" s="2" t="s">
        <v>30</v>
      </c>
      <c r="MP14" s="2" t="s">
        <v>22</v>
      </c>
      <c r="MQ14" s="2" t="s">
        <v>22</v>
      </c>
      <c r="MR14" s="2" t="s">
        <v>30</v>
      </c>
      <c r="MS14" s="2" t="s">
        <v>30</v>
      </c>
      <c r="MT14" s="2" t="s">
        <v>22</v>
      </c>
      <c r="MU14" s="2" t="s">
        <v>22</v>
      </c>
      <c r="MV14" s="2" t="s">
        <v>30</v>
      </c>
      <c r="MW14" s="2" t="s">
        <v>22</v>
      </c>
      <c r="MX14" s="2" t="s">
        <v>22</v>
      </c>
      <c r="MY14" s="2" t="s">
        <v>30</v>
      </c>
      <c r="MZ14" s="2" t="s">
        <v>22</v>
      </c>
      <c r="NA14" s="2" t="s">
        <v>30</v>
      </c>
      <c r="NB14" s="2" t="s">
        <v>30</v>
      </c>
      <c r="NC14" s="2" t="s">
        <v>22</v>
      </c>
      <c r="ND14" s="2" t="s">
        <v>22</v>
      </c>
      <c r="NE14" s="2" t="s">
        <v>30</v>
      </c>
      <c r="NF14" s="2" t="s">
        <v>30</v>
      </c>
      <c r="NG14" s="2" t="s">
        <v>30</v>
      </c>
      <c r="NH14" s="2" t="s">
        <v>22</v>
      </c>
      <c r="NI14" s="2" t="s">
        <v>22</v>
      </c>
      <c r="NJ14" s="2" t="s">
        <v>22</v>
      </c>
      <c r="NK14" s="2" t="s">
        <v>22</v>
      </c>
      <c r="NL14" s="2" t="s">
        <v>30</v>
      </c>
      <c r="NM14" s="2" t="s">
        <v>30</v>
      </c>
      <c r="NN14" s="2" t="s">
        <v>30</v>
      </c>
      <c r="NO14" s="2" t="s">
        <v>22</v>
      </c>
      <c r="NP14" s="2" t="s">
        <v>30</v>
      </c>
      <c r="NQ14" s="2" t="s">
        <v>30</v>
      </c>
      <c r="NR14" s="2" t="s">
        <v>30</v>
      </c>
      <c r="NS14" s="2" t="s">
        <v>30</v>
      </c>
      <c r="NT14" s="2" t="s">
        <v>30</v>
      </c>
      <c r="NU14" s="2" t="s">
        <v>30</v>
      </c>
      <c r="NV14" s="2" t="s">
        <v>30</v>
      </c>
      <c r="NW14" s="2" t="s">
        <v>30</v>
      </c>
      <c r="NX14" s="2" t="s">
        <v>30</v>
      </c>
      <c r="NY14" s="2" t="s">
        <v>30</v>
      </c>
      <c r="NZ14" s="2" t="s">
        <v>30</v>
      </c>
      <c r="OA14" s="2" t="s">
        <v>22</v>
      </c>
      <c r="OB14" s="2" t="s">
        <v>30</v>
      </c>
      <c r="OC14" s="2" t="s">
        <v>22</v>
      </c>
      <c r="OD14" s="2" t="s">
        <v>22</v>
      </c>
      <c r="OE14" s="2" t="s">
        <v>30</v>
      </c>
      <c r="OF14" s="2" t="s">
        <v>30</v>
      </c>
      <c r="OG14" s="2" t="s">
        <v>22</v>
      </c>
      <c r="OH14" s="2" t="s">
        <v>22</v>
      </c>
      <c r="OI14" s="2" t="s">
        <v>22</v>
      </c>
      <c r="OJ14" s="2" t="s">
        <v>22</v>
      </c>
      <c r="OK14" s="2" t="s">
        <v>30</v>
      </c>
      <c r="OL14" s="2" t="s">
        <v>30</v>
      </c>
      <c r="OM14" s="2" t="s">
        <v>30</v>
      </c>
      <c r="ON14" s="2" t="s">
        <v>30</v>
      </c>
      <c r="OO14" s="2" t="s">
        <v>30</v>
      </c>
      <c r="OP14" s="2" t="s">
        <v>22</v>
      </c>
      <c r="OQ14" s="2" t="s">
        <v>30</v>
      </c>
      <c r="OR14" s="2" t="s">
        <v>30</v>
      </c>
      <c r="OS14" s="2" t="s">
        <v>22</v>
      </c>
      <c r="OT14" s="2" t="s">
        <v>22</v>
      </c>
      <c r="OU14" s="2" t="s">
        <v>30</v>
      </c>
      <c r="OV14" s="2" t="s">
        <v>22</v>
      </c>
      <c r="OW14" s="2" t="s">
        <v>22</v>
      </c>
      <c r="OX14" s="2" t="s">
        <v>30</v>
      </c>
      <c r="OY14" s="2" t="s">
        <v>30</v>
      </c>
      <c r="OZ14" s="2" t="s">
        <v>30</v>
      </c>
      <c r="PA14" s="2" t="s">
        <v>30</v>
      </c>
      <c r="PB14" s="2" t="s">
        <v>30</v>
      </c>
      <c r="PC14" s="2" t="s">
        <v>22</v>
      </c>
      <c r="PD14" s="2" t="s">
        <v>22</v>
      </c>
      <c r="PE14" s="2" t="s">
        <v>22</v>
      </c>
      <c r="PF14" s="2" t="s">
        <v>22</v>
      </c>
      <c r="PG14" s="2" t="s">
        <v>22</v>
      </c>
      <c r="PH14" s="2" t="s">
        <v>30</v>
      </c>
      <c r="PI14" s="2" t="s">
        <v>30</v>
      </c>
      <c r="PJ14" s="2" t="s">
        <v>22</v>
      </c>
      <c r="PK14" s="2" t="s">
        <v>30</v>
      </c>
      <c r="PL14" s="2" t="s">
        <v>30</v>
      </c>
      <c r="PM14" s="2" t="s">
        <v>30</v>
      </c>
      <c r="PN14" s="2" t="s">
        <v>22</v>
      </c>
      <c r="PO14" s="2" t="s">
        <v>30</v>
      </c>
      <c r="PP14" s="2" t="s">
        <v>22</v>
      </c>
      <c r="PQ14" s="2" t="s">
        <v>30</v>
      </c>
      <c r="PR14" s="2" t="s">
        <v>22</v>
      </c>
      <c r="PS14" s="2" t="s">
        <v>30</v>
      </c>
      <c r="PT14" s="2" t="s">
        <v>22</v>
      </c>
      <c r="PU14" s="2" t="s">
        <v>30</v>
      </c>
      <c r="PV14" s="2" t="s">
        <v>22</v>
      </c>
      <c r="PW14" s="2" t="s">
        <v>30</v>
      </c>
      <c r="PX14" s="2" t="s">
        <v>30</v>
      </c>
      <c r="PY14" s="2" t="s">
        <v>30</v>
      </c>
      <c r="PZ14" s="2" t="s">
        <v>30</v>
      </c>
      <c r="QA14" s="2" t="s">
        <v>30</v>
      </c>
      <c r="QB14" s="2" t="s">
        <v>30</v>
      </c>
      <c r="QC14" s="2" t="s">
        <v>22</v>
      </c>
      <c r="QD14" s="2" t="s">
        <v>22</v>
      </c>
      <c r="QE14" s="2" t="s">
        <v>30</v>
      </c>
      <c r="QF14" s="2" t="s">
        <v>22</v>
      </c>
      <c r="QG14" s="2" t="s">
        <v>30</v>
      </c>
      <c r="QH14" s="2" t="s">
        <v>30</v>
      </c>
      <c r="QI14" s="2" t="s">
        <v>30</v>
      </c>
      <c r="QJ14" s="2" t="s">
        <v>30</v>
      </c>
      <c r="QK14" s="2" t="s">
        <v>30</v>
      </c>
      <c r="QL14" s="2" t="s">
        <v>22</v>
      </c>
      <c r="QM14" s="2" t="s">
        <v>30</v>
      </c>
      <c r="QN14" s="2" t="s">
        <v>30</v>
      </c>
      <c r="QO14" s="2" t="s">
        <v>30</v>
      </c>
      <c r="QP14" s="2" t="s">
        <v>22</v>
      </c>
      <c r="QQ14" s="2" t="s">
        <v>30</v>
      </c>
      <c r="QR14" s="2" t="s">
        <v>22</v>
      </c>
      <c r="QS14" s="2" t="s">
        <v>22</v>
      </c>
      <c r="QT14" s="2" t="s">
        <v>22</v>
      </c>
      <c r="QU14" s="2" t="s">
        <v>22</v>
      </c>
      <c r="QV14" s="2" t="s">
        <v>30</v>
      </c>
      <c r="QW14" s="2" t="s">
        <v>22</v>
      </c>
      <c r="QX14" s="2" t="s">
        <v>30</v>
      </c>
      <c r="QY14" s="2" t="s">
        <v>22</v>
      </c>
      <c r="QZ14" s="2" t="s">
        <v>22</v>
      </c>
      <c r="RA14" s="2" t="s">
        <v>22</v>
      </c>
      <c r="RB14" s="2" t="s">
        <v>30</v>
      </c>
      <c r="RC14" s="2" t="s">
        <v>30</v>
      </c>
      <c r="RD14" s="2" t="s">
        <v>22</v>
      </c>
      <c r="RE14" s="2" t="s">
        <v>30</v>
      </c>
      <c r="RF14" s="2" t="s">
        <v>30</v>
      </c>
      <c r="RG14" s="2" t="s">
        <v>30</v>
      </c>
      <c r="RH14" s="2" t="s">
        <v>22</v>
      </c>
      <c r="RI14" s="2" t="s">
        <v>30</v>
      </c>
      <c r="RJ14" s="2" t="s">
        <v>30</v>
      </c>
      <c r="RK14" s="2" t="s">
        <v>30</v>
      </c>
      <c r="RL14" s="2" t="s">
        <v>30</v>
      </c>
      <c r="RM14" s="2" t="s">
        <v>22</v>
      </c>
      <c r="RN14" s="2" t="s">
        <v>22</v>
      </c>
      <c r="RO14" s="2" t="s">
        <v>22</v>
      </c>
      <c r="RP14" s="2" t="s">
        <v>30</v>
      </c>
      <c r="RQ14" s="2" t="s">
        <v>22</v>
      </c>
      <c r="RR14" s="2" t="s">
        <v>30</v>
      </c>
      <c r="RS14" s="2" t="s">
        <v>30</v>
      </c>
      <c r="RT14" s="2" t="s">
        <v>30</v>
      </c>
      <c r="RU14" s="2" t="s">
        <v>30</v>
      </c>
      <c r="RV14" s="2" t="s">
        <v>30</v>
      </c>
      <c r="RW14" s="2" t="s">
        <v>30</v>
      </c>
      <c r="RX14" s="2" t="s">
        <v>30</v>
      </c>
      <c r="RY14" s="2" t="s">
        <v>30</v>
      </c>
      <c r="RZ14" s="2" t="s">
        <v>22</v>
      </c>
      <c r="SA14" s="2" t="s">
        <v>30</v>
      </c>
      <c r="SB14" s="2" t="s">
        <v>22</v>
      </c>
      <c r="SC14" s="2" t="s">
        <v>30</v>
      </c>
      <c r="SD14" s="2" t="s">
        <v>22</v>
      </c>
      <c r="SE14" s="2" t="s">
        <v>22</v>
      </c>
      <c r="SF14" s="2" t="s">
        <v>22</v>
      </c>
      <c r="SG14" s="2" t="s">
        <v>22</v>
      </c>
      <c r="SH14" s="2" t="s">
        <v>30</v>
      </c>
      <c r="SI14" s="2" t="s">
        <v>30</v>
      </c>
      <c r="SJ14" s="2" t="s">
        <v>30</v>
      </c>
      <c r="SK14" s="2" t="s">
        <v>30</v>
      </c>
      <c r="SL14" s="2" t="s">
        <v>30</v>
      </c>
      <c r="SM14" s="2" t="s">
        <v>22</v>
      </c>
      <c r="SN14" s="2" t="s">
        <v>30</v>
      </c>
      <c r="SO14" s="2" t="s">
        <v>30</v>
      </c>
      <c r="SP14" s="2" t="s">
        <v>22</v>
      </c>
      <c r="SQ14" s="2" t="s">
        <v>22</v>
      </c>
      <c r="SR14" s="2" t="s">
        <v>22</v>
      </c>
      <c r="SS14" s="2" t="s">
        <v>22</v>
      </c>
      <c r="ST14" s="2" t="s">
        <v>30</v>
      </c>
      <c r="SU14" s="2" t="s">
        <v>30</v>
      </c>
      <c r="SV14" s="2" t="s">
        <v>22</v>
      </c>
      <c r="SW14" s="2" t="s">
        <v>22</v>
      </c>
      <c r="SX14" s="2" t="s">
        <v>22</v>
      </c>
      <c r="SY14" s="2" t="s">
        <v>30</v>
      </c>
      <c r="SZ14" s="2" t="s">
        <v>22</v>
      </c>
      <c r="TA14" s="2" t="s">
        <v>30</v>
      </c>
      <c r="TB14" s="2" t="s">
        <v>30</v>
      </c>
      <c r="TC14" s="2" t="s">
        <v>30</v>
      </c>
      <c r="TD14" s="2" t="s">
        <v>30</v>
      </c>
      <c r="TE14" s="2" t="s">
        <v>30</v>
      </c>
      <c r="TF14" s="2" t="s">
        <v>30</v>
      </c>
      <c r="TG14" s="2" t="s">
        <v>30</v>
      </c>
      <c r="TH14" s="2" t="s">
        <v>30</v>
      </c>
      <c r="TI14" s="2" t="s">
        <v>22</v>
      </c>
      <c r="TJ14" s="2" t="s">
        <v>22</v>
      </c>
      <c r="TK14" s="2" t="s">
        <v>30</v>
      </c>
      <c r="TL14" s="2" t="s">
        <v>30</v>
      </c>
      <c r="TM14" s="2" t="s">
        <v>22</v>
      </c>
      <c r="TN14" s="2" t="s">
        <v>30</v>
      </c>
      <c r="TO14" s="2" t="s">
        <v>30</v>
      </c>
      <c r="TP14" s="2" t="s">
        <v>30</v>
      </c>
      <c r="TQ14" s="2" t="s">
        <v>22</v>
      </c>
      <c r="TR14" s="2" t="s">
        <v>30</v>
      </c>
      <c r="TS14" s="2" t="s">
        <v>30</v>
      </c>
      <c r="TT14" s="2" t="s">
        <v>30</v>
      </c>
      <c r="TU14" s="2" t="s">
        <v>30</v>
      </c>
      <c r="TV14" s="2" t="s">
        <v>30</v>
      </c>
      <c r="TW14" s="2" t="s">
        <v>30</v>
      </c>
      <c r="TX14" s="2" t="s">
        <v>30</v>
      </c>
      <c r="TY14" s="2" t="s">
        <v>22</v>
      </c>
      <c r="TZ14" s="2" t="s">
        <v>22</v>
      </c>
      <c r="UA14" s="2" t="s">
        <v>22</v>
      </c>
      <c r="UB14" s="2" t="s">
        <v>22</v>
      </c>
      <c r="UC14" s="2" t="s">
        <v>30</v>
      </c>
      <c r="UD14" s="2" t="s">
        <v>22</v>
      </c>
      <c r="UE14" s="2" t="s">
        <v>30</v>
      </c>
      <c r="UF14" s="2" t="s">
        <v>30</v>
      </c>
      <c r="UG14" s="2" t="s">
        <v>22</v>
      </c>
      <c r="UH14" s="2" t="s">
        <v>22</v>
      </c>
      <c r="UI14" s="2" t="s">
        <v>22</v>
      </c>
      <c r="UJ14" s="2" t="s">
        <v>30</v>
      </c>
      <c r="UK14" s="2" t="s">
        <v>22</v>
      </c>
      <c r="UL14" s="2" t="s">
        <v>22</v>
      </c>
      <c r="UM14" s="2" t="s">
        <v>30</v>
      </c>
      <c r="UN14" s="2" t="s">
        <v>30</v>
      </c>
      <c r="UO14" s="2" t="s">
        <v>30</v>
      </c>
      <c r="UP14" s="2" t="s">
        <v>22</v>
      </c>
      <c r="UQ14" s="2" t="s">
        <v>30</v>
      </c>
      <c r="UR14" s="2" t="s">
        <v>30</v>
      </c>
      <c r="US14" s="2" t="s">
        <v>30</v>
      </c>
      <c r="UT14" s="2" t="s">
        <v>30</v>
      </c>
      <c r="UU14" s="2" t="s">
        <v>22</v>
      </c>
      <c r="UV14" s="2" t="s">
        <v>30</v>
      </c>
      <c r="UW14" s="2" t="s">
        <v>22</v>
      </c>
      <c r="UX14" s="2" t="s">
        <v>22</v>
      </c>
      <c r="UY14" s="2" t="s">
        <v>22</v>
      </c>
      <c r="UZ14" s="2" t="s">
        <v>30</v>
      </c>
      <c r="VA14" s="2" t="s">
        <v>30</v>
      </c>
      <c r="VB14" s="2" t="s">
        <v>30</v>
      </c>
      <c r="VC14" s="2" t="s">
        <v>30</v>
      </c>
      <c r="VD14" s="2" t="s">
        <v>30</v>
      </c>
      <c r="VE14" s="2" t="s">
        <v>22</v>
      </c>
      <c r="VF14" s="2" t="s">
        <v>30</v>
      </c>
      <c r="VG14" s="2" t="s">
        <v>30</v>
      </c>
      <c r="VH14" s="2" t="s">
        <v>30</v>
      </c>
      <c r="VI14" s="2" t="s">
        <v>30</v>
      </c>
      <c r="VJ14" s="2" t="s">
        <v>22</v>
      </c>
      <c r="VK14" s="2" t="s">
        <v>30</v>
      </c>
      <c r="VL14" s="2" t="s">
        <v>30</v>
      </c>
      <c r="VM14" s="2" t="s">
        <v>22</v>
      </c>
      <c r="VN14" s="2" t="s">
        <v>30</v>
      </c>
      <c r="VO14" s="2" t="s">
        <v>30</v>
      </c>
      <c r="VP14" s="2" t="s">
        <v>30</v>
      </c>
      <c r="VQ14" s="2" t="s">
        <v>30</v>
      </c>
      <c r="VR14" s="2" t="s">
        <v>30</v>
      </c>
      <c r="VS14" s="2" t="s">
        <v>30</v>
      </c>
      <c r="VT14" s="2" t="s">
        <v>22</v>
      </c>
      <c r="VU14" s="2" t="s">
        <v>30</v>
      </c>
      <c r="VV14" s="2" t="s">
        <v>22</v>
      </c>
      <c r="VW14" s="2" t="s">
        <v>22</v>
      </c>
      <c r="VX14" s="2" t="s">
        <v>30</v>
      </c>
      <c r="VY14" s="2" t="s">
        <v>30</v>
      </c>
      <c r="VZ14" s="2" t="s">
        <v>30</v>
      </c>
      <c r="WA14" s="2" t="s">
        <v>22</v>
      </c>
      <c r="WB14" s="2" t="s">
        <v>30</v>
      </c>
      <c r="WC14" s="2" t="s">
        <v>22</v>
      </c>
      <c r="WD14" s="2" t="s">
        <v>30</v>
      </c>
      <c r="WE14" s="2" t="s">
        <v>22</v>
      </c>
      <c r="WF14" s="2" t="s">
        <v>30</v>
      </c>
      <c r="WG14" s="2" t="s">
        <v>30</v>
      </c>
      <c r="WH14" s="2" t="s">
        <v>30</v>
      </c>
      <c r="WI14" s="2" t="s">
        <v>30</v>
      </c>
      <c r="WJ14" s="2" t="s">
        <v>30</v>
      </c>
      <c r="WK14" s="2" t="s">
        <v>22</v>
      </c>
      <c r="WL14" s="2" t="s">
        <v>22</v>
      </c>
      <c r="WM14" s="2" t="s">
        <v>22</v>
      </c>
      <c r="WN14" s="2" t="s">
        <v>30</v>
      </c>
      <c r="WO14" s="2" t="s">
        <v>30</v>
      </c>
      <c r="WP14" s="2" t="s">
        <v>30</v>
      </c>
      <c r="WQ14" s="2" t="s">
        <v>30</v>
      </c>
      <c r="WR14" s="2" t="s">
        <v>30</v>
      </c>
      <c r="WS14" s="2" t="s">
        <v>30</v>
      </c>
      <c r="WT14" s="2" t="s">
        <v>30</v>
      </c>
      <c r="WU14" s="2" t="s">
        <v>30</v>
      </c>
      <c r="WV14" s="2" t="s">
        <v>30</v>
      </c>
      <c r="WW14" s="2" t="s">
        <v>22</v>
      </c>
      <c r="WX14" s="2" t="s">
        <v>30</v>
      </c>
      <c r="WY14" s="2" t="s">
        <v>22</v>
      </c>
      <c r="WZ14" s="2" t="s">
        <v>22</v>
      </c>
      <c r="XA14" s="2" t="s">
        <v>30</v>
      </c>
      <c r="XB14" s="2" t="s">
        <v>30</v>
      </c>
      <c r="XC14" s="2" t="s">
        <v>30</v>
      </c>
      <c r="XD14" s="2" t="s">
        <v>22</v>
      </c>
      <c r="XE14" s="2" t="s">
        <v>30</v>
      </c>
      <c r="XF14" s="2" t="s">
        <v>22</v>
      </c>
      <c r="XG14" s="2" t="s">
        <v>30</v>
      </c>
      <c r="XH14" s="2" t="s">
        <v>22</v>
      </c>
      <c r="XI14" s="2" t="s">
        <v>22</v>
      </c>
      <c r="XJ14" s="2" t="s">
        <v>30</v>
      </c>
      <c r="XK14" s="2" t="s">
        <v>30</v>
      </c>
      <c r="XL14" s="2" t="s">
        <v>30</v>
      </c>
      <c r="XM14" s="2" t="s">
        <v>30</v>
      </c>
      <c r="XN14" s="2" t="s">
        <v>30</v>
      </c>
      <c r="XO14" s="2" t="s">
        <v>22</v>
      </c>
      <c r="XP14" s="2" t="s">
        <v>30</v>
      </c>
      <c r="XQ14" s="2" t="s">
        <v>22</v>
      </c>
      <c r="XR14" s="2" t="s">
        <v>22</v>
      </c>
      <c r="XS14" s="2" t="s">
        <v>30</v>
      </c>
      <c r="XT14" s="2" t="s">
        <v>22</v>
      </c>
      <c r="XU14" s="2" t="s">
        <v>30</v>
      </c>
      <c r="XV14" s="2" t="s">
        <v>22</v>
      </c>
      <c r="XW14" s="2" t="s">
        <v>30</v>
      </c>
      <c r="XX14" s="2" t="s">
        <v>30</v>
      </c>
      <c r="XY14" s="2" t="s">
        <v>30</v>
      </c>
      <c r="XZ14" s="2" t="s">
        <v>30</v>
      </c>
      <c r="YA14" s="2" t="s">
        <v>30</v>
      </c>
      <c r="YB14" s="2" t="s">
        <v>30</v>
      </c>
      <c r="YC14" s="2" t="s">
        <v>30</v>
      </c>
      <c r="YD14" s="2" t="s">
        <v>22</v>
      </c>
      <c r="YE14" s="2" t="s">
        <v>30</v>
      </c>
      <c r="YF14" s="2" t="s">
        <v>30</v>
      </c>
      <c r="YG14" s="2" t="s">
        <v>22</v>
      </c>
      <c r="YH14" s="2" t="s">
        <v>22</v>
      </c>
      <c r="YI14" s="2" t="s">
        <v>22</v>
      </c>
      <c r="YJ14" s="2" t="s">
        <v>30</v>
      </c>
      <c r="YK14" s="2" t="s">
        <v>30</v>
      </c>
      <c r="YL14" s="2" t="s">
        <v>30</v>
      </c>
      <c r="YM14" s="2" t="s">
        <v>30</v>
      </c>
      <c r="YN14" s="2" t="s">
        <v>22</v>
      </c>
      <c r="YO14" s="2" t="s">
        <v>30</v>
      </c>
      <c r="YP14" s="2" t="s">
        <v>22</v>
      </c>
      <c r="YQ14" s="2" t="s">
        <v>30</v>
      </c>
      <c r="YR14" s="2" t="s">
        <v>22</v>
      </c>
      <c r="YS14" s="2" t="s">
        <v>30</v>
      </c>
      <c r="YT14" s="2" t="s">
        <v>22</v>
      </c>
      <c r="YU14" s="2" t="s">
        <v>22</v>
      </c>
      <c r="YV14" s="2" t="s">
        <v>22</v>
      </c>
      <c r="YW14" s="2" t="s">
        <v>30</v>
      </c>
      <c r="YX14" s="2" t="s">
        <v>30</v>
      </c>
      <c r="YY14" s="2" t="s">
        <v>22</v>
      </c>
      <c r="YZ14" s="2" t="s">
        <v>30</v>
      </c>
      <c r="ZA14" s="2" t="s">
        <v>30</v>
      </c>
      <c r="ZB14" s="2" t="s">
        <v>30</v>
      </c>
      <c r="ZC14" s="2" t="s">
        <v>30</v>
      </c>
      <c r="ZD14" s="2" t="s">
        <v>30</v>
      </c>
      <c r="ZE14" s="2" t="s">
        <v>30</v>
      </c>
      <c r="ZF14" s="2" t="s">
        <v>30</v>
      </c>
      <c r="ZG14" s="2" t="s">
        <v>30</v>
      </c>
      <c r="ZH14" s="2" t="s">
        <v>30</v>
      </c>
      <c r="ZI14" s="2" t="s">
        <v>30</v>
      </c>
      <c r="ZJ14" s="2" t="s">
        <v>30</v>
      </c>
      <c r="ZK14" s="2" t="s">
        <v>22</v>
      </c>
      <c r="ZL14" s="2" t="s">
        <v>22</v>
      </c>
      <c r="ZM14" s="2" t="s">
        <v>22</v>
      </c>
      <c r="ZN14" s="2" t="s">
        <v>22</v>
      </c>
      <c r="ZO14" s="2" t="s">
        <v>30</v>
      </c>
      <c r="ZP14" s="2" t="s">
        <v>22</v>
      </c>
      <c r="ZQ14" s="2" t="s">
        <v>30</v>
      </c>
      <c r="ZR14" s="2" t="s">
        <v>30</v>
      </c>
      <c r="ZS14" s="2" t="s">
        <v>30</v>
      </c>
      <c r="ZT14" s="2" t="s">
        <v>30</v>
      </c>
      <c r="ZU14" s="2" t="s">
        <v>30</v>
      </c>
      <c r="ZV14" s="2" t="s">
        <v>30</v>
      </c>
      <c r="ZW14" s="2" t="s">
        <v>22</v>
      </c>
      <c r="ZX14" s="2" t="s">
        <v>30</v>
      </c>
      <c r="ZY14" s="2" t="s">
        <v>30</v>
      </c>
      <c r="ZZ14" s="2" t="s">
        <v>30</v>
      </c>
      <c r="AAA14" s="2" t="s">
        <v>30</v>
      </c>
      <c r="AAB14" s="2" t="s">
        <v>30</v>
      </c>
      <c r="AAC14" s="2" t="s">
        <v>22</v>
      </c>
      <c r="AAD14" s="2" t="s">
        <v>30</v>
      </c>
      <c r="AAE14" s="2" t="s">
        <v>30</v>
      </c>
      <c r="AAF14" s="2" t="s">
        <v>30</v>
      </c>
      <c r="AAG14" s="2" t="s">
        <v>30</v>
      </c>
      <c r="AAH14" s="2" t="s">
        <v>22</v>
      </c>
      <c r="AAI14" s="2" t="s">
        <v>30</v>
      </c>
      <c r="AAJ14" s="2" t="s">
        <v>22</v>
      </c>
      <c r="AAK14" s="2" t="s">
        <v>22</v>
      </c>
      <c r="AAL14" s="2" t="s">
        <v>22</v>
      </c>
      <c r="AAM14" s="2" t="s">
        <v>22</v>
      </c>
      <c r="AAN14" s="2" t="s">
        <v>30</v>
      </c>
      <c r="AAO14" s="2" t="s">
        <v>30</v>
      </c>
      <c r="AAP14" s="2" t="s">
        <v>30</v>
      </c>
      <c r="AAQ14" s="2" t="s">
        <v>22</v>
      </c>
      <c r="AAR14" s="2" t="s">
        <v>22</v>
      </c>
      <c r="AAS14" s="2" t="s">
        <v>22</v>
      </c>
      <c r="AAT14" s="2" t="s">
        <v>22</v>
      </c>
      <c r="AAU14" s="2" t="s">
        <v>30</v>
      </c>
      <c r="AAV14" s="2" t="s">
        <v>30</v>
      </c>
      <c r="AAW14" s="2" t="s">
        <v>30</v>
      </c>
      <c r="AAX14" s="2" t="s">
        <v>22</v>
      </c>
      <c r="AAY14" s="2" t="s">
        <v>22</v>
      </c>
      <c r="AAZ14" s="2" t="s">
        <v>22</v>
      </c>
      <c r="ABA14" s="2" t="s">
        <v>22</v>
      </c>
      <c r="ABB14" s="2" t="s">
        <v>22</v>
      </c>
      <c r="ABC14" s="2" t="s">
        <v>22</v>
      </c>
      <c r="ABD14" s="2" t="s">
        <v>22</v>
      </c>
      <c r="ABE14" s="2" t="s">
        <v>30</v>
      </c>
      <c r="ABF14" s="2" t="s">
        <v>22</v>
      </c>
      <c r="ABG14" s="2" t="s">
        <v>30</v>
      </c>
      <c r="ABH14" s="2" t="s">
        <v>22</v>
      </c>
      <c r="ABI14" s="2" t="s">
        <v>30</v>
      </c>
      <c r="ABJ14" s="2" t="s">
        <v>30</v>
      </c>
      <c r="ABK14" s="2" t="s">
        <v>22</v>
      </c>
      <c r="ABL14" s="2" t="s">
        <v>30</v>
      </c>
      <c r="ABM14" s="2" t="s">
        <v>22</v>
      </c>
      <c r="ABN14" s="2" t="s">
        <v>30</v>
      </c>
      <c r="ABO14" s="2" t="s">
        <v>30</v>
      </c>
      <c r="ABP14" s="2" t="s">
        <v>30</v>
      </c>
      <c r="ABQ14" s="2" t="s">
        <v>30</v>
      </c>
      <c r="ABR14" s="2" t="s">
        <v>30</v>
      </c>
      <c r="ABS14" s="2" t="s">
        <v>30</v>
      </c>
      <c r="ABT14" s="2" t="s">
        <v>30</v>
      </c>
      <c r="ABU14" s="2" t="s">
        <v>30</v>
      </c>
      <c r="ABV14" s="2" t="s">
        <v>30</v>
      </c>
      <c r="ABW14" s="2" t="s">
        <v>22</v>
      </c>
      <c r="ABX14" s="2" t="s">
        <v>30</v>
      </c>
      <c r="ABY14" s="2" t="s">
        <v>30</v>
      </c>
      <c r="ABZ14" s="2" t="s">
        <v>22</v>
      </c>
      <c r="ACA14" s="2" t="s">
        <v>30</v>
      </c>
      <c r="ACB14" s="2" t="s">
        <v>22</v>
      </c>
      <c r="ACC14" s="2" t="s">
        <v>22</v>
      </c>
      <c r="ACD14" s="2" t="s">
        <v>22</v>
      </c>
      <c r="ACE14" s="2" t="s">
        <v>30</v>
      </c>
      <c r="ACF14" s="2" t="s">
        <v>22</v>
      </c>
      <c r="ACG14" s="2" t="s">
        <v>22</v>
      </c>
      <c r="ACH14" s="2" t="s">
        <v>30</v>
      </c>
      <c r="ACI14" s="2" t="s">
        <v>30</v>
      </c>
      <c r="ACJ14" s="2" t="s">
        <v>30</v>
      </c>
      <c r="ACK14" s="2" t="s">
        <v>22</v>
      </c>
      <c r="ACL14" s="2" t="s">
        <v>30</v>
      </c>
      <c r="ACM14" s="2" t="s">
        <v>22</v>
      </c>
      <c r="ACN14" s="2" t="s">
        <v>30</v>
      </c>
      <c r="ACO14" s="2" t="s">
        <v>22</v>
      </c>
      <c r="ACP14" s="2" t="s">
        <v>30</v>
      </c>
      <c r="ACQ14" s="2" t="s">
        <v>30</v>
      </c>
      <c r="ACR14" s="2" t="s">
        <v>30</v>
      </c>
      <c r="ACS14" s="2" t="s">
        <v>30</v>
      </c>
      <c r="ACT14" s="2" t="s">
        <v>30</v>
      </c>
      <c r="ACU14" s="2" t="s">
        <v>30</v>
      </c>
      <c r="ACV14" s="2" t="s">
        <v>30</v>
      </c>
      <c r="ACW14" s="2" t="s">
        <v>22</v>
      </c>
      <c r="ACX14" s="2" t="s">
        <v>22</v>
      </c>
      <c r="ACY14" s="2" t="s">
        <v>30</v>
      </c>
      <c r="ACZ14" s="2" t="s">
        <v>30</v>
      </c>
      <c r="ADA14" s="2" t="s">
        <v>30</v>
      </c>
      <c r="ADB14" s="2" t="s">
        <v>22</v>
      </c>
      <c r="ADC14" s="2" t="s">
        <v>30</v>
      </c>
      <c r="ADD14" s="2" t="s">
        <v>30</v>
      </c>
      <c r="ADE14" s="2" t="s">
        <v>30</v>
      </c>
      <c r="ADF14" s="2" t="s">
        <v>22</v>
      </c>
      <c r="ADG14" s="2" t="s">
        <v>30</v>
      </c>
      <c r="ADH14" s="2" t="s">
        <v>22</v>
      </c>
      <c r="ADI14" s="2" t="s">
        <v>30</v>
      </c>
      <c r="ADJ14" s="2" t="s">
        <v>30</v>
      </c>
      <c r="ADK14" s="2" t="s">
        <v>30</v>
      </c>
      <c r="ADL14" s="2" t="s">
        <v>30</v>
      </c>
      <c r="ADM14" s="2" t="s">
        <v>30</v>
      </c>
      <c r="ADN14" s="2" t="s">
        <v>30</v>
      </c>
      <c r="ADO14" s="2" t="s">
        <v>30</v>
      </c>
      <c r="ADP14" s="2" t="s">
        <v>30</v>
      </c>
      <c r="ADQ14" s="2" t="s">
        <v>30</v>
      </c>
      <c r="ADR14" s="2" t="s">
        <v>22</v>
      </c>
      <c r="ADS14" s="2" t="s">
        <v>30</v>
      </c>
      <c r="ADT14" s="2" t="s">
        <v>30</v>
      </c>
      <c r="ADU14" s="2" t="s">
        <v>30</v>
      </c>
      <c r="ADV14" s="2" t="s">
        <v>30</v>
      </c>
      <c r="ADW14" s="2" t="s">
        <v>30</v>
      </c>
      <c r="ADX14" s="2" t="s">
        <v>30</v>
      </c>
      <c r="ADY14" s="2" t="s">
        <v>30</v>
      </c>
      <c r="ADZ14" s="2" t="s">
        <v>30</v>
      </c>
      <c r="AEA14" s="2" t="s">
        <v>22</v>
      </c>
      <c r="AEB14" s="2" t="s">
        <v>30</v>
      </c>
      <c r="AEC14" s="2" t="s">
        <v>30</v>
      </c>
      <c r="AED14" s="2" t="s">
        <v>30</v>
      </c>
      <c r="AEE14" s="2" t="s">
        <v>30</v>
      </c>
      <c r="AEF14" s="2" t="s">
        <v>22</v>
      </c>
      <c r="AEG14" s="2" t="s">
        <v>30</v>
      </c>
      <c r="AEH14" s="2" t="s">
        <v>30</v>
      </c>
      <c r="AEI14" s="2" t="s">
        <v>30</v>
      </c>
      <c r="AEJ14" s="2" t="s">
        <v>30</v>
      </c>
      <c r="AEK14" s="2" t="s">
        <v>22</v>
      </c>
      <c r="AEL14" s="2" t="s">
        <v>30</v>
      </c>
      <c r="AEM14" s="2" t="s">
        <v>30</v>
      </c>
      <c r="AEN14" s="2" t="s">
        <v>30</v>
      </c>
      <c r="AEO14" s="2" t="s">
        <v>30</v>
      </c>
      <c r="AEP14" s="2" t="s">
        <v>30</v>
      </c>
      <c r="AEQ14" s="2" t="s">
        <v>30</v>
      </c>
      <c r="AER14" s="2" t="s">
        <v>22</v>
      </c>
      <c r="AES14" s="2" t="s">
        <v>30</v>
      </c>
      <c r="AET14" s="2" t="s">
        <v>30</v>
      </c>
      <c r="AEU14" s="2" t="s">
        <v>30</v>
      </c>
      <c r="AEV14" s="2" t="s">
        <v>30</v>
      </c>
      <c r="AEW14" s="2" t="s">
        <v>30</v>
      </c>
      <c r="AEX14" s="2" t="s">
        <v>22</v>
      </c>
      <c r="AEY14" s="2" t="s">
        <v>22</v>
      </c>
      <c r="AEZ14" s="2" t="s">
        <v>30</v>
      </c>
      <c r="AFA14" s="2" t="s">
        <v>30</v>
      </c>
      <c r="AFB14" s="2" t="s">
        <v>30</v>
      </c>
      <c r="AFC14" s="2" t="s">
        <v>30</v>
      </c>
      <c r="AFD14" s="2" t="s">
        <v>22</v>
      </c>
      <c r="AFE14" s="2" t="s">
        <v>30</v>
      </c>
      <c r="AFF14" s="2" t="s">
        <v>30</v>
      </c>
      <c r="AFG14" s="2" t="s">
        <v>22</v>
      </c>
      <c r="AFH14" s="2" t="s">
        <v>30</v>
      </c>
      <c r="AFI14" s="2" t="s">
        <v>22</v>
      </c>
      <c r="AFJ14" s="2" t="s">
        <v>22</v>
      </c>
      <c r="AFK14" s="2" t="s">
        <v>30</v>
      </c>
      <c r="AFL14" s="2" t="s">
        <v>30</v>
      </c>
      <c r="AFM14" s="2" t="s">
        <v>22</v>
      </c>
      <c r="AFN14" s="2" t="s">
        <v>22</v>
      </c>
      <c r="AFO14" s="2" t="s">
        <v>30</v>
      </c>
      <c r="AFP14" s="2" t="s">
        <v>30</v>
      </c>
      <c r="AFQ14" s="2" t="s">
        <v>30</v>
      </c>
      <c r="AFR14" s="2" t="s">
        <v>30</v>
      </c>
      <c r="AFS14" s="2" t="s">
        <v>30</v>
      </c>
      <c r="AFT14" s="2" t="s">
        <v>30</v>
      </c>
      <c r="AFU14" s="2" t="s">
        <v>30</v>
      </c>
      <c r="AFV14" s="2" t="s">
        <v>30</v>
      </c>
      <c r="AFW14" s="2" t="s">
        <v>22</v>
      </c>
      <c r="AFX14" s="2" t="s">
        <v>22</v>
      </c>
      <c r="AFY14" s="2" t="s">
        <v>30</v>
      </c>
      <c r="AFZ14" s="2" t="s">
        <v>30</v>
      </c>
      <c r="AGA14" s="2" t="s">
        <v>30</v>
      </c>
      <c r="AGB14" s="2" t="s">
        <v>30</v>
      </c>
      <c r="AGC14" s="2" t="s">
        <v>22</v>
      </c>
      <c r="AGD14" s="2" t="s">
        <v>30</v>
      </c>
      <c r="AGE14" s="2" t="s">
        <v>22</v>
      </c>
      <c r="AGF14" s="2" t="s">
        <v>30</v>
      </c>
      <c r="AGG14" s="2" t="s">
        <v>30</v>
      </c>
      <c r="AGH14" s="2" t="s">
        <v>30</v>
      </c>
      <c r="AGI14" s="2" t="s">
        <v>30</v>
      </c>
      <c r="AGJ14" s="2" t="s">
        <v>30</v>
      </c>
      <c r="AGK14" s="2" t="s">
        <v>22</v>
      </c>
      <c r="AGL14" s="2" t="s">
        <v>22</v>
      </c>
      <c r="AGM14" s="2" t="s">
        <v>22</v>
      </c>
      <c r="AGN14" s="2" t="s">
        <v>22</v>
      </c>
      <c r="AGO14" s="2" t="s">
        <v>22</v>
      </c>
      <c r="AGP14" s="2" t="s">
        <v>30</v>
      </c>
      <c r="AGQ14" s="2" t="s">
        <v>30</v>
      </c>
      <c r="AGR14" s="2" t="s">
        <v>22</v>
      </c>
      <c r="AGS14" s="2" t="s">
        <v>30</v>
      </c>
      <c r="AGT14" s="2" t="s">
        <v>22</v>
      </c>
      <c r="AGU14" s="2" t="s">
        <v>30</v>
      </c>
      <c r="AGV14" s="2" t="s">
        <v>30</v>
      </c>
      <c r="AGW14" s="2" t="s">
        <v>22</v>
      </c>
      <c r="AGX14" s="2" t="s">
        <v>30</v>
      </c>
      <c r="AGY14" s="2" t="s">
        <v>30</v>
      </c>
      <c r="AGZ14" s="2" t="s">
        <v>22</v>
      </c>
      <c r="AHA14" s="2" t="s">
        <v>22</v>
      </c>
      <c r="AHB14" s="2" t="s">
        <v>30</v>
      </c>
      <c r="AHC14" s="2" t="s">
        <v>22</v>
      </c>
      <c r="AHD14" s="2" t="s">
        <v>22</v>
      </c>
      <c r="AHE14" s="2" t="s">
        <v>22</v>
      </c>
      <c r="AHF14" s="2" t="s">
        <v>22</v>
      </c>
      <c r="AHG14" s="2" t="s">
        <v>30</v>
      </c>
      <c r="AHH14" s="2" t="s">
        <v>30</v>
      </c>
      <c r="AHI14" s="2" t="s">
        <v>30</v>
      </c>
      <c r="AHJ14" s="2" t="s">
        <v>30</v>
      </c>
      <c r="AHK14" s="2" t="s">
        <v>30</v>
      </c>
      <c r="AHL14" s="2" t="s">
        <v>30</v>
      </c>
      <c r="AHM14" s="2" t="s">
        <v>30</v>
      </c>
      <c r="AHN14" s="2" t="s">
        <v>30</v>
      </c>
      <c r="AHO14" s="2" t="s">
        <v>30</v>
      </c>
      <c r="AHP14" s="2" t="s">
        <v>22</v>
      </c>
      <c r="AHQ14" s="2" t="s">
        <v>30</v>
      </c>
      <c r="AHR14" s="2" t="s">
        <v>30</v>
      </c>
      <c r="AHS14" s="2" t="s">
        <v>30</v>
      </c>
      <c r="AHT14" s="2" t="s">
        <v>30</v>
      </c>
      <c r="AHU14" s="2" t="s">
        <v>22</v>
      </c>
      <c r="AHV14" s="2" t="s">
        <v>30</v>
      </c>
      <c r="AHW14" s="2" t="s">
        <v>30</v>
      </c>
      <c r="AHX14" s="2" t="s">
        <v>30</v>
      </c>
      <c r="AHY14" s="2" t="s">
        <v>30</v>
      </c>
      <c r="AHZ14" s="2" t="s">
        <v>30</v>
      </c>
      <c r="AIA14" s="2" t="s">
        <v>30</v>
      </c>
      <c r="AIB14" s="2" t="s">
        <v>30</v>
      </c>
      <c r="AIC14" s="2" t="s">
        <v>22</v>
      </c>
      <c r="AID14" s="2" t="s">
        <v>22</v>
      </c>
      <c r="AIE14" s="2" t="s">
        <v>30</v>
      </c>
      <c r="AIF14" s="2" t="s">
        <v>30</v>
      </c>
      <c r="AIG14" s="2" t="s">
        <v>30</v>
      </c>
      <c r="AIH14" s="2" t="s">
        <v>30</v>
      </c>
      <c r="AII14" s="2" t="s">
        <v>30</v>
      </c>
      <c r="AIJ14" s="2" t="s">
        <v>22</v>
      </c>
      <c r="AIK14" s="2" t="s">
        <v>30</v>
      </c>
      <c r="AIL14" s="2" t="s">
        <v>22</v>
      </c>
      <c r="AIM14" s="2" t="s">
        <v>30</v>
      </c>
      <c r="AIN14" s="2" t="s">
        <v>22</v>
      </c>
      <c r="AIO14" s="2" t="s">
        <v>30</v>
      </c>
      <c r="AIP14" s="2" t="s">
        <v>22</v>
      </c>
      <c r="AIQ14" s="2" t="s">
        <v>30</v>
      </c>
      <c r="AIR14" s="2" t="s">
        <v>22</v>
      </c>
      <c r="AIS14" s="2" t="s">
        <v>22</v>
      </c>
      <c r="AIT14" s="2" t="s">
        <v>22</v>
      </c>
      <c r="AIU14" s="2" t="s">
        <v>30</v>
      </c>
      <c r="AIV14" s="2" t="s">
        <v>22</v>
      </c>
      <c r="AIW14" s="2" t="s">
        <v>30</v>
      </c>
      <c r="AIX14" s="2" t="s">
        <v>30</v>
      </c>
      <c r="AIY14" s="2" t="s">
        <v>22</v>
      </c>
      <c r="AIZ14" s="2" t="s">
        <v>30</v>
      </c>
      <c r="AJA14" s="2" t="s">
        <v>30</v>
      </c>
      <c r="AJB14" s="2" t="s">
        <v>30</v>
      </c>
      <c r="AJC14" s="2" t="s">
        <v>22</v>
      </c>
      <c r="AJD14" s="2" t="s">
        <v>30</v>
      </c>
      <c r="AJE14" s="2" t="s">
        <v>30</v>
      </c>
      <c r="AJF14" s="2" t="s">
        <v>30</v>
      </c>
      <c r="AJG14" s="2" t="s">
        <v>22</v>
      </c>
      <c r="AJH14" s="2" t="s">
        <v>30</v>
      </c>
      <c r="AJI14" s="2" t="s">
        <v>22</v>
      </c>
      <c r="AJJ14" s="2" t="s">
        <v>30</v>
      </c>
      <c r="AJK14" s="2" t="s">
        <v>22</v>
      </c>
      <c r="AJL14" s="2" t="s">
        <v>22</v>
      </c>
      <c r="AJM14" s="2" t="s">
        <v>30</v>
      </c>
      <c r="AJN14" s="2" t="s">
        <v>30</v>
      </c>
      <c r="AJO14" s="2" t="s">
        <v>22</v>
      </c>
      <c r="AJP14" s="2" t="s">
        <v>30</v>
      </c>
      <c r="AJQ14" s="2" t="s">
        <v>30</v>
      </c>
      <c r="AJR14" s="2" t="s">
        <v>22</v>
      </c>
      <c r="AJS14" s="2" t="s">
        <v>22</v>
      </c>
      <c r="AJT14" s="2" t="s">
        <v>30</v>
      </c>
      <c r="AJU14" s="2" t="s">
        <v>30</v>
      </c>
      <c r="AJV14" s="2" t="s">
        <v>30</v>
      </c>
      <c r="AJW14" s="2" t="s">
        <v>30</v>
      </c>
      <c r="AJX14" s="2" t="s">
        <v>22</v>
      </c>
      <c r="AJY14" s="2" t="s">
        <v>22</v>
      </c>
      <c r="AJZ14" s="2" t="s">
        <v>22</v>
      </c>
      <c r="AKA14" s="2" t="s">
        <v>30</v>
      </c>
      <c r="AKB14" s="2" t="s">
        <v>30</v>
      </c>
      <c r="AKC14" s="2" t="s">
        <v>30</v>
      </c>
      <c r="AKD14" s="2" t="s">
        <v>30</v>
      </c>
      <c r="AKE14" s="2" t="s">
        <v>22</v>
      </c>
      <c r="AKF14" s="2" t="s">
        <v>30</v>
      </c>
      <c r="AKG14" s="2" t="s">
        <v>30</v>
      </c>
      <c r="AKH14" s="2" t="s">
        <v>22</v>
      </c>
      <c r="AKI14" s="2" t="s">
        <v>22</v>
      </c>
      <c r="AKJ14" s="2" t="s">
        <v>22</v>
      </c>
      <c r="AKK14" s="2" t="s">
        <v>22</v>
      </c>
      <c r="AKL14" s="2" t="s">
        <v>30</v>
      </c>
      <c r="AKM14" s="2" t="s">
        <v>30</v>
      </c>
      <c r="AKN14" s="2" t="s">
        <v>30</v>
      </c>
      <c r="AKO14" s="2" t="s">
        <v>30</v>
      </c>
      <c r="AKP14" s="2" t="s">
        <v>22</v>
      </c>
      <c r="AKQ14" s="2" t="s">
        <v>30</v>
      </c>
      <c r="AKR14" s="2" t="s">
        <v>30</v>
      </c>
      <c r="AKS14" s="2" t="s">
        <v>30</v>
      </c>
      <c r="AKT14" s="2" t="s">
        <v>30</v>
      </c>
      <c r="AKU14" s="2" t="s">
        <v>22</v>
      </c>
      <c r="AKV14" s="2" t="s">
        <v>30</v>
      </c>
      <c r="AKW14" s="2" t="s">
        <v>22</v>
      </c>
      <c r="AKX14" s="2" t="s">
        <v>30</v>
      </c>
      <c r="AKY14" s="2" t="s">
        <v>30</v>
      </c>
      <c r="AKZ14" s="2" t="s">
        <v>22</v>
      </c>
      <c r="ALA14" s="2" t="s">
        <v>22</v>
      </c>
      <c r="ALB14" s="2" t="s">
        <v>30</v>
      </c>
      <c r="ALC14" s="2" t="s">
        <v>30</v>
      </c>
      <c r="ALD14" s="2" t="s">
        <v>30</v>
      </c>
      <c r="ALE14" s="2" t="s">
        <v>22</v>
      </c>
      <c r="ALF14" s="2" t="s">
        <v>22</v>
      </c>
      <c r="ALG14" s="2" t="s">
        <v>22</v>
      </c>
      <c r="ALH14" s="2" t="s">
        <v>30</v>
      </c>
      <c r="ALI14" s="2" t="s">
        <v>30</v>
      </c>
      <c r="ALJ14" s="2" t="s">
        <v>30</v>
      </c>
      <c r="ALK14" s="2" t="s">
        <v>22</v>
      </c>
      <c r="ALL14" s="2" t="s">
        <v>30</v>
      </c>
      <c r="ALM14" s="2" t="s">
        <v>30</v>
      </c>
    </row>
    <row r="15" spans="1:1001" ht="21" x14ac:dyDescent="0.3">
      <c r="A15" s="3" t="s">
        <v>14</v>
      </c>
      <c r="B15" s="2">
        <v>4</v>
      </c>
      <c r="C15" s="2">
        <v>5</v>
      </c>
      <c r="D15" s="2">
        <v>5</v>
      </c>
      <c r="E15" s="2">
        <v>5</v>
      </c>
      <c r="F15" s="2">
        <v>1</v>
      </c>
      <c r="G15" s="2">
        <v>5</v>
      </c>
      <c r="H15" s="2">
        <v>4</v>
      </c>
      <c r="I15" s="2">
        <v>2</v>
      </c>
      <c r="J15" s="2">
        <v>5</v>
      </c>
      <c r="K15" s="2">
        <v>2</v>
      </c>
      <c r="L15" s="2">
        <v>4</v>
      </c>
      <c r="M15" s="2">
        <v>5</v>
      </c>
      <c r="N15" s="2">
        <v>1</v>
      </c>
      <c r="O15" s="2">
        <v>1</v>
      </c>
      <c r="P15" s="2">
        <v>2</v>
      </c>
      <c r="Q15" s="2">
        <v>1</v>
      </c>
      <c r="R15" s="2">
        <v>1</v>
      </c>
      <c r="S15" s="2">
        <v>1</v>
      </c>
      <c r="T15" s="2">
        <v>4</v>
      </c>
      <c r="U15" s="2">
        <v>1</v>
      </c>
      <c r="V15" s="2">
        <v>3</v>
      </c>
      <c r="W15" s="2">
        <v>5</v>
      </c>
      <c r="X15" s="2">
        <v>1</v>
      </c>
      <c r="Y15" s="2">
        <v>1</v>
      </c>
      <c r="Z15" s="2">
        <v>1</v>
      </c>
      <c r="AA15" s="2">
        <v>3</v>
      </c>
      <c r="AB15" s="2">
        <v>1</v>
      </c>
      <c r="AC15" s="2">
        <v>1</v>
      </c>
      <c r="AD15" s="2">
        <v>5</v>
      </c>
      <c r="AE15" s="2">
        <v>3</v>
      </c>
      <c r="AF15" s="2">
        <v>3</v>
      </c>
      <c r="AG15" s="2">
        <v>1</v>
      </c>
      <c r="AH15" s="2">
        <v>3</v>
      </c>
      <c r="AI15" s="2">
        <v>2</v>
      </c>
      <c r="AJ15" s="2">
        <v>3</v>
      </c>
      <c r="AK15" s="2">
        <v>3</v>
      </c>
      <c r="AL15" s="2">
        <v>3</v>
      </c>
      <c r="AM15" s="2">
        <v>4</v>
      </c>
      <c r="AN15" s="2">
        <v>4</v>
      </c>
      <c r="AO15" s="2">
        <v>4</v>
      </c>
      <c r="AP15" s="2">
        <v>3</v>
      </c>
      <c r="AQ15" s="2">
        <v>2</v>
      </c>
      <c r="AR15" s="2">
        <v>3</v>
      </c>
      <c r="AS15" s="2">
        <v>1</v>
      </c>
      <c r="AT15" s="2">
        <v>2</v>
      </c>
      <c r="AU15" s="2">
        <v>4</v>
      </c>
      <c r="AV15" s="2">
        <v>5</v>
      </c>
      <c r="AW15" s="2">
        <v>2</v>
      </c>
      <c r="AX15" s="2">
        <v>4</v>
      </c>
      <c r="AY15" s="2">
        <v>2</v>
      </c>
      <c r="AZ15" s="2">
        <v>2</v>
      </c>
      <c r="BA15" s="2">
        <v>3</v>
      </c>
      <c r="BB15" s="2">
        <v>1</v>
      </c>
      <c r="BC15" s="2">
        <v>5</v>
      </c>
      <c r="BD15" s="2">
        <v>4</v>
      </c>
      <c r="BE15" s="2">
        <v>2</v>
      </c>
      <c r="BF15" s="2">
        <v>5</v>
      </c>
      <c r="BG15" s="2">
        <v>2</v>
      </c>
      <c r="BH15" s="2">
        <v>1</v>
      </c>
      <c r="BI15" s="2">
        <v>5</v>
      </c>
      <c r="BJ15" s="2">
        <v>4</v>
      </c>
      <c r="BK15" s="2">
        <v>2</v>
      </c>
      <c r="BL15" s="2">
        <v>1</v>
      </c>
      <c r="BM15" s="2">
        <v>5</v>
      </c>
      <c r="BN15" s="2">
        <v>2</v>
      </c>
      <c r="BO15" s="2">
        <v>2</v>
      </c>
      <c r="BP15" s="2">
        <v>4</v>
      </c>
      <c r="BQ15" s="2">
        <v>1</v>
      </c>
      <c r="BR15" s="2">
        <v>3</v>
      </c>
      <c r="BS15" s="2">
        <v>2</v>
      </c>
      <c r="BT15" s="2">
        <v>5</v>
      </c>
      <c r="BU15" s="2">
        <v>4</v>
      </c>
      <c r="BV15" s="2">
        <v>4</v>
      </c>
      <c r="BW15" s="2">
        <v>2</v>
      </c>
      <c r="BX15" s="2">
        <v>2</v>
      </c>
      <c r="BY15" s="2">
        <v>2</v>
      </c>
      <c r="BZ15" s="2">
        <v>3</v>
      </c>
      <c r="CA15" s="2">
        <v>2</v>
      </c>
      <c r="CB15" s="2">
        <v>1</v>
      </c>
      <c r="CC15" s="2">
        <v>5</v>
      </c>
      <c r="CD15" s="2">
        <v>2</v>
      </c>
      <c r="CE15" s="2">
        <v>3</v>
      </c>
      <c r="CF15" s="2">
        <v>5</v>
      </c>
      <c r="CG15" s="2">
        <v>4</v>
      </c>
      <c r="CH15" s="2">
        <v>2</v>
      </c>
      <c r="CI15" s="2">
        <v>5</v>
      </c>
      <c r="CJ15" s="2">
        <v>4</v>
      </c>
      <c r="CK15" s="2">
        <v>3</v>
      </c>
      <c r="CL15" s="2">
        <v>1</v>
      </c>
      <c r="CM15" s="2">
        <v>2</v>
      </c>
      <c r="CN15" s="2">
        <v>1</v>
      </c>
      <c r="CO15" s="2">
        <v>3</v>
      </c>
      <c r="CP15" s="2">
        <v>5</v>
      </c>
      <c r="CQ15" s="2">
        <v>5</v>
      </c>
      <c r="CR15" s="2">
        <v>3</v>
      </c>
      <c r="CS15" s="2">
        <v>3</v>
      </c>
      <c r="CT15" s="2">
        <v>2</v>
      </c>
      <c r="CU15" s="2">
        <v>4</v>
      </c>
      <c r="CV15" s="2">
        <v>1</v>
      </c>
      <c r="CW15" s="2">
        <v>1</v>
      </c>
      <c r="CX15" s="2">
        <v>5</v>
      </c>
      <c r="CY15" s="2">
        <v>5</v>
      </c>
      <c r="CZ15" s="2">
        <v>2</v>
      </c>
      <c r="DA15" s="2">
        <v>3</v>
      </c>
      <c r="DB15" s="2">
        <v>1</v>
      </c>
      <c r="DC15" s="2">
        <v>2</v>
      </c>
      <c r="DD15" s="2">
        <v>5</v>
      </c>
      <c r="DE15" s="2">
        <v>5</v>
      </c>
      <c r="DF15" s="2">
        <v>1</v>
      </c>
      <c r="DG15" s="2">
        <v>5</v>
      </c>
      <c r="DH15" s="2">
        <v>5</v>
      </c>
      <c r="DI15" s="2">
        <v>4</v>
      </c>
      <c r="DJ15" s="2">
        <v>3</v>
      </c>
      <c r="DK15" s="2">
        <v>5</v>
      </c>
      <c r="DL15" s="2">
        <v>4</v>
      </c>
      <c r="DM15" s="2">
        <v>2</v>
      </c>
      <c r="DN15" s="2">
        <v>5</v>
      </c>
      <c r="DO15" s="2">
        <v>2</v>
      </c>
      <c r="DP15" s="2">
        <v>5</v>
      </c>
      <c r="DQ15" s="2">
        <v>1</v>
      </c>
      <c r="DR15" s="2">
        <v>4</v>
      </c>
      <c r="DS15" s="2">
        <v>4</v>
      </c>
      <c r="DT15" s="2">
        <v>1</v>
      </c>
      <c r="DU15" s="2">
        <v>3</v>
      </c>
      <c r="DV15" s="2">
        <v>4</v>
      </c>
      <c r="DW15" s="2">
        <v>2</v>
      </c>
      <c r="DX15" s="2">
        <v>4</v>
      </c>
      <c r="DY15" s="2">
        <v>3</v>
      </c>
      <c r="DZ15" s="2">
        <v>2</v>
      </c>
      <c r="EA15" s="2">
        <v>2</v>
      </c>
      <c r="EB15" s="2">
        <v>1</v>
      </c>
      <c r="EC15" s="2">
        <v>5</v>
      </c>
      <c r="ED15" s="2">
        <v>1</v>
      </c>
      <c r="EE15" s="2">
        <v>5</v>
      </c>
      <c r="EF15" s="2">
        <v>1</v>
      </c>
      <c r="EG15" s="2">
        <v>5</v>
      </c>
      <c r="EH15" s="2">
        <v>4</v>
      </c>
      <c r="EI15" s="2">
        <v>2</v>
      </c>
      <c r="EJ15" s="2">
        <v>5</v>
      </c>
      <c r="EK15" s="2">
        <v>4</v>
      </c>
      <c r="EL15" s="2">
        <v>3</v>
      </c>
      <c r="EM15" s="2">
        <v>1</v>
      </c>
      <c r="EN15" s="2">
        <v>3</v>
      </c>
      <c r="EO15" s="2">
        <v>4</v>
      </c>
      <c r="EP15" s="2">
        <v>3</v>
      </c>
      <c r="EQ15" s="2">
        <v>3</v>
      </c>
      <c r="ER15" s="2">
        <v>4</v>
      </c>
      <c r="ES15" s="2">
        <v>2</v>
      </c>
      <c r="ET15" s="2">
        <v>5</v>
      </c>
      <c r="EU15" s="2">
        <v>1</v>
      </c>
      <c r="EV15" s="2">
        <v>5</v>
      </c>
      <c r="EW15" s="2">
        <v>1</v>
      </c>
      <c r="EX15" s="2">
        <v>5</v>
      </c>
      <c r="EY15" s="2">
        <v>3</v>
      </c>
      <c r="EZ15" s="2">
        <v>2</v>
      </c>
      <c r="FA15" s="2">
        <v>3</v>
      </c>
      <c r="FB15" s="2">
        <v>2</v>
      </c>
      <c r="FC15" s="2">
        <v>4</v>
      </c>
      <c r="FD15" s="2">
        <v>1</v>
      </c>
      <c r="FE15" s="2">
        <v>1</v>
      </c>
      <c r="FF15" s="2">
        <v>4</v>
      </c>
      <c r="FG15" s="2">
        <v>5</v>
      </c>
      <c r="FH15" s="2">
        <v>4</v>
      </c>
      <c r="FI15" s="2">
        <v>4</v>
      </c>
      <c r="FJ15" s="2">
        <v>2</v>
      </c>
      <c r="FK15" s="2">
        <v>4</v>
      </c>
      <c r="FL15" s="2">
        <v>1</v>
      </c>
      <c r="FM15" s="2">
        <v>3</v>
      </c>
      <c r="FN15" s="2">
        <v>2</v>
      </c>
      <c r="FO15" s="2">
        <v>2</v>
      </c>
      <c r="FP15" s="2">
        <v>5</v>
      </c>
      <c r="FQ15" s="2">
        <v>3</v>
      </c>
      <c r="FR15" s="2">
        <v>2</v>
      </c>
      <c r="FS15" s="2">
        <v>4</v>
      </c>
      <c r="FT15" s="2">
        <v>2</v>
      </c>
      <c r="FU15" s="2">
        <v>2</v>
      </c>
      <c r="FV15" s="2">
        <v>2</v>
      </c>
      <c r="FW15" s="2">
        <v>5</v>
      </c>
      <c r="FX15" s="2">
        <v>2</v>
      </c>
      <c r="FY15" s="2">
        <v>2</v>
      </c>
      <c r="FZ15" s="2">
        <v>5</v>
      </c>
      <c r="GA15" s="2">
        <v>3</v>
      </c>
      <c r="GB15" s="2">
        <v>1</v>
      </c>
      <c r="GC15" s="2">
        <v>5</v>
      </c>
      <c r="GD15" s="2">
        <v>5</v>
      </c>
      <c r="GE15" s="2">
        <v>2</v>
      </c>
      <c r="GF15" s="2">
        <v>2</v>
      </c>
      <c r="GG15" s="2">
        <v>1</v>
      </c>
      <c r="GH15" s="2">
        <v>2</v>
      </c>
      <c r="GI15" s="2">
        <v>4</v>
      </c>
      <c r="GJ15" s="2">
        <v>2</v>
      </c>
      <c r="GK15" s="2">
        <v>2</v>
      </c>
      <c r="GL15" s="2">
        <v>4</v>
      </c>
      <c r="GM15" s="2">
        <v>1</v>
      </c>
      <c r="GN15" s="2">
        <v>4</v>
      </c>
      <c r="GO15" s="2">
        <v>5</v>
      </c>
      <c r="GP15" s="2">
        <v>4</v>
      </c>
      <c r="GQ15" s="2">
        <v>3</v>
      </c>
      <c r="GR15" s="2">
        <v>5</v>
      </c>
      <c r="GS15" s="2">
        <v>2</v>
      </c>
      <c r="GT15" s="2">
        <v>5</v>
      </c>
      <c r="GU15" s="2">
        <v>1</v>
      </c>
      <c r="GV15" s="2">
        <v>1</v>
      </c>
      <c r="GW15" s="2">
        <v>4</v>
      </c>
      <c r="GX15" s="2">
        <v>5</v>
      </c>
      <c r="GY15" s="2">
        <v>2</v>
      </c>
      <c r="GZ15" s="2">
        <v>1</v>
      </c>
      <c r="HA15" s="2">
        <v>2</v>
      </c>
      <c r="HB15" s="2">
        <v>3</v>
      </c>
      <c r="HC15" s="2">
        <v>1</v>
      </c>
      <c r="HD15" s="2">
        <v>4</v>
      </c>
      <c r="HE15" s="2">
        <v>3</v>
      </c>
      <c r="HF15" s="2">
        <v>5</v>
      </c>
      <c r="HG15" s="2">
        <v>2</v>
      </c>
      <c r="HH15" s="2">
        <v>1</v>
      </c>
      <c r="HI15" s="2">
        <v>3</v>
      </c>
      <c r="HJ15" s="2">
        <v>3</v>
      </c>
      <c r="HK15" s="2">
        <v>1</v>
      </c>
      <c r="HL15" s="2">
        <v>5</v>
      </c>
      <c r="HM15" s="2">
        <v>5</v>
      </c>
      <c r="HN15" s="2">
        <v>4</v>
      </c>
      <c r="HO15" s="2">
        <v>5</v>
      </c>
      <c r="HP15" s="2">
        <v>4</v>
      </c>
      <c r="HQ15" s="2">
        <v>3</v>
      </c>
      <c r="HR15" s="2">
        <v>1</v>
      </c>
      <c r="HS15" s="2">
        <v>5</v>
      </c>
      <c r="HT15" s="2">
        <v>4</v>
      </c>
      <c r="HU15" s="2">
        <v>3</v>
      </c>
      <c r="HV15" s="2">
        <v>5</v>
      </c>
      <c r="HW15" s="2">
        <v>2</v>
      </c>
      <c r="HX15" s="2">
        <v>3</v>
      </c>
      <c r="HY15" s="2">
        <v>5</v>
      </c>
      <c r="HZ15" s="2">
        <v>3</v>
      </c>
      <c r="IA15" s="2">
        <v>1</v>
      </c>
      <c r="IB15" s="2">
        <v>1</v>
      </c>
      <c r="IC15" s="2">
        <v>1</v>
      </c>
      <c r="ID15" s="2">
        <v>2</v>
      </c>
      <c r="IE15" s="2">
        <v>1</v>
      </c>
      <c r="IF15" s="2">
        <v>2</v>
      </c>
      <c r="IG15" s="2">
        <v>1</v>
      </c>
      <c r="IH15" s="2">
        <v>3</v>
      </c>
      <c r="II15" s="2">
        <v>5</v>
      </c>
      <c r="IJ15" s="2">
        <v>5</v>
      </c>
      <c r="IK15" s="2">
        <v>1</v>
      </c>
      <c r="IL15" s="2">
        <v>5</v>
      </c>
      <c r="IM15" s="2">
        <v>1</v>
      </c>
      <c r="IN15" s="2">
        <v>1</v>
      </c>
      <c r="IO15" s="2">
        <v>4</v>
      </c>
      <c r="IP15" s="2">
        <v>4</v>
      </c>
      <c r="IQ15" s="2">
        <v>4</v>
      </c>
      <c r="IR15" s="2">
        <v>2</v>
      </c>
      <c r="IS15" s="2">
        <v>4</v>
      </c>
      <c r="IT15" s="2">
        <v>1</v>
      </c>
      <c r="IU15" s="2">
        <v>3</v>
      </c>
      <c r="IV15" s="2">
        <v>4</v>
      </c>
      <c r="IW15" s="2">
        <v>4</v>
      </c>
      <c r="IX15" s="2">
        <v>3</v>
      </c>
      <c r="IY15" s="2">
        <v>1</v>
      </c>
      <c r="IZ15" s="2">
        <v>2</v>
      </c>
      <c r="JA15" s="2">
        <v>4</v>
      </c>
      <c r="JB15" s="2">
        <v>3</v>
      </c>
      <c r="JC15" s="2">
        <v>1</v>
      </c>
      <c r="JD15" s="2">
        <v>5</v>
      </c>
      <c r="JE15" s="2">
        <v>2</v>
      </c>
      <c r="JF15" s="2">
        <v>3</v>
      </c>
      <c r="JG15" s="2">
        <v>3</v>
      </c>
      <c r="JH15" s="2">
        <v>3</v>
      </c>
      <c r="JI15" s="2">
        <v>4</v>
      </c>
      <c r="JJ15" s="2">
        <v>5</v>
      </c>
      <c r="JK15" s="2">
        <v>2</v>
      </c>
      <c r="JL15" s="2">
        <v>1</v>
      </c>
      <c r="JM15" s="2">
        <v>1</v>
      </c>
      <c r="JN15" s="2">
        <v>5</v>
      </c>
      <c r="JO15" s="2">
        <v>3</v>
      </c>
      <c r="JP15" s="2">
        <v>3</v>
      </c>
      <c r="JQ15" s="2">
        <v>3</v>
      </c>
      <c r="JR15" s="2">
        <v>3</v>
      </c>
      <c r="JS15" s="2">
        <v>3</v>
      </c>
      <c r="JT15" s="2">
        <v>5</v>
      </c>
      <c r="JU15" s="2">
        <v>4</v>
      </c>
      <c r="JV15" s="2">
        <v>2</v>
      </c>
      <c r="JW15" s="2">
        <v>3</v>
      </c>
      <c r="JX15" s="2">
        <v>4</v>
      </c>
      <c r="JY15" s="2">
        <v>1</v>
      </c>
      <c r="JZ15" s="2">
        <v>5</v>
      </c>
      <c r="KA15" s="2">
        <v>4</v>
      </c>
      <c r="KB15" s="2">
        <v>3</v>
      </c>
      <c r="KC15" s="2">
        <v>3</v>
      </c>
      <c r="KD15" s="2">
        <v>3</v>
      </c>
      <c r="KE15" s="2">
        <v>4</v>
      </c>
      <c r="KF15" s="2">
        <v>3</v>
      </c>
      <c r="KG15" s="2">
        <v>4</v>
      </c>
      <c r="KH15" s="2">
        <v>3</v>
      </c>
      <c r="KI15" s="2">
        <v>1</v>
      </c>
      <c r="KJ15" s="2">
        <v>1</v>
      </c>
      <c r="KK15" s="2">
        <v>2</v>
      </c>
      <c r="KL15" s="2">
        <v>3</v>
      </c>
      <c r="KM15" s="2">
        <v>3</v>
      </c>
      <c r="KN15" s="2">
        <v>4</v>
      </c>
      <c r="KO15" s="2">
        <v>4</v>
      </c>
      <c r="KP15" s="2">
        <v>3</v>
      </c>
      <c r="KQ15" s="2">
        <v>2</v>
      </c>
      <c r="KR15" s="2">
        <v>3</v>
      </c>
      <c r="KS15" s="2">
        <v>4</v>
      </c>
      <c r="KT15" s="2">
        <v>3</v>
      </c>
      <c r="KU15" s="2">
        <v>4</v>
      </c>
      <c r="KV15" s="2">
        <v>3</v>
      </c>
      <c r="KW15" s="2">
        <v>5</v>
      </c>
      <c r="KX15" s="2">
        <v>4</v>
      </c>
      <c r="KY15" s="2">
        <v>2</v>
      </c>
      <c r="KZ15" s="2">
        <v>5</v>
      </c>
      <c r="LA15" s="2">
        <v>3</v>
      </c>
      <c r="LB15" s="2">
        <v>4</v>
      </c>
      <c r="LC15" s="2">
        <v>5</v>
      </c>
      <c r="LD15" s="2">
        <v>2</v>
      </c>
      <c r="LE15" s="2">
        <v>4</v>
      </c>
      <c r="LF15" s="2">
        <v>5</v>
      </c>
      <c r="LG15" s="2">
        <v>5</v>
      </c>
      <c r="LH15" s="2">
        <v>5</v>
      </c>
      <c r="LI15" s="2">
        <v>1</v>
      </c>
      <c r="LJ15" s="2">
        <v>3</v>
      </c>
      <c r="LK15" s="2">
        <v>4</v>
      </c>
      <c r="LL15" s="2">
        <v>4</v>
      </c>
      <c r="LM15" s="2">
        <v>4</v>
      </c>
      <c r="LN15" s="2">
        <v>5</v>
      </c>
      <c r="LO15" s="2">
        <v>3</v>
      </c>
      <c r="LP15" s="2">
        <v>2</v>
      </c>
      <c r="LQ15" s="2">
        <v>4</v>
      </c>
      <c r="LR15" s="2">
        <v>3</v>
      </c>
      <c r="LS15" s="2">
        <v>3</v>
      </c>
      <c r="LT15" s="2">
        <v>1</v>
      </c>
      <c r="LU15" s="2">
        <v>4</v>
      </c>
      <c r="LV15" s="2">
        <v>5</v>
      </c>
      <c r="LW15" s="2">
        <v>3</v>
      </c>
      <c r="LX15" s="2">
        <v>3</v>
      </c>
      <c r="LY15" s="2">
        <v>2</v>
      </c>
      <c r="LZ15" s="2">
        <v>1</v>
      </c>
      <c r="MA15" s="2">
        <v>3</v>
      </c>
      <c r="MB15" s="2">
        <v>3</v>
      </c>
      <c r="MC15" s="2">
        <v>5</v>
      </c>
      <c r="MD15" s="2">
        <v>5</v>
      </c>
      <c r="ME15" s="2">
        <v>2</v>
      </c>
      <c r="MF15" s="2">
        <v>2</v>
      </c>
      <c r="MG15" s="2">
        <v>2</v>
      </c>
      <c r="MH15" s="2">
        <v>5</v>
      </c>
      <c r="MI15" s="2">
        <v>5</v>
      </c>
      <c r="MJ15" s="2">
        <v>1</v>
      </c>
      <c r="MK15" s="2">
        <v>4</v>
      </c>
      <c r="ML15" s="2">
        <v>4</v>
      </c>
      <c r="MM15" s="2">
        <v>1</v>
      </c>
      <c r="MN15" s="2">
        <v>4</v>
      </c>
      <c r="MO15" s="2">
        <v>5</v>
      </c>
      <c r="MP15" s="2">
        <v>4</v>
      </c>
      <c r="MQ15" s="2">
        <v>5</v>
      </c>
      <c r="MR15" s="2">
        <v>1</v>
      </c>
      <c r="MS15" s="2">
        <v>2</v>
      </c>
      <c r="MT15" s="2">
        <v>1</v>
      </c>
      <c r="MU15" s="2">
        <v>4</v>
      </c>
      <c r="MV15" s="2">
        <v>5</v>
      </c>
      <c r="MW15" s="2">
        <v>4</v>
      </c>
      <c r="MX15" s="2">
        <v>4</v>
      </c>
      <c r="MY15" s="2">
        <v>2</v>
      </c>
      <c r="MZ15" s="2">
        <v>4</v>
      </c>
      <c r="NA15" s="2">
        <v>2</v>
      </c>
      <c r="NB15" s="2">
        <v>5</v>
      </c>
      <c r="NC15" s="2">
        <v>5</v>
      </c>
      <c r="ND15" s="2">
        <v>2</v>
      </c>
      <c r="NE15" s="2">
        <v>1</v>
      </c>
      <c r="NF15" s="2">
        <v>5</v>
      </c>
      <c r="NG15" s="2">
        <v>1</v>
      </c>
      <c r="NH15" s="2">
        <v>5</v>
      </c>
      <c r="NI15" s="2">
        <v>5</v>
      </c>
      <c r="NJ15" s="2">
        <v>3</v>
      </c>
      <c r="NK15" s="2">
        <v>4</v>
      </c>
      <c r="NL15" s="2">
        <v>4</v>
      </c>
      <c r="NM15" s="2">
        <v>1</v>
      </c>
      <c r="NN15" s="2">
        <v>4</v>
      </c>
      <c r="NO15" s="2">
        <v>1</v>
      </c>
      <c r="NP15" s="2">
        <v>5</v>
      </c>
      <c r="NQ15" s="2">
        <v>3</v>
      </c>
      <c r="NR15" s="2">
        <v>3</v>
      </c>
      <c r="NS15" s="2">
        <v>5</v>
      </c>
      <c r="NT15" s="2">
        <v>2</v>
      </c>
      <c r="NU15" s="2">
        <v>2</v>
      </c>
      <c r="NV15" s="2">
        <v>4</v>
      </c>
      <c r="NW15" s="2">
        <v>1</v>
      </c>
      <c r="NX15" s="2">
        <v>3</v>
      </c>
      <c r="NY15" s="2">
        <v>4</v>
      </c>
      <c r="NZ15" s="2">
        <v>5</v>
      </c>
      <c r="OA15" s="2">
        <v>3</v>
      </c>
      <c r="OB15" s="2">
        <v>1</v>
      </c>
      <c r="OC15" s="2">
        <v>1</v>
      </c>
      <c r="OD15" s="2">
        <v>2</v>
      </c>
      <c r="OE15" s="2">
        <v>4</v>
      </c>
      <c r="OF15" s="2">
        <v>5</v>
      </c>
      <c r="OG15" s="2">
        <v>3</v>
      </c>
      <c r="OH15" s="2">
        <v>1</v>
      </c>
      <c r="OI15" s="2">
        <v>3</v>
      </c>
      <c r="OJ15" s="2">
        <v>5</v>
      </c>
      <c r="OK15" s="2">
        <v>3</v>
      </c>
      <c r="OL15" s="2">
        <v>4</v>
      </c>
      <c r="OM15" s="2">
        <v>2</v>
      </c>
      <c r="ON15" s="2">
        <v>3</v>
      </c>
      <c r="OO15" s="2">
        <v>2</v>
      </c>
      <c r="OP15" s="2">
        <v>5</v>
      </c>
      <c r="OQ15" s="2">
        <v>2</v>
      </c>
      <c r="OR15" s="2">
        <v>3</v>
      </c>
      <c r="OS15" s="2">
        <v>3</v>
      </c>
      <c r="OT15" s="2">
        <v>1</v>
      </c>
      <c r="OU15" s="2">
        <v>3</v>
      </c>
      <c r="OV15" s="2">
        <v>2</v>
      </c>
      <c r="OW15" s="2">
        <v>1</v>
      </c>
      <c r="OX15" s="2">
        <v>3</v>
      </c>
      <c r="OY15" s="2">
        <v>3</v>
      </c>
      <c r="OZ15" s="2">
        <v>5</v>
      </c>
      <c r="PA15" s="2">
        <v>1</v>
      </c>
      <c r="PB15" s="2">
        <v>5</v>
      </c>
      <c r="PC15" s="2">
        <v>5</v>
      </c>
      <c r="PD15" s="2">
        <v>5</v>
      </c>
      <c r="PE15" s="2">
        <v>4</v>
      </c>
      <c r="PF15" s="2">
        <v>5</v>
      </c>
      <c r="PG15" s="2">
        <v>2</v>
      </c>
      <c r="PH15" s="2">
        <v>3</v>
      </c>
      <c r="PI15" s="2">
        <v>4</v>
      </c>
      <c r="PJ15" s="2">
        <v>5</v>
      </c>
      <c r="PK15" s="2">
        <v>3</v>
      </c>
      <c r="PL15" s="2">
        <v>1</v>
      </c>
      <c r="PM15" s="2">
        <v>1</v>
      </c>
      <c r="PN15" s="2">
        <v>3</v>
      </c>
      <c r="PO15" s="2">
        <v>2</v>
      </c>
      <c r="PP15" s="2">
        <v>3</v>
      </c>
      <c r="PQ15" s="2">
        <v>3</v>
      </c>
      <c r="PR15" s="2">
        <v>4</v>
      </c>
      <c r="PS15" s="2">
        <v>1</v>
      </c>
      <c r="PT15" s="2">
        <v>1</v>
      </c>
      <c r="PU15" s="2">
        <v>5</v>
      </c>
      <c r="PV15" s="2">
        <v>3</v>
      </c>
      <c r="PW15" s="2">
        <v>3</v>
      </c>
      <c r="PX15" s="2">
        <v>2</v>
      </c>
      <c r="PY15" s="2">
        <v>1</v>
      </c>
      <c r="PZ15" s="2">
        <v>2</v>
      </c>
      <c r="QA15" s="2">
        <v>4</v>
      </c>
      <c r="QB15" s="2">
        <v>5</v>
      </c>
      <c r="QC15" s="2">
        <v>2</v>
      </c>
      <c r="QD15" s="2">
        <v>1</v>
      </c>
      <c r="QE15" s="2">
        <v>4</v>
      </c>
      <c r="QF15" s="2">
        <v>3</v>
      </c>
      <c r="QG15" s="2">
        <v>4</v>
      </c>
      <c r="QH15" s="2">
        <v>2</v>
      </c>
      <c r="QI15" s="2">
        <v>1</v>
      </c>
      <c r="QJ15" s="2">
        <v>2</v>
      </c>
      <c r="QK15" s="2">
        <v>3</v>
      </c>
      <c r="QL15" s="2">
        <v>3</v>
      </c>
      <c r="QM15" s="2">
        <v>1</v>
      </c>
      <c r="QN15" s="2">
        <v>5</v>
      </c>
      <c r="QO15" s="2">
        <v>4</v>
      </c>
      <c r="QP15" s="2">
        <v>4</v>
      </c>
      <c r="QQ15" s="2">
        <v>3</v>
      </c>
      <c r="QR15" s="2">
        <v>2</v>
      </c>
      <c r="QS15" s="2">
        <v>2</v>
      </c>
      <c r="QT15" s="2">
        <v>5</v>
      </c>
      <c r="QU15" s="2">
        <v>2</v>
      </c>
      <c r="QV15" s="2">
        <v>4</v>
      </c>
      <c r="QW15" s="2">
        <v>2</v>
      </c>
      <c r="QX15" s="2">
        <v>5</v>
      </c>
      <c r="QY15" s="2">
        <v>4</v>
      </c>
      <c r="QZ15" s="2">
        <v>2</v>
      </c>
      <c r="RA15" s="2">
        <v>4</v>
      </c>
      <c r="RB15" s="2">
        <v>3</v>
      </c>
      <c r="RC15" s="2">
        <v>3</v>
      </c>
      <c r="RD15" s="2">
        <v>3</v>
      </c>
      <c r="RE15" s="2">
        <v>2</v>
      </c>
      <c r="RF15" s="2">
        <v>5</v>
      </c>
      <c r="RG15" s="2">
        <v>4</v>
      </c>
      <c r="RH15" s="2">
        <v>1</v>
      </c>
      <c r="RI15" s="2">
        <v>3</v>
      </c>
      <c r="RJ15" s="2">
        <v>3</v>
      </c>
      <c r="RK15" s="2">
        <v>1</v>
      </c>
      <c r="RL15" s="2">
        <v>1</v>
      </c>
      <c r="RM15" s="2">
        <v>2</v>
      </c>
      <c r="RN15" s="2">
        <v>4</v>
      </c>
      <c r="RO15" s="2">
        <v>3</v>
      </c>
      <c r="RP15" s="2">
        <v>5</v>
      </c>
      <c r="RQ15" s="2">
        <v>2</v>
      </c>
      <c r="RR15" s="2">
        <v>2</v>
      </c>
      <c r="RS15" s="2">
        <v>5</v>
      </c>
      <c r="RT15" s="2">
        <v>5</v>
      </c>
      <c r="RU15" s="2">
        <v>5</v>
      </c>
      <c r="RV15" s="2">
        <v>1</v>
      </c>
      <c r="RW15" s="2">
        <v>3</v>
      </c>
      <c r="RX15" s="2">
        <v>1</v>
      </c>
      <c r="RY15" s="2">
        <v>3</v>
      </c>
      <c r="RZ15" s="2">
        <v>1</v>
      </c>
      <c r="SA15" s="2">
        <v>4</v>
      </c>
      <c r="SB15" s="2">
        <v>3</v>
      </c>
      <c r="SC15" s="2">
        <v>2</v>
      </c>
      <c r="SD15" s="2">
        <v>3</v>
      </c>
      <c r="SE15" s="2">
        <v>3</v>
      </c>
      <c r="SF15" s="2">
        <v>3</v>
      </c>
      <c r="SG15" s="2">
        <v>4</v>
      </c>
      <c r="SH15" s="2">
        <v>1</v>
      </c>
      <c r="SI15" s="2">
        <v>2</v>
      </c>
      <c r="SJ15" s="2">
        <v>1</v>
      </c>
      <c r="SK15" s="2">
        <v>1</v>
      </c>
      <c r="SL15" s="2">
        <v>5</v>
      </c>
      <c r="SM15" s="2">
        <v>4</v>
      </c>
      <c r="SN15" s="2">
        <v>5</v>
      </c>
      <c r="SO15" s="2">
        <v>4</v>
      </c>
      <c r="SP15" s="2">
        <v>1</v>
      </c>
      <c r="SQ15" s="2">
        <v>1</v>
      </c>
      <c r="SR15" s="2">
        <v>4</v>
      </c>
      <c r="SS15" s="2">
        <v>1</v>
      </c>
      <c r="ST15" s="2">
        <v>1</v>
      </c>
      <c r="SU15" s="2">
        <v>2</v>
      </c>
      <c r="SV15" s="2">
        <v>5</v>
      </c>
      <c r="SW15" s="2">
        <v>5</v>
      </c>
      <c r="SX15" s="2">
        <v>5</v>
      </c>
      <c r="SY15" s="2">
        <v>3</v>
      </c>
      <c r="SZ15" s="2">
        <v>2</v>
      </c>
      <c r="TA15" s="2">
        <v>5</v>
      </c>
      <c r="TB15" s="2">
        <v>5</v>
      </c>
      <c r="TC15" s="2">
        <v>2</v>
      </c>
      <c r="TD15" s="2">
        <v>1</v>
      </c>
      <c r="TE15" s="2">
        <v>5</v>
      </c>
      <c r="TF15" s="2">
        <v>1</v>
      </c>
      <c r="TG15" s="2">
        <v>5</v>
      </c>
      <c r="TH15" s="2">
        <v>4</v>
      </c>
      <c r="TI15" s="2">
        <v>3</v>
      </c>
      <c r="TJ15" s="2">
        <v>5</v>
      </c>
      <c r="TK15" s="2">
        <v>4</v>
      </c>
      <c r="TL15" s="2">
        <v>2</v>
      </c>
      <c r="TM15" s="2">
        <v>4</v>
      </c>
      <c r="TN15" s="2">
        <v>2</v>
      </c>
      <c r="TO15" s="2">
        <v>5</v>
      </c>
      <c r="TP15" s="2">
        <v>2</v>
      </c>
      <c r="TQ15" s="2">
        <v>4</v>
      </c>
      <c r="TR15" s="2">
        <v>3</v>
      </c>
      <c r="TS15" s="2">
        <v>1</v>
      </c>
      <c r="TT15" s="2">
        <v>1</v>
      </c>
      <c r="TU15" s="2">
        <v>3</v>
      </c>
      <c r="TV15" s="2">
        <v>1</v>
      </c>
      <c r="TW15" s="2">
        <v>5</v>
      </c>
      <c r="TX15" s="2">
        <v>5</v>
      </c>
      <c r="TY15" s="2">
        <v>4</v>
      </c>
      <c r="TZ15" s="2">
        <v>4</v>
      </c>
      <c r="UA15" s="2">
        <v>2</v>
      </c>
      <c r="UB15" s="2">
        <v>4</v>
      </c>
      <c r="UC15" s="2">
        <v>5</v>
      </c>
      <c r="UD15" s="2">
        <v>4</v>
      </c>
      <c r="UE15" s="2">
        <v>1</v>
      </c>
      <c r="UF15" s="2">
        <v>2</v>
      </c>
      <c r="UG15" s="2">
        <v>2</v>
      </c>
      <c r="UH15" s="2">
        <v>5</v>
      </c>
      <c r="UI15" s="2">
        <v>4</v>
      </c>
      <c r="UJ15" s="2">
        <v>1</v>
      </c>
      <c r="UK15" s="2">
        <v>4</v>
      </c>
      <c r="UL15" s="2">
        <v>3</v>
      </c>
      <c r="UM15" s="2">
        <v>4</v>
      </c>
      <c r="UN15" s="2">
        <v>5</v>
      </c>
      <c r="UO15" s="2">
        <v>4</v>
      </c>
      <c r="UP15" s="2">
        <v>2</v>
      </c>
      <c r="UQ15" s="2">
        <v>1</v>
      </c>
      <c r="UR15" s="2">
        <v>5</v>
      </c>
      <c r="US15" s="2">
        <v>3</v>
      </c>
      <c r="UT15" s="2">
        <v>1</v>
      </c>
      <c r="UU15" s="2">
        <v>1</v>
      </c>
      <c r="UV15" s="2">
        <v>2</v>
      </c>
      <c r="UW15" s="2">
        <v>2</v>
      </c>
      <c r="UX15" s="2">
        <v>2</v>
      </c>
      <c r="UY15" s="2">
        <v>5</v>
      </c>
      <c r="UZ15" s="2">
        <v>4</v>
      </c>
      <c r="VA15" s="2">
        <v>1</v>
      </c>
      <c r="VB15" s="2">
        <v>4</v>
      </c>
      <c r="VC15" s="2">
        <v>4</v>
      </c>
      <c r="VD15" s="2">
        <v>2</v>
      </c>
      <c r="VE15" s="2">
        <v>4</v>
      </c>
      <c r="VF15" s="2">
        <v>1</v>
      </c>
      <c r="VG15" s="2">
        <v>1</v>
      </c>
      <c r="VH15" s="2">
        <v>3</v>
      </c>
      <c r="VI15" s="2">
        <v>5</v>
      </c>
      <c r="VJ15" s="2">
        <v>4</v>
      </c>
      <c r="VK15" s="2">
        <v>5</v>
      </c>
      <c r="VL15" s="2">
        <v>5</v>
      </c>
      <c r="VM15" s="2">
        <v>5</v>
      </c>
      <c r="VN15" s="2">
        <v>5</v>
      </c>
      <c r="VO15" s="2">
        <v>1</v>
      </c>
      <c r="VP15" s="2">
        <v>4</v>
      </c>
      <c r="VQ15" s="2">
        <v>3</v>
      </c>
      <c r="VR15" s="2">
        <v>5</v>
      </c>
      <c r="VS15" s="2">
        <v>3</v>
      </c>
      <c r="VT15" s="2">
        <v>1</v>
      </c>
      <c r="VU15" s="2">
        <v>1</v>
      </c>
      <c r="VV15" s="2">
        <v>2</v>
      </c>
      <c r="VW15" s="2">
        <v>5</v>
      </c>
      <c r="VX15" s="2">
        <v>2</v>
      </c>
      <c r="VY15" s="2">
        <v>3</v>
      </c>
      <c r="VZ15" s="2">
        <v>4</v>
      </c>
      <c r="WA15" s="2">
        <v>2</v>
      </c>
      <c r="WB15" s="2">
        <v>1</v>
      </c>
      <c r="WC15" s="2">
        <v>5</v>
      </c>
      <c r="WD15" s="2">
        <v>3</v>
      </c>
      <c r="WE15" s="2">
        <v>1</v>
      </c>
      <c r="WF15" s="2">
        <v>4</v>
      </c>
      <c r="WG15" s="2">
        <v>5</v>
      </c>
      <c r="WH15" s="2">
        <v>4</v>
      </c>
      <c r="WI15" s="2">
        <v>4</v>
      </c>
      <c r="WJ15" s="2">
        <v>5</v>
      </c>
      <c r="WK15" s="2">
        <v>5</v>
      </c>
      <c r="WL15" s="2">
        <v>4</v>
      </c>
      <c r="WM15" s="2">
        <v>3</v>
      </c>
      <c r="WN15" s="2">
        <v>5</v>
      </c>
      <c r="WO15" s="2">
        <v>1</v>
      </c>
      <c r="WP15" s="2">
        <v>2</v>
      </c>
      <c r="WQ15" s="2">
        <v>3</v>
      </c>
      <c r="WR15" s="2">
        <v>5</v>
      </c>
      <c r="WS15" s="2">
        <v>5</v>
      </c>
      <c r="WT15" s="2">
        <v>3</v>
      </c>
      <c r="WU15" s="2">
        <v>2</v>
      </c>
      <c r="WV15" s="2">
        <v>4</v>
      </c>
      <c r="WW15" s="2">
        <v>1</v>
      </c>
      <c r="WX15" s="2">
        <v>5</v>
      </c>
      <c r="WY15" s="2">
        <v>2</v>
      </c>
      <c r="WZ15" s="2">
        <v>1</v>
      </c>
      <c r="XA15" s="2">
        <v>3</v>
      </c>
      <c r="XB15" s="2">
        <v>5</v>
      </c>
      <c r="XC15" s="2">
        <v>4</v>
      </c>
      <c r="XD15" s="2">
        <v>3</v>
      </c>
      <c r="XE15" s="2">
        <v>5</v>
      </c>
      <c r="XF15" s="2">
        <v>2</v>
      </c>
      <c r="XG15" s="2">
        <v>1</v>
      </c>
      <c r="XH15" s="2">
        <v>1</v>
      </c>
      <c r="XI15" s="2">
        <v>5</v>
      </c>
      <c r="XJ15" s="2">
        <v>3</v>
      </c>
      <c r="XK15" s="2">
        <v>4</v>
      </c>
      <c r="XL15" s="2">
        <v>2</v>
      </c>
      <c r="XM15" s="2">
        <v>5</v>
      </c>
      <c r="XN15" s="2">
        <v>2</v>
      </c>
      <c r="XO15" s="2">
        <v>1</v>
      </c>
      <c r="XP15" s="2">
        <v>4</v>
      </c>
      <c r="XQ15" s="2">
        <v>2</v>
      </c>
      <c r="XR15" s="2">
        <v>5</v>
      </c>
      <c r="XS15" s="2">
        <v>4</v>
      </c>
      <c r="XT15" s="2">
        <v>3</v>
      </c>
      <c r="XU15" s="2">
        <v>5</v>
      </c>
      <c r="XV15" s="2">
        <v>2</v>
      </c>
      <c r="XW15" s="2">
        <v>4</v>
      </c>
      <c r="XX15" s="2">
        <v>5</v>
      </c>
      <c r="XY15" s="2">
        <v>4</v>
      </c>
      <c r="XZ15" s="2">
        <v>4</v>
      </c>
      <c r="YA15" s="2">
        <v>4</v>
      </c>
      <c r="YB15" s="2">
        <v>2</v>
      </c>
      <c r="YC15" s="2">
        <v>5</v>
      </c>
      <c r="YD15" s="2">
        <v>1</v>
      </c>
      <c r="YE15" s="2">
        <v>1</v>
      </c>
      <c r="YF15" s="2">
        <v>2</v>
      </c>
      <c r="YG15" s="2">
        <v>2</v>
      </c>
      <c r="YH15" s="2">
        <v>4</v>
      </c>
      <c r="YI15" s="2">
        <v>5</v>
      </c>
      <c r="YJ15" s="2">
        <v>5</v>
      </c>
      <c r="YK15" s="2">
        <v>3</v>
      </c>
      <c r="YL15" s="2">
        <v>3</v>
      </c>
      <c r="YM15" s="2">
        <v>1</v>
      </c>
      <c r="YN15" s="2">
        <v>3</v>
      </c>
      <c r="YO15" s="2">
        <v>3</v>
      </c>
      <c r="YP15" s="2">
        <v>1</v>
      </c>
      <c r="YQ15" s="2">
        <v>1</v>
      </c>
      <c r="YR15" s="2">
        <v>3</v>
      </c>
      <c r="YS15" s="2">
        <v>5</v>
      </c>
      <c r="YT15" s="2">
        <v>3</v>
      </c>
      <c r="YU15" s="2">
        <v>4</v>
      </c>
      <c r="YV15" s="2">
        <v>4</v>
      </c>
      <c r="YW15" s="2">
        <v>4</v>
      </c>
      <c r="YX15" s="2">
        <v>2</v>
      </c>
      <c r="YY15" s="2">
        <v>4</v>
      </c>
      <c r="YZ15" s="2">
        <v>5</v>
      </c>
      <c r="ZA15" s="2">
        <v>2</v>
      </c>
      <c r="ZB15" s="2">
        <v>2</v>
      </c>
      <c r="ZC15" s="2">
        <v>4</v>
      </c>
      <c r="ZD15" s="2">
        <v>3</v>
      </c>
      <c r="ZE15" s="2">
        <v>1</v>
      </c>
      <c r="ZF15" s="2">
        <v>3</v>
      </c>
      <c r="ZG15" s="2">
        <v>3</v>
      </c>
      <c r="ZH15" s="2">
        <v>2</v>
      </c>
      <c r="ZI15" s="2">
        <v>2</v>
      </c>
      <c r="ZJ15" s="2">
        <v>2</v>
      </c>
      <c r="ZK15" s="2">
        <v>5</v>
      </c>
      <c r="ZL15" s="2">
        <v>5</v>
      </c>
      <c r="ZM15" s="2">
        <v>1</v>
      </c>
      <c r="ZN15" s="2">
        <v>2</v>
      </c>
      <c r="ZO15" s="2">
        <v>4</v>
      </c>
      <c r="ZP15" s="2">
        <v>2</v>
      </c>
      <c r="ZQ15" s="2">
        <v>5</v>
      </c>
      <c r="ZR15" s="2">
        <v>2</v>
      </c>
      <c r="ZS15" s="2">
        <v>5</v>
      </c>
      <c r="ZT15" s="2">
        <v>2</v>
      </c>
      <c r="ZU15" s="2">
        <v>4</v>
      </c>
      <c r="ZV15" s="2">
        <v>1</v>
      </c>
      <c r="ZW15" s="2">
        <v>4</v>
      </c>
      <c r="ZX15" s="2">
        <v>5</v>
      </c>
      <c r="ZY15" s="2">
        <v>3</v>
      </c>
      <c r="ZZ15" s="2">
        <v>4</v>
      </c>
      <c r="AAA15" s="2">
        <v>2</v>
      </c>
      <c r="AAB15" s="2">
        <v>1</v>
      </c>
      <c r="AAC15" s="2">
        <v>2</v>
      </c>
      <c r="AAD15" s="2">
        <v>2</v>
      </c>
      <c r="AAE15" s="2">
        <v>4</v>
      </c>
      <c r="AAF15" s="2">
        <v>1</v>
      </c>
      <c r="AAG15" s="2">
        <v>3</v>
      </c>
      <c r="AAH15" s="2">
        <v>2</v>
      </c>
      <c r="AAI15" s="2">
        <v>1</v>
      </c>
      <c r="AAJ15" s="2">
        <v>3</v>
      </c>
      <c r="AAK15" s="2">
        <v>2</v>
      </c>
      <c r="AAL15" s="2">
        <v>1</v>
      </c>
      <c r="AAM15" s="2">
        <v>4</v>
      </c>
      <c r="AAN15" s="2">
        <v>2</v>
      </c>
      <c r="AAO15" s="2">
        <v>2</v>
      </c>
      <c r="AAP15" s="2">
        <v>1</v>
      </c>
      <c r="AAQ15" s="2">
        <v>2</v>
      </c>
      <c r="AAR15" s="2">
        <v>3</v>
      </c>
      <c r="AAS15" s="2">
        <v>2</v>
      </c>
      <c r="AAT15" s="2">
        <v>5</v>
      </c>
      <c r="AAU15" s="2">
        <v>3</v>
      </c>
      <c r="AAV15" s="2">
        <v>1</v>
      </c>
      <c r="AAW15" s="2">
        <v>3</v>
      </c>
      <c r="AAX15" s="2">
        <v>5</v>
      </c>
      <c r="AAY15" s="2">
        <v>5</v>
      </c>
      <c r="AAZ15" s="2">
        <v>2</v>
      </c>
      <c r="ABA15" s="2">
        <v>2</v>
      </c>
      <c r="ABB15" s="2">
        <v>4</v>
      </c>
      <c r="ABC15" s="2">
        <v>3</v>
      </c>
      <c r="ABD15" s="2">
        <v>4</v>
      </c>
      <c r="ABE15" s="2">
        <v>5</v>
      </c>
      <c r="ABF15" s="2">
        <v>2</v>
      </c>
      <c r="ABG15" s="2">
        <v>2</v>
      </c>
      <c r="ABH15" s="2">
        <v>2</v>
      </c>
      <c r="ABI15" s="2">
        <v>1</v>
      </c>
      <c r="ABJ15" s="2">
        <v>5</v>
      </c>
      <c r="ABK15" s="2">
        <v>2</v>
      </c>
      <c r="ABL15" s="2">
        <v>5</v>
      </c>
      <c r="ABM15" s="2">
        <v>2</v>
      </c>
      <c r="ABN15" s="2">
        <v>3</v>
      </c>
      <c r="ABO15" s="2">
        <v>5</v>
      </c>
      <c r="ABP15" s="2">
        <v>4</v>
      </c>
      <c r="ABQ15" s="2">
        <v>1</v>
      </c>
      <c r="ABR15" s="2">
        <v>4</v>
      </c>
      <c r="ABS15" s="2">
        <v>5</v>
      </c>
      <c r="ABT15" s="2">
        <v>2</v>
      </c>
      <c r="ABU15" s="2">
        <v>5</v>
      </c>
      <c r="ABV15" s="2">
        <v>1</v>
      </c>
      <c r="ABW15" s="2">
        <v>5</v>
      </c>
      <c r="ABX15" s="2">
        <v>2</v>
      </c>
      <c r="ABY15" s="2">
        <v>4</v>
      </c>
      <c r="ABZ15" s="2">
        <v>3</v>
      </c>
      <c r="ACA15" s="2">
        <v>4</v>
      </c>
      <c r="ACB15" s="2">
        <v>2</v>
      </c>
      <c r="ACC15" s="2">
        <v>2</v>
      </c>
      <c r="ACD15" s="2">
        <v>1</v>
      </c>
      <c r="ACE15" s="2">
        <v>5</v>
      </c>
      <c r="ACF15" s="2">
        <v>5</v>
      </c>
      <c r="ACG15" s="2">
        <v>4</v>
      </c>
      <c r="ACH15" s="2">
        <v>3</v>
      </c>
      <c r="ACI15" s="2">
        <v>3</v>
      </c>
      <c r="ACJ15" s="2">
        <v>1</v>
      </c>
      <c r="ACK15" s="2">
        <v>2</v>
      </c>
      <c r="ACL15" s="2">
        <v>1</v>
      </c>
      <c r="ACM15" s="2">
        <v>5</v>
      </c>
      <c r="ACN15" s="2">
        <v>2</v>
      </c>
      <c r="ACO15" s="2">
        <v>1</v>
      </c>
      <c r="ACP15" s="2">
        <v>4</v>
      </c>
      <c r="ACQ15" s="2">
        <v>5</v>
      </c>
      <c r="ACR15" s="2">
        <v>3</v>
      </c>
      <c r="ACS15" s="2">
        <v>1</v>
      </c>
      <c r="ACT15" s="2">
        <v>5</v>
      </c>
      <c r="ACU15" s="2">
        <v>5</v>
      </c>
      <c r="ACV15" s="2">
        <v>3</v>
      </c>
      <c r="ACW15" s="2">
        <v>3</v>
      </c>
      <c r="ACX15" s="2">
        <v>3</v>
      </c>
      <c r="ACY15" s="2">
        <v>1</v>
      </c>
      <c r="ACZ15" s="2">
        <v>3</v>
      </c>
      <c r="ADA15" s="2">
        <v>4</v>
      </c>
      <c r="ADB15" s="2">
        <v>5</v>
      </c>
      <c r="ADC15" s="2">
        <v>3</v>
      </c>
      <c r="ADD15" s="2">
        <v>5</v>
      </c>
      <c r="ADE15" s="2">
        <v>2</v>
      </c>
      <c r="ADF15" s="2">
        <v>2</v>
      </c>
      <c r="ADG15" s="2">
        <v>3</v>
      </c>
      <c r="ADH15" s="2">
        <v>5</v>
      </c>
      <c r="ADI15" s="2">
        <v>2</v>
      </c>
      <c r="ADJ15" s="2">
        <v>3</v>
      </c>
      <c r="ADK15" s="2">
        <v>5</v>
      </c>
      <c r="ADL15" s="2">
        <v>3</v>
      </c>
      <c r="ADM15" s="2">
        <v>5</v>
      </c>
      <c r="ADN15" s="2">
        <v>2</v>
      </c>
      <c r="ADO15" s="2">
        <v>3</v>
      </c>
      <c r="ADP15" s="2">
        <v>2</v>
      </c>
      <c r="ADQ15" s="2">
        <v>3</v>
      </c>
      <c r="ADR15" s="2">
        <v>1</v>
      </c>
      <c r="ADS15" s="2">
        <v>2</v>
      </c>
      <c r="ADT15" s="2">
        <v>2</v>
      </c>
      <c r="ADU15" s="2">
        <v>4</v>
      </c>
      <c r="ADV15" s="2">
        <v>2</v>
      </c>
      <c r="ADW15" s="2">
        <v>5</v>
      </c>
      <c r="ADX15" s="2">
        <v>3</v>
      </c>
      <c r="ADY15" s="2">
        <v>1</v>
      </c>
      <c r="ADZ15" s="2">
        <v>5</v>
      </c>
      <c r="AEA15" s="2">
        <v>5</v>
      </c>
      <c r="AEB15" s="2">
        <v>5</v>
      </c>
      <c r="AEC15" s="2">
        <v>5</v>
      </c>
      <c r="AED15" s="2">
        <v>1</v>
      </c>
      <c r="AEE15" s="2">
        <v>4</v>
      </c>
      <c r="AEF15" s="2">
        <v>2</v>
      </c>
      <c r="AEG15" s="2">
        <v>5</v>
      </c>
      <c r="AEH15" s="2">
        <v>2</v>
      </c>
      <c r="AEI15" s="2">
        <v>2</v>
      </c>
      <c r="AEJ15" s="2">
        <v>5</v>
      </c>
      <c r="AEK15" s="2">
        <v>4</v>
      </c>
      <c r="AEL15" s="2">
        <v>2</v>
      </c>
      <c r="AEM15" s="2">
        <v>3</v>
      </c>
      <c r="AEN15" s="2">
        <v>2</v>
      </c>
      <c r="AEO15" s="2">
        <v>5</v>
      </c>
      <c r="AEP15" s="2">
        <v>1</v>
      </c>
      <c r="AEQ15" s="2">
        <v>2</v>
      </c>
      <c r="AER15" s="2">
        <v>4</v>
      </c>
      <c r="AES15" s="2">
        <v>3</v>
      </c>
      <c r="AET15" s="2">
        <v>3</v>
      </c>
      <c r="AEU15" s="2">
        <v>1</v>
      </c>
      <c r="AEV15" s="2">
        <v>1</v>
      </c>
      <c r="AEW15" s="2">
        <v>2</v>
      </c>
      <c r="AEX15" s="2">
        <v>5</v>
      </c>
      <c r="AEY15" s="2">
        <v>4</v>
      </c>
      <c r="AEZ15" s="2">
        <v>3</v>
      </c>
      <c r="AFA15" s="2">
        <v>1</v>
      </c>
      <c r="AFB15" s="2">
        <v>4</v>
      </c>
      <c r="AFC15" s="2">
        <v>5</v>
      </c>
      <c r="AFD15" s="2">
        <v>3</v>
      </c>
      <c r="AFE15" s="2">
        <v>3</v>
      </c>
      <c r="AFF15" s="2">
        <v>5</v>
      </c>
      <c r="AFG15" s="2">
        <v>3</v>
      </c>
      <c r="AFH15" s="2">
        <v>5</v>
      </c>
      <c r="AFI15" s="2">
        <v>3</v>
      </c>
      <c r="AFJ15" s="2">
        <v>2</v>
      </c>
      <c r="AFK15" s="2">
        <v>5</v>
      </c>
      <c r="AFL15" s="2">
        <v>4</v>
      </c>
      <c r="AFM15" s="2">
        <v>2</v>
      </c>
      <c r="AFN15" s="2">
        <v>4</v>
      </c>
      <c r="AFO15" s="2">
        <v>3</v>
      </c>
      <c r="AFP15" s="2">
        <v>4</v>
      </c>
      <c r="AFQ15" s="2">
        <v>2</v>
      </c>
      <c r="AFR15" s="2">
        <v>5</v>
      </c>
      <c r="AFS15" s="2">
        <v>1</v>
      </c>
      <c r="AFT15" s="2">
        <v>4</v>
      </c>
      <c r="AFU15" s="2">
        <v>1</v>
      </c>
      <c r="AFV15" s="2">
        <v>4</v>
      </c>
      <c r="AFW15" s="2">
        <v>4</v>
      </c>
      <c r="AFX15" s="2">
        <v>5</v>
      </c>
      <c r="AFY15" s="2">
        <v>3</v>
      </c>
      <c r="AFZ15" s="2">
        <v>2</v>
      </c>
      <c r="AGA15" s="2">
        <v>2</v>
      </c>
      <c r="AGB15" s="2">
        <v>2</v>
      </c>
      <c r="AGC15" s="2">
        <v>3</v>
      </c>
      <c r="AGD15" s="2">
        <v>1</v>
      </c>
      <c r="AGE15" s="2">
        <v>2</v>
      </c>
      <c r="AGF15" s="2">
        <v>1</v>
      </c>
      <c r="AGG15" s="2">
        <v>3</v>
      </c>
      <c r="AGH15" s="2">
        <v>3</v>
      </c>
      <c r="AGI15" s="2">
        <v>5</v>
      </c>
      <c r="AGJ15" s="2">
        <v>2</v>
      </c>
      <c r="AGK15" s="2">
        <v>5</v>
      </c>
      <c r="AGL15" s="2">
        <v>2</v>
      </c>
      <c r="AGM15" s="2">
        <v>3</v>
      </c>
      <c r="AGN15" s="2">
        <v>3</v>
      </c>
      <c r="AGO15" s="2">
        <v>4</v>
      </c>
      <c r="AGP15" s="2">
        <v>4</v>
      </c>
      <c r="AGQ15" s="2">
        <v>3</v>
      </c>
      <c r="AGR15" s="2">
        <v>3</v>
      </c>
      <c r="AGS15" s="2">
        <v>1</v>
      </c>
      <c r="AGT15" s="2">
        <v>1</v>
      </c>
      <c r="AGU15" s="2">
        <v>5</v>
      </c>
      <c r="AGV15" s="2">
        <v>4</v>
      </c>
      <c r="AGW15" s="2">
        <v>4</v>
      </c>
      <c r="AGX15" s="2">
        <v>3</v>
      </c>
      <c r="AGY15" s="2">
        <v>3</v>
      </c>
      <c r="AGZ15" s="2">
        <v>5</v>
      </c>
      <c r="AHA15" s="2">
        <v>4</v>
      </c>
      <c r="AHB15" s="2">
        <v>1</v>
      </c>
      <c r="AHC15" s="2">
        <v>2</v>
      </c>
      <c r="AHD15" s="2">
        <v>5</v>
      </c>
      <c r="AHE15" s="2">
        <v>2</v>
      </c>
      <c r="AHF15" s="2">
        <v>1</v>
      </c>
      <c r="AHG15" s="2">
        <v>1</v>
      </c>
      <c r="AHH15" s="2">
        <v>2</v>
      </c>
      <c r="AHI15" s="2">
        <v>5</v>
      </c>
      <c r="AHJ15" s="2">
        <v>2</v>
      </c>
      <c r="AHK15" s="2">
        <v>5</v>
      </c>
      <c r="AHL15" s="2">
        <v>5</v>
      </c>
      <c r="AHM15" s="2">
        <v>3</v>
      </c>
      <c r="AHN15" s="2">
        <v>4</v>
      </c>
      <c r="AHO15" s="2">
        <v>4</v>
      </c>
      <c r="AHP15" s="2">
        <v>1</v>
      </c>
      <c r="AHQ15" s="2">
        <v>3</v>
      </c>
      <c r="AHR15" s="2">
        <v>4</v>
      </c>
      <c r="AHS15" s="2">
        <v>5</v>
      </c>
      <c r="AHT15" s="2">
        <v>5</v>
      </c>
      <c r="AHU15" s="2">
        <v>2</v>
      </c>
      <c r="AHV15" s="2">
        <v>2</v>
      </c>
      <c r="AHW15" s="2">
        <v>5</v>
      </c>
      <c r="AHX15" s="2">
        <v>5</v>
      </c>
      <c r="AHY15" s="2">
        <v>2</v>
      </c>
      <c r="AHZ15" s="2">
        <v>4</v>
      </c>
      <c r="AIA15" s="2">
        <v>1</v>
      </c>
      <c r="AIB15" s="2">
        <v>2</v>
      </c>
      <c r="AIC15" s="2">
        <v>4</v>
      </c>
      <c r="AID15" s="2">
        <v>4</v>
      </c>
      <c r="AIE15" s="2">
        <v>4</v>
      </c>
      <c r="AIF15" s="2">
        <v>3</v>
      </c>
      <c r="AIG15" s="2">
        <v>3</v>
      </c>
      <c r="AIH15" s="2">
        <v>4</v>
      </c>
      <c r="AII15" s="2">
        <v>5</v>
      </c>
      <c r="AIJ15" s="2">
        <v>3</v>
      </c>
      <c r="AIK15" s="2">
        <v>2</v>
      </c>
      <c r="AIL15" s="2">
        <v>3</v>
      </c>
      <c r="AIM15" s="2">
        <v>5</v>
      </c>
      <c r="AIN15" s="2">
        <v>1</v>
      </c>
      <c r="AIO15" s="2">
        <v>3</v>
      </c>
      <c r="AIP15" s="2">
        <v>4</v>
      </c>
      <c r="AIQ15" s="2">
        <v>4</v>
      </c>
      <c r="AIR15" s="2">
        <v>4</v>
      </c>
      <c r="AIS15" s="2">
        <v>1</v>
      </c>
      <c r="AIT15" s="2">
        <v>5</v>
      </c>
      <c r="AIU15" s="2">
        <v>2</v>
      </c>
      <c r="AIV15" s="2">
        <v>5</v>
      </c>
      <c r="AIW15" s="2">
        <v>1</v>
      </c>
      <c r="AIX15" s="2">
        <v>4</v>
      </c>
      <c r="AIY15" s="2">
        <v>5</v>
      </c>
      <c r="AIZ15" s="2">
        <v>2</v>
      </c>
      <c r="AJA15" s="2">
        <v>4</v>
      </c>
      <c r="AJB15" s="2">
        <v>2</v>
      </c>
      <c r="AJC15" s="2">
        <v>3</v>
      </c>
      <c r="AJD15" s="2">
        <v>2</v>
      </c>
      <c r="AJE15" s="2">
        <v>4</v>
      </c>
      <c r="AJF15" s="2">
        <v>3</v>
      </c>
      <c r="AJG15" s="2">
        <v>4</v>
      </c>
      <c r="AJH15" s="2">
        <v>4</v>
      </c>
      <c r="AJI15" s="2">
        <v>3</v>
      </c>
      <c r="AJJ15" s="2">
        <v>2</v>
      </c>
      <c r="AJK15" s="2">
        <v>1</v>
      </c>
      <c r="AJL15" s="2">
        <v>1</v>
      </c>
      <c r="AJM15" s="2">
        <v>1</v>
      </c>
      <c r="AJN15" s="2">
        <v>1</v>
      </c>
      <c r="AJO15" s="2">
        <v>5</v>
      </c>
      <c r="AJP15" s="2">
        <v>1</v>
      </c>
      <c r="AJQ15" s="2">
        <v>3</v>
      </c>
      <c r="AJR15" s="2">
        <v>1</v>
      </c>
      <c r="AJS15" s="2">
        <v>4</v>
      </c>
      <c r="AJT15" s="2">
        <v>1</v>
      </c>
      <c r="AJU15" s="2">
        <v>2</v>
      </c>
      <c r="AJV15" s="2">
        <v>3</v>
      </c>
      <c r="AJW15" s="2">
        <v>3</v>
      </c>
      <c r="AJX15" s="2">
        <v>5</v>
      </c>
      <c r="AJY15" s="2">
        <v>4</v>
      </c>
      <c r="AJZ15" s="2">
        <v>3</v>
      </c>
      <c r="AKA15" s="2">
        <v>2</v>
      </c>
      <c r="AKB15" s="2">
        <v>1</v>
      </c>
      <c r="AKC15" s="2">
        <v>3</v>
      </c>
      <c r="AKD15" s="2">
        <v>2</v>
      </c>
      <c r="AKE15" s="2">
        <v>1</v>
      </c>
      <c r="AKF15" s="2">
        <v>5</v>
      </c>
      <c r="AKG15" s="2">
        <v>3</v>
      </c>
      <c r="AKH15" s="2">
        <v>3</v>
      </c>
      <c r="AKI15" s="2">
        <v>2</v>
      </c>
      <c r="AKJ15" s="2">
        <v>4</v>
      </c>
      <c r="AKK15" s="2">
        <v>5</v>
      </c>
      <c r="AKL15" s="2">
        <v>4</v>
      </c>
      <c r="AKM15" s="2">
        <v>3</v>
      </c>
      <c r="AKN15" s="2">
        <v>4</v>
      </c>
      <c r="AKO15" s="2">
        <v>1</v>
      </c>
      <c r="AKP15" s="2">
        <v>5</v>
      </c>
      <c r="AKQ15" s="2">
        <v>4</v>
      </c>
      <c r="AKR15" s="2">
        <v>1</v>
      </c>
      <c r="AKS15" s="2">
        <v>2</v>
      </c>
      <c r="AKT15" s="2">
        <v>4</v>
      </c>
      <c r="AKU15" s="2">
        <v>5</v>
      </c>
      <c r="AKV15" s="2">
        <v>1</v>
      </c>
      <c r="AKW15" s="2">
        <v>4</v>
      </c>
      <c r="AKX15" s="2">
        <v>2</v>
      </c>
      <c r="AKY15" s="2">
        <v>4</v>
      </c>
      <c r="AKZ15" s="2">
        <v>1</v>
      </c>
      <c r="ALA15" s="2">
        <v>4</v>
      </c>
      <c r="ALB15" s="2">
        <v>5</v>
      </c>
      <c r="ALC15" s="2">
        <v>3</v>
      </c>
      <c r="ALD15" s="2">
        <v>1</v>
      </c>
      <c r="ALE15" s="2">
        <v>1</v>
      </c>
      <c r="ALF15" s="2">
        <v>1</v>
      </c>
      <c r="ALG15" s="2">
        <v>1</v>
      </c>
      <c r="ALH15" s="2">
        <v>4</v>
      </c>
      <c r="ALI15" s="2">
        <v>5</v>
      </c>
      <c r="ALJ15" s="2">
        <v>2</v>
      </c>
      <c r="ALK15" s="2">
        <v>5</v>
      </c>
      <c r="ALL15" s="2">
        <v>1</v>
      </c>
      <c r="ALM15" s="2">
        <v>4</v>
      </c>
    </row>
    <row r="17" spans="1:15" ht="13.8" customHeight="1" x14ac:dyDescent="0.3">
      <c r="A17" s="3" t="s">
        <v>0</v>
      </c>
      <c r="B17" s="3" t="s">
        <v>1</v>
      </c>
      <c r="C17" s="3" t="s">
        <v>2</v>
      </c>
      <c r="D17" s="3" t="s">
        <v>3</v>
      </c>
      <c r="E17" s="3" t="s">
        <v>4</v>
      </c>
      <c r="F17" s="3" t="s">
        <v>5</v>
      </c>
      <c r="G17" s="3" t="s">
        <v>6</v>
      </c>
      <c r="H17" s="3" t="s">
        <v>7</v>
      </c>
      <c r="I17" s="3" t="s">
        <v>8</v>
      </c>
      <c r="J17" s="3" t="s">
        <v>9</v>
      </c>
      <c r="K17" s="3" t="s">
        <v>10</v>
      </c>
      <c r="L17" s="3" t="s">
        <v>11</v>
      </c>
      <c r="M17" s="3" t="s">
        <v>12</v>
      </c>
      <c r="N17" s="3" t="s">
        <v>13</v>
      </c>
      <c r="O17" s="3" t="s">
        <v>14</v>
      </c>
    </row>
    <row r="18" spans="1:15" x14ac:dyDescent="0.3">
      <c r="A18" s="5" t="s">
        <v>15</v>
      </c>
      <c r="B18" s="7" cm="1">
        <f t="array" ref="B18:O18">HLOOKUP($A$18,A1:ALM15,{2,3,4,5,6,7,8,9,10,11,12,13,14,15},0)</f>
        <v>46088</v>
      </c>
      <c r="C18" s="5" t="str">
        <v>Jamie</v>
      </c>
      <c r="D18" s="5" t="str">
        <v>BR-006</v>
      </c>
      <c r="E18" s="5" t="str">
        <v>East</v>
      </c>
      <c r="F18" s="5" t="str">
        <v>Wealth Management</v>
      </c>
      <c r="G18" s="5" t="str">
        <v>Walk-in</v>
      </c>
      <c r="H18" s="5" t="str">
        <v>Retail</v>
      </c>
      <c r="I18" s="5">
        <v>74</v>
      </c>
      <c r="J18" s="5">
        <v>16</v>
      </c>
      <c r="K18" s="5">
        <v>25114.07</v>
      </c>
      <c r="L18" s="5">
        <v>350.3</v>
      </c>
      <c r="M18" s="5">
        <v>179.26</v>
      </c>
      <c r="N18" s="5" t="str">
        <v>No</v>
      </c>
      <c r="O18" s="5">
        <v>4</v>
      </c>
    </row>
  </sheetData>
  <dataValidations count="1">
    <dataValidation type="list" allowBlank="1" showInputMessage="1" showErrorMessage="1" sqref="A18" xr:uid="{6875791C-480E-429A-AFE9-4DF9873A25AD}">
      <formula1>$A$1:$ALM$1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529C5-7F13-4269-9361-69F499A26D84}">
  <dimension ref="A1:O1001"/>
  <sheetViews>
    <sheetView workbookViewId="0">
      <selection activeCell="A2" sqref="A2"/>
    </sheetView>
  </sheetViews>
  <sheetFormatPr defaultRowHeight="14.4" x14ac:dyDescent="0.3"/>
  <cols>
    <col min="1" max="1" width="16.21875" bestFit="1" customWidth="1"/>
    <col min="2" max="2" width="10" style="9" customWidth="1"/>
    <col min="3" max="3" width="11.109375" bestFit="1" customWidth="1"/>
    <col min="4" max="4" width="14.33203125" bestFit="1" customWidth="1"/>
    <col min="5" max="5" width="8.33203125" bestFit="1" customWidth="1"/>
    <col min="6" max="6" width="18.33203125" bestFit="1" customWidth="1"/>
    <col min="7" max="7" width="13.88671875" bestFit="1" customWidth="1"/>
    <col min="8" max="8" width="21.5546875" bestFit="1" customWidth="1"/>
    <col min="9" max="9" width="16" bestFit="1" customWidth="1"/>
    <col min="10" max="10" width="26.77734375" bestFit="1" customWidth="1"/>
    <col min="11" max="11" width="10.33203125" bestFit="1" customWidth="1"/>
    <col min="12" max="12" width="16.77734375" bestFit="1" customWidth="1"/>
    <col min="13" max="13" width="19.33203125" bestFit="1" customWidth="1"/>
    <col min="14" max="14" width="18.44140625" bestFit="1" customWidth="1"/>
    <col min="15" max="15" width="12.77734375" bestFit="1" customWidth="1"/>
  </cols>
  <sheetData>
    <row r="1" spans="1:15" ht="18" x14ac:dyDescent="0.3">
      <c r="A1" s="4" t="s">
        <v>0</v>
      </c>
      <c r="B1" s="6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x14ac:dyDescent="0.3">
      <c r="A2" s="2" t="s">
        <v>0</v>
      </c>
      <c r="B2" s="1" t="str" cm="1">
        <f t="array" ref="B2:O2">_xlfn.XLOOKUP(A2,'Main Data'!A1:A1001,'Main Data'!B1:O1001,0)</f>
        <v>Date</v>
      </c>
      <c r="C2" s="2" t="str">
        <v>Sales Rep</v>
      </c>
      <c r="D2" s="2" t="str">
        <v>Branch Code</v>
      </c>
      <c r="E2" s="2" t="str">
        <v>Region</v>
      </c>
      <c r="F2" s="2" t="str">
        <v>Product</v>
      </c>
      <c r="G2" s="2" t="str">
        <v>Lead Source</v>
      </c>
      <c r="H2" s="2" t="str">
        <v>Customer Segment</v>
      </c>
      <c r="I2" s="2" t="str">
        <v>Customer Age</v>
      </c>
      <c r="J2" s="2" t="str">
        <v>Account Tenure Months</v>
      </c>
      <c r="K2" s="2" t="str">
        <v>Revenue</v>
      </c>
      <c r="L2" s="2" t="str">
        <v>Processing Fee</v>
      </c>
      <c r="M2" s="2" t="str">
        <v>Discount Applied</v>
      </c>
      <c r="N2" s="2" t="str">
        <v>Target Achieved</v>
      </c>
      <c r="O2" s="2" t="str">
        <v>CSAT Score</v>
      </c>
    </row>
    <row r="3" spans="1:15" x14ac:dyDescent="0.3">
      <c r="A3" s="13"/>
      <c r="B3" s="14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spans="1:15" x14ac:dyDescent="0.3">
      <c r="A4" s="13"/>
      <c r="B4" s="14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1:15" x14ac:dyDescent="0.3">
      <c r="A5" s="13"/>
      <c r="B5" s="14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15" x14ac:dyDescent="0.3">
      <c r="A6" s="13"/>
      <c r="B6" s="14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</row>
    <row r="7" spans="1:15" x14ac:dyDescent="0.3">
      <c r="A7" s="13"/>
      <c r="B7" s="14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</row>
    <row r="8" spans="1:15" x14ac:dyDescent="0.3">
      <c r="A8" s="13"/>
      <c r="B8" s="14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</row>
    <row r="9" spans="1:15" x14ac:dyDescent="0.3">
      <c r="A9" s="13"/>
      <c r="B9" s="14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spans="1:15" x14ac:dyDescent="0.3">
      <c r="A10" s="13"/>
      <c r="B10" s="14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x14ac:dyDescent="0.3">
      <c r="A11" s="13"/>
      <c r="B11" s="14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</row>
    <row r="12" spans="1:15" x14ac:dyDescent="0.3">
      <c r="A12" s="13"/>
      <c r="B12" s="14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spans="1:15" x14ac:dyDescent="0.3">
      <c r="A13" s="13"/>
      <c r="B13" s="14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</row>
    <row r="14" spans="1:15" x14ac:dyDescent="0.3">
      <c r="A14" s="13"/>
      <c r="B14" s="14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</row>
    <row r="15" spans="1:15" x14ac:dyDescent="0.3">
      <c r="A15" s="13"/>
      <c r="B15" s="14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spans="1:15" x14ac:dyDescent="0.3">
      <c r="A16" s="13"/>
      <c r="B16" s="14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</row>
    <row r="17" spans="1:15" x14ac:dyDescent="0.3">
      <c r="A17" s="13"/>
      <c r="B17" s="14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spans="1:15" x14ac:dyDescent="0.3">
      <c r="A18" s="13"/>
      <c r="B18" s="14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</row>
    <row r="19" spans="1:15" x14ac:dyDescent="0.3">
      <c r="A19" s="13"/>
      <c r="B19" s="14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</row>
    <row r="20" spans="1:15" x14ac:dyDescent="0.3">
      <c r="A20" s="13"/>
      <c r="B20" s="14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</row>
    <row r="21" spans="1:15" x14ac:dyDescent="0.3">
      <c r="A21" s="13"/>
      <c r="B21" s="14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</row>
    <row r="22" spans="1:15" x14ac:dyDescent="0.3">
      <c r="A22" s="13"/>
      <c r="B22" s="14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 spans="1:15" x14ac:dyDescent="0.3">
      <c r="A23" s="13"/>
      <c r="B23" s="14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spans="1:15" x14ac:dyDescent="0.3">
      <c r="A24" s="13"/>
      <c r="B24" s="14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spans="1:15" x14ac:dyDescent="0.3">
      <c r="A25" s="13"/>
      <c r="B25" s="14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</row>
    <row r="26" spans="1:15" x14ac:dyDescent="0.3">
      <c r="A26" s="13"/>
      <c r="B26" s="14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</row>
    <row r="27" spans="1:15" x14ac:dyDescent="0.3">
      <c r="A27" s="13"/>
      <c r="B27" s="14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</row>
    <row r="28" spans="1:15" x14ac:dyDescent="0.3">
      <c r="A28" s="13"/>
      <c r="B28" s="14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</row>
    <row r="29" spans="1:15" x14ac:dyDescent="0.3">
      <c r="A29" s="13"/>
      <c r="B29" s="14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</row>
    <row r="30" spans="1:15" x14ac:dyDescent="0.3">
      <c r="A30" s="13"/>
      <c r="B30" s="14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</row>
    <row r="31" spans="1:15" x14ac:dyDescent="0.3">
      <c r="A31" s="13"/>
      <c r="B31" s="14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</row>
    <row r="32" spans="1:15" x14ac:dyDescent="0.3">
      <c r="A32" s="13"/>
      <c r="B32" s="14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</row>
    <row r="33" spans="1:15" x14ac:dyDescent="0.3">
      <c r="A33" s="13"/>
      <c r="B33" s="14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</row>
    <row r="34" spans="1:15" x14ac:dyDescent="0.3">
      <c r="A34" s="13"/>
      <c r="B34" s="14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</row>
    <row r="35" spans="1:15" x14ac:dyDescent="0.3">
      <c r="A35" s="13"/>
      <c r="B35" s="14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</row>
    <row r="36" spans="1:15" x14ac:dyDescent="0.3">
      <c r="A36" s="13"/>
      <c r="B36" s="14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</row>
    <row r="37" spans="1:15" x14ac:dyDescent="0.3">
      <c r="A37" s="13"/>
      <c r="B37" s="14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</row>
    <row r="38" spans="1:15" x14ac:dyDescent="0.3">
      <c r="A38" s="13"/>
      <c r="B38" s="14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</row>
    <row r="39" spans="1:15" x14ac:dyDescent="0.3">
      <c r="A39" s="13"/>
      <c r="B39" s="14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</row>
    <row r="40" spans="1:15" x14ac:dyDescent="0.3">
      <c r="A40" s="13"/>
      <c r="B40" s="14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</row>
    <row r="41" spans="1:15" x14ac:dyDescent="0.3">
      <c r="A41" s="13"/>
      <c r="B41" s="14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</row>
    <row r="42" spans="1:15" x14ac:dyDescent="0.3">
      <c r="A42" s="13"/>
      <c r="B42" s="14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</row>
    <row r="43" spans="1:15" x14ac:dyDescent="0.3">
      <c r="A43" s="13"/>
      <c r="B43" s="14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</row>
    <row r="44" spans="1:15" x14ac:dyDescent="0.3">
      <c r="A44" s="13"/>
      <c r="B44" s="14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</row>
    <row r="45" spans="1:15" x14ac:dyDescent="0.3">
      <c r="A45" s="13"/>
      <c r="B45" s="14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</row>
    <row r="46" spans="1:15" x14ac:dyDescent="0.3">
      <c r="A46" s="13"/>
      <c r="B46" s="14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</row>
    <row r="47" spans="1:15" x14ac:dyDescent="0.3">
      <c r="A47" s="13"/>
      <c r="B47" s="14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</row>
    <row r="48" spans="1:15" x14ac:dyDescent="0.3">
      <c r="A48" s="13"/>
      <c r="B48" s="14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</row>
    <row r="49" spans="1:15" x14ac:dyDescent="0.3">
      <c r="A49" s="13"/>
      <c r="B49" s="14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</row>
    <row r="50" spans="1:15" x14ac:dyDescent="0.3">
      <c r="A50" s="13"/>
      <c r="B50" s="14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</row>
    <row r="51" spans="1:15" x14ac:dyDescent="0.3">
      <c r="A51" s="13"/>
      <c r="B51" s="14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</row>
    <row r="52" spans="1:15" x14ac:dyDescent="0.3">
      <c r="A52" s="13"/>
      <c r="B52" s="14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</row>
    <row r="53" spans="1:15" x14ac:dyDescent="0.3">
      <c r="A53" s="13"/>
      <c r="B53" s="14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  <row r="54" spans="1:15" x14ac:dyDescent="0.3">
      <c r="A54" s="13"/>
      <c r="B54" s="14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</row>
    <row r="55" spans="1:15" x14ac:dyDescent="0.3">
      <c r="A55" s="13"/>
      <c r="B55" s="14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</row>
    <row r="56" spans="1:15" x14ac:dyDescent="0.3">
      <c r="A56" s="13"/>
      <c r="B56" s="14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</row>
    <row r="57" spans="1:15" x14ac:dyDescent="0.3">
      <c r="A57" s="13"/>
      <c r="B57" s="14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</row>
    <row r="58" spans="1:15" x14ac:dyDescent="0.3">
      <c r="A58" s="13"/>
      <c r="B58" s="14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</row>
    <row r="59" spans="1:15" x14ac:dyDescent="0.3">
      <c r="A59" s="13"/>
      <c r="B59" s="14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</row>
    <row r="60" spans="1:15" x14ac:dyDescent="0.3">
      <c r="A60" s="13"/>
      <c r="B60" s="14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</row>
    <row r="61" spans="1:15" x14ac:dyDescent="0.3">
      <c r="A61" s="13"/>
      <c r="B61" s="14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</row>
    <row r="62" spans="1:15" x14ac:dyDescent="0.3">
      <c r="A62" s="13"/>
      <c r="B62" s="14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</row>
    <row r="63" spans="1:15" x14ac:dyDescent="0.3">
      <c r="A63" s="13"/>
      <c r="B63" s="14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</row>
    <row r="64" spans="1:15" x14ac:dyDescent="0.3">
      <c r="A64" s="13"/>
      <c r="B64" s="14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</row>
    <row r="65" spans="1:15" x14ac:dyDescent="0.3">
      <c r="A65" s="13"/>
      <c r="B65" s="14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</row>
    <row r="66" spans="1:15" x14ac:dyDescent="0.3">
      <c r="A66" s="13"/>
      <c r="B66" s="14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</row>
    <row r="67" spans="1:15" x14ac:dyDescent="0.3">
      <c r="A67" s="13"/>
      <c r="B67" s="14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</row>
    <row r="68" spans="1:15" x14ac:dyDescent="0.3">
      <c r="A68" s="13"/>
      <c r="B68" s="14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</row>
    <row r="69" spans="1:15" x14ac:dyDescent="0.3">
      <c r="A69" s="13"/>
      <c r="B69" s="14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</row>
    <row r="70" spans="1:15" x14ac:dyDescent="0.3">
      <c r="A70" s="13"/>
      <c r="B70" s="14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</row>
    <row r="71" spans="1:15" x14ac:dyDescent="0.3">
      <c r="A71" s="13"/>
      <c r="B71" s="14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</row>
    <row r="72" spans="1:15" x14ac:dyDescent="0.3">
      <c r="A72" s="13"/>
      <c r="B72" s="14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</row>
    <row r="73" spans="1:15" x14ac:dyDescent="0.3">
      <c r="A73" s="13"/>
      <c r="B73" s="14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</row>
    <row r="74" spans="1:15" x14ac:dyDescent="0.3">
      <c r="A74" s="13"/>
      <c r="B74" s="14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</row>
    <row r="75" spans="1:15" x14ac:dyDescent="0.3">
      <c r="A75" s="13"/>
      <c r="B75" s="14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</row>
    <row r="76" spans="1:15" x14ac:dyDescent="0.3">
      <c r="A76" s="13"/>
      <c r="B76" s="14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</row>
    <row r="77" spans="1:15" x14ac:dyDescent="0.3">
      <c r="A77" s="13"/>
      <c r="B77" s="14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</row>
    <row r="78" spans="1:15" x14ac:dyDescent="0.3">
      <c r="A78" s="13"/>
      <c r="B78" s="14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</row>
    <row r="79" spans="1:15" x14ac:dyDescent="0.3">
      <c r="A79" s="13"/>
      <c r="B79" s="14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</row>
    <row r="80" spans="1:15" x14ac:dyDescent="0.3">
      <c r="A80" s="13"/>
      <c r="B80" s="14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</row>
    <row r="81" spans="1:15" x14ac:dyDescent="0.3">
      <c r="A81" s="13"/>
      <c r="B81" s="14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</row>
    <row r="82" spans="1:15" x14ac:dyDescent="0.3">
      <c r="A82" s="13"/>
      <c r="B82" s="14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</row>
    <row r="83" spans="1:15" x14ac:dyDescent="0.3">
      <c r="A83" s="13"/>
      <c r="B83" s="14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</row>
    <row r="84" spans="1:15" x14ac:dyDescent="0.3">
      <c r="A84" s="13"/>
      <c r="B84" s="14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</row>
    <row r="85" spans="1:15" x14ac:dyDescent="0.3">
      <c r="A85" s="13"/>
      <c r="B85" s="14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</row>
    <row r="86" spans="1:15" x14ac:dyDescent="0.3">
      <c r="A86" s="13"/>
      <c r="B86" s="14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</row>
    <row r="87" spans="1:15" x14ac:dyDescent="0.3">
      <c r="A87" s="13"/>
      <c r="B87" s="14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</row>
    <row r="88" spans="1:15" x14ac:dyDescent="0.3">
      <c r="A88" s="13"/>
      <c r="B88" s="14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</row>
    <row r="89" spans="1:15" x14ac:dyDescent="0.3">
      <c r="A89" s="13"/>
      <c r="B89" s="14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</row>
    <row r="90" spans="1:15" x14ac:dyDescent="0.3">
      <c r="A90" s="13"/>
      <c r="B90" s="14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</row>
    <row r="91" spans="1:15" x14ac:dyDescent="0.3">
      <c r="A91" s="13"/>
      <c r="B91" s="14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</row>
    <row r="92" spans="1:15" x14ac:dyDescent="0.3">
      <c r="A92" s="13"/>
      <c r="B92" s="14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</row>
    <row r="93" spans="1:15" x14ac:dyDescent="0.3">
      <c r="A93" s="13"/>
      <c r="B93" s="14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</row>
    <row r="94" spans="1:15" x14ac:dyDescent="0.3">
      <c r="A94" s="13"/>
      <c r="B94" s="14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</row>
    <row r="95" spans="1:15" x14ac:dyDescent="0.3">
      <c r="A95" s="13"/>
      <c r="B95" s="14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</row>
    <row r="96" spans="1:15" x14ac:dyDescent="0.3">
      <c r="A96" s="13"/>
      <c r="B96" s="14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</row>
    <row r="97" spans="1:15" x14ac:dyDescent="0.3">
      <c r="A97" s="13"/>
      <c r="B97" s="14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</row>
    <row r="98" spans="1:15" x14ac:dyDescent="0.3">
      <c r="A98" s="13"/>
      <c r="B98" s="14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</row>
    <row r="99" spans="1:15" x14ac:dyDescent="0.3">
      <c r="A99" s="13"/>
      <c r="B99" s="14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</row>
    <row r="100" spans="1:15" x14ac:dyDescent="0.3">
      <c r="A100" s="13"/>
      <c r="B100" s="14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</row>
    <row r="101" spans="1:15" x14ac:dyDescent="0.3">
      <c r="A101" s="13"/>
      <c r="B101" s="14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</row>
    <row r="102" spans="1:15" x14ac:dyDescent="0.3">
      <c r="A102" s="13"/>
      <c r="B102" s="14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</row>
    <row r="103" spans="1:15" x14ac:dyDescent="0.3">
      <c r="A103" s="13"/>
      <c r="B103" s="14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</row>
    <row r="104" spans="1:15" x14ac:dyDescent="0.3">
      <c r="A104" s="13"/>
      <c r="B104" s="14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</row>
    <row r="105" spans="1:15" x14ac:dyDescent="0.3">
      <c r="A105" s="13"/>
      <c r="B105" s="14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</row>
    <row r="106" spans="1:15" x14ac:dyDescent="0.3">
      <c r="A106" s="13"/>
      <c r="B106" s="14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</row>
    <row r="107" spans="1:15" x14ac:dyDescent="0.3">
      <c r="A107" s="13"/>
      <c r="B107" s="14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</row>
    <row r="108" spans="1:15" x14ac:dyDescent="0.3">
      <c r="A108" s="13"/>
      <c r="B108" s="14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</row>
    <row r="109" spans="1:15" x14ac:dyDescent="0.3">
      <c r="A109" s="13"/>
      <c r="B109" s="14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</row>
    <row r="110" spans="1:15" x14ac:dyDescent="0.3">
      <c r="A110" s="13"/>
      <c r="B110" s="14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</row>
    <row r="111" spans="1:15" x14ac:dyDescent="0.3">
      <c r="A111" s="13"/>
      <c r="B111" s="14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</row>
    <row r="112" spans="1:15" x14ac:dyDescent="0.3">
      <c r="A112" s="13"/>
      <c r="B112" s="14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</row>
    <row r="113" spans="1:15" x14ac:dyDescent="0.3">
      <c r="A113" s="13"/>
      <c r="B113" s="14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</row>
    <row r="114" spans="1:15" x14ac:dyDescent="0.3">
      <c r="A114" s="13"/>
      <c r="B114" s="14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</row>
    <row r="115" spans="1:15" x14ac:dyDescent="0.3">
      <c r="A115" s="13"/>
      <c r="B115" s="14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</row>
    <row r="116" spans="1:15" x14ac:dyDescent="0.3">
      <c r="A116" s="13"/>
      <c r="B116" s="14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</row>
    <row r="117" spans="1:15" x14ac:dyDescent="0.3">
      <c r="A117" s="13"/>
      <c r="B117" s="14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</row>
    <row r="118" spans="1:15" x14ac:dyDescent="0.3">
      <c r="A118" s="13"/>
      <c r="B118" s="14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</row>
    <row r="119" spans="1:15" x14ac:dyDescent="0.3">
      <c r="A119" s="13"/>
      <c r="B119" s="14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</row>
    <row r="120" spans="1:15" x14ac:dyDescent="0.3">
      <c r="A120" s="13"/>
      <c r="B120" s="14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</row>
    <row r="121" spans="1:15" x14ac:dyDescent="0.3">
      <c r="A121" s="13"/>
      <c r="B121" s="14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</row>
    <row r="122" spans="1:15" x14ac:dyDescent="0.3">
      <c r="A122" s="13"/>
      <c r="B122" s="14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</row>
    <row r="123" spans="1:15" x14ac:dyDescent="0.3">
      <c r="A123" s="13"/>
      <c r="B123" s="14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</row>
    <row r="124" spans="1:15" x14ac:dyDescent="0.3">
      <c r="A124" s="13"/>
      <c r="B124" s="14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</row>
    <row r="125" spans="1:15" x14ac:dyDescent="0.3">
      <c r="A125" s="13"/>
      <c r="B125" s="14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</row>
    <row r="126" spans="1:15" x14ac:dyDescent="0.3">
      <c r="A126" s="13"/>
      <c r="B126" s="14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</row>
    <row r="127" spans="1:15" x14ac:dyDescent="0.3">
      <c r="A127" s="13"/>
      <c r="B127" s="14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</row>
    <row r="128" spans="1:15" x14ac:dyDescent="0.3">
      <c r="A128" s="13"/>
      <c r="B128" s="14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</row>
    <row r="129" spans="1:15" x14ac:dyDescent="0.3">
      <c r="A129" s="13"/>
      <c r="B129" s="14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</row>
    <row r="130" spans="1:15" x14ac:dyDescent="0.3">
      <c r="A130" s="13"/>
      <c r="B130" s="14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</row>
    <row r="131" spans="1:15" x14ac:dyDescent="0.3">
      <c r="A131" s="13"/>
      <c r="B131" s="14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</row>
    <row r="132" spans="1:15" x14ac:dyDescent="0.3">
      <c r="A132" s="13"/>
      <c r="B132" s="14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</row>
    <row r="133" spans="1:15" x14ac:dyDescent="0.3">
      <c r="A133" s="13"/>
      <c r="B133" s="14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</row>
    <row r="134" spans="1:15" x14ac:dyDescent="0.3">
      <c r="A134" s="13"/>
      <c r="B134" s="14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</row>
    <row r="135" spans="1:15" x14ac:dyDescent="0.3">
      <c r="A135" s="13"/>
      <c r="B135" s="14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</row>
    <row r="136" spans="1:15" x14ac:dyDescent="0.3">
      <c r="A136" s="13"/>
      <c r="B136" s="14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</row>
    <row r="137" spans="1:15" x14ac:dyDescent="0.3">
      <c r="A137" s="13"/>
      <c r="B137" s="14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</row>
    <row r="138" spans="1:15" x14ac:dyDescent="0.3">
      <c r="A138" s="13"/>
      <c r="B138" s="14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</row>
    <row r="139" spans="1:15" x14ac:dyDescent="0.3">
      <c r="A139" s="13"/>
      <c r="B139" s="14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</row>
    <row r="140" spans="1:15" x14ac:dyDescent="0.3">
      <c r="A140" s="13"/>
      <c r="B140" s="14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</row>
    <row r="141" spans="1:15" x14ac:dyDescent="0.3">
      <c r="A141" s="13"/>
      <c r="B141" s="14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</row>
    <row r="142" spans="1:15" x14ac:dyDescent="0.3">
      <c r="A142" s="13"/>
      <c r="B142" s="14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</row>
    <row r="143" spans="1:15" x14ac:dyDescent="0.3">
      <c r="A143" s="13"/>
      <c r="B143" s="14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</row>
    <row r="144" spans="1:15" x14ac:dyDescent="0.3">
      <c r="A144" s="13"/>
      <c r="B144" s="14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</row>
    <row r="145" spans="1:15" x14ac:dyDescent="0.3">
      <c r="A145" s="13"/>
      <c r="B145" s="14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</row>
    <row r="146" spans="1:15" x14ac:dyDescent="0.3">
      <c r="A146" s="13"/>
      <c r="B146" s="14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</row>
    <row r="147" spans="1:15" x14ac:dyDescent="0.3">
      <c r="A147" s="13"/>
      <c r="B147" s="14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</row>
    <row r="148" spans="1:15" x14ac:dyDescent="0.3">
      <c r="A148" s="13"/>
      <c r="B148" s="14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</row>
    <row r="149" spans="1:15" x14ac:dyDescent="0.3">
      <c r="A149" s="13"/>
      <c r="B149" s="14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</row>
    <row r="150" spans="1:15" x14ac:dyDescent="0.3">
      <c r="A150" s="13"/>
      <c r="B150" s="14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</row>
    <row r="151" spans="1:15" x14ac:dyDescent="0.3">
      <c r="A151" s="13"/>
      <c r="B151" s="14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</row>
    <row r="152" spans="1:15" x14ac:dyDescent="0.3">
      <c r="A152" s="13"/>
      <c r="B152" s="14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</row>
    <row r="153" spans="1:15" x14ac:dyDescent="0.3">
      <c r="A153" s="13"/>
      <c r="B153" s="14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</row>
    <row r="154" spans="1:15" x14ac:dyDescent="0.3">
      <c r="A154" s="13"/>
      <c r="B154" s="14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</row>
    <row r="155" spans="1:15" x14ac:dyDescent="0.3">
      <c r="A155" s="13"/>
      <c r="B155" s="14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</row>
    <row r="156" spans="1:15" x14ac:dyDescent="0.3">
      <c r="A156" s="13"/>
      <c r="B156" s="14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</row>
    <row r="157" spans="1:15" x14ac:dyDescent="0.3">
      <c r="A157" s="13"/>
      <c r="B157" s="14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</row>
    <row r="158" spans="1:15" x14ac:dyDescent="0.3">
      <c r="A158" s="13"/>
      <c r="B158" s="14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</row>
    <row r="159" spans="1:15" x14ac:dyDescent="0.3">
      <c r="A159" s="13"/>
      <c r="B159" s="14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</row>
    <row r="160" spans="1:15" x14ac:dyDescent="0.3">
      <c r="A160" s="13"/>
      <c r="B160" s="14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</row>
    <row r="161" spans="1:15" x14ac:dyDescent="0.3">
      <c r="A161" s="13"/>
      <c r="B161" s="14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</row>
    <row r="162" spans="1:15" x14ac:dyDescent="0.3">
      <c r="A162" s="13"/>
      <c r="B162" s="14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</row>
    <row r="163" spans="1:15" x14ac:dyDescent="0.3">
      <c r="A163" s="13"/>
      <c r="B163" s="14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</row>
    <row r="164" spans="1:15" x14ac:dyDescent="0.3">
      <c r="A164" s="13"/>
      <c r="B164" s="14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</row>
    <row r="165" spans="1:15" x14ac:dyDescent="0.3">
      <c r="A165" s="13"/>
      <c r="B165" s="14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</row>
    <row r="166" spans="1:15" x14ac:dyDescent="0.3">
      <c r="A166" s="13"/>
      <c r="B166" s="14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</row>
    <row r="167" spans="1:15" x14ac:dyDescent="0.3">
      <c r="A167" s="13"/>
      <c r="B167" s="14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</row>
    <row r="168" spans="1:15" x14ac:dyDescent="0.3">
      <c r="A168" s="13"/>
      <c r="B168" s="14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</row>
    <row r="169" spans="1:15" x14ac:dyDescent="0.3">
      <c r="A169" s="13"/>
      <c r="B169" s="14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</row>
    <row r="170" spans="1:15" x14ac:dyDescent="0.3">
      <c r="A170" s="13"/>
      <c r="B170" s="14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</row>
    <row r="171" spans="1:15" x14ac:dyDescent="0.3">
      <c r="A171" s="13"/>
      <c r="B171" s="14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</row>
    <row r="172" spans="1:15" x14ac:dyDescent="0.3">
      <c r="A172" s="13"/>
      <c r="B172" s="14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</row>
    <row r="173" spans="1:15" x14ac:dyDescent="0.3">
      <c r="A173" s="13"/>
      <c r="B173" s="14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</row>
    <row r="174" spans="1:15" x14ac:dyDescent="0.3">
      <c r="A174" s="13"/>
      <c r="B174" s="14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</row>
    <row r="175" spans="1:15" x14ac:dyDescent="0.3">
      <c r="A175" s="13"/>
      <c r="B175" s="14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</row>
    <row r="176" spans="1:15" x14ac:dyDescent="0.3">
      <c r="A176" s="13"/>
      <c r="B176" s="14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</row>
    <row r="177" spans="1:15" x14ac:dyDescent="0.3">
      <c r="A177" s="13"/>
      <c r="B177" s="14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</row>
    <row r="178" spans="1:15" x14ac:dyDescent="0.3">
      <c r="A178" s="13"/>
      <c r="B178" s="14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</row>
    <row r="179" spans="1:15" x14ac:dyDescent="0.3">
      <c r="A179" s="13"/>
      <c r="B179" s="14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</row>
    <row r="180" spans="1:15" x14ac:dyDescent="0.3">
      <c r="A180" s="13"/>
      <c r="B180" s="14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</row>
    <row r="181" spans="1:15" x14ac:dyDescent="0.3">
      <c r="A181" s="13"/>
      <c r="B181" s="14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</row>
    <row r="182" spans="1:15" x14ac:dyDescent="0.3">
      <c r="A182" s="13"/>
      <c r="B182" s="14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</row>
    <row r="183" spans="1:15" x14ac:dyDescent="0.3">
      <c r="A183" s="13"/>
      <c r="B183" s="14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</row>
    <row r="184" spans="1:15" x14ac:dyDescent="0.3">
      <c r="A184" s="13"/>
      <c r="B184" s="14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</row>
    <row r="185" spans="1:15" x14ac:dyDescent="0.3">
      <c r="A185" s="13"/>
      <c r="B185" s="14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</row>
    <row r="186" spans="1:15" x14ac:dyDescent="0.3">
      <c r="A186" s="13"/>
      <c r="B186" s="14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</row>
    <row r="187" spans="1:15" x14ac:dyDescent="0.3">
      <c r="A187" s="13"/>
      <c r="B187" s="14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</row>
    <row r="188" spans="1:15" x14ac:dyDescent="0.3">
      <c r="A188" s="13"/>
      <c r="B188" s="14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</row>
    <row r="189" spans="1:15" x14ac:dyDescent="0.3">
      <c r="A189" s="13"/>
      <c r="B189" s="14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</row>
    <row r="190" spans="1:15" x14ac:dyDescent="0.3">
      <c r="A190" s="13"/>
      <c r="B190" s="14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</row>
    <row r="191" spans="1:15" x14ac:dyDescent="0.3">
      <c r="A191" s="13"/>
      <c r="B191" s="14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</row>
    <row r="192" spans="1:15" x14ac:dyDescent="0.3">
      <c r="A192" s="13"/>
      <c r="B192" s="14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</row>
    <row r="193" spans="1:15" x14ac:dyDescent="0.3">
      <c r="A193" s="13"/>
      <c r="B193" s="14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</row>
    <row r="194" spans="1:15" x14ac:dyDescent="0.3">
      <c r="A194" s="13"/>
      <c r="B194" s="14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</row>
    <row r="195" spans="1:15" x14ac:dyDescent="0.3">
      <c r="A195" s="13"/>
      <c r="B195" s="14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</row>
    <row r="196" spans="1:15" x14ac:dyDescent="0.3">
      <c r="A196" s="13"/>
      <c r="B196" s="14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</row>
    <row r="197" spans="1:15" x14ac:dyDescent="0.3">
      <c r="A197" s="13"/>
      <c r="B197" s="14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</row>
    <row r="198" spans="1:15" x14ac:dyDescent="0.3">
      <c r="A198" s="13"/>
      <c r="B198" s="14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</row>
    <row r="199" spans="1:15" x14ac:dyDescent="0.3">
      <c r="A199" s="13"/>
      <c r="B199" s="14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</row>
    <row r="200" spans="1:15" x14ac:dyDescent="0.3">
      <c r="A200" s="13"/>
      <c r="B200" s="14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</row>
    <row r="201" spans="1:15" x14ac:dyDescent="0.3">
      <c r="A201" s="13"/>
      <c r="B201" s="14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</row>
    <row r="202" spans="1:15" x14ac:dyDescent="0.3">
      <c r="A202" s="13"/>
      <c r="B202" s="14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</row>
    <row r="203" spans="1:15" x14ac:dyDescent="0.3">
      <c r="A203" s="13"/>
      <c r="B203" s="14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</row>
    <row r="204" spans="1:15" x14ac:dyDescent="0.3">
      <c r="A204" s="13"/>
      <c r="B204" s="14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</row>
    <row r="205" spans="1:15" x14ac:dyDescent="0.3">
      <c r="A205" s="13"/>
      <c r="B205" s="14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</row>
    <row r="206" spans="1:15" x14ac:dyDescent="0.3">
      <c r="A206" s="13"/>
      <c r="B206" s="14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</row>
    <row r="207" spans="1:15" x14ac:dyDescent="0.3">
      <c r="A207" s="13"/>
      <c r="B207" s="14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</row>
    <row r="208" spans="1:15" x14ac:dyDescent="0.3">
      <c r="A208" s="13"/>
      <c r="B208" s="14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</row>
    <row r="209" spans="1:15" x14ac:dyDescent="0.3">
      <c r="A209" s="13"/>
      <c r="B209" s="14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</row>
    <row r="210" spans="1:15" x14ac:dyDescent="0.3">
      <c r="A210" s="13"/>
      <c r="B210" s="14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</row>
    <row r="211" spans="1:15" x14ac:dyDescent="0.3">
      <c r="A211" s="13"/>
      <c r="B211" s="14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</row>
    <row r="212" spans="1:15" x14ac:dyDescent="0.3">
      <c r="A212" s="13"/>
      <c r="B212" s="14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</row>
    <row r="213" spans="1:15" x14ac:dyDescent="0.3">
      <c r="A213" s="13"/>
      <c r="B213" s="14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</row>
    <row r="214" spans="1:15" x14ac:dyDescent="0.3">
      <c r="A214" s="13"/>
      <c r="B214" s="14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</row>
    <row r="215" spans="1:15" x14ac:dyDescent="0.3">
      <c r="A215" s="13"/>
      <c r="B215" s="14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</row>
    <row r="216" spans="1:15" x14ac:dyDescent="0.3">
      <c r="A216" s="13"/>
      <c r="B216" s="14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</row>
    <row r="217" spans="1:15" x14ac:dyDescent="0.3">
      <c r="A217" s="13"/>
      <c r="B217" s="14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</row>
    <row r="218" spans="1:15" x14ac:dyDescent="0.3">
      <c r="A218" s="13"/>
      <c r="B218" s="14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</row>
    <row r="219" spans="1:15" x14ac:dyDescent="0.3">
      <c r="A219" s="13"/>
      <c r="B219" s="14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</row>
    <row r="220" spans="1:15" x14ac:dyDescent="0.3">
      <c r="A220" s="13"/>
      <c r="B220" s="14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</row>
    <row r="221" spans="1:15" x14ac:dyDescent="0.3">
      <c r="A221" s="13"/>
      <c r="B221" s="14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</row>
    <row r="222" spans="1:15" x14ac:dyDescent="0.3">
      <c r="A222" s="13"/>
      <c r="B222" s="14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</row>
    <row r="223" spans="1:15" x14ac:dyDescent="0.3">
      <c r="A223" s="13"/>
      <c r="B223" s="14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</row>
    <row r="224" spans="1:15" x14ac:dyDescent="0.3">
      <c r="A224" s="13"/>
      <c r="B224" s="14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</row>
    <row r="225" spans="1:15" x14ac:dyDescent="0.3">
      <c r="A225" s="13"/>
      <c r="B225" s="14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</row>
    <row r="226" spans="1:15" x14ac:dyDescent="0.3">
      <c r="A226" s="13"/>
      <c r="B226" s="14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</row>
    <row r="227" spans="1:15" x14ac:dyDescent="0.3">
      <c r="A227" s="13"/>
      <c r="B227" s="14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</row>
    <row r="228" spans="1:15" x14ac:dyDescent="0.3">
      <c r="A228" s="13"/>
      <c r="B228" s="14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</row>
    <row r="229" spans="1:15" x14ac:dyDescent="0.3">
      <c r="A229" s="13"/>
      <c r="B229" s="14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</row>
    <row r="230" spans="1:15" x14ac:dyDescent="0.3">
      <c r="A230" s="13"/>
      <c r="B230" s="14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</row>
    <row r="231" spans="1:15" x14ac:dyDescent="0.3">
      <c r="A231" s="13"/>
      <c r="B231" s="14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</row>
    <row r="232" spans="1:15" x14ac:dyDescent="0.3">
      <c r="A232" s="13"/>
      <c r="B232" s="14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</row>
    <row r="233" spans="1:15" x14ac:dyDescent="0.3">
      <c r="A233" s="13"/>
      <c r="B233" s="14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</row>
    <row r="234" spans="1:15" x14ac:dyDescent="0.3">
      <c r="A234" s="13"/>
      <c r="B234" s="14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</row>
    <row r="235" spans="1:15" x14ac:dyDescent="0.3">
      <c r="A235" s="13"/>
      <c r="B235" s="14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</row>
    <row r="236" spans="1:15" x14ac:dyDescent="0.3">
      <c r="A236" s="13"/>
      <c r="B236" s="14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</row>
    <row r="237" spans="1:15" x14ac:dyDescent="0.3">
      <c r="A237" s="13"/>
      <c r="B237" s="14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</row>
    <row r="238" spans="1:15" x14ac:dyDescent="0.3">
      <c r="A238" s="13"/>
      <c r="B238" s="14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</row>
    <row r="239" spans="1:15" x14ac:dyDescent="0.3">
      <c r="A239" s="13"/>
      <c r="B239" s="14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</row>
    <row r="240" spans="1:15" x14ac:dyDescent="0.3">
      <c r="A240" s="13"/>
      <c r="B240" s="14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</row>
    <row r="241" spans="1:15" x14ac:dyDescent="0.3">
      <c r="A241" s="13"/>
      <c r="B241" s="14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</row>
    <row r="242" spans="1:15" x14ac:dyDescent="0.3">
      <c r="A242" s="13"/>
      <c r="B242" s="14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</row>
    <row r="243" spans="1:15" x14ac:dyDescent="0.3">
      <c r="A243" s="13"/>
      <c r="B243" s="14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</row>
    <row r="244" spans="1:15" x14ac:dyDescent="0.3">
      <c r="A244" s="13"/>
      <c r="B244" s="14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</row>
    <row r="245" spans="1:15" x14ac:dyDescent="0.3">
      <c r="A245" s="13"/>
      <c r="B245" s="14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</row>
    <row r="246" spans="1:15" x14ac:dyDescent="0.3">
      <c r="A246" s="13"/>
      <c r="B246" s="14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</row>
    <row r="247" spans="1:15" x14ac:dyDescent="0.3">
      <c r="A247" s="13"/>
      <c r="B247" s="14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</row>
    <row r="248" spans="1:15" x14ac:dyDescent="0.3">
      <c r="A248" s="13"/>
      <c r="B248" s="14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</row>
    <row r="249" spans="1:15" x14ac:dyDescent="0.3">
      <c r="A249" s="13"/>
      <c r="B249" s="14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</row>
    <row r="250" spans="1:15" x14ac:dyDescent="0.3">
      <c r="A250" s="13"/>
      <c r="B250" s="14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</row>
    <row r="251" spans="1:15" x14ac:dyDescent="0.3">
      <c r="A251" s="13"/>
      <c r="B251" s="14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</row>
    <row r="252" spans="1:15" x14ac:dyDescent="0.3">
      <c r="A252" s="13"/>
      <c r="B252" s="14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</row>
    <row r="253" spans="1:15" x14ac:dyDescent="0.3">
      <c r="A253" s="13"/>
      <c r="B253" s="14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</row>
    <row r="254" spans="1:15" x14ac:dyDescent="0.3">
      <c r="A254" s="13"/>
      <c r="B254" s="14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</row>
    <row r="255" spans="1:15" x14ac:dyDescent="0.3">
      <c r="A255" s="13"/>
      <c r="B255" s="14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</row>
    <row r="256" spans="1:15" x14ac:dyDescent="0.3">
      <c r="A256" s="13"/>
      <c r="B256" s="14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</row>
    <row r="257" spans="1:15" x14ac:dyDescent="0.3">
      <c r="A257" s="13"/>
      <c r="B257" s="14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</row>
    <row r="258" spans="1:15" x14ac:dyDescent="0.3">
      <c r="A258" s="13"/>
      <c r="B258" s="14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</row>
    <row r="259" spans="1:15" x14ac:dyDescent="0.3">
      <c r="A259" s="13"/>
      <c r="B259" s="14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</row>
    <row r="260" spans="1:15" x14ac:dyDescent="0.3">
      <c r="A260" s="13"/>
      <c r="B260" s="14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</row>
    <row r="261" spans="1:15" x14ac:dyDescent="0.3">
      <c r="A261" s="13"/>
      <c r="B261" s="14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</row>
    <row r="262" spans="1:15" x14ac:dyDescent="0.3">
      <c r="A262" s="13"/>
      <c r="B262" s="14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</row>
    <row r="263" spans="1:15" x14ac:dyDescent="0.3">
      <c r="A263" s="13"/>
      <c r="B263" s="14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</row>
    <row r="264" spans="1:15" x14ac:dyDescent="0.3">
      <c r="A264" s="13"/>
      <c r="B264" s="14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</row>
    <row r="265" spans="1:15" x14ac:dyDescent="0.3">
      <c r="A265" s="13"/>
      <c r="B265" s="14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</row>
    <row r="266" spans="1:15" x14ac:dyDescent="0.3">
      <c r="A266" s="13"/>
      <c r="B266" s="14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</row>
    <row r="267" spans="1:15" x14ac:dyDescent="0.3">
      <c r="A267" s="13"/>
      <c r="B267" s="14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</row>
    <row r="268" spans="1:15" x14ac:dyDescent="0.3">
      <c r="A268" s="13"/>
      <c r="B268" s="14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</row>
    <row r="269" spans="1:15" x14ac:dyDescent="0.3">
      <c r="A269" s="13"/>
      <c r="B269" s="14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</row>
    <row r="270" spans="1:15" x14ac:dyDescent="0.3">
      <c r="A270" s="13"/>
      <c r="B270" s="14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</row>
    <row r="271" spans="1:15" x14ac:dyDescent="0.3">
      <c r="A271" s="13"/>
      <c r="B271" s="14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</row>
    <row r="272" spans="1:15" x14ac:dyDescent="0.3">
      <c r="A272" s="13"/>
      <c r="B272" s="14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</row>
    <row r="273" spans="1:15" x14ac:dyDescent="0.3">
      <c r="A273" s="13"/>
      <c r="B273" s="14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</row>
    <row r="274" spans="1:15" x14ac:dyDescent="0.3">
      <c r="A274" s="13"/>
      <c r="B274" s="14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</row>
    <row r="275" spans="1:15" x14ac:dyDescent="0.3">
      <c r="A275" s="13"/>
      <c r="B275" s="14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</row>
    <row r="276" spans="1:15" x14ac:dyDescent="0.3">
      <c r="A276" s="13"/>
      <c r="B276" s="14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</row>
    <row r="277" spans="1:15" x14ac:dyDescent="0.3">
      <c r="A277" s="13"/>
      <c r="B277" s="14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</row>
    <row r="278" spans="1:15" x14ac:dyDescent="0.3">
      <c r="A278" s="13"/>
      <c r="B278" s="14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</row>
    <row r="279" spans="1:15" x14ac:dyDescent="0.3">
      <c r="A279" s="13"/>
      <c r="B279" s="14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</row>
    <row r="280" spans="1:15" x14ac:dyDescent="0.3">
      <c r="A280" s="13"/>
      <c r="B280" s="14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</row>
    <row r="281" spans="1:15" x14ac:dyDescent="0.3">
      <c r="A281" s="13"/>
      <c r="B281" s="14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</row>
    <row r="282" spans="1:15" x14ac:dyDescent="0.3">
      <c r="A282" s="13"/>
      <c r="B282" s="14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</row>
    <row r="283" spans="1:15" x14ac:dyDescent="0.3">
      <c r="A283" s="13"/>
      <c r="B283" s="14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</row>
    <row r="284" spans="1:15" x14ac:dyDescent="0.3">
      <c r="A284" s="13"/>
      <c r="B284" s="14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</row>
    <row r="285" spans="1:15" x14ac:dyDescent="0.3">
      <c r="A285" s="13"/>
      <c r="B285" s="14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</row>
    <row r="286" spans="1:15" x14ac:dyDescent="0.3">
      <c r="A286" s="13"/>
      <c r="B286" s="14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</row>
    <row r="287" spans="1:15" x14ac:dyDescent="0.3">
      <c r="A287" s="13"/>
      <c r="B287" s="14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</row>
    <row r="288" spans="1:15" x14ac:dyDescent="0.3">
      <c r="A288" s="13"/>
      <c r="B288" s="14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</row>
    <row r="289" spans="1:15" x14ac:dyDescent="0.3">
      <c r="A289" s="13"/>
      <c r="B289" s="14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</row>
    <row r="290" spans="1:15" x14ac:dyDescent="0.3">
      <c r="A290" s="13"/>
      <c r="B290" s="14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</row>
    <row r="291" spans="1:15" x14ac:dyDescent="0.3">
      <c r="A291" s="13"/>
      <c r="B291" s="14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</row>
    <row r="292" spans="1:15" x14ac:dyDescent="0.3">
      <c r="A292" s="13"/>
      <c r="B292" s="14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</row>
    <row r="293" spans="1:15" x14ac:dyDescent="0.3">
      <c r="A293" s="13"/>
      <c r="B293" s="14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</row>
    <row r="294" spans="1:15" x14ac:dyDescent="0.3">
      <c r="A294" s="13"/>
      <c r="B294" s="14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</row>
    <row r="295" spans="1:15" x14ac:dyDescent="0.3">
      <c r="A295" s="13"/>
      <c r="B295" s="14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</row>
    <row r="296" spans="1:15" x14ac:dyDescent="0.3">
      <c r="A296" s="13"/>
      <c r="B296" s="14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</row>
    <row r="297" spans="1:15" x14ac:dyDescent="0.3">
      <c r="A297" s="13"/>
      <c r="B297" s="14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</row>
    <row r="298" spans="1:15" x14ac:dyDescent="0.3">
      <c r="A298" s="13"/>
      <c r="B298" s="14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</row>
    <row r="299" spans="1:15" x14ac:dyDescent="0.3">
      <c r="A299" s="13"/>
      <c r="B299" s="14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</row>
    <row r="300" spans="1:15" x14ac:dyDescent="0.3">
      <c r="A300" s="13"/>
      <c r="B300" s="14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</row>
    <row r="301" spans="1:15" x14ac:dyDescent="0.3">
      <c r="A301" s="13"/>
      <c r="B301" s="14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</row>
    <row r="302" spans="1:15" x14ac:dyDescent="0.3">
      <c r="A302" s="13"/>
      <c r="B302" s="14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</row>
    <row r="303" spans="1:15" x14ac:dyDescent="0.3">
      <c r="A303" s="13"/>
      <c r="B303" s="14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</row>
    <row r="304" spans="1:15" x14ac:dyDescent="0.3">
      <c r="A304" s="13"/>
      <c r="B304" s="14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</row>
    <row r="305" spans="1:15" x14ac:dyDescent="0.3">
      <c r="A305" s="13"/>
      <c r="B305" s="14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</row>
    <row r="306" spans="1:15" x14ac:dyDescent="0.3">
      <c r="A306" s="13"/>
      <c r="B306" s="14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</row>
    <row r="307" spans="1:15" x14ac:dyDescent="0.3">
      <c r="A307" s="13"/>
      <c r="B307" s="14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</row>
    <row r="308" spans="1:15" x14ac:dyDescent="0.3">
      <c r="A308" s="13"/>
      <c r="B308" s="14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</row>
    <row r="309" spans="1:15" x14ac:dyDescent="0.3">
      <c r="A309" s="13"/>
      <c r="B309" s="14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</row>
    <row r="310" spans="1:15" x14ac:dyDescent="0.3">
      <c r="A310" s="13"/>
      <c r="B310" s="14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</row>
    <row r="311" spans="1:15" x14ac:dyDescent="0.3">
      <c r="A311" s="13"/>
      <c r="B311" s="14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</row>
    <row r="312" spans="1:15" x14ac:dyDescent="0.3">
      <c r="A312" s="13"/>
      <c r="B312" s="14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</row>
    <row r="313" spans="1:15" x14ac:dyDescent="0.3">
      <c r="A313" s="13"/>
      <c r="B313" s="14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</row>
    <row r="314" spans="1:15" x14ac:dyDescent="0.3">
      <c r="A314" s="13"/>
      <c r="B314" s="14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</row>
    <row r="315" spans="1:15" x14ac:dyDescent="0.3">
      <c r="A315" s="13"/>
      <c r="B315" s="14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</row>
    <row r="316" spans="1:15" x14ac:dyDescent="0.3">
      <c r="A316" s="13"/>
      <c r="B316" s="14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</row>
    <row r="317" spans="1:15" x14ac:dyDescent="0.3">
      <c r="A317" s="13"/>
      <c r="B317" s="14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</row>
    <row r="318" spans="1:15" x14ac:dyDescent="0.3">
      <c r="A318" s="13"/>
      <c r="B318" s="14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</row>
    <row r="319" spans="1:15" x14ac:dyDescent="0.3">
      <c r="A319" s="13"/>
      <c r="B319" s="14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</row>
    <row r="320" spans="1:15" x14ac:dyDescent="0.3">
      <c r="A320" s="13"/>
      <c r="B320" s="14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</row>
    <row r="321" spans="1:15" x14ac:dyDescent="0.3">
      <c r="A321" s="13"/>
      <c r="B321" s="14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</row>
    <row r="322" spans="1:15" x14ac:dyDescent="0.3">
      <c r="A322" s="13"/>
      <c r="B322" s="14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</row>
    <row r="323" spans="1:15" x14ac:dyDescent="0.3">
      <c r="A323" s="13"/>
      <c r="B323" s="14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</row>
    <row r="324" spans="1:15" x14ac:dyDescent="0.3">
      <c r="A324" s="13"/>
      <c r="B324" s="14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</row>
    <row r="325" spans="1:15" x14ac:dyDescent="0.3">
      <c r="A325" s="13"/>
      <c r="B325" s="14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</row>
    <row r="326" spans="1:15" x14ac:dyDescent="0.3">
      <c r="A326" s="13"/>
      <c r="B326" s="14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</row>
    <row r="327" spans="1:15" x14ac:dyDescent="0.3">
      <c r="A327" s="13"/>
      <c r="B327" s="14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</row>
    <row r="328" spans="1:15" x14ac:dyDescent="0.3">
      <c r="A328" s="13"/>
      <c r="B328" s="14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</row>
    <row r="329" spans="1:15" x14ac:dyDescent="0.3">
      <c r="A329" s="13"/>
      <c r="B329" s="14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</row>
    <row r="330" spans="1:15" x14ac:dyDescent="0.3">
      <c r="A330" s="13"/>
      <c r="B330" s="14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</row>
    <row r="331" spans="1:15" x14ac:dyDescent="0.3">
      <c r="A331" s="13"/>
      <c r="B331" s="14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</row>
    <row r="332" spans="1:15" x14ac:dyDescent="0.3">
      <c r="A332" s="13"/>
      <c r="B332" s="14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</row>
    <row r="333" spans="1:15" x14ac:dyDescent="0.3">
      <c r="A333" s="13"/>
      <c r="B333" s="14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</row>
    <row r="334" spans="1:15" x14ac:dyDescent="0.3">
      <c r="A334" s="13"/>
      <c r="B334" s="14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</row>
    <row r="335" spans="1:15" x14ac:dyDescent="0.3">
      <c r="A335" s="13"/>
      <c r="B335" s="14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</row>
    <row r="336" spans="1:15" x14ac:dyDescent="0.3">
      <c r="A336" s="13"/>
      <c r="B336" s="14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</row>
    <row r="337" spans="1:15" x14ac:dyDescent="0.3">
      <c r="A337" s="13"/>
      <c r="B337" s="14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</row>
    <row r="338" spans="1:15" x14ac:dyDescent="0.3">
      <c r="A338" s="13"/>
      <c r="B338" s="14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</row>
    <row r="339" spans="1:15" x14ac:dyDescent="0.3">
      <c r="A339" s="13"/>
      <c r="B339" s="14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</row>
    <row r="340" spans="1:15" x14ac:dyDescent="0.3">
      <c r="A340" s="13"/>
      <c r="B340" s="14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</row>
    <row r="341" spans="1:15" x14ac:dyDescent="0.3">
      <c r="A341" s="13"/>
      <c r="B341" s="14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</row>
    <row r="342" spans="1:15" x14ac:dyDescent="0.3">
      <c r="A342" s="13"/>
      <c r="B342" s="14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</row>
    <row r="343" spans="1:15" x14ac:dyDescent="0.3">
      <c r="A343" s="13"/>
      <c r="B343" s="14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</row>
    <row r="344" spans="1:15" x14ac:dyDescent="0.3">
      <c r="A344" s="13"/>
      <c r="B344" s="14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</row>
    <row r="345" spans="1:15" x14ac:dyDescent="0.3">
      <c r="A345" s="13"/>
      <c r="B345" s="14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</row>
    <row r="346" spans="1:15" x14ac:dyDescent="0.3">
      <c r="A346" s="13"/>
      <c r="B346" s="14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</row>
    <row r="347" spans="1:15" x14ac:dyDescent="0.3">
      <c r="A347" s="13"/>
      <c r="B347" s="14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</row>
    <row r="348" spans="1:15" x14ac:dyDescent="0.3">
      <c r="A348" s="13"/>
      <c r="B348" s="14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</row>
    <row r="349" spans="1:15" x14ac:dyDescent="0.3">
      <c r="A349" s="13"/>
      <c r="B349" s="14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</row>
    <row r="350" spans="1:15" x14ac:dyDescent="0.3">
      <c r="A350" s="13"/>
      <c r="B350" s="14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</row>
    <row r="351" spans="1:15" x14ac:dyDescent="0.3">
      <c r="A351" s="13"/>
      <c r="B351" s="14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</row>
    <row r="352" spans="1:15" x14ac:dyDescent="0.3">
      <c r="A352" s="13"/>
      <c r="B352" s="14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</row>
    <row r="353" spans="1:15" x14ac:dyDescent="0.3">
      <c r="A353" s="13"/>
      <c r="B353" s="14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</row>
    <row r="354" spans="1:15" x14ac:dyDescent="0.3">
      <c r="A354" s="13"/>
      <c r="B354" s="14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</row>
    <row r="355" spans="1:15" x14ac:dyDescent="0.3">
      <c r="A355" s="13"/>
      <c r="B355" s="14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</row>
    <row r="356" spans="1:15" x14ac:dyDescent="0.3">
      <c r="A356" s="13"/>
      <c r="B356" s="14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</row>
    <row r="357" spans="1:15" x14ac:dyDescent="0.3">
      <c r="A357" s="13"/>
      <c r="B357" s="14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</row>
    <row r="358" spans="1:15" x14ac:dyDescent="0.3">
      <c r="A358" s="13"/>
      <c r="B358" s="14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</row>
    <row r="359" spans="1:15" x14ac:dyDescent="0.3">
      <c r="A359" s="13"/>
      <c r="B359" s="14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</row>
    <row r="360" spans="1:15" x14ac:dyDescent="0.3">
      <c r="A360" s="13"/>
      <c r="B360" s="14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</row>
    <row r="361" spans="1:15" x14ac:dyDescent="0.3">
      <c r="A361" s="13"/>
      <c r="B361" s="14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</row>
    <row r="362" spans="1:15" x14ac:dyDescent="0.3">
      <c r="A362" s="13"/>
      <c r="B362" s="14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</row>
    <row r="363" spans="1:15" x14ac:dyDescent="0.3">
      <c r="A363" s="13"/>
      <c r="B363" s="14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</row>
    <row r="364" spans="1:15" x14ac:dyDescent="0.3">
      <c r="A364" s="13"/>
      <c r="B364" s="14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</row>
    <row r="365" spans="1:15" x14ac:dyDescent="0.3">
      <c r="A365" s="13"/>
      <c r="B365" s="14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</row>
    <row r="366" spans="1:15" x14ac:dyDescent="0.3">
      <c r="A366" s="13"/>
      <c r="B366" s="14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</row>
    <row r="367" spans="1:15" x14ac:dyDescent="0.3">
      <c r="A367" s="13"/>
      <c r="B367" s="14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</row>
    <row r="368" spans="1:15" x14ac:dyDescent="0.3">
      <c r="A368" s="13"/>
      <c r="B368" s="14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</row>
    <row r="369" spans="1:15" x14ac:dyDescent="0.3">
      <c r="A369" s="13"/>
      <c r="B369" s="14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</row>
    <row r="370" spans="1:15" x14ac:dyDescent="0.3">
      <c r="A370" s="13"/>
      <c r="B370" s="14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</row>
    <row r="371" spans="1:15" x14ac:dyDescent="0.3">
      <c r="A371" s="13"/>
      <c r="B371" s="14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</row>
    <row r="372" spans="1:15" x14ac:dyDescent="0.3">
      <c r="A372" s="13"/>
      <c r="B372" s="14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</row>
    <row r="373" spans="1:15" x14ac:dyDescent="0.3">
      <c r="A373" s="13"/>
      <c r="B373" s="14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</row>
    <row r="374" spans="1:15" x14ac:dyDescent="0.3">
      <c r="A374" s="13"/>
      <c r="B374" s="14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</row>
    <row r="375" spans="1:15" x14ac:dyDescent="0.3">
      <c r="A375" s="13"/>
      <c r="B375" s="14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</row>
    <row r="376" spans="1:15" x14ac:dyDescent="0.3">
      <c r="A376" s="13"/>
      <c r="B376" s="14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</row>
    <row r="377" spans="1:15" x14ac:dyDescent="0.3">
      <c r="A377" s="13"/>
      <c r="B377" s="14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</row>
    <row r="378" spans="1:15" x14ac:dyDescent="0.3">
      <c r="A378" s="13"/>
      <c r="B378" s="14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</row>
    <row r="379" spans="1:15" x14ac:dyDescent="0.3">
      <c r="A379" s="13"/>
      <c r="B379" s="14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</row>
    <row r="380" spans="1:15" x14ac:dyDescent="0.3">
      <c r="A380" s="13"/>
      <c r="B380" s="14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</row>
    <row r="381" spans="1:15" x14ac:dyDescent="0.3">
      <c r="A381" s="13"/>
      <c r="B381" s="14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</row>
    <row r="382" spans="1:15" x14ac:dyDescent="0.3">
      <c r="A382" s="13"/>
      <c r="B382" s="14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</row>
    <row r="383" spans="1:15" x14ac:dyDescent="0.3">
      <c r="A383" s="13"/>
      <c r="B383" s="14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</row>
    <row r="384" spans="1:15" x14ac:dyDescent="0.3">
      <c r="A384" s="13"/>
      <c r="B384" s="14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</row>
    <row r="385" spans="1:15" x14ac:dyDescent="0.3">
      <c r="A385" s="13"/>
      <c r="B385" s="14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</row>
    <row r="386" spans="1:15" x14ac:dyDescent="0.3">
      <c r="A386" s="13"/>
      <c r="B386" s="14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</row>
    <row r="387" spans="1:15" x14ac:dyDescent="0.3">
      <c r="A387" s="13"/>
      <c r="B387" s="14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</row>
    <row r="388" spans="1:15" x14ac:dyDescent="0.3">
      <c r="A388" s="13"/>
      <c r="B388" s="14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</row>
    <row r="389" spans="1:15" x14ac:dyDescent="0.3">
      <c r="A389" s="13"/>
      <c r="B389" s="14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</row>
    <row r="390" spans="1:15" x14ac:dyDescent="0.3">
      <c r="A390" s="13"/>
      <c r="B390" s="14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</row>
    <row r="391" spans="1:15" x14ac:dyDescent="0.3">
      <c r="A391" s="13"/>
      <c r="B391" s="14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</row>
    <row r="392" spans="1:15" x14ac:dyDescent="0.3">
      <c r="A392" s="13"/>
      <c r="B392" s="14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</row>
    <row r="393" spans="1:15" x14ac:dyDescent="0.3">
      <c r="A393" s="13"/>
      <c r="B393" s="14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</row>
    <row r="394" spans="1:15" x14ac:dyDescent="0.3">
      <c r="A394" s="13"/>
      <c r="B394" s="14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</row>
    <row r="395" spans="1:15" x14ac:dyDescent="0.3">
      <c r="A395" s="13"/>
      <c r="B395" s="14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</row>
    <row r="396" spans="1:15" x14ac:dyDescent="0.3">
      <c r="A396" s="13"/>
      <c r="B396" s="14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</row>
    <row r="397" spans="1:15" x14ac:dyDescent="0.3">
      <c r="A397" s="13"/>
      <c r="B397" s="14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</row>
    <row r="398" spans="1:15" x14ac:dyDescent="0.3">
      <c r="A398" s="13"/>
      <c r="B398" s="14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</row>
    <row r="399" spans="1:15" x14ac:dyDescent="0.3">
      <c r="A399" s="13"/>
      <c r="B399" s="14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</row>
    <row r="400" spans="1:15" x14ac:dyDescent="0.3">
      <c r="A400" s="13"/>
      <c r="B400" s="14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</row>
    <row r="401" spans="1:15" x14ac:dyDescent="0.3">
      <c r="A401" s="13"/>
      <c r="B401" s="14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</row>
    <row r="402" spans="1:15" x14ac:dyDescent="0.3">
      <c r="A402" s="13"/>
      <c r="B402" s="14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</row>
    <row r="403" spans="1:15" x14ac:dyDescent="0.3">
      <c r="A403" s="13"/>
      <c r="B403" s="14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</row>
    <row r="404" spans="1:15" x14ac:dyDescent="0.3">
      <c r="A404" s="13"/>
      <c r="B404" s="14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</row>
    <row r="405" spans="1:15" x14ac:dyDescent="0.3">
      <c r="A405" s="13"/>
      <c r="B405" s="14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</row>
    <row r="406" spans="1:15" x14ac:dyDescent="0.3">
      <c r="A406" s="13"/>
      <c r="B406" s="14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</row>
    <row r="407" spans="1:15" x14ac:dyDescent="0.3">
      <c r="A407" s="13"/>
      <c r="B407" s="14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</row>
    <row r="408" spans="1:15" x14ac:dyDescent="0.3">
      <c r="A408" s="13"/>
      <c r="B408" s="14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</row>
    <row r="409" spans="1:15" x14ac:dyDescent="0.3">
      <c r="A409" s="13"/>
      <c r="B409" s="14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</row>
    <row r="410" spans="1:15" x14ac:dyDescent="0.3">
      <c r="A410" s="13"/>
      <c r="B410" s="14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</row>
    <row r="411" spans="1:15" x14ac:dyDescent="0.3">
      <c r="A411" s="13"/>
      <c r="B411" s="14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</row>
    <row r="412" spans="1:15" x14ac:dyDescent="0.3">
      <c r="A412" s="13"/>
      <c r="B412" s="14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</row>
    <row r="413" spans="1:15" x14ac:dyDescent="0.3">
      <c r="A413" s="13"/>
      <c r="B413" s="14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</row>
    <row r="414" spans="1:15" x14ac:dyDescent="0.3">
      <c r="A414" s="13"/>
      <c r="B414" s="14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</row>
    <row r="415" spans="1:15" x14ac:dyDescent="0.3">
      <c r="A415" s="13"/>
      <c r="B415" s="14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</row>
    <row r="416" spans="1:15" x14ac:dyDescent="0.3">
      <c r="A416" s="13"/>
      <c r="B416" s="14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</row>
    <row r="417" spans="1:15" x14ac:dyDescent="0.3">
      <c r="A417" s="13"/>
      <c r="B417" s="14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</row>
    <row r="418" spans="1:15" x14ac:dyDescent="0.3">
      <c r="A418" s="13"/>
      <c r="B418" s="14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</row>
    <row r="419" spans="1:15" x14ac:dyDescent="0.3">
      <c r="A419" s="13"/>
      <c r="B419" s="14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</row>
    <row r="420" spans="1:15" x14ac:dyDescent="0.3">
      <c r="A420" s="13"/>
      <c r="B420" s="14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</row>
    <row r="421" spans="1:15" x14ac:dyDescent="0.3">
      <c r="A421" s="13"/>
      <c r="B421" s="14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</row>
    <row r="422" spans="1:15" x14ac:dyDescent="0.3">
      <c r="A422" s="13"/>
      <c r="B422" s="14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</row>
    <row r="423" spans="1:15" x14ac:dyDescent="0.3">
      <c r="A423" s="13"/>
      <c r="B423" s="14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</row>
    <row r="424" spans="1:15" x14ac:dyDescent="0.3">
      <c r="A424" s="13"/>
      <c r="B424" s="14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</row>
    <row r="425" spans="1:15" x14ac:dyDescent="0.3">
      <c r="A425" s="13"/>
      <c r="B425" s="14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</row>
    <row r="426" spans="1:15" x14ac:dyDescent="0.3">
      <c r="A426" s="13"/>
      <c r="B426" s="14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</row>
    <row r="427" spans="1:15" x14ac:dyDescent="0.3">
      <c r="A427" s="13"/>
      <c r="B427" s="14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</row>
    <row r="428" spans="1:15" x14ac:dyDescent="0.3">
      <c r="A428" s="13"/>
      <c r="B428" s="14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</row>
    <row r="429" spans="1:15" x14ac:dyDescent="0.3">
      <c r="A429" s="13"/>
      <c r="B429" s="14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</row>
    <row r="430" spans="1:15" x14ac:dyDescent="0.3">
      <c r="A430" s="13"/>
      <c r="B430" s="14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</row>
    <row r="431" spans="1:15" x14ac:dyDescent="0.3">
      <c r="A431" s="13"/>
      <c r="B431" s="14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</row>
    <row r="432" spans="1:15" x14ac:dyDescent="0.3">
      <c r="A432" s="13"/>
      <c r="B432" s="14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</row>
    <row r="433" spans="1:15" x14ac:dyDescent="0.3">
      <c r="A433" s="13"/>
      <c r="B433" s="14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</row>
    <row r="434" spans="1:15" x14ac:dyDescent="0.3">
      <c r="A434" s="13"/>
      <c r="B434" s="14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</row>
    <row r="435" spans="1:15" x14ac:dyDescent="0.3">
      <c r="A435" s="13"/>
      <c r="B435" s="14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</row>
    <row r="436" spans="1:15" x14ac:dyDescent="0.3">
      <c r="A436" s="13"/>
      <c r="B436" s="14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</row>
    <row r="437" spans="1:15" x14ac:dyDescent="0.3">
      <c r="A437" s="13"/>
      <c r="B437" s="14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</row>
    <row r="438" spans="1:15" x14ac:dyDescent="0.3">
      <c r="A438" s="13"/>
      <c r="B438" s="14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</row>
    <row r="439" spans="1:15" x14ac:dyDescent="0.3">
      <c r="A439" s="13"/>
      <c r="B439" s="14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</row>
    <row r="440" spans="1:15" x14ac:dyDescent="0.3">
      <c r="A440" s="13"/>
      <c r="B440" s="14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</row>
    <row r="441" spans="1:15" x14ac:dyDescent="0.3">
      <c r="A441" s="13"/>
      <c r="B441" s="14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</row>
    <row r="442" spans="1:15" x14ac:dyDescent="0.3">
      <c r="A442" s="13"/>
      <c r="B442" s="14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</row>
    <row r="443" spans="1:15" x14ac:dyDescent="0.3">
      <c r="A443" s="13"/>
      <c r="B443" s="14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</row>
    <row r="444" spans="1:15" x14ac:dyDescent="0.3">
      <c r="A444" s="13"/>
      <c r="B444" s="14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</row>
    <row r="445" spans="1:15" x14ac:dyDescent="0.3">
      <c r="A445" s="13"/>
      <c r="B445" s="14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</row>
    <row r="446" spans="1:15" x14ac:dyDescent="0.3">
      <c r="A446" s="13"/>
      <c r="B446" s="14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</row>
    <row r="447" spans="1:15" x14ac:dyDescent="0.3">
      <c r="A447" s="13"/>
      <c r="B447" s="14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</row>
    <row r="448" spans="1:15" x14ac:dyDescent="0.3">
      <c r="A448" s="13"/>
      <c r="B448" s="14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</row>
    <row r="449" spans="1:15" x14ac:dyDescent="0.3">
      <c r="A449" s="13"/>
      <c r="B449" s="14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</row>
    <row r="450" spans="1:15" x14ac:dyDescent="0.3">
      <c r="A450" s="13"/>
      <c r="B450" s="14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</row>
    <row r="451" spans="1:15" x14ac:dyDescent="0.3">
      <c r="A451" s="13"/>
      <c r="B451" s="14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</row>
    <row r="452" spans="1:15" x14ac:dyDescent="0.3">
      <c r="A452" s="13"/>
      <c r="B452" s="14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</row>
    <row r="453" spans="1:15" x14ac:dyDescent="0.3">
      <c r="A453" s="13"/>
      <c r="B453" s="14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</row>
    <row r="454" spans="1:15" x14ac:dyDescent="0.3">
      <c r="A454" s="13"/>
      <c r="B454" s="14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</row>
    <row r="455" spans="1:15" x14ac:dyDescent="0.3">
      <c r="A455" s="13"/>
      <c r="B455" s="14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</row>
    <row r="456" spans="1:15" x14ac:dyDescent="0.3">
      <c r="A456" s="13"/>
      <c r="B456" s="14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</row>
    <row r="457" spans="1:15" x14ac:dyDescent="0.3">
      <c r="A457" s="13"/>
      <c r="B457" s="14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</row>
    <row r="458" spans="1:15" x14ac:dyDescent="0.3">
      <c r="A458" s="13"/>
      <c r="B458" s="14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</row>
    <row r="459" spans="1:15" x14ac:dyDescent="0.3">
      <c r="A459" s="13"/>
      <c r="B459" s="14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</row>
    <row r="460" spans="1:15" x14ac:dyDescent="0.3">
      <c r="A460" s="13"/>
      <c r="B460" s="14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</row>
    <row r="461" spans="1:15" x14ac:dyDescent="0.3">
      <c r="A461" s="13"/>
      <c r="B461" s="14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</row>
    <row r="462" spans="1:15" x14ac:dyDescent="0.3">
      <c r="A462" s="13"/>
      <c r="B462" s="14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</row>
    <row r="463" spans="1:15" x14ac:dyDescent="0.3">
      <c r="A463" s="13"/>
      <c r="B463" s="14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</row>
    <row r="464" spans="1:15" x14ac:dyDescent="0.3">
      <c r="A464" s="13"/>
      <c r="B464" s="14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</row>
    <row r="465" spans="1:15" x14ac:dyDescent="0.3">
      <c r="A465" s="13"/>
      <c r="B465" s="14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</row>
    <row r="466" spans="1:15" x14ac:dyDescent="0.3">
      <c r="A466" s="13"/>
      <c r="B466" s="14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</row>
    <row r="467" spans="1:15" x14ac:dyDescent="0.3">
      <c r="A467" s="13"/>
      <c r="B467" s="14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</row>
    <row r="468" spans="1:15" x14ac:dyDescent="0.3">
      <c r="A468" s="13"/>
      <c r="B468" s="14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</row>
    <row r="469" spans="1:15" x14ac:dyDescent="0.3">
      <c r="A469" s="13"/>
      <c r="B469" s="14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</row>
    <row r="470" spans="1:15" x14ac:dyDescent="0.3">
      <c r="A470" s="13"/>
      <c r="B470" s="14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</row>
    <row r="471" spans="1:15" x14ac:dyDescent="0.3">
      <c r="A471" s="13"/>
      <c r="B471" s="14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</row>
    <row r="472" spans="1:15" x14ac:dyDescent="0.3">
      <c r="A472" s="13"/>
      <c r="B472" s="14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</row>
    <row r="473" spans="1:15" x14ac:dyDescent="0.3">
      <c r="A473" s="13"/>
      <c r="B473" s="14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</row>
    <row r="474" spans="1:15" x14ac:dyDescent="0.3">
      <c r="A474" s="13"/>
      <c r="B474" s="14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</row>
    <row r="475" spans="1:15" x14ac:dyDescent="0.3">
      <c r="A475" s="13"/>
      <c r="B475" s="14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</row>
    <row r="476" spans="1:15" x14ac:dyDescent="0.3">
      <c r="A476" s="13"/>
      <c r="B476" s="14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</row>
    <row r="477" spans="1:15" x14ac:dyDescent="0.3">
      <c r="A477" s="13"/>
      <c r="B477" s="14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</row>
    <row r="478" spans="1:15" x14ac:dyDescent="0.3">
      <c r="A478" s="13"/>
      <c r="B478" s="14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</row>
    <row r="479" spans="1:15" x14ac:dyDescent="0.3">
      <c r="A479" s="13"/>
      <c r="B479" s="14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</row>
    <row r="480" spans="1:15" x14ac:dyDescent="0.3">
      <c r="A480" s="13"/>
      <c r="B480" s="14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</row>
    <row r="481" spans="1:15" x14ac:dyDescent="0.3">
      <c r="A481" s="13"/>
      <c r="B481" s="14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</row>
    <row r="482" spans="1:15" x14ac:dyDescent="0.3">
      <c r="A482" s="13"/>
      <c r="B482" s="14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</row>
    <row r="483" spans="1:15" x14ac:dyDescent="0.3">
      <c r="A483" s="13"/>
      <c r="B483" s="14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</row>
    <row r="484" spans="1:15" x14ac:dyDescent="0.3">
      <c r="A484" s="13"/>
      <c r="B484" s="14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</row>
    <row r="485" spans="1:15" x14ac:dyDescent="0.3">
      <c r="A485" s="13"/>
      <c r="B485" s="14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</row>
    <row r="486" spans="1:15" x14ac:dyDescent="0.3">
      <c r="A486" s="13"/>
      <c r="B486" s="14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</row>
    <row r="487" spans="1:15" x14ac:dyDescent="0.3">
      <c r="A487" s="13"/>
      <c r="B487" s="14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</row>
    <row r="488" spans="1:15" x14ac:dyDescent="0.3">
      <c r="A488" s="13"/>
      <c r="B488" s="14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</row>
    <row r="489" spans="1:15" x14ac:dyDescent="0.3">
      <c r="A489" s="13"/>
      <c r="B489" s="14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</row>
    <row r="490" spans="1:15" x14ac:dyDescent="0.3">
      <c r="A490" s="13"/>
      <c r="B490" s="14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</row>
    <row r="491" spans="1:15" x14ac:dyDescent="0.3">
      <c r="A491" s="13"/>
      <c r="B491" s="14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</row>
    <row r="492" spans="1:15" x14ac:dyDescent="0.3">
      <c r="A492" s="13"/>
      <c r="B492" s="14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</row>
    <row r="493" spans="1:15" x14ac:dyDescent="0.3">
      <c r="A493" s="13"/>
      <c r="B493" s="14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</row>
    <row r="494" spans="1:15" x14ac:dyDescent="0.3">
      <c r="A494" s="13"/>
      <c r="B494" s="14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</row>
    <row r="495" spans="1:15" x14ac:dyDescent="0.3">
      <c r="A495" s="13"/>
      <c r="B495" s="14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</row>
    <row r="496" spans="1:15" x14ac:dyDescent="0.3">
      <c r="A496" s="13"/>
      <c r="B496" s="14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</row>
    <row r="497" spans="1:15" x14ac:dyDescent="0.3">
      <c r="A497" s="13"/>
      <c r="B497" s="14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</row>
    <row r="498" spans="1:15" x14ac:dyDescent="0.3">
      <c r="A498" s="13"/>
      <c r="B498" s="14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</row>
    <row r="499" spans="1:15" x14ac:dyDescent="0.3">
      <c r="A499" s="13"/>
      <c r="B499" s="14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</row>
    <row r="500" spans="1:15" x14ac:dyDescent="0.3">
      <c r="A500" s="13"/>
      <c r="B500" s="14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</row>
    <row r="501" spans="1:15" x14ac:dyDescent="0.3">
      <c r="A501" s="13"/>
      <c r="B501" s="14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</row>
    <row r="502" spans="1:15" x14ac:dyDescent="0.3">
      <c r="A502" s="13"/>
      <c r="B502" s="14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</row>
    <row r="503" spans="1:15" x14ac:dyDescent="0.3">
      <c r="A503" s="13"/>
      <c r="B503" s="14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</row>
    <row r="504" spans="1:15" x14ac:dyDescent="0.3">
      <c r="A504" s="13"/>
      <c r="B504" s="14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</row>
    <row r="505" spans="1:15" x14ac:dyDescent="0.3">
      <c r="A505" s="13"/>
      <c r="B505" s="14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</row>
    <row r="506" spans="1:15" x14ac:dyDescent="0.3">
      <c r="A506" s="13"/>
      <c r="B506" s="14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</row>
    <row r="507" spans="1:15" x14ac:dyDescent="0.3">
      <c r="A507" s="13"/>
      <c r="B507" s="14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</row>
    <row r="508" spans="1:15" x14ac:dyDescent="0.3">
      <c r="A508" s="13"/>
      <c r="B508" s="14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</row>
    <row r="509" spans="1:15" x14ac:dyDescent="0.3">
      <c r="A509" s="13"/>
      <c r="B509" s="14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</row>
    <row r="510" spans="1:15" x14ac:dyDescent="0.3">
      <c r="A510" s="13"/>
      <c r="B510" s="14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</row>
    <row r="511" spans="1:15" x14ac:dyDescent="0.3">
      <c r="A511" s="13"/>
      <c r="B511" s="14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</row>
    <row r="512" spans="1:15" x14ac:dyDescent="0.3">
      <c r="A512" s="13"/>
      <c r="B512" s="14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</row>
    <row r="513" spans="1:15" x14ac:dyDescent="0.3">
      <c r="A513" s="13"/>
      <c r="B513" s="14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</row>
    <row r="514" spans="1:15" x14ac:dyDescent="0.3">
      <c r="A514" s="13"/>
      <c r="B514" s="14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</row>
    <row r="515" spans="1:15" x14ac:dyDescent="0.3">
      <c r="A515" s="13"/>
      <c r="B515" s="14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</row>
    <row r="516" spans="1:15" x14ac:dyDescent="0.3">
      <c r="A516" s="13"/>
      <c r="B516" s="14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</row>
    <row r="517" spans="1:15" x14ac:dyDescent="0.3">
      <c r="A517" s="13"/>
      <c r="B517" s="14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</row>
    <row r="518" spans="1:15" x14ac:dyDescent="0.3">
      <c r="A518" s="13"/>
      <c r="B518" s="14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</row>
    <row r="519" spans="1:15" x14ac:dyDescent="0.3">
      <c r="A519" s="13"/>
      <c r="B519" s="14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</row>
    <row r="520" spans="1:15" x14ac:dyDescent="0.3">
      <c r="A520" s="13"/>
      <c r="B520" s="14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</row>
    <row r="521" spans="1:15" x14ac:dyDescent="0.3">
      <c r="A521" s="13"/>
      <c r="B521" s="14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</row>
    <row r="522" spans="1:15" x14ac:dyDescent="0.3">
      <c r="A522" s="13"/>
      <c r="B522" s="14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</row>
    <row r="523" spans="1:15" x14ac:dyDescent="0.3">
      <c r="A523" s="13"/>
      <c r="B523" s="14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</row>
    <row r="524" spans="1:15" x14ac:dyDescent="0.3">
      <c r="A524" s="13"/>
      <c r="B524" s="14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</row>
    <row r="525" spans="1:15" x14ac:dyDescent="0.3">
      <c r="A525" s="13"/>
      <c r="B525" s="14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</row>
    <row r="526" spans="1:15" x14ac:dyDescent="0.3">
      <c r="A526" s="13"/>
      <c r="B526" s="14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</row>
    <row r="527" spans="1:15" x14ac:dyDescent="0.3">
      <c r="A527" s="13"/>
      <c r="B527" s="14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</row>
    <row r="528" spans="1:15" x14ac:dyDescent="0.3">
      <c r="A528" s="13"/>
      <c r="B528" s="14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</row>
    <row r="529" spans="1:15" x14ac:dyDescent="0.3">
      <c r="A529" s="13"/>
      <c r="B529" s="14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</row>
    <row r="530" spans="1:15" x14ac:dyDescent="0.3">
      <c r="A530" s="13"/>
      <c r="B530" s="14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</row>
    <row r="531" spans="1:15" x14ac:dyDescent="0.3">
      <c r="A531" s="13"/>
      <c r="B531" s="14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</row>
    <row r="532" spans="1:15" x14ac:dyDescent="0.3">
      <c r="A532" s="13"/>
      <c r="B532" s="14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</row>
    <row r="533" spans="1:15" x14ac:dyDescent="0.3">
      <c r="A533" s="13"/>
      <c r="B533" s="14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</row>
    <row r="534" spans="1:15" x14ac:dyDescent="0.3">
      <c r="A534" s="13"/>
      <c r="B534" s="14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</row>
    <row r="535" spans="1:15" x14ac:dyDescent="0.3">
      <c r="A535" s="13"/>
      <c r="B535" s="14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</row>
    <row r="536" spans="1:15" x14ac:dyDescent="0.3">
      <c r="A536" s="13"/>
      <c r="B536" s="14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</row>
    <row r="537" spans="1:15" x14ac:dyDescent="0.3">
      <c r="A537" s="13"/>
      <c r="B537" s="14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</row>
    <row r="538" spans="1:15" x14ac:dyDescent="0.3">
      <c r="A538" s="13"/>
      <c r="B538" s="14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</row>
    <row r="539" spans="1:15" x14ac:dyDescent="0.3">
      <c r="A539" s="13"/>
      <c r="B539" s="14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</row>
    <row r="540" spans="1:15" x14ac:dyDescent="0.3">
      <c r="A540" s="13"/>
      <c r="B540" s="14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</row>
    <row r="541" spans="1:15" x14ac:dyDescent="0.3">
      <c r="A541" s="13"/>
      <c r="B541" s="14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</row>
    <row r="542" spans="1:15" x14ac:dyDescent="0.3">
      <c r="A542" s="13"/>
      <c r="B542" s="14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</row>
    <row r="543" spans="1:15" x14ac:dyDescent="0.3">
      <c r="A543" s="13"/>
      <c r="B543" s="14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</row>
    <row r="544" spans="1:15" x14ac:dyDescent="0.3">
      <c r="A544" s="13"/>
      <c r="B544" s="14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</row>
    <row r="545" spans="1:15" x14ac:dyDescent="0.3">
      <c r="A545" s="13"/>
      <c r="B545" s="14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</row>
    <row r="546" spans="1:15" x14ac:dyDescent="0.3">
      <c r="A546" s="13"/>
      <c r="B546" s="14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</row>
    <row r="547" spans="1:15" x14ac:dyDescent="0.3">
      <c r="A547" s="13"/>
      <c r="B547" s="14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</row>
    <row r="548" spans="1:15" x14ac:dyDescent="0.3">
      <c r="A548" s="13"/>
      <c r="B548" s="14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</row>
    <row r="549" spans="1:15" x14ac:dyDescent="0.3">
      <c r="A549" s="13"/>
      <c r="B549" s="14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</row>
    <row r="550" spans="1:15" x14ac:dyDescent="0.3">
      <c r="A550" s="13"/>
      <c r="B550" s="14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</row>
    <row r="551" spans="1:15" x14ac:dyDescent="0.3">
      <c r="A551" s="13"/>
      <c r="B551" s="14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</row>
    <row r="552" spans="1:15" x14ac:dyDescent="0.3">
      <c r="A552" s="13"/>
      <c r="B552" s="14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</row>
    <row r="553" spans="1:15" x14ac:dyDescent="0.3">
      <c r="A553" s="13"/>
      <c r="B553" s="14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</row>
    <row r="554" spans="1:15" x14ac:dyDescent="0.3">
      <c r="A554" s="13"/>
      <c r="B554" s="14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</row>
    <row r="555" spans="1:15" x14ac:dyDescent="0.3">
      <c r="A555" s="13"/>
      <c r="B555" s="14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</row>
    <row r="556" spans="1:15" x14ac:dyDescent="0.3">
      <c r="A556" s="13"/>
      <c r="B556" s="14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</row>
    <row r="557" spans="1:15" x14ac:dyDescent="0.3">
      <c r="A557" s="13"/>
      <c r="B557" s="14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</row>
    <row r="558" spans="1:15" x14ac:dyDescent="0.3">
      <c r="A558" s="13"/>
      <c r="B558" s="14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</row>
    <row r="559" spans="1:15" x14ac:dyDescent="0.3">
      <c r="A559" s="13"/>
      <c r="B559" s="14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</row>
    <row r="560" spans="1:15" x14ac:dyDescent="0.3">
      <c r="A560" s="13"/>
      <c r="B560" s="14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</row>
    <row r="561" spans="1:15" x14ac:dyDescent="0.3">
      <c r="A561" s="13"/>
      <c r="B561" s="14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</row>
    <row r="562" spans="1:15" x14ac:dyDescent="0.3">
      <c r="A562" s="13"/>
      <c r="B562" s="14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</row>
    <row r="563" spans="1:15" x14ac:dyDescent="0.3">
      <c r="A563" s="13"/>
      <c r="B563" s="14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</row>
    <row r="564" spans="1:15" x14ac:dyDescent="0.3">
      <c r="A564" s="13"/>
      <c r="B564" s="14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</row>
    <row r="565" spans="1:15" x14ac:dyDescent="0.3">
      <c r="A565" s="13"/>
      <c r="B565" s="14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</row>
    <row r="566" spans="1:15" x14ac:dyDescent="0.3">
      <c r="A566" s="13"/>
      <c r="B566" s="14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</row>
    <row r="567" spans="1:15" x14ac:dyDescent="0.3">
      <c r="A567" s="13"/>
      <c r="B567" s="14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</row>
    <row r="568" spans="1:15" x14ac:dyDescent="0.3">
      <c r="A568" s="13"/>
      <c r="B568" s="14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</row>
    <row r="569" spans="1:15" x14ac:dyDescent="0.3">
      <c r="A569" s="13"/>
      <c r="B569" s="14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</row>
    <row r="570" spans="1:15" x14ac:dyDescent="0.3">
      <c r="A570" s="13"/>
      <c r="B570" s="14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</row>
    <row r="571" spans="1:15" x14ac:dyDescent="0.3">
      <c r="A571" s="13"/>
      <c r="B571" s="14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</row>
    <row r="572" spans="1:15" x14ac:dyDescent="0.3">
      <c r="A572" s="13"/>
      <c r="B572" s="14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</row>
    <row r="573" spans="1:15" x14ac:dyDescent="0.3">
      <c r="A573" s="13"/>
      <c r="B573" s="14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</row>
    <row r="574" spans="1:15" x14ac:dyDescent="0.3">
      <c r="A574" s="13"/>
      <c r="B574" s="14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</row>
    <row r="575" spans="1:15" x14ac:dyDescent="0.3">
      <c r="A575" s="13"/>
      <c r="B575" s="14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</row>
    <row r="576" spans="1:15" x14ac:dyDescent="0.3">
      <c r="A576" s="13"/>
      <c r="B576" s="14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</row>
    <row r="577" spans="1:15" x14ac:dyDescent="0.3">
      <c r="A577" s="13"/>
      <c r="B577" s="14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</row>
    <row r="578" spans="1:15" x14ac:dyDescent="0.3">
      <c r="A578" s="13"/>
      <c r="B578" s="14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</row>
    <row r="579" spans="1:15" x14ac:dyDescent="0.3">
      <c r="A579" s="13"/>
      <c r="B579" s="14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</row>
    <row r="580" spans="1:15" x14ac:dyDescent="0.3">
      <c r="A580" s="13"/>
      <c r="B580" s="14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</row>
    <row r="581" spans="1:15" x14ac:dyDescent="0.3">
      <c r="A581" s="13"/>
      <c r="B581" s="14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</row>
    <row r="582" spans="1:15" x14ac:dyDescent="0.3">
      <c r="A582" s="13"/>
      <c r="B582" s="14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</row>
    <row r="583" spans="1:15" x14ac:dyDescent="0.3">
      <c r="A583" s="13"/>
      <c r="B583" s="14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</row>
    <row r="584" spans="1:15" x14ac:dyDescent="0.3">
      <c r="A584" s="13"/>
      <c r="B584" s="14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</row>
    <row r="585" spans="1:15" x14ac:dyDescent="0.3">
      <c r="A585" s="13"/>
      <c r="B585" s="14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</row>
    <row r="586" spans="1:15" x14ac:dyDescent="0.3">
      <c r="A586" s="13"/>
      <c r="B586" s="14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</row>
    <row r="587" spans="1:15" x14ac:dyDescent="0.3">
      <c r="A587" s="13"/>
      <c r="B587" s="14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</row>
    <row r="588" spans="1:15" x14ac:dyDescent="0.3">
      <c r="A588" s="13"/>
      <c r="B588" s="14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</row>
    <row r="589" spans="1:15" x14ac:dyDescent="0.3">
      <c r="A589" s="13"/>
      <c r="B589" s="14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</row>
    <row r="590" spans="1:15" x14ac:dyDescent="0.3">
      <c r="A590" s="13"/>
      <c r="B590" s="14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</row>
    <row r="591" spans="1:15" x14ac:dyDescent="0.3">
      <c r="A591" s="13"/>
      <c r="B591" s="14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</row>
    <row r="592" spans="1:15" x14ac:dyDescent="0.3">
      <c r="A592" s="13"/>
      <c r="B592" s="14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</row>
    <row r="593" spans="1:15" x14ac:dyDescent="0.3">
      <c r="A593" s="13"/>
      <c r="B593" s="14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</row>
    <row r="594" spans="1:15" x14ac:dyDescent="0.3">
      <c r="A594" s="13"/>
      <c r="B594" s="14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</row>
    <row r="595" spans="1:15" x14ac:dyDescent="0.3">
      <c r="A595" s="13"/>
      <c r="B595" s="14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</row>
    <row r="596" spans="1:15" x14ac:dyDescent="0.3">
      <c r="A596" s="13"/>
      <c r="B596" s="14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</row>
    <row r="597" spans="1:15" x14ac:dyDescent="0.3">
      <c r="A597" s="13"/>
      <c r="B597" s="14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</row>
    <row r="598" spans="1:15" x14ac:dyDescent="0.3">
      <c r="A598" s="13"/>
      <c r="B598" s="14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</row>
    <row r="599" spans="1:15" x14ac:dyDescent="0.3">
      <c r="A599" s="13"/>
      <c r="B599" s="14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</row>
    <row r="600" spans="1:15" x14ac:dyDescent="0.3">
      <c r="A600" s="13"/>
      <c r="B600" s="14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</row>
    <row r="601" spans="1:15" x14ac:dyDescent="0.3">
      <c r="A601" s="13"/>
      <c r="B601" s="14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</row>
    <row r="602" spans="1:15" x14ac:dyDescent="0.3">
      <c r="A602" s="13"/>
      <c r="B602" s="14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</row>
    <row r="603" spans="1:15" x14ac:dyDescent="0.3">
      <c r="A603" s="13"/>
      <c r="B603" s="14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</row>
    <row r="604" spans="1:15" x14ac:dyDescent="0.3">
      <c r="A604" s="13"/>
      <c r="B604" s="14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</row>
    <row r="605" spans="1:15" x14ac:dyDescent="0.3">
      <c r="A605" s="13"/>
      <c r="B605" s="14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</row>
    <row r="606" spans="1:15" x14ac:dyDescent="0.3">
      <c r="A606" s="13"/>
      <c r="B606" s="14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</row>
    <row r="607" spans="1:15" x14ac:dyDescent="0.3">
      <c r="A607" s="13"/>
      <c r="B607" s="14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</row>
    <row r="608" spans="1:15" x14ac:dyDescent="0.3">
      <c r="A608" s="13"/>
      <c r="B608" s="14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</row>
    <row r="609" spans="1:15" x14ac:dyDescent="0.3">
      <c r="A609" s="13"/>
      <c r="B609" s="14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</row>
    <row r="610" spans="1:15" x14ac:dyDescent="0.3">
      <c r="A610" s="13"/>
      <c r="B610" s="14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</row>
    <row r="611" spans="1:15" x14ac:dyDescent="0.3">
      <c r="A611" s="13"/>
      <c r="B611" s="14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</row>
    <row r="612" spans="1:15" x14ac:dyDescent="0.3">
      <c r="A612" s="13"/>
      <c r="B612" s="14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</row>
    <row r="613" spans="1:15" x14ac:dyDescent="0.3">
      <c r="A613" s="13"/>
      <c r="B613" s="14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</row>
    <row r="614" spans="1:15" x14ac:dyDescent="0.3">
      <c r="A614" s="13"/>
      <c r="B614" s="14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</row>
    <row r="615" spans="1:15" x14ac:dyDescent="0.3">
      <c r="A615" s="13"/>
      <c r="B615" s="14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</row>
    <row r="616" spans="1:15" x14ac:dyDescent="0.3">
      <c r="A616" s="13"/>
      <c r="B616" s="14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</row>
    <row r="617" spans="1:15" x14ac:dyDescent="0.3">
      <c r="A617" s="13"/>
      <c r="B617" s="14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</row>
    <row r="618" spans="1:15" x14ac:dyDescent="0.3">
      <c r="A618" s="13"/>
      <c r="B618" s="14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</row>
    <row r="619" spans="1:15" x14ac:dyDescent="0.3">
      <c r="A619" s="13"/>
      <c r="B619" s="14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</row>
    <row r="620" spans="1:15" x14ac:dyDescent="0.3">
      <c r="A620" s="13"/>
      <c r="B620" s="14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</row>
    <row r="621" spans="1:15" x14ac:dyDescent="0.3">
      <c r="A621" s="13"/>
      <c r="B621" s="14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</row>
    <row r="622" spans="1:15" x14ac:dyDescent="0.3">
      <c r="A622" s="13"/>
      <c r="B622" s="14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</row>
    <row r="623" spans="1:15" x14ac:dyDescent="0.3">
      <c r="A623" s="13"/>
      <c r="B623" s="14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</row>
    <row r="624" spans="1:15" x14ac:dyDescent="0.3">
      <c r="A624" s="13"/>
      <c r="B624" s="14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</row>
    <row r="625" spans="1:15" x14ac:dyDescent="0.3">
      <c r="A625" s="13"/>
      <c r="B625" s="14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</row>
    <row r="626" spans="1:15" x14ac:dyDescent="0.3">
      <c r="A626" s="13"/>
      <c r="B626" s="14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</row>
    <row r="627" spans="1:15" x14ac:dyDescent="0.3">
      <c r="A627" s="13"/>
      <c r="B627" s="14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</row>
    <row r="628" spans="1:15" x14ac:dyDescent="0.3">
      <c r="A628" s="13"/>
      <c r="B628" s="14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</row>
    <row r="629" spans="1:15" x14ac:dyDescent="0.3">
      <c r="A629" s="13"/>
      <c r="B629" s="14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</row>
    <row r="630" spans="1:15" x14ac:dyDescent="0.3">
      <c r="A630" s="13"/>
      <c r="B630" s="14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</row>
    <row r="631" spans="1:15" x14ac:dyDescent="0.3">
      <c r="A631" s="13"/>
      <c r="B631" s="14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</row>
    <row r="632" spans="1:15" x14ac:dyDescent="0.3">
      <c r="A632" s="13"/>
      <c r="B632" s="14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</row>
    <row r="633" spans="1:15" x14ac:dyDescent="0.3">
      <c r="A633" s="13"/>
      <c r="B633" s="14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</row>
    <row r="634" spans="1:15" x14ac:dyDescent="0.3">
      <c r="A634" s="13"/>
      <c r="B634" s="14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</row>
    <row r="635" spans="1:15" x14ac:dyDescent="0.3">
      <c r="A635" s="13"/>
      <c r="B635" s="14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</row>
    <row r="636" spans="1:15" x14ac:dyDescent="0.3">
      <c r="A636" s="13"/>
      <c r="B636" s="14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</row>
    <row r="637" spans="1:15" x14ac:dyDescent="0.3">
      <c r="A637" s="13"/>
      <c r="B637" s="14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</row>
    <row r="638" spans="1:15" x14ac:dyDescent="0.3">
      <c r="A638" s="13"/>
      <c r="B638" s="14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</row>
    <row r="639" spans="1:15" x14ac:dyDescent="0.3">
      <c r="A639" s="13"/>
      <c r="B639" s="14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</row>
    <row r="640" spans="1:15" x14ac:dyDescent="0.3">
      <c r="A640" s="13"/>
      <c r="B640" s="14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</row>
    <row r="641" spans="1:15" x14ac:dyDescent="0.3">
      <c r="A641" s="13"/>
      <c r="B641" s="14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</row>
    <row r="642" spans="1:15" x14ac:dyDescent="0.3">
      <c r="A642" s="13"/>
      <c r="B642" s="14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</row>
    <row r="643" spans="1:15" x14ac:dyDescent="0.3">
      <c r="A643" s="13"/>
      <c r="B643" s="14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</row>
    <row r="644" spans="1:15" x14ac:dyDescent="0.3">
      <c r="A644" s="13"/>
      <c r="B644" s="14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</row>
    <row r="645" spans="1:15" x14ac:dyDescent="0.3">
      <c r="A645" s="13"/>
      <c r="B645" s="14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</row>
    <row r="646" spans="1:15" x14ac:dyDescent="0.3">
      <c r="A646" s="13"/>
      <c r="B646" s="14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</row>
    <row r="647" spans="1:15" x14ac:dyDescent="0.3">
      <c r="A647" s="13"/>
      <c r="B647" s="14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</row>
    <row r="648" spans="1:15" x14ac:dyDescent="0.3">
      <c r="A648" s="13"/>
      <c r="B648" s="14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</row>
    <row r="649" spans="1:15" x14ac:dyDescent="0.3">
      <c r="A649" s="13"/>
      <c r="B649" s="14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</row>
    <row r="650" spans="1:15" x14ac:dyDescent="0.3">
      <c r="A650" s="13"/>
      <c r="B650" s="14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</row>
    <row r="651" spans="1:15" x14ac:dyDescent="0.3">
      <c r="A651" s="13"/>
      <c r="B651" s="14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</row>
    <row r="652" spans="1:15" x14ac:dyDescent="0.3">
      <c r="A652" s="13"/>
      <c r="B652" s="14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</row>
    <row r="653" spans="1:15" x14ac:dyDescent="0.3">
      <c r="A653" s="13"/>
      <c r="B653" s="14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</row>
    <row r="654" spans="1:15" x14ac:dyDescent="0.3">
      <c r="A654" s="13"/>
      <c r="B654" s="14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</row>
    <row r="655" spans="1:15" x14ac:dyDescent="0.3">
      <c r="A655" s="13"/>
      <c r="B655" s="14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</row>
    <row r="656" spans="1:15" x14ac:dyDescent="0.3">
      <c r="A656" s="13"/>
      <c r="B656" s="14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</row>
    <row r="657" spans="1:15" x14ac:dyDescent="0.3">
      <c r="A657" s="13"/>
      <c r="B657" s="14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</row>
    <row r="658" spans="1:15" x14ac:dyDescent="0.3">
      <c r="A658" s="13"/>
      <c r="B658" s="14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</row>
    <row r="659" spans="1:15" x14ac:dyDescent="0.3">
      <c r="A659" s="13"/>
      <c r="B659" s="14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</row>
    <row r="660" spans="1:15" x14ac:dyDescent="0.3">
      <c r="A660" s="13"/>
      <c r="B660" s="14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</row>
    <row r="661" spans="1:15" x14ac:dyDescent="0.3">
      <c r="A661" s="13"/>
      <c r="B661" s="14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</row>
    <row r="662" spans="1:15" x14ac:dyDescent="0.3">
      <c r="A662" s="13"/>
      <c r="B662" s="14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</row>
    <row r="663" spans="1:15" x14ac:dyDescent="0.3">
      <c r="A663" s="13"/>
      <c r="B663" s="14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</row>
    <row r="664" spans="1:15" x14ac:dyDescent="0.3">
      <c r="A664" s="13"/>
      <c r="B664" s="14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</row>
    <row r="665" spans="1:15" x14ac:dyDescent="0.3">
      <c r="A665" s="13"/>
      <c r="B665" s="14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</row>
    <row r="666" spans="1:15" x14ac:dyDescent="0.3">
      <c r="A666" s="13"/>
      <c r="B666" s="14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</row>
    <row r="667" spans="1:15" x14ac:dyDescent="0.3">
      <c r="A667" s="13"/>
      <c r="B667" s="14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</row>
    <row r="668" spans="1:15" x14ac:dyDescent="0.3">
      <c r="A668" s="13"/>
      <c r="B668" s="14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</row>
    <row r="669" spans="1:15" x14ac:dyDescent="0.3">
      <c r="A669" s="13"/>
      <c r="B669" s="14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</row>
    <row r="670" spans="1:15" x14ac:dyDescent="0.3">
      <c r="A670" s="13"/>
      <c r="B670" s="14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</row>
    <row r="671" spans="1:15" x14ac:dyDescent="0.3">
      <c r="A671" s="13"/>
      <c r="B671" s="14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</row>
    <row r="672" spans="1:15" x14ac:dyDescent="0.3">
      <c r="A672" s="13"/>
      <c r="B672" s="14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</row>
    <row r="673" spans="1:15" x14ac:dyDescent="0.3">
      <c r="A673" s="13"/>
      <c r="B673" s="14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</row>
    <row r="674" spans="1:15" x14ac:dyDescent="0.3">
      <c r="A674" s="13"/>
      <c r="B674" s="14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</row>
    <row r="675" spans="1:15" x14ac:dyDescent="0.3">
      <c r="A675" s="13"/>
      <c r="B675" s="14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</row>
    <row r="676" spans="1:15" x14ac:dyDescent="0.3">
      <c r="A676" s="13"/>
      <c r="B676" s="14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</row>
    <row r="677" spans="1:15" x14ac:dyDescent="0.3">
      <c r="A677" s="13"/>
      <c r="B677" s="14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</row>
    <row r="678" spans="1:15" x14ac:dyDescent="0.3">
      <c r="A678" s="13"/>
      <c r="B678" s="14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</row>
    <row r="679" spans="1:15" x14ac:dyDescent="0.3">
      <c r="A679" s="13"/>
      <c r="B679" s="14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</row>
    <row r="680" spans="1:15" x14ac:dyDescent="0.3">
      <c r="A680" s="13"/>
      <c r="B680" s="14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</row>
    <row r="681" spans="1:15" x14ac:dyDescent="0.3">
      <c r="A681" s="13"/>
      <c r="B681" s="14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</row>
    <row r="682" spans="1:15" x14ac:dyDescent="0.3">
      <c r="A682" s="13"/>
      <c r="B682" s="14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</row>
    <row r="683" spans="1:15" x14ac:dyDescent="0.3">
      <c r="A683" s="13"/>
      <c r="B683" s="14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</row>
    <row r="684" spans="1:15" x14ac:dyDescent="0.3">
      <c r="A684" s="13"/>
      <c r="B684" s="14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</row>
    <row r="685" spans="1:15" x14ac:dyDescent="0.3">
      <c r="A685" s="13"/>
      <c r="B685" s="14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</row>
    <row r="686" spans="1:15" x14ac:dyDescent="0.3">
      <c r="A686" s="13"/>
      <c r="B686" s="14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</row>
    <row r="687" spans="1:15" x14ac:dyDescent="0.3">
      <c r="A687" s="13"/>
      <c r="B687" s="14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</row>
    <row r="688" spans="1:15" x14ac:dyDescent="0.3">
      <c r="A688" s="13"/>
      <c r="B688" s="14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</row>
    <row r="689" spans="1:15" x14ac:dyDescent="0.3">
      <c r="A689" s="13"/>
      <c r="B689" s="14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</row>
    <row r="690" spans="1:15" x14ac:dyDescent="0.3">
      <c r="A690" s="13"/>
      <c r="B690" s="14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</row>
    <row r="691" spans="1:15" x14ac:dyDescent="0.3">
      <c r="A691" s="13"/>
      <c r="B691" s="14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</row>
    <row r="692" spans="1:15" x14ac:dyDescent="0.3">
      <c r="A692" s="13"/>
      <c r="B692" s="14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</row>
    <row r="693" spans="1:15" x14ac:dyDescent="0.3">
      <c r="A693" s="13"/>
      <c r="B693" s="14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</row>
    <row r="694" spans="1:15" x14ac:dyDescent="0.3">
      <c r="A694" s="13"/>
      <c r="B694" s="14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</row>
    <row r="695" spans="1:15" x14ac:dyDescent="0.3">
      <c r="A695" s="13"/>
      <c r="B695" s="14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</row>
    <row r="696" spans="1:15" x14ac:dyDescent="0.3">
      <c r="A696" s="13"/>
      <c r="B696" s="14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</row>
    <row r="697" spans="1:15" x14ac:dyDescent="0.3">
      <c r="A697" s="13"/>
      <c r="B697" s="14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</row>
    <row r="698" spans="1:15" x14ac:dyDescent="0.3">
      <c r="A698" s="13"/>
      <c r="B698" s="14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</row>
    <row r="699" spans="1:15" x14ac:dyDescent="0.3">
      <c r="A699" s="13"/>
      <c r="B699" s="14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</row>
    <row r="700" spans="1:15" x14ac:dyDescent="0.3">
      <c r="A700" s="13"/>
      <c r="B700" s="14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</row>
    <row r="701" spans="1:15" x14ac:dyDescent="0.3">
      <c r="A701" s="13"/>
      <c r="B701" s="14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</row>
    <row r="702" spans="1:15" x14ac:dyDescent="0.3">
      <c r="A702" s="13"/>
      <c r="B702" s="14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</row>
    <row r="703" spans="1:15" x14ac:dyDescent="0.3">
      <c r="A703" s="13"/>
      <c r="B703" s="14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</row>
    <row r="704" spans="1:15" x14ac:dyDescent="0.3">
      <c r="A704" s="13"/>
      <c r="B704" s="14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</row>
    <row r="705" spans="1:15" x14ac:dyDescent="0.3">
      <c r="A705" s="13"/>
      <c r="B705" s="14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</row>
    <row r="706" spans="1:15" x14ac:dyDescent="0.3">
      <c r="A706" s="13"/>
      <c r="B706" s="14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</row>
    <row r="707" spans="1:15" x14ac:dyDescent="0.3">
      <c r="A707" s="13"/>
      <c r="B707" s="14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</row>
    <row r="708" spans="1:15" x14ac:dyDescent="0.3">
      <c r="A708" s="13"/>
      <c r="B708" s="14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</row>
    <row r="709" spans="1:15" x14ac:dyDescent="0.3">
      <c r="A709" s="13"/>
      <c r="B709" s="14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</row>
    <row r="710" spans="1:15" x14ac:dyDescent="0.3">
      <c r="A710" s="13"/>
      <c r="B710" s="14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</row>
    <row r="711" spans="1:15" x14ac:dyDescent="0.3">
      <c r="A711" s="13"/>
      <c r="B711" s="14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</row>
    <row r="712" spans="1:15" x14ac:dyDescent="0.3">
      <c r="A712" s="13"/>
      <c r="B712" s="14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</row>
    <row r="713" spans="1:15" x14ac:dyDescent="0.3">
      <c r="A713" s="13"/>
      <c r="B713" s="14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</row>
    <row r="714" spans="1:15" x14ac:dyDescent="0.3">
      <c r="A714" s="13"/>
      <c r="B714" s="14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</row>
    <row r="715" spans="1:15" x14ac:dyDescent="0.3">
      <c r="A715" s="13"/>
      <c r="B715" s="14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</row>
    <row r="716" spans="1:15" x14ac:dyDescent="0.3">
      <c r="A716" s="13"/>
      <c r="B716" s="14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</row>
    <row r="717" spans="1:15" x14ac:dyDescent="0.3">
      <c r="A717" s="13"/>
      <c r="B717" s="14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</row>
    <row r="718" spans="1:15" x14ac:dyDescent="0.3">
      <c r="A718" s="13"/>
      <c r="B718" s="14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</row>
    <row r="719" spans="1:15" x14ac:dyDescent="0.3">
      <c r="A719" s="13"/>
      <c r="B719" s="14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</row>
    <row r="720" spans="1:15" x14ac:dyDescent="0.3">
      <c r="A720" s="13"/>
      <c r="B720" s="14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</row>
    <row r="721" spans="1:15" x14ac:dyDescent="0.3">
      <c r="A721" s="13"/>
      <c r="B721" s="14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</row>
    <row r="722" spans="1:15" x14ac:dyDescent="0.3">
      <c r="A722" s="13"/>
      <c r="B722" s="14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</row>
    <row r="723" spans="1:15" x14ac:dyDescent="0.3">
      <c r="A723" s="13"/>
      <c r="B723" s="14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</row>
    <row r="724" spans="1:15" x14ac:dyDescent="0.3">
      <c r="A724" s="13"/>
      <c r="B724" s="14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</row>
    <row r="725" spans="1:15" x14ac:dyDescent="0.3">
      <c r="A725" s="13"/>
      <c r="B725" s="14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</row>
    <row r="726" spans="1:15" x14ac:dyDescent="0.3">
      <c r="A726" s="13"/>
      <c r="B726" s="14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</row>
    <row r="727" spans="1:15" x14ac:dyDescent="0.3">
      <c r="A727" s="13"/>
      <c r="B727" s="14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</row>
    <row r="728" spans="1:15" x14ac:dyDescent="0.3">
      <c r="A728" s="13"/>
      <c r="B728" s="14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</row>
    <row r="729" spans="1:15" x14ac:dyDescent="0.3">
      <c r="A729" s="13"/>
      <c r="B729" s="14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</row>
    <row r="730" spans="1:15" x14ac:dyDescent="0.3">
      <c r="A730" s="13"/>
      <c r="B730" s="14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</row>
    <row r="731" spans="1:15" x14ac:dyDescent="0.3">
      <c r="A731" s="13"/>
      <c r="B731" s="14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</row>
    <row r="732" spans="1:15" x14ac:dyDescent="0.3">
      <c r="A732" s="13"/>
      <c r="B732" s="14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</row>
    <row r="733" spans="1:15" x14ac:dyDescent="0.3">
      <c r="A733" s="13"/>
      <c r="B733" s="14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</row>
    <row r="734" spans="1:15" x14ac:dyDescent="0.3">
      <c r="A734" s="13"/>
      <c r="B734" s="14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</row>
    <row r="735" spans="1:15" x14ac:dyDescent="0.3">
      <c r="A735" s="13"/>
      <c r="B735" s="14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</row>
    <row r="736" spans="1:15" x14ac:dyDescent="0.3">
      <c r="A736" s="13"/>
      <c r="B736" s="14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</row>
    <row r="737" spans="1:15" x14ac:dyDescent="0.3">
      <c r="A737" s="13"/>
      <c r="B737" s="14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</row>
    <row r="738" spans="1:15" x14ac:dyDescent="0.3">
      <c r="A738" s="13"/>
      <c r="B738" s="14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</row>
    <row r="739" spans="1:15" x14ac:dyDescent="0.3">
      <c r="A739" s="13"/>
      <c r="B739" s="14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</row>
    <row r="740" spans="1:15" x14ac:dyDescent="0.3">
      <c r="A740" s="13"/>
      <c r="B740" s="14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</row>
    <row r="741" spans="1:15" x14ac:dyDescent="0.3">
      <c r="A741" s="13"/>
      <c r="B741" s="14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</row>
    <row r="742" spans="1:15" x14ac:dyDescent="0.3">
      <c r="A742" s="13"/>
      <c r="B742" s="14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</row>
    <row r="743" spans="1:15" x14ac:dyDescent="0.3">
      <c r="A743" s="13"/>
      <c r="B743" s="14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</row>
    <row r="744" spans="1:15" x14ac:dyDescent="0.3">
      <c r="A744" s="13"/>
      <c r="B744" s="14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</row>
    <row r="745" spans="1:15" x14ac:dyDescent="0.3">
      <c r="A745" s="13"/>
      <c r="B745" s="14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</row>
    <row r="746" spans="1:15" x14ac:dyDescent="0.3">
      <c r="A746" s="13"/>
      <c r="B746" s="14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</row>
    <row r="747" spans="1:15" x14ac:dyDescent="0.3">
      <c r="A747" s="13"/>
      <c r="B747" s="14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</row>
    <row r="748" spans="1:15" x14ac:dyDescent="0.3">
      <c r="A748" s="13"/>
      <c r="B748" s="14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</row>
    <row r="749" spans="1:15" x14ac:dyDescent="0.3">
      <c r="A749" s="13"/>
      <c r="B749" s="14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</row>
    <row r="750" spans="1:15" x14ac:dyDescent="0.3">
      <c r="A750" s="13"/>
      <c r="B750" s="14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</row>
    <row r="751" spans="1:15" x14ac:dyDescent="0.3">
      <c r="A751" s="13"/>
      <c r="B751" s="14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</row>
    <row r="752" spans="1:15" x14ac:dyDescent="0.3">
      <c r="A752" s="13"/>
      <c r="B752" s="14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</row>
    <row r="753" spans="1:15" x14ac:dyDescent="0.3">
      <c r="A753" s="13"/>
      <c r="B753" s="14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</row>
    <row r="754" spans="1:15" x14ac:dyDescent="0.3">
      <c r="A754" s="13"/>
      <c r="B754" s="14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</row>
    <row r="755" spans="1:15" x14ac:dyDescent="0.3">
      <c r="A755" s="13"/>
      <c r="B755" s="14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</row>
    <row r="756" spans="1:15" x14ac:dyDescent="0.3">
      <c r="A756" s="13"/>
      <c r="B756" s="14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</row>
    <row r="757" spans="1:15" x14ac:dyDescent="0.3">
      <c r="A757" s="13"/>
      <c r="B757" s="14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</row>
    <row r="758" spans="1:15" x14ac:dyDescent="0.3">
      <c r="A758" s="13"/>
      <c r="B758" s="14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</row>
    <row r="759" spans="1:15" x14ac:dyDescent="0.3">
      <c r="A759" s="13"/>
      <c r="B759" s="14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</row>
    <row r="760" spans="1:15" x14ac:dyDescent="0.3">
      <c r="A760" s="13"/>
      <c r="B760" s="14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</row>
    <row r="761" spans="1:15" x14ac:dyDescent="0.3">
      <c r="A761" s="13"/>
      <c r="B761" s="14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</row>
    <row r="762" spans="1:15" x14ac:dyDescent="0.3">
      <c r="A762" s="13"/>
      <c r="B762" s="14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</row>
    <row r="763" spans="1:15" x14ac:dyDescent="0.3">
      <c r="A763" s="13"/>
      <c r="B763" s="14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</row>
    <row r="764" spans="1:15" x14ac:dyDescent="0.3">
      <c r="A764" s="13"/>
      <c r="B764" s="14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</row>
    <row r="765" spans="1:15" x14ac:dyDescent="0.3">
      <c r="A765" s="13"/>
      <c r="B765" s="14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</row>
    <row r="766" spans="1:15" x14ac:dyDescent="0.3">
      <c r="A766" s="13"/>
      <c r="B766" s="14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</row>
    <row r="767" spans="1:15" x14ac:dyDescent="0.3">
      <c r="A767" s="13"/>
      <c r="B767" s="14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</row>
    <row r="768" spans="1:15" x14ac:dyDescent="0.3">
      <c r="A768" s="13"/>
      <c r="B768" s="14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</row>
    <row r="769" spans="1:15" x14ac:dyDescent="0.3">
      <c r="A769" s="13"/>
      <c r="B769" s="14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</row>
    <row r="770" spans="1:15" x14ac:dyDescent="0.3">
      <c r="A770" s="13"/>
      <c r="B770" s="14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</row>
    <row r="771" spans="1:15" x14ac:dyDescent="0.3">
      <c r="A771" s="13"/>
      <c r="B771" s="14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</row>
    <row r="772" spans="1:15" x14ac:dyDescent="0.3">
      <c r="A772" s="13"/>
      <c r="B772" s="14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</row>
    <row r="773" spans="1:15" x14ac:dyDescent="0.3">
      <c r="A773" s="13"/>
      <c r="B773" s="14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</row>
    <row r="774" spans="1:15" x14ac:dyDescent="0.3">
      <c r="A774" s="13"/>
      <c r="B774" s="14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</row>
    <row r="775" spans="1:15" x14ac:dyDescent="0.3">
      <c r="A775" s="13"/>
      <c r="B775" s="14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</row>
    <row r="776" spans="1:15" x14ac:dyDescent="0.3">
      <c r="A776" s="13"/>
      <c r="B776" s="14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</row>
    <row r="777" spans="1:15" x14ac:dyDescent="0.3">
      <c r="A777" s="13"/>
      <c r="B777" s="14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</row>
    <row r="778" spans="1:15" x14ac:dyDescent="0.3">
      <c r="A778" s="13"/>
      <c r="B778" s="14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</row>
    <row r="779" spans="1:15" x14ac:dyDescent="0.3">
      <c r="A779" s="13"/>
      <c r="B779" s="14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</row>
    <row r="780" spans="1:15" x14ac:dyDescent="0.3">
      <c r="A780" s="13"/>
      <c r="B780" s="14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</row>
    <row r="781" spans="1:15" x14ac:dyDescent="0.3">
      <c r="A781" s="13"/>
      <c r="B781" s="14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</row>
    <row r="782" spans="1:15" x14ac:dyDescent="0.3">
      <c r="A782" s="13"/>
      <c r="B782" s="14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</row>
    <row r="783" spans="1:15" x14ac:dyDescent="0.3">
      <c r="A783" s="13"/>
      <c r="B783" s="14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</row>
    <row r="784" spans="1:15" x14ac:dyDescent="0.3">
      <c r="A784" s="13"/>
      <c r="B784" s="14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</row>
    <row r="785" spans="1:15" x14ac:dyDescent="0.3">
      <c r="A785" s="13"/>
      <c r="B785" s="14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</row>
    <row r="786" spans="1:15" x14ac:dyDescent="0.3">
      <c r="A786" s="13"/>
      <c r="B786" s="14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</row>
    <row r="787" spans="1:15" x14ac:dyDescent="0.3">
      <c r="A787" s="13"/>
      <c r="B787" s="14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</row>
    <row r="788" spans="1:15" x14ac:dyDescent="0.3">
      <c r="A788" s="13"/>
      <c r="B788" s="14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</row>
    <row r="789" spans="1:15" x14ac:dyDescent="0.3">
      <c r="A789" s="13"/>
      <c r="B789" s="14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</row>
    <row r="790" spans="1:15" x14ac:dyDescent="0.3">
      <c r="A790" s="13"/>
      <c r="B790" s="14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</row>
    <row r="791" spans="1:15" x14ac:dyDescent="0.3">
      <c r="A791" s="13"/>
      <c r="B791" s="14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</row>
    <row r="792" spans="1:15" x14ac:dyDescent="0.3">
      <c r="A792" s="13"/>
      <c r="B792" s="14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</row>
    <row r="793" spans="1:15" x14ac:dyDescent="0.3">
      <c r="A793" s="13"/>
      <c r="B793" s="14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</row>
    <row r="794" spans="1:15" x14ac:dyDescent="0.3">
      <c r="A794" s="13"/>
      <c r="B794" s="14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</row>
    <row r="795" spans="1:15" x14ac:dyDescent="0.3">
      <c r="A795" s="13"/>
      <c r="B795" s="14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</row>
    <row r="796" spans="1:15" x14ac:dyDescent="0.3">
      <c r="A796" s="13"/>
      <c r="B796" s="14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</row>
    <row r="797" spans="1:15" x14ac:dyDescent="0.3">
      <c r="A797" s="13"/>
      <c r="B797" s="14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</row>
    <row r="798" spans="1:15" x14ac:dyDescent="0.3">
      <c r="A798" s="13"/>
      <c r="B798" s="14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</row>
    <row r="799" spans="1:15" x14ac:dyDescent="0.3">
      <c r="A799" s="13"/>
      <c r="B799" s="14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</row>
    <row r="800" spans="1:15" x14ac:dyDescent="0.3">
      <c r="A800" s="13"/>
      <c r="B800" s="14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</row>
    <row r="801" spans="1:15" x14ac:dyDescent="0.3">
      <c r="A801" s="13"/>
      <c r="B801" s="14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</row>
    <row r="802" spans="1:15" x14ac:dyDescent="0.3">
      <c r="A802" s="13"/>
      <c r="B802" s="14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</row>
    <row r="803" spans="1:15" x14ac:dyDescent="0.3">
      <c r="A803" s="13"/>
      <c r="B803" s="14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</row>
    <row r="804" spans="1:15" x14ac:dyDescent="0.3">
      <c r="A804" s="13"/>
      <c r="B804" s="14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</row>
    <row r="805" spans="1:15" x14ac:dyDescent="0.3">
      <c r="A805" s="13"/>
      <c r="B805" s="14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</row>
    <row r="806" spans="1:15" x14ac:dyDescent="0.3">
      <c r="A806" s="13"/>
      <c r="B806" s="14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</row>
    <row r="807" spans="1:15" x14ac:dyDescent="0.3">
      <c r="A807" s="13"/>
      <c r="B807" s="14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</row>
    <row r="808" spans="1:15" x14ac:dyDescent="0.3">
      <c r="A808" s="13"/>
      <c r="B808" s="14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</row>
    <row r="809" spans="1:15" x14ac:dyDescent="0.3">
      <c r="A809" s="13"/>
      <c r="B809" s="14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</row>
    <row r="810" spans="1:15" x14ac:dyDescent="0.3">
      <c r="A810" s="13"/>
      <c r="B810" s="14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</row>
    <row r="811" spans="1:15" x14ac:dyDescent="0.3">
      <c r="A811" s="13"/>
      <c r="B811" s="14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</row>
    <row r="812" spans="1:15" x14ac:dyDescent="0.3">
      <c r="A812" s="13"/>
      <c r="B812" s="14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</row>
    <row r="813" spans="1:15" x14ac:dyDescent="0.3">
      <c r="A813" s="13"/>
      <c r="B813" s="14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</row>
    <row r="814" spans="1:15" x14ac:dyDescent="0.3">
      <c r="A814" s="13"/>
      <c r="B814" s="14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</row>
    <row r="815" spans="1:15" x14ac:dyDescent="0.3">
      <c r="A815" s="13"/>
      <c r="B815" s="14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</row>
    <row r="816" spans="1:15" x14ac:dyDescent="0.3">
      <c r="A816" s="13"/>
      <c r="B816" s="14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</row>
    <row r="817" spans="1:15" x14ac:dyDescent="0.3">
      <c r="A817" s="13"/>
      <c r="B817" s="14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</row>
    <row r="818" spans="1:15" x14ac:dyDescent="0.3">
      <c r="A818" s="13"/>
      <c r="B818" s="14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</row>
    <row r="819" spans="1:15" x14ac:dyDescent="0.3">
      <c r="A819" s="13"/>
      <c r="B819" s="14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</row>
    <row r="820" spans="1:15" x14ac:dyDescent="0.3">
      <c r="A820" s="13"/>
      <c r="B820" s="14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</row>
    <row r="821" spans="1:15" x14ac:dyDescent="0.3">
      <c r="A821" s="13"/>
      <c r="B821" s="14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</row>
    <row r="822" spans="1:15" x14ac:dyDescent="0.3">
      <c r="A822" s="13"/>
      <c r="B822" s="14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</row>
    <row r="823" spans="1:15" x14ac:dyDescent="0.3">
      <c r="A823" s="13"/>
      <c r="B823" s="14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</row>
    <row r="824" spans="1:15" x14ac:dyDescent="0.3">
      <c r="A824" s="13"/>
      <c r="B824" s="14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</row>
    <row r="825" spans="1:15" x14ac:dyDescent="0.3">
      <c r="A825" s="13"/>
      <c r="B825" s="14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</row>
    <row r="826" spans="1:15" x14ac:dyDescent="0.3">
      <c r="A826" s="13"/>
      <c r="B826" s="14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</row>
    <row r="827" spans="1:15" x14ac:dyDescent="0.3">
      <c r="A827" s="13"/>
      <c r="B827" s="14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</row>
    <row r="828" spans="1:15" x14ac:dyDescent="0.3">
      <c r="A828" s="13"/>
      <c r="B828" s="14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</row>
    <row r="829" spans="1:15" x14ac:dyDescent="0.3">
      <c r="A829" s="13"/>
      <c r="B829" s="14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</row>
    <row r="830" spans="1:15" x14ac:dyDescent="0.3">
      <c r="A830" s="13"/>
      <c r="B830" s="14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</row>
    <row r="831" spans="1:15" x14ac:dyDescent="0.3">
      <c r="A831" s="13"/>
      <c r="B831" s="14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</row>
    <row r="832" spans="1:15" x14ac:dyDescent="0.3">
      <c r="A832" s="13"/>
      <c r="B832" s="14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</row>
    <row r="833" spans="1:15" x14ac:dyDescent="0.3">
      <c r="A833" s="13"/>
      <c r="B833" s="14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</row>
    <row r="834" spans="1:15" x14ac:dyDescent="0.3">
      <c r="A834" s="13"/>
      <c r="B834" s="14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</row>
    <row r="835" spans="1:15" x14ac:dyDescent="0.3">
      <c r="A835" s="13"/>
      <c r="B835" s="14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</row>
    <row r="836" spans="1:15" x14ac:dyDescent="0.3">
      <c r="A836" s="13"/>
      <c r="B836" s="14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</row>
    <row r="837" spans="1:15" x14ac:dyDescent="0.3">
      <c r="A837" s="13"/>
      <c r="B837" s="14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</row>
    <row r="838" spans="1:15" x14ac:dyDescent="0.3">
      <c r="A838" s="13"/>
      <c r="B838" s="14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</row>
    <row r="839" spans="1:15" x14ac:dyDescent="0.3">
      <c r="A839" s="13"/>
      <c r="B839" s="14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</row>
    <row r="840" spans="1:15" x14ac:dyDescent="0.3">
      <c r="A840" s="13"/>
      <c r="B840" s="14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</row>
    <row r="841" spans="1:15" x14ac:dyDescent="0.3">
      <c r="A841" s="13"/>
      <c r="B841" s="14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</row>
    <row r="842" spans="1:15" x14ac:dyDescent="0.3">
      <c r="A842" s="13"/>
      <c r="B842" s="14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</row>
    <row r="843" spans="1:15" x14ac:dyDescent="0.3">
      <c r="A843" s="13"/>
      <c r="B843" s="14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</row>
    <row r="844" spans="1:15" x14ac:dyDescent="0.3">
      <c r="A844" s="13"/>
      <c r="B844" s="14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</row>
    <row r="845" spans="1:15" x14ac:dyDescent="0.3">
      <c r="A845" s="13"/>
      <c r="B845" s="14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</row>
    <row r="846" spans="1:15" x14ac:dyDescent="0.3">
      <c r="A846" s="13"/>
      <c r="B846" s="14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</row>
    <row r="847" spans="1:15" x14ac:dyDescent="0.3">
      <c r="A847" s="13"/>
      <c r="B847" s="14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</row>
    <row r="848" spans="1:15" x14ac:dyDescent="0.3">
      <c r="A848" s="13"/>
      <c r="B848" s="14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</row>
    <row r="849" spans="1:15" x14ac:dyDescent="0.3">
      <c r="A849" s="13"/>
      <c r="B849" s="14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</row>
    <row r="850" spans="1:15" x14ac:dyDescent="0.3">
      <c r="A850" s="13"/>
      <c r="B850" s="14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</row>
    <row r="851" spans="1:15" x14ac:dyDescent="0.3">
      <c r="A851" s="13"/>
      <c r="B851" s="14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</row>
    <row r="852" spans="1:15" x14ac:dyDescent="0.3">
      <c r="A852" s="13"/>
      <c r="B852" s="14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</row>
    <row r="853" spans="1:15" x14ac:dyDescent="0.3">
      <c r="A853" s="13"/>
      <c r="B853" s="14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</row>
    <row r="854" spans="1:15" x14ac:dyDescent="0.3">
      <c r="A854" s="13"/>
      <c r="B854" s="14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</row>
    <row r="855" spans="1:15" x14ac:dyDescent="0.3">
      <c r="A855" s="13"/>
      <c r="B855" s="14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</row>
    <row r="856" spans="1:15" x14ac:dyDescent="0.3">
      <c r="A856" s="13"/>
      <c r="B856" s="14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</row>
    <row r="857" spans="1:15" x14ac:dyDescent="0.3">
      <c r="A857" s="13"/>
      <c r="B857" s="14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</row>
    <row r="858" spans="1:15" x14ac:dyDescent="0.3">
      <c r="A858" s="13"/>
      <c r="B858" s="14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</row>
    <row r="859" spans="1:15" x14ac:dyDescent="0.3">
      <c r="A859" s="13"/>
      <c r="B859" s="14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</row>
    <row r="860" spans="1:15" x14ac:dyDescent="0.3">
      <c r="A860" s="13"/>
      <c r="B860" s="14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</row>
    <row r="861" spans="1:15" x14ac:dyDescent="0.3">
      <c r="A861" s="13"/>
      <c r="B861" s="14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</row>
    <row r="862" spans="1:15" x14ac:dyDescent="0.3">
      <c r="A862" s="13"/>
      <c r="B862" s="14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</row>
    <row r="863" spans="1:15" x14ac:dyDescent="0.3">
      <c r="A863" s="13"/>
      <c r="B863" s="14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</row>
    <row r="864" spans="1:15" x14ac:dyDescent="0.3">
      <c r="A864" s="13"/>
      <c r="B864" s="14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</row>
    <row r="865" spans="1:15" x14ac:dyDescent="0.3">
      <c r="A865" s="13"/>
      <c r="B865" s="14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</row>
    <row r="866" spans="1:15" x14ac:dyDescent="0.3">
      <c r="A866" s="13"/>
      <c r="B866" s="14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</row>
    <row r="867" spans="1:15" x14ac:dyDescent="0.3">
      <c r="A867" s="13"/>
      <c r="B867" s="14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</row>
    <row r="868" spans="1:15" x14ac:dyDescent="0.3">
      <c r="A868" s="13"/>
      <c r="B868" s="14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</row>
    <row r="869" spans="1:15" x14ac:dyDescent="0.3">
      <c r="A869" s="13"/>
      <c r="B869" s="14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</row>
    <row r="870" spans="1:15" x14ac:dyDescent="0.3">
      <c r="A870" s="13"/>
      <c r="B870" s="14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</row>
    <row r="871" spans="1:15" x14ac:dyDescent="0.3">
      <c r="A871" s="13"/>
      <c r="B871" s="14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</row>
    <row r="872" spans="1:15" x14ac:dyDescent="0.3">
      <c r="A872" s="13"/>
      <c r="B872" s="14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</row>
    <row r="873" spans="1:15" x14ac:dyDescent="0.3">
      <c r="A873" s="13"/>
      <c r="B873" s="14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</row>
    <row r="874" spans="1:15" x14ac:dyDescent="0.3">
      <c r="A874" s="13"/>
      <c r="B874" s="14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</row>
    <row r="875" spans="1:15" x14ac:dyDescent="0.3">
      <c r="A875" s="13"/>
      <c r="B875" s="14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</row>
    <row r="876" spans="1:15" x14ac:dyDescent="0.3">
      <c r="A876" s="13"/>
      <c r="B876" s="14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</row>
    <row r="877" spans="1:15" x14ac:dyDescent="0.3">
      <c r="A877" s="13"/>
      <c r="B877" s="14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</row>
    <row r="878" spans="1:15" x14ac:dyDescent="0.3">
      <c r="A878" s="13"/>
      <c r="B878" s="14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</row>
    <row r="879" spans="1:15" x14ac:dyDescent="0.3">
      <c r="A879" s="13"/>
      <c r="B879" s="14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</row>
    <row r="880" spans="1:15" x14ac:dyDescent="0.3">
      <c r="A880" s="13"/>
      <c r="B880" s="14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</row>
    <row r="881" spans="1:15" x14ac:dyDescent="0.3">
      <c r="A881" s="13"/>
      <c r="B881" s="14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</row>
    <row r="882" spans="1:15" x14ac:dyDescent="0.3">
      <c r="A882" s="13"/>
      <c r="B882" s="14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</row>
    <row r="883" spans="1:15" x14ac:dyDescent="0.3">
      <c r="A883" s="13"/>
      <c r="B883" s="14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</row>
    <row r="884" spans="1:15" x14ac:dyDescent="0.3">
      <c r="A884" s="13"/>
      <c r="B884" s="14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</row>
    <row r="885" spans="1:15" x14ac:dyDescent="0.3">
      <c r="A885" s="13"/>
      <c r="B885" s="14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</row>
    <row r="886" spans="1:15" x14ac:dyDescent="0.3">
      <c r="A886" s="13"/>
      <c r="B886" s="14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</row>
    <row r="887" spans="1:15" x14ac:dyDescent="0.3">
      <c r="A887" s="13"/>
      <c r="B887" s="14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</row>
    <row r="888" spans="1:15" x14ac:dyDescent="0.3">
      <c r="A888" s="13"/>
      <c r="B888" s="14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</row>
    <row r="889" spans="1:15" x14ac:dyDescent="0.3">
      <c r="A889" s="13"/>
      <c r="B889" s="14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</row>
    <row r="890" spans="1:15" x14ac:dyDescent="0.3">
      <c r="A890" s="13"/>
      <c r="B890" s="14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</row>
    <row r="891" spans="1:15" x14ac:dyDescent="0.3">
      <c r="A891" s="13"/>
      <c r="B891" s="14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</row>
    <row r="892" spans="1:15" x14ac:dyDescent="0.3">
      <c r="A892" s="13"/>
      <c r="B892" s="14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</row>
    <row r="893" spans="1:15" x14ac:dyDescent="0.3">
      <c r="A893" s="13"/>
      <c r="B893" s="14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</row>
    <row r="894" spans="1:15" x14ac:dyDescent="0.3">
      <c r="A894" s="13"/>
      <c r="B894" s="14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</row>
    <row r="895" spans="1:15" x14ac:dyDescent="0.3">
      <c r="A895" s="13"/>
      <c r="B895" s="14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</row>
    <row r="896" spans="1:15" x14ac:dyDescent="0.3">
      <c r="A896" s="13"/>
      <c r="B896" s="14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</row>
    <row r="897" spans="1:15" x14ac:dyDescent="0.3">
      <c r="A897" s="13"/>
      <c r="B897" s="14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</row>
    <row r="898" spans="1:15" x14ac:dyDescent="0.3">
      <c r="A898" s="13"/>
      <c r="B898" s="14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</row>
    <row r="899" spans="1:15" x14ac:dyDescent="0.3">
      <c r="A899" s="13"/>
      <c r="B899" s="14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</row>
    <row r="900" spans="1:15" x14ac:dyDescent="0.3">
      <c r="A900" s="13"/>
      <c r="B900" s="14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</row>
    <row r="901" spans="1:15" x14ac:dyDescent="0.3">
      <c r="A901" s="13"/>
      <c r="B901" s="14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</row>
    <row r="902" spans="1:15" x14ac:dyDescent="0.3">
      <c r="A902" s="13"/>
      <c r="B902" s="14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</row>
    <row r="903" spans="1:15" x14ac:dyDescent="0.3">
      <c r="A903" s="13"/>
      <c r="B903" s="14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</row>
    <row r="904" spans="1:15" x14ac:dyDescent="0.3">
      <c r="A904" s="13"/>
      <c r="B904" s="14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</row>
    <row r="905" spans="1:15" x14ac:dyDescent="0.3">
      <c r="A905" s="13"/>
      <c r="B905" s="14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</row>
    <row r="906" spans="1:15" x14ac:dyDescent="0.3">
      <c r="A906" s="13"/>
      <c r="B906" s="14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</row>
    <row r="907" spans="1:15" x14ac:dyDescent="0.3">
      <c r="A907" s="13"/>
      <c r="B907" s="14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</row>
    <row r="908" spans="1:15" x14ac:dyDescent="0.3">
      <c r="A908" s="13"/>
      <c r="B908" s="14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</row>
    <row r="909" spans="1:15" x14ac:dyDescent="0.3">
      <c r="A909" s="13"/>
      <c r="B909" s="14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</row>
    <row r="910" spans="1:15" x14ac:dyDescent="0.3">
      <c r="A910" s="13"/>
      <c r="B910" s="14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</row>
    <row r="911" spans="1:15" x14ac:dyDescent="0.3">
      <c r="A911" s="13"/>
      <c r="B911" s="14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</row>
    <row r="912" spans="1:15" x14ac:dyDescent="0.3">
      <c r="A912" s="13"/>
      <c r="B912" s="14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</row>
    <row r="913" spans="1:15" x14ac:dyDescent="0.3">
      <c r="A913" s="13"/>
      <c r="B913" s="14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</row>
    <row r="914" spans="1:15" x14ac:dyDescent="0.3">
      <c r="A914" s="13"/>
      <c r="B914" s="14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</row>
    <row r="915" spans="1:15" x14ac:dyDescent="0.3">
      <c r="A915" s="13"/>
      <c r="B915" s="14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</row>
    <row r="916" spans="1:15" x14ac:dyDescent="0.3">
      <c r="A916" s="13"/>
      <c r="B916" s="14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</row>
    <row r="917" spans="1:15" x14ac:dyDescent="0.3">
      <c r="A917" s="13"/>
      <c r="B917" s="14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</row>
    <row r="918" spans="1:15" x14ac:dyDescent="0.3">
      <c r="A918" s="13"/>
      <c r="B918" s="14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</row>
    <row r="919" spans="1:15" x14ac:dyDescent="0.3">
      <c r="A919" s="13"/>
      <c r="B919" s="14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</row>
    <row r="920" spans="1:15" x14ac:dyDescent="0.3">
      <c r="A920" s="13"/>
      <c r="B920" s="14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</row>
    <row r="921" spans="1:15" x14ac:dyDescent="0.3">
      <c r="A921" s="13"/>
      <c r="B921" s="14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</row>
    <row r="922" spans="1:15" x14ac:dyDescent="0.3">
      <c r="A922" s="13"/>
      <c r="B922" s="14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</row>
    <row r="923" spans="1:15" x14ac:dyDescent="0.3">
      <c r="A923" s="13"/>
      <c r="B923" s="14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</row>
    <row r="924" spans="1:15" x14ac:dyDescent="0.3">
      <c r="A924" s="13"/>
      <c r="B924" s="14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</row>
    <row r="925" spans="1:15" x14ac:dyDescent="0.3">
      <c r="A925" s="13"/>
      <c r="B925" s="14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</row>
    <row r="926" spans="1:15" x14ac:dyDescent="0.3">
      <c r="A926" s="13"/>
      <c r="B926" s="14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</row>
    <row r="927" spans="1:15" x14ac:dyDescent="0.3">
      <c r="A927" s="13"/>
      <c r="B927" s="14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</row>
    <row r="928" spans="1:15" x14ac:dyDescent="0.3">
      <c r="A928" s="13"/>
      <c r="B928" s="14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</row>
    <row r="929" spans="1:15" x14ac:dyDescent="0.3">
      <c r="A929" s="13"/>
      <c r="B929" s="14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</row>
    <row r="930" spans="1:15" x14ac:dyDescent="0.3">
      <c r="A930" s="13"/>
      <c r="B930" s="14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</row>
    <row r="931" spans="1:15" x14ac:dyDescent="0.3">
      <c r="A931" s="13"/>
      <c r="B931" s="14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</row>
    <row r="932" spans="1:15" x14ac:dyDescent="0.3">
      <c r="A932" s="13"/>
      <c r="B932" s="14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</row>
    <row r="933" spans="1:15" x14ac:dyDescent="0.3">
      <c r="A933" s="13"/>
      <c r="B933" s="14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</row>
    <row r="934" spans="1:15" x14ac:dyDescent="0.3">
      <c r="A934" s="13"/>
      <c r="B934" s="14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</row>
    <row r="935" spans="1:15" x14ac:dyDescent="0.3">
      <c r="A935" s="13"/>
      <c r="B935" s="14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</row>
    <row r="936" spans="1:15" x14ac:dyDescent="0.3">
      <c r="A936" s="13"/>
      <c r="B936" s="14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</row>
    <row r="937" spans="1:15" x14ac:dyDescent="0.3">
      <c r="A937" s="13"/>
      <c r="B937" s="14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</row>
    <row r="938" spans="1:15" x14ac:dyDescent="0.3">
      <c r="A938" s="13"/>
      <c r="B938" s="14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</row>
    <row r="939" spans="1:15" x14ac:dyDescent="0.3">
      <c r="A939" s="13"/>
      <c r="B939" s="14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</row>
    <row r="940" spans="1:15" x14ac:dyDescent="0.3">
      <c r="A940" s="13"/>
      <c r="B940" s="14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</row>
    <row r="941" spans="1:15" x14ac:dyDescent="0.3">
      <c r="A941" s="13"/>
      <c r="B941" s="14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</row>
    <row r="942" spans="1:15" x14ac:dyDescent="0.3">
      <c r="A942" s="13"/>
      <c r="B942" s="14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</row>
    <row r="943" spans="1:15" x14ac:dyDescent="0.3">
      <c r="A943" s="13"/>
      <c r="B943" s="14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</row>
    <row r="944" spans="1:15" x14ac:dyDescent="0.3">
      <c r="A944" s="13"/>
      <c r="B944" s="14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</row>
    <row r="945" spans="1:15" x14ac:dyDescent="0.3">
      <c r="A945" s="13"/>
      <c r="B945" s="14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</row>
    <row r="946" spans="1:15" x14ac:dyDescent="0.3">
      <c r="A946" s="13"/>
      <c r="B946" s="14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</row>
    <row r="947" spans="1:15" x14ac:dyDescent="0.3">
      <c r="A947" s="13"/>
      <c r="B947" s="14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</row>
    <row r="948" spans="1:15" x14ac:dyDescent="0.3">
      <c r="A948" s="13"/>
      <c r="B948" s="14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</row>
    <row r="949" spans="1:15" x14ac:dyDescent="0.3">
      <c r="A949" s="13"/>
      <c r="B949" s="14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</row>
    <row r="950" spans="1:15" x14ac:dyDescent="0.3">
      <c r="A950" s="13"/>
      <c r="B950" s="14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</row>
    <row r="951" spans="1:15" x14ac:dyDescent="0.3">
      <c r="A951" s="13"/>
      <c r="B951" s="14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</row>
    <row r="952" spans="1:15" x14ac:dyDescent="0.3">
      <c r="A952" s="13"/>
      <c r="B952" s="14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</row>
    <row r="953" spans="1:15" x14ac:dyDescent="0.3">
      <c r="A953" s="13"/>
      <c r="B953" s="14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</row>
    <row r="954" spans="1:15" x14ac:dyDescent="0.3">
      <c r="A954" s="13"/>
      <c r="B954" s="14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</row>
    <row r="955" spans="1:15" x14ac:dyDescent="0.3">
      <c r="A955" s="13"/>
      <c r="B955" s="14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</row>
    <row r="956" spans="1:15" x14ac:dyDescent="0.3">
      <c r="A956" s="13"/>
      <c r="B956" s="14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</row>
    <row r="957" spans="1:15" x14ac:dyDescent="0.3">
      <c r="A957" s="13"/>
      <c r="B957" s="14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</row>
    <row r="958" spans="1:15" x14ac:dyDescent="0.3">
      <c r="A958" s="13"/>
      <c r="B958" s="14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</row>
    <row r="959" spans="1:15" x14ac:dyDescent="0.3">
      <c r="A959" s="13"/>
      <c r="B959" s="14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</row>
    <row r="960" spans="1:15" x14ac:dyDescent="0.3">
      <c r="A960" s="13"/>
      <c r="B960" s="14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</row>
    <row r="961" spans="1:15" x14ac:dyDescent="0.3">
      <c r="A961" s="13"/>
      <c r="B961" s="14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</row>
    <row r="962" spans="1:15" x14ac:dyDescent="0.3">
      <c r="A962" s="13"/>
      <c r="B962" s="14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</row>
    <row r="963" spans="1:15" x14ac:dyDescent="0.3">
      <c r="A963" s="13"/>
      <c r="B963" s="14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</row>
    <row r="964" spans="1:15" x14ac:dyDescent="0.3">
      <c r="A964" s="13"/>
      <c r="B964" s="14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</row>
    <row r="965" spans="1:15" x14ac:dyDescent="0.3">
      <c r="A965" s="13"/>
      <c r="B965" s="14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</row>
    <row r="966" spans="1:15" x14ac:dyDescent="0.3">
      <c r="A966" s="13"/>
      <c r="B966" s="14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</row>
    <row r="967" spans="1:15" x14ac:dyDescent="0.3">
      <c r="A967" s="13"/>
      <c r="B967" s="14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</row>
    <row r="968" spans="1:15" x14ac:dyDescent="0.3">
      <c r="A968" s="13"/>
      <c r="B968" s="14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</row>
    <row r="969" spans="1:15" x14ac:dyDescent="0.3">
      <c r="A969" s="13"/>
      <c r="B969" s="14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</row>
    <row r="970" spans="1:15" x14ac:dyDescent="0.3">
      <c r="A970" s="13"/>
      <c r="B970" s="14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</row>
    <row r="971" spans="1:15" x14ac:dyDescent="0.3">
      <c r="A971" s="13"/>
      <c r="B971" s="14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</row>
    <row r="972" spans="1:15" x14ac:dyDescent="0.3">
      <c r="A972" s="13"/>
      <c r="B972" s="14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</row>
    <row r="973" spans="1:15" x14ac:dyDescent="0.3">
      <c r="A973" s="13"/>
      <c r="B973" s="14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</row>
    <row r="974" spans="1:15" x14ac:dyDescent="0.3">
      <c r="A974" s="13"/>
      <c r="B974" s="14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</row>
    <row r="975" spans="1:15" x14ac:dyDescent="0.3">
      <c r="A975" s="13"/>
      <c r="B975" s="14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</row>
    <row r="976" spans="1:15" x14ac:dyDescent="0.3">
      <c r="A976" s="13"/>
      <c r="B976" s="14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</row>
    <row r="977" spans="1:15" x14ac:dyDescent="0.3">
      <c r="A977" s="13"/>
      <c r="B977" s="14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</row>
    <row r="978" spans="1:15" x14ac:dyDescent="0.3">
      <c r="A978" s="13"/>
      <c r="B978" s="14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</row>
    <row r="979" spans="1:15" x14ac:dyDescent="0.3">
      <c r="A979" s="13"/>
      <c r="B979" s="14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</row>
    <row r="980" spans="1:15" x14ac:dyDescent="0.3">
      <c r="A980" s="13"/>
      <c r="B980" s="14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</row>
    <row r="981" spans="1:15" x14ac:dyDescent="0.3">
      <c r="A981" s="13"/>
      <c r="B981" s="14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</row>
    <row r="982" spans="1:15" x14ac:dyDescent="0.3">
      <c r="A982" s="13"/>
      <c r="B982" s="14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</row>
    <row r="983" spans="1:15" x14ac:dyDescent="0.3">
      <c r="A983" s="13"/>
      <c r="B983" s="14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</row>
    <row r="984" spans="1:15" x14ac:dyDescent="0.3">
      <c r="A984" s="13"/>
      <c r="B984" s="14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</row>
    <row r="985" spans="1:15" x14ac:dyDescent="0.3">
      <c r="A985" s="13"/>
      <c r="B985" s="14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</row>
    <row r="986" spans="1:15" x14ac:dyDescent="0.3">
      <c r="A986" s="13"/>
      <c r="B986" s="14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</row>
    <row r="987" spans="1:15" x14ac:dyDescent="0.3">
      <c r="A987" s="13"/>
      <c r="B987" s="14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</row>
    <row r="988" spans="1:15" x14ac:dyDescent="0.3">
      <c r="A988" s="13"/>
      <c r="B988" s="14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</row>
    <row r="989" spans="1:15" x14ac:dyDescent="0.3">
      <c r="A989" s="13"/>
      <c r="B989" s="14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</row>
    <row r="990" spans="1:15" x14ac:dyDescent="0.3">
      <c r="A990" s="13"/>
      <c r="B990" s="14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</row>
    <row r="991" spans="1:15" x14ac:dyDescent="0.3">
      <c r="A991" s="13"/>
      <c r="B991" s="14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</row>
    <row r="992" spans="1:15" x14ac:dyDescent="0.3">
      <c r="A992" s="13"/>
      <c r="B992" s="14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</row>
    <row r="993" spans="1:15" x14ac:dyDescent="0.3">
      <c r="A993" s="13"/>
      <c r="B993" s="14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</row>
    <row r="994" spans="1:15" x14ac:dyDescent="0.3">
      <c r="A994" s="13"/>
      <c r="B994" s="14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</row>
    <row r="995" spans="1:15" x14ac:dyDescent="0.3">
      <c r="A995" s="13"/>
      <c r="B995" s="14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</row>
    <row r="996" spans="1:15" x14ac:dyDescent="0.3">
      <c r="A996" s="13"/>
      <c r="B996" s="14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</row>
    <row r="997" spans="1:15" x14ac:dyDescent="0.3">
      <c r="A997" s="13"/>
      <c r="B997" s="14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</row>
    <row r="998" spans="1:15" x14ac:dyDescent="0.3">
      <c r="A998" s="13"/>
      <c r="B998" s="14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</row>
    <row r="999" spans="1:15" x14ac:dyDescent="0.3">
      <c r="A999" s="13"/>
      <c r="B999" s="14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</row>
    <row r="1000" spans="1:15" x14ac:dyDescent="0.3">
      <c r="A1000" s="13"/>
      <c r="B1000" s="14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</row>
    <row r="1001" spans="1:15" x14ac:dyDescent="0.3">
      <c r="A1001" s="13"/>
      <c r="B1001" s="14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D01A866-A6A8-4466-93EB-44B1C076A39F}">
          <x14:formula1>
            <xm:f>'Main Data'!$A$1:$A$1001</xm:f>
          </x14:formula1>
          <xm:sqref>A2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E2D2C-EC51-4DF1-A381-BDBC6D5B4C23}">
  <dimension ref="A1:O1001"/>
  <sheetViews>
    <sheetView workbookViewId="0">
      <selection sqref="A1:O1048576"/>
    </sheetView>
  </sheetViews>
  <sheetFormatPr defaultRowHeight="14.4" x14ac:dyDescent="0.3"/>
  <cols>
    <col min="1" max="1" width="16.21875" bestFit="1" customWidth="1"/>
    <col min="2" max="2" width="8.33203125" style="9" bestFit="1" customWidth="1"/>
    <col min="3" max="3" width="11.109375" bestFit="1" customWidth="1"/>
    <col min="4" max="4" width="14.33203125" bestFit="1" customWidth="1"/>
    <col min="5" max="5" width="8.33203125" bestFit="1" customWidth="1"/>
    <col min="6" max="6" width="18.33203125" bestFit="1" customWidth="1"/>
    <col min="7" max="7" width="14" bestFit="1" customWidth="1"/>
    <col min="8" max="8" width="21.5546875" bestFit="1" customWidth="1"/>
    <col min="9" max="9" width="16" bestFit="1" customWidth="1"/>
    <col min="10" max="10" width="26.77734375" bestFit="1" customWidth="1"/>
    <col min="11" max="11" width="10.33203125" style="12" bestFit="1" customWidth="1"/>
    <col min="12" max="12" width="16.77734375" style="12" bestFit="1" customWidth="1"/>
    <col min="13" max="13" width="19.33203125" style="12" bestFit="1" customWidth="1"/>
    <col min="14" max="14" width="18.44140625" bestFit="1" customWidth="1"/>
    <col min="15" max="15" width="12.77734375" bestFit="1" customWidth="1"/>
  </cols>
  <sheetData>
    <row r="1" spans="1:15" ht="18" x14ac:dyDescent="0.3">
      <c r="A1" s="4" t="s">
        <v>0</v>
      </c>
      <c r="B1" s="6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10" t="s">
        <v>10</v>
      </c>
      <c r="L1" s="10" t="s">
        <v>11</v>
      </c>
      <c r="M1" s="10" t="s">
        <v>12</v>
      </c>
      <c r="N1" s="4" t="s">
        <v>13</v>
      </c>
      <c r="O1" s="4" t="s">
        <v>14</v>
      </c>
    </row>
    <row r="2" spans="1:15" x14ac:dyDescent="0.3">
      <c r="A2" s="2" t="s">
        <v>15</v>
      </c>
      <c r="B2" s="1">
        <f>INDEX('Main Data'!$A$1:$O$1001,MATCH('Index&amp;Match'!$A2,'Main Data'!$A$1:$A$1001,0),MATCH('Index&amp;Match'!B1,'Main Data'!$A1:$O1,0))</f>
        <v>46088</v>
      </c>
      <c r="C2" s="2" t="str">
        <f>INDEX('Main Data'!$A$1:$O$1001,MATCH('Index&amp;Match'!$A2,'Main Data'!$A$1:$A$1001,0),MATCH('Index&amp;Match'!C1,'Main Data'!$A1:$O1,0))</f>
        <v>Jamie</v>
      </c>
      <c r="D2" s="2" t="str">
        <f>INDEX('Main Data'!$A$1:$O$1001,MATCH('Index&amp;Match'!$A2,'Main Data'!$A$1:$A$1001,0),MATCH('Index&amp;Match'!D1,'Main Data'!$A1:$O1,0))</f>
        <v>BR-006</v>
      </c>
      <c r="E2" s="2" t="str">
        <f>INDEX('Main Data'!$A$1:$O$1001,MATCH('Index&amp;Match'!$A2,'Main Data'!$A$1:$A$1001,0),MATCH('Index&amp;Match'!E1,'Main Data'!$A1:$O1,0))</f>
        <v>East</v>
      </c>
      <c r="F2" s="2" t="str">
        <f>INDEX('Main Data'!$A$1:$O$1001,MATCH('Index&amp;Match'!$A2,'Main Data'!$A$1:$A$1001,0),MATCH('Index&amp;Match'!F1,'Main Data'!$A1:$O1,0))</f>
        <v>Wealth Management</v>
      </c>
      <c r="G2" s="2" t="str">
        <f>INDEX('Main Data'!$A$1:$O$1001,MATCH('Index&amp;Match'!$A2,'Main Data'!$A$1:$A$1001,0),MATCH('Index&amp;Match'!G1,'Main Data'!$A1:$O1,0))</f>
        <v>Walk-in</v>
      </c>
      <c r="H2" s="2" t="str">
        <f>INDEX('Main Data'!$A$1:$O$1001,MATCH('Index&amp;Match'!$A2,'Main Data'!$A$1:$A$1001,0),MATCH('Index&amp;Match'!H1,'Main Data'!$A1:$O1,0))</f>
        <v>Retail</v>
      </c>
      <c r="I2" s="2">
        <f>INDEX('Main Data'!$A$1:$O$1001,MATCH('Index&amp;Match'!$A2,'Main Data'!$A$1:$A$1001,0),MATCH('Index&amp;Match'!I1,'Main Data'!$A1:$O1,0))</f>
        <v>74</v>
      </c>
      <c r="J2" s="2">
        <f>INDEX('Main Data'!$A$1:$O$1001,MATCH('Index&amp;Match'!$A2,'Main Data'!$A$1:$A$1001,0),MATCH('Index&amp;Match'!J1,'Main Data'!$A1:$O1,0))</f>
        <v>16</v>
      </c>
      <c r="K2" s="11">
        <f>INDEX('Main Data'!$A$1:$O$1001,MATCH('Index&amp;Match'!$A2,'Main Data'!$A$1:$A$1001,0),MATCH('Index&amp;Match'!K1,'Main Data'!$A1:$O1,0))</f>
        <v>25114.07</v>
      </c>
      <c r="L2" s="11">
        <f>INDEX('Main Data'!$A$1:$O$1001,MATCH('Index&amp;Match'!$A2,'Main Data'!$A$1:$A$1001,0),MATCH('Index&amp;Match'!L1,'Main Data'!$A1:$O1,0))</f>
        <v>350.3</v>
      </c>
      <c r="M2" s="11">
        <f>INDEX('Main Data'!$A$1:$O$1001,MATCH('Index&amp;Match'!$A2,'Main Data'!$A$1:$A$1001,0),MATCH('Index&amp;Match'!M1,'Main Data'!$A1:$O1,0))</f>
        <v>179.26</v>
      </c>
      <c r="N2" s="2" t="str">
        <f>INDEX('Main Data'!$A$1:$O$1001,MATCH('Index&amp;Match'!$A2,'Main Data'!$A$1:$A$1001,0),MATCH('Index&amp;Match'!N1,'Main Data'!$A1:$O1,0))</f>
        <v>No</v>
      </c>
      <c r="O2" s="2">
        <f>INDEX('Main Data'!$A$1:$O$1001,MATCH('Index&amp;Match'!$A2,'Main Data'!$A$1:$A$1001,0),MATCH('Index&amp;Match'!O1,'Main Data'!$A1:$O1,0))</f>
        <v>4</v>
      </c>
    </row>
    <row r="3" spans="1:15" x14ac:dyDescent="0.3">
      <c r="A3" s="2" t="s">
        <v>23</v>
      </c>
      <c r="B3" s="1">
        <f>INDEX('Main Data'!$A$1:$O$1001,MATCH('Index&amp;Match'!$A3,'Main Data'!$A$1:$A$1001,0),MATCH('Index&amp;Match'!B2,'Main Data'!$A2:$O2,0))</f>
        <v>46007</v>
      </c>
      <c r="C3" s="2" t="str">
        <f>INDEX('Main Data'!$A$1:$O$1001,MATCH('Index&amp;Match'!$A3,'Main Data'!$A$1:$A$1001,0),MATCH('Index&amp;Match'!C2,'Main Data'!$A2:$O2,0))</f>
        <v>Morgan</v>
      </c>
      <c r="D3" s="2" t="str">
        <f>INDEX('Main Data'!$A$1:$O$1001,MATCH('Index&amp;Match'!$A3,'Main Data'!$A$1:$A$1001,0),MATCH('Index&amp;Match'!D2,'Main Data'!$A2:$O2,0))</f>
        <v>BR-015</v>
      </c>
      <c r="E3" s="2" t="str">
        <f>INDEX('Main Data'!$A$1:$O$1001,MATCH('Index&amp;Match'!$A3,'Main Data'!$A$1:$A$1001,0),MATCH('Index&amp;Match'!E2,'Main Data'!$A2:$O2,0))</f>
        <v>South</v>
      </c>
      <c r="F3" s="2" t="str">
        <f>INDEX('Main Data'!$A$1:$O$1001,MATCH('Index&amp;Match'!$A3,'Main Data'!$A$1:$A$1001,0),MATCH('Index&amp;Match'!F2,'Main Data'!$A2:$O2,0))</f>
        <v>Personal Loan</v>
      </c>
      <c r="G3" s="2" t="str">
        <f>INDEX('Main Data'!$A$1:$O$1001,MATCH('Index&amp;Match'!$A3,'Main Data'!$A$1:$A$1001,0),MATCH('Index&amp;Match'!G2,'Main Data'!$A2:$O2,0))</f>
        <v>Website</v>
      </c>
      <c r="H3" s="2" t="str">
        <f>INDEX('Main Data'!$A$1:$O$1001,MATCH('Index&amp;Match'!$A3,'Main Data'!$A$1:$A$1001,0),MATCH('Index&amp;Match'!H2,'Main Data'!$A2:$O2,0))</f>
        <v>High Net Worth</v>
      </c>
      <c r="I3" s="2">
        <f>INDEX('Main Data'!$A$1:$O$1001,MATCH('Index&amp;Match'!$A3,'Main Data'!$A$1:$A$1001,0),MATCH('Index&amp;Match'!I2,'Main Data'!$A2:$O2,0))</f>
        <v>28</v>
      </c>
      <c r="J3" s="2">
        <f>INDEX('Main Data'!$A$1:$O$1001,MATCH('Index&amp;Match'!$A3,'Main Data'!$A$1:$A$1001,0),MATCH('Index&amp;Match'!J2,'Main Data'!$A2:$O2,0))</f>
        <v>28</v>
      </c>
      <c r="K3" s="11">
        <f>INDEX('Main Data'!$A$1:$O$1001,MATCH('Index&amp;Match'!$A3,'Main Data'!$A$1:$A$1001,0),MATCH('Index&amp;Match'!K2,'Main Data'!$A2:$O2,0))</f>
        <v>9331.6</v>
      </c>
      <c r="L3" s="11">
        <f>INDEX('Main Data'!$A$1:$O$1001,MATCH('Index&amp;Match'!$A3,'Main Data'!$A$1:$A$1001,0),MATCH('Index&amp;Match'!L2,'Main Data'!$A2:$O2,0))</f>
        <v>106.51</v>
      </c>
      <c r="M3" s="11">
        <f>INDEX('Main Data'!$A$1:$O$1001,MATCH('Index&amp;Match'!$A3,'Main Data'!$A$1:$A$1001,0),MATCH('Index&amp;Match'!M2,'Main Data'!$A2:$O2,0))</f>
        <v>121.35</v>
      </c>
      <c r="N3" s="2" t="str">
        <f>INDEX('Main Data'!$A$1:$O$1001,MATCH('Index&amp;Match'!$A3,'Main Data'!$A$1:$A$1001,0),MATCH('Index&amp;Match'!N2,'Main Data'!$A2:$O2,0))</f>
        <v>Yes</v>
      </c>
      <c r="O3" s="2">
        <f>INDEX('Main Data'!$A$1:$O$1001,MATCH('Index&amp;Match'!$A3,'Main Data'!$A$1:$A$1001,0),MATCH('Index&amp;Match'!O2,'Main Data'!$A2:$O2,0))</f>
        <v>5</v>
      </c>
    </row>
    <row r="4" spans="1:15" x14ac:dyDescent="0.3">
      <c r="A4" s="2" t="s">
        <v>31</v>
      </c>
      <c r="B4" s="1">
        <f>INDEX('Main Data'!$A$1:$O$1001,MATCH('Index&amp;Match'!$A4,'Main Data'!$A$1:$A$1001,0),MATCH('Index&amp;Match'!B3,'Main Data'!$A3:$O3,0))</f>
        <v>45886</v>
      </c>
      <c r="C4" s="2" t="str">
        <f>INDEX('Main Data'!$A$1:$O$1001,MATCH('Index&amp;Match'!$A4,'Main Data'!$A$1:$A$1001,0),MATCH('Index&amp;Match'!C3,'Main Data'!$A3:$O3,0))</f>
        <v>Casey</v>
      </c>
      <c r="D4" s="2" t="str">
        <f>INDEX('Main Data'!$A$1:$O$1001,MATCH('Index&amp;Match'!$A4,'Main Data'!$A$1:$A$1001,0),MATCH('Index&amp;Match'!D3,'Main Data'!$A3:$O3,0))</f>
        <v>BR-001</v>
      </c>
      <c r="E4" s="2" t="str">
        <f>INDEX('Main Data'!$A$1:$O$1001,MATCH('Index&amp;Match'!$A4,'Main Data'!$A$1:$A$1001,0),MATCH('Index&amp;Match'!E3,'Main Data'!$A3:$O3,0))</f>
        <v>East</v>
      </c>
      <c r="F4" s="2" t="str">
        <f>INDEX('Main Data'!$A$1:$O$1001,MATCH('Index&amp;Match'!$A4,'Main Data'!$A$1:$A$1001,0),MATCH('Index&amp;Match'!F3,'Main Data'!$A3:$O3,0))</f>
        <v>Auto Loan</v>
      </c>
      <c r="G4" s="2" t="str">
        <f>INDEX('Main Data'!$A$1:$O$1001,MATCH('Index&amp;Match'!$A4,'Main Data'!$A$1:$A$1001,0),MATCH('Index&amp;Match'!G3,'Main Data'!$A3:$O3,0))</f>
        <v>Social Media</v>
      </c>
      <c r="H4" s="2" t="str">
        <f>INDEX('Main Data'!$A$1:$O$1001,MATCH('Index&amp;Match'!$A4,'Main Data'!$A$1:$A$1001,0),MATCH('Index&amp;Match'!H3,'Main Data'!$A3:$O3,0))</f>
        <v>High Net Worth</v>
      </c>
      <c r="I4" s="2">
        <f>INDEX('Main Data'!$A$1:$O$1001,MATCH('Index&amp;Match'!$A4,'Main Data'!$A$1:$A$1001,0),MATCH('Index&amp;Match'!I3,'Main Data'!$A3:$O3,0))</f>
        <v>44</v>
      </c>
      <c r="J4" s="2">
        <f>INDEX('Main Data'!$A$1:$O$1001,MATCH('Index&amp;Match'!$A4,'Main Data'!$A$1:$A$1001,0),MATCH('Index&amp;Match'!J3,'Main Data'!$A3:$O3,0))</f>
        <v>44</v>
      </c>
      <c r="K4" s="11">
        <f>INDEX('Main Data'!$A$1:$O$1001,MATCH('Index&amp;Match'!$A4,'Main Data'!$A$1:$A$1001,0),MATCH('Index&amp;Match'!K3,'Main Data'!$A3:$O3,0))</f>
        <v>5853.67</v>
      </c>
      <c r="L4" s="11">
        <f>INDEX('Main Data'!$A$1:$O$1001,MATCH('Index&amp;Match'!$A4,'Main Data'!$A$1:$A$1001,0),MATCH('Index&amp;Match'!L3,'Main Data'!$A3:$O3,0))</f>
        <v>394.49</v>
      </c>
      <c r="M4" s="11">
        <f>INDEX('Main Data'!$A$1:$O$1001,MATCH('Index&amp;Match'!$A4,'Main Data'!$A$1:$A$1001,0),MATCH('Index&amp;Match'!M3,'Main Data'!$A3:$O3,0))</f>
        <v>136.69999999999999</v>
      </c>
      <c r="N4" s="2" t="str">
        <f>INDEX('Main Data'!$A$1:$O$1001,MATCH('Index&amp;Match'!$A4,'Main Data'!$A$1:$A$1001,0),MATCH('Index&amp;Match'!N3,'Main Data'!$A3:$O3,0))</f>
        <v>Yes</v>
      </c>
      <c r="O4" s="2">
        <f>INDEX('Main Data'!$A$1:$O$1001,MATCH('Index&amp;Match'!$A4,'Main Data'!$A$1:$A$1001,0),MATCH('Index&amp;Match'!O3,'Main Data'!$A3:$O3,0))</f>
        <v>5</v>
      </c>
    </row>
    <row r="5" spans="1:15" x14ac:dyDescent="0.3">
      <c r="A5" s="2" t="s">
        <v>36</v>
      </c>
      <c r="B5" s="1">
        <f>INDEX('Main Data'!$A$1:$O$1001,MATCH('Index&amp;Match'!$A5,'Main Data'!$A$1:$A$1001,0),MATCH('Index&amp;Match'!B4,'Main Data'!$A4:$O4,0))</f>
        <v>46015</v>
      </c>
      <c r="C5" s="2" t="str">
        <f>INDEX('Main Data'!$A$1:$O$1001,MATCH('Index&amp;Match'!$A5,'Main Data'!$A$1:$A$1001,0),MATCH('Index&amp;Match'!C4,'Main Data'!$A4:$O4,0))</f>
        <v>Jamie</v>
      </c>
      <c r="D5" s="2" t="str">
        <f>INDEX('Main Data'!$A$1:$O$1001,MATCH('Index&amp;Match'!$A5,'Main Data'!$A$1:$A$1001,0),MATCH('Index&amp;Match'!D4,'Main Data'!$A4:$O4,0))</f>
        <v>BR-009</v>
      </c>
      <c r="E5" s="2" t="str">
        <f>INDEX('Main Data'!$A$1:$O$1001,MATCH('Index&amp;Match'!$A5,'Main Data'!$A$1:$A$1001,0),MATCH('Index&amp;Match'!E4,'Main Data'!$A4:$O4,0))</f>
        <v>Central</v>
      </c>
      <c r="F5" s="2" t="str">
        <f>INDEX('Main Data'!$A$1:$O$1001,MATCH('Index&amp;Match'!$A5,'Main Data'!$A$1:$A$1001,0),MATCH('Index&amp;Match'!F4,'Main Data'!$A4:$O4,0))</f>
        <v>Mortgage</v>
      </c>
      <c r="G5" s="2" t="str">
        <f>INDEX('Main Data'!$A$1:$O$1001,MATCH('Index&amp;Match'!$A5,'Main Data'!$A$1:$A$1001,0),MATCH('Index&amp;Match'!G4,'Main Data'!$A4:$O4,0))</f>
        <v>Website</v>
      </c>
      <c r="H5" s="2" t="str">
        <f>INDEX('Main Data'!$A$1:$O$1001,MATCH('Index&amp;Match'!$A5,'Main Data'!$A$1:$A$1001,0),MATCH('Index&amp;Match'!H4,'Main Data'!$A4:$O4,0))</f>
        <v>Retail</v>
      </c>
      <c r="I5" s="2">
        <f>INDEX('Main Data'!$A$1:$O$1001,MATCH('Index&amp;Match'!$A5,'Main Data'!$A$1:$A$1001,0),MATCH('Index&amp;Match'!I4,'Main Data'!$A4:$O4,0))</f>
        <v>35</v>
      </c>
      <c r="J5" s="2">
        <f>INDEX('Main Data'!$A$1:$O$1001,MATCH('Index&amp;Match'!$A5,'Main Data'!$A$1:$A$1001,0),MATCH('Index&amp;Match'!J4,'Main Data'!$A4:$O4,0))</f>
        <v>35</v>
      </c>
      <c r="K5" s="11">
        <f>INDEX('Main Data'!$A$1:$O$1001,MATCH('Index&amp;Match'!$A5,'Main Data'!$A$1:$A$1001,0),MATCH('Index&amp;Match'!K4,'Main Data'!$A4:$O4,0))</f>
        <v>42184.29</v>
      </c>
      <c r="L5" s="11">
        <f>INDEX('Main Data'!$A$1:$O$1001,MATCH('Index&amp;Match'!$A5,'Main Data'!$A$1:$A$1001,0),MATCH('Index&amp;Match'!L4,'Main Data'!$A4:$O4,0))</f>
        <v>144.59</v>
      </c>
      <c r="M5" s="11">
        <f>INDEX('Main Data'!$A$1:$O$1001,MATCH('Index&amp;Match'!$A5,'Main Data'!$A$1:$A$1001,0),MATCH('Index&amp;Match'!M4,'Main Data'!$A4:$O4,0))</f>
        <v>141.15</v>
      </c>
      <c r="N5" s="2" t="str">
        <f>INDEX('Main Data'!$A$1:$O$1001,MATCH('Index&amp;Match'!$A5,'Main Data'!$A$1:$A$1001,0),MATCH('Index&amp;Match'!N4,'Main Data'!$A4:$O4,0))</f>
        <v>Yes</v>
      </c>
      <c r="O5" s="2">
        <f>INDEX('Main Data'!$A$1:$O$1001,MATCH('Index&amp;Match'!$A5,'Main Data'!$A$1:$A$1001,0),MATCH('Index&amp;Match'!O4,'Main Data'!$A4:$O4,0))</f>
        <v>5</v>
      </c>
    </row>
    <row r="6" spans="1:15" x14ac:dyDescent="0.3">
      <c r="A6" s="2" t="s">
        <v>40</v>
      </c>
      <c r="B6" s="1">
        <f>INDEX('Main Data'!$A$1:$O$1001,MATCH('Index&amp;Match'!$A6,'Main Data'!$A$1:$A$1001,0),MATCH('Index&amp;Match'!B5,'Main Data'!$A5:$O5,0))</f>
        <v>45980</v>
      </c>
      <c r="C6" s="2" t="str">
        <f>INDEX('Main Data'!$A$1:$O$1001,MATCH('Index&amp;Match'!$A6,'Main Data'!$A$1:$A$1001,0),MATCH('Index&amp;Match'!C5,'Main Data'!$A5:$O5,0))</f>
        <v>Taylor</v>
      </c>
      <c r="D6" s="2" t="str">
        <f>INDEX('Main Data'!$A$1:$O$1001,MATCH('Index&amp;Match'!$A6,'Main Data'!$A$1:$A$1001,0),MATCH('Index&amp;Match'!D5,'Main Data'!$A5:$O5,0))</f>
        <v>BR-001</v>
      </c>
      <c r="E6" s="2" t="str">
        <f>INDEX('Main Data'!$A$1:$O$1001,MATCH('Index&amp;Match'!$A6,'Main Data'!$A$1:$A$1001,0),MATCH('Index&amp;Match'!E5,'Main Data'!$A5:$O5,0))</f>
        <v>South</v>
      </c>
      <c r="F6" s="2" t="str">
        <f>INDEX('Main Data'!$A$1:$O$1001,MATCH('Index&amp;Match'!$A6,'Main Data'!$A$1:$A$1001,0),MATCH('Index&amp;Match'!F5,'Main Data'!$A5:$O5,0))</f>
        <v>Auto Loan</v>
      </c>
      <c r="G6" s="2" t="str">
        <f>INDEX('Main Data'!$A$1:$O$1001,MATCH('Index&amp;Match'!$A6,'Main Data'!$A$1:$A$1001,0),MATCH('Index&amp;Match'!G5,'Main Data'!$A5:$O5,0))</f>
        <v>Website</v>
      </c>
      <c r="H6" s="2" t="str">
        <f>INDEX('Main Data'!$A$1:$O$1001,MATCH('Index&amp;Match'!$A6,'Main Data'!$A$1:$A$1001,0),MATCH('Index&amp;Match'!H5,'Main Data'!$A5:$O5,0))</f>
        <v>High Net Worth</v>
      </c>
      <c r="I6" s="2">
        <f>INDEX('Main Data'!$A$1:$O$1001,MATCH('Index&amp;Match'!$A6,'Main Data'!$A$1:$A$1001,0),MATCH('Index&amp;Match'!I5,'Main Data'!$A5:$O5,0))</f>
        <v>63</v>
      </c>
      <c r="J6" s="2">
        <f>INDEX('Main Data'!$A$1:$O$1001,MATCH('Index&amp;Match'!$A6,'Main Data'!$A$1:$A$1001,0),MATCH('Index&amp;Match'!J5,'Main Data'!$A5:$O5,0))</f>
        <v>63</v>
      </c>
      <c r="K6" s="11">
        <f>INDEX('Main Data'!$A$1:$O$1001,MATCH('Index&amp;Match'!$A6,'Main Data'!$A$1:$A$1001,0),MATCH('Index&amp;Match'!K5,'Main Data'!$A5:$O5,0))</f>
        <v>30899.59</v>
      </c>
      <c r="L6" s="11">
        <f>INDEX('Main Data'!$A$1:$O$1001,MATCH('Index&amp;Match'!$A6,'Main Data'!$A$1:$A$1001,0),MATCH('Index&amp;Match'!L5,'Main Data'!$A5:$O5,0))</f>
        <v>195.55</v>
      </c>
      <c r="M6" s="11">
        <f>INDEX('Main Data'!$A$1:$O$1001,MATCH('Index&amp;Match'!$A6,'Main Data'!$A$1:$A$1001,0),MATCH('Index&amp;Match'!M5,'Main Data'!$A5:$O5,0))</f>
        <v>246.26</v>
      </c>
      <c r="N6" s="2" t="str">
        <f>INDEX('Main Data'!$A$1:$O$1001,MATCH('Index&amp;Match'!$A6,'Main Data'!$A$1:$A$1001,0),MATCH('Index&amp;Match'!N5,'Main Data'!$A5:$O5,0))</f>
        <v>No</v>
      </c>
      <c r="O6" s="2">
        <f>INDEX('Main Data'!$A$1:$O$1001,MATCH('Index&amp;Match'!$A6,'Main Data'!$A$1:$A$1001,0),MATCH('Index&amp;Match'!O5,'Main Data'!$A5:$O5,0))</f>
        <v>1</v>
      </c>
    </row>
    <row r="7" spans="1:15" x14ac:dyDescent="0.3">
      <c r="A7" s="2" t="s">
        <v>42</v>
      </c>
      <c r="B7" s="1">
        <f>INDEX('Main Data'!$A$1:$O$1001,MATCH('Index&amp;Match'!$A7,'Main Data'!$A$1:$A$1001,0),MATCH('Index&amp;Match'!B6,'Main Data'!$A6:$O6,0))</f>
        <v>46170</v>
      </c>
      <c r="C7" s="2" t="str">
        <f>INDEX('Main Data'!$A$1:$O$1001,MATCH('Index&amp;Match'!$A7,'Main Data'!$A$1:$A$1001,0),MATCH('Index&amp;Match'!C6,'Main Data'!$A6:$O6,0))</f>
        <v>Drew</v>
      </c>
      <c r="D7" s="2" t="str">
        <f>INDEX('Main Data'!$A$1:$O$1001,MATCH('Index&amp;Match'!$A7,'Main Data'!$A$1:$A$1001,0),MATCH('Index&amp;Match'!D6,'Main Data'!$A6:$O6,0))</f>
        <v>BR-005</v>
      </c>
      <c r="E7" s="2" t="str">
        <f>INDEX('Main Data'!$A$1:$O$1001,MATCH('Index&amp;Match'!$A7,'Main Data'!$A$1:$A$1001,0),MATCH('Index&amp;Match'!E6,'Main Data'!$A6:$O6,0))</f>
        <v>West</v>
      </c>
      <c r="F7" s="2" t="str">
        <f>INDEX('Main Data'!$A$1:$O$1001,MATCH('Index&amp;Match'!$A7,'Main Data'!$A$1:$A$1001,0),MATCH('Index&amp;Match'!F6,'Main Data'!$A6:$O6,0))</f>
        <v>Mortgage</v>
      </c>
      <c r="G7" s="2" t="str">
        <f>INDEX('Main Data'!$A$1:$O$1001,MATCH('Index&amp;Match'!$A7,'Main Data'!$A$1:$A$1001,0),MATCH('Index&amp;Match'!G6,'Main Data'!$A6:$O6,0))</f>
        <v>Walk-in</v>
      </c>
      <c r="H7" s="2" t="str">
        <f>INDEX('Main Data'!$A$1:$O$1001,MATCH('Index&amp;Match'!$A7,'Main Data'!$A$1:$A$1001,0),MATCH('Index&amp;Match'!H6,'Main Data'!$A6:$O6,0))</f>
        <v>High Net Worth</v>
      </c>
      <c r="I7" s="2">
        <f>INDEX('Main Data'!$A$1:$O$1001,MATCH('Index&amp;Match'!$A7,'Main Data'!$A$1:$A$1001,0),MATCH('Index&amp;Match'!I6,'Main Data'!$A6:$O6,0))</f>
        <v>51</v>
      </c>
      <c r="J7" s="2">
        <f>INDEX('Main Data'!$A$1:$O$1001,MATCH('Index&amp;Match'!$A7,'Main Data'!$A$1:$A$1001,0),MATCH('Index&amp;Match'!J6,'Main Data'!$A6:$O6,0))</f>
        <v>51</v>
      </c>
      <c r="K7" s="11">
        <f>INDEX('Main Data'!$A$1:$O$1001,MATCH('Index&amp;Match'!$A7,'Main Data'!$A$1:$A$1001,0),MATCH('Index&amp;Match'!K6,'Main Data'!$A6:$O6,0))</f>
        <v>16628.32</v>
      </c>
      <c r="L7" s="11">
        <f>INDEX('Main Data'!$A$1:$O$1001,MATCH('Index&amp;Match'!$A7,'Main Data'!$A$1:$A$1001,0),MATCH('Index&amp;Match'!L6,'Main Data'!$A6:$O6,0))</f>
        <v>418.66</v>
      </c>
      <c r="M7" s="11">
        <f>INDEX('Main Data'!$A$1:$O$1001,MATCH('Index&amp;Match'!$A7,'Main Data'!$A$1:$A$1001,0),MATCH('Index&amp;Match'!M6,'Main Data'!$A6:$O6,0))</f>
        <v>70.900000000000006</v>
      </c>
      <c r="N7" s="2" t="str">
        <f>INDEX('Main Data'!$A$1:$O$1001,MATCH('Index&amp;Match'!$A7,'Main Data'!$A$1:$A$1001,0),MATCH('Index&amp;Match'!N6,'Main Data'!$A6:$O6,0))</f>
        <v>No</v>
      </c>
      <c r="O7" s="2">
        <f>INDEX('Main Data'!$A$1:$O$1001,MATCH('Index&amp;Match'!$A7,'Main Data'!$A$1:$A$1001,0),MATCH('Index&amp;Match'!O6,'Main Data'!$A6:$O6,0))</f>
        <v>5</v>
      </c>
    </row>
    <row r="8" spans="1:15" x14ac:dyDescent="0.3">
      <c r="A8" s="2" t="s">
        <v>46</v>
      </c>
      <c r="B8" s="1">
        <f>INDEX('Main Data'!$A$1:$O$1001,MATCH('Index&amp;Match'!$A8,'Main Data'!$A$1:$A$1001,0),MATCH('Index&amp;Match'!B7,'Main Data'!$A7:$O7,0))</f>
        <v>46132</v>
      </c>
      <c r="C8" s="2" t="str">
        <f>INDEX('Main Data'!$A$1:$O$1001,MATCH('Index&amp;Match'!$A8,'Main Data'!$A$1:$A$1001,0),MATCH('Index&amp;Match'!C7,'Main Data'!$A7:$O7,0))</f>
        <v>Casey</v>
      </c>
      <c r="D8" s="2" t="str">
        <f>INDEX('Main Data'!$A$1:$O$1001,MATCH('Index&amp;Match'!$A8,'Main Data'!$A$1:$A$1001,0),MATCH('Index&amp;Match'!D7,'Main Data'!$A7:$O7,0))</f>
        <v>BR-004</v>
      </c>
      <c r="E8" s="2" t="str">
        <f>INDEX('Main Data'!$A$1:$O$1001,MATCH('Index&amp;Match'!$A8,'Main Data'!$A$1:$A$1001,0),MATCH('Index&amp;Match'!E7,'Main Data'!$A7:$O7,0))</f>
        <v>East</v>
      </c>
      <c r="F8" s="2" t="str">
        <f>INDEX('Main Data'!$A$1:$O$1001,MATCH('Index&amp;Match'!$A8,'Main Data'!$A$1:$A$1001,0),MATCH('Index&amp;Match'!F7,'Main Data'!$A7:$O7,0))</f>
        <v>Mortgage</v>
      </c>
      <c r="G8" s="2" t="str">
        <f>INDEX('Main Data'!$A$1:$O$1001,MATCH('Index&amp;Match'!$A8,'Main Data'!$A$1:$A$1001,0),MATCH('Index&amp;Match'!G7,'Main Data'!$A7:$O7,0))</f>
        <v>Website</v>
      </c>
      <c r="H8" s="2" t="str">
        <f>INDEX('Main Data'!$A$1:$O$1001,MATCH('Index&amp;Match'!$A8,'Main Data'!$A$1:$A$1001,0),MATCH('Index&amp;Match'!H7,'Main Data'!$A7:$O7,0))</f>
        <v>Retail</v>
      </c>
      <c r="I8" s="2">
        <f>INDEX('Main Data'!$A$1:$O$1001,MATCH('Index&amp;Match'!$A8,'Main Data'!$A$1:$A$1001,0),MATCH('Index&amp;Match'!I7,'Main Data'!$A7:$O7,0))</f>
        <v>29</v>
      </c>
      <c r="J8" s="2">
        <f>INDEX('Main Data'!$A$1:$O$1001,MATCH('Index&amp;Match'!$A8,'Main Data'!$A$1:$A$1001,0),MATCH('Index&amp;Match'!J7,'Main Data'!$A7:$O7,0))</f>
        <v>29</v>
      </c>
      <c r="K8" s="11">
        <f>INDEX('Main Data'!$A$1:$O$1001,MATCH('Index&amp;Match'!$A8,'Main Data'!$A$1:$A$1001,0),MATCH('Index&amp;Match'!K7,'Main Data'!$A7:$O7,0))</f>
        <v>9990.94</v>
      </c>
      <c r="L8" s="11">
        <f>INDEX('Main Data'!$A$1:$O$1001,MATCH('Index&amp;Match'!$A8,'Main Data'!$A$1:$A$1001,0),MATCH('Index&amp;Match'!L7,'Main Data'!$A7:$O7,0))</f>
        <v>291.44</v>
      </c>
      <c r="M8" s="11">
        <f>INDEX('Main Data'!$A$1:$O$1001,MATCH('Index&amp;Match'!$A8,'Main Data'!$A$1:$A$1001,0),MATCH('Index&amp;Match'!M7,'Main Data'!$A7:$O7,0))</f>
        <v>132.27000000000001</v>
      </c>
      <c r="N8" s="2" t="str">
        <f>INDEX('Main Data'!$A$1:$O$1001,MATCH('Index&amp;Match'!$A8,'Main Data'!$A$1:$A$1001,0),MATCH('Index&amp;Match'!N7,'Main Data'!$A7:$O7,0))</f>
        <v>Yes</v>
      </c>
      <c r="O8" s="2">
        <f>INDEX('Main Data'!$A$1:$O$1001,MATCH('Index&amp;Match'!$A8,'Main Data'!$A$1:$A$1001,0),MATCH('Index&amp;Match'!O7,'Main Data'!$A7:$O7,0))</f>
        <v>4</v>
      </c>
    </row>
    <row r="9" spans="1:15" x14ac:dyDescent="0.3">
      <c r="A9" s="2" t="s">
        <v>48</v>
      </c>
      <c r="B9" s="1">
        <f>INDEX('Main Data'!$A$1:$O$1001,MATCH('Index&amp;Match'!$A9,'Main Data'!$A$1:$A$1001,0),MATCH('Index&amp;Match'!B8,'Main Data'!$A8:$O8,0))</f>
        <v>46226</v>
      </c>
      <c r="C9" s="2" t="str">
        <f>INDEX('Main Data'!$A$1:$O$1001,MATCH('Index&amp;Match'!$A9,'Main Data'!$A$1:$A$1001,0),MATCH('Index&amp;Match'!C8,'Main Data'!$A8:$O8,0))</f>
        <v>Casey</v>
      </c>
      <c r="D9" s="2" t="str">
        <f>INDEX('Main Data'!$A$1:$O$1001,MATCH('Index&amp;Match'!$A9,'Main Data'!$A$1:$A$1001,0),MATCH('Index&amp;Match'!D8,'Main Data'!$A8:$O8,0))</f>
        <v>BR-013</v>
      </c>
      <c r="E9" s="2" t="str">
        <f>INDEX('Main Data'!$A$1:$O$1001,MATCH('Index&amp;Match'!$A9,'Main Data'!$A$1:$A$1001,0),MATCH('Index&amp;Match'!E8,'Main Data'!$A8:$O8,0))</f>
        <v>South</v>
      </c>
      <c r="F9" s="2" t="str">
        <f>INDEX('Main Data'!$A$1:$O$1001,MATCH('Index&amp;Match'!$A9,'Main Data'!$A$1:$A$1001,0),MATCH('Index&amp;Match'!F8,'Main Data'!$A8:$O8,0))</f>
        <v>Auto Loan</v>
      </c>
      <c r="G9" s="2" t="str">
        <f>INDEX('Main Data'!$A$1:$O$1001,MATCH('Index&amp;Match'!$A9,'Main Data'!$A$1:$A$1001,0),MATCH('Index&amp;Match'!G8,'Main Data'!$A8:$O8,0))</f>
        <v>Walk-in</v>
      </c>
      <c r="H9" s="2" t="str">
        <f>INDEX('Main Data'!$A$1:$O$1001,MATCH('Index&amp;Match'!$A9,'Main Data'!$A$1:$A$1001,0),MATCH('Index&amp;Match'!H8,'Main Data'!$A8:$O8,0))</f>
        <v>Retail</v>
      </c>
      <c r="I9" s="2">
        <f>INDEX('Main Data'!$A$1:$O$1001,MATCH('Index&amp;Match'!$A9,'Main Data'!$A$1:$A$1001,0),MATCH('Index&amp;Match'!I8,'Main Data'!$A8:$O8,0))</f>
        <v>59</v>
      </c>
      <c r="J9" s="2">
        <f>INDEX('Main Data'!$A$1:$O$1001,MATCH('Index&amp;Match'!$A9,'Main Data'!$A$1:$A$1001,0),MATCH('Index&amp;Match'!J8,'Main Data'!$A8:$O8,0))</f>
        <v>59</v>
      </c>
      <c r="K9" s="11">
        <f>INDEX('Main Data'!$A$1:$O$1001,MATCH('Index&amp;Match'!$A9,'Main Data'!$A$1:$A$1001,0),MATCH('Index&amp;Match'!K8,'Main Data'!$A8:$O8,0))</f>
        <v>27997.119999999999</v>
      </c>
      <c r="L9" s="11">
        <f>INDEX('Main Data'!$A$1:$O$1001,MATCH('Index&amp;Match'!$A9,'Main Data'!$A$1:$A$1001,0),MATCH('Index&amp;Match'!L8,'Main Data'!$A8:$O8,0))</f>
        <v>436.97</v>
      </c>
      <c r="M9" s="11">
        <f>INDEX('Main Data'!$A$1:$O$1001,MATCH('Index&amp;Match'!$A9,'Main Data'!$A$1:$A$1001,0),MATCH('Index&amp;Match'!M8,'Main Data'!$A8:$O8,0))</f>
        <v>78.400000000000006</v>
      </c>
      <c r="N9" s="2" t="str">
        <f>INDEX('Main Data'!$A$1:$O$1001,MATCH('Index&amp;Match'!$A9,'Main Data'!$A$1:$A$1001,0),MATCH('Index&amp;Match'!N8,'Main Data'!$A8:$O8,0))</f>
        <v>Yes</v>
      </c>
      <c r="O9" s="2">
        <f>INDEX('Main Data'!$A$1:$O$1001,MATCH('Index&amp;Match'!$A9,'Main Data'!$A$1:$A$1001,0),MATCH('Index&amp;Match'!O8,'Main Data'!$A8:$O8,0))</f>
        <v>2</v>
      </c>
    </row>
    <row r="10" spans="1:15" x14ac:dyDescent="0.3">
      <c r="A10" s="2" t="s">
        <v>50</v>
      </c>
      <c r="B10" s="1">
        <f>INDEX('Main Data'!$A$1:$O$1001,MATCH('Index&amp;Match'!$A10,'Main Data'!$A$1:$A$1001,0),MATCH('Index&amp;Match'!B9,'Main Data'!$A9:$O9,0))</f>
        <v>46066</v>
      </c>
      <c r="C10" s="2" t="str">
        <f>INDEX('Main Data'!$A$1:$O$1001,MATCH('Index&amp;Match'!$A10,'Main Data'!$A$1:$A$1001,0),MATCH('Index&amp;Match'!C9,'Main Data'!$A9:$O9,0))</f>
        <v>Jamie</v>
      </c>
      <c r="D10" s="2" t="str">
        <f>INDEX('Main Data'!$A$1:$O$1001,MATCH('Index&amp;Match'!$A10,'Main Data'!$A$1:$A$1001,0),MATCH('Index&amp;Match'!D9,'Main Data'!$A9:$O9,0))</f>
        <v>BR-012</v>
      </c>
      <c r="E10" s="2" t="str">
        <f>INDEX('Main Data'!$A$1:$O$1001,MATCH('Index&amp;Match'!$A10,'Main Data'!$A$1:$A$1001,0),MATCH('Index&amp;Match'!E9,'Main Data'!$A9:$O9,0))</f>
        <v>East</v>
      </c>
      <c r="F10" s="2" t="str">
        <f>INDEX('Main Data'!$A$1:$O$1001,MATCH('Index&amp;Match'!$A10,'Main Data'!$A$1:$A$1001,0),MATCH('Index&amp;Match'!F9,'Main Data'!$A9:$O9,0))</f>
        <v>Mortgage</v>
      </c>
      <c r="G10" s="2" t="str">
        <f>INDEX('Main Data'!$A$1:$O$1001,MATCH('Index&amp;Match'!$A10,'Main Data'!$A$1:$A$1001,0),MATCH('Index&amp;Match'!G9,'Main Data'!$A9:$O9,0))</f>
        <v>Social Media</v>
      </c>
      <c r="H10" s="2" t="str">
        <f>INDEX('Main Data'!$A$1:$O$1001,MATCH('Index&amp;Match'!$A10,'Main Data'!$A$1:$A$1001,0),MATCH('Index&amp;Match'!H9,'Main Data'!$A9:$O9,0))</f>
        <v>Corporate</v>
      </c>
      <c r="I10" s="2">
        <f>INDEX('Main Data'!$A$1:$O$1001,MATCH('Index&amp;Match'!$A10,'Main Data'!$A$1:$A$1001,0),MATCH('Index&amp;Match'!I9,'Main Data'!$A9:$O9,0))</f>
        <v>65</v>
      </c>
      <c r="J10" s="2">
        <f>INDEX('Main Data'!$A$1:$O$1001,MATCH('Index&amp;Match'!$A10,'Main Data'!$A$1:$A$1001,0),MATCH('Index&amp;Match'!J9,'Main Data'!$A9:$O9,0))</f>
        <v>65</v>
      </c>
      <c r="K10" s="11">
        <f>INDEX('Main Data'!$A$1:$O$1001,MATCH('Index&amp;Match'!$A10,'Main Data'!$A$1:$A$1001,0),MATCH('Index&amp;Match'!K9,'Main Data'!$A9:$O9,0))</f>
        <v>29404</v>
      </c>
      <c r="L10" s="11">
        <f>INDEX('Main Data'!$A$1:$O$1001,MATCH('Index&amp;Match'!$A10,'Main Data'!$A$1:$A$1001,0),MATCH('Index&amp;Match'!L9,'Main Data'!$A9:$O9,0))</f>
        <v>145.87</v>
      </c>
      <c r="M10" s="11">
        <f>INDEX('Main Data'!$A$1:$O$1001,MATCH('Index&amp;Match'!$A10,'Main Data'!$A$1:$A$1001,0),MATCH('Index&amp;Match'!M9,'Main Data'!$A9:$O9,0))</f>
        <v>73.739999999999995</v>
      </c>
      <c r="N10" s="2" t="str">
        <f>INDEX('Main Data'!$A$1:$O$1001,MATCH('Index&amp;Match'!$A10,'Main Data'!$A$1:$A$1001,0),MATCH('Index&amp;Match'!N9,'Main Data'!$A9:$O9,0))</f>
        <v>No</v>
      </c>
      <c r="O10" s="2">
        <f>INDEX('Main Data'!$A$1:$O$1001,MATCH('Index&amp;Match'!$A10,'Main Data'!$A$1:$A$1001,0),MATCH('Index&amp;Match'!O9,'Main Data'!$A9:$O9,0))</f>
        <v>5</v>
      </c>
    </row>
    <row r="11" spans="1:15" x14ac:dyDescent="0.3">
      <c r="A11" s="2" t="s">
        <v>53</v>
      </c>
      <c r="B11" s="1">
        <f>INDEX('Main Data'!$A$1:$O$1001,MATCH('Index&amp;Match'!$A11,'Main Data'!$A$1:$A$1001,0),MATCH('Index&amp;Match'!B10,'Main Data'!$A10:$O10,0))</f>
        <v>46230</v>
      </c>
      <c r="C11" s="2" t="str">
        <f>INDEX('Main Data'!$A$1:$O$1001,MATCH('Index&amp;Match'!$A11,'Main Data'!$A$1:$A$1001,0),MATCH('Index&amp;Match'!C10,'Main Data'!$A10:$O10,0))</f>
        <v>Jordan</v>
      </c>
      <c r="D11" s="2" t="str">
        <f>INDEX('Main Data'!$A$1:$O$1001,MATCH('Index&amp;Match'!$A11,'Main Data'!$A$1:$A$1001,0),MATCH('Index&amp;Match'!D10,'Main Data'!$A10:$O10,0))</f>
        <v>BR-013</v>
      </c>
      <c r="E11" s="2" t="str">
        <f>INDEX('Main Data'!$A$1:$O$1001,MATCH('Index&amp;Match'!$A11,'Main Data'!$A$1:$A$1001,0),MATCH('Index&amp;Match'!E10,'Main Data'!$A10:$O10,0))</f>
        <v>South</v>
      </c>
      <c r="F11" s="2" t="str">
        <f>INDEX('Main Data'!$A$1:$O$1001,MATCH('Index&amp;Match'!$A11,'Main Data'!$A$1:$A$1001,0),MATCH('Index&amp;Match'!F10,'Main Data'!$A10:$O10,0))</f>
        <v>Mortgage</v>
      </c>
      <c r="G11" s="2" t="str">
        <f>INDEX('Main Data'!$A$1:$O$1001,MATCH('Index&amp;Match'!$A11,'Main Data'!$A$1:$A$1001,0),MATCH('Index&amp;Match'!G10,'Main Data'!$A10:$O10,0))</f>
        <v>Email Campaign</v>
      </c>
      <c r="H11" s="2" t="str">
        <f>INDEX('Main Data'!$A$1:$O$1001,MATCH('Index&amp;Match'!$A11,'Main Data'!$A$1:$A$1001,0),MATCH('Index&amp;Match'!H10,'Main Data'!$A10:$O10,0))</f>
        <v>SME</v>
      </c>
      <c r="I11" s="2">
        <f>INDEX('Main Data'!$A$1:$O$1001,MATCH('Index&amp;Match'!$A11,'Main Data'!$A$1:$A$1001,0),MATCH('Index&amp;Match'!I10,'Main Data'!$A10:$O10,0))</f>
        <v>22</v>
      </c>
      <c r="J11" s="2">
        <f>INDEX('Main Data'!$A$1:$O$1001,MATCH('Index&amp;Match'!$A11,'Main Data'!$A$1:$A$1001,0),MATCH('Index&amp;Match'!J10,'Main Data'!$A10:$O10,0))</f>
        <v>22</v>
      </c>
      <c r="K11" s="11">
        <f>INDEX('Main Data'!$A$1:$O$1001,MATCH('Index&amp;Match'!$A11,'Main Data'!$A$1:$A$1001,0),MATCH('Index&amp;Match'!K10,'Main Data'!$A10:$O10,0))</f>
        <v>10746.18</v>
      </c>
      <c r="L11" s="11">
        <f>INDEX('Main Data'!$A$1:$O$1001,MATCH('Index&amp;Match'!$A11,'Main Data'!$A$1:$A$1001,0),MATCH('Index&amp;Match'!L10,'Main Data'!$A10:$O10,0))</f>
        <v>323.5</v>
      </c>
      <c r="M11" s="11">
        <f>INDEX('Main Data'!$A$1:$O$1001,MATCH('Index&amp;Match'!$A11,'Main Data'!$A$1:$A$1001,0),MATCH('Index&amp;Match'!M10,'Main Data'!$A10:$O10,0))</f>
        <v>138.01</v>
      </c>
      <c r="N11" s="2" t="str">
        <f>INDEX('Main Data'!$A$1:$O$1001,MATCH('Index&amp;Match'!$A11,'Main Data'!$A$1:$A$1001,0),MATCH('Index&amp;Match'!N10,'Main Data'!$A10:$O10,0))</f>
        <v>Yes</v>
      </c>
      <c r="O11" s="2">
        <f>INDEX('Main Data'!$A$1:$O$1001,MATCH('Index&amp;Match'!$A11,'Main Data'!$A$1:$A$1001,0),MATCH('Index&amp;Match'!O10,'Main Data'!$A10:$O10,0))</f>
        <v>2</v>
      </c>
    </row>
    <row r="12" spans="1:15" x14ac:dyDescent="0.3">
      <c r="A12" s="2" t="s">
        <v>57</v>
      </c>
      <c r="B12" s="1">
        <f>INDEX('Main Data'!$A$1:$O$1001,MATCH('Index&amp;Match'!$A12,'Main Data'!$A$1:$A$1001,0),MATCH('Index&amp;Match'!B11,'Main Data'!$A11:$O11,0))</f>
        <v>45945</v>
      </c>
      <c r="C12" s="2" t="str">
        <f>INDEX('Main Data'!$A$1:$O$1001,MATCH('Index&amp;Match'!$A12,'Main Data'!$A$1:$A$1001,0),MATCH('Index&amp;Match'!C11,'Main Data'!$A11:$O11,0))</f>
        <v>Taylor</v>
      </c>
      <c r="D12" s="2" t="str">
        <f>INDEX('Main Data'!$A$1:$O$1001,MATCH('Index&amp;Match'!$A12,'Main Data'!$A$1:$A$1001,0),MATCH('Index&amp;Match'!D11,'Main Data'!$A11:$O11,0))</f>
        <v>BR-013</v>
      </c>
      <c r="E12" s="2" t="str">
        <f>INDEX('Main Data'!$A$1:$O$1001,MATCH('Index&amp;Match'!$A12,'Main Data'!$A$1:$A$1001,0),MATCH('Index&amp;Match'!E11,'Main Data'!$A11:$O11,0))</f>
        <v>North</v>
      </c>
      <c r="F12" s="2" t="str">
        <f>INDEX('Main Data'!$A$1:$O$1001,MATCH('Index&amp;Match'!$A12,'Main Data'!$A$1:$A$1001,0),MATCH('Index&amp;Match'!F11,'Main Data'!$A11:$O11,0))</f>
        <v>Personal Loan</v>
      </c>
      <c r="G12" s="2" t="str">
        <f>INDEX('Main Data'!$A$1:$O$1001,MATCH('Index&amp;Match'!$A12,'Main Data'!$A$1:$A$1001,0),MATCH('Index&amp;Match'!G11,'Main Data'!$A11:$O11,0))</f>
        <v>Walk-in</v>
      </c>
      <c r="H12" s="2" t="str">
        <f>INDEX('Main Data'!$A$1:$O$1001,MATCH('Index&amp;Match'!$A12,'Main Data'!$A$1:$A$1001,0),MATCH('Index&amp;Match'!H11,'Main Data'!$A11:$O11,0))</f>
        <v>SME</v>
      </c>
      <c r="I12" s="2">
        <f>INDEX('Main Data'!$A$1:$O$1001,MATCH('Index&amp;Match'!$A12,'Main Data'!$A$1:$A$1001,0),MATCH('Index&amp;Match'!I11,'Main Data'!$A11:$O11,0))</f>
        <v>28</v>
      </c>
      <c r="J12" s="2">
        <f>INDEX('Main Data'!$A$1:$O$1001,MATCH('Index&amp;Match'!$A12,'Main Data'!$A$1:$A$1001,0),MATCH('Index&amp;Match'!J11,'Main Data'!$A11:$O11,0))</f>
        <v>28</v>
      </c>
      <c r="K12" s="11">
        <f>INDEX('Main Data'!$A$1:$O$1001,MATCH('Index&amp;Match'!$A12,'Main Data'!$A$1:$A$1001,0),MATCH('Index&amp;Match'!K11,'Main Data'!$A11:$O11,0))</f>
        <v>42644.58</v>
      </c>
      <c r="L12" s="11">
        <f>INDEX('Main Data'!$A$1:$O$1001,MATCH('Index&amp;Match'!$A12,'Main Data'!$A$1:$A$1001,0),MATCH('Index&amp;Match'!L11,'Main Data'!$A11:$O11,0))</f>
        <v>87.71</v>
      </c>
      <c r="M12" s="11">
        <f>INDEX('Main Data'!$A$1:$O$1001,MATCH('Index&amp;Match'!$A12,'Main Data'!$A$1:$A$1001,0),MATCH('Index&amp;Match'!M11,'Main Data'!$A11:$O11,0))</f>
        <v>77.44</v>
      </c>
      <c r="N12" s="2" t="str">
        <f>INDEX('Main Data'!$A$1:$O$1001,MATCH('Index&amp;Match'!$A12,'Main Data'!$A$1:$A$1001,0),MATCH('Index&amp;Match'!N11,'Main Data'!$A11:$O11,0))</f>
        <v>Yes</v>
      </c>
      <c r="O12" s="2">
        <f>INDEX('Main Data'!$A$1:$O$1001,MATCH('Index&amp;Match'!$A12,'Main Data'!$A$1:$A$1001,0),MATCH('Index&amp;Match'!O11,'Main Data'!$A11:$O11,0))</f>
        <v>4</v>
      </c>
    </row>
    <row r="13" spans="1:15" x14ac:dyDescent="0.3">
      <c r="A13" s="2" t="s">
        <v>59</v>
      </c>
      <c r="B13" s="1">
        <f>INDEX('Main Data'!$A$1:$O$1001,MATCH('Index&amp;Match'!$A13,'Main Data'!$A$1:$A$1001,0),MATCH('Index&amp;Match'!B12,'Main Data'!$A12:$O12,0))</f>
        <v>46203</v>
      </c>
      <c r="C13" s="2" t="str">
        <f>INDEX('Main Data'!$A$1:$O$1001,MATCH('Index&amp;Match'!$A13,'Main Data'!$A$1:$A$1001,0),MATCH('Index&amp;Match'!C12,'Main Data'!$A12:$O12,0))</f>
        <v>Jamie</v>
      </c>
      <c r="D13" s="2" t="str">
        <f>INDEX('Main Data'!$A$1:$O$1001,MATCH('Index&amp;Match'!$A13,'Main Data'!$A$1:$A$1001,0),MATCH('Index&amp;Match'!D12,'Main Data'!$A12:$O12,0))</f>
        <v>BR-014</v>
      </c>
      <c r="E13" s="2" t="str">
        <f>INDEX('Main Data'!$A$1:$O$1001,MATCH('Index&amp;Match'!$A13,'Main Data'!$A$1:$A$1001,0),MATCH('Index&amp;Match'!E12,'Main Data'!$A12:$O12,0))</f>
        <v>East</v>
      </c>
      <c r="F13" s="2" t="str">
        <f>INDEX('Main Data'!$A$1:$O$1001,MATCH('Index&amp;Match'!$A13,'Main Data'!$A$1:$A$1001,0),MATCH('Index&amp;Match'!F12,'Main Data'!$A12:$O12,0))</f>
        <v>Wealth Management</v>
      </c>
      <c r="G13" s="2" t="str">
        <f>INDEX('Main Data'!$A$1:$O$1001,MATCH('Index&amp;Match'!$A13,'Main Data'!$A$1:$A$1001,0),MATCH('Index&amp;Match'!G12,'Main Data'!$A12:$O12,0))</f>
        <v>Social Media</v>
      </c>
      <c r="H13" s="2" t="str">
        <f>INDEX('Main Data'!$A$1:$O$1001,MATCH('Index&amp;Match'!$A13,'Main Data'!$A$1:$A$1001,0),MATCH('Index&amp;Match'!H12,'Main Data'!$A12:$O12,0))</f>
        <v>Retail</v>
      </c>
      <c r="I13" s="2">
        <f>INDEX('Main Data'!$A$1:$O$1001,MATCH('Index&amp;Match'!$A13,'Main Data'!$A$1:$A$1001,0),MATCH('Index&amp;Match'!I12,'Main Data'!$A12:$O12,0))</f>
        <v>27</v>
      </c>
      <c r="J13" s="2">
        <f>INDEX('Main Data'!$A$1:$O$1001,MATCH('Index&amp;Match'!$A13,'Main Data'!$A$1:$A$1001,0),MATCH('Index&amp;Match'!J12,'Main Data'!$A12:$O12,0))</f>
        <v>27</v>
      </c>
      <c r="K13" s="11">
        <f>INDEX('Main Data'!$A$1:$O$1001,MATCH('Index&amp;Match'!$A13,'Main Data'!$A$1:$A$1001,0),MATCH('Index&amp;Match'!K12,'Main Data'!$A12:$O12,0))</f>
        <v>4671.09</v>
      </c>
      <c r="L13" s="11">
        <f>INDEX('Main Data'!$A$1:$O$1001,MATCH('Index&amp;Match'!$A13,'Main Data'!$A$1:$A$1001,0),MATCH('Index&amp;Match'!L12,'Main Data'!$A12:$O12,0))</f>
        <v>339.38</v>
      </c>
      <c r="M13" s="11">
        <f>INDEX('Main Data'!$A$1:$O$1001,MATCH('Index&amp;Match'!$A13,'Main Data'!$A$1:$A$1001,0),MATCH('Index&amp;Match'!M12,'Main Data'!$A12:$O12,0))</f>
        <v>69.22</v>
      </c>
      <c r="N13" s="2" t="str">
        <f>INDEX('Main Data'!$A$1:$O$1001,MATCH('Index&amp;Match'!$A13,'Main Data'!$A$1:$A$1001,0),MATCH('Index&amp;Match'!N12,'Main Data'!$A12:$O12,0))</f>
        <v>Yes</v>
      </c>
      <c r="O13" s="2">
        <f>INDEX('Main Data'!$A$1:$O$1001,MATCH('Index&amp;Match'!$A13,'Main Data'!$A$1:$A$1001,0),MATCH('Index&amp;Match'!O12,'Main Data'!$A12:$O12,0))</f>
        <v>5</v>
      </c>
    </row>
    <row r="14" spans="1:15" x14ac:dyDescent="0.3">
      <c r="A14" s="2" t="s">
        <v>61</v>
      </c>
      <c r="B14" s="1">
        <f>INDEX('Main Data'!$A$1:$O$1001,MATCH('Index&amp;Match'!$A14,'Main Data'!$A$1:$A$1001,0),MATCH('Index&amp;Match'!B13,'Main Data'!$A13:$O13,0))</f>
        <v>46076</v>
      </c>
      <c r="C14" s="2" t="str">
        <f>INDEX('Main Data'!$A$1:$O$1001,MATCH('Index&amp;Match'!$A14,'Main Data'!$A$1:$A$1001,0),MATCH('Index&amp;Match'!C13,'Main Data'!$A13:$O13,0))</f>
        <v>Taylor</v>
      </c>
      <c r="D14" s="2" t="str">
        <f>INDEX('Main Data'!$A$1:$O$1001,MATCH('Index&amp;Match'!$A14,'Main Data'!$A$1:$A$1001,0),MATCH('Index&amp;Match'!D13,'Main Data'!$A13:$O13,0))</f>
        <v>BR-003</v>
      </c>
      <c r="E14" s="2" t="str">
        <f>INDEX('Main Data'!$A$1:$O$1001,MATCH('Index&amp;Match'!$A14,'Main Data'!$A$1:$A$1001,0),MATCH('Index&amp;Match'!E13,'Main Data'!$A13:$O13,0))</f>
        <v>West</v>
      </c>
      <c r="F14" s="2" t="str">
        <f>INDEX('Main Data'!$A$1:$O$1001,MATCH('Index&amp;Match'!$A14,'Main Data'!$A$1:$A$1001,0),MATCH('Index&amp;Match'!F13,'Main Data'!$A13:$O13,0))</f>
        <v>Wealth Management</v>
      </c>
      <c r="G14" s="2" t="str">
        <f>INDEX('Main Data'!$A$1:$O$1001,MATCH('Index&amp;Match'!$A14,'Main Data'!$A$1:$A$1001,0),MATCH('Index&amp;Match'!G13,'Main Data'!$A13:$O13,0))</f>
        <v>Email Campaign</v>
      </c>
      <c r="H14" s="2" t="str">
        <f>INDEX('Main Data'!$A$1:$O$1001,MATCH('Index&amp;Match'!$A14,'Main Data'!$A$1:$A$1001,0),MATCH('Index&amp;Match'!H13,'Main Data'!$A13:$O13,0))</f>
        <v>Retail</v>
      </c>
      <c r="I14" s="2">
        <f>INDEX('Main Data'!$A$1:$O$1001,MATCH('Index&amp;Match'!$A14,'Main Data'!$A$1:$A$1001,0),MATCH('Index&amp;Match'!I13,'Main Data'!$A13:$O13,0))</f>
        <v>64</v>
      </c>
      <c r="J14" s="2">
        <f>INDEX('Main Data'!$A$1:$O$1001,MATCH('Index&amp;Match'!$A14,'Main Data'!$A$1:$A$1001,0),MATCH('Index&amp;Match'!J13,'Main Data'!$A13:$O13,0))</f>
        <v>64</v>
      </c>
      <c r="K14" s="11">
        <f>INDEX('Main Data'!$A$1:$O$1001,MATCH('Index&amp;Match'!$A14,'Main Data'!$A$1:$A$1001,0),MATCH('Index&amp;Match'!K13,'Main Data'!$A13:$O13,0))</f>
        <v>18126.61</v>
      </c>
      <c r="L14" s="11">
        <f>INDEX('Main Data'!$A$1:$O$1001,MATCH('Index&amp;Match'!$A14,'Main Data'!$A$1:$A$1001,0),MATCH('Index&amp;Match'!L13,'Main Data'!$A13:$O13,0))</f>
        <v>393.14</v>
      </c>
      <c r="M14" s="11">
        <f>INDEX('Main Data'!$A$1:$O$1001,MATCH('Index&amp;Match'!$A14,'Main Data'!$A$1:$A$1001,0),MATCH('Index&amp;Match'!M13,'Main Data'!$A13:$O13,0))</f>
        <v>167.18</v>
      </c>
      <c r="N14" s="2" t="str">
        <f>INDEX('Main Data'!$A$1:$O$1001,MATCH('Index&amp;Match'!$A14,'Main Data'!$A$1:$A$1001,0),MATCH('Index&amp;Match'!N13,'Main Data'!$A13:$O13,0))</f>
        <v>No</v>
      </c>
      <c r="O14" s="2">
        <f>INDEX('Main Data'!$A$1:$O$1001,MATCH('Index&amp;Match'!$A14,'Main Data'!$A$1:$A$1001,0),MATCH('Index&amp;Match'!O13,'Main Data'!$A13:$O13,0))</f>
        <v>1</v>
      </c>
    </row>
    <row r="15" spans="1:15" x14ac:dyDescent="0.3">
      <c r="A15" s="2" t="s">
        <v>63</v>
      </c>
      <c r="B15" s="1">
        <f>INDEX('Main Data'!$A$1:$O$1001,MATCH('Index&amp;Match'!$A15,'Main Data'!$A$1:$A$1001,0),MATCH('Index&amp;Match'!B14,'Main Data'!$A14:$O14,0))</f>
        <v>45927</v>
      </c>
      <c r="C15" s="2" t="str">
        <f>INDEX('Main Data'!$A$1:$O$1001,MATCH('Index&amp;Match'!$A15,'Main Data'!$A$1:$A$1001,0),MATCH('Index&amp;Match'!C14,'Main Data'!$A14:$O14,0))</f>
        <v>Taylor</v>
      </c>
      <c r="D15" s="2" t="str">
        <f>INDEX('Main Data'!$A$1:$O$1001,MATCH('Index&amp;Match'!$A15,'Main Data'!$A$1:$A$1001,0),MATCH('Index&amp;Match'!D14,'Main Data'!$A14:$O14,0))</f>
        <v>BR-013</v>
      </c>
      <c r="E15" s="2" t="str">
        <f>INDEX('Main Data'!$A$1:$O$1001,MATCH('Index&amp;Match'!$A15,'Main Data'!$A$1:$A$1001,0),MATCH('Index&amp;Match'!E14,'Main Data'!$A14:$O14,0))</f>
        <v>West</v>
      </c>
      <c r="F15" s="2" t="str">
        <f>INDEX('Main Data'!$A$1:$O$1001,MATCH('Index&amp;Match'!$A15,'Main Data'!$A$1:$A$1001,0),MATCH('Index&amp;Match'!F14,'Main Data'!$A14:$O14,0))</f>
        <v>Personal Loan</v>
      </c>
      <c r="G15" s="2" t="str">
        <f>INDEX('Main Data'!$A$1:$O$1001,MATCH('Index&amp;Match'!$A15,'Main Data'!$A$1:$A$1001,0),MATCH('Index&amp;Match'!G14,'Main Data'!$A14:$O14,0))</f>
        <v>Referral</v>
      </c>
      <c r="H15" s="2" t="str">
        <f>INDEX('Main Data'!$A$1:$O$1001,MATCH('Index&amp;Match'!$A15,'Main Data'!$A$1:$A$1001,0),MATCH('Index&amp;Match'!H14,'Main Data'!$A14:$O14,0))</f>
        <v>High Net Worth</v>
      </c>
      <c r="I15" s="2">
        <f>INDEX('Main Data'!$A$1:$O$1001,MATCH('Index&amp;Match'!$A15,'Main Data'!$A$1:$A$1001,0),MATCH('Index&amp;Match'!I14,'Main Data'!$A14:$O14,0))</f>
        <v>71</v>
      </c>
      <c r="J15" s="2">
        <f>INDEX('Main Data'!$A$1:$O$1001,MATCH('Index&amp;Match'!$A15,'Main Data'!$A$1:$A$1001,0),MATCH('Index&amp;Match'!J14,'Main Data'!$A14:$O14,0))</f>
        <v>71</v>
      </c>
      <c r="K15" s="11">
        <f>INDEX('Main Data'!$A$1:$O$1001,MATCH('Index&amp;Match'!$A15,'Main Data'!$A$1:$A$1001,0),MATCH('Index&amp;Match'!K14,'Main Data'!$A14:$O14,0))</f>
        <v>34179.03</v>
      </c>
      <c r="L15" s="11">
        <f>INDEX('Main Data'!$A$1:$O$1001,MATCH('Index&amp;Match'!$A15,'Main Data'!$A$1:$A$1001,0),MATCH('Index&amp;Match'!L14,'Main Data'!$A14:$O14,0))</f>
        <v>313.22000000000003</v>
      </c>
      <c r="M15" s="11">
        <f>INDEX('Main Data'!$A$1:$O$1001,MATCH('Index&amp;Match'!$A15,'Main Data'!$A$1:$A$1001,0),MATCH('Index&amp;Match'!M14,'Main Data'!$A14:$O14,0))</f>
        <v>30.39</v>
      </c>
      <c r="N15" s="2" t="str">
        <f>INDEX('Main Data'!$A$1:$O$1001,MATCH('Index&amp;Match'!$A15,'Main Data'!$A$1:$A$1001,0),MATCH('Index&amp;Match'!N14,'Main Data'!$A14:$O14,0))</f>
        <v>Yes</v>
      </c>
      <c r="O15" s="2">
        <f>INDEX('Main Data'!$A$1:$O$1001,MATCH('Index&amp;Match'!$A15,'Main Data'!$A$1:$A$1001,0),MATCH('Index&amp;Match'!O14,'Main Data'!$A14:$O14,0))</f>
        <v>1</v>
      </c>
    </row>
    <row r="16" spans="1:15" x14ac:dyDescent="0.3">
      <c r="A16" s="2" t="s">
        <v>65</v>
      </c>
      <c r="B16" s="1">
        <f>INDEX('Main Data'!$A$1:$O$1001,MATCH('Index&amp;Match'!$A16,'Main Data'!$A$1:$A$1001,0),MATCH('Index&amp;Match'!B15,'Main Data'!$A15:$O15,0))</f>
        <v>46137</v>
      </c>
      <c r="C16" s="2" t="str">
        <f>INDEX('Main Data'!$A$1:$O$1001,MATCH('Index&amp;Match'!$A16,'Main Data'!$A$1:$A$1001,0),MATCH('Index&amp;Match'!C15,'Main Data'!$A15:$O15,0))</f>
        <v>Drew</v>
      </c>
      <c r="D16" s="2" t="str">
        <f>INDEX('Main Data'!$A$1:$O$1001,MATCH('Index&amp;Match'!$A16,'Main Data'!$A$1:$A$1001,0),MATCH('Index&amp;Match'!D15,'Main Data'!$A15:$O15,0))</f>
        <v>BR-006</v>
      </c>
      <c r="E16" s="2" t="str">
        <f>INDEX('Main Data'!$A$1:$O$1001,MATCH('Index&amp;Match'!$A16,'Main Data'!$A$1:$A$1001,0),MATCH('Index&amp;Match'!E15,'Main Data'!$A15:$O15,0))</f>
        <v>Central</v>
      </c>
      <c r="F16" s="2" t="str">
        <f>INDEX('Main Data'!$A$1:$O$1001,MATCH('Index&amp;Match'!$A16,'Main Data'!$A$1:$A$1001,0),MATCH('Index&amp;Match'!F15,'Main Data'!$A15:$O15,0))</f>
        <v>Auto Loan</v>
      </c>
      <c r="G16" s="2" t="str">
        <f>INDEX('Main Data'!$A$1:$O$1001,MATCH('Index&amp;Match'!$A16,'Main Data'!$A$1:$A$1001,0),MATCH('Index&amp;Match'!G15,'Main Data'!$A15:$O15,0))</f>
        <v>Walk-in</v>
      </c>
      <c r="H16" s="2" t="str">
        <f>INDEX('Main Data'!$A$1:$O$1001,MATCH('Index&amp;Match'!$A16,'Main Data'!$A$1:$A$1001,0),MATCH('Index&amp;Match'!H15,'Main Data'!$A15:$O15,0))</f>
        <v>Corporate</v>
      </c>
      <c r="I16" s="2">
        <f>INDEX('Main Data'!$A$1:$O$1001,MATCH('Index&amp;Match'!$A16,'Main Data'!$A$1:$A$1001,0),MATCH('Index&amp;Match'!I15,'Main Data'!$A15:$O15,0))</f>
        <v>59</v>
      </c>
      <c r="J16" s="2">
        <f>INDEX('Main Data'!$A$1:$O$1001,MATCH('Index&amp;Match'!$A16,'Main Data'!$A$1:$A$1001,0),MATCH('Index&amp;Match'!J15,'Main Data'!$A15:$O15,0))</f>
        <v>59</v>
      </c>
      <c r="K16" s="11">
        <f>INDEX('Main Data'!$A$1:$O$1001,MATCH('Index&amp;Match'!$A16,'Main Data'!$A$1:$A$1001,0),MATCH('Index&amp;Match'!K15,'Main Data'!$A15:$O15,0))</f>
        <v>14068.96</v>
      </c>
      <c r="L16" s="11">
        <f>INDEX('Main Data'!$A$1:$O$1001,MATCH('Index&amp;Match'!$A16,'Main Data'!$A$1:$A$1001,0),MATCH('Index&amp;Match'!L15,'Main Data'!$A15:$O15,0))</f>
        <v>169.8</v>
      </c>
      <c r="M16" s="11">
        <f>INDEX('Main Data'!$A$1:$O$1001,MATCH('Index&amp;Match'!$A16,'Main Data'!$A$1:$A$1001,0),MATCH('Index&amp;Match'!M15,'Main Data'!$A15:$O15,0))</f>
        <v>135.18</v>
      </c>
      <c r="N16" s="2" t="str">
        <f>INDEX('Main Data'!$A$1:$O$1001,MATCH('Index&amp;Match'!$A16,'Main Data'!$A$1:$A$1001,0),MATCH('Index&amp;Match'!N15,'Main Data'!$A15:$O15,0))</f>
        <v>No</v>
      </c>
      <c r="O16" s="2">
        <f>INDEX('Main Data'!$A$1:$O$1001,MATCH('Index&amp;Match'!$A16,'Main Data'!$A$1:$A$1001,0),MATCH('Index&amp;Match'!O15,'Main Data'!$A15:$O15,0))</f>
        <v>2</v>
      </c>
    </row>
    <row r="17" spans="1:15" x14ac:dyDescent="0.3">
      <c r="A17" s="2" t="s">
        <v>66</v>
      </c>
      <c r="B17" s="1">
        <f>INDEX('Main Data'!$A$1:$O$1001,MATCH('Index&amp;Match'!$A17,'Main Data'!$A$1:$A$1001,0),MATCH('Index&amp;Match'!B16,'Main Data'!$A16:$O16,0))</f>
        <v>46208</v>
      </c>
      <c r="C17" s="2" t="str">
        <f>INDEX('Main Data'!$A$1:$O$1001,MATCH('Index&amp;Match'!$A17,'Main Data'!$A$1:$A$1001,0),MATCH('Index&amp;Match'!C16,'Main Data'!$A16:$O16,0))</f>
        <v>Casey</v>
      </c>
      <c r="D17" s="2" t="str">
        <f>INDEX('Main Data'!$A$1:$O$1001,MATCH('Index&amp;Match'!$A17,'Main Data'!$A$1:$A$1001,0),MATCH('Index&amp;Match'!D16,'Main Data'!$A16:$O16,0))</f>
        <v>BR-002</v>
      </c>
      <c r="E17" s="2" t="str">
        <f>INDEX('Main Data'!$A$1:$O$1001,MATCH('Index&amp;Match'!$A17,'Main Data'!$A$1:$A$1001,0),MATCH('Index&amp;Match'!E16,'Main Data'!$A16:$O16,0))</f>
        <v>South</v>
      </c>
      <c r="F17" s="2" t="str">
        <f>INDEX('Main Data'!$A$1:$O$1001,MATCH('Index&amp;Match'!$A17,'Main Data'!$A$1:$A$1001,0),MATCH('Index&amp;Match'!F16,'Main Data'!$A16:$O16,0))</f>
        <v>Credit Card</v>
      </c>
      <c r="G17" s="2" t="str">
        <f>INDEX('Main Data'!$A$1:$O$1001,MATCH('Index&amp;Match'!$A17,'Main Data'!$A$1:$A$1001,0),MATCH('Index&amp;Match'!G16,'Main Data'!$A16:$O16,0))</f>
        <v>Walk-in</v>
      </c>
      <c r="H17" s="2" t="str">
        <f>INDEX('Main Data'!$A$1:$O$1001,MATCH('Index&amp;Match'!$A17,'Main Data'!$A$1:$A$1001,0),MATCH('Index&amp;Match'!H16,'Main Data'!$A16:$O16,0))</f>
        <v>Corporate</v>
      </c>
      <c r="I17" s="2">
        <f>INDEX('Main Data'!$A$1:$O$1001,MATCH('Index&amp;Match'!$A17,'Main Data'!$A$1:$A$1001,0),MATCH('Index&amp;Match'!I16,'Main Data'!$A16:$O16,0))</f>
        <v>62</v>
      </c>
      <c r="J17" s="2">
        <f>INDEX('Main Data'!$A$1:$O$1001,MATCH('Index&amp;Match'!$A17,'Main Data'!$A$1:$A$1001,0),MATCH('Index&amp;Match'!J16,'Main Data'!$A16:$O16,0))</f>
        <v>62</v>
      </c>
      <c r="K17" s="11">
        <f>INDEX('Main Data'!$A$1:$O$1001,MATCH('Index&amp;Match'!$A17,'Main Data'!$A$1:$A$1001,0),MATCH('Index&amp;Match'!K16,'Main Data'!$A16:$O16,0))</f>
        <v>41469.919999999998</v>
      </c>
      <c r="L17" s="11">
        <f>INDEX('Main Data'!$A$1:$O$1001,MATCH('Index&amp;Match'!$A17,'Main Data'!$A$1:$A$1001,0),MATCH('Index&amp;Match'!L16,'Main Data'!$A16:$O16,0))</f>
        <v>64.099999999999994</v>
      </c>
      <c r="M17" s="11">
        <f>INDEX('Main Data'!$A$1:$O$1001,MATCH('Index&amp;Match'!$A17,'Main Data'!$A$1:$A$1001,0),MATCH('Index&amp;Match'!M16,'Main Data'!$A16:$O16,0))</f>
        <v>49.75</v>
      </c>
      <c r="N17" s="2" t="str">
        <f>INDEX('Main Data'!$A$1:$O$1001,MATCH('Index&amp;Match'!$A17,'Main Data'!$A$1:$A$1001,0),MATCH('Index&amp;Match'!N16,'Main Data'!$A16:$O16,0))</f>
        <v>Yes</v>
      </c>
      <c r="O17" s="2">
        <f>INDEX('Main Data'!$A$1:$O$1001,MATCH('Index&amp;Match'!$A17,'Main Data'!$A$1:$A$1001,0),MATCH('Index&amp;Match'!O16,'Main Data'!$A16:$O16,0))</f>
        <v>1</v>
      </c>
    </row>
    <row r="18" spans="1:15" x14ac:dyDescent="0.3">
      <c r="A18" s="2" t="s">
        <v>69</v>
      </c>
      <c r="B18" s="1">
        <f>INDEX('Main Data'!$A$1:$O$1001,MATCH('Index&amp;Match'!$A18,'Main Data'!$A$1:$A$1001,0),MATCH('Index&amp;Match'!B17,'Main Data'!$A17:$O17,0))</f>
        <v>46029</v>
      </c>
      <c r="C18" s="2" t="str">
        <f>INDEX('Main Data'!$A$1:$O$1001,MATCH('Index&amp;Match'!$A18,'Main Data'!$A$1:$A$1001,0),MATCH('Index&amp;Match'!C17,'Main Data'!$A17:$O17,0))</f>
        <v>Morgan</v>
      </c>
      <c r="D18" s="2" t="str">
        <f>INDEX('Main Data'!$A$1:$O$1001,MATCH('Index&amp;Match'!$A18,'Main Data'!$A$1:$A$1001,0),MATCH('Index&amp;Match'!D17,'Main Data'!$A17:$O17,0))</f>
        <v>BR-003</v>
      </c>
      <c r="E18" s="2" t="str">
        <f>INDEX('Main Data'!$A$1:$O$1001,MATCH('Index&amp;Match'!$A18,'Main Data'!$A$1:$A$1001,0),MATCH('Index&amp;Match'!E17,'Main Data'!$A17:$O17,0))</f>
        <v>East</v>
      </c>
      <c r="F18" s="2" t="str">
        <f>INDEX('Main Data'!$A$1:$O$1001,MATCH('Index&amp;Match'!$A18,'Main Data'!$A$1:$A$1001,0),MATCH('Index&amp;Match'!F17,'Main Data'!$A17:$O17,0))</f>
        <v>Credit Card</v>
      </c>
      <c r="G18" s="2" t="str">
        <f>INDEX('Main Data'!$A$1:$O$1001,MATCH('Index&amp;Match'!$A18,'Main Data'!$A$1:$A$1001,0),MATCH('Index&amp;Match'!G17,'Main Data'!$A17:$O17,0))</f>
        <v>Referral</v>
      </c>
      <c r="H18" s="2" t="str">
        <f>INDEX('Main Data'!$A$1:$O$1001,MATCH('Index&amp;Match'!$A18,'Main Data'!$A$1:$A$1001,0),MATCH('Index&amp;Match'!H17,'Main Data'!$A17:$O17,0))</f>
        <v>Retail</v>
      </c>
      <c r="I18" s="2">
        <f>INDEX('Main Data'!$A$1:$O$1001,MATCH('Index&amp;Match'!$A18,'Main Data'!$A$1:$A$1001,0),MATCH('Index&amp;Match'!I17,'Main Data'!$A17:$O17,0))</f>
        <v>36</v>
      </c>
      <c r="J18" s="2">
        <f>INDEX('Main Data'!$A$1:$O$1001,MATCH('Index&amp;Match'!$A18,'Main Data'!$A$1:$A$1001,0),MATCH('Index&amp;Match'!J17,'Main Data'!$A17:$O17,0))</f>
        <v>36</v>
      </c>
      <c r="K18" s="11">
        <f>INDEX('Main Data'!$A$1:$O$1001,MATCH('Index&amp;Match'!$A18,'Main Data'!$A$1:$A$1001,0),MATCH('Index&amp;Match'!K17,'Main Data'!$A17:$O17,0))</f>
        <v>37123.46</v>
      </c>
      <c r="L18" s="11">
        <f>INDEX('Main Data'!$A$1:$O$1001,MATCH('Index&amp;Match'!$A18,'Main Data'!$A$1:$A$1001,0),MATCH('Index&amp;Match'!L17,'Main Data'!$A17:$O17,0))</f>
        <v>103.75</v>
      </c>
      <c r="M18" s="11">
        <f>INDEX('Main Data'!$A$1:$O$1001,MATCH('Index&amp;Match'!$A18,'Main Data'!$A$1:$A$1001,0),MATCH('Index&amp;Match'!M17,'Main Data'!$A17:$O17,0))</f>
        <v>3.1</v>
      </c>
      <c r="N18" s="2" t="str">
        <f>INDEX('Main Data'!$A$1:$O$1001,MATCH('Index&amp;Match'!$A18,'Main Data'!$A$1:$A$1001,0),MATCH('Index&amp;Match'!N17,'Main Data'!$A17:$O17,0))</f>
        <v>No</v>
      </c>
      <c r="O18" s="2">
        <f>INDEX('Main Data'!$A$1:$O$1001,MATCH('Index&amp;Match'!$A18,'Main Data'!$A$1:$A$1001,0),MATCH('Index&amp;Match'!O17,'Main Data'!$A17:$O17,0))</f>
        <v>1</v>
      </c>
    </row>
    <row r="19" spans="1:15" x14ac:dyDescent="0.3">
      <c r="A19" s="2" t="s">
        <v>70</v>
      </c>
      <c r="B19" s="1">
        <f>INDEX('Main Data'!$A$1:$O$1001,MATCH('Index&amp;Match'!$A19,'Main Data'!$A$1:$A$1001,0),MATCH('Index&amp;Match'!B18,'Main Data'!$A18:$O18,0))</f>
        <v>45988</v>
      </c>
      <c r="C19" s="2" t="str">
        <f>INDEX('Main Data'!$A$1:$O$1001,MATCH('Index&amp;Match'!$A19,'Main Data'!$A$1:$A$1001,0),MATCH('Index&amp;Match'!C18,'Main Data'!$A18:$O18,0))</f>
        <v>Drew</v>
      </c>
      <c r="D19" s="2" t="str">
        <f>INDEX('Main Data'!$A$1:$O$1001,MATCH('Index&amp;Match'!$A19,'Main Data'!$A$1:$A$1001,0),MATCH('Index&amp;Match'!D18,'Main Data'!$A18:$O18,0))</f>
        <v>BR-005</v>
      </c>
      <c r="E19" s="2" t="str">
        <f>INDEX('Main Data'!$A$1:$O$1001,MATCH('Index&amp;Match'!$A19,'Main Data'!$A$1:$A$1001,0),MATCH('Index&amp;Match'!E18,'Main Data'!$A18:$O18,0))</f>
        <v>Central</v>
      </c>
      <c r="F19" s="2" t="str">
        <f>INDEX('Main Data'!$A$1:$O$1001,MATCH('Index&amp;Match'!$A19,'Main Data'!$A$1:$A$1001,0),MATCH('Index&amp;Match'!F18,'Main Data'!$A18:$O18,0))</f>
        <v>Credit Card</v>
      </c>
      <c r="G19" s="2" t="str">
        <f>INDEX('Main Data'!$A$1:$O$1001,MATCH('Index&amp;Match'!$A19,'Main Data'!$A$1:$A$1001,0),MATCH('Index&amp;Match'!G18,'Main Data'!$A18:$O18,0))</f>
        <v>Referral</v>
      </c>
      <c r="H19" s="2" t="str">
        <f>INDEX('Main Data'!$A$1:$O$1001,MATCH('Index&amp;Match'!$A19,'Main Data'!$A$1:$A$1001,0),MATCH('Index&amp;Match'!H18,'Main Data'!$A18:$O18,0))</f>
        <v>High Net Worth</v>
      </c>
      <c r="I19" s="2">
        <f>INDEX('Main Data'!$A$1:$O$1001,MATCH('Index&amp;Match'!$A19,'Main Data'!$A$1:$A$1001,0),MATCH('Index&amp;Match'!I18,'Main Data'!$A18:$O18,0))</f>
        <v>55</v>
      </c>
      <c r="J19" s="2">
        <f>INDEX('Main Data'!$A$1:$O$1001,MATCH('Index&amp;Match'!$A19,'Main Data'!$A$1:$A$1001,0),MATCH('Index&amp;Match'!J18,'Main Data'!$A18:$O18,0))</f>
        <v>55</v>
      </c>
      <c r="K19" s="11">
        <f>INDEX('Main Data'!$A$1:$O$1001,MATCH('Index&amp;Match'!$A19,'Main Data'!$A$1:$A$1001,0),MATCH('Index&amp;Match'!K18,'Main Data'!$A18:$O18,0))</f>
        <v>39556.629999999997</v>
      </c>
      <c r="L19" s="11">
        <f>INDEX('Main Data'!$A$1:$O$1001,MATCH('Index&amp;Match'!$A19,'Main Data'!$A$1:$A$1001,0),MATCH('Index&amp;Match'!L18,'Main Data'!$A18:$O18,0))</f>
        <v>330.04</v>
      </c>
      <c r="M19" s="11">
        <f>INDEX('Main Data'!$A$1:$O$1001,MATCH('Index&amp;Match'!$A19,'Main Data'!$A$1:$A$1001,0),MATCH('Index&amp;Match'!M18,'Main Data'!$A18:$O18,0))</f>
        <v>50.03</v>
      </c>
      <c r="N19" s="2" t="str">
        <f>INDEX('Main Data'!$A$1:$O$1001,MATCH('Index&amp;Match'!$A19,'Main Data'!$A$1:$A$1001,0),MATCH('Index&amp;Match'!N18,'Main Data'!$A18:$O18,0))</f>
        <v>No</v>
      </c>
      <c r="O19" s="2">
        <f>INDEX('Main Data'!$A$1:$O$1001,MATCH('Index&amp;Match'!$A19,'Main Data'!$A$1:$A$1001,0),MATCH('Index&amp;Match'!O18,'Main Data'!$A18:$O18,0))</f>
        <v>1</v>
      </c>
    </row>
    <row r="20" spans="1:15" x14ac:dyDescent="0.3">
      <c r="A20" s="2" t="s">
        <v>71</v>
      </c>
      <c r="B20" s="1">
        <f>INDEX('Main Data'!$A$1:$O$1001,MATCH('Index&amp;Match'!$A20,'Main Data'!$A$1:$A$1001,0),MATCH('Index&amp;Match'!B19,'Main Data'!$A19:$O19,0))</f>
        <v>46166</v>
      </c>
      <c r="C20" s="2" t="str">
        <f>INDEX('Main Data'!$A$1:$O$1001,MATCH('Index&amp;Match'!$A20,'Main Data'!$A$1:$A$1001,0),MATCH('Index&amp;Match'!C19,'Main Data'!$A19:$O19,0))</f>
        <v>Drew</v>
      </c>
      <c r="D20" s="2" t="str">
        <f>INDEX('Main Data'!$A$1:$O$1001,MATCH('Index&amp;Match'!$A20,'Main Data'!$A$1:$A$1001,0),MATCH('Index&amp;Match'!D19,'Main Data'!$A19:$O19,0))</f>
        <v>BR-015</v>
      </c>
      <c r="E20" s="2" t="str">
        <f>INDEX('Main Data'!$A$1:$O$1001,MATCH('Index&amp;Match'!$A20,'Main Data'!$A$1:$A$1001,0),MATCH('Index&amp;Match'!E19,'Main Data'!$A19:$O19,0))</f>
        <v>East</v>
      </c>
      <c r="F20" s="2" t="str">
        <f>INDEX('Main Data'!$A$1:$O$1001,MATCH('Index&amp;Match'!$A20,'Main Data'!$A$1:$A$1001,0),MATCH('Index&amp;Match'!F19,'Main Data'!$A19:$O19,0))</f>
        <v>Personal Loan</v>
      </c>
      <c r="G20" s="2" t="str">
        <f>INDEX('Main Data'!$A$1:$O$1001,MATCH('Index&amp;Match'!$A20,'Main Data'!$A$1:$A$1001,0),MATCH('Index&amp;Match'!G19,'Main Data'!$A19:$O19,0))</f>
        <v>Walk-in</v>
      </c>
      <c r="H20" s="2" t="str">
        <f>INDEX('Main Data'!$A$1:$O$1001,MATCH('Index&amp;Match'!$A20,'Main Data'!$A$1:$A$1001,0),MATCH('Index&amp;Match'!H19,'Main Data'!$A19:$O19,0))</f>
        <v>High Net Worth</v>
      </c>
      <c r="I20" s="2">
        <f>INDEX('Main Data'!$A$1:$O$1001,MATCH('Index&amp;Match'!$A20,'Main Data'!$A$1:$A$1001,0),MATCH('Index&amp;Match'!I19,'Main Data'!$A19:$O19,0))</f>
        <v>50</v>
      </c>
      <c r="J20" s="2">
        <f>INDEX('Main Data'!$A$1:$O$1001,MATCH('Index&amp;Match'!$A20,'Main Data'!$A$1:$A$1001,0),MATCH('Index&amp;Match'!J19,'Main Data'!$A19:$O19,0))</f>
        <v>50</v>
      </c>
      <c r="K20" s="11">
        <f>INDEX('Main Data'!$A$1:$O$1001,MATCH('Index&amp;Match'!$A20,'Main Data'!$A$1:$A$1001,0),MATCH('Index&amp;Match'!K19,'Main Data'!$A19:$O19,0))</f>
        <v>6395.77</v>
      </c>
      <c r="L20" s="11">
        <f>INDEX('Main Data'!$A$1:$O$1001,MATCH('Index&amp;Match'!$A20,'Main Data'!$A$1:$A$1001,0),MATCH('Index&amp;Match'!L19,'Main Data'!$A19:$O19,0))</f>
        <v>470.49</v>
      </c>
      <c r="M20" s="11">
        <f>INDEX('Main Data'!$A$1:$O$1001,MATCH('Index&amp;Match'!$A20,'Main Data'!$A$1:$A$1001,0),MATCH('Index&amp;Match'!M19,'Main Data'!$A19:$O19,0))</f>
        <v>182</v>
      </c>
      <c r="N20" s="2" t="str">
        <f>INDEX('Main Data'!$A$1:$O$1001,MATCH('Index&amp;Match'!$A20,'Main Data'!$A$1:$A$1001,0),MATCH('Index&amp;Match'!N19,'Main Data'!$A19:$O19,0))</f>
        <v>Yes</v>
      </c>
      <c r="O20" s="2">
        <f>INDEX('Main Data'!$A$1:$O$1001,MATCH('Index&amp;Match'!$A20,'Main Data'!$A$1:$A$1001,0),MATCH('Index&amp;Match'!O19,'Main Data'!$A19:$O19,0))</f>
        <v>4</v>
      </c>
    </row>
    <row r="21" spans="1:15" x14ac:dyDescent="0.3">
      <c r="A21" s="2" t="s">
        <v>72</v>
      </c>
      <c r="B21" s="1">
        <f>INDEX('Main Data'!$A$1:$O$1001,MATCH('Index&amp;Match'!$A21,'Main Data'!$A$1:$A$1001,0),MATCH('Index&amp;Match'!B20,'Main Data'!$A20:$O20,0))</f>
        <v>46012</v>
      </c>
      <c r="C21" s="2" t="str">
        <f>INDEX('Main Data'!$A$1:$O$1001,MATCH('Index&amp;Match'!$A21,'Main Data'!$A$1:$A$1001,0),MATCH('Index&amp;Match'!C20,'Main Data'!$A20:$O20,0))</f>
        <v>Taylor</v>
      </c>
      <c r="D21" s="2" t="str">
        <f>INDEX('Main Data'!$A$1:$O$1001,MATCH('Index&amp;Match'!$A21,'Main Data'!$A$1:$A$1001,0),MATCH('Index&amp;Match'!D20,'Main Data'!$A20:$O20,0))</f>
        <v>BR-009</v>
      </c>
      <c r="E21" s="2" t="str">
        <f>INDEX('Main Data'!$A$1:$O$1001,MATCH('Index&amp;Match'!$A21,'Main Data'!$A$1:$A$1001,0),MATCH('Index&amp;Match'!E20,'Main Data'!$A20:$O20,0))</f>
        <v>South</v>
      </c>
      <c r="F21" s="2" t="str">
        <f>INDEX('Main Data'!$A$1:$O$1001,MATCH('Index&amp;Match'!$A21,'Main Data'!$A$1:$A$1001,0),MATCH('Index&amp;Match'!F20,'Main Data'!$A20:$O20,0))</f>
        <v>Personal Loan</v>
      </c>
      <c r="G21" s="2" t="str">
        <f>INDEX('Main Data'!$A$1:$O$1001,MATCH('Index&amp;Match'!$A21,'Main Data'!$A$1:$A$1001,0),MATCH('Index&amp;Match'!G20,'Main Data'!$A20:$O20,0))</f>
        <v>Referral</v>
      </c>
      <c r="H21" s="2" t="str">
        <f>INDEX('Main Data'!$A$1:$O$1001,MATCH('Index&amp;Match'!$A21,'Main Data'!$A$1:$A$1001,0),MATCH('Index&amp;Match'!H20,'Main Data'!$A20:$O20,0))</f>
        <v>SME</v>
      </c>
      <c r="I21" s="2">
        <f>INDEX('Main Data'!$A$1:$O$1001,MATCH('Index&amp;Match'!$A21,'Main Data'!$A$1:$A$1001,0),MATCH('Index&amp;Match'!I20,'Main Data'!$A20:$O20,0))</f>
        <v>30</v>
      </c>
      <c r="J21" s="2">
        <f>INDEX('Main Data'!$A$1:$O$1001,MATCH('Index&amp;Match'!$A21,'Main Data'!$A$1:$A$1001,0),MATCH('Index&amp;Match'!J20,'Main Data'!$A20:$O20,0))</f>
        <v>30</v>
      </c>
      <c r="K21" s="11">
        <f>INDEX('Main Data'!$A$1:$O$1001,MATCH('Index&amp;Match'!$A21,'Main Data'!$A$1:$A$1001,0),MATCH('Index&amp;Match'!K20,'Main Data'!$A20:$O20,0))</f>
        <v>7457.08</v>
      </c>
      <c r="L21" s="11">
        <f>INDEX('Main Data'!$A$1:$O$1001,MATCH('Index&amp;Match'!$A21,'Main Data'!$A$1:$A$1001,0),MATCH('Index&amp;Match'!L20,'Main Data'!$A20:$O20,0))</f>
        <v>142.94</v>
      </c>
      <c r="M21" s="11">
        <f>INDEX('Main Data'!$A$1:$O$1001,MATCH('Index&amp;Match'!$A21,'Main Data'!$A$1:$A$1001,0),MATCH('Index&amp;Match'!M20,'Main Data'!$A20:$O20,0))</f>
        <v>141.83000000000001</v>
      </c>
      <c r="N21" s="2" t="str">
        <f>INDEX('Main Data'!$A$1:$O$1001,MATCH('Index&amp;Match'!$A21,'Main Data'!$A$1:$A$1001,0),MATCH('Index&amp;Match'!N20,'Main Data'!$A20:$O20,0))</f>
        <v>Yes</v>
      </c>
      <c r="O21" s="2">
        <f>INDEX('Main Data'!$A$1:$O$1001,MATCH('Index&amp;Match'!$A21,'Main Data'!$A$1:$A$1001,0),MATCH('Index&amp;Match'!O20,'Main Data'!$A20:$O20,0))</f>
        <v>1</v>
      </c>
    </row>
    <row r="22" spans="1:15" x14ac:dyDescent="0.3">
      <c r="A22" s="2" t="s">
        <v>73</v>
      </c>
      <c r="B22" s="1">
        <f>INDEX('Main Data'!$A$1:$O$1001,MATCH('Index&amp;Match'!$A22,'Main Data'!$A$1:$A$1001,0),MATCH('Index&amp;Match'!B21,'Main Data'!$A21:$O21,0))</f>
        <v>46174</v>
      </c>
      <c r="C22" s="2" t="str">
        <f>INDEX('Main Data'!$A$1:$O$1001,MATCH('Index&amp;Match'!$A22,'Main Data'!$A$1:$A$1001,0),MATCH('Index&amp;Match'!C21,'Main Data'!$A21:$O21,0))</f>
        <v>Sam</v>
      </c>
      <c r="D22" s="2" t="str">
        <f>INDEX('Main Data'!$A$1:$O$1001,MATCH('Index&amp;Match'!$A22,'Main Data'!$A$1:$A$1001,0),MATCH('Index&amp;Match'!D21,'Main Data'!$A21:$O21,0))</f>
        <v>BR-002</v>
      </c>
      <c r="E22" s="2" t="str">
        <f>INDEX('Main Data'!$A$1:$O$1001,MATCH('Index&amp;Match'!$A22,'Main Data'!$A$1:$A$1001,0),MATCH('Index&amp;Match'!E21,'Main Data'!$A21:$O21,0))</f>
        <v>West</v>
      </c>
      <c r="F22" s="2" t="str">
        <f>INDEX('Main Data'!$A$1:$O$1001,MATCH('Index&amp;Match'!$A22,'Main Data'!$A$1:$A$1001,0),MATCH('Index&amp;Match'!F21,'Main Data'!$A21:$O21,0))</f>
        <v>Mortgage</v>
      </c>
      <c r="G22" s="2" t="str">
        <f>INDEX('Main Data'!$A$1:$O$1001,MATCH('Index&amp;Match'!$A22,'Main Data'!$A$1:$A$1001,0),MATCH('Index&amp;Match'!G21,'Main Data'!$A21:$O21,0))</f>
        <v>Website</v>
      </c>
      <c r="H22" s="2" t="str">
        <f>INDEX('Main Data'!$A$1:$O$1001,MATCH('Index&amp;Match'!$A22,'Main Data'!$A$1:$A$1001,0),MATCH('Index&amp;Match'!H21,'Main Data'!$A21:$O21,0))</f>
        <v>SME</v>
      </c>
      <c r="I22" s="2">
        <f>INDEX('Main Data'!$A$1:$O$1001,MATCH('Index&amp;Match'!$A22,'Main Data'!$A$1:$A$1001,0),MATCH('Index&amp;Match'!I21,'Main Data'!$A21:$O21,0))</f>
        <v>58</v>
      </c>
      <c r="J22" s="2">
        <f>INDEX('Main Data'!$A$1:$O$1001,MATCH('Index&amp;Match'!$A22,'Main Data'!$A$1:$A$1001,0),MATCH('Index&amp;Match'!J21,'Main Data'!$A21:$O21,0))</f>
        <v>58</v>
      </c>
      <c r="K22" s="11">
        <f>INDEX('Main Data'!$A$1:$O$1001,MATCH('Index&amp;Match'!$A22,'Main Data'!$A$1:$A$1001,0),MATCH('Index&amp;Match'!K21,'Main Data'!$A21:$O21,0))</f>
        <v>14680.45</v>
      </c>
      <c r="L22" s="11">
        <f>INDEX('Main Data'!$A$1:$O$1001,MATCH('Index&amp;Match'!$A22,'Main Data'!$A$1:$A$1001,0),MATCH('Index&amp;Match'!L21,'Main Data'!$A21:$O21,0))</f>
        <v>380.76</v>
      </c>
      <c r="M22" s="11">
        <f>INDEX('Main Data'!$A$1:$O$1001,MATCH('Index&amp;Match'!$A22,'Main Data'!$A$1:$A$1001,0),MATCH('Index&amp;Match'!M21,'Main Data'!$A21:$O21,0))</f>
        <v>4.21</v>
      </c>
      <c r="N22" s="2" t="str">
        <f>INDEX('Main Data'!$A$1:$O$1001,MATCH('Index&amp;Match'!$A22,'Main Data'!$A$1:$A$1001,0),MATCH('Index&amp;Match'!N21,'Main Data'!$A21:$O21,0))</f>
        <v>Yes</v>
      </c>
      <c r="O22" s="2">
        <f>INDEX('Main Data'!$A$1:$O$1001,MATCH('Index&amp;Match'!$A22,'Main Data'!$A$1:$A$1001,0),MATCH('Index&amp;Match'!O21,'Main Data'!$A21:$O21,0))</f>
        <v>3</v>
      </c>
    </row>
    <row r="23" spans="1:15" x14ac:dyDescent="0.3">
      <c r="A23" s="2" t="s">
        <v>75</v>
      </c>
      <c r="B23" s="1">
        <f>INDEX('Main Data'!$A$1:$O$1001,MATCH('Index&amp;Match'!$A23,'Main Data'!$A$1:$A$1001,0),MATCH('Index&amp;Match'!B22,'Main Data'!$A22:$O22,0))</f>
        <v>46172</v>
      </c>
      <c r="C23" s="2" t="str">
        <f>INDEX('Main Data'!$A$1:$O$1001,MATCH('Index&amp;Match'!$A23,'Main Data'!$A$1:$A$1001,0),MATCH('Index&amp;Match'!C22,'Main Data'!$A22:$O22,0))</f>
        <v>Casey</v>
      </c>
      <c r="D23" s="2" t="str">
        <f>INDEX('Main Data'!$A$1:$O$1001,MATCH('Index&amp;Match'!$A23,'Main Data'!$A$1:$A$1001,0),MATCH('Index&amp;Match'!D22,'Main Data'!$A22:$O22,0))</f>
        <v>BR-010</v>
      </c>
      <c r="E23" s="2" t="str">
        <f>INDEX('Main Data'!$A$1:$O$1001,MATCH('Index&amp;Match'!$A23,'Main Data'!$A$1:$A$1001,0),MATCH('Index&amp;Match'!E22,'Main Data'!$A22:$O22,0))</f>
        <v>North</v>
      </c>
      <c r="F23" s="2" t="str">
        <f>INDEX('Main Data'!$A$1:$O$1001,MATCH('Index&amp;Match'!$A23,'Main Data'!$A$1:$A$1001,0),MATCH('Index&amp;Match'!F22,'Main Data'!$A22:$O22,0))</f>
        <v>Credit Card</v>
      </c>
      <c r="G23" s="2" t="str">
        <f>INDEX('Main Data'!$A$1:$O$1001,MATCH('Index&amp;Match'!$A23,'Main Data'!$A$1:$A$1001,0),MATCH('Index&amp;Match'!G22,'Main Data'!$A22:$O22,0))</f>
        <v>Email Campaign</v>
      </c>
      <c r="H23" s="2" t="str">
        <f>INDEX('Main Data'!$A$1:$O$1001,MATCH('Index&amp;Match'!$A23,'Main Data'!$A$1:$A$1001,0),MATCH('Index&amp;Match'!H22,'Main Data'!$A22:$O22,0))</f>
        <v>High Net Worth</v>
      </c>
      <c r="I23" s="2">
        <f>INDEX('Main Data'!$A$1:$O$1001,MATCH('Index&amp;Match'!$A23,'Main Data'!$A$1:$A$1001,0),MATCH('Index&amp;Match'!I22,'Main Data'!$A22:$O22,0))</f>
        <v>38</v>
      </c>
      <c r="J23" s="2">
        <f>INDEX('Main Data'!$A$1:$O$1001,MATCH('Index&amp;Match'!$A23,'Main Data'!$A$1:$A$1001,0),MATCH('Index&amp;Match'!J22,'Main Data'!$A22:$O22,0))</f>
        <v>38</v>
      </c>
      <c r="K23" s="11">
        <f>INDEX('Main Data'!$A$1:$O$1001,MATCH('Index&amp;Match'!$A23,'Main Data'!$A$1:$A$1001,0),MATCH('Index&amp;Match'!K22,'Main Data'!$A22:$O22,0))</f>
        <v>26144.82</v>
      </c>
      <c r="L23" s="11">
        <f>INDEX('Main Data'!$A$1:$O$1001,MATCH('Index&amp;Match'!$A23,'Main Data'!$A$1:$A$1001,0),MATCH('Index&amp;Match'!L22,'Main Data'!$A22:$O22,0))</f>
        <v>439.9</v>
      </c>
      <c r="M23" s="11">
        <f>INDEX('Main Data'!$A$1:$O$1001,MATCH('Index&amp;Match'!$A23,'Main Data'!$A$1:$A$1001,0),MATCH('Index&amp;Match'!M22,'Main Data'!$A22:$O22,0))</f>
        <v>10.94</v>
      </c>
      <c r="N23" s="2" t="str">
        <f>INDEX('Main Data'!$A$1:$O$1001,MATCH('Index&amp;Match'!$A23,'Main Data'!$A$1:$A$1001,0),MATCH('Index&amp;Match'!N22,'Main Data'!$A22:$O22,0))</f>
        <v>Yes</v>
      </c>
      <c r="O23" s="2">
        <f>INDEX('Main Data'!$A$1:$O$1001,MATCH('Index&amp;Match'!$A23,'Main Data'!$A$1:$A$1001,0),MATCH('Index&amp;Match'!O22,'Main Data'!$A22:$O22,0))</f>
        <v>5</v>
      </c>
    </row>
    <row r="24" spans="1:15" x14ac:dyDescent="0.3">
      <c r="A24" s="2" t="s">
        <v>77</v>
      </c>
      <c r="B24" s="1">
        <f>INDEX('Main Data'!$A$1:$O$1001,MATCH('Index&amp;Match'!$A24,'Main Data'!$A$1:$A$1001,0),MATCH('Index&amp;Match'!B23,'Main Data'!$A23:$O23,0))</f>
        <v>46175</v>
      </c>
      <c r="C24" s="2" t="str">
        <f>INDEX('Main Data'!$A$1:$O$1001,MATCH('Index&amp;Match'!$A24,'Main Data'!$A$1:$A$1001,0),MATCH('Index&amp;Match'!C23,'Main Data'!$A23:$O23,0))</f>
        <v>Jordan</v>
      </c>
      <c r="D24" s="2" t="str">
        <f>INDEX('Main Data'!$A$1:$O$1001,MATCH('Index&amp;Match'!$A24,'Main Data'!$A$1:$A$1001,0),MATCH('Index&amp;Match'!D23,'Main Data'!$A23:$O23,0))</f>
        <v>BR-008</v>
      </c>
      <c r="E24" s="2" t="str">
        <f>INDEX('Main Data'!$A$1:$O$1001,MATCH('Index&amp;Match'!$A24,'Main Data'!$A$1:$A$1001,0),MATCH('Index&amp;Match'!E23,'Main Data'!$A23:$O23,0))</f>
        <v>West</v>
      </c>
      <c r="F24" s="2" t="str">
        <f>INDEX('Main Data'!$A$1:$O$1001,MATCH('Index&amp;Match'!$A24,'Main Data'!$A$1:$A$1001,0),MATCH('Index&amp;Match'!F23,'Main Data'!$A23:$O23,0))</f>
        <v>Auto Loan</v>
      </c>
      <c r="G24" s="2" t="str">
        <f>INDEX('Main Data'!$A$1:$O$1001,MATCH('Index&amp;Match'!$A24,'Main Data'!$A$1:$A$1001,0),MATCH('Index&amp;Match'!G23,'Main Data'!$A23:$O23,0))</f>
        <v>Email Campaign</v>
      </c>
      <c r="H24" s="2" t="str">
        <f>INDEX('Main Data'!$A$1:$O$1001,MATCH('Index&amp;Match'!$A24,'Main Data'!$A$1:$A$1001,0),MATCH('Index&amp;Match'!H23,'Main Data'!$A23:$O23,0))</f>
        <v>SME</v>
      </c>
      <c r="I24" s="2">
        <f>INDEX('Main Data'!$A$1:$O$1001,MATCH('Index&amp;Match'!$A24,'Main Data'!$A$1:$A$1001,0),MATCH('Index&amp;Match'!I23,'Main Data'!$A23:$O23,0))</f>
        <v>70</v>
      </c>
      <c r="J24" s="2">
        <f>INDEX('Main Data'!$A$1:$O$1001,MATCH('Index&amp;Match'!$A24,'Main Data'!$A$1:$A$1001,0),MATCH('Index&amp;Match'!J23,'Main Data'!$A23:$O23,0))</f>
        <v>70</v>
      </c>
      <c r="K24" s="11">
        <f>INDEX('Main Data'!$A$1:$O$1001,MATCH('Index&amp;Match'!$A24,'Main Data'!$A$1:$A$1001,0),MATCH('Index&amp;Match'!K23,'Main Data'!$A23:$O23,0))</f>
        <v>37526.800000000003</v>
      </c>
      <c r="L24" s="11">
        <f>INDEX('Main Data'!$A$1:$O$1001,MATCH('Index&amp;Match'!$A24,'Main Data'!$A$1:$A$1001,0),MATCH('Index&amp;Match'!L23,'Main Data'!$A23:$O23,0))</f>
        <v>284.39999999999998</v>
      </c>
      <c r="M24" s="11">
        <f>INDEX('Main Data'!$A$1:$O$1001,MATCH('Index&amp;Match'!$A24,'Main Data'!$A$1:$A$1001,0),MATCH('Index&amp;Match'!M23,'Main Data'!$A23:$O23,0))</f>
        <v>180.51</v>
      </c>
      <c r="N24" s="2" t="str">
        <f>INDEX('Main Data'!$A$1:$O$1001,MATCH('Index&amp;Match'!$A24,'Main Data'!$A$1:$A$1001,0),MATCH('Index&amp;Match'!N23,'Main Data'!$A23:$O23,0))</f>
        <v>No</v>
      </c>
      <c r="O24" s="2">
        <f>INDEX('Main Data'!$A$1:$O$1001,MATCH('Index&amp;Match'!$A24,'Main Data'!$A$1:$A$1001,0),MATCH('Index&amp;Match'!O23,'Main Data'!$A23:$O23,0))</f>
        <v>1</v>
      </c>
    </row>
    <row r="25" spans="1:15" x14ac:dyDescent="0.3">
      <c r="A25" s="2" t="s">
        <v>79</v>
      </c>
      <c r="B25" s="1">
        <f>INDEX('Main Data'!$A$1:$O$1001,MATCH('Index&amp;Match'!$A25,'Main Data'!$A$1:$A$1001,0),MATCH('Index&amp;Match'!B24,'Main Data'!$A24:$O24,0))</f>
        <v>46015</v>
      </c>
      <c r="C25" s="2" t="str">
        <f>INDEX('Main Data'!$A$1:$O$1001,MATCH('Index&amp;Match'!$A25,'Main Data'!$A$1:$A$1001,0),MATCH('Index&amp;Match'!C24,'Main Data'!$A24:$O24,0))</f>
        <v>Drew</v>
      </c>
      <c r="D25" s="2" t="str">
        <f>INDEX('Main Data'!$A$1:$O$1001,MATCH('Index&amp;Match'!$A25,'Main Data'!$A$1:$A$1001,0),MATCH('Index&amp;Match'!D24,'Main Data'!$A24:$O24,0))</f>
        <v>BR-014</v>
      </c>
      <c r="E25" s="2" t="str">
        <f>INDEX('Main Data'!$A$1:$O$1001,MATCH('Index&amp;Match'!$A25,'Main Data'!$A$1:$A$1001,0),MATCH('Index&amp;Match'!E24,'Main Data'!$A24:$O24,0))</f>
        <v>Central</v>
      </c>
      <c r="F25" s="2" t="str">
        <f>INDEX('Main Data'!$A$1:$O$1001,MATCH('Index&amp;Match'!$A25,'Main Data'!$A$1:$A$1001,0),MATCH('Index&amp;Match'!F24,'Main Data'!$A24:$O24,0))</f>
        <v>Auto Loan</v>
      </c>
      <c r="G25" s="2" t="str">
        <f>INDEX('Main Data'!$A$1:$O$1001,MATCH('Index&amp;Match'!$A25,'Main Data'!$A$1:$A$1001,0),MATCH('Index&amp;Match'!G24,'Main Data'!$A24:$O24,0))</f>
        <v>Email Campaign</v>
      </c>
      <c r="H25" s="2" t="str">
        <f>INDEX('Main Data'!$A$1:$O$1001,MATCH('Index&amp;Match'!$A25,'Main Data'!$A$1:$A$1001,0),MATCH('Index&amp;Match'!H24,'Main Data'!$A24:$O24,0))</f>
        <v>Retail</v>
      </c>
      <c r="I25" s="2">
        <f>INDEX('Main Data'!$A$1:$O$1001,MATCH('Index&amp;Match'!$A25,'Main Data'!$A$1:$A$1001,0),MATCH('Index&amp;Match'!I24,'Main Data'!$A24:$O24,0))</f>
        <v>25</v>
      </c>
      <c r="J25" s="2">
        <f>INDEX('Main Data'!$A$1:$O$1001,MATCH('Index&amp;Match'!$A25,'Main Data'!$A$1:$A$1001,0),MATCH('Index&amp;Match'!J24,'Main Data'!$A24:$O24,0))</f>
        <v>25</v>
      </c>
      <c r="K25" s="11">
        <f>INDEX('Main Data'!$A$1:$O$1001,MATCH('Index&amp;Match'!$A25,'Main Data'!$A$1:$A$1001,0),MATCH('Index&amp;Match'!K24,'Main Data'!$A24:$O24,0))</f>
        <v>41908.28</v>
      </c>
      <c r="L25" s="11">
        <f>INDEX('Main Data'!$A$1:$O$1001,MATCH('Index&amp;Match'!$A25,'Main Data'!$A$1:$A$1001,0),MATCH('Index&amp;Match'!L24,'Main Data'!$A24:$O24,0))</f>
        <v>351.17</v>
      </c>
      <c r="M25" s="11">
        <f>INDEX('Main Data'!$A$1:$O$1001,MATCH('Index&amp;Match'!$A25,'Main Data'!$A$1:$A$1001,0),MATCH('Index&amp;Match'!M24,'Main Data'!$A24:$O24,0))</f>
        <v>14.66</v>
      </c>
      <c r="N25" s="2" t="str">
        <f>INDEX('Main Data'!$A$1:$O$1001,MATCH('Index&amp;Match'!$A25,'Main Data'!$A$1:$A$1001,0),MATCH('Index&amp;Match'!N24,'Main Data'!$A24:$O24,0))</f>
        <v>Yes</v>
      </c>
      <c r="O25" s="2">
        <f>INDEX('Main Data'!$A$1:$O$1001,MATCH('Index&amp;Match'!$A25,'Main Data'!$A$1:$A$1001,0),MATCH('Index&amp;Match'!O24,'Main Data'!$A24:$O24,0))</f>
        <v>1</v>
      </c>
    </row>
    <row r="26" spans="1:15" x14ac:dyDescent="0.3">
      <c r="A26" s="2" t="s">
        <v>80</v>
      </c>
      <c r="B26" s="1">
        <f>INDEX('Main Data'!$A$1:$O$1001,MATCH('Index&amp;Match'!$A26,'Main Data'!$A$1:$A$1001,0),MATCH('Index&amp;Match'!B25,'Main Data'!$A25:$O25,0))</f>
        <v>46124</v>
      </c>
      <c r="C26" s="2" t="str">
        <f>INDEX('Main Data'!$A$1:$O$1001,MATCH('Index&amp;Match'!$A26,'Main Data'!$A$1:$A$1001,0),MATCH('Index&amp;Match'!C25,'Main Data'!$A25:$O25,0))</f>
        <v>Morgan</v>
      </c>
      <c r="D26" s="2" t="str">
        <f>INDEX('Main Data'!$A$1:$O$1001,MATCH('Index&amp;Match'!$A26,'Main Data'!$A$1:$A$1001,0),MATCH('Index&amp;Match'!D25,'Main Data'!$A25:$O25,0))</f>
        <v>BR-002</v>
      </c>
      <c r="E26" s="2" t="str">
        <f>INDEX('Main Data'!$A$1:$O$1001,MATCH('Index&amp;Match'!$A26,'Main Data'!$A$1:$A$1001,0),MATCH('Index&amp;Match'!E25,'Main Data'!$A25:$O25,0))</f>
        <v>North</v>
      </c>
      <c r="F26" s="2" t="str">
        <f>INDEX('Main Data'!$A$1:$O$1001,MATCH('Index&amp;Match'!$A26,'Main Data'!$A$1:$A$1001,0),MATCH('Index&amp;Match'!F25,'Main Data'!$A25:$O25,0))</f>
        <v>Credit Card</v>
      </c>
      <c r="G26" s="2" t="str">
        <f>INDEX('Main Data'!$A$1:$O$1001,MATCH('Index&amp;Match'!$A26,'Main Data'!$A$1:$A$1001,0),MATCH('Index&amp;Match'!G25,'Main Data'!$A25:$O25,0))</f>
        <v>Website</v>
      </c>
      <c r="H26" s="2" t="str">
        <f>INDEX('Main Data'!$A$1:$O$1001,MATCH('Index&amp;Match'!$A26,'Main Data'!$A$1:$A$1001,0),MATCH('Index&amp;Match'!H25,'Main Data'!$A25:$O25,0))</f>
        <v>High Net Worth</v>
      </c>
      <c r="I26" s="2">
        <f>INDEX('Main Data'!$A$1:$O$1001,MATCH('Index&amp;Match'!$A26,'Main Data'!$A$1:$A$1001,0),MATCH('Index&amp;Match'!I25,'Main Data'!$A25:$O25,0))</f>
        <v>73</v>
      </c>
      <c r="J26" s="2">
        <f>INDEX('Main Data'!$A$1:$O$1001,MATCH('Index&amp;Match'!$A26,'Main Data'!$A$1:$A$1001,0),MATCH('Index&amp;Match'!J25,'Main Data'!$A25:$O25,0))</f>
        <v>73</v>
      </c>
      <c r="K26" s="11">
        <f>INDEX('Main Data'!$A$1:$O$1001,MATCH('Index&amp;Match'!$A26,'Main Data'!$A$1:$A$1001,0),MATCH('Index&amp;Match'!K25,'Main Data'!$A25:$O25,0))</f>
        <v>35364.6</v>
      </c>
      <c r="L26" s="11">
        <f>INDEX('Main Data'!$A$1:$O$1001,MATCH('Index&amp;Match'!$A26,'Main Data'!$A$1:$A$1001,0),MATCH('Index&amp;Match'!L25,'Main Data'!$A25:$O25,0))</f>
        <v>416.76</v>
      </c>
      <c r="M26" s="11">
        <f>INDEX('Main Data'!$A$1:$O$1001,MATCH('Index&amp;Match'!$A26,'Main Data'!$A$1:$A$1001,0),MATCH('Index&amp;Match'!M25,'Main Data'!$A25:$O25,0))</f>
        <v>268.26</v>
      </c>
      <c r="N26" s="2" t="str">
        <f>INDEX('Main Data'!$A$1:$O$1001,MATCH('Index&amp;Match'!$A26,'Main Data'!$A$1:$A$1001,0),MATCH('Index&amp;Match'!N25,'Main Data'!$A25:$O25,0))</f>
        <v>No</v>
      </c>
      <c r="O26" s="2">
        <f>INDEX('Main Data'!$A$1:$O$1001,MATCH('Index&amp;Match'!$A26,'Main Data'!$A$1:$A$1001,0),MATCH('Index&amp;Match'!O25,'Main Data'!$A25:$O25,0))</f>
        <v>1</v>
      </c>
    </row>
    <row r="27" spans="1:15" x14ac:dyDescent="0.3">
      <c r="A27" s="2" t="s">
        <v>81</v>
      </c>
      <c r="B27" s="1">
        <f>INDEX('Main Data'!$A$1:$O$1001,MATCH('Index&amp;Match'!$A27,'Main Data'!$A$1:$A$1001,0),MATCH('Index&amp;Match'!B26,'Main Data'!$A26:$O26,0))</f>
        <v>46133</v>
      </c>
      <c r="C27" s="2" t="str">
        <f>INDEX('Main Data'!$A$1:$O$1001,MATCH('Index&amp;Match'!$A27,'Main Data'!$A$1:$A$1001,0),MATCH('Index&amp;Match'!C26,'Main Data'!$A26:$O26,0))</f>
        <v>Sam</v>
      </c>
      <c r="D27" s="2" t="str">
        <f>INDEX('Main Data'!$A$1:$O$1001,MATCH('Index&amp;Match'!$A27,'Main Data'!$A$1:$A$1001,0),MATCH('Index&amp;Match'!D26,'Main Data'!$A26:$O26,0))</f>
        <v>BR-011</v>
      </c>
      <c r="E27" s="2" t="str">
        <f>INDEX('Main Data'!$A$1:$O$1001,MATCH('Index&amp;Match'!$A27,'Main Data'!$A$1:$A$1001,0),MATCH('Index&amp;Match'!E26,'Main Data'!$A26:$O26,0))</f>
        <v>Central</v>
      </c>
      <c r="F27" s="2" t="str">
        <f>INDEX('Main Data'!$A$1:$O$1001,MATCH('Index&amp;Match'!$A27,'Main Data'!$A$1:$A$1001,0),MATCH('Index&amp;Match'!F26,'Main Data'!$A26:$O26,0))</f>
        <v>Credit Card</v>
      </c>
      <c r="G27" s="2" t="str">
        <f>INDEX('Main Data'!$A$1:$O$1001,MATCH('Index&amp;Match'!$A27,'Main Data'!$A$1:$A$1001,0),MATCH('Index&amp;Match'!G26,'Main Data'!$A26:$O26,0))</f>
        <v>Referral</v>
      </c>
      <c r="H27" s="2" t="str">
        <f>INDEX('Main Data'!$A$1:$O$1001,MATCH('Index&amp;Match'!$A27,'Main Data'!$A$1:$A$1001,0),MATCH('Index&amp;Match'!H26,'Main Data'!$A26:$O26,0))</f>
        <v>SME</v>
      </c>
      <c r="I27" s="2">
        <f>INDEX('Main Data'!$A$1:$O$1001,MATCH('Index&amp;Match'!$A27,'Main Data'!$A$1:$A$1001,0),MATCH('Index&amp;Match'!I26,'Main Data'!$A26:$O26,0))</f>
        <v>49</v>
      </c>
      <c r="J27" s="2">
        <f>INDEX('Main Data'!$A$1:$O$1001,MATCH('Index&amp;Match'!$A27,'Main Data'!$A$1:$A$1001,0),MATCH('Index&amp;Match'!J26,'Main Data'!$A26:$O26,0))</f>
        <v>49</v>
      </c>
      <c r="K27" s="11">
        <f>INDEX('Main Data'!$A$1:$O$1001,MATCH('Index&amp;Match'!$A27,'Main Data'!$A$1:$A$1001,0),MATCH('Index&amp;Match'!K26,'Main Data'!$A26:$O26,0))</f>
        <v>46465.55</v>
      </c>
      <c r="L27" s="11">
        <f>INDEX('Main Data'!$A$1:$O$1001,MATCH('Index&amp;Match'!$A27,'Main Data'!$A$1:$A$1001,0),MATCH('Index&amp;Match'!L26,'Main Data'!$A26:$O26,0))</f>
        <v>167.3</v>
      </c>
      <c r="M27" s="11">
        <f>INDEX('Main Data'!$A$1:$O$1001,MATCH('Index&amp;Match'!$A27,'Main Data'!$A$1:$A$1001,0),MATCH('Index&amp;Match'!M26,'Main Data'!$A26:$O26,0))</f>
        <v>45.63</v>
      </c>
      <c r="N27" s="2" t="str">
        <f>INDEX('Main Data'!$A$1:$O$1001,MATCH('Index&amp;Match'!$A27,'Main Data'!$A$1:$A$1001,0),MATCH('Index&amp;Match'!N26,'Main Data'!$A26:$O26,0))</f>
        <v>Yes</v>
      </c>
      <c r="O27" s="2">
        <f>INDEX('Main Data'!$A$1:$O$1001,MATCH('Index&amp;Match'!$A27,'Main Data'!$A$1:$A$1001,0),MATCH('Index&amp;Match'!O26,'Main Data'!$A26:$O26,0))</f>
        <v>3</v>
      </c>
    </row>
    <row r="28" spans="1:15" x14ac:dyDescent="0.3">
      <c r="A28" s="2" t="s">
        <v>83</v>
      </c>
      <c r="B28" s="1">
        <f>INDEX('Main Data'!$A$1:$O$1001,MATCH('Index&amp;Match'!$A28,'Main Data'!$A$1:$A$1001,0),MATCH('Index&amp;Match'!B27,'Main Data'!$A27:$O27,0))</f>
        <v>46209</v>
      </c>
      <c r="C28" s="2" t="str">
        <f>INDEX('Main Data'!$A$1:$O$1001,MATCH('Index&amp;Match'!$A28,'Main Data'!$A$1:$A$1001,0),MATCH('Index&amp;Match'!C27,'Main Data'!$A27:$O27,0))</f>
        <v>Sam</v>
      </c>
      <c r="D28" s="2" t="str">
        <f>INDEX('Main Data'!$A$1:$O$1001,MATCH('Index&amp;Match'!$A28,'Main Data'!$A$1:$A$1001,0),MATCH('Index&amp;Match'!D27,'Main Data'!$A27:$O27,0))</f>
        <v>BR-013</v>
      </c>
      <c r="E28" s="2" t="str">
        <f>INDEX('Main Data'!$A$1:$O$1001,MATCH('Index&amp;Match'!$A28,'Main Data'!$A$1:$A$1001,0),MATCH('Index&amp;Match'!E27,'Main Data'!$A27:$O27,0))</f>
        <v>South</v>
      </c>
      <c r="F28" s="2" t="str">
        <f>INDEX('Main Data'!$A$1:$O$1001,MATCH('Index&amp;Match'!$A28,'Main Data'!$A$1:$A$1001,0),MATCH('Index&amp;Match'!F27,'Main Data'!$A27:$O27,0))</f>
        <v>Credit Card</v>
      </c>
      <c r="G28" s="2" t="str">
        <f>INDEX('Main Data'!$A$1:$O$1001,MATCH('Index&amp;Match'!$A28,'Main Data'!$A$1:$A$1001,0),MATCH('Index&amp;Match'!G27,'Main Data'!$A27:$O27,0))</f>
        <v>Social Media</v>
      </c>
      <c r="H28" s="2" t="str">
        <f>INDEX('Main Data'!$A$1:$O$1001,MATCH('Index&amp;Match'!$A28,'Main Data'!$A$1:$A$1001,0),MATCH('Index&amp;Match'!H27,'Main Data'!$A27:$O27,0))</f>
        <v>Corporate</v>
      </c>
      <c r="I28" s="2">
        <f>INDEX('Main Data'!$A$1:$O$1001,MATCH('Index&amp;Match'!$A28,'Main Data'!$A$1:$A$1001,0),MATCH('Index&amp;Match'!I27,'Main Data'!$A27:$O27,0))</f>
        <v>59</v>
      </c>
      <c r="J28" s="2">
        <f>INDEX('Main Data'!$A$1:$O$1001,MATCH('Index&amp;Match'!$A28,'Main Data'!$A$1:$A$1001,0),MATCH('Index&amp;Match'!J27,'Main Data'!$A27:$O27,0))</f>
        <v>59</v>
      </c>
      <c r="K28" s="11">
        <f>INDEX('Main Data'!$A$1:$O$1001,MATCH('Index&amp;Match'!$A28,'Main Data'!$A$1:$A$1001,0),MATCH('Index&amp;Match'!K27,'Main Data'!$A27:$O27,0))</f>
        <v>37067.800000000003</v>
      </c>
      <c r="L28" s="11">
        <f>INDEX('Main Data'!$A$1:$O$1001,MATCH('Index&amp;Match'!$A28,'Main Data'!$A$1:$A$1001,0),MATCH('Index&amp;Match'!L27,'Main Data'!$A27:$O27,0))</f>
        <v>183.6</v>
      </c>
      <c r="M28" s="11">
        <f>INDEX('Main Data'!$A$1:$O$1001,MATCH('Index&amp;Match'!$A28,'Main Data'!$A$1:$A$1001,0),MATCH('Index&amp;Match'!M27,'Main Data'!$A27:$O27,0))</f>
        <v>148</v>
      </c>
      <c r="N28" s="2" t="str">
        <f>INDEX('Main Data'!$A$1:$O$1001,MATCH('Index&amp;Match'!$A28,'Main Data'!$A$1:$A$1001,0),MATCH('Index&amp;Match'!N27,'Main Data'!$A27:$O27,0))</f>
        <v>Yes</v>
      </c>
      <c r="O28" s="2">
        <f>INDEX('Main Data'!$A$1:$O$1001,MATCH('Index&amp;Match'!$A28,'Main Data'!$A$1:$A$1001,0),MATCH('Index&amp;Match'!O27,'Main Data'!$A27:$O27,0))</f>
        <v>1</v>
      </c>
    </row>
    <row r="29" spans="1:15" x14ac:dyDescent="0.3">
      <c r="A29" s="2" t="s">
        <v>84</v>
      </c>
      <c r="B29" s="1">
        <f>INDEX('Main Data'!$A$1:$O$1001,MATCH('Index&amp;Match'!$A29,'Main Data'!$A$1:$A$1001,0),MATCH('Index&amp;Match'!B28,'Main Data'!$A28:$O28,0))</f>
        <v>45972</v>
      </c>
      <c r="C29" s="2" t="str">
        <f>INDEX('Main Data'!$A$1:$O$1001,MATCH('Index&amp;Match'!$A29,'Main Data'!$A$1:$A$1001,0),MATCH('Index&amp;Match'!C28,'Main Data'!$A28:$O28,0))</f>
        <v>Jordan</v>
      </c>
      <c r="D29" s="2" t="str">
        <f>INDEX('Main Data'!$A$1:$O$1001,MATCH('Index&amp;Match'!$A29,'Main Data'!$A$1:$A$1001,0),MATCH('Index&amp;Match'!D28,'Main Data'!$A28:$O28,0))</f>
        <v>BR-005</v>
      </c>
      <c r="E29" s="2" t="str">
        <f>INDEX('Main Data'!$A$1:$O$1001,MATCH('Index&amp;Match'!$A29,'Main Data'!$A$1:$A$1001,0),MATCH('Index&amp;Match'!E28,'Main Data'!$A28:$O28,0))</f>
        <v>North</v>
      </c>
      <c r="F29" s="2" t="str">
        <f>INDEX('Main Data'!$A$1:$O$1001,MATCH('Index&amp;Match'!$A29,'Main Data'!$A$1:$A$1001,0),MATCH('Index&amp;Match'!F28,'Main Data'!$A28:$O28,0))</f>
        <v>Personal Loan</v>
      </c>
      <c r="G29" s="2" t="str">
        <f>INDEX('Main Data'!$A$1:$O$1001,MATCH('Index&amp;Match'!$A29,'Main Data'!$A$1:$A$1001,0),MATCH('Index&amp;Match'!G28,'Main Data'!$A28:$O28,0))</f>
        <v>Referral</v>
      </c>
      <c r="H29" s="2" t="str">
        <f>INDEX('Main Data'!$A$1:$O$1001,MATCH('Index&amp;Match'!$A29,'Main Data'!$A$1:$A$1001,0),MATCH('Index&amp;Match'!H28,'Main Data'!$A28:$O28,0))</f>
        <v>High Net Worth</v>
      </c>
      <c r="I29" s="2">
        <f>INDEX('Main Data'!$A$1:$O$1001,MATCH('Index&amp;Match'!$A29,'Main Data'!$A$1:$A$1001,0),MATCH('Index&amp;Match'!I28,'Main Data'!$A28:$O28,0))</f>
        <v>54</v>
      </c>
      <c r="J29" s="2">
        <f>INDEX('Main Data'!$A$1:$O$1001,MATCH('Index&amp;Match'!$A29,'Main Data'!$A$1:$A$1001,0),MATCH('Index&amp;Match'!J28,'Main Data'!$A28:$O28,0))</f>
        <v>54</v>
      </c>
      <c r="K29" s="11">
        <f>INDEX('Main Data'!$A$1:$O$1001,MATCH('Index&amp;Match'!$A29,'Main Data'!$A$1:$A$1001,0),MATCH('Index&amp;Match'!K28,'Main Data'!$A28:$O28,0))</f>
        <v>15660.26</v>
      </c>
      <c r="L29" s="11">
        <f>INDEX('Main Data'!$A$1:$O$1001,MATCH('Index&amp;Match'!$A29,'Main Data'!$A$1:$A$1001,0),MATCH('Index&amp;Match'!L28,'Main Data'!$A28:$O28,0))</f>
        <v>50.28</v>
      </c>
      <c r="M29" s="11">
        <f>INDEX('Main Data'!$A$1:$O$1001,MATCH('Index&amp;Match'!$A29,'Main Data'!$A$1:$A$1001,0),MATCH('Index&amp;Match'!M28,'Main Data'!$A28:$O28,0))</f>
        <v>92.93</v>
      </c>
      <c r="N29" s="2" t="str">
        <f>INDEX('Main Data'!$A$1:$O$1001,MATCH('Index&amp;Match'!$A29,'Main Data'!$A$1:$A$1001,0),MATCH('Index&amp;Match'!N28,'Main Data'!$A28:$O28,0))</f>
        <v>Yes</v>
      </c>
      <c r="O29" s="2">
        <f>INDEX('Main Data'!$A$1:$O$1001,MATCH('Index&amp;Match'!$A29,'Main Data'!$A$1:$A$1001,0),MATCH('Index&amp;Match'!O28,'Main Data'!$A28:$O28,0))</f>
        <v>1</v>
      </c>
    </row>
    <row r="30" spans="1:15" x14ac:dyDescent="0.3">
      <c r="A30" s="2" t="s">
        <v>85</v>
      </c>
      <c r="B30" s="1">
        <f>INDEX('Main Data'!$A$1:$O$1001,MATCH('Index&amp;Match'!$A30,'Main Data'!$A$1:$A$1001,0),MATCH('Index&amp;Match'!B29,'Main Data'!$A29:$O29,0))</f>
        <v>46204</v>
      </c>
      <c r="C30" s="2" t="str">
        <f>INDEX('Main Data'!$A$1:$O$1001,MATCH('Index&amp;Match'!$A30,'Main Data'!$A$1:$A$1001,0),MATCH('Index&amp;Match'!C29,'Main Data'!$A29:$O29,0))</f>
        <v>Drew</v>
      </c>
      <c r="D30" s="2" t="str">
        <f>INDEX('Main Data'!$A$1:$O$1001,MATCH('Index&amp;Match'!$A30,'Main Data'!$A$1:$A$1001,0),MATCH('Index&amp;Match'!D29,'Main Data'!$A29:$O29,0))</f>
        <v>BR-007</v>
      </c>
      <c r="E30" s="2" t="str">
        <f>INDEX('Main Data'!$A$1:$O$1001,MATCH('Index&amp;Match'!$A30,'Main Data'!$A$1:$A$1001,0),MATCH('Index&amp;Match'!E29,'Main Data'!$A29:$O29,0))</f>
        <v>Central</v>
      </c>
      <c r="F30" s="2" t="str">
        <f>INDEX('Main Data'!$A$1:$O$1001,MATCH('Index&amp;Match'!$A30,'Main Data'!$A$1:$A$1001,0),MATCH('Index&amp;Match'!F29,'Main Data'!$A29:$O29,0))</f>
        <v>Personal Loan</v>
      </c>
      <c r="G30" s="2" t="str">
        <f>INDEX('Main Data'!$A$1:$O$1001,MATCH('Index&amp;Match'!$A30,'Main Data'!$A$1:$A$1001,0),MATCH('Index&amp;Match'!G29,'Main Data'!$A29:$O29,0))</f>
        <v>Walk-in</v>
      </c>
      <c r="H30" s="2" t="str">
        <f>INDEX('Main Data'!$A$1:$O$1001,MATCH('Index&amp;Match'!$A30,'Main Data'!$A$1:$A$1001,0),MATCH('Index&amp;Match'!H29,'Main Data'!$A29:$O29,0))</f>
        <v>High Net Worth</v>
      </c>
      <c r="I30" s="2">
        <f>INDEX('Main Data'!$A$1:$O$1001,MATCH('Index&amp;Match'!$A30,'Main Data'!$A$1:$A$1001,0),MATCH('Index&amp;Match'!I29,'Main Data'!$A29:$O29,0))</f>
        <v>63</v>
      </c>
      <c r="J30" s="2">
        <f>INDEX('Main Data'!$A$1:$O$1001,MATCH('Index&amp;Match'!$A30,'Main Data'!$A$1:$A$1001,0),MATCH('Index&amp;Match'!J29,'Main Data'!$A29:$O29,0))</f>
        <v>63</v>
      </c>
      <c r="K30" s="11">
        <f>INDEX('Main Data'!$A$1:$O$1001,MATCH('Index&amp;Match'!$A30,'Main Data'!$A$1:$A$1001,0),MATCH('Index&amp;Match'!K29,'Main Data'!$A29:$O29,0))</f>
        <v>13621.52</v>
      </c>
      <c r="L30" s="11">
        <f>INDEX('Main Data'!$A$1:$O$1001,MATCH('Index&amp;Match'!$A30,'Main Data'!$A$1:$A$1001,0),MATCH('Index&amp;Match'!L29,'Main Data'!$A29:$O29,0))</f>
        <v>483.39</v>
      </c>
      <c r="M30" s="11">
        <f>INDEX('Main Data'!$A$1:$O$1001,MATCH('Index&amp;Match'!$A30,'Main Data'!$A$1:$A$1001,0),MATCH('Index&amp;Match'!M29,'Main Data'!$A29:$O29,0))</f>
        <v>257.62</v>
      </c>
      <c r="N30" s="2" t="str">
        <f>INDEX('Main Data'!$A$1:$O$1001,MATCH('Index&amp;Match'!$A30,'Main Data'!$A$1:$A$1001,0),MATCH('Index&amp;Match'!N29,'Main Data'!$A29:$O29,0))</f>
        <v>Yes</v>
      </c>
      <c r="O30" s="2">
        <f>INDEX('Main Data'!$A$1:$O$1001,MATCH('Index&amp;Match'!$A30,'Main Data'!$A$1:$A$1001,0),MATCH('Index&amp;Match'!O29,'Main Data'!$A29:$O29,0))</f>
        <v>5</v>
      </c>
    </row>
    <row r="31" spans="1:15" x14ac:dyDescent="0.3">
      <c r="A31" s="2" t="s">
        <v>87</v>
      </c>
      <c r="B31" s="1">
        <f>INDEX('Main Data'!$A$1:$O$1001,MATCH('Index&amp;Match'!$A31,'Main Data'!$A$1:$A$1001,0),MATCH('Index&amp;Match'!B30,'Main Data'!$A30:$O30,0))</f>
        <v>46178</v>
      </c>
      <c r="C31" s="2" t="str">
        <f>INDEX('Main Data'!$A$1:$O$1001,MATCH('Index&amp;Match'!$A31,'Main Data'!$A$1:$A$1001,0),MATCH('Index&amp;Match'!C30,'Main Data'!$A30:$O30,0))</f>
        <v>Morgan</v>
      </c>
      <c r="D31" s="2" t="str">
        <f>INDEX('Main Data'!$A$1:$O$1001,MATCH('Index&amp;Match'!$A31,'Main Data'!$A$1:$A$1001,0),MATCH('Index&amp;Match'!D30,'Main Data'!$A30:$O30,0))</f>
        <v>BR-008</v>
      </c>
      <c r="E31" s="2" t="str">
        <f>INDEX('Main Data'!$A$1:$O$1001,MATCH('Index&amp;Match'!$A31,'Main Data'!$A$1:$A$1001,0),MATCH('Index&amp;Match'!E30,'Main Data'!$A30:$O30,0))</f>
        <v>South</v>
      </c>
      <c r="F31" s="2" t="str">
        <f>INDEX('Main Data'!$A$1:$O$1001,MATCH('Index&amp;Match'!$A31,'Main Data'!$A$1:$A$1001,0),MATCH('Index&amp;Match'!F30,'Main Data'!$A30:$O30,0))</f>
        <v>Personal Loan</v>
      </c>
      <c r="G31" s="2" t="str">
        <f>INDEX('Main Data'!$A$1:$O$1001,MATCH('Index&amp;Match'!$A31,'Main Data'!$A$1:$A$1001,0),MATCH('Index&amp;Match'!G30,'Main Data'!$A30:$O30,0))</f>
        <v>Email Campaign</v>
      </c>
      <c r="H31" s="2" t="str">
        <f>INDEX('Main Data'!$A$1:$O$1001,MATCH('Index&amp;Match'!$A31,'Main Data'!$A$1:$A$1001,0),MATCH('Index&amp;Match'!H30,'Main Data'!$A30:$O30,0))</f>
        <v>Corporate</v>
      </c>
      <c r="I31" s="2">
        <f>INDEX('Main Data'!$A$1:$O$1001,MATCH('Index&amp;Match'!$A31,'Main Data'!$A$1:$A$1001,0),MATCH('Index&amp;Match'!I30,'Main Data'!$A30:$O30,0))</f>
        <v>65</v>
      </c>
      <c r="J31" s="2">
        <f>INDEX('Main Data'!$A$1:$O$1001,MATCH('Index&amp;Match'!$A31,'Main Data'!$A$1:$A$1001,0),MATCH('Index&amp;Match'!J30,'Main Data'!$A30:$O30,0))</f>
        <v>65</v>
      </c>
      <c r="K31" s="11">
        <f>INDEX('Main Data'!$A$1:$O$1001,MATCH('Index&amp;Match'!$A31,'Main Data'!$A$1:$A$1001,0),MATCH('Index&amp;Match'!K30,'Main Data'!$A30:$O30,0))</f>
        <v>34961.53</v>
      </c>
      <c r="L31" s="11">
        <f>INDEX('Main Data'!$A$1:$O$1001,MATCH('Index&amp;Match'!$A31,'Main Data'!$A$1:$A$1001,0),MATCH('Index&amp;Match'!L30,'Main Data'!$A30:$O30,0))</f>
        <v>462.9</v>
      </c>
      <c r="M31" s="11">
        <f>INDEX('Main Data'!$A$1:$O$1001,MATCH('Index&amp;Match'!$A31,'Main Data'!$A$1:$A$1001,0),MATCH('Index&amp;Match'!M30,'Main Data'!$A30:$O30,0))</f>
        <v>140.09</v>
      </c>
      <c r="N31" s="2" t="str">
        <f>INDEX('Main Data'!$A$1:$O$1001,MATCH('Index&amp;Match'!$A31,'Main Data'!$A$1:$A$1001,0),MATCH('Index&amp;Match'!N30,'Main Data'!$A30:$O30,0))</f>
        <v>Yes</v>
      </c>
      <c r="O31" s="2">
        <f>INDEX('Main Data'!$A$1:$O$1001,MATCH('Index&amp;Match'!$A31,'Main Data'!$A$1:$A$1001,0),MATCH('Index&amp;Match'!O30,'Main Data'!$A30:$O30,0))</f>
        <v>3</v>
      </c>
    </row>
    <row r="32" spans="1:15" x14ac:dyDescent="0.3">
      <c r="A32" s="2" t="s">
        <v>88</v>
      </c>
      <c r="B32" s="1">
        <f>INDEX('Main Data'!$A$1:$O$1001,MATCH('Index&amp;Match'!$A32,'Main Data'!$A$1:$A$1001,0),MATCH('Index&amp;Match'!B31,'Main Data'!$A31:$O31,0))</f>
        <v>46012</v>
      </c>
      <c r="C32" s="2" t="str">
        <f>INDEX('Main Data'!$A$1:$O$1001,MATCH('Index&amp;Match'!$A32,'Main Data'!$A$1:$A$1001,0),MATCH('Index&amp;Match'!C31,'Main Data'!$A31:$O31,0))</f>
        <v>Casey</v>
      </c>
      <c r="D32" s="2" t="str">
        <f>INDEX('Main Data'!$A$1:$O$1001,MATCH('Index&amp;Match'!$A32,'Main Data'!$A$1:$A$1001,0),MATCH('Index&amp;Match'!D31,'Main Data'!$A31:$O31,0))</f>
        <v>BR-001</v>
      </c>
      <c r="E32" s="2" t="str">
        <f>INDEX('Main Data'!$A$1:$O$1001,MATCH('Index&amp;Match'!$A32,'Main Data'!$A$1:$A$1001,0),MATCH('Index&amp;Match'!E31,'Main Data'!$A31:$O31,0))</f>
        <v>West</v>
      </c>
      <c r="F32" s="2" t="str">
        <f>INDEX('Main Data'!$A$1:$O$1001,MATCH('Index&amp;Match'!$A32,'Main Data'!$A$1:$A$1001,0),MATCH('Index&amp;Match'!F31,'Main Data'!$A31:$O31,0))</f>
        <v>Wealth Management</v>
      </c>
      <c r="G32" s="2" t="str">
        <f>INDEX('Main Data'!$A$1:$O$1001,MATCH('Index&amp;Match'!$A32,'Main Data'!$A$1:$A$1001,0),MATCH('Index&amp;Match'!G31,'Main Data'!$A31:$O31,0))</f>
        <v>Referral</v>
      </c>
      <c r="H32" s="2" t="str">
        <f>INDEX('Main Data'!$A$1:$O$1001,MATCH('Index&amp;Match'!$A32,'Main Data'!$A$1:$A$1001,0),MATCH('Index&amp;Match'!H31,'Main Data'!$A31:$O31,0))</f>
        <v>Retail</v>
      </c>
      <c r="I32" s="2">
        <f>INDEX('Main Data'!$A$1:$O$1001,MATCH('Index&amp;Match'!$A32,'Main Data'!$A$1:$A$1001,0),MATCH('Index&amp;Match'!I31,'Main Data'!$A31:$O31,0))</f>
        <v>43</v>
      </c>
      <c r="J32" s="2">
        <f>INDEX('Main Data'!$A$1:$O$1001,MATCH('Index&amp;Match'!$A32,'Main Data'!$A$1:$A$1001,0),MATCH('Index&amp;Match'!J31,'Main Data'!$A31:$O31,0))</f>
        <v>43</v>
      </c>
      <c r="K32" s="11">
        <f>INDEX('Main Data'!$A$1:$O$1001,MATCH('Index&amp;Match'!$A32,'Main Data'!$A$1:$A$1001,0),MATCH('Index&amp;Match'!K31,'Main Data'!$A31:$O31,0))</f>
        <v>10047.09</v>
      </c>
      <c r="L32" s="11">
        <f>INDEX('Main Data'!$A$1:$O$1001,MATCH('Index&amp;Match'!$A32,'Main Data'!$A$1:$A$1001,0),MATCH('Index&amp;Match'!L31,'Main Data'!$A31:$O31,0))</f>
        <v>394.06</v>
      </c>
      <c r="M32" s="11">
        <f>INDEX('Main Data'!$A$1:$O$1001,MATCH('Index&amp;Match'!$A32,'Main Data'!$A$1:$A$1001,0),MATCH('Index&amp;Match'!M31,'Main Data'!$A31:$O31,0))</f>
        <v>80.36</v>
      </c>
      <c r="N32" s="2" t="str">
        <f>INDEX('Main Data'!$A$1:$O$1001,MATCH('Index&amp;Match'!$A32,'Main Data'!$A$1:$A$1001,0),MATCH('Index&amp;Match'!N31,'Main Data'!$A31:$O31,0))</f>
        <v>No</v>
      </c>
      <c r="O32" s="2">
        <f>INDEX('Main Data'!$A$1:$O$1001,MATCH('Index&amp;Match'!$A32,'Main Data'!$A$1:$A$1001,0),MATCH('Index&amp;Match'!O31,'Main Data'!$A31:$O31,0))</f>
        <v>3</v>
      </c>
    </row>
    <row r="33" spans="1:15" x14ac:dyDescent="0.3">
      <c r="A33" s="2" t="s">
        <v>89</v>
      </c>
      <c r="B33" s="1">
        <f>INDEX('Main Data'!$A$1:$O$1001,MATCH('Index&amp;Match'!$A33,'Main Data'!$A$1:$A$1001,0),MATCH('Index&amp;Match'!B32,'Main Data'!$A32:$O32,0))</f>
        <v>46152</v>
      </c>
      <c r="C33" s="2" t="str">
        <f>INDEX('Main Data'!$A$1:$O$1001,MATCH('Index&amp;Match'!$A33,'Main Data'!$A$1:$A$1001,0),MATCH('Index&amp;Match'!C32,'Main Data'!$A32:$O32,0))</f>
        <v>Alex</v>
      </c>
      <c r="D33" s="2" t="str">
        <f>INDEX('Main Data'!$A$1:$O$1001,MATCH('Index&amp;Match'!$A33,'Main Data'!$A$1:$A$1001,0),MATCH('Index&amp;Match'!D32,'Main Data'!$A32:$O32,0))</f>
        <v>BR-006</v>
      </c>
      <c r="E33" s="2" t="str">
        <f>INDEX('Main Data'!$A$1:$O$1001,MATCH('Index&amp;Match'!$A33,'Main Data'!$A$1:$A$1001,0),MATCH('Index&amp;Match'!E32,'Main Data'!$A32:$O32,0))</f>
        <v>South</v>
      </c>
      <c r="F33" s="2" t="str">
        <f>INDEX('Main Data'!$A$1:$O$1001,MATCH('Index&amp;Match'!$A33,'Main Data'!$A$1:$A$1001,0),MATCH('Index&amp;Match'!F32,'Main Data'!$A32:$O32,0))</f>
        <v>Auto Loan</v>
      </c>
      <c r="G33" s="2" t="str">
        <f>INDEX('Main Data'!$A$1:$O$1001,MATCH('Index&amp;Match'!$A33,'Main Data'!$A$1:$A$1001,0),MATCH('Index&amp;Match'!G32,'Main Data'!$A32:$O32,0))</f>
        <v>Social Media</v>
      </c>
      <c r="H33" s="2" t="str">
        <f>INDEX('Main Data'!$A$1:$O$1001,MATCH('Index&amp;Match'!$A33,'Main Data'!$A$1:$A$1001,0),MATCH('Index&amp;Match'!H32,'Main Data'!$A32:$O32,0))</f>
        <v>Corporate</v>
      </c>
      <c r="I33" s="2">
        <f>INDEX('Main Data'!$A$1:$O$1001,MATCH('Index&amp;Match'!$A33,'Main Data'!$A$1:$A$1001,0),MATCH('Index&amp;Match'!I32,'Main Data'!$A32:$O32,0))</f>
        <v>25</v>
      </c>
      <c r="J33" s="2">
        <f>INDEX('Main Data'!$A$1:$O$1001,MATCH('Index&amp;Match'!$A33,'Main Data'!$A$1:$A$1001,0),MATCH('Index&amp;Match'!J32,'Main Data'!$A32:$O32,0))</f>
        <v>25</v>
      </c>
      <c r="K33" s="11">
        <f>INDEX('Main Data'!$A$1:$O$1001,MATCH('Index&amp;Match'!$A33,'Main Data'!$A$1:$A$1001,0),MATCH('Index&amp;Match'!K32,'Main Data'!$A32:$O32,0))</f>
        <v>5089.38</v>
      </c>
      <c r="L33" s="11">
        <f>INDEX('Main Data'!$A$1:$O$1001,MATCH('Index&amp;Match'!$A33,'Main Data'!$A$1:$A$1001,0),MATCH('Index&amp;Match'!L32,'Main Data'!$A32:$O32,0))</f>
        <v>85.58</v>
      </c>
      <c r="M33" s="11">
        <f>INDEX('Main Data'!$A$1:$O$1001,MATCH('Index&amp;Match'!$A33,'Main Data'!$A$1:$A$1001,0),MATCH('Index&amp;Match'!M32,'Main Data'!$A32:$O32,0))</f>
        <v>15.26</v>
      </c>
      <c r="N33" s="2" t="str">
        <f>INDEX('Main Data'!$A$1:$O$1001,MATCH('Index&amp;Match'!$A33,'Main Data'!$A$1:$A$1001,0),MATCH('Index&amp;Match'!N32,'Main Data'!$A32:$O32,0))</f>
        <v>Yes</v>
      </c>
      <c r="O33" s="2">
        <f>INDEX('Main Data'!$A$1:$O$1001,MATCH('Index&amp;Match'!$A33,'Main Data'!$A$1:$A$1001,0),MATCH('Index&amp;Match'!O32,'Main Data'!$A32:$O32,0))</f>
        <v>1</v>
      </c>
    </row>
    <row r="34" spans="1:15" x14ac:dyDescent="0.3">
      <c r="A34" s="2" t="s">
        <v>91</v>
      </c>
      <c r="B34" s="1">
        <f>INDEX('Main Data'!$A$1:$O$1001,MATCH('Index&amp;Match'!$A34,'Main Data'!$A$1:$A$1001,0),MATCH('Index&amp;Match'!B33,'Main Data'!$A33:$O33,0))</f>
        <v>46105</v>
      </c>
      <c r="C34" s="2" t="str">
        <f>INDEX('Main Data'!$A$1:$O$1001,MATCH('Index&amp;Match'!$A34,'Main Data'!$A$1:$A$1001,0),MATCH('Index&amp;Match'!C33,'Main Data'!$A33:$O33,0))</f>
        <v>Morgan</v>
      </c>
      <c r="D34" s="2" t="str">
        <f>INDEX('Main Data'!$A$1:$O$1001,MATCH('Index&amp;Match'!$A34,'Main Data'!$A$1:$A$1001,0),MATCH('Index&amp;Match'!D33,'Main Data'!$A33:$O33,0))</f>
        <v>BR-001</v>
      </c>
      <c r="E34" s="2" t="str">
        <f>INDEX('Main Data'!$A$1:$O$1001,MATCH('Index&amp;Match'!$A34,'Main Data'!$A$1:$A$1001,0),MATCH('Index&amp;Match'!E33,'Main Data'!$A33:$O33,0))</f>
        <v>East</v>
      </c>
      <c r="F34" s="2" t="str">
        <f>INDEX('Main Data'!$A$1:$O$1001,MATCH('Index&amp;Match'!$A34,'Main Data'!$A$1:$A$1001,0),MATCH('Index&amp;Match'!F33,'Main Data'!$A33:$O33,0))</f>
        <v>Auto Loan</v>
      </c>
      <c r="G34" s="2" t="str">
        <f>INDEX('Main Data'!$A$1:$O$1001,MATCH('Index&amp;Match'!$A34,'Main Data'!$A$1:$A$1001,0),MATCH('Index&amp;Match'!G33,'Main Data'!$A33:$O33,0))</f>
        <v>Walk-in</v>
      </c>
      <c r="H34" s="2" t="str">
        <f>INDEX('Main Data'!$A$1:$O$1001,MATCH('Index&amp;Match'!$A34,'Main Data'!$A$1:$A$1001,0),MATCH('Index&amp;Match'!H33,'Main Data'!$A33:$O33,0))</f>
        <v>High Net Worth</v>
      </c>
      <c r="I34" s="2">
        <f>INDEX('Main Data'!$A$1:$O$1001,MATCH('Index&amp;Match'!$A34,'Main Data'!$A$1:$A$1001,0),MATCH('Index&amp;Match'!I33,'Main Data'!$A33:$O33,0))</f>
        <v>50</v>
      </c>
      <c r="J34" s="2">
        <f>INDEX('Main Data'!$A$1:$O$1001,MATCH('Index&amp;Match'!$A34,'Main Data'!$A$1:$A$1001,0),MATCH('Index&amp;Match'!J33,'Main Data'!$A33:$O33,0))</f>
        <v>50</v>
      </c>
      <c r="K34" s="11">
        <f>INDEX('Main Data'!$A$1:$O$1001,MATCH('Index&amp;Match'!$A34,'Main Data'!$A$1:$A$1001,0),MATCH('Index&amp;Match'!K33,'Main Data'!$A33:$O33,0))</f>
        <v>26845.03</v>
      </c>
      <c r="L34" s="11">
        <f>INDEX('Main Data'!$A$1:$O$1001,MATCH('Index&amp;Match'!$A34,'Main Data'!$A$1:$A$1001,0),MATCH('Index&amp;Match'!L33,'Main Data'!$A33:$O33,0))</f>
        <v>251.38</v>
      </c>
      <c r="M34" s="11">
        <f>INDEX('Main Data'!$A$1:$O$1001,MATCH('Index&amp;Match'!$A34,'Main Data'!$A$1:$A$1001,0),MATCH('Index&amp;Match'!M33,'Main Data'!$A33:$O33,0))</f>
        <v>219.81</v>
      </c>
      <c r="N34" s="2" t="str">
        <f>INDEX('Main Data'!$A$1:$O$1001,MATCH('Index&amp;Match'!$A34,'Main Data'!$A$1:$A$1001,0),MATCH('Index&amp;Match'!N33,'Main Data'!$A33:$O33,0))</f>
        <v>Yes</v>
      </c>
      <c r="O34" s="2">
        <f>INDEX('Main Data'!$A$1:$O$1001,MATCH('Index&amp;Match'!$A34,'Main Data'!$A$1:$A$1001,0),MATCH('Index&amp;Match'!O33,'Main Data'!$A33:$O33,0))</f>
        <v>3</v>
      </c>
    </row>
    <row r="35" spans="1:15" x14ac:dyDescent="0.3">
      <c r="A35" s="2" t="s">
        <v>92</v>
      </c>
      <c r="B35" s="1">
        <f>INDEX('Main Data'!$A$1:$O$1001,MATCH('Index&amp;Match'!$A35,'Main Data'!$A$1:$A$1001,0),MATCH('Index&amp;Match'!B34,'Main Data'!$A34:$O34,0))</f>
        <v>46219</v>
      </c>
      <c r="C35" s="2" t="str">
        <f>INDEX('Main Data'!$A$1:$O$1001,MATCH('Index&amp;Match'!$A35,'Main Data'!$A$1:$A$1001,0),MATCH('Index&amp;Match'!C34,'Main Data'!$A34:$O34,0))</f>
        <v>Jordan</v>
      </c>
      <c r="D35" s="2" t="str">
        <f>INDEX('Main Data'!$A$1:$O$1001,MATCH('Index&amp;Match'!$A35,'Main Data'!$A$1:$A$1001,0),MATCH('Index&amp;Match'!D34,'Main Data'!$A34:$O34,0))</f>
        <v>BR-002</v>
      </c>
      <c r="E35" s="2" t="str">
        <f>INDEX('Main Data'!$A$1:$O$1001,MATCH('Index&amp;Match'!$A35,'Main Data'!$A$1:$A$1001,0),MATCH('Index&amp;Match'!E34,'Main Data'!$A34:$O34,0))</f>
        <v>South</v>
      </c>
      <c r="F35" s="2" t="str">
        <f>INDEX('Main Data'!$A$1:$O$1001,MATCH('Index&amp;Match'!$A35,'Main Data'!$A$1:$A$1001,0),MATCH('Index&amp;Match'!F34,'Main Data'!$A34:$O34,0))</f>
        <v>Mortgage</v>
      </c>
      <c r="G35" s="2" t="str">
        <f>INDEX('Main Data'!$A$1:$O$1001,MATCH('Index&amp;Match'!$A35,'Main Data'!$A$1:$A$1001,0),MATCH('Index&amp;Match'!G34,'Main Data'!$A34:$O34,0))</f>
        <v>Website</v>
      </c>
      <c r="H35" s="2" t="str">
        <f>INDEX('Main Data'!$A$1:$O$1001,MATCH('Index&amp;Match'!$A35,'Main Data'!$A$1:$A$1001,0),MATCH('Index&amp;Match'!H34,'Main Data'!$A34:$O34,0))</f>
        <v>Retail</v>
      </c>
      <c r="I35" s="2">
        <f>INDEX('Main Data'!$A$1:$O$1001,MATCH('Index&amp;Match'!$A35,'Main Data'!$A$1:$A$1001,0),MATCH('Index&amp;Match'!I34,'Main Data'!$A34:$O34,0))</f>
        <v>26</v>
      </c>
      <c r="J35" s="2">
        <f>INDEX('Main Data'!$A$1:$O$1001,MATCH('Index&amp;Match'!$A35,'Main Data'!$A$1:$A$1001,0),MATCH('Index&amp;Match'!J34,'Main Data'!$A34:$O34,0))</f>
        <v>26</v>
      </c>
      <c r="K35" s="11">
        <f>INDEX('Main Data'!$A$1:$O$1001,MATCH('Index&amp;Match'!$A35,'Main Data'!$A$1:$A$1001,0),MATCH('Index&amp;Match'!K34,'Main Data'!$A34:$O34,0))</f>
        <v>41171.26</v>
      </c>
      <c r="L35" s="11">
        <f>INDEX('Main Data'!$A$1:$O$1001,MATCH('Index&amp;Match'!$A35,'Main Data'!$A$1:$A$1001,0),MATCH('Index&amp;Match'!L34,'Main Data'!$A34:$O34,0))</f>
        <v>95.85</v>
      </c>
      <c r="M35" s="11">
        <f>INDEX('Main Data'!$A$1:$O$1001,MATCH('Index&amp;Match'!$A35,'Main Data'!$A$1:$A$1001,0),MATCH('Index&amp;Match'!M34,'Main Data'!$A34:$O34,0))</f>
        <v>123.38</v>
      </c>
      <c r="N35" s="2" t="str">
        <f>INDEX('Main Data'!$A$1:$O$1001,MATCH('Index&amp;Match'!$A35,'Main Data'!$A$1:$A$1001,0),MATCH('Index&amp;Match'!N34,'Main Data'!$A34:$O34,0))</f>
        <v>No</v>
      </c>
      <c r="O35" s="2">
        <f>INDEX('Main Data'!$A$1:$O$1001,MATCH('Index&amp;Match'!$A35,'Main Data'!$A$1:$A$1001,0),MATCH('Index&amp;Match'!O34,'Main Data'!$A34:$O34,0))</f>
        <v>2</v>
      </c>
    </row>
    <row r="36" spans="1:15" x14ac:dyDescent="0.3">
      <c r="A36" s="2" t="s">
        <v>93</v>
      </c>
      <c r="B36" s="1">
        <f>INDEX('Main Data'!$A$1:$O$1001,MATCH('Index&amp;Match'!$A36,'Main Data'!$A$1:$A$1001,0),MATCH('Index&amp;Match'!B35,'Main Data'!$A35:$O35,0))</f>
        <v>45890</v>
      </c>
      <c r="C36" s="2" t="str">
        <f>INDEX('Main Data'!$A$1:$O$1001,MATCH('Index&amp;Match'!$A36,'Main Data'!$A$1:$A$1001,0),MATCH('Index&amp;Match'!C35,'Main Data'!$A35:$O35,0))</f>
        <v>Sam</v>
      </c>
      <c r="D36" s="2" t="str">
        <f>INDEX('Main Data'!$A$1:$O$1001,MATCH('Index&amp;Match'!$A36,'Main Data'!$A$1:$A$1001,0),MATCH('Index&amp;Match'!D35,'Main Data'!$A35:$O35,0))</f>
        <v>BR-015</v>
      </c>
      <c r="E36" s="2" t="str">
        <f>INDEX('Main Data'!$A$1:$O$1001,MATCH('Index&amp;Match'!$A36,'Main Data'!$A$1:$A$1001,0),MATCH('Index&amp;Match'!E35,'Main Data'!$A35:$O35,0))</f>
        <v>South</v>
      </c>
      <c r="F36" s="2" t="str">
        <f>INDEX('Main Data'!$A$1:$O$1001,MATCH('Index&amp;Match'!$A36,'Main Data'!$A$1:$A$1001,0),MATCH('Index&amp;Match'!F35,'Main Data'!$A35:$O35,0))</f>
        <v>Personal Loan</v>
      </c>
      <c r="G36" s="2" t="str">
        <f>INDEX('Main Data'!$A$1:$O$1001,MATCH('Index&amp;Match'!$A36,'Main Data'!$A$1:$A$1001,0),MATCH('Index&amp;Match'!G35,'Main Data'!$A35:$O35,0))</f>
        <v>Website</v>
      </c>
      <c r="H36" s="2" t="str">
        <f>INDEX('Main Data'!$A$1:$O$1001,MATCH('Index&amp;Match'!$A36,'Main Data'!$A$1:$A$1001,0),MATCH('Index&amp;Match'!H35,'Main Data'!$A35:$O35,0))</f>
        <v>SME</v>
      </c>
      <c r="I36" s="2">
        <f>INDEX('Main Data'!$A$1:$O$1001,MATCH('Index&amp;Match'!$A36,'Main Data'!$A$1:$A$1001,0),MATCH('Index&amp;Match'!I35,'Main Data'!$A35:$O35,0))</f>
        <v>66</v>
      </c>
      <c r="J36" s="2">
        <f>INDEX('Main Data'!$A$1:$O$1001,MATCH('Index&amp;Match'!$A36,'Main Data'!$A$1:$A$1001,0),MATCH('Index&amp;Match'!J35,'Main Data'!$A35:$O35,0))</f>
        <v>66</v>
      </c>
      <c r="K36" s="11">
        <f>INDEX('Main Data'!$A$1:$O$1001,MATCH('Index&amp;Match'!$A36,'Main Data'!$A$1:$A$1001,0),MATCH('Index&amp;Match'!K35,'Main Data'!$A35:$O35,0))</f>
        <v>5518.3</v>
      </c>
      <c r="L36" s="11">
        <f>INDEX('Main Data'!$A$1:$O$1001,MATCH('Index&amp;Match'!$A36,'Main Data'!$A$1:$A$1001,0),MATCH('Index&amp;Match'!L35,'Main Data'!$A35:$O35,0))</f>
        <v>57.16</v>
      </c>
      <c r="M36" s="11">
        <f>INDEX('Main Data'!$A$1:$O$1001,MATCH('Index&amp;Match'!$A36,'Main Data'!$A$1:$A$1001,0),MATCH('Index&amp;Match'!M35,'Main Data'!$A35:$O35,0))</f>
        <v>0.57999999999999996</v>
      </c>
      <c r="N36" s="2" t="str">
        <f>INDEX('Main Data'!$A$1:$O$1001,MATCH('Index&amp;Match'!$A36,'Main Data'!$A$1:$A$1001,0),MATCH('Index&amp;Match'!N35,'Main Data'!$A35:$O35,0))</f>
        <v>No</v>
      </c>
      <c r="O36" s="2">
        <f>INDEX('Main Data'!$A$1:$O$1001,MATCH('Index&amp;Match'!$A36,'Main Data'!$A$1:$A$1001,0),MATCH('Index&amp;Match'!O35,'Main Data'!$A35:$O35,0))</f>
        <v>3</v>
      </c>
    </row>
    <row r="37" spans="1:15" x14ac:dyDescent="0.3">
      <c r="A37" s="2" t="s">
        <v>94</v>
      </c>
      <c r="B37" s="1">
        <f>INDEX('Main Data'!$A$1:$O$1001,MATCH('Index&amp;Match'!$A37,'Main Data'!$A$1:$A$1001,0),MATCH('Index&amp;Match'!B36,'Main Data'!$A36:$O36,0))</f>
        <v>45974</v>
      </c>
      <c r="C37" s="2" t="str">
        <f>INDEX('Main Data'!$A$1:$O$1001,MATCH('Index&amp;Match'!$A37,'Main Data'!$A$1:$A$1001,0),MATCH('Index&amp;Match'!C36,'Main Data'!$A36:$O36,0))</f>
        <v>Casey</v>
      </c>
      <c r="D37" s="2" t="str">
        <f>INDEX('Main Data'!$A$1:$O$1001,MATCH('Index&amp;Match'!$A37,'Main Data'!$A$1:$A$1001,0),MATCH('Index&amp;Match'!D36,'Main Data'!$A36:$O36,0))</f>
        <v>BR-001</v>
      </c>
      <c r="E37" s="2" t="str">
        <f>INDEX('Main Data'!$A$1:$O$1001,MATCH('Index&amp;Match'!$A37,'Main Data'!$A$1:$A$1001,0),MATCH('Index&amp;Match'!E36,'Main Data'!$A36:$O36,0))</f>
        <v>East</v>
      </c>
      <c r="F37" s="2" t="str">
        <f>INDEX('Main Data'!$A$1:$O$1001,MATCH('Index&amp;Match'!$A37,'Main Data'!$A$1:$A$1001,0),MATCH('Index&amp;Match'!F36,'Main Data'!$A36:$O36,0))</f>
        <v>Wealth Management</v>
      </c>
      <c r="G37" s="2" t="str">
        <f>INDEX('Main Data'!$A$1:$O$1001,MATCH('Index&amp;Match'!$A37,'Main Data'!$A$1:$A$1001,0),MATCH('Index&amp;Match'!G36,'Main Data'!$A36:$O36,0))</f>
        <v>Social Media</v>
      </c>
      <c r="H37" s="2" t="str">
        <f>INDEX('Main Data'!$A$1:$O$1001,MATCH('Index&amp;Match'!$A37,'Main Data'!$A$1:$A$1001,0),MATCH('Index&amp;Match'!H36,'Main Data'!$A36:$O36,0))</f>
        <v>SME</v>
      </c>
      <c r="I37" s="2">
        <f>INDEX('Main Data'!$A$1:$O$1001,MATCH('Index&amp;Match'!$A37,'Main Data'!$A$1:$A$1001,0),MATCH('Index&amp;Match'!I36,'Main Data'!$A36:$O36,0))</f>
        <v>64</v>
      </c>
      <c r="J37" s="2">
        <f>INDEX('Main Data'!$A$1:$O$1001,MATCH('Index&amp;Match'!$A37,'Main Data'!$A$1:$A$1001,0),MATCH('Index&amp;Match'!J36,'Main Data'!$A36:$O36,0))</f>
        <v>64</v>
      </c>
      <c r="K37" s="11">
        <f>INDEX('Main Data'!$A$1:$O$1001,MATCH('Index&amp;Match'!$A37,'Main Data'!$A$1:$A$1001,0),MATCH('Index&amp;Match'!K36,'Main Data'!$A36:$O36,0))</f>
        <v>39698.620000000003</v>
      </c>
      <c r="L37" s="11">
        <f>INDEX('Main Data'!$A$1:$O$1001,MATCH('Index&amp;Match'!$A37,'Main Data'!$A$1:$A$1001,0),MATCH('Index&amp;Match'!L36,'Main Data'!$A36:$O36,0))</f>
        <v>327.27999999999997</v>
      </c>
      <c r="M37" s="11">
        <f>INDEX('Main Data'!$A$1:$O$1001,MATCH('Index&amp;Match'!$A37,'Main Data'!$A$1:$A$1001,0),MATCH('Index&amp;Match'!M36,'Main Data'!$A36:$O36,0))</f>
        <v>1.88</v>
      </c>
      <c r="N37" s="2" t="str">
        <f>INDEX('Main Data'!$A$1:$O$1001,MATCH('Index&amp;Match'!$A37,'Main Data'!$A$1:$A$1001,0),MATCH('Index&amp;Match'!N36,'Main Data'!$A36:$O36,0))</f>
        <v>Yes</v>
      </c>
      <c r="O37" s="2">
        <f>INDEX('Main Data'!$A$1:$O$1001,MATCH('Index&amp;Match'!$A37,'Main Data'!$A$1:$A$1001,0),MATCH('Index&amp;Match'!O36,'Main Data'!$A36:$O36,0))</f>
        <v>3</v>
      </c>
    </row>
    <row r="38" spans="1:15" x14ac:dyDescent="0.3">
      <c r="A38" s="2" t="s">
        <v>95</v>
      </c>
      <c r="B38" s="1">
        <f>INDEX('Main Data'!$A$1:$O$1001,MATCH('Index&amp;Match'!$A38,'Main Data'!$A$1:$A$1001,0),MATCH('Index&amp;Match'!B37,'Main Data'!$A37:$O37,0))</f>
        <v>45899</v>
      </c>
      <c r="C38" s="2" t="str">
        <f>INDEX('Main Data'!$A$1:$O$1001,MATCH('Index&amp;Match'!$A38,'Main Data'!$A$1:$A$1001,0),MATCH('Index&amp;Match'!C37,'Main Data'!$A37:$O37,0))</f>
        <v>Morgan</v>
      </c>
      <c r="D38" s="2" t="str">
        <f>INDEX('Main Data'!$A$1:$O$1001,MATCH('Index&amp;Match'!$A38,'Main Data'!$A$1:$A$1001,0),MATCH('Index&amp;Match'!D37,'Main Data'!$A37:$O37,0))</f>
        <v>BR-011</v>
      </c>
      <c r="E38" s="2" t="str">
        <f>INDEX('Main Data'!$A$1:$O$1001,MATCH('Index&amp;Match'!$A38,'Main Data'!$A$1:$A$1001,0),MATCH('Index&amp;Match'!E37,'Main Data'!$A37:$O37,0))</f>
        <v>Central</v>
      </c>
      <c r="F38" s="2" t="str">
        <f>INDEX('Main Data'!$A$1:$O$1001,MATCH('Index&amp;Match'!$A38,'Main Data'!$A$1:$A$1001,0),MATCH('Index&amp;Match'!F37,'Main Data'!$A37:$O37,0))</f>
        <v>Wealth Management</v>
      </c>
      <c r="G38" s="2" t="str">
        <f>INDEX('Main Data'!$A$1:$O$1001,MATCH('Index&amp;Match'!$A38,'Main Data'!$A$1:$A$1001,0),MATCH('Index&amp;Match'!G37,'Main Data'!$A37:$O37,0))</f>
        <v>Walk-in</v>
      </c>
      <c r="H38" s="2" t="str">
        <f>INDEX('Main Data'!$A$1:$O$1001,MATCH('Index&amp;Match'!$A38,'Main Data'!$A$1:$A$1001,0),MATCH('Index&amp;Match'!H37,'Main Data'!$A37:$O37,0))</f>
        <v>SME</v>
      </c>
      <c r="I38" s="2">
        <f>INDEX('Main Data'!$A$1:$O$1001,MATCH('Index&amp;Match'!$A38,'Main Data'!$A$1:$A$1001,0),MATCH('Index&amp;Match'!I37,'Main Data'!$A37:$O37,0))</f>
        <v>24</v>
      </c>
      <c r="J38" s="2">
        <f>INDEX('Main Data'!$A$1:$O$1001,MATCH('Index&amp;Match'!$A38,'Main Data'!$A$1:$A$1001,0),MATCH('Index&amp;Match'!J37,'Main Data'!$A37:$O37,0))</f>
        <v>24</v>
      </c>
      <c r="K38" s="11">
        <f>INDEX('Main Data'!$A$1:$O$1001,MATCH('Index&amp;Match'!$A38,'Main Data'!$A$1:$A$1001,0),MATCH('Index&amp;Match'!K37,'Main Data'!$A37:$O37,0))</f>
        <v>40672.81</v>
      </c>
      <c r="L38" s="11">
        <f>INDEX('Main Data'!$A$1:$O$1001,MATCH('Index&amp;Match'!$A38,'Main Data'!$A$1:$A$1001,0),MATCH('Index&amp;Match'!L37,'Main Data'!$A37:$O37,0))</f>
        <v>482.37</v>
      </c>
      <c r="M38" s="11">
        <f>INDEX('Main Data'!$A$1:$O$1001,MATCH('Index&amp;Match'!$A38,'Main Data'!$A$1:$A$1001,0),MATCH('Index&amp;Match'!M37,'Main Data'!$A37:$O37,0))</f>
        <v>161.76</v>
      </c>
      <c r="N38" s="2" t="str">
        <f>INDEX('Main Data'!$A$1:$O$1001,MATCH('Index&amp;Match'!$A38,'Main Data'!$A$1:$A$1001,0),MATCH('Index&amp;Match'!N37,'Main Data'!$A37:$O37,0))</f>
        <v>Yes</v>
      </c>
      <c r="O38" s="2">
        <f>INDEX('Main Data'!$A$1:$O$1001,MATCH('Index&amp;Match'!$A38,'Main Data'!$A$1:$A$1001,0),MATCH('Index&amp;Match'!O37,'Main Data'!$A37:$O37,0))</f>
        <v>3</v>
      </c>
    </row>
    <row r="39" spans="1:15" x14ac:dyDescent="0.3">
      <c r="A39" s="2" t="s">
        <v>96</v>
      </c>
      <c r="B39" s="1">
        <f>INDEX('Main Data'!$A$1:$O$1001,MATCH('Index&amp;Match'!$A39,'Main Data'!$A$1:$A$1001,0),MATCH('Index&amp;Match'!B38,'Main Data'!$A38:$O38,0))</f>
        <v>46221</v>
      </c>
      <c r="C39" s="2" t="str">
        <f>INDEX('Main Data'!$A$1:$O$1001,MATCH('Index&amp;Match'!$A39,'Main Data'!$A$1:$A$1001,0),MATCH('Index&amp;Match'!C38,'Main Data'!$A38:$O38,0))</f>
        <v>Alex</v>
      </c>
      <c r="D39" s="2" t="str">
        <f>INDEX('Main Data'!$A$1:$O$1001,MATCH('Index&amp;Match'!$A39,'Main Data'!$A$1:$A$1001,0),MATCH('Index&amp;Match'!D38,'Main Data'!$A38:$O38,0))</f>
        <v>BR-005</v>
      </c>
      <c r="E39" s="2" t="str">
        <f>INDEX('Main Data'!$A$1:$O$1001,MATCH('Index&amp;Match'!$A39,'Main Data'!$A$1:$A$1001,0),MATCH('Index&amp;Match'!E38,'Main Data'!$A38:$O38,0))</f>
        <v>Central</v>
      </c>
      <c r="F39" s="2" t="str">
        <f>INDEX('Main Data'!$A$1:$O$1001,MATCH('Index&amp;Match'!$A39,'Main Data'!$A$1:$A$1001,0),MATCH('Index&amp;Match'!F38,'Main Data'!$A38:$O38,0))</f>
        <v>Auto Loan</v>
      </c>
      <c r="G39" s="2" t="str">
        <f>INDEX('Main Data'!$A$1:$O$1001,MATCH('Index&amp;Match'!$A39,'Main Data'!$A$1:$A$1001,0),MATCH('Index&amp;Match'!G38,'Main Data'!$A38:$O38,0))</f>
        <v>Email Campaign</v>
      </c>
      <c r="H39" s="2" t="str">
        <f>INDEX('Main Data'!$A$1:$O$1001,MATCH('Index&amp;Match'!$A39,'Main Data'!$A$1:$A$1001,0),MATCH('Index&amp;Match'!H38,'Main Data'!$A38:$O38,0))</f>
        <v>High Net Worth</v>
      </c>
      <c r="I39" s="2">
        <f>INDEX('Main Data'!$A$1:$O$1001,MATCH('Index&amp;Match'!$A39,'Main Data'!$A$1:$A$1001,0),MATCH('Index&amp;Match'!I38,'Main Data'!$A38:$O38,0))</f>
        <v>49</v>
      </c>
      <c r="J39" s="2">
        <f>INDEX('Main Data'!$A$1:$O$1001,MATCH('Index&amp;Match'!$A39,'Main Data'!$A$1:$A$1001,0),MATCH('Index&amp;Match'!J38,'Main Data'!$A38:$O38,0))</f>
        <v>49</v>
      </c>
      <c r="K39" s="11">
        <f>INDEX('Main Data'!$A$1:$O$1001,MATCH('Index&amp;Match'!$A39,'Main Data'!$A$1:$A$1001,0),MATCH('Index&amp;Match'!K38,'Main Data'!$A38:$O38,0))</f>
        <v>24372.560000000001</v>
      </c>
      <c r="L39" s="11">
        <f>INDEX('Main Data'!$A$1:$O$1001,MATCH('Index&amp;Match'!$A39,'Main Data'!$A$1:$A$1001,0),MATCH('Index&amp;Match'!L38,'Main Data'!$A38:$O38,0))</f>
        <v>456.29</v>
      </c>
      <c r="M39" s="11">
        <f>INDEX('Main Data'!$A$1:$O$1001,MATCH('Index&amp;Match'!$A39,'Main Data'!$A$1:$A$1001,0),MATCH('Index&amp;Match'!M38,'Main Data'!$A38:$O38,0))</f>
        <v>77.819999999999993</v>
      </c>
      <c r="N39" s="2" t="str">
        <f>INDEX('Main Data'!$A$1:$O$1001,MATCH('Index&amp;Match'!$A39,'Main Data'!$A$1:$A$1001,0),MATCH('Index&amp;Match'!N38,'Main Data'!$A38:$O38,0))</f>
        <v>Yes</v>
      </c>
      <c r="O39" s="2">
        <f>INDEX('Main Data'!$A$1:$O$1001,MATCH('Index&amp;Match'!$A39,'Main Data'!$A$1:$A$1001,0),MATCH('Index&amp;Match'!O38,'Main Data'!$A38:$O38,0))</f>
        <v>4</v>
      </c>
    </row>
    <row r="40" spans="1:15" x14ac:dyDescent="0.3">
      <c r="A40" s="2" t="s">
        <v>97</v>
      </c>
      <c r="B40" s="1">
        <f>INDEX('Main Data'!$A$1:$O$1001,MATCH('Index&amp;Match'!$A40,'Main Data'!$A$1:$A$1001,0),MATCH('Index&amp;Match'!B39,'Main Data'!$A39:$O39,0))</f>
        <v>45890</v>
      </c>
      <c r="C40" s="2" t="str">
        <f>INDEX('Main Data'!$A$1:$O$1001,MATCH('Index&amp;Match'!$A40,'Main Data'!$A$1:$A$1001,0),MATCH('Index&amp;Match'!C39,'Main Data'!$A39:$O39,0))</f>
        <v>Alex</v>
      </c>
      <c r="D40" s="2" t="str">
        <f>INDEX('Main Data'!$A$1:$O$1001,MATCH('Index&amp;Match'!$A40,'Main Data'!$A$1:$A$1001,0),MATCH('Index&amp;Match'!D39,'Main Data'!$A39:$O39,0))</f>
        <v>BR-010</v>
      </c>
      <c r="E40" s="2" t="str">
        <f>INDEX('Main Data'!$A$1:$O$1001,MATCH('Index&amp;Match'!$A40,'Main Data'!$A$1:$A$1001,0),MATCH('Index&amp;Match'!E39,'Main Data'!$A39:$O39,0))</f>
        <v>South</v>
      </c>
      <c r="F40" s="2" t="str">
        <f>INDEX('Main Data'!$A$1:$O$1001,MATCH('Index&amp;Match'!$A40,'Main Data'!$A$1:$A$1001,0),MATCH('Index&amp;Match'!F39,'Main Data'!$A39:$O39,0))</f>
        <v>Personal Loan</v>
      </c>
      <c r="G40" s="2" t="str">
        <f>INDEX('Main Data'!$A$1:$O$1001,MATCH('Index&amp;Match'!$A40,'Main Data'!$A$1:$A$1001,0),MATCH('Index&amp;Match'!G39,'Main Data'!$A39:$O39,0))</f>
        <v>Referral</v>
      </c>
      <c r="H40" s="2" t="str">
        <f>INDEX('Main Data'!$A$1:$O$1001,MATCH('Index&amp;Match'!$A40,'Main Data'!$A$1:$A$1001,0),MATCH('Index&amp;Match'!H39,'Main Data'!$A39:$O39,0))</f>
        <v>Corporate</v>
      </c>
      <c r="I40" s="2">
        <f>INDEX('Main Data'!$A$1:$O$1001,MATCH('Index&amp;Match'!$A40,'Main Data'!$A$1:$A$1001,0),MATCH('Index&amp;Match'!I39,'Main Data'!$A39:$O39,0))</f>
        <v>43</v>
      </c>
      <c r="J40" s="2">
        <f>INDEX('Main Data'!$A$1:$O$1001,MATCH('Index&amp;Match'!$A40,'Main Data'!$A$1:$A$1001,0),MATCH('Index&amp;Match'!J39,'Main Data'!$A39:$O39,0))</f>
        <v>43</v>
      </c>
      <c r="K40" s="11">
        <f>INDEX('Main Data'!$A$1:$O$1001,MATCH('Index&amp;Match'!$A40,'Main Data'!$A$1:$A$1001,0),MATCH('Index&amp;Match'!K39,'Main Data'!$A39:$O39,0))</f>
        <v>3336.86</v>
      </c>
      <c r="L40" s="11">
        <f>INDEX('Main Data'!$A$1:$O$1001,MATCH('Index&amp;Match'!$A40,'Main Data'!$A$1:$A$1001,0),MATCH('Index&amp;Match'!L39,'Main Data'!$A39:$O39,0))</f>
        <v>363.54</v>
      </c>
      <c r="M40" s="11">
        <f>INDEX('Main Data'!$A$1:$O$1001,MATCH('Index&amp;Match'!$A40,'Main Data'!$A$1:$A$1001,0),MATCH('Index&amp;Match'!M39,'Main Data'!$A39:$O39,0))</f>
        <v>127.23</v>
      </c>
      <c r="N40" s="2" t="str">
        <f>INDEX('Main Data'!$A$1:$O$1001,MATCH('Index&amp;Match'!$A40,'Main Data'!$A$1:$A$1001,0),MATCH('Index&amp;Match'!N39,'Main Data'!$A39:$O39,0))</f>
        <v>No</v>
      </c>
      <c r="O40" s="2">
        <f>INDEX('Main Data'!$A$1:$O$1001,MATCH('Index&amp;Match'!$A40,'Main Data'!$A$1:$A$1001,0),MATCH('Index&amp;Match'!O39,'Main Data'!$A39:$O39,0))</f>
        <v>4</v>
      </c>
    </row>
    <row r="41" spans="1:15" x14ac:dyDescent="0.3">
      <c r="A41" s="2" t="s">
        <v>98</v>
      </c>
      <c r="B41" s="1">
        <f>INDEX('Main Data'!$A$1:$O$1001,MATCH('Index&amp;Match'!$A41,'Main Data'!$A$1:$A$1001,0),MATCH('Index&amp;Match'!B40,'Main Data'!$A40:$O40,0))</f>
        <v>46134</v>
      </c>
      <c r="C41" s="2" t="str">
        <f>INDEX('Main Data'!$A$1:$O$1001,MATCH('Index&amp;Match'!$A41,'Main Data'!$A$1:$A$1001,0),MATCH('Index&amp;Match'!C40,'Main Data'!$A40:$O40,0))</f>
        <v>Taylor</v>
      </c>
      <c r="D41" s="2" t="str">
        <f>INDEX('Main Data'!$A$1:$O$1001,MATCH('Index&amp;Match'!$A41,'Main Data'!$A$1:$A$1001,0),MATCH('Index&amp;Match'!D40,'Main Data'!$A40:$O40,0))</f>
        <v>BR-015</v>
      </c>
      <c r="E41" s="2" t="str">
        <f>INDEX('Main Data'!$A$1:$O$1001,MATCH('Index&amp;Match'!$A41,'Main Data'!$A$1:$A$1001,0),MATCH('Index&amp;Match'!E40,'Main Data'!$A40:$O40,0))</f>
        <v>East</v>
      </c>
      <c r="F41" s="2" t="str">
        <f>INDEX('Main Data'!$A$1:$O$1001,MATCH('Index&amp;Match'!$A41,'Main Data'!$A$1:$A$1001,0),MATCH('Index&amp;Match'!F40,'Main Data'!$A40:$O40,0))</f>
        <v>Mortgage</v>
      </c>
      <c r="G41" s="2" t="str">
        <f>INDEX('Main Data'!$A$1:$O$1001,MATCH('Index&amp;Match'!$A41,'Main Data'!$A$1:$A$1001,0),MATCH('Index&amp;Match'!G40,'Main Data'!$A40:$O40,0))</f>
        <v>Walk-in</v>
      </c>
      <c r="H41" s="2" t="str">
        <f>INDEX('Main Data'!$A$1:$O$1001,MATCH('Index&amp;Match'!$A41,'Main Data'!$A$1:$A$1001,0),MATCH('Index&amp;Match'!H40,'Main Data'!$A40:$O40,0))</f>
        <v>Retail</v>
      </c>
      <c r="I41" s="2">
        <f>INDEX('Main Data'!$A$1:$O$1001,MATCH('Index&amp;Match'!$A41,'Main Data'!$A$1:$A$1001,0),MATCH('Index&amp;Match'!I40,'Main Data'!$A40:$O40,0))</f>
        <v>26</v>
      </c>
      <c r="J41" s="2">
        <f>INDEX('Main Data'!$A$1:$O$1001,MATCH('Index&amp;Match'!$A41,'Main Data'!$A$1:$A$1001,0),MATCH('Index&amp;Match'!J40,'Main Data'!$A40:$O40,0))</f>
        <v>26</v>
      </c>
      <c r="K41" s="11">
        <f>INDEX('Main Data'!$A$1:$O$1001,MATCH('Index&amp;Match'!$A41,'Main Data'!$A$1:$A$1001,0),MATCH('Index&amp;Match'!K40,'Main Data'!$A40:$O40,0))</f>
        <v>9142.2000000000007</v>
      </c>
      <c r="L41" s="11">
        <f>INDEX('Main Data'!$A$1:$O$1001,MATCH('Index&amp;Match'!$A41,'Main Data'!$A$1:$A$1001,0),MATCH('Index&amp;Match'!L40,'Main Data'!$A40:$O40,0))</f>
        <v>93.49</v>
      </c>
      <c r="M41" s="11">
        <f>INDEX('Main Data'!$A$1:$O$1001,MATCH('Index&amp;Match'!$A41,'Main Data'!$A$1:$A$1001,0),MATCH('Index&amp;Match'!M40,'Main Data'!$A40:$O40,0))</f>
        <v>90.84</v>
      </c>
      <c r="N41" s="2" t="str">
        <f>INDEX('Main Data'!$A$1:$O$1001,MATCH('Index&amp;Match'!$A41,'Main Data'!$A$1:$A$1001,0),MATCH('Index&amp;Match'!N40,'Main Data'!$A40:$O40,0))</f>
        <v>No</v>
      </c>
      <c r="O41" s="2">
        <f>INDEX('Main Data'!$A$1:$O$1001,MATCH('Index&amp;Match'!$A41,'Main Data'!$A$1:$A$1001,0),MATCH('Index&amp;Match'!O40,'Main Data'!$A40:$O40,0))</f>
        <v>4</v>
      </c>
    </row>
    <row r="42" spans="1:15" x14ac:dyDescent="0.3">
      <c r="A42" s="2" t="s">
        <v>99</v>
      </c>
      <c r="B42" s="1">
        <f>INDEX('Main Data'!$A$1:$O$1001,MATCH('Index&amp;Match'!$A42,'Main Data'!$A$1:$A$1001,0),MATCH('Index&amp;Match'!B41,'Main Data'!$A41:$O41,0))</f>
        <v>46126</v>
      </c>
      <c r="C42" s="2" t="str">
        <f>INDEX('Main Data'!$A$1:$O$1001,MATCH('Index&amp;Match'!$A42,'Main Data'!$A$1:$A$1001,0),MATCH('Index&amp;Match'!C41,'Main Data'!$A41:$O41,0))</f>
        <v>Taylor</v>
      </c>
      <c r="D42" s="2" t="str">
        <f>INDEX('Main Data'!$A$1:$O$1001,MATCH('Index&amp;Match'!$A42,'Main Data'!$A$1:$A$1001,0),MATCH('Index&amp;Match'!D41,'Main Data'!$A41:$O41,0))</f>
        <v>BR-009</v>
      </c>
      <c r="E42" s="2" t="str">
        <f>INDEX('Main Data'!$A$1:$O$1001,MATCH('Index&amp;Match'!$A42,'Main Data'!$A$1:$A$1001,0),MATCH('Index&amp;Match'!E41,'Main Data'!$A41:$O41,0))</f>
        <v>East</v>
      </c>
      <c r="F42" s="2" t="str">
        <f>INDEX('Main Data'!$A$1:$O$1001,MATCH('Index&amp;Match'!$A42,'Main Data'!$A$1:$A$1001,0),MATCH('Index&amp;Match'!F41,'Main Data'!$A41:$O41,0))</f>
        <v>Personal Loan</v>
      </c>
      <c r="G42" s="2" t="str">
        <f>INDEX('Main Data'!$A$1:$O$1001,MATCH('Index&amp;Match'!$A42,'Main Data'!$A$1:$A$1001,0),MATCH('Index&amp;Match'!G41,'Main Data'!$A41:$O41,0))</f>
        <v>Website</v>
      </c>
      <c r="H42" s="2" t="str">
        <f>INDEX('Main Data'!$A$1:$O$1001,MATCH('Index&amp;Match'!$A42,'Main Data'!$A$1:$A$1001,0),MATCH('Index&amp;Match'!H41,'Main Data'!$A41:$O41,0))</f>
        <v>SME</v>
      </c>
      <c r="I42" s="2">
        <f>INDEX('Main Data'!$A$1:$O$1001,MATCH('Index&amp;Match'!$A42,'Main Data'!$A$1:$A$1001,0),MATCH('Index&amp;Match'!I41,'Main Data'!$A41:$O41,0))</f>
        <v>52</v>
      </c>
      <c r="J42" s="2">
        <f>INDEX('Main Data'!$A$1:$O$1001,MATCH('Index&amp;Match'!$A42,'Main Data'!$A$1:$A$1001,0),MATCH('Index&amp;Match'!J41,'Main Data'!$A41:$O41,0))</f>
        <v>52</v>
      </c>
      <c r="K42" s="11">
        <f>INDEX('Main Data'!$A$1:$O$1001,MATCH('Index&amp;Match'!$A42,'Main Data'!$A$1:$A$1001,0),MATCH('Index&amp;Match'!K41,'Main Data'!$A41:$O41,0))</f>
        <v>35517.599999999999</v>
      </c>
      <c r="L42" s="11">
        <f>INDEX('Main Data'!$A$1:$O$1001,MATCH('Index&amp;Match'!$A42,'Main Data'!$A$1:$A$1001,0),MATCH('Index&amp;Match'!L41,'Main Data'!$A41:$O41,0))</f>
        <v>173.37</v>
      </c>
      <c r="M42" s="11">
        <f>INDEX('Main Data'!$A$1:$O$1001,MATCH('Index&amp;Match'!$A42,'Main Data'!$A$1:$A$1001,0),MATCH('Index&amp;Match'!M41,'Main Data'!$A41:$O41,0))</f>
        <v>172.69</v>
      </c>
      <c r="N42" s="2" t="str">
        <f>INDEX('Main Data'!$A$1:$O$1001,MATCH('Index&amp;Match'!$A42,'Main Data'!$A$1:$A$1001,0),MATCH('Index&amp;Match'!N41,'Main Data'!$A41:$O41,0))</f>
        <v>No</v>
      </c>
      <c r="O42" s="2">
        <f>INDEX('Main Data'!$A$1:$O$1001,MATCH('Index&amp;Match'!$A42,'Main Data'!$A$1:$A$1001,0),MATCH('Index&amp;Match'!O41,'Main Data'!$A41:$O41,0))</f>
        <v>3</v>
      </c>
    </row>
    <row r="43" spans="1:15" x14ac:dyDescent="0.3">
      <c r="A43" s="2" t="s">
        <v>100</v>
      </c>
      <c r="B43" s="1">
        <f>INDEX('Main Data'!$A$1:$O$1001,MATCH('Index&amp;Match'!$A43,'Main Data'!$A$1:$A$1001,0),MATCH('Index&amp;Match'!B42,'Main Data'!$A42:$O42,0))</f>
        <v>46054</v>
      </c>
      <c r="C43" s="2" t="str">
        <f>INDEX('Main Data'!$A$1:$O$1001,MATCH('Index&amp;Match'!$A43,'Main Data'!$A$1:$A$1001,0),MATCH('Index&amp;Match'!C42,'Main Data'!$A42:$O42,0))</f>
        <v>Jamie</v>
      </c>
      <c r="D43" s="2" t="str">
        <f>INDEX('Main Data'!$A$1:$O$1001,MATCH('Index&amp;Match'!$A43,'Main Data'!$A$1:$A$1001,0),MATCH('Index&amp;Match'!D42,'Main Data'!$A42:$O42,0))</f>
        <v>BR-006</v>
      </c>
      <c r="E43" s="2" t="str">
        <f>INDEX('Main Data'!$A$1:$O$1001,MATCH('Index&amp;Match'!$A43,'Main Data'!$A$1:$A$1001,0),MATCH('Index&amp;Match'!E42,'Main Data'!$A42:$O42,0))</f>
        <v>West</v>
      </c>
      <c r="F43" s="2" t="str">
        <f>INDEX('Main Data'!$A$1:$O$1001,MATCH('Index&amp;Match'!$A43,'Main Data'!$A$1:$A$1001,0),MATCH('Index&amp;Match'!F42,'Main Data'!$A42:$O42,0))</f>
        <v>Credit Card</v>
      </c>
      <c r="G43" s="2" t="str">
        <f>INDEX('Main Data'!$A$1:$O$1001,MATCH('Index&amp;Match'!$A43,'Main Data'!$A$1:$A$1001,0),MATCH('Index&amp;Match'!G42,'Main Data'!$A42:$O42,0))</f>
        <v>Social Media</v>
      </c>
      <c r="H43" s="2" t="str">
        <f>INDEX('Main Data'!$A$1:$O$1001,MATCH('Index&amp;Match'!$A43,'Main Data'!$A$1:$A$1001,0),MATCH('Index&amp;Match'!H42,'Main Data'!$A42:$O42,0))</f>
        <v>Retail</v>
      </c>
      <c r="I43" s="2">
        <f>INDEX('Main Data'!$A$1:$O$1001,MATCH('Index&amp;Match'!$A43,'Main Data'!$A$1:$A$1001,0),MATCH('Index&amp;Match'!I42,'Main Data'!$A42:$O42,0))</f>
        <v>62</v>
      </c>
      <c r="J43" s="2">
        <f>INDEX('Main Data'!$A$1:$O$1001,MATCH('Index&amp;Match'!$A43,'Main Data'!$A$1:$A$1001,0),MATCH('Index&amp;Match'!J42,'Main Data'!$A42:$O42,0))</f>
        <v>62</v>
      </c>
      <c r="K43" s="11">
        <f>INDEX('Main Data'!$A$1:$O$1001,MATCH('Index&amp;Match'!$A43,'Main Data'!$A$1:$A$1001,0),MATCH('Index&amp;Match'!K42,'Main Data'!$A42:$O42,0))</f>
        <v>35733.01</v>
      </c>
      <c r="L43" s="11">
        <f>INDEX('Main Data'!$A$1:$O$1001,MATCH('Index&amp;Match'!$A43,'Main Data'!$A$1:$A$1001,0),MATCH('Index&amp;Match'!L42,'Main Data'!$A42:$O42,0))</f>
        <v>194.03</v>
      </c>
      <c r="M43" s="11">
        <f>INDEX('Main Data'!$A$1:$O$1001,MATCH('Index&amp;Match'!$A43,'Main Data'!$A$1:$A$1001,0),MATCH('Index&amp;Match'!M42,'Main Data'!$A42:$O42,0))</f>
        <v>183.39</v>
      </c>
      <c r="N43" s="2" t="str">
        <f>INDEX('Main Data'!$A$1:$O$1001,MATCH('Index&amp;Match'!$A43,'Main Data'!$A$1:$A$1001,0),MATCH('Index&amp;Match'!N42,'Main Data'!$A42:$O42,0))</f>
        <v>No</v>
      </c>
      <c r="O43" s="2">
        <f>INDEX('Main Data'!$A$1:$O$1001,MATCH('Index&amp;Match'!$A43,'Main Data'!$A$1:$A$1001,0),MATCH('Index&amp;Match'!O42,'Main Data'!$A42:$O42,0))</f>
        <v>2</v>
      </c>
    </row>
    <row r="44" spans="1:15" x14ac:dyDescent="0.3">
      <c r="A44" s="2" t="s">
        <v>101</v>
      </c>
      <c r="B44" s="1">
        <f>INDEX('Main Data'!$A$1:$O$1001,MATCH('Index&amp;Match'!$A44,'Main Data'!$A$1:$A$1001,0),MATCH('Index&amp;Match'!B43,'Main Data'!$A43:$O43,0))</f>
        <v>46025</v>
      </c>
      <c r="C44" s="2" t="str">
        <f>INDEX('Main Data'!$A$1:$O$1001,MATCH('Index&amp;Match'!$A44,'Main Data'!$A$1:$A$1001,0),MATCH('Index&amp;Match'!C43,'Main Data'!$A43:$O43,0))</f>
        <v>Jordan</v>
      </c>
      <c r="D44" s="2" t="str">
        <f>INDEX('Main Data'!$A$1:$O$1001,MATCH('Index&amp;Match'!$A44,'Main Data'!$A$1:$A$1001,0),MATCH('Index&amp;Match'!D43,'Main Data'!$A43:$O43,0))</f>
        <v>BR-011</v>
      </c>
      <c r="E44" s="2" t="str">
        <f>INDEX('Main Data'!$A$1:$O$1001,MATCH('Index&amp;Match'!$A44,'Main Data'!$A$1:$A$1001,0),MATCH('Index&amp;Match'!E43,'Main Data'!$A43:$O43,0))</f>
        <v>Central</v>
      </c>
      <c r="F44" s="2" t="str">
        <f>INDEX('Main Data'!$A$1:$O$1001,MATCH('Index&amp;Match'!$A44,'Main Data'!$A$1:$A$1001,0),MATCH('Index&amp;Match'!F43,'Main Data'!$A43:$O43,0))</f>
        <v>Personal Loan</v>
      </c>
      <c r="G44" s="2" t="str">
        <f>INDEX('Main Data'!$A$1:$O$1001,MATCH('Index&amp;Match'!$A44,'Main Data'!$A$1:$A$1001,0),MATCH('Index&amp;Match'!G43,'Main Data'!$A43:$O43,0))</f>
        <v>Social Media</v>
      </c>
      <c r="H44" s="2" t="str">
        <f>INDEX('Main Data'!$A$1:$O$1001,MATCH('Index&amp;Match'!$A44,'Main Data'!$A$1:$A$1001,0),MATCH('Index&amp;Match'!H43,'Main Data'!$A43:$O43,0))</f>
        <v>High Net Worth</v>
      </c>
      <c r="I44" s="2">
        <f>INDEX('Main Data'!$A$1:$O$1001,MATCH('Index&amp;Match'!$A44,'Main Data'!$A$1:$A$1001,0),MATCH('Index&amp;Match'!I43,'Main Data'!$A43:$O43,0))</f>
        <v>38</v>
      </c>
      <c r="J44" s="2">
        <f>INDEX('Main Data'!$A$1:$O$1001,MATCH('Index&amp;Match'!$A44,'Main Data'!$A$1:$A$1001,0),MATCH('Index&amp;Match'!J43,'Main Data'!$A43:$O43,0))</f>
        <v>38</v>
      </c>
      <c r="K44" s="11">
        <f>INDEX('Main Data'!$A$1:$O$1001,MATCH('Index&amp;Match'!$A44,'Main Data'!$A$1:$A$1001,0),MATCH('Index&amp;Match'!K43,'Main Data'!$A43:$O43,0))</f>
        <v>44968.59</v>
      </c>
      <c r="L44" s="11">
        <f>INDEX('Main Data'!$A$1:$O$1001,MATCH('Index&amp;Match'!$A44,'Main Data'!$A$1:$A$1001,0),MATCH('Index&amp;Match'!L43,'Main Data'!$A43:$O43,0))</f>
        <v>393.42</v>
      </c>
      <c r="M44" s="11">
        <f>INDEX('Main Data'!$A$1:$O$1001,MATCH('Index&amp;Match'!$A44,'Main Data'!$A$1:$A$1001,0),MATCH('Index&amp;Match'!M43,'Main Data'!$A43:$O43,0))</f>
        <v>299.04000000000002</v>
      </c>
      <c r="N44" s="2" t="str">
        <f>INDEX('Main Data'!$A$1:$O$1001,MATCH('Index&amp;Match'!$A44,'Main Data'!$A$1:$A$1001,0),MATCH('Index&amp;Match'!N43,'Main Data'!$A43:$O43,0))</f>
        <v>Yes</v>
      </c>
      <c r="O44" s="2">
        <f>INDEX('Main Data'!$A$1:$O$1001,MATCH('Index&amp;Match'!$A44,'Main Data'!$A$1:$A$1001,0),MATCH('Index&amp;Match'!O43,'Main Data'!$A43:$O43,0))</f>
        <v>3</v>
      </c>
    </row>
    <row r="45" spans="1:15" x14ac:dyDescent="0.3">
      <c r="A45" s="2" t="s">
        <v>102</v>
      </c>
      <c r="B45" s="1">
        <f>INDEX('Main Data'!$A$1:$O$1001,MATCH('Index&amp;Match'!$A45,'Main Data'!$A$1:$A$1001,0),MATCH('Index&amp;Match'!B44,'Main Data'!$A44:$O44,0))</f>
        <v>46011</v>
      </c>
      <c r="C45" s="2" t="str">
        <f>INDEX('Main Data'!$A$1:$O$1001,MATCH('Index&amp;Match'!$A45,'Main Data'!$A$1:$A$1001,0),MATCH('Index&amp;Match'!C44,'Main Data'!$A44:$O44,0))</f>
        <v>Drew</v>
      </c>
      <c r="D45" s="2" t="str">
        <f>INDEX('Main Data'!$A$1:$O$1001,MATCH('Index&amp;Match'!$A45,'Main Data'!$A$1:$A$1001,0),MATCH('Index&amp;Match'!D44,'Main Data'!$A44:$O44,0))</f>
        <v>BR-011</v>
      </c>
      <c r="E45" s="2" t="str">
        <f>INDEX('Main Data'!$A$1:$O$1001,MATCH('Index&amp;Match'!$A45,'Main Data'!$A$1:$A$1001,0),MATCH('Index&amp;Match'!E44,'Main Data'!$A44:$O44,0))</f>
        <v>North</v>
      </c>
      <c r="F45" s="2" t="str">
        <f>INDEX('Main Data'!$A$1:$O$1001,MATCH('Index&amp;Match'!$A45,'Main Data'!$A$1:$A$1001,0),MATCH('Index&amp;Match'!F44,'Main Data'!$A44:$O44,0))</f>
        <v>Credit Card</v>
      </c>
      <c r="G45" s="2" t="str">
        <f>INDEX('Main Data'!$A$1:$O$1001,MATCH('Index&amp;Match'!$A45,'Main Data'!$A$1:$A$1001,0),MATCH('Index&amp;Match'!G44,'Main Data'!$A44:$O44,0))</f>
        <v>Referral</v>
      </c>
      <c r="H45" s="2" t="str">
        <f>INDEX('Main Data'!$A$1:$O$1001,MATCH('Index&amp;Match'!$A45,'Main Data'!$A$1:$A$1001,0),MATCH('Index&amp;Match'!H44,'Main Data'!$A44:$O44,0))</f>
        <v>SME</v>
      </c>
      <c r="I45" s="2">
        <f>INDEX('Main Data'!$A$1:$O$1001,MATCH('Index&amp;Match'!$A45,'Main Data'!$A$1:$A$1001,0),MATCH('Index&amp;Match'!I44,'Main Data'!$A44:$O44,0))</f>
        <v>35</v>
      </c>
      <c r="J45" s="2">
        <f>INDEX('Main Data'!$A$1:$O$1001,MATCH('Index&amp;Match'!$A45,'Main Data'!$A$1:$A$1001,0),MATCH('Index&amp;Match'!J44,'Main Data'!$A44:$O44,0))</f>
        <v>35</v>
      </c>
      <c r="K45" s="11">
        <f>INDEX('Main Data'!$A$1:$O$1001,MATCH('Index&amp;Match'!$A45,'Main Data'!$A$1:$A$1001,0),MATCH('Index&amp;Match'!K44,'Main Data'!$A44:$O44,0))</f>
        <v>29342.959999999999</v>
      </c>
      <c r="L45" s="11">
        <f>INDEX('Main Data'!$A$1:$O$1001,MATCH('Index&amp;Match'!$A45,'Main Data'!$A$1:$A$1001,0),MATCH('Index&amp;Match'!L44,'Main Data'!$A44:$O44,0))</f>
        <v>411.01</v>
      </c>
      <c r="M45" s="11">
        <f>INDEX('Main Data'!$A$1:$O$1001,MATCH('Index&amp;Match'!$A45,'Main Data'!$A$1:$A$1001,0),MATCH('Index&amp;Match'!M44,'Main Data'!$A44:$O44,0))</f>
        <v>30.74</v>
      </c>
      <c r="N45" s="2" t="str">
        <f>INDEX('Main Data'!$A$1:$O$1001,MATCH('Index&amp;Match'!$A45,'Main Data'!$A$1:$A$1001,0),MATCH('Index&amp;Match'!N44,'Main Data'!$A44:$O44,0))</f>
        <v>No</v>
      </c>
      <c r="O45" s="2">
        <f>INDEX('Main Data'!$A$1:$O$1001,MATCH('Index&amp;Match'!$A45,'Main Data'!$A$1:$A$1001,0),MATCH('Index&amp;Match'!O44,'Main Data'!$A44:$O44,0))</f>
        <v>1</v>
      </c>
    </row>
    <row r="46" spans="1:15" x14ac:dyDescent="0.3">
      <c r="A46" s="2" t="s">
        <v>103</v>
      </c>
      <c r="B46" s="1">
        <f>INDEX('Main Data'!$A$1:$O$1001,MATCH('Index&amp;Match'!$A46,'Main Data'!$A$1:$A$1001,0),MATCH('Index&amp;Match'!B45,'Main Data'!$A45:$O45,0))</f>
        <v>46101</v>
      </c>
      <c r="C46" s="2" t="str">
        <f>INDEX('Main Data'!$A$1:$O$1001,MATCH('Index&amp;Match'!$A46,'Main Data'!$A$1:$A$1001,0),MATCH('Index&amp;Match'!C45,'Main Data'!$A45:$O45,0))</f>
        <v>Morgan</v>
      </c>
      <c r="D46" s="2" t="str">
        <f>INDEX('Main Data'!$A$1:$O$1001,MATCH('Index&amp;Match'!$A46,'Main Data'!$A$1:$A$1001,0),MATCH('Index&amp;Match'!D45,'Main Data'!$A45:$O45,0))</f>
        <v>BR-001</v>
      </c>
      <c r="E46" s="2" t="str">
        <f>INDEX('Main Data'!$A$1:$O$1001,MATCH('Index&amp;Match'!$A46,'Main Data'!$A$1:$A$1001,0),MATCH('Index&amp;Match'!E45,'Main Data'!$A45:$O45,0))</f>
        <v>Central</v>
      </c>
      <c r="F46" s="2" t="str">
        <f>INDEX('Main Data'!$A$1:$O$1001,MATCH('Index&amp;Match'!$A46,'Main Data'!$A$1:$A$1001,0),MATCH('Index&amp;Match'!F45,'Main Data'!$A45:$O45,0))</f>
        <v>Credit Card</v>
      </c>
      <c r="G46" s="2" t="str">
        <f>INDEX('Main Data'!$A$1:$O$1001,MATCH('Index&amp;Match'!$A46,'Main Data'!$A$1:$A$1001,0),MATCH('Index&amp;Match'!G45,'Main Data'!$A45:$O45,0))</f>
        <v>Social Media</v>
      </c>
      <c r="H46" s="2" t="str">
        <f>INDEX('Main Data'!$A$1:$O$1001,MATCH('Index&amp;Match'!$A46,'Main Data'!$A$1:$A$1001,0),MATCH('Index&amp;Match'!H45,'Main Data'!$A45:$O45,0))</f>
        <v>High Net Worth</v>
      </c>
      <c r="I46" s="2">
        <f>INDEX('Main Data'!$A$1:$O$1001,MATCH('Index&amp;Match'!$A46,'Main Data'!$A$1:$A$1001,0),MATCH('Index&amp;Match'!I45,'Main Data'!$A45:$O45,0))</f>
        <v>60</v>
      </c>
      <c r="J46" s="2">
        <f>INDEX('Main Data'!$A$1:$O$1001,MATCH('Index&amp;Match'!$A46,'Main Data'!$A$1:$A$1001,0),MATCH('Index&amp;Match'!J45,'Main Data'!$A45:$O45,0))</f>
        <v>60</v>
      </c>
      <c r="K46" s="11">
        <f>INDEX('Main Data'!$A$1:$O$1001,MATCH('Index&amp;Match'!$A46,'Main Data'!$A$1:$A$1001,0),MATCH('Index&amp;Match'!K45,'Main Data'!$A45:$O45,0))</f>
        <v>6643.31</v>
      </c>
      <c r="L46" s="11">
        <f>INDEX('Main Data'!$A$1:$O$1001,MATCH('Index&amp;Match'!$A46,'Main Data'!$A$1:$A$1001,0),MATCH('Index&amp;Match'!L45,'Main Data'!$A45:$O45,0))</f>
        <v>223.3</v>
      </c>
      <c r="M46" s="11">
        <f>INDEX('Main Data'!$A$1:$O$1001,MATCH('Index&amp;Match'!$A46,'Main Data'!$A$1:$A$1001,0),MATCH('Index&amp;Match'!M45,'Main Data'!$A45:$O45,0))</f>
        <v>258.88</v>
      </c>
      <c r="N46" s="2" t="str">
        <f>INDEX('Main Data'!$A$1:$O$1001,MATCH('Index&amp;Match'!$A46,'Main Data'!$A$1:$A$1001,0),MATCH('Index&amp;Match'!N45,'Main Data'!$A45:$O45,0))</f>
        <v>Yes</v>
      </c>
      <c r="O46" s="2">
        <f>INDEX('Main Data'!$A$1:$O$1001,MATCH('Index&amp;Match'!$A46,'Main Data'!$A$1:$A$1001,0),MATCH('Index&amp;Match'!O45,'Main Data'!$A45:$O45,0))</f>
        <v>2</v>
      </c>
    </row>
    <row r="47" spans="1:15" x14ac:dyDescent="0.3">
      <c r="A47" s="2" t="s">
        <v>104</v>
      </c>
      <c r="B47" s="1">
        <f>INDEX('Main Data'!$A$1:$O$1001,MATCH('Index&amp;Match'!$A47,'Main Data'!$A$1:$A$1001,0),MATCH('Index&amp;Match'!B46,'Main Data'!$A46:$O46,0))</f>
        <v>46081</v>
      </c>
      <c r="C47" s="2" t="str">
        <f>INDEX('Main Data'!$A$1:$O$1001,MATCH('Index&amp;Match'!$A47,'Main Data'!$A$1:$A$1001,0),MATCH('Index&amp;Match'!C46,'Main Data'!$A46:$O46,0))</f>
        <v>Morgan</v>
      </c>
      <c r="D47" s="2" t="str">
        <f>INDEX('Main Data'!$A$1:$O$1001,MATCH('Index&amp;Match'!$A47,'Main Data'!$A$1:$A$1001,0),MATCH('Index&amp;Match'!D46,'Main Data'!$A46:$O46,0))</f>
        <v>BR-013</v>
      </c>
      <c r="E47" s="2" t="str">
        <f>INDEX('Main Data'!$A$1:$O$1001,MATCH('Index&amp;Match'!$A47,'Main Data'!$A$1:$A$1001,0),MATCH('Index&amp;Match'!E46,'Main Data'!$A46:$O46,0))</f>
        <v>Central</v>
      </c>
      <c r="F47" s="2" t="str">
        <f>INDEX('Main Data'!$A$1:$O$1001,MATCH('Index&amp;Match'!$A47,'Main Data'!$A$1:$A$1001,0),MATCH('Index&amp;Match'!F46,'Main Data'!$A46:$O46,0))</f>
        <v>Mortgage</v>
      </c>
      <c r="G47" s="2" t="str">
        <f>INDEX('Main Data'!$A$1:$O$1001,MATCH('Index&amp;Match'!$A47,'Main Data'!$A$1:$A$1001,0),MATCH('Index&amp;Match'!G46,'Main Data'!$A46:$O46,0))</f>
        <v>Social Media</v>
      </c>
      <c r="H47" s="2" t="str">
        <f>INDEX('Main Data'!$A$1:$O$1001,MATCH('Index&amp;Match'!$A47,'Main Data'!$A$1:$A$1001,0),MATCH('Index&amp;Match'!H46,'Main Data'!$A46:$O46,0))</f>
        <v>Corporate</v>
      </c>
      <c r="I47" s="2">
        <f>INDEX('Main Data'!$A$1:$O$1001,MATCH('Index&amp;Match'!$A47,'Main Data'!$A$1:$A$1001,0),MATCH('Index&amp;Match'!I46,'Main Data'!$A46:$O46,0))</f>
        <v>52</v>
      </c>
      <c r="J47" s="2">
        <f>INDEX('Main Data'!$A$1:$O$1001,MATCH('Index&amp;Match'!$A47,'Main Data'!$A$1:$A$1001,0),MATCH('Index&amp;Match'!J46,'Main Data'!$A46:$O46,0))</f>
        <v>52</v>
      </c>
      <c r="K47" s="11">
        <f>INDEX('Main Data'!$A$1:$O$1001,MATCH('Index&amp;Match'!$A47,'Main Data'!$A$1:$A$1001,0),MATCH('Index&amp;Match'!K46,'Main Data'!$A46:$O46,0))</f>
        <v>6510.04</v>
      </c>
      <c r="L47" s="11">
        <f>INDEX('Main Data'!$A$1:$O$1001,MATCH('Index&amp;Match'!$A47,'Main Data'!$A$1:$A$1001,0),MATCH('Index&amp;Match'!L46,'Main Data'!$A46:$O46,0))</f>
        <v>238.05</v>
      </c>
      <c r="M47" s="11">
        <f>INDEX('Main Data'!$A$1:$O$1001,MATCH('Index&amp;Match'!$A47,'Main Data'!$A$1:$A$1001,0),MATCH('Index&amp;Match'!M46,'Main Data'!$A46:$O46,0))</f>
        <v>53.2</v>
      </c>
      <c r="N47" s="2" t="str">
        <f>INDEX('Main Data'!$A$1:$O$1001,MATCH('Index&amp;Match'!$A47,'Main Data'!$A$1:$A$1001,0),MATCH('Index&amp;Match'!N46,'Main Data'!$A46:$O46,0))</f>
        <v>Yes</v>
      </c>
      <c r="O47" s="2">
        <f>INDEX('Main Data'!$A$1:$O$1001,MATCH('Index&amp;Match'!$A47,'Main Data'!$A$1:$A$1001,0),MATCH('Index&amp;Match'!O46,'Main Data'!$A46:$O46,0))</f>
        <v>4</v>
      </c>
    </row>
    <row r="48" spans="1:15" x14ac:dyDescent="0.3">
      <c r="A48" s="2" t="s">
        <v>105</v>
      </c>
      <c r="B48" s="1">
        <f>INDEX('Main Data'!$A$1:$O$1001,MATCH('Index&amp;Match'!$A48,'Main Data'!$A$1:$A$1001,0),MATCH('Index&amp;Match'!B47,'Main Data'!$A47:$O47,0))</f>
        <v>46054</v>
      </c>
      <c r="C48" s="2" t="str">
        <f>INDEX('Main Data'!$A$1:$O$1001,MATCH('Index&amp;Match'!$A48,'Main Data'!$A$1:$A$1001,0),MATCH('Index&amp;Match'!C47,'Main Data'!$A47:$O47,0))</f>
        <v>Drew</v>
      </c>
      <c r="D48" s="2" t="str">
        <f>INDEX('Main Data'!$A$1:$O$1001,MATCH('Index&amp;Match'!$A48,'Main Data'!$A$1:$A$1001,0),MATCH('Index&amp;Match'!D47,'Main Data'!$A47:$O47,0))</f>
        <v>BR-001</v>
      </c>
      <c r="E48" s="2" t="str">
        <f>INDEX('Main Data'!$A$1:$O$1001,MATCH('Index&amp;Match'!$A48,'Main Data'!$A$1:$A$1001,0),MATCH('Index&amp;Match'!E47,'Main Data'!$A47:$O47,0))</f>
        <v>West</v>
      </c>
      <c r="F48" s="2" t="str">
        <f>INDEX('Main Data'!$A$1:$O$1001,MATCH('Index&amp;Match'!$A48,'Main Data'!$A$1:$A$1001,0),MATCH('Index&amp;Match'!F47,'Main Data'!$A47:$O47,0))</f>
        <v>Auto Loan</v>
      </c>
      <c r="G48" s="2" t="str">
        <f>INDEX('Main Data'!$A$1:$O$1001,MATCH('Index&amp;Match'!$A48,'Main Data'!$A$1:$A$1001,0),MATCH('Index&amp;Match'!G47,'Main Data'!$A47:$O47,0))</f>
        <v>Walk-in</v>
      </c>
      <c r="H48" s="2" t="str">
        <f>INDEX('Main Data'!$A$1:$O$1001,MATCH('Index&amp;Match'!$A48,'Main Data'!$A$1:$A$1001,0),MATCH('Index&amp;Match'!H47,'Main Data'!$A47:$O47,0))</f>
        <v>High Net Worth</v>
      </c>
      <c r="I48" s="2">
        <f>INDEX('Main Data'!$A$1:$O$1001,MATCH('Index&amp;Match'!$A48,'Main Data'!$A$1:$A$1001,0),MATCH('Index&amp;Match'!I47,'Main Data'!$A47:$O47,0))</f>
        <v>29</v>
      </c>
      <c r="J48" s="2">
        <f>INDEX('Main Data'!$A$1:$O$1001,MATCH('Index&amp;Match'!$A48,'Main Data'!$A$1:$A$1001,0),MATCH('Index&amp;Match'!J47,'Main Data'!$A47:$O47,0))</f>
        <v>29</v>
      </c>
      <c r="K48" s="11">
        <f>INDEX('Main Data'!$A$1:$O$1001,MATCH('Index&amp;Match'!$A48,'Main Data'!$A$1:$A$1001,0),MATCH('Index&amp;Match'!K47,'Main Data'!$A47:$O47,0))</f>
        <v>36196.050000000003</v>
      </c>
      <c r="L48" s="11">
        <f>INDEX('Main Data'!$A$1:$O$1001,MATCH('Index&amp;Match'!$A48,'Main Data'!$A$1:$A$1001,0),MATCH('Index&amp;Match'!L47,'Main Data'!$A47:$O47,0))</f>
        <v>70.03</v>
      </c>
      <c r="M48" s="11">
        <f>INDEX('Main Data'!$A$1:$O$1001,MATCH('Index&amp;Match'!$A48,'Main Data'!$A$1:$A$1001,0),MATCH('Index&amp;Match'!M47,'Main Data'!$A47:$O47,0))</f>
        <v>177.24</v>
      </c>
      <c r="N48" s="2" t="str">
        <f>INDEX('Main Data'!$A$1:$O$1001,MATCH('Index&amp;Match'!$A48,'Main Data'!$A$1:$A$1001,0),MATCH('Index&amp;Match'!N47,'Main Data'!$A47:$O47,0))</f>
        <v>Yes</v>
      </c>
      <c r="O48" s="2">
        <f>INDEX('Main Data'!$A$1:$O$1001,MATCH('Index&amp;Match'!$A48,'Main Data'!$A$1:$A$1001,0),MATCH('Index&amp;Match'!O47,'Main Data'!$A47:$O47,0))</f>
        <v>5</v>
      </c>
    </row>
    <row r="49" spans="1:15" x14ac:dyDescent="0.3">
      <c r="A49" s="2" t="s">
        <v>106</v>
      </c>
      <c r="B49" s="1">
        <f>INDEX('Main Data'!$A$1:$O$1001,MATCH('Index&amp;Match'!$A49,'Main Data'!$A$1:$A$1001,0),MATCH('Index&amp;Match'!B48,'Main Data'!$A48:$O48,0))</f>
        <v>46024</v>
      </c>
      <c r="C49" s="2" t="str">
        <f>INDEX('Main Data'!$A$1:$O$1001,MATCH('Index&amp;Match'!$A49,'Main Data'!$A$1:$A$1001,0),MATCH('Index&amp;Match'!C48,'Main Data'!$A48:$O48,0))</f>
        <v>Jamie</v>
      </c>
      <c r="D49" s="2" t="str">
        <f>INDEX('Main Data'!$A$1:$O$1001,MATCH('Index&amp;Match'!$A49,'Main Data'!$A$1:$A$1001,0),MATCH('Index&amp;Match'!D48,'Main Data'!$A48:$O48,0))</f>
        <v>BR-002</v>
      </c>
      <c r="E49" s="2" t="str">
        <f>INDEX('Main Data'!$A$1:$O$1001,MATCH('Index&amp;Match'!$A49,'Main Data'!$A$1:$A$1001,0),MATCH('Index&amp;Match'!E48,'Main Data'!$A48:$O48,0))</f>
        <v>North</v>
      </c>
      <c r="F49" s="2" t="str">
        <f>INDEX('Main Data'!$A$1:$O$1001,MATCH('Index&amp;Match'!$A49,'Main Data'!$A$1:$A$1001,0),MATCH('Index&amp;Match'!F48,'Main Data'!$A48:$O48,0))</f>
        <v>Personal Loan</v>
      </c>
      <c r="G49" s="2" t="str">
        <f>INDEX('Main Data'!$A$1:$O$1001,MATCH('Index&amp;Match'!$A49,'Main Data'!$A$1:$A$1001,0),MATCH('Index&amp;Match'!G48,'Main Data'!$A48:$O48,0))</f>
        <v>Email Campaign</v>
      </c>
      <c r="H49" s="2" t="str">
        <f>INDEX('Main Data'!$A$1:$O$1001,MATCH('Index&amp;Match'!$A49,'Main Data'!$A$1:$A$1001,0),MATCH('Index&amp;Match'!H48,'Main Data'!$A48:$O48,0))</f>
        <v>High Net Worth</v>
      </c>
      <c r="I49" s="2">
        <f>INDEX('Main Data'!$A$1:$O$1001,MATCH('Index&amp;Match'!$A49,'Main Data'!$A$1:$A$1001,0),MATCH('Index&amp;Match'!I48,'Main Data'!$A48:$O48,0))</f>
        <v>57</v>
      </c>
      <c r="J49" s="2">
        <f>INDEX('Main Data'!$A$1:$O$1001,MATCH('Index&amp;Match'!$A49,'Main Data'!$A$1:$A$1001,0),MATCH('Index&amp;Match'!J48,'Main Data'!$A48:$O48,0))</f>
        <v>57</v>
      </c>
      <c r="K49" s="11">
        <f>INDEX('Main Data'!$A$1:$O$1001,MATCH('Index&amp;Match'!$A49,'Main Data'!$A$1:$A$1001,0),MATCH('Index&amp;Match'!K48,'Main Data'!$A48:$O48,0))</f>
        <v>9597.34</v>
      </c>
      <c r="L49" s="11">
        <f>INDEX('Main Data'!$A$1:$O$1001,MATCH('Index&amp;Match'!$A49,'Main Data'!$A$1:$A$1001,0),MATCH('Index&amp;Match'!L48,'Main Data'!$A48:$O48,0))</f>
        <v>180.11</v>
      </c>
      <c r="M49" s="11">
        <f>INDEX('Main Data'!$A$1:$O$1001,MATCH('Index&amp;Match'!$A49,'Main Data'!$A$1:$A$1001,0),MATCH('Index&amp;Match'!M48,'Main Data'!$A48:$O48,0))</f>
        <v>151.72999999999999</v>
      </c>
      <c r="N49" s="2" t="str">
        <f>INDEX('Main Data'!$A$1:$O$1001,MATCH('Index&amp;Match'!$A49,'Main Data'!$A$1:$A$1001,0),MATCH('Index&amp;Match'!N48,'Main Data'!$A48:$O48,0))</f>
        <v>No</v>
      </c>
      <c r="O49" s="2">
        <f>INDEX('Main Data'!$A$1:$O$1001,MATCH('Index&amp;Match'!$A49,'Main Data'!$A$1:$A$1001,0),MATCH('Index&amp;Match'!O48,'Main Data'!$A48:$O48,0))</f>
        <v>2</v>
      </c>
    </row>
    <row r="50" spans="1:15" x14ac:dyDescent="0.3">
      <c r="A50" s="2" t="s">
        <v>107</v>
      </c>
      <c r="B50" s="1">
        <f>INDEX('Main Data'!$A$1:$O$1001,MATCH('Index&amp;Match'!$A50,'Main Data'!$A$1:$A$1001,0),MATCH('Index&amp;Match'!B49,'Main Data'!$A49:$O49,0))</f>
        <v>46000</v>
      </c>
      <c r="C50" s="2" t="str">
        <f>INDEX('Main Data'!$A$1:$O$1001,MATCH('Index&amp;Match'!$A50,'Main Data'!$A$1:$A$1001,0),MATCH('Index&amp;Match'!C49,'Main Data'!$A49:$O49,0))</f>
        <v>Sam</v>
      </c>
      <c r="D50" s="2" t="str">
        <f>INDEX('Main Data'!$A$1:$O$1001,MATCH('Index&amp;Match'!$A50,'Main Data'!$A$1:$A$1001,0),MATCH('Index&amp;Match'!D49,'Main Data'!$A49:$O49,0))</f>
        <v>BR-009</v>
      </c>
      <c r="E50" s="2" t="str">
        <f>INDEX('Main Data'!$A$1:$O$1001,MATCH('Index&amp;Match'!$A50,'Main Data'!$A$1:$A$1001,0),MATCH('Index&amp;Match'!E49,'Main Data'!$A49:$O49,0))</f>
        <v>West</v>
      </c>
      <c r="F50" s="2" t="str">
        <f>INDEX('Main Data'!$A$1:$O$1001,MATCH('Index&amp;Match'!$A50,'Main Data'!$A$1:$A$1001,0),MATCH('Index&amp;Match'!F49,'Main Data'!$A49:$O49,0))</f>
        <v>Credit Card</v>
      </c>
      <c r="G50" s="2" t="str">
        <f>INDEX('Main Data'!$A$1:$O$1001,MATCH('Index&amp;Match'!$A50,'Main Data'!$A$1:$A$1001,0),MATCH('Index&amp;Match'!G49,'Main Data'!$A49:$O49,0))</f>
        <v>Referral</v>
      </c>
      <c r="H50" s="2" t="str">
        <f>INDEX('Main Data'!$A$1:$O$1001,MATCH('Index&amp;Match'!$A50,'Main Data'!$A$1:$A$1001,0),MATCH('Index&amp;Match'!H49,'Main Data'!$A49:$O49,0))</f>
        <v>Corporate</v>
      </c>
      <c r="I50" s="2">
        <f>INDEX('Main Data'!$A$1:$O$1001,MATCH('Index&amp;Match'!$A50,'Main Data'!$A$1:$A$1001,0),MATCH('Index&amp;Match'!I49,'Main Data'!$A49:$O49,0))</f>
        <v>30</v>
      </c>
      <c r="J50" s="2">
        <f>INDEX('Main Data'!$A$1:$O$1001,MATCH('Index&amp;Match'!$A50,'Main Data'!$A$1:$A$1001,0),MATCH('Index&amp;Match'!J49,'Main Data'!$A49:$O49,0))</f>
        <v>30</v>
      </c>
      <c r="K50" s="11">
        <f>INDEX('Main Data'!$A$1:$O$1001,MATCH('Index&amp;Match'!$A50,'Main Data'!$A$1:$A$1001,0),MATCH('Index&amp;Match'!K49,'Main Data'!$A49:$O49,0))</f>
        <v>16755.080000000002</v>
      </c>
      <c r="L50" s="11">
        <f>INDEX('Main Data'!$A$1:$O$1001,MATCH('Index&amp;Match'!$A50,'Main Data'!$A$1:$A$1001,0),MATCH('Index&amp;Match'!L49,'Main Data'!$A49:$O49,0))</f>
        <v>253.08</v>
      </c>
      <c r="M50" s="11">
        <f>INDEX('Main Data'!$A$1:$O$1001,MATCH('Index&amp;Match'!$A50,'Main Data'!$A$1:$A$1001,0),MATCH('Index&amp;Match'!M49,'Main Data'!$A49:$O49,0))</f>
        <v>3.6</v>
      </c>
      <c r="N50" s="2" t="str">
        <f>INDEX('Main Data'!$A$1:$O$1001,MATCH('Index&amp;Match'!$A50,'Main Data'!$A$1:$A$1001,0),MATCH('Index&amp;Match'!N49,'Main Data'!$A49:$O49,0))</f>
        <v>No</v>
      </c>
      <c r="O50" s="2">
        <f>INDEX('Main Data'!$A$1:$O$1001,MATCH('Index&amp;Match'!$A50,'Main Data'!$A$1:$A$1001,0),MATCH('Index&amp;Match'!O49,'Main Data'!$A49:$O49,0))</f>
        <v>4</v>
      </c>
    </row>
    <row r="51" spans="1:15" x14ac:dyDescent="0.3">
      <c r="A51" s="2" t="s">
        <v>108</v>
      </c>
      <c r="B51" s="1">
        <f>INDEX('Main Data'!$A$1:$O$1001,MATCH('Index&amp;Match'!$A51,'Main Data'!$A$1:$A$1001,0),MATCH('Index&amp;Match'!B50,'Main Data'!$A50:$O50,0))</f>
        <v>46155</v>
      </c>
      <c r="C51" s="2" t="str">
        <f>INDEX('Main Data'!$A$1:$O$1001,MATCH('Index&amp;Match'!$A51,'Main Data'!$A$1:$A$1001,0),MATCH('Index&amp;Match'!C50,'Main Data'!$A50:$O50,0))</f>
        <v>Sam</v>
      </c>
      <c r="D51" s="2" t="str">
        <f>INDEX('Main Data'!$A$1:$O$1001,MATCH('Index&amp;Match'!$A51,'Main Data'!$A$1:$A$1001,0),MATCH('Index&amp;Match'!D50,'Main Data'!$A50:$O50,0))</f>
        <v>BR-003</v>
      </c>
      <c r="E51" s="2" t="str">
        <f>INDEX('Main Data'!$A$1:$O$1001,MATCH('Index&amp;Match'!$A51,'Main Data'!$A$1:$A$1001,0),MATCH('Index&amp;Match'!E50,'Main Data'!$A50:$O50,0))</f>
        <v>North</v>
      </c>
      <c r="F51" s="2" t="str">
        <f>INDEX('Main Data'!$A$1:$O$1001,MATCH('Index&amp;Match'!$A51,'Main Data'!$A$1:$A$1001,0),MATCH('Index&amp;Match'!F50,'Main Data'!$A50:$O50,0))</f>
        <v>Personal Loan</v>
      </c>
      <c r="G51" s="2" t="str">
        <f>INDEX('Main Data'!$A$1:$O$1001,MATCH('Index&amp;Match'!$A51,'Main Data'!$A$1:$A$1001,0),MATCH('Index&amp;Match'!G50,'Main Data'!$A50:$O50,0))</f>
        <v>Walk-in</v>
      </c>
      <c r="H51" s="2" t="str">
        <f>INDEX('Main Data'!$A$1:$O$1001,MATCH('Index&amp;Match'!$A51,'Main Data'!$A$1:$A$1001,0),MATCH('Index&amp;Match'!H50,'Main Data'!$A50:$O50,0))</f>
        <v>Retail</v>
      </c>
      <c r="I51" s="2">
        <f>INDEX('Main Data'!$A$1:$O$1001,MATCH('Index&amp;Match'!$A51,'Main Data'!$A$1:$A$1001,0),MATCH('Index&amp;Match'!I50,'Main Data'!$A50:$O50,0))</f>
        <v>40</v>
      </c>
      <c r="J51" s="2">
        <f>INDEX('Main Data'!$A$1:$O$1001,MATCH('Index&amp;Match'!$A51,'Main Data'!$A$1:$A$1001,0),MATCH('Index&amp;Match'!J50,'Main Data'!$A50:$O50,0))</f>
        <v>40</v>
      </c>
      <c r="K51" s="11">
        <f>INDEX('Main Data'!$A$1:$O$1001,MATCH('Index&amp;Match'!$A51,'Main Data'!$A$1:$A$1001,0),MATCH('Index&amp;Match'!K50,'Main Data'!$A50:$O50,0))</f>
        <v>24616.99</v>
      </c>
      <c r="L51" s="11">
        <f>INDEX('Main Data'!$A$1:$O$1001,MATCH('Index&amp;Match'!$A51,'Main Data'!$A$1:$A$1001,0),MATCH('Index&amp;Match'!L50,'Main Data'!$A50:$O50,0))</f>
        <v>102.64</v>
      </c>
      <c r="M51" s="11">
        <f>INDEX('Main Data'!$A$1:$O$1001,MATCH('Index&amp;Match'!$A51,'Main Data'!$A$1:$A$1001,0),MATCH('Index&amp;Match'!M50,'Main Data'!$A50:$O50,0))</f>
        <v>186.55</v>
      </c>
      <c r="N51" s="2" t="str">
        <f>INDEX('Main Data'!$A$1:$O$1001,MATCH('Index&amp;Match'!$A51,'Main Data'!$A$1:$A$1001,0),MATCH('Index&amp;Match'!N50,'Main Data'!$A50:$O50,0))</f>
        <v>Yes</v>
      </c>
      <c r="O51" s="2">
        <f>INDEX('Main Data'!$A$1:$O$1001,MATCH('Index&amp;Match'!$A51,'Main Data'!$A$1:$A$1001,0),MATCH('Index&amp;Match'!O50,'Main Data'!$A50:$O50,0))</f>
        <v>2</v>
      </c>
    </row>
    <row r="52" spans="1:15" x14ac:dyDescent="0.3">
      <c r="A52" s="2" t="s">
        <v>109</v>
      </c>
      <c r="B52" s="1">
        <f>INDEX('Main Data'!$A$1:$O$1001,MATCH('Index&amp;Match'!$A52,'Main Data'!$A$1:$A$1001,0),MATCH('Index&amp;Match'!B51,'Main Data'!$A51:$O51,0))</f>
        <v>45990</v>
      </c>
      <c r="C52" s="2" t="str">
        <f>INDEX('Main Data'!$A$1:$O$1001,MATCH('Index&amp;Match'!$A52,'Main Data'!$A$1:$A$1001,0),MATCH('Index&amp;Match'!C51,'Main Data'!$A51:$O51,0))</f>
        <v>Jamie</v>
      </c>
      <c r="D52" s="2" t="str">
        <f>INDEX('Main Data'!$A$1:$O$1001,MATCH('Index&amp;Match'!$A52,'Main Data'!$A$1:$A$1001,0),MATCH('Index&amp;Match'!D51,'Main Data'!$A51:$O51,0))</f>
        <v>BR-015</v>
      </c>
      <c r="E52" s="2" t="str">
        <f>INDEX('Main Data'!$A$1:$O$1001,MATCH('Index&amp;Match'!$A52,'Main Data'!$A$1:$A$1001,0),MATCH('Index&amp;Match'!E51,'Main Data'!$A51:$O51,0))</f>
        <v>South</v>
      </c>
      <c r="F52" s="2" t="str">
        <f>INDEX('Main Data'!$A$1:$O$1001,MATCH('Index&amp;Match'!$A52,'Main Data'!$A$1:$A$1001,0),MATCH('Index&amp;Match'!F51,'Main Data'!$A51:$O51,0))</f>
        <v>Auto Loan</v>
      </c>
      <c r="G52" s="2" t="str">
        <f>INDEX('Main Data'!$A$1:$O$1001,MATCH('Index&amp;Match'!$A52,'Main Data'!$A$1:$A$1001,0),MATCH('Index&amp;Match'!G51,'Main Data'!$A51:$O51,0))</f>
        <v>Email Campaign</v>
      </c>
      <c r="H52" s="2" t="str">
        <f>INDEX('Main Data'!$A$1:$O$1001,MATCH('Index&amp;Match'!$A52,'Main Data'!$A$1:$A$1001,0),MATCH('Index&amp;Match'!H51,'Main Data'!$A51:$O51,0))</f>
        <v>Corporate</v>
      </c>
      <c r="I52" s="2">
        <f>INDEX('Main Data'!$A$1:$O$1001,MATCH('Index&amp;Match'!$A52,'Main Data'!$A$1:$A$1001,0),MATCH('Index&amp;Match'!I51,'Main Data'!$A51:$O51,0))</f>
        <v>26</v>
      </c>
      <c r="J52" s="2">
        <f>INDEX('Main Data'!$A$1:$O$1001,MATCH('Index&amp;Match'!$A52,'Main Data'!$A$1:$A$1001,0),MATCH('Index&amp;Match'!J51,'Main Data'!$A51:$O51,0))</f>
        <v>26</v>
      </c>
      <c r="K52" s="11">
        <f>INDEX('Main Data'!$A$1:$O$1001,MATCH('Index&amp;Match'!$A52,'Main Data'!$A$1:$A$1001,0),MATCH('Index&amp;Match'!K51,'Main Data'!$A51:$O51,0))</f>
        <v>1725.86</v>
      </c>
      <c r="L52" s="11">
        <f>INDEX('Main Data'!$A$1:$O$1001,MATCH('Index&amp;Match'!$A52,'Main Data'!$A$1:$A$1001,0),MATCH('Index&amp;Match'!L51,'Main Data'!$A51:$O51,0))</f>
        <v>253.97</v>
      </c>
      <c r="M52" s="11">
        <f>INDEX('Main Data'!$A$1:$O$1001,MATCH('Index&amp;Match'!$A52,'Main Data'!$A$1:$A$1001,0),MATCH('Index&amp;Match'!M51,'Main Data'!$A51:$O51,0))</f>
        <v>15.67</v>
      </c>
      <c r="N52" s="2" t="str">
        <f>INDEX('Main Data'!$A$1:$O$1001,MATCH('Index&amp;Match'!$A52,'Main Data'!$A$1:$A$1001,0),MATCH('Index&amp;Match'!N51,'Main Data'!$A51:$O51,0))</f>
        <v>No</v>
      </c>
      <c r="O52" s="2">
        <f>INDEX('Main Data'!$A$1:$O$1001,MATCH('Index&amp;Match'!$A52,'Main Data'!$A$1:$A$1001,0),MATCH('Index&amp;Match'!O51,'Main Data'!$A51:$O51,0))</f>
        <v>2</v>
      </c>
    </row>
    <row r="53" spans="1:15" x14ac:dyDescent="0.3">
      <c r="A53" s="2" t="s">
        <v>110</v>
      </c>
      <c r="B53" s="1">
        <f>INDEX('Main Data'!$A$1:$O$1001,MATCH('Index&amp;Match'!$A53,'Main Data'!$A$1:$A$1001,0),MATCH('Index&amp;Match'!B52,'Main Data'!$A52:$O52,0))</f>
        <v>45914</v>
      </c>
      <c r="C53" s="2" t="str">
        <f>INDEX('Main Data'!$A$1:$O$1001,MATCH('Index&amp;Match'!$A53,'Main Data'!$A$1:$A$1001,0),MATCH('Index&amp;Match'!C52,'Main Data'!$A52:$O52,0))</f>
        <v>Sam</v>
      </c>
      <c r="D53" s="2" t="str">
        <f>INDEX('Main Data'!$A$1:$O$1001,MATCH('Index&amp;Match'!$A53,'Main Data'!$A$1:$A$1001,0),MATCH('Index&amp;Match'!D52,'Main Data'!$A52:$O52,0))</f>
        <v>BR-001</v>
      </c>
      <c r="E53" s="2" t="str">
        <f>INDEX('Main Data'!$A$1:$O$1001,MATCH('Index&amp;Match'!$A53,'Main Data'!$A$1:$A$1001,0),MATCH('Index&amp;Match'!E52,'Main Data'!$A52:$O52,0))</f>
        <v>North</v>
      </c>
      <c r="F53" s="2" t="str">
        <f>INDEX('Main Data'!$A$1:$O$1001,MATCH('Index&amp;Match'!$A53,'Main Data'!$A$1:$A$1001,0),MATCH('Index&amp;Match'!F52,'Main Data'!$A52:$O52,0))</f>
        <v>Auto Loan</v>
      </c>
      <c r="G53" s="2" t="str">
        <f>INDEX('Main Data'!$A$1:$O$1001,MATCH('Index&amp;Match'!$A53,'Main Data'!$A$1:$A$1001,0),MATCH('Index&amp;Match'!G52,'Main Data'!$A52:$O52,0))</f>
        <v>Walk-in</v>
      </c>
      <c r="H53" s="2" t="str">
        <f>INDEX('Main Data'!$A$1:$O$1001,MATCH('Index&amp;Match'!$A53,'Main Data'!$A$1:$A$1001,0),MATCH('Index&amp;Match'!H52,'Main Data'!$A52:$O52,0))</f>
        <v>Corporate</v>
      </c>
      <c r="I53" s="2">
        <f>INDEX('Main Data'!$A$1:$O$1001,MATCH('Index&amp;Match'!$A53,'Main Data'!$A$1:$A$1001,0),MATCH('Index&amp;Match'!I52,'Main Data'!$A52:$O52,0))</f>
        <v>68</v>
      </c>
      <c r="J53" s="2">
        <f>INDEX('Main Data'!$A$1:$O$1001,MATCH('Index&amp;Match'!$A53,'Main Data'!$A$1:$A$1001,0),MATCH('Index&amp;Match'!J52,'Main Data'!$A52:$O52,0))</f>
        <v>68</v>
      </c>
      <c r="K53" s="11">
        <f>INDEX('Main Data'!$A$1:$O$1001,MATCH('Index&amp;Match'!$A53,'Main Data'!$A$1:$A$1001,0),MATCH('Index&amp;Match'!K52,'Main Data'!$A52:$O52,0))</f>
        <v>12816.54</v>
      </c>
      <c r="L53" s="11">
        <f>INDEX('Main Data'!$A$1:$O$1001,MATCH('Index&amp;Match'!$A53,'Main Data'!$A$1:$A$1001,0),MATCH('Index&amp;Match'!L52,'Main Data'!$A52:$O52,0))</f>
        <v>433.93</v>
      </c>
      <c r="M53" s="11">
        <f>INDEX('Main Data'!$A$1:$O$1001,MATCH('Index&amp;Match'!$A53,'Main Data'!$A$1:$A$1001,0),MATCH('Index&amp;Match'!M52,'Main Data'!$A52:$O52,0))</f>
        <v>137.63999999999999</v>
      </c>
      <c r="N53" s="2" t="str">
        <f>INDEX('Main Data'!$A$1:$O$1001,MATCH('Index&amp;Match'!$A53,'Main Data'!$A$1:$A$1001,0),MATCH('Index&amp;Match'!N52,'Main Data'!$A52:$O52,0))</f>
        <v>No</v>
      </c>
      <c r="O53" s="2">
        <f>INDEX('Main Data'!$A$1:$O$1001,MATCH('Index&amp;Match'!$A53,'Main Data'!$A$1:$A$1001,0),MATCH('Index&amp;Match'!O52,'Main Data'!$A52:$O52,0))</f>
        <v>3</v>
      </c>
    </row>
    <row r="54" spans="1:15" x14ac:dyDescent="0.3">
      <c r="A54" s="2" t="s">
        <v>111</v>
      </c>
      <c r="B54" s="1">
        <f>INDEX('Main Data'!$A$1:$O$1001,MATCH('Index&amp;Match'!$A54,'Main Data'!$A$1:$A$1001,0),MATCH('Index&amp;Match'!B53,'Main Data'!$A53:$O53,0))</f>
        <v>46086</v>
      </c>
      <c r="C54" s="2" t="str">
        <f>INDEX('Main Data'!$A$1:$O$1001,MATCH('Index&amp;Match'!$A54,'Main Data'!$A$1:$A$1001,0),MATCH('Index&amp;Match'!C53,'Main Data'!$A53:$O53,0))</f>
        <v>Taylor</v>
      </c>
      <c r="D54" s="2" t="str">
        <f>INDEX('Main Data'!$A$1:$O$1001,MATCH('Index&amp;Match'!$A54,'Main Data'!$A$1:$A$1001,0),MATCH('Index&amp;Match'!D53,'Main Data'!$A53:$O53,0))</f>
        <v>BR-005</v>
      </c>
      <c r="E54" s="2" t="str">
        <f>INDEX('Main Data'!$A$1:$O$1001,MATCH('Index&amp;Match'!$A54,'Main Data'!$A$1:$A$1001,0),MATCH('Index&amp;Match'!E53,'Main Data'!$A53:$O53,0))</f>
        <v>West</v>
      </c>
      <c r="F54" s="2" t="str">
        <f>INDEX('Main Data'!$A$1:$O$1001,MATCH('Index&amp;Match'!$A54,'Main Data'!$A$1:$A$1001,0),MATCH('Index&amp;Match'!F53,'Main Data'!$A53:$O53,0))</f>
        <v>Wealth Management</v>
      </c>
      <c r="G54" s="2" t="str">
        <f>INDEX('Main Data'!$A$1:$O$1001,MATCH('Index&amp;Match'!$A54,'Main Data'!$A$1:$A$1001,0),MATCH('Index&amp;Match'!G53,'Main Data'!$A53:$O53,0))</f>
        <v>Walk-in</v>
      </c>
      <c r="H54" s="2" t="str">
        <f>INDEX('Main Data'!$A$1:$O$1001,MATCH('Index&amp;Match'!$A54,'Main Data'!$A$1:$A$1001,0),MATCH('Index&amp;Match'!H53,'Main Data'!$A53:$O53,0))</f>
        <v>High Net Worth</v>
      </c>
      <c r="I54" s="2">
        <f>INDEX('Main Data'!$A$1:$O$1001,MATCH('Index&amp;Match'!$A54,'Main Data'!$A$1:$A$1001,0),MATCH('Index&amp;Match'!I53,'Main Data'!$A53:$O53,0))</f>
        <v>23</v>
      </c>
      <c r="J54" s="2">
        <f>INDEX('Main Data'!$A$1:$O$1001,MATCH('Index&amp;Match'!$A54,'Main Data'!$A$1:$A$1001,0),MATCH('Index&amp;Match'!J53,'Main Data'!$A53:$O53,0))</f>
        <v>23</v>
      </c>
      <c r="K54" s="11">
        <f>INDEX('Main Data'!$A$1:$O$1001,MATCH('Index&amp;Match'!$A54,'Main Data'!$A$1:$A$1001,0),MATCH('Index&amp;Match'!K53,'Main Data'!$A53:$O53,0))</f>
        <v>20690.54</v>
      </c>
      <c r="L54" s="11">
        <f>INDEX('Main Data'!$A$1:$O$1001,MATCH('Index&amp;Match'!$A54,'Main Data'!$A$1:$A$1001,0),MATCH('Index&amp;Match'!L53,'Main Data'!$A53:$O53,0))</f>
        <v>311.58999999999997</v>
      </c>
      <c r="M54" s="11">
        <f>INDEX('Main Data'!$A$1:$O$1001,MATCH('Index&amp;Match'!$A54,'Main Data'!$A$1:$A$1001,0),MATCH('Index&amp;Match'!M53,'Main Data'!$A53:$O53,0))</f>
        <v>235.5</v>
      </c>
      <c r="N54" s="2" t="str">
        <f>INDEX('Main Data'!$A$1:$O$1001,MATCH('Index&amp;Match'!$A54,'Main Data'!$A$1:$A$1001,0),MATCH('Index&amp;Match'!N53,'Main Data'!$A53:$O53,0))</f>
        <v>Yes</v>
      </c>
      <c r="O54" s="2">
        <f>INDEX('Main Data'!$A$1:$O$1001,MATCH('Index&amp;Match'!$A54,'Main Data'!$A$1:$A$1001,0),MATCH('Index&amp;Match'!O53,'Main Data'!$A53:$O53,0))</f>
        <v>1</v>
      </c>
    </row>
    <row r="55" spans="1:15" x14ac:dyDescent="0.3">
      <c r="A55" s="2" t="s">
        <v>112</v>
      </c>
      <c r="B55" s="1">
        <f>INDEX('Main Data'!$A$1:$O$1001,MATCH('Index&amp;Match'!$A55,'Main Data'!$A$1:$A$1001,0),MATCH('Index&amp;Match'!B54,'Main Data'!$A54:$O54,0))</f>
        <v>46149</v>
      </c>
      <c r="C55" s="2" t="str">
        <f>INDEX('Main Data'!$A$1:$O$1001,MATCH('Index&amp;Match'!$A55,'Main Data'!$A$1:$A$1001,0),MATCH('Index&amp;Match'!C54,'Main Data'!$A54:$O54,0))</f>
        <v>Morgan</v>
      </c>
      <c r="D55" s="2" t="str">
        <f>INDEX('Main Data'!$A$1:$O$1001,MATCH('Index&amp;Match'!$A55,'Main Data'!$A$1:$A$1001,0),MATCH('Index&amp;Match'!D54,'Main Data'!$A54:$O54,0))</f>
        <v>BR-007</v>
      </c>
      <c r="E55" s="2" t="str">
        <f>INDEX('Main Data'!$A$1:$O$1001,MATCH('Index&amp;Match'!$A55,'Main Data'!$A$1:$A$1001,0),MATCH('Index&amp;Match'!E54,'Main Data'!$A54:$O54,0))</f>
        <v>Central</v>
      </c>
      <c r="F55" s="2" t="str">
        <f>INDEX('Main Data'!$A$1:$O$1001,MATCH('Index&amp;Match'!$A55,'Main Data'!$A$1:$A$1001,0),MATCH('Index&amp;Match'!F54,'Main Data'!$A54:$O54,0))</f>
        <v>Auto Loan</v>
      </c>
      <c r="G55" s="2" t="str">
        <f>INDEX('Main Data'!$A$1:$O$1001,MATCH('Index&amp;Match'!$A55,'Main Data'!$A$1:$A$1001,0),MATCH('Index&amp;Match'!G54,'Main Data'!$A54:$O54,0))</f>
        <v>Social Media</v>
      </c>
      <c r="H55" s="2" t="str">
        <f>INDEX('Main Data'!$A$1:$O$1001,MATCH('Index&amp;Match'!$A55,'Main Data'!$A$1:$A$1001,0),MATCH('Index&amp;Match'!H54,'Main Data'!$A54:$O54,0))</f>
        <v>Retail</v>
      </c>
      <c r="I55" s="2">
        <f>INDEX('Main Data'!$A$1:$O$1001,MATCH('Index&amp;Match'!$A55,'Main Data'!$A$1:$A$1001,0),MATCH('Index&amp;Match'!I54,'Main Data'!$A54:$O54,0))</f>
        <v>62</v>
      </c>
      <c r="J55" s="2">
        <f>INDEX('Main Data'!$A$1:$O$1001,MATCH('Index&amp;Match'!$A55,'Main Data'!$A$1:$A$1001,0),MATCH('Index&amp;Match'!J54,'Main Data'!$A54:$O54,0))</f>
        <v>62</v>
      </c>
      <c r="K55" s="11">
        <f>INDEX('Main Data'!$A$1:$O$1001,MATCH('Index&amp;Match'!$A55,'Main Data'!$A$1:$A$1001,0),MATCH('Index&amp;Match'!K54,'Main Data'!$A54:$O54,0))</f>
        <v>14342</v>
      </c>
      <c r="L55" s="11">
        <f>INDEX('Main Data'!$A$1:$O$1001,MATCH('Index&amp;Match'!$A55,'Main Data'!$A$1:$A$1001,0),MATCH('Index&amp;Match'!L54,'Main Data'!$A54:$O54,0))</f>
        <v>85.52</v>
      </c>
      <c r="M55" s="11">
        <f>INDEX('Main Data'!$A$1:$O$1001,MATCH('Index&amp;Match'!$A55,'Main Data'!$A$1:$A$1001,0),MATCH('Index&amp;Match'!M54,'Main Data'!$A54:$O54,0))</f>
        <v>159.06</v>
      </c>
      <c r="N55" s="2" t="str">
        <f>INDEX('Main Data'!$A$1:$O$1001,MATCH('Index&amp;Match'!$A55,'Main Data'!$A$1:$A$1001,0),MATCH('Index&amp;Match'!N54,'Main Data'!$A54:$O54,0))</f>
        <v>Yes</v>
      </c>
      <c r="O55" s="2">
        <f>INDEX('Main Data'!$A$1:$O$1001,MATCH('Index&amp;Match'!$A55,'Main Data'!$A$1:$A$1001,0),MATCH('Index&amp;Match'!O54,'Main Data'!$A54:$O54,0))</f>
        <v>5</v>
      </c>
    </row>
    <row r="56" spans="1:15" x14ac:dyDescent="0.3">
      <c r="A56" s="2" t="s">
        <v>113</v>
      </c>
      <c r="B56" s="1">
        <f>INDEX('Main Data'!$A$1:$O$1001,MATCH('Index&amp;Match'!$A56,'Main Data'!$A$1:$A$1001,0),MATCH('Index&amp;Match'!B55,'Main Data'!$A55:$O55,0))</f>
        <v>45904</v>
      </c>
      <c r="C56" s="2" t="str">
        <f>INDEX('Main Data'!$A$1:$O$1001,MATCH('Index&amp;Match'!$A56,'Main Data'!$A$1:$A$1001,0),MATCH('Index&amp;Match'!C55,'Main Data'!$A55:$O55,0))</f>
        <v>Jamie</v>
      </c>
      <c r="D56" s="2" t="str">
        <f>INDEX('Main Data'!$A$1:$O$1001,MATCH('Index&amp;Match'!$A56,'Main Data'!$A$1:$A$1001,0),MATCH('Index&amp;Match'!D55,'Main Data'!$A55:$O55,0))</f>
        <v>BR-006</v>
      </c>
      <c r="E56" s="2" t="str">
        <f>INDEX('Main Data'!$A$1:$O$1001,MATCH('Index&amp;Match'!$A56,'Main Data'!$A$1:$A$1001,0),MATCH('Index&amp;Match'!E55,'Main Data'!$A55:$O55,0))</f>
        <v>North</v>
      </c>
      <c r="F56" s="2" t="str">
        <f>INDEX('Main Data'!$A$1:$O$1001,MATCH('Index&amp;Match'!$A56,'Main Data'!$A$1:$A$1001,0),MATCH('Index&amp;Match'!F55,'Main Data'!$A55:$O55,0))</f>
        <v>Mortgage</v>
      </c>
      <c r="G56" s="2" t="str">
        <f>INDEX('Main Data'!$A$1:$O$1001,MATCH('Index&amp;Match'!$A56,'Main Data'!$A$1:$A$1001,0),MATCH('Index&amp;Match'!G55,'Main Data'!$A55:$O55,0))</f>
        <v>Email Campaign</v>
      </c>
      <c r="H56" s="2" t="str">
        <f>INDEX('Main Data'!$A$1:$O$1001,MATCH('Index&amp;Match'!$A56,'Main Data'!$A$1:$A$1001,0),MATCH('Index&amp;Match'!H55,'Main Data'!$A55:$O55,0))</f>
        <v>SME</v>
      </c>
      <c r="I56" s="2">
        <f>INDEX('Main Data'!$A$1:$O$1001,MATCH('Index&amp;Match'!$A56,'Main Data'!$A$1:$A$1001,0),MATCH('Index&amp;Match'!I55,'Main Data'!$A55:$O55,0))</f>
        <v>31</v>
      </c>
      <c r="J56" s="2">
        <f>INDEX('Main Data'!$A$1:$O$1001,MATCH('Index&amp;Match'!$A56,'Main Data'!$A$1:$A$1001,0),MATCH('Index&amp;Match'!J55,'Main Data'!$A55:$O55,0))</f>
        <v>31</v>
      </c>
      <c r="K56" s="11">
        <f>INDEX('Main Data'!$A$1:$O$1001,MATCH('Index&amp;Match'!$A56,'Main Data'!$A$1:$A$1001,0),MATCH('Index&amp;Match'!K55,'Main Data'!$A55:$O55,0))</f>
        <v>7250.33</v>
      </c>
      <c r="L56" s="11">
        <f>INDEX('Main Data'!$A$1:$O$1001,MATCH('Index&amp;Match'!$A56,'Main Data'!$A$1:$A$1001,0),MATCH('Index&amp;Match'!L55,'Main Data'!$A55:$O55,0))</f>
        <v>136.25</v>
      </c>
      <c r="M56" s="11">
        <f>INDEX('Main Data'!$A$1:$O$1001,MATCH('Index&amp;Match'!$A56,'Main Data'!$A$1:$A$1001,0),MATCH('Index&amp;Match'!M55,'Main Data'!$A55:$O55,0))</f>
        <v>27.1</v>
      </c>
      <c r="N56" s="2" t="str">
        <f>INDEX('Main Data'!$A$1:$O$1001,MATCH('Index&amp;Match'!$A56,'Main Data'!$A$1:$A$1001,0),MATCH('Index&amp;Match'!N55,'Main Data'!$A55:$O55,0))</f>
        <v>No</v>
      </c>
      <c r="O56" s="2">
        <f>INDEX('Main Data'!$A$1:$O$1001,MATCH('Index&amp;Match'!$A56,'Main Data'!$A$1:$A$1001,0),MATCH('Index&amp;Match'!O55,'Main Data'!$A55:$O55,0))</f>
        <v>4</v>
      </c>
    </row>
    <row r="57" spans="1:15" x14ac:dyDescent="0.3">
      <c r="A57" s="2" t="s">
        <v>114</v>
      </c>
      <c r="B57" s="1">
        <f>INDEX('Main Data'!$A$1:$O$1001,MATCH('Index&amp;Match'!$A57,'Main Data'!$A$1:$A$1001,0),MATCH('Index&amp;Match'!B56,'Main Data'!$A56:$O56,0))</f>
        <v>45942</v>
      </c>
      <c r="C57" s="2" t="str">
        <f>INDEX('Main Data'!$A$1:$O$1001,MATCH('Index&amp;Match'!$A57,'Main Data'!$A$1:$A$1001,0),MATCH('Index&amp;Match'!C56,'Main Data'!$A56:$O56,0))</f>
        <v>Morgan</v>
      </c>
      <c r="D57" s="2" t="str">
        <f>INDEX('Main Data'!$A$1:$O$1001,MATCH('Index&amp;Match'!$A57,'Main Data'!$A$1:$A$1001,0),MATCH('Index&amp;Match'!D56,'Main Data'!$A56:$O56,0))</f>
        <v>BR-012</v>
      </c>
      <c r="E57" s="2" t="str">
        <f>INDEX('Main Data'!$A$1:$O$1001,MATCH('Index&amp;Match'!$A57,'Main Data'!$A$1:$A$1001,0),MATCH('Index&amp;Match'!E56,'Main Data'!$A56:$O56,0))</f>
        <v>North</v>
      </c>
      <c r="F57" s="2" t="str">
        <f>INDEX('Main Data'!$A$1:$O$1001,MATCH('Index&amp;Match'!$A57,'Main Data'!$A$1:$A$1001,0),MATCH('Index&amp;Match'!F56,'Main Data'!$A56:$O56,0))</f>
        <v>Credit Card</v>
      </c>
      <c r="G57" s="2" t="str">
        <f>INDEX('Main Data'!$A$1:$O$1001,MATCH('Index&amp;Match'!$A57,'Main Data'!$A$1:$A$1001,0),MATCH('Index&amp;Match'!G56,'Main Data'!$A56:$O56,0))</f>
        <v>Referral</v>
      </c>
      <c r="H57" s="2" t="str">
        <f>INDEX('Main Data'!$A$1:$O$1001,MATCH('Index&amp;Match'!$A57,'Main Data'!$A$1:$A$1001,0),MATCH('Index&amp;Match'!H56,'Main Data'!$A56:$O56,0))</f>
        <v>Corporate</v>
      </c>
      <c r="I57" s="2">
        <f>INDEX('Main Data'!$A$1:$O$1001,MATCH('Index&amp;Match'!$A57,'Main Data'!$A$1:$A$1001,0),MATCH('Index&amp;Match'!I56,'Main Data'!$A56:$O56,0))</f>
        <v>63</v>
      </c>
      <c r="J57" s="2">
        <f>INDEX('Main Data'!$A$1:$O$1001,MATCH('Index&amp;Match'!$A57,'Main Data'!$A$1:$A$1001,0),MATCH('Index&amp;Match'!J56,'Main Data'!$A56:$O56,0))</f>
        <v>63</v>
      </c>
      <c r="K57" s="11">
        <f>INDEX('Main Data'!$A$1:$O$1001,MATCH('Index&amp;Match'!$A57,'Main Data'!$A$1:$A$1001,0),MATCH('Index&amp;Match'!K56,'Main Data'!$A56:$O56,0))</f>
        <v>36536.61</v>
      </c>
      <c r="L57" s="11">
        <f>INDEX('Main Data'!$A$1:$O$1001,MATCH('Index&amp;Match'!$A57,'Main Data'!$A$1:$A$1001,0),MATCH('Index&amp;Match'!L56,'Main Data'!$A56:$O56,0))</f>
        <v>263.54000000000002</v>
      </c>
      <c r="M57" s="11">
        <f>INDEX('Main Data'!$A$1:$O$1001,MATCH('Index&amp;Match'!$A57,'Main Data'!$A$1:$A$1001,0),MATCH('Index&amp;Match'!M56,'Main Data'!$A56:$O56,0))</f>
        <v>89.51</v>
      </c>
      <c r="N57" s="2" t="str">
        <f>INDEX('Main Data'!$A$1:$O$1001,MATCH('Index&amp;Match'!$A57,'Main Data'!$A$1:$A$1001,0),MATCH('Index&amp;Match'!N56,'Main Data'!$A56:$O56,0))</f>
        <v>Yes</v>
      </c>
      <c r="O57" s="2">
        <f>INDEX('Main Data'!$A$1:$O$1001,MATCH('Index&amp;Match'!$A57,'Main Data'!$A$1:$A$1001,0),MATCH('Index&amp;Match'!O56,'Main Data'!$A56:$O56,0))</f>
        <v>2</v>
      </c>
    </row>
    <row r="58" spans="1:15" x14ac:dyDescent="0.3">
      <c r="A58" s="2" t="s">
        <v>115</v>
      </c>
      <c r="B58" s="1">
        <f>INDEX('Main Data'!$A$1:$O$1001,MATCH('Index&amp;Match'!$A58,'Main Data'!$A$1:$A$1001,0),MATCH('Index&amp;Match'!B57,'Main Data'!$A57:$O57,0))</f>
        <v>45882</v>
      </c>
      <c r="C58" s="2" t="str">
        <f>INDEX('Main Data'!$A$1:$O$1001,MATCH('Index&amp;Match'!$A58,'Main Data'!$A$1:$A$1001,0),MATCH('Index&amp;Match'!C57,'Main Data'!$A57:$O57,0))</f>
        <v>Drew</v>
      </c>
      <c r="D58" s="2" t="str">
        <f>INDEX('Main Data'!$A$1:$O$1001,MATCH('Index&amp;Match'!$A58,'Main Data'!$A$1:$A$1001,0),MATCH('Index&amp;Match'!D57,'Main Data'!$A57:$O57,0))</f>
        <v>BR-001</v>
      </c>
      <c r="E58" s="2" t="str">
        <f>INDEX('Main Data'!$A$1:$O$1001,MATCH('Index&amp;Match'!$A58,'Main Data'!$A$1:$A$1001,0),MATCH('Index&amp;Match'!E57,'Main Data'!$A57:$O57,0))</f>
        <v>East</v>
      </c>
      <c r="F58" s="2" t="str">
        <f>INDEX('Main Data'!$A$1:$O$1001,MATCH('Index&amp;Match'!$A58,'Main Data'!$A$1:$A$1001,0),MATCH('Index&amp;Match'!F57,'Main Data'!$A57:$O57,0))</f>
        <v>Wealth Management</v>
      </c>
      <c r="G58" s="2" t="str">
        <f>INDEX('Main Data'!$A$1:$O$1001,MATCH('Index&amp;Match'!$A58,'Main Data'!$A$1:$A$1001,0),MATCH('Index&amp;Match'!G57,'Main Data'!$A57:$O57,0))</f>
        <v>Referral</v>
      </c>
      <c r="H58" s="2" t="str">
        <f>INDEX('Main Data'!$A$1:$O$1001,MATCH('Index&amp;Match'!$A58,'Main Data'!$A$1:$A$1001,0),MATCH('Index&amp;Match'!H57,'Main Data'!$A57:$O57,0))</f>
        <v>Retail</v>
      </c>
      <c r="I58" s="2">
        <f>INDEX('Main Data'!$A$1:$O$1001,MATCH('Index&amp;Match'!$A58,'Main Data'!$A$1:$A$1001,0),MATCH('Index&amp;Match'!I57,'Main Data'!$A57:$O57,0))</f>
        <v>37</v>
      </c>
      <c r="J58" s="2">
        <f>INDEX('Main Data'!$A$1:$O$1001,MATCH('Index&amp;Match'!$A58,'Main Data'!$A$1:$A$1001,0),MATCH('Index&amp;Match'!J57,'Main Data'!$A57:$O57,0))</f>
        <v>37</v>
      </c>
      <c r="K58" s="11">
        <f>INDEX('Main Data'!$A$1:$O$1001,MATCH('Index&amp;Match'!$A58,'Main Data'!$A$1:$A$1001,0),MATCH('Index&amp;Match'!K57,'Main Data'!$A57:$O57,0))</f>
        <v>40750.81</v>
      </c>
      <c r="L58" s="11">
        <f>INDEX('Main Data'!$A$1:$O$1001,MATCH('Index&amp;Match'!$A58,'Main Data'!$A$1:$A$1001,0),MATCH('Index&amp;Match'!L57,'Main Data'!$A57:$O57,0))</f>
        <v>212.67</v>
      </c>
      <c r="M58" s="11">
        <f>INDEX('Main Data'!$A$1:$O$1001,MATCH('Index&amp;Match'!$A58,'Main Data'!$A$1:$A$1001,0),MATCH('Index&amp;Match'!M57,'Main Data'!$A57:$O57,0))</f>
        <v>165.89</v>
      </c>
      <c r="N58" s="2" t="str">
        <f>INDEX('Main Data'!$A$1:$O$1001,MATCH('Index&amp;Match'!$A58,'Main Data'!$A$1:$A$1001,0),MATCH('Index&amp;Match'!N57,'Main Data'!$A57:$O57,0))</f>
        <v>Yes</v>
      </c>
      <c r="O58" s="2">
        <f>INDEX('Main Data'!$A$1:$O$1001,MATCH('Index&amp;Match'!$A58,'Main Data'!$A$1:$A$1001,0),MATCH('Index&amp;Match'!O57,'Main Data'!$A57:$O57,0))</f>
        <v>5</v>
      </c>
    </row>
    <row r="59" spans="1:15" x14ac:dyDescent="0.3">
      <c r="A59" s="2" t="s">
        <v>116</v>
      </c>
      <c r="B59" s="1">
        <f>INDEX('Main Data'!$A$1:$O$1001,MATCH('Index&amp;Match'!$A59,'Main Data'!$A$1:$A$1001,0),MATCH('Index&amp;Match'!B58,'Main Data'!$A58:$O58,0))</f>
        <v>45871</v>
      </c>
      <c r="C59" s="2" t="str">
        <f>INDEX('Main Data'!$A$1:$O$1001,MATCH('Index&amp;Match'!$A59,'Main Data'!$A$1:$A$1001,0),MATCH('Index&amp;Match'!C58,'Main Data'!$A58:$O58,0))</f>
        <v>Alex</v>
      </c>
      <c r="D59" s="2" t="str">
        <f>INDEX('Main Data'!$A$1:$O$1001,MATCH('Index&amp;Match'!$A59,'Main Data'!$A$1:$A$1001,0),MATCH('Index&amp;Match'!D58,'Main Data'!$A58:$O58,0))</f>
        <v>BR-005</v>
      </c>
      <c r="E59" s="2" t="str">
        <f>INDEX('Main Data'!$A$1:$O$1001,MATCH('Index&amp;Match'!$A59,'Main Data'!$A$1:$A$1001,0),MATCH('Index&amp;Match'!E58,'Main Data'!$A58:$O58,0))</f>
        <v>Central</v>
      </c>
      <c r="F59" s="2" t="str">
        <f>INDEX('Main Data'!$A$1:$O$1001,MATCH('Index&amp;Match'!$A59,'Main Data'!$A$1:$A$1001,0),MATCH('Index&amp;Match'!F58,'Main Data'!$A58:$O58,0))</f>
        <v>Mortgage</v>
      </c>
      <c r="G59" s="2" t="str">
        <f>INDEX('Main Data'!$A$1:$O$1001,MATCH('Index&amp;Match'!$A59,'Main Data'!$A$1:$A$1001,0),MATCH('Index&amp;Match'!G58,'Main Data'!$A58:$O58,0))</f>
        <v>Email Campaign</v>
      </c>
      <c r="H59" s="2" t="str">
        <f>INDEX('Main Data'!$A$1:$O$1001,MATCH('Index&amp;Match'!$A59,'Main Data'!$A$1:$A$1001,0),MATCH('Index&amp;Match'!H58,'Main Data'!$A58:$O58,0))</f>
        <v>Corporate</v>
      </c>
      <c r="I59" s="2">
        <f>INDEX('Main Data'!$A$1:$O$1001,MATCH('Index&amp;Match'!$A59,'Main Data'!$A$1:$A$1001,0),MATCH('Index&amp;Match'!I58,'Main Data'!$A58:$O58,0))</f>
        <v>52</v>
      </c>
      <c r="J59" s="2">
        <f>INDEX('Main Data'!$A$1:$O$1001,MATCH('Index&amp;Match'!$A59,'Main Data'!$A$1:$A$1001,0),MATCH('Index&amp;Match'!J58,'Main Data'!$A58:$O58,0))</f>
        <v>52</v>
      </c>
      <c r="K59" s="11">
        <f>INDEX('Main Data'!$A$1:$O$1001,MATCH('Index&amp;Match'!$A59,'Main Data'!$A$1:$A$1001,0),MATCH('Index&amp;Match'!K58,'Main Data'!$A58:$O58,0))</f>
        <v>13245.21</v>
      </c>
      <c r="L59" s="11">
        <f>INDEX('Main Data'!$A$1:$O$1001,MATCH('Index&amp;Match'!$A59,'Main Data'!$A$1:$A$1001,0),MATCH('Index&amp;Match'!L58,'Main Data'!$A58:$O58,0))</f>
        <v>211.43</v>
      </c>
      <c r="M59" s="11">
        <f>INDEX('Main Data'!$A$1:$O$1001,MATCH('Index&amp;Match'!$A59,'Main Data'!$A$1:$A$1001,0),MATCH('Index&amp;Match'!M58,'Main Data'!$A58:$O58,0))</f>
        <v>60.54</v>
      </c>
      <c r="N59" s="2" t="str">
        <f>INDEX('Main Data'!$A$1:$O$1001,MATCH('Index&amp;Match'!$A59,'Main Data'!$A$1:$A$1001,0),MATCH('Index&amp;Match'!N58,'Main Data'!$A58:$O58,0))</f>
        <v>No</v>
      </c>
      <c r="O59" s="2">
        <f>INDEX('Main Data'!$A$1:$O$1001,MATCH('Index&amp;Match'!$A59,'Main Data'!$A$1:$A$1001,0),MATCH('Index&amp;Match'!O58,'Main Data'!$A58:$O58,0))</f>
        <v>2</v>
      </c>
    </row>
    <row r="60" spans="1:15" x14ac:dyDescent="0.3">
      <c r="A60" s="2" t="s">
        <v>117</v>
      </c>
      <c r="B60" s="1">
        <f>INDEX('Main Data'!$A$1:$O$1001,MATCH('Index&amp;Match'!$A60,'Main Data'!$A$1:$A$1001,0),MATCH('Index&amp;Match'!B59,'Main Data'!$A59:$O59,0))</f>
        <v>46221</v>
      </c>
      <c r="C60" s="2" t="str">
        <f>INDEX('Main Data'!$A$1:$O$1001,MATCH('Index&amp;Match'!$A60,'Main Data'!$A$1:$A$1001,0),MATCH('Index&amp;Match'!C59,'Main Data'!$A59:$O59,0))</f>
        <v>Taylor</v>
      </c>
      <c r="D60" s="2" t="str">
        <f>INDEX('Main Data'!$A$1:$O$1001,MATCH('Index&amp;Match'!$A60,'Main Data'!$A$1:$A$1001,0),MATCH('Index&amp;Match'!D59,'Main Data'!$A59:$O59,0))</f>
        <v>BR-015</v>
      </c>
      <c r="E60" s="2" t="str">
        <f>INDEX('Main Data'!$A$1:$O$1001,MATCH('Index&amp;Match'!$A60,'Main Data'!$A$1:$A$1001,0),MATCH('Index&amp;Match'!E59,'Main Data'!$A59:$O59,0))</f>
        <v>South</v>
      </c>
      <c r="F60" s="2" t="str">
        <f>INDEX('Main Data'!$A$1:$O$1001,MATCH('Index&amp;Match'!$A60,'Main Data'!$A$1:$A$1001,0),MATCH('Index&amp;Match'!F59,'Main Data'!$A59:$O59,0))</f>
        <v>Personal Loan</v>
      </c>
      <c r="G60" s="2" t="str">
        <f>INDEX('Main Data'!$A$1:$O$1001,MATCH('Index&amp;Match'!$A60,'Main Data'!$A$1:$A$1001,0),MATCH('Index&amp;Match'!G59,'Main Data'!$A59:$O59,0))</f>
        <v>Social Media</v>
      </c>
      <c r="H60" s="2" t="str">
        <f>INDEX('Main Data'!$A$1:$O$1001,MATCH('Index&amp;Match'!$A60,'Main Data'!$A$1:$A$1001,0),MATCH('Index&amp;Match'!H59,'Main Data'!$A59:$O59,0))</f>
        <v>Corporate</v>
      </c>
      <c r="I60" s="2">
        <f>INDEX('Main Data'!$A$1:$O$1001,MATCH('Index&amp;Match'!$A60,'Main Data'!$A$1:$A$1001,0),MATCH('Index&amp;Match'!I59,'Main Data'!$A59:$O59,0))</f>
        <v>24</v>
      </c>
      <c r="J60" s="2">
        <f>INDEX('Main Data'!$A$1:$O$1001,MATCH('Index&amp;Match'!$A60,'Main Data'!$A$1:$A$1001,0),MATCH('Index&amp;Match'!J59,'Main Data'!$A59:$O59,0))</f>
        <v>24</v>
      </c>
      <c r="K60" s="11">
        <f>INDEX('Main Data'!$A$1:$O$1001,MATCH('Index&amp;Match'!$A60,'Main Data'!$A$1:$A$1001,0),MATCH('Index&amp;Match'!K59,'Main Data'!$A59:$O59,0))</f>
        <v>38833.760000000002</v>
      </c>
      <c r="L60" s="11">
        <f>INDEX('Main Data'!$A$1:$O$1001,MATCH('Index&amp;Match'!$A60,'Main Data'!$A$1:$A$1001,0),MATCH('Index&amp;Match'!L59,'Main Data'!$A59:$O59,0))</f>
        <v>288.17</v>
      </c>
      <c r="M60" s="11">
        <f>INDEX('Main Data'!$A$1:$O$1001,MATCH('Index&amp;Match'!$A60,'Main Data'!$A$1:$A$1001,0),MATCH('Index&amp;Match'!M59,'Main Data'!$A59:$O59,0))</f>
        <v>93.55</v>
      </c>
      <c r="N60" s="2" t="str">
        <f>INDEX('Main Data'!$A$1:$O$1001,MATCH('Index&amp;Match'!$A60,'Main Data'!$A$1:$A$1001,0),MATCH('Index&amp;Match'!N59,'Main Data'!$A59:$O59,0))</f>
        <v>No</v>
      </c>
      <c r="O60" s="2">
        <f>INDEX('Main Data'!$A$1:$O$1001,MATCH('Index&amp;Match'!$A60,'Main Data'!$A$1:$A$1001,0),MATCH('Index&amp;Match'!O59,'Main Data'!$A59:$O59,0))</f>
        <v>1</v>
      </c>
    </row>
    <row r="61" spans="1:15" x14ac:dyDescent="0.3">
      <c r="A61" s="2" t="s">
        <v>118</v>
      </c>
      <c r="B61" s="1">
        <f>INDEX('Main Data'!$A$1:$O$1001,MATCH('Index&amp;Match'!$A61,'Main Data'!$A$1:$A$1001,0),MATCH('Index&amp;Match'!B60,'Main Data'!$A60:$O60,0))</f>
        <v>45941</v>
      </c>
      <c r="C61" s="2" t="str">
        <f>INDEX('Main Data'!$A$1:$O$1001,MATCH('Index&amp;Match'!$A61,'Main Data'!$A$1:$A$1001,0),MATCH('Index&amp;Match'!C60,'Main Data'!$A60:$O60,0))</f>
        <v>Casey</v>
      </c>
      <c r="D61" s="2" t="str">
        <f>INDEX('Main Data'!$A$1:$O$1001,MATCH('Index&amp;Match'!$A61,'Main Data'!$A$1:$A$1001,0),MATCH('Index&amp;Match'!D60,'Main Data'!$A60:$O60,0))</f>
        <v>BR-005</v>
      </c>
      <c r="E61" s="2" t="str">
        <f>INDEX('Main Data'!$A$1:$O$1001,MATCH('Index&amp;Match'!$A61,'Main Data'!$A$1:$A$1001,0),MATCH('Index&amp;Match'!E60,'Main Data'!$A60:$O60,0))</f>
        <v>West</v>
      </c>
      <c r="F61" s="2" t="str">
        <f>INDEX('Main Data'!$A$1:$O$1001,MATCH('Index&amp;Match'!$A61,'Main Data'!$A$1:$A$1001,0),MATCH('Index&amp;Match'!F60,'Main Data'!$A60:$O60,0))</f>
        <v>Credit Card</v>
      </c>
      <c r="G61" s="2" t="str">
        <f>INDEX('Main Data'!$A$1:$O$1001,MATCH('Index&amp;Match'!$A61,'Main Data'!$A$1:$A$1001,0),MATCH('Index&amp;Match'!G60,'Main Data'!$A60:$O60,0))</f>
        <v>Website</v>
      </c>
      <c r="H61" s="2" t="str">
        <f>INDEX('Main Data'!$A$1:$O$1001,MATCH('Index&amp;Match'!$A61,'Main Data'!$A$1:$A$1001,0),MATCH('Index&amp;Match'!H60,'Main Data'!$A60:$O60,0))</f>
        <v>Corporate</v>
      </c>
      <c r="I61" s="2">
        <f>INDEX('Main Data'!$A$1:$O$1001,MATCH('Index&amp;Match'!$A61,'Main Data'!$A$1:$A$1001,0),MATCH('Index&amp;Match'!I60,'Main Data'!$A60:$O60,0))</f>
        <v>24</v>
      </c>
      <c r="J61" s="2">
        <f>INDEX('Main Data'!$A$1:$O$1001,MATCH('Index&amp;Match'!$A61,'Main Data'!$A$1:$A$1001,0),MATCH('Index&amp;Match'!J60,'Main Data'!$A60:$O60,0))</f>
        <v>24</v>
      </c>
      <c r="K61" s="11">
        <f>INDEX('Main Data'!$A$1:$O$1001,MATCH('Index&amp;Match'!$A61,'Main Data'!$A$1:$A$1001,0),MATCH('Index&amp;Match'!K60,'Main Data'!$A60:$O60,0))</f>
        <v>19584.900000000001</v>
      </c>
      <c r="L61" s="11">
        <f>INDEX('Main Data'!$A$1:$O$1001,MATCH('Index&amp;Match'!$A61,'Main Data'!$A$1:$A$1001,0),MATCH('Index&amp;Match'!L60,'Main Data'!$A60:$O60,0))</f>
        <v>312.98</v>
      </c>
      <c r="M61" s="11">
        <f>INDEX('Main Data'!$A$1:$O$1001,MATCH('Index&amp;Match'!$A61,'Main Data'!$A$1:$A$1001,0),MATCH('Index&amp;Match'!M60,'Main Data'!$A60:$O60,0))</f>
        <v>54.56</v>
      </c>
      <c r="N61" s="2" t="str">
        <f>INDEX('Main Data'!$A$1:$O$1001,MATCH('Index&amp;Match'!$A61,'Main Data'!$A$1:$A$1001,0),MATCH('Index&amp;Match'!N60,'Main Data'!$A60:$O60,0))</f>
        <v>No</v>
      </c>
      <c r="O61" s="2">
        <f>INDEX('Main Data'!$A$1:$O$1001,MATCH('Index&amp;Match'!$A61,'Main Data'!$A$1:$A$1001,0),MATCH('Index&amp;Match'!O60,'Main Data'!$A60:$O60,0))</f>
        <v>5</v>
      </c>
    </row>
    <row r="62" spans="1:15" x14ac:dyDescent="0.3">
      <c r="A62" s="2" t="s">
        <v>119</v>
      </c>
      <c r="B62" s="1">
        <f>INDEX('Main Data'!$A$1:$O$1001,MATCH('Index&amp;Match'!$A62,'Main Data'!$A$1:$A$1001,0),MATCH('Index&amp;Match'!B61,'Main Data'!$A61:$O61,0))</f>
        <v>46214</v>
      </c>
      <c r="C62" s="2" t="str">
        <f>INDEX('Main Data'!$A$1:$O$1001,MATCH('Index&amp;Match'!$A62,'Main Data'!$A$1:$A$1001,0),MATCH('Index&amp;Match'!C61,'Main Data'!$A61:$O61,0))</f>
        <v>Taylor</v>
      </c>
      <c r="D62" s="2" t="str">
        <f>INDEX('Main Data'!$A$1:$O$1001,MATCH('Index&amp;Match'!$A62,'Main Data'!$A$1:$A$1001,0),MATCH('Index&amp;Match'!D61,'Main Data'!$A61:$O61,0))</f>
        <v>BR-006</v>
      </c>
      <c r="E62" s="2" t="str">
        <f>INDEX('Main Data'!$A$1:$O$1001,MATCH('Index&amp;Match'!$A62,'Main Data'!$A$1:$A$1001,0),MATCH('Index&amp;Match'!E61,'Main Data'!$A61:$O61,0))</f>
        <v>South</v>
      </c>
      <c r="F62" s="2" t="str">
        <f>INDEX('Main Data'!$A$1:$O$1001,MATCH('Index&amp;Match'!$A62,'Main Data'!$A$1:$A$1001,0),MATCH('Index&amp;Match'!F61,'Main Data'!$A61:$O61,0))</f>
        <v>Auto Loan</v>
      </c>
      <c r="G62" s="2" t="str">
        <f>INDEX('Main Data'!$A$1:$O$1001,MATCH('Index&amp;Match'!$A62,'Main Data'!$A$1:$A$1001,0),MATCH('Index&amp;Match'!G61,'Main Data'!$A61:$O61,0))</f>
        <v>Walk-in</v>
      </c>
      <c r="H62" s="2" t="str">
        <f>INDEX('Main Data'!$A$1:$O$1001,MATCH('Index&amp;Match'!$A62,'Main Data'!$A$1:$A$1001,0),MATCH('Index&amp;Match'!H61,'Main Data'!$A61:$O61,0))</f>
        <v>Corporate</v>
      </c>
      <c r="I62" s="2">
        <f>INDEX('Main Data'!$A$1:$O$1001,MATCH('Index&amp;Match'!$A62,'Main Data'!$A$1:$A$1001,0),MATCH('Index&amp;Match'!I61,'Main Data'!$A61:$O61,0))</f>
        <v>37</v>
      </c>
      <c r="J62" s="2">
        <f>INDEX('Main Data'!$A$1:$O$1001,MATCH('Index&amp;Match'!$A62,'Main Data'!$A$1:$A$1001,0),MATCH('Index&amp;Match'!J61,'Main Data'!$A61:$O61,0))</f>
        <v>37</v>
      </c>
      <c r="K62" s="11">
        <f>INDEX('Main Data'!$A$1:$O$1001,MATCH('Index&amp;Match'!$A62,'Main Data'!$A$1:$A$1001,0),MATCH('Index&amp;Match'!K61,'Main Data'!$A61:$O61,0))</f>
        <v>25580.95</v>
      </c>
      <c r="L62" s="11">
        <f>INDEX('Main Data'!$A$1:$O$1001,MATCH('Index&amp;Match'!$A62,'Main Data'!$A$1:$A$1001,0),MATCH('Index&amp;Match'!L61,'Main Data'!$A61:$O61,0))</f>
        <v>408.59</v>
      </c>
      <c r="M62" s="11">
        <f>INDEX('Main Data'!$A$1:$O$1001,MATCH('Index&amp;Match'!$A62,'Main Data'!$A$1:$A$1001,0),MATCH('Index&amp;Match'!M61,'Main Data'!$A61:$O61,0))</f>
        <v>92.71</v>
      </c>
      <c r="N62" s="2" t="str">
        <f>INDEX('Main Data'!$A$1:$O$1001,MATCH('Index&amp;Match'!$A62,'Main Data'!$A$1:$A$1001,0),MATCH('Index&amp;Match'!N61,'Main Data'!$A61:$O61,0))</f>
        <v>No</v>
      </c>
      <c r="O62" s="2">
        <f>INDEX('Main Data'!$A$1:$O$1001,MATCH('Index&amp;Match'!$A62,'Main Data'!$A$1:$A$1001,0),MATCH('Index&amp;Match'!O61,'Main Data'!$A61:$O61,0))</f>
        <v>4</v>
      </c>
    </row>
    <row r="63" spans="1:15" x14ac:dyDescent="0.3">
      <c r="A63" s="2" t="s">
        <v>120</v>
      </c>
      <c r="B63" s="1">
        <f>INDEX('Main Data'!$A$1:$O$1001,MATCH('Index&amp;Match'!$A63,'Main Data'!$A$1:$A$1001,0),MATCH('Index&amp;Match'!B62,'Main Data'!$A62:$O62,0))</f>
        <v>46084</v>
      </c>
      <c r="C63" s="2" t="str">
        <f>INDEX('Main Data'!$A$1:$O$1001,MATCH('Index&amp;Match'!$A63,'Main Data'!$A$1:$A$1001,0),MATCH('Index&amp;Match'!C62,'Main Data'!$A62:$O62,0))</f>
        <v>Jamie</v>
      </c>
      <c r="D63" s="2" t="str">
        <f>INDEX('Main Data'!$A$1:$O$1001,MATCH('Index&amp;Match'!$A63,'Main Data'!$A$1:$A$1001,0),MATCH('Index&amp;Match'!D62,'Main Data'!$A62:$O62,0))</f>
        <v>BR-003</v>
      </c>
      <c r="E63" s="2" t="str">
        <f>INDEX('Main Data'!$A$1:$O$1001,MATCH('Index&amp;Match'!$A63,'Main Data'!$A$1:$A$1001,0),MATCH('Index&amp;Match'!E62,'Main Data'!$A62:$O62,0))</f>
        <v>Central</v>
      </c>
      <c r="F63" s="2" t="str">
        <f>INDEX('Main Data'!$A$1:$O$1001,MATCH('Index&amp;Match'!$A63,'Main Data'!$A$1:$A$1001,0),MATCH('Index&amp;Match'!F62,'Main Data'!$A62:$O62,0))</f>
        <v>Credit Card</v>
      </c>
      <c r="G63" s="2" t="str">
        <f>INDEX('Main Data'!$A$1:$O$1001,MATCH('Index&amp;Match'!$A63,'Main Data'!$A$1:$A$1001,0),MATCH('Index&amp;Match'!G62,'Main Data'!$A62:$O62,0))</f>
        <v>Social Media</v>
      </c>
      <c r="H63" s="2" t="str">
        <f>INDEX('Main Data'!$A$1:$O$1001,MATCH('Index&amp;Match'!$A63,'Main Data'!$A$1:$A$1001,0),MATCH('Index&amp;Match'!H62,'Main Data'!$A62:$O62,0))</f>
        <v>High Net Worth</v>
      </c>
      <c r="I63" s="2">
        <f>INDEX('Main Data'!$A$1:$O$1001,MATCH('Index&amp;Match'!$A63,'Main Data'!$A$1:$A$1001,0),MATCH('Index&amp;Match'!I62,'Main Data'!$A62:$O62,0))</f>
        <v>61</v>
      </c>
      <c r="J63" s="2">
        <f>INDEX('Main Data'!$A$1:$O$1001,MATCH('Index&amp;Match'!$A63,'Main Data'!$A$1:$A$1001,0),MATCH('Index&amp;Match'!J62,'Main Data'!$A62:$O62,0))</f>
        <v>61</v>
      </c>
      <c r="K63" s="11">
        <f>INDEX('Main Data'!$A$1:$O$1001,MATCH('Index&amp;Match'!$A63,'Main Data'!$A$1:$A$1001,0),MATCH('Index&amp;Match'!K62,'Main Data'!$A62:$O62,0))</f>
        <v>42872.05</v>
      </c>
      <c r="L63" s="11">
        <f>INDEX('Main Data'!$A$1:$O$1001,MATCH('Index&amp;Match'!$A63,'Main Data'!$A$1:$A$1001,0),MATCH('Index&amp;Match'!L62,'Main Data'!$A62:$O62,0))</f>
        <v>203.43</v>
      </c>
      <c r="M63" s="11">
        <f>INDEX('Main Data'!$A$1:$O$1001,MATCH('Index&amp;Match'!$A63,'Main Data'!$A$1:$A$1001,0),MATCH('Index&amp;Match'!M62,'Main Data'!$A62:$O62,0))</f>
        <v>266.36</v>
      </c>
      <c r="N63" s="2" t="str">
        <f>INDEX('Main Data'!$A$1:$O$1001,MATCH('Index&amp;Match'!$A63,'Main Data'!$A$1:$A$1001,0),MATCH('Index&amp;Match'!N62,'Main Data'!$A62:$O62,0))</f>
        <v>Yes</v>
      </c>
      <c r="O63" s="2">
        <f>INDEX('Main Data'!$A$1:$O$1001,MATCH('Index&amp;Match'!$A63,'Main Data'!$A$1:$A$1001,0),MATCH('Index&amp;Match'!O62,'Main Data'!$A62:$O62,0))</f>
        <v>2</v>
      </c>
    </row>
    <row r="64" spans="1:15" x14ac:dyDescent="0.3">
      <c r="A64" s="2" t="s">
        <v>121</v>
      </c>
      <c r="B64" s="1">
        <f>INDEX('Main Data'!$A$1:$O$1001,MATCH('Index&amp;Match'!$A64,'Main Data'!$A$1:$A$1001,0),MATCH('Index&amp;Match'!B63,'Main Data'!$A63:$O63,0))</f>
        <v>46225</v>
      </c>
      <c r="C64" s="2" t="str">
        <f>INDEX('Main Data'!$A$1:$O$1001,MATCH('Index&amp;Match'!$A64,'Main Data'!$A$1:$A$1001,0),MATCH('Index&amp;Match'!C63,'Main Data'!$A63:$O63,0))</f>
        <v>Casey</v>
      </c>
      <c r="D64" s="2" t="str">
        <f>INDEX('Main Data'!$A$1:$O$1001,MATCH('Index&amp;Match'!$A64,'Main Data'!$A$1:$A$1001,0),MATCH('Index&amp;Match'!D63,'Main Data'!$A63:$O63,0))</f>
        <v>BR-005</v>
      </c>
      <c r="E64" s="2" t="str">
        <f>INDEX('Main Data'!$A$1:$O$1001,MATCH('Index&amp;Match'!$A64,'Main Data'!$A$1:$A$1001,0),MATCH('Index&amp;Match'!E63,'Main Data'!$A63:$O63,0))</f>
        <v>North</v>
      </c>
      <c r="F64" s="2" t="str">
        <f>INDEX('Main Data'!$A$1:$O$1001,MATCH('Index&amp;Match'!$A64,'Main Data'!$A$1:$A$1001,0),MATCH('Index&amp;Match'!F63,'Main Data'!$A63:$O63,0))</f>
        <v>Personal Loan</v>
      </c>
      <c r="G64" s="2" t="str">
        <f>INDEX('Main Data'!$A$1:$O$1001,MATCH('Index&amp;Match'!$A64,'Main Data'!$A$1:$A$1001,0),MATCH('Index&amp;Match'!G63,'Main Data'!$A63:$O63,0))</f>
        <v>Email Campaign</v>
      </c>
      <c r="H64" s="2" t="str">
        <f>INDEX('Main Data'!$A$1:$O$1001,MATCH('Index&amp;Match'!$A64,'Main Data'!$A$1:$A$1001,0),MATCH('Index&amp;Match'!H63,'Main Data'!$A63:$O63,0))</f>
        <v>Retail</v>
      </c>
      <c r="I64" s="2">
        <f>INDEX('Main Data'!$A$1:$O$1001,MATCH('Index&amp;Match'!$A64,'Main Data'!$A$1:$A$1001,0),MATCH('Index&amp;Match'!I63,'Main Data'!$A63:$O63,0))</f>
        <v>39</v>
      </c>
      <c r="J64" s="2">
        <f>INDEX('Main Data'!$A$1:$O$1001,MATCH('Index&amp;Match'!$A64,'Main Data'!$A$1:$A$1001,0),MATCH('Index&amp;Match'!J63,'Main Data'!$A63:$O63,0))</f>
        <v>39</v>
      </c>
      <c r="K64" s="11">
        <f>INDEX('Main Data'!$A$1:$O$1001,MATCH('Index&amp;Match'!$A64,'Main Data'!$A$1:$A$1001,0),MATCH('Index&amp;Match'!K63,'Main Data'!$A63:$O63,0))</f>
        <v>37622.71</v>
      </c>
      <c r="L64" s="11">
        <f>INDEX('Main Data'!$A$1:$O$1001,MATCH('Index&amp;Match'!$A64,'Main Data'!$A$1:$A$1001,0),MATCH('Index&amp;Match'!L63,'Main Data'!$A63:$O63,0))</f>
        <v>412.46</v>
      </c>
      <c r="M64" s="11">
        <f>INDEX('Main Data'!$A$1:$O$1001,MATCH('Index&amp;Match'!$A64,'Main Data'!$A$1:$A$1001,0),MATCH('Index&amp;Match'!M63,'Main Data'!$A63:$O63,0))</f>
        <v>91.02</v>
      </c>
      <c r="N64" s="2" t="str">
        <f>INDEX('Main Data'!$A$1:$O$1001,MATCH('Index&amp;Match'!$A64,'Main Data'!$A$1:$A$1001,0),MATCH('Index&amp;Match'!N63,'Main Data'!$A63:$O63,0))</f>
        <v>Yes</v>
      </c>
      <c r="O64" s="2">
        <f>INDEX('Main Data'!$A$1:$O$1001,MATCH('Index&amp;Match'!$A64,'Main Data'!$A$1:$A$1001,0),MATCH('Index&amp;Match'!O63,'Main Data'!$A63:$O63,0))</f>
        <v>1</v>
      </c>
    </row>
    <row r="65" spans="1:15" x14ac:dyDescent="0.3">
      <c r="A65" s="2" t="s">
        <v>122</v>
      </c>
      <c r="B65" s="1">
        <f>INDEX('Main Data'!$A$1:$O$1001,MATCH('Index&amp;Match'!$A65,'Main Data'!$A$1:$A$1001,0),MATCH('Index&amp;Match'!B64,'Main Data'!$A64:$O64,0))</f>
        <v>45947</v>
      </c>
      <c r="C65" s="2" t="str">
        <f>INDEX('Main Data'!$A$1:$O$1001,MATCH('Index&amp;Match'!$A65,'Main Data'!$A$1:$A$1001,0),MATCH('Index&amp;Match'!C64,'Main Data'!$A64:$O64,0))</f>
        <v>Alex</v>
      </c>
      <c r="D65" s="2" t="str">
        <f>INDEX('Main Data'!$A$1:$O$1001,MATCH('Index&amp;Match'!$A65,'Main Data'!$A$1:$A$1001,0),MATCH('Index&amp;Match'!D64,'Main Data'!$A64:$O64,0))</f>
        <v>BR-007</v>
      </c>
      <c r="E65" s="2" t="str">
        <f>INDEX('Main Data'!$A$1:$O$1001,MATCH('Index&amp;Match'!$A65,'Main Data'!$A$1:$A$1001,0),MATCH('Index&amp;Match'!E64,'Main Data'!$A64:$O64,0))</f>
        <v>North</v>
      </c>
      <c r="F65" s="2" t="str">
        <f>INDEX('Main Data'!$A$1:$O$1001,MATCH('Index&amp;Match'!$A65,'Main Data'!$A$1:$A$1001,0),MATCH('Index&amp;Match'!F64,'Main Data'!$A64:$O64,0))</f>
        <v>Wealth Management</v>
      </c>
      <c r="G65" s="2" t="str">
        <f>INDEX('Main Data'!$A$1:$O$1001,MATCH('Index&amp;Match'!$A65,'Main Data'!$A$1:$A$1001,0),MATCH('Index&amp;Match'!G64,'Main Data'!$A64:$O64,0))</f>
        <v>Walk-in</v>
      </c>
      <c r="H65" s="2" t="str">
        <f>INDEX('Main Data'!$A$1:$O$1001,MATCH('Index&amp;Match'!$A65,'Main Data'!$A$1:$A$1001,0),MATCH('Index&amp;Match'!H64,'Main Data'!$A64:$O64,0))</f>
        <v>Retail</v>
      </c>
      <c r="I65" s="2">
        <f>INDEX('Main Data'!$A$1:$O$1001,MATCH('Index&amp;Match'!$A65,'Main Data'!$A$1:$A$1001,0),MATCH('Index&amp;Match'!I64,'Main Data'!$A64:$O64,0))</f>
        <v>25</v>
      </c>
      <c r="J65" s="2">
        <f>INDEX('Main Data'!$A$1:$O$1001,MATCH('Index&amp;Match'!$A65,'Main Data'!$A$1:$A$1001,0),MATCH('Index&amp;Match'!J64,'Main Data'!$A64:$O64,0))</f>
        <v>25</v>
      </c>
      <c r="K65" s="11">
        <f>INDEX('Main Data'!$A$1:$O$1001,MATCH('Index&amp;Match'!$A65,'Main Data'!$A$1:$A$1001,0),MATCH('Index&amp;Match'!K64,'Main Data'!$A64:$O64,0))</f>
        <v>40353.279999999999</v>
      </c>
      <c r="L65" s="11">
        <f>INDEX('Main Data'!$A$1:$O$1001,MATCH('Index&amp;Match'!$A65,'Main Data'!$A$1:$A$1001,0),MATCH('Index&amp;Match'!L64,'Main Data'!$A64:$O64,0))</f>
        <v>202.38</v>
      </c>
      <c r="M65" s="11">
        <f>INDEX('Main Data'!$A$1:$O$1001,MATCH('Index&amp;Match'!$A65,'Main Data'!$A$1:$A$1001,0),MATCH('Index&amp;Match'!M64,'Main Data'!$A64:$O64,0))</f>
        <v>111.18</v>
      </c>
      <c r="N65" s="2" t="str">
        <f>INDEX('Main Data'!$A$1:$O$1001,MATCH('Index&amp;Match'!$A65,'Main Data'!$A$1:$A$1001,0),MATCH('Index&amp;Match'!N64,'Main Data'!$A64:$O64,0))</f>
        <v>Yes</v>
      </c>
      <c r="O65" s="2">
        <f>INDEX('Main Data'!$A$1:$O$1001,MATCH('Index&amp;Match'!$A65,'Main Data'!$A$1:$A$1001,0),MATCH('Index&amp;Match'!O64,'Main Data'!$A64:$O64,0))</f>
        <v>5</v>
      </c>
    </row>
    <row r="66" spans="1:15" x14ac:dyDescent="0.3">
      <c r="A66" s="2" t="s">
        <v>123</v>
      </c>
      <c r="B66" s="1">
        <f>INDEX('Main Data'!$A$1:$O$1001,MATCH('Index&amp;Match'!$A66,'Main Data'!$A$1:$A$1001,0),MATCH('Index&amp;Match'!B65,'Main Data'!$A65:$O65,0))</f>
        <v>46042</v>
      </c>
      <c r="C66" s="2" t="str">
        <f>INDEX('Main Data'!$A$1:$O$1001,MATCH('Index&amp;Match'!$A66,'Main Data'!$A$1:$A$1001,0),MATCH('Index&amp;Match'!C65,'Main Data'!$A65:$O65,0))</f>
        <v>Jamie</v>
      </c>
      <c r="D66" s="2" t="str">
        <f>INDEX('Main Data'!$A$1:$O$1001,MATCH('Index&amp;Match'!$A66,'Main Data'!$A$1:$A$1001,0),MATCH('Index&amp;Match'!D65,'Main Data'!$A65:$O65,0))</f>
        <v>BR-005</v>
      </c>
      <c r="E66" s="2" t="str">
        <f>INDEX('Main Data'!$A$1:$O$1001,MATCH('Index&amp;Match'!$A66,'Main Data'!$A$1:$A$1001,0),MATCH('Index&amp;Match'!E65,'Main Data'!$A65:$O65,0))</f>
        <v>Central</v>
      </c>
      <c r="F66" s="2" t="str">
        <f>INDEX('Main Data'!$A$1:$O$1001,MATCH('Index&amp;Match'!$A66,'Main Data'!$A$1:$A$1001,0),MATCH('Index&amp;Match'!F65,'Main Data'!$A65:$O65,0))</f>
        <v>Wealth Management</v>
      </c>
      <c r="G66" s="2" t="str">
        <f>INDEX('Main Data'!$A$1:$O$1001,MATCH('Index&amp;Match'!$A66,'Main Data'!$A$1:$A$1001,0),MATCH('Index&amp;Match'!G65,'Main Data'!$A65:$O65,0))</f>
        <v>Referral</v>
      </c>
      <c r="H66" s="2" t="str">
        <f>INDEX('Main Data'!$A$1:$O$1001,MATCH('Index&amp;Match'!$A66,'Main Data'!$A$1:$A$1001,0),MATCH('Index&amp;Match'!H65,'Main Data'!$A65:$O65,0))</f>
        <v>Retail</v>
      </c>
      <c r="I66" s="2">
        <f>INDEX('Main Data'!$A$1:$O$1001,MATCH('Index&amp;Match'!$A66,'Main Data'!$A$1:$A$1001,0),MATCH('Index&amp;Match'!I65,'Main Data'!$A65:$O65,0))</f>
        <v>52</v>
      </c>
      <c r="J66" s="2">
        <f>INDEX('Main Data'!$A$1:$O$1001,MATCH('Index&amp;Match'!$A66,'Main Data'!$A$1:$A$1001,0),MATCH('Index&amp;Match'!J65,'Main Data'!$A65:$O65,0))</f>
        <v>52</v>
      </c>
      <c r="K66" s="11">
        <f>INDEX('Main Data'!$A$1:$O$1001,MATCH('Index&amp;Match'!$A66,'Main Data'!$A$1:$A$1001,0),MATCH('Index&amp;Match'!K65,'Main Data'!$A65:$O65,0))</f>
        <v>7273.84</v>
      </c>
      <c r="L66" s="11">
        <f>INDEX('Main Data'!$A$1:$O$1001,MATCH('Index&amp;Match'!$A66,'Main Data'!$A$1:$A$1001,0),MATCH('Index&amp;Match'!L65,'Main Data'!$A65:$O65,0))</f>
        <v>74.94</v>
      </c>
      <c r="M66" s="11">
        <f>INDEX('Main Data'!$A$1:$O$1001,MATCH('Index&amp;Match'!$A66,'Main Data'!$A$1:$A$1001,0),MATCH('Index&amp;Match'!M65,'Main Data'!$A65:$O65,0))</f>
        <v>80.8</v>
      </c>
      <c r="N66" s="2" t="str">
        <f>INDEX('Main Data'!$A$1:$O$1001,MATCH('Index&amp;Match'!$A66,'Main Data'!$A$1:$A$1001,0),MATCH('Index&amp;Match'!N65,'Main Data'!$A65:$O65,0))</f>
        <v>Yes</v>
      </c>
      <c r="O66" s="2">
        <f>INDEX('Main Data'!$A$1:$O$1001,MATCH('Index&amp;Match'!$A66,'Main Data'!$A$1:$A$1001,0),MATCH('Index&amp;Match'!O65,'Main Data'!$A65:$O65,0))</f>
        <v>2</v>
      </c>
    </row>
    <row r="67" spans="1:15" x14ac:dyDescent="0.3">
      <c r="A67" s="2" t="s">
        <v>124</v>
      </c>
      <c r="B67" s="1">
        <f>INDEX('Main Data'!$A$1:$O$1001,MATCH('Index&amp;Match'!$A67,'Main Data'!$A$1:$A$1001,0),MATCH('Index&amp;Match'!B66,'Main Data'!$A66:$O66,0))</f>
        <v>46160</v>
      </c>
      <c r="C67" s="2" t="str">
        <f>INDEX('Main Data'!$A$1:$O$1001,MATCH('Index&amp;Match'!$A67,'Main Data'!$A$1:$A$1001,0),MATCH('Index&amp;Match'!C66,'Main Data'!$A66:$O66,0))</f>
        <v>Jordan</v>
      </c>
      <c r="D67" s="2" t="str">
        <f>INDEX('Main Data'!$A$1:$O$1001,MATCH('Index&amp;Match'!$A67,'Main Data'!$A$1:$A$1001,0),MATCH('Index&amp;Match'!D66,'Main Data'!$A66:$O66,0))</f>
        <v>BR-005</v>
      </c>
      <c r="E67" s="2" t="str">
        <f>INDEX('Main Data'!$A$1:$O$1001,MATCH('Index&amp;Match'!$A67,'Main Data'!$A$1:$A$1001,0),MATCH('Index&amp;Match'!E66,'Main Data'!$A66:$O66,0))</f>
        <v>North</v>
      </c>
      <c r="F67" s="2" t="str">
        <f>INDEX('Main Data'!$A$1:$O$1001,MATCH('Index&amp;Match'!$A67,'Main Data'!$A$1:$A$1001,0),MATCH('Index&amp;Match'!F66,'Main Data'!$A66:$O66,0))</f>
        <v>Wealth Management</v>
      </c>
      <c r="G67" s="2" t="str">
        <f>INDEX('Main Data'!$A$1:$O$1001,MATCH('Index&amp;Match'!$A67,'Main Data'!$A$1:$A$1001,0),MATCH('Index&amp;Match'!G66,'Main Data'!$A66:$O66,0))</f>
        <v>Website</v>
      </c>
      <c r="H67" s="2" t="str">
        <f>INDEX('Main Data'!$A$1:$O$1001,MATCH('Index&amp;Match'!$A67,'Main Data'!$A$1:$A$1001,0),MATCH('Index&amp;Match'!H66,'Main Data'!$A66:$O66,0))</f>
        <v>Corporate</v>
      </c>
      <c r="I67" s="2">
        <f>INDEX('Main Data'!$A$1:$O$1001,MATCH('Index&amp;Match'!$A67,'Main Data'!$A$1:$A$1001,0),MATCH('Index&amp;Match'!I66,'Main Data'!$A66:$O66,0))</f>
        <v>42</v>
      </c>
      <c r="J67" s="2">
        <f>INDEX('Main Data'!$A$1:$O$1001,MATCH('Index&amp;Match'!$A67,'Main Data'!$A$1:$A$1001,0),MATCH('Index&amp;Match'!J66,'Main Data'!$A66:$O66,0))</f>
        <v>42</v>
      </c>
      <c r="K67" s="11">
        <f>INDEX('Main Data'!$A$1:$O$1001,MATCH('Index&amp;Match'!$A67,'Main Data'!$A$1:$A$1001,0),MATCH('Index&amp;Match'!K66,'Main Data'!$A66:$O66,0))</f>
        <v>3951.11</v>
      </c>
      <c r="L67" s="11">
        <f>INDEX('Main Data'!$A$1:$O$1001,MATCH('Index&amp;Match'!$A67,'Main Data'!$A$1:$A$1001,0),MATCH('Index&amp;Match'!L66,'Main Data'!$A66:$O66,0))</f>
        <v>299.38</v>
      </c>
      <c r="M67" s="11">
        <f>INDEX('Main Data'!$A$1:$O$1001,MATCH('Index&amp;Match'!$A67,'Main Data'!$A$1:$A$1001,0),MATCH('Index&amp;Match'!M66,'Main Data'!$A66:$O66,0))</f>
        <v>92.02</v>
      </c>
      <c r="N67" s="2" t="str">
        <f>INDEX('Main Data'!$A$1:$O$1001,MATCH('Index&amp;Match'!$A67,'Main Data'!$A$1:$A$1001,0),MATCH('Index&amp;Match'!N66,'Main Data'!$A66:$O66,0))</f>
        <v>No</v>
      </c>
      <c r="O67" s="2">
        <f>INDEX('Main Data'!$A$1:$O$1001,MATCH('Index&amp;Match'!$A67,'Main Data'!$A$1:$A$1001,0),MATCH('Index&amp;Match'!O66,'Main Data'!$A66:$O66,0))</f>
        <v>2</v>
      </c>
    </row>
    <row r="68" spans="1:15" x14ac:dyDescent="0.3">
      <c r="A68" s="2" t="s">
        <v>125</v>
      </c>
      <c r="B68" s="1">
        <f>INDEX('Main Data'!$A$1:$O$1001,MATCH('Index&amp;Match'!$A68,'Main Data'!$A$1:$A$1001,0),MATCH('Index&amp;Match'!B67,'Main Data'!$A67:$O67,0))</f>
        <v>46096</v>
      </c>
      <c r="C68" s="2" t="str">
        <f>INDEX('Main Data'!$A$1:$O$1001,MATCH('Index&amp;Match'!$A68,'Main Data'!$A$1:$A$1001,0),MATCH('Index&amp;Match'!C67,'Main Data'!$A67:$O67,0))</f>
        <v>Morgan</v>
      </c>
      <c r="D68" s="2" t="str">
        <f>INDEX('Main Data'!$A$1:$O$1001,MATCH('Index&amp;Match'!$A68,'Main Data'!$A$1:$A$1001,0),MATCH('Index&amp;Match'!D67,'Main Data'!$A67:$O67,0))</f>
        <v>BR-005</v>
      </c>
      <c r="E68" s="2" t="str">
        <f>INDEX('Main Data'!$A$1:$O$1001,MATCH('Index&amp;Match'!$A68,'Main Data'!$A$1:$A$1001,0),MATCH('Index&amp;Match'!E67,'Main Data'!$A67:$O67,0))</f>
        <v>North</v>
      </c>
      <c r="F68" s="2" t="str">
        <f>INDEX('Main Data'!$A$1:$O$1001,MATCH('Index&amp;Match'!$A68,'Main Data'!$A$1:$A$1001,0),MATCH('Index&amp;Match'!F67,'Main Data'!$A67:$O67,0))</f>
        <v>Auto Loan</v>
      </c>
      <c r="G68" s="2" t="str">
        <f>INDEX('Main Data'!$A$1:$O$1001,MATCH('Index&amp;Match'!$A68,'Main Data'!$A$1:$A$1001,0),MATCH('Index&amp;Match'!G67,'Main Data'!$A67:$O67,0))</f>
        <v>Referral</v>
      </c>
      <c r="H68" s="2" t="str">
        <f>INDEX('Main Data'!$A$1:$O$1001,MATCH('Index&amp;Match'!$A68,'Main Data'!$A$1:$A$1001,0),MATCH('Index&amp;Match'!H67,'Main Data'!$A67:$O67,0))</f>
        <v>High Net Worth</v>
      </c>
      <c r="I68" s="2">
        <f>INDEX('Main Data'!$A$1:$O$1001,MATCH('Index&amp;Match'!$A68,'Main Data'!$A$1:$A$1001,0),MATCH('Index&amp;Match'!I67,'Main Data'!$A67:$O67,0))</f>
        <v>26</v>
      </c>
      <c r="J68" s="2">
        <f>INDEX('Main Data'!$A$1:$O$1001,MATCH('Index&amp;Match'!$A68,'Main Data'!$A$1:$A$1001,0),MATCH('Index&amp;Match'!J67,'Main Data'!$A67:$O67,0))</f>
        <v>26</v>
      </c>
      <c r="K68" s="11">
        <f>INDEX('Main Data'!$A$1:$O$1001,MATCH('Index&amp;Match'!$A68,'Main Data'!$A$1:$A$1001,0),MATCH('Index&amp;Match'!K67,'Main Data'!$A67:$O67,0))</f>
        <v>44723.53</v>
      </c>
      <c r="L68" s="11">
        <f>INDEX('Main Data'!$A$1:$O$1001,MATCH('Index&amp;Match'!$A68,'Main Data'!$A$1:$A$1001,0),MATCH('Index&amp;Match'!L67,'Main Data'!$A67:$O67,0))</f>
        <v>314.56</v>
      </c>
      <c r="M68" s="11">
        <f>INDEX('Main Data'!$A$1:$O$1001,MATCH('Index&amp;Match'!$A68,'Main Data'!$A$1:$A$1001,0),MATCH('Index&amp;Match'!M67,'Main Data'!$A67:$O67,0))</f>
        <v>4.54</v>
      </c>
      <c r="N68" s="2" t="str">
        <f>INDEX('Main Data'!$A$1:$O$1001,MATCH('Index&amp;Match'!$A68,'Main Data'!$A$1:$A$1001,0),MATCH('Index&amp;Match'!N67,'Main Data'!$A67:$O67,0))</f>
        <v>Yes</v>
      </c>
      <c r="O68" s="2">
        <f>INDEX('Main Data'!$A$1:$O$1001,MATCH('Index&amp;Match'!$A68,'Main Data'!$A$1:$A$1001,0),MATCH('Index&amp;Match'!O67,'Main Data'!$A67:$O67,0))</f>
        <v>4</v>
      </c>
    </row>
    <row r="69" spans="1:15" x14ac:dyDescent="0.3">
      <c r="A69" s="2" t="s">
        <v>126</v>
      </c>
      <c r="B69" s="1">
        <f>INDEX('Main Data'!$A$1:$O$1001,MATCH('Index&amp;Match'!$A69,'Main Data'!$A$1:$A$1001,0),MATCH('Index&amp;Match'!B68,'Main Data'!$A68:$O68,0))</f>
        <v>46000</v>
      </c>
      <c r="C69" s="2" t="str">
        <f>INDEX('Main Data'!$A$1:$O$1001,MATCH('Index&amp;Match'!$A69,'Main Data'!$A$1:$A$1001,0),MATCH('Index&amp;Match'!C68,'Main Data'!$A68:$O68,0))</f>
        <v>Alex</v>
      </c>
      <c r="D69" s="2" t="str">
        <f>INDEX('Main Data'!$A$1:$O$1001,MATCH('Index&amp;Match'!$A69,'Main Data'!$A$1:$A$1001,0),MATCH('Index&amp;Match'!D68,'Main Data'!$A68:$O68,0))</f>
        <v>BR-010</v>
      </c>
      <c r="E69" s="2" t="str">
        <f>INDEX('Main Data'!$A$1:$O$1001,MATCH('Index&amp;Match'!$A69,'Main Data'!$A$1:$A$1001,0),MATCH('Index&amp;Match'!E68,'Main Data'!$A68:$O68,0))</f>
        <v>North</v>
      </c>
      <c r="F69" s="2" t="str">
        <f>INDEX('Main Data'!$A$1:$O$1001,MATCH('Index&amp;Match'!$A69,'Main Data'!$A$1:$A$1001,0),MATCH('Index&amp;Match'!F68,'Main Data'!$A68:$O68,0))</f>
        <v>Mortgage</v>
      </c>
      <c r="G69" s="2" t="str">
        <f>INDEX('Main Data'!$A$1:$O$1001,MATCH('Index&amp;Match'!$A69,'Main Data'!$A$1:$A$1001,0),MATCH('Index&amp;Match'!G68,'Main Data'!$A68:$O68,0))</f>
        <v>Email Campaign</v>
      </c>
      <c r="H69" s="2" t="str">
        <f>INDEX('Main Data'!$A$1:$O$1001,MATCH('Index&amp;Match'!$A69,'Main Data'!$A$1:$A$1001,0),MATCH('Index&amp;Match'!H68,'Main Data'!$A68:$O68,0))</f>
        <v>Corporate</v>
      </c>
      <c r="I69" s="2">
        <f>INDEX('Main Data'!$A$1:$O$1001,MATCH('Index&amp;Match'!$A69,'Main Data'!$A$1:$A$1001,0),MATCH('Index&amp;Match'!I68,'Main Data'!$A68:$O68,0))</f>
        <v>55</v>
      </c>
      <c r="J69" s="2">
        <f>INDEX('Main Data'!$A$1:$O$1001,MATCH('Index&amp;Match'!$A69,'Main Data'!$A$1:$A$1001,0),MATCH('Index&amp;Match'!J68,'Main Data'!$A68:$O68,0))</f>
        <v>55</v>
      </c>
      <c r="K69" s="11">
        <f>INDEX('Main Data'!$A$1:$O$1001,MATCH('Index&amp;Match'!$A69,'Main Data'!$A$1:$A$1001,0),MATCH('Index&amp;Match'!K68,'Main Data'!$A68:$O68,0))</f>
        <v>19697.8</v>
      </c>
      <c r="L69" s="11">
        <f>INDEX('Main Data'!$A$1:$O$1001,MATCH('Index&amp;Match'!$A69,'Main Data'!$A$1:$A$1001,0),MATCH('Index&amp;Match'!L68,'Main Data'!$A68:$O68,0))</f>
        <v>470.54</v>
      </c>
      <c r="M69" s="11">
        <f>INDEX('Main Data'!$A$1:$O$1001,MATCH('Index&amp;Match'!$A69,'Main Data'!$A$1:$A$1001,0),MATCH('Index&amp;Match'!M68,'Main Data'!$A68:$O68,0))</f>
        <v>56.75</v>
      </c>
      <c r="N69" s="2" t="str">
        <f>INDEX('Main Data'!$A$1:$O$1001,MATCH('Index&amp;Match'!$A69,'Main Data'!$A$1:$A$1001,0),MATCH('Index&amp;Match'!N68,'Main Data'!$A68:$O68,0))</f>
        <v>Yes</v>
      </c>
      <c r="O69" s="2">
        <f>INDEX('Main Data'!$A$1:$O$1001,MATCH('Index&amp;Match'!$A69,'Main Data'!$A$1:$A$1001,0),MATCH('Index&amp;Match'!O68,'Main Data'!$A68:$O68,0))</f>
        <v>1</v>
      </c>
    </row>
    <row r="70" spans="1:15" x14ac:dyDescent="0.3">
      <c r="A70" s="2" t="s">
        <v>127</v>
      </c>
      <c r="B70" s="1">
        <f>INDEX('Main Data'!$A$1:$O$1001,MATCH('Index&amp;Match'!$A70,'Main Data'!$A$1:$A$1001,0),MATCH('Index&amp;Match'!B69,'Main Data'!$A69:$O69,0))</f>
        <v>46107</v>
      </c>
      <c r="C70" s="2" t="str">
        <f>INDEX('Main Data'!$A$1:$O$1001,MATCH('Index&amp;Match'!$A70,'Main Data'!$A$1:$A$1001,0),MATCH('Index&amp;Match'!C69,'Main Data'!$A69:$O69,0))</f>
        <v>Morgan</v>
      </c>
      <c r="D70" s="2" t="str">
        <f>INDEX('Main Data'!$A$1:$O$1001,MATCH('Index&amp;Match'!$A70,'Main Data'!$A$1:$A$1001,0),MATCH('Index&amp;Match'!D69,'Main Data'!$A69:$O69,0))</f>
        <v>BR-010</v>
      </c>
      <c r="E70" s="2" t="str">
        <f>INDEX('Main Data'!$A$1:$O$1001,MATCH('Index&amp;Match'!$A70,'Main Data'!$A$1:$A$1001,0),MATCH('Index&amp;Match'!E69,'Main Data'!$A69:$O69,0))</f>
        <v>West</v>
      </c>
      <c r="F70" s="2" t="str">
        <f>INDEX('Main Data'!$A$1:$O$1001,MATCH('Index&amp;Match'!$A70,'Main Data'!$A$1:$A$1001,0),MATCH('Index&amp;Match'!F69,'Main Data'!$A69:$O69,0))</f>
        <v>Mortgage</v>
      </c>
      <c r="G70" s="2" t="str">
        <f>INDEX('Main Data'!$A$1:$O$1001,MATCH('Index&amp;Match'!$A70,'Main Data'!$A$1:$A$1001,0),MATCH('Index&amp;Match'!G69,'Main Data'!$A69:$O69,0))</f>
        <v>Walk-in</v>
      </c>
      <c r="H70" s="2" t="str">
        <f>INDEX('Main Data'!$A$1:$O$1001,MATCH('Index&amp;Match'!$A70,'Main Data'!$A$1:$A$1001,0),MATCH('Index&amp;Match'!H69,'Main Data'!$A69:$O69,0))</f>
        <v>Corporate</v>
      </c>
      <c r="I70" s="2">
        <f>INDEX('Main Data'!$A$1:$O$1001,MATCH('Index&amp;Match'!$A70,'Main Data'!$A$1:$A$1001,0),MATCH('Index&amp;Match'!I69,'Main Data'!$A69:$O69,0))</f>
        <v>42</v>
      </c>
      <c r="J70" s="2">
        <f>INDEX('Main Data'!$A$1:$O$1001,MATCH('Index&amp;Match'!$A70,'Main Data'!$A$1:$A$1001,0),MATCH('Index&amp;Match'!J69,'Main Data'!$A69:$O69,0))</f>
        <v>42</v>
      </c>
      <c r="K70" s="11">
        <f>INDEX('Main Data'!$A$1:$O$1001,MATCH('Index&amp;Match'!$A70,'Main Data'!$A$1:$A$1001,0),MATCH('Index&amp;Match'!K69,'Main Data'!$A69:$O69,0))</f>
        <v>14750.04</v>
      </c>
      <c r="L70" s="11">
        <f>INDEX('Main Data'!$A$1:$O$1001,MATCH('Index&amp;Match'!$A70,'Main Data'!$A$1:$A$1001,0),MATCH('Index&amp;Match'!L69,'Main Data'!$A69:$O69,0))</f>
        <v>376.73</v>
      </c>
      <c r="M70" s="11">
        <f>INDEX('Main Data'!$A$1:$O$1001,MATCH('Index&amp;Match'!$A70,'Main Data'!$A$1:$A$1001,0),MATCH('Index&amp;Match'!M69,'Main Data'!$A69:$O69,0))</f>
        <v>87.32</v>
      </c>
      <c r="N70" s="2" t="str">
        <f>INDEX('Main Data'!$A$1:$O$1001,MATCH('Index&amp;Match'!$A70,'Main Data'!$A$1:$A$1001,0),MATCH('Index&amp;Match'!N69,'Main Data'!$A69:$O69,0))</f>
        <v>Yes</v>
      </c>
      <c r="O70" s="2">
        <f>INDEX('Main Data'!$A$1:$O$1001,MATCH('Index&amp;Match'!$A70,'Main Data'!$A$1:$A$1001,0),MATCH('Index&amp;Match'!O69,'Main Data'!$A69:$O69,0))</f>
        <v>3</v>
      </c>
    </row>
    <row r="71" spans="1:15" x14ac:dyDescent="0.3">
      <c r="A71" s="2" t="s">
        <v>128</v>
      </c>
      <c r="B71" s="1">
        <f>INDEX('Main Data'!$A$1:$O$1001,MATCH('Index&amp;Match'!$A71,'Main Data'!$A$1:$A$1001,0),MATCH('Index&amp;Match'!B70,'Main Data'!$A70:$O70,0))</f>
        <v>46089</v>
      </c>
      <c r="C71" s="2" t="str">
        <f>INDEX('Main Data'!$A$1:$O$1001,MATCH('Index&amp;Match'!$A71,'Main Data'!$A$1:$A$1001,0),MATCH('Index&amp;Match'!C70,'Main Data'!$A70:$O70,0))</f>
        <v>Sam</v>
      </c>
      <c r="D71" s="2" t="str">
        <f>INDEX('Main Data'!$A$1:$O$1001,MATCH('Index&amp;Match'!$A71,'Main Data'!$A$1:$A$1001,0),MATCH('Index&amp;Match'!D70,'Main Data'!$A70:$O70,0))</f>
        <v>BR-003</v>
      </c>
      <c r="E71" s="2" t="str">
        <f>INDEX('Main Data'!$A$1:$O$1001,MATCH('Index&amp;Match'!$A71,'Main Data'!$A$1:$A$1001,0),MATCH('Index&amp;Match'!E70,'Main Data'!$A70:$O70,0))</f>
        <v>West</v>
      </c>
      <c r="F71" s="2" t="str">
        <f>INDEX('Main Data'!$A$1:$O$1001,MATCH('Index&amp;Match'!$A71,'Main Data'!$A$1:$A$1001,0),MATCH('Index&amp;Match'!F70,'Main Data'!$A70:$O70,0))</f>
        <v>Credit Card</v>
      </c>
      <c r="G71" s="2" t="str">
        <f>INDEX('Main Data'!$A$1:$O$1001,MATCH('Index&amp;Match'!$A71,'Main Data'!$A$1:$A$1001,0),MATCH('Index&amp;Match'!G70,'Main Data'!$A70:$O70,0))</f>
        <v>Email Campaign</v>
      </c>
      <c r="H71" s="2" t="str">
        <f>INDEX('Main Data'!$A$1:$O$1001,MATCH('Index&amp;Match'!$A71,'Main Data'!$A$1:$A$1001,0),MATCH('Index&amp;Match'!H70,'Main Data'!$A70:$O70,0))</f>
        <v>Retail</v>
      </c>
      <c r="I71" s="2">
        <f>INDEX('Main Data'!$A$1:$O$1001,MATCH('Index&amp;Match'!$A71,'Main Data'!$A$1:$A$1001,0),MATCH('Index&amp;Match'!I70,'Main Data'!$A70:$O70,0))</f>
        <v>21</v>
      </c>
      <c r="J71" s="2">
        <f>INDEX('Main Data'!$A$1:$O$1001,MATCH('Index&amp;Match'!$A71,'Main Data'!$A$1:$A$1001,0),MATCH('Index&amp;Match'!J70,'Main Data'!$A70:$O70,0))</f>
        <v>21</v>
      </c>
      <c r="K71" s="11">
        <f>INDEX('Main Data'!$A$1:$O$1001,MATCH('Index&amp;Match'!$A71,'Main Data'!$A$1:$A$1001,0),MATCH('Index&amp;Match'!K70,'Main Data'!$A70:$O70,0))</f>
        <v>36372.46</v>
      </c>
      <c r="L71" s="11">
        <f>INDEX('Main Data'!$A$1:$O$1001,MATCH('Index&amp;Match'!$A71,'Main Data'!$A$1:$A$1001,0),MATCH('Index&amp;Match'!L70,'Main Data'!$A70:$O70,0))</f>
        <v>463</v>
      </c>
      <c r="M71" s="11">
        <f>INDEX('Main Data'!$A$1:$O$1001,MATCH('Index&amp;Match'!$A71,'Main Data'!$A$1:$A$1001,0),MATCH('Index&amp;Match'!M70,'Main Data'!$A70:$O70,0))</f>
        <v>126.76</v>
      </c>
      <c r="N71" s="2" t="str">
        <f>INDEX('Main Data'!$A$1:$O$1001,MATCH('Index&amp;Match'!$A71,'Main Data'!$A$1:$A$1001,0),MATCH('Index&amp;Match'!N70,'Main Data'!$A70:$O70,0))</f>
        <v>No</v>
      </c>
      <c r="O71" s="2">
        <f>INDEX('Main Data'!$A$1:$O$1001,MATCH('Index&amp;Match'!$A71,'Main Data'!$A$1:$A$1001,0),MATCH('Index&amp;Match'!O70,'Main Data'!$A70:$O70,0))</f>
        <v>2</v>
      </c>
    </row>
    <row r="72" spans="1:15" x14ac:dyDescent="0.3">
      <c r="A72" s="2" t="s">
        <v>129</v>
      </c>
      <c r="B72" s="1">
        <f>INDEX('Main Data'!$A$1:$O$1001,MATCH('Index&amp;Match'!$A72,'Main Data'!$A$1:$A$1001,0),MATCH('Index&amp;Match'!B71,'Main Data'!$A71:$O71,0))</f>
        <v>46185</v>
      </c>
      <c r="C72" s="2" t="str">
        <f>INDEX('Main Data'!$A$1:$O$1001,MATCH('Index&amp;Match'!$A72,'Main Data'!$A$1:$A$1001,0),MATCH('Index&amp;Match'!C71,'Main Data'!$A71:$O71,0))</f>
        <v>Jordan</v>
      </c>
      <c r="D72" s="2" t="str">
        <f>INDEX('Main Data'!$A$1:$O$1001,MATCH('Index&amp;Match'!$A72,'Main Data'!$A$1:$A$1001,0),MATCH('Index&amp;Match'!D71,'Main Data'!$A71:$O71,0))</f>
        <v>BR-001</v>
      </c>
      <c r="E72" s="2" t="str">
        <f>INDEX('Main Data'!$A$1:$O$1001,MATCH('Index&amp;Match'!$A72,'Main Data'!$A$1:$A$1001,0),MATCH('Index&amp;Match'!E71,'Main Data'!$A71:$O71,0))</f>
        <v>East</v>
      </c>
      <c r="F72" s="2" t="str">
        <f>INDEX('Main Data'!$A$1:$O$1001,MATCH('Index&amp;Match'!$A72,'Main Data'!$A$1:$A$1001,0),MATCH('Index&amp;Match'!F71,'Main Data'!$A71:$O71,0))</f>
        <v>Auto Loan</v>
      </c>
      <c r="G72" s="2" t="str">
        <f>INDEX('Main Data'!$A$1:$O$1001,MATCH('Index&amp;Match'!$A72,'Main Data'!$A$1:$A$1001,0),MATCH('Index&amp;Match'!G71,'Main Data'!$A71:$O71,0))</f>
        <v>Walk-in</v>
      </c>
      <c r="H72" s="2" t="str">
        <f>INDEX('Main Data'!$A$1:$O$1001,MATCH('Index&amp;Match'!$A72,'Main Data'!$A$1:$A$1001,0),MATCH('Index&amp;Match'!H71,'Main Data'!$A71:$O71,0))</f>
        <v>Corporate</v>
      </c>
      <c r="I72" s="2">
        <f>INDEX('Main Data'!$A$1:$O$1001,MATCH('Index&amp;Match'!$A72,'Main Data'!$A$1:$A$1001,0),MATCH('Index&amp;Match'!I71,'Main Data'!$A71:$O71,0))</f>
        <v>40</v>
      </c>
      <c r="J72" s="2">
        <f>INDEX('Main Data'!$A$1:$O$1001,MATCH('Index&amp;Match'!$A72,'Main Data'!$A$1:$A$1001,0),MATCH('Index&amp;Match'!J71,'Main Data'!$A71:$O71,0))</f>
        <v>40</v>
      </c>
      <c r="K72" s="11">
        <f>INDEX('Main Data'!$A$1:$O$1001,MATCH('Index&amp;Match'!$A72,'Main Data'!$A$1:$A$1001,0),MATCH('Index&amp;Match'!K71,'Main Data'!$A71:$O71,0))</f>
        <v>41902.57</v>
      </c>
      <c r="L72" s="11">
        <f>INDEX('Main Data'!$A$1:$O$1001,MATCH('Index&amp;Match'!$A72,'Main Data'!$A$1:$A$1001,0),MATCH('Index&amp;Match'!L71,'Main Data'!$A71:$O71,0))</f>
        <v>458.76</v>
      </c>
      <c r="M72" s="11">
        <f>INDEX('Main Data'!$A$1:$O$1001,MATCH('Index&amp;Match'!$A72,'Main Data'!$A$1:$A$1001,0),MATCH('Index&amp;Match'!M71,'Main Data'!$A71:$O71,0))</f>
        <v>90.01</v>
      </c>
      <c r="N72" s="2" t="str">
        <f>INDEX('Main Data'!$A$1:$O$1001,MATCH('Index&amp;Match'!$A72,'Main Data'!$A$1:$A$1001,0),MATCH('Index&amp;Match'!N71,'Main Data'!$A71:$O71,0))</f>
        <v>Yes</v>
      </c>
      <c r="O72" s="2">
        <f>INDEX('Main Data'!$A$1:$O$1001,MATCH('Index&amp;Match'!$A72,'Main Data'!$A$1:$A$1001,0),MATCH('Index&amp;Match'!O71,'Main Data'!$A71:$O71,0))</f>
        <v>5</v>
      </c>
    </row>
    <row r="73" spans="1:15" x14ac:dyDescent="0.3">
      <c r="A73" s="2" t="s">
        <v>130</v>
      </c>
      <c r="B73" s="1">
        <f>INDEX('Main Data'!$A$1:$O$1001,MATCH('Index&amp;Match'!$A73,'Main Data'!$A$1:$A$1001,0),MATCH('Index&amp;Match'!B72,'Main Data'!$A72:$O72,0))</f>
        <v>45922</v>
      </c>
      <c r="C73" s="2" t="str">
        <f>INDEX('Main Data'!$A$1:$O$1001,MATCH('Index&amp;Match'!$A73,'Main Data'!$A$1:$A$1001,0),MATCH('Index&amp;Match'!C72,'Main Data'!$A72:$O72,0))</f>
        <v>Jordan</v>
      </c>
      <c r="D73" s="2" t="str">
        <f>INDEX('Main Data'!$A$1:$O$1001,MATCH('Index&amp;Match'!$A73,'Main Data'!$A$1:$A$1001,0),MATCH('Index&amp;Match'!D72,'Main Data'!$A72:$O72,0))</f>
        <v>BR-005</v>
      </c>
      <c r="E73" s="2" t="str">
        <f>INDEX('Main Data'!$A$1:$O$1001,MATCH('Index&amp;Match'!$A73,'Main Data'!$A$1:$A$1001,0),MATCH('Index&amp;Match'!E72,'Main Data'!$A72:$O72,0))</f>
        <v>South</v>
      </c>
      <c r="F73" s="2" t="str">
        <f>INDEX('Main Data'!$A$1:$O$1001,MATCH('Index&amp;Match'!$A73,'Main Data'!$A$1:$A$1001,0),MATCH('Index&amp;Match'!F72,'Main Data'!$A72:$O72,0))</f>
        <v>Wealth Management</v>
      </c>
      <c r="G73" s="2" t="str">
        <f>INDEX('Main Data'!$A$1:$O$1001,MATCH('Index&amp;Match'!$A73,'Main Data'!$A$1:$A$1001,0),MATCH('Index&amp;Match'!G72,'Main Data'!$A72:$O72,0))</f>
        <v>Social Media</v>
      </c>
      <c r="H73" s="2" t="str">
        <f>INDEX('Main Data'!$A$1:$O$1001,MATCH('Index&amp;Match'!$A73,'Main Data'!$A$1:$A$1001,0),MATCH('Index&amp;Match'!H72,'Main Data'!$A72:$O72,0))</f>
        <v>SME</v>
      </c>
      <c r="I73" s="2">
        <f>INDEX('Main Data'!$A$1:$O$1001,MATCH('Index&amp;Match'!$A73,'Main Data'!$A$1:$A$1001,0),MATCH('Index&amp;Match'!I72,'Main Data'!$A72:$O72,0))</f>
        <v>42</v>
      </c>
      <c r="J73" s="2">
        <f>INDEX('Main Data'!$A$1:$O$1001,MATCH('Index&amp;Match'!$A73,'Main Data'!$A$1:$A$1001,0),MATCH('Index&amp;Match'!J72,'Main Data'!$A72:$O72,0))</f>
        <v>42</v>
      </c>
      <c r="K73" s="11">
        <f>INDEX('Main Data'!$A$1:$O$1001,MATCH('Index&amp;Match'!$A73,'Main Data'!$A$1:$A$1001,0),MATCH('Index&amp;Match'!K72,'Main Data'!$A72:$O72,0))</f>
        <v>43193.24</v>
      </c>
      <c r="L73" s="11">
        <f>INDEX('Main Data'!$A$1:$O$1001,MATCH('Index&amp;Match'!$A73,'Main Data'!$A$1:$A$1001,0),MATCH('Index&amp;Match'!L72,'Main Data'!$A72:$O72,0))</f>
        <v>322.06</v>
      </c>
      <c r="M73" s="11">
        <f>INDEX('Main Data'!$A$1:$O$1001,MATCH('Index&amp;Match'!$A73,'Main Data'!$A$1:$A$1001,0),MATCH('Index&amp;Match'!M72,'Main Data'!$A72:$O72,0))</f>
        <v>67.56</v>
      </c>
      <c r="N73" s="2" t="str">
        <f>INDEX('Main Data'!$A$1:$O$1001,MATCH('Index&amp;Match'!$A73,'Main Data'!$A$1:$A$1001,0),MATCH('Index&amp;Match'!N72,'Main Data'!$A72:$O72,0))</f>
        <v>Yes</v>
      </c>
      <c r="O73" s="2">
        <f>INDEX('Main Data'!$A$1:$O$1001,MATCH('Index&amp;Match'!$A73,'Main Data'!$A$1:$A$1001,0),MATCH('Index&amp;Match'!O72,'Main Data'!$A72:$O72,0))</f>
        <v>4</v>
      </c>
    </row>
    <row r="74" spans="1:15" x14ac:dyDescent="0.3">
      <c r="A74" s="2" t="s">
        <v>131</v>
      </c>
      <c r="B74" s="1">
        <f>INDEX('Main Data'!$A$1:$O$1001,MATCH('Index&amp;Match'!$A74,'Main Data'!$A$1:$A$1001,0),MATCH('Index&amp;Match'!B73,'Main Data'!$A73:$O73,0))</f>
        <v>46014</v>
      </c>
      <c r="C74" s="2" t="str">
        <f>INDEX('Main Data'!$A$1:$O$1001,MATCH('Index&amp;Match'!$A74,'Main Data'!$A$1:$A$1001,0),MATCH('Index&amp;Match'!C73,'Main Data'!$A73:$O73,0))</f>
        <v>Alex</v>
      </c>
      <c r="D74" s="2" t="str">
        <f>INDEX('Main Data'!$A$1:$O$1001,MATCH('Index&amp;Match'!$A74,'Main Data'!$A$1:$A$1001,0),MATCH('Index&amp;Match'!D73,'Main Data'!$A73:$O73,0))</f>
        <v>BR-014</v>
      </c>
      <c r="E74" s="2" t="str">
        <f>INDEX('Main Data'!$A$1:$O$1001,MATCH('Index&amp;Match'!$A74,'Main Data'!$A$1:$A$1001,0),MATCH('Index&amp;Match'!E73,'Main Data'!$A73:$O73,0))</f>
        <v>Central</v>
      </c>
      <c r="F74" s="2" t="str">
        <f>INDEX('Main Data'!$A$1:$O$1001,MATCH('Index&amp;Match'!$A74,'Main Data'!$A$1:$A$1001,0),MATCH('Index&amp;Match'!F73,'Main Data'!$A73:$O73,0))</f>
        <v>Wealth Management</v>
      </c>
      <c r="G74" s="2" t="str">
        <f>INDEX('Main Data'!$A$1:$O$1001,MATCH('Index&amp;Match'!$A74,'Main Data'!$A$1:$A$1001,0),MATCH('Index&amp;Match'!G73,'Main Data'!$A73:$O73,0))</f>
        <v>Website</v>
      </c>
      <c r="H74" s="2" t="str">
        <f>INDEX('Main Data'!$A$1:$O$1001,MATCH('Index&amp;Match'!$A74,'Main Data'!$A$1:$A$1001,0),MATCH('Index&amp;Match'!H73,'Main Data'!$A73:$O73,0))</f>
        <v>Corporate</v>
      </c>
      <c r="I74" s="2">
        <f>INDEX('Main Data'!$A$1:$O$1001,MATCH('Index&amp;Match'!$A74,'Main Data'!$A$1:$A$1001,0),MATCH('Index&amp;Match'!I73,'Main Data'!$A73:$O73,0))</f>
        <v>68</v>
      </c>
      <c r="J74" s="2">
        <f>INDEX('Main Data'!$A$1:$O$1001,MATCH('Index&amp;Match'!$A74,'Main Data'!$A$1:$A$1001,0),MATCH('Index&amp;Match'!J73,'Main Data'!$A73:$O73,0))</f>
        <v>68</v>
      </c>
      <c r="K74" s="11">
        <f>INDEX('Main Data'!$A$1:$O$1001,MATCH('Index&amp;Match'!$A74,'Main Data'!$A$1:$A$1001,0),MATCH('Index&amp;Match'!K73,'Main Data'!$A73:$O73,0))</f>
        <v>16141.86</v>
      </c>
      <c r="L74" s="11">
        <f>INDEX('Main Data'!$A$1:$O$1001,MATCH('Index&amp;Match'!$A74,'Main Data'!$A$1:$A$1001,0),MATCH('Index&amp;Match'!L73,'Main Data'!$A73:$O73,0))</f>
        <v>287.49</v>
      </c>
      <c r="M74" s="11">
        <f>INDEX('Main Data'!$A$1:$O$1001,MATCH('Index&amp;Match'!$A74,'Main Data'!$A$1:$A$1001,0),MATCH('Index&amp;Match'!M73,'Main Data'!$A73:$O73,0))</f>
        <v>77.62</v>
      </c>
      <c r="N74" s="2" t="str">
        <f>INDEX('Main Data'!$A$1:$O$1001,MATCH('Index&amp;Match'!$A74,'Main Data'!$A$1:$A$1001,0),MATCH('Index&amp;Match'!N73,'Main Data'!$A73:$O73,0))</f>
        <v>Yes</v>
      </c>
      <c r="O74" s="2">
        <f>INDEX('Main Data'!$A$1:$O$1001,MATCH('Index&amp;Match'!$A74,'Main Data'!$A$1:$A$1001,0),MATCH('Index&amp;Match'!O73,'Main Data'!$A73:$O73,0))</f>
        <v>4</v>
      </c>
    </row>
    <row r="75" spans="1:15" x14ac:dyDescent="0.3">
      <c r="A75" s="2" t="s">
        <v>132</v>
      </c>
      <c r="B75" s="1">
        <f>INDEX('Main Data'!$A$1:$O$1001,MATCH('Index&amp;Match'!$A75,'Main Data'!$A$1:$A$1001,0),MATCH('Index&amp;Match'!B74,'Main Data'!$A74:$O74,0))</f>
        <v>46090</v>
      </c>
      <c r="C75" s="2" t="str">
        <f>INDEX('Main Data'!$A$1:$O$1001,MATCH('Index&amp;Match'!$A75,'Main Data'!$A$1:$A$1001,0),MATCH('Index&amp;Match'!C74,'Main Data'!$A74:$O74,0))</f>
        <v>Jordan</v>
      </c>
      <c r="D75" s="2" t="str">
        <f>INDEX('Main Data'!$A$1:$O$1001,MATCH('Index&amp;Match'!$A75,'Main Data'!$A$1:$A$1001,0),MATCH('Index&amp;Match'!D74,'Main Data'!$A74:$O74,0))</f>
        <v>BR-009</v>
      </c>
      <c r="E75" s="2" t="str">
        <f>INDEX('Main Data'!$A$1:$O$1001,MATCH('Index&amp;Match'!$A75,'Main Data'!$A$1:$A$1001,0),MATCH('Index&amp;Match'!E74,'Main Data'!$A74:$O74,0))</f>
        <v>Central</v>
      </c>
      <c r="F75" s="2" t="str">
        <f>INDEX('Main Data'!$A$1:$O$1001,MATCH('Index&amp;Match'!$A75,'Main Data'!$A$1:$A$1001,0),MATCH('Index&amp;Match'!F74,'Main Data'!$A74:$O74,0))</f>
        <v>Personal Loan</v>
      </c>
      <c r="G75" s="2" t="str">
        <f>INDEX('Main Data'!$A$1:$O$1001,MATCH('Index&amp;Match'!$A75,'Main Data'!$A$1:$A$1001,0),MATCH('Index&amp;Match'!G74,'Main Data'!$A74:$O74,0))</f>
        <v>Social Media</v>
      </c>
      <c r="H75" s="2" t="str">
        <f>INDEX('Main Data'!$A$1:$O$1001,MATCH('Index&amp;Match'!$A75,'Main Data'!$A$1:$A$1001,0),MATCH('Index&amp;Match'!H74,'Main Data'!$A74:$O74,0))</f>
        <v>SME</v>
      </c>
      <c r="I75" s="2">
        <f>INDEX('Main Data'!$A$1:$O$1001,MATCH('Index&amp;Match'!$A75,'Main Data'!$A$1:$A$1001,0),MATCH('Index&amp;Match'!I74,'Main Data'!$A74:$O74,0))</f>
        <v>31</v>
      </c>
      <c r="J75" s="2">
        <f>INDEX('Main Data'!$A$1:$O$1001,MATCH('Index&amp;Match'!$A75,'Main Data'!$A$1:$A$1001,0),MATCH('Index&amp;Match'!J74,'Main Data'!$A74:$O74,0))</f>
        <v>31</v>
      </c>
      <c r="K75" s="11">
        <f>INDEX('Main Data'!$A$1:$O$1001,MATCH('Index&amp;Match'!$A75,'Main Data'!$A$1:$A$1001,0),MATCH('Index&amp;Match'!K74,'Main Data'!$A74:$O74,0))</f>
        <v>42684.51</v>
      </c>
      <c r="L75" s="11">
        <f>INDEX('Main Data'!$A$1:$O$1001,MATCH('Index&amp;Match'!$A75,'Main Data'!$A$1:$A$1001,0),MATCH('Index&amp;Match'!L74,'Main Data'!$A74:$O74,0))</f>
        <v>300.85000000000002</v>
      </c>
      <c r="M75" s="11">
        <f>INDEX('Main Data'!$A$1:$O$1001,MATCH('Index&amp;Match'!$A75,'Main Data'!$A$1:$A$1001,0),MATCH('Index&amp;Match'!M74,'Main Data'!$A74:$O74,0))</f>
        <v>48.46</v>
      </c>
      <c r="N75" s="2" t="str">
        <f>INDEX('Main Data'!$A$1:$O$1001,MATCH('Index&amp;Match'!$A75,'Main Data'!$A$1:$A$1001,0),MATCH('Index&amp;Match'!N74,'Main Data'!$A74:$O74,0))</f>
        <v>No</v>
      </c>
      <c r="O75" s="2">
        <f>INDEX('Main Data'!$A$1:$O$1001,MATCH('Index&amp;Match'!$A75,'Main Data'!$A$1:$A$1001,0),MATCH('Index&amp;Match'!O74,'Main Data'!$A74:$O74,0))</f>
        <v>2</v>
      </c>
    </row>
    <row r="76" spans="1:15" x14ac:dyDescent="0.3">
      <c r="A76" s="2" t="s">
        <v>133</v>
      </c>
      <c r="B76" s="1">
        <f>INDEX('Main Data'!$A$1:$O$1001,MATCH('Index&amp;Match'!$A76,'Main Data'!$A$1:$A$1001,0),MATCH('Index&amp;Match'!B75,'Main Data'!$A75:$O75,0))</f>
        <v>45988</v>
      </c>
      <c r="C76" s="2" t="str">
        <f>INDEX('Main Data'!$A$1:$O$1001,MATCH('Index&amp;Match'!$A76,'Main Data'!$A$1:$A$1001,0),MATCH('Index&amp;Match'!C75,'Main Data'!$A75:$O75,0))</f>
        <v>Casey</v>
      </c>
      <c r="D76" s="2" t="str">
        <f>INDEX('Main Data'!$A$1:$O$1001,MATCH('Index&amp;Match'!$A76,'Main Data'!$A$1:$A$1001,0),MATCH('Index&amp;Match'!D75,'Main Data'!$A75:$O75,0))</f>
        <v>BR-014</v>
      </c>
      <c r="E76" s="2" t="str">
        <f>INDEX('Main Data'!$A$1:$O$1001,MATCH('Index&amp;Match'!$A76,'Main Data'!$A$1:$A$1001,0),MATCH('Index&amp;Match'!E75,'Main Data'!$A75:$O75,0))</f>
        <v>Central</v>
      </c>
      <c r="F76" s="2" t="str">
        <f>INDEX('Main Data'!$A$1:$O$1001,MATCH('Index&amp;Match'!$A76,'Main Data'!$A$1:$A$1001,0),MATCH('Index&amp;Match'!F75,'Main Data'!$A75:$O75,0))</f>
        <v>Personal Loan</v>
      </c>
      <c r="G76" s="2" t="str">
        <f>INDEX('Main Data'!$A$1:$O$1001,MATCH('Index&amp;Match'!$A76,'Main Data'!$A$1:$A$1001,0),MATCH('Index&amp;Match'!G75,'Main Data'!$A75:$O75,0))</f>
        <v>Social Media</v>
      </c>
      <c r="H76" s="2" t="str">
        <f>INDEX('Main Data'!$A$1:$O$1001,MATCH('Index&amp;Match'!$A76,'Main Data'!$A$1:$A$1001,0),MATCH('Index&amp;Match'!H75,'Main Data'!$A75:$O75,0))</f>
        <v>Corporate</v>
      </c>
      <c r="I76" s="2">
        <f>INDEX('Main Data'!$A$1:$O$1001,MATCH('Index&amp;Match'!$A76,'Main Data'!$A$1:$A$1001,0),MATCH('Index&amp;Match'!I75,'Main Data'!$A75:$O75,0))</f>
        <v>33</v>
      </c>
      <c r="J76" s="2">
        <f>INDEX('Main Data'!$A$1:$O$1001,MATCH('Index&amp;Match'!$A76,'Main Data'!$A$1:$A$1001,0),MATCH('Index&amp;Match'!J75,'Main Data'!$A75:$O75,0))</f>
        <v>33</v>
      </c>
      <c r="K76" s="11">
        <f>INDEX('Main Data'!$A$1:$O$1001,MATCH('Index&amp;Match'!$A76,'Main Data'!$A$1:$A$1001,0),MATCH('Index&amp;Match'!K75,'Main Data'!$A75:$O75,0))</f>
        <v>2526.23</v>
      </c>
      <c r="L76" s="11">
        <f>INDEX('Main Data'!$A$1:$O$1001,MATCH('Index&amp;Match'!$A76,'Main Data'!$A$1:$A$1001,0),MATCH('Index&amp;Match'!L75,'Main Data'!$A75:$O75,0))</f>
        <v>490.25</v>
      </c>
      <c r="M76" s="11">
        <f>INDEX('Main Data'!$A$1:$O$1001,MATCH('Index&amp;Match'!$A76,'Main Data'!$A$1:$A$1001,0),MATCH('Index&amp;Match'!M75,'Main Data'!$A75:$O75,0))</f>
        <v>184.9</v>
      </c>
      <c r="N76" s="2" t="str">
        <f>INDEX('Main Data'!$A$1:$O$1001,MATCH('Index&amp;Match'!$A76,'Main Data'!$A$1:$A$1001,0),MATCH('Index&amp;Match'!N75,'Main Data'!$A75:$O75,0))</f>
        <v>Yes</v>
      </c>
      <c r="O76" s="2">
        <f>INDEX('Main Data'!$A$1:$O$1001,MATCH('Index&amp;Match'!$A76,'Main Data'!$A$1:$A$1001,0),MATCH('Index&amp;Match'!O75,'Main Data'!$A75:$O75,0))</f>
        <v>2</v>
      </c>
    </row>
    <row r="77" spans="1:15" x14ac:dyDescent="0.3">
      <c r="A77" s="2" t="s">
        <v>134</v>
      </c>
      <c r="B77" s="1">
        <f>INDEX('Main Data'!$A$1:$O$1001,MATCH('Index&amp;Match'!$A77,'Main Data'!$A$1:$A$1001,0),MATCH('Index&amp;Match'!B76,'Main Data'!$A76:$O76,0))</f>
        <v>46079</v>
      </c>
      <c r="C77" s="2" t="str">
        <f>INDEX('Main Data'!$A$1:$O$1001,MATCH('Index&amp;Match'!$A77,'Main Data'!$A$1:$A$1001,0),MATCH('Index&amp;Match'!C76,'Main Data'!$A76:$O76,0))</f>
        <v>Jordan</v>
      </c>
      <c r="D77" s="2" t="str">
        <f>INDEX('Main Data'!$A$1:$O$1001,MATCH('Index&amp;Match'!$A77,'Main Data'!$A$1:$A$1001,0),MATCH('Index&amp;Match'!D76,'Main Data'!$A76:$O76,0))</f>
        <v>BR-001</v>
      </c>
      <c r="E77" s="2" t="str">
        <f>INDEX('Main Data'!$A$1:$O$1001,MATCH('Index&amp;Match'!$A77,'Main Data'!$A$1:$A$1001,0),MATCH('Index&amp;Match'!E76,'Main Data'!$A76:$O76,0))</f>
        <v>East</v>
      </c>
      <c r="F77" s="2" t="str">
        <f>INDEX('Main Data'!$A$1:$O$1001,MATCH('Index&amp;Match'!$A77,'Main Data'!$A$1:$A$1001,0),MATCH('Index&amp;Match'!F76,'Main Data'!$A76:$O76,0))</f>
        <v>Wealth Management</v>
      </c>
      <c r="G77" s="2" t="str">
        <f>INDEX('Main Data'!$A$1:$O$1001,MATCH('Index&amp;Match'!$A77,'Main Data'!$A$1:$A$1001,0),MATCH('Index&amp;Match'!G76,'Main Data'!$A76:$O76,0))</f>
        <v>Email Campaign</v>
      </c>
      <c r="H77" s="2" t="str">
        <f>INDEX('Main Data'!$A$1:$O$1001,MATCH('Index&amp;Match'!$A77,'Main Data'!$A$1:$A$1001,0),MATCH('Index&amp;Match'!H76,'Main Data'!$A76:$O76,0))</f>
        <v>High Net Worth</v>
      </c>
      <c r="I77" s="2">
        <f>INDEX('Main Data'!$A$1:$O$1001,MATCH('Index&amp;Match'!$A77,'Main Data'!$A$1:$A$1001,0),MATCH('Index&amp;Match'!I76,'Main Data'!$A76:$O76,0))</f>
        <v>62</v>
      </c>
      <c r="J77" s="2">
        <f>INDEX('Main Data'!$A$1:$O$1001,MATCH('Index&amp;Match'!$A77,'Main Data'!$A$1:$A$1001,0),MATCH('Index&amp;Match'!J76,'Main Data'!$A76:$O76,0))</f>
        <v>62</v>
      </c>
      <c r="K77" s="11">
        <f>INDEX('Main Data'!$A$1:$O$1001,MATCH('Index&amp;Match'!$A77,'Main Data'!$A$1:$A$1001,0),MATCH('Index&amp;Match'!K76,'Main Data'!$A76:$O76,0))</f>
        <v>2958.24</v>
      </c>
      <c r="L77" s="11">
        <f>INDEX('Main Data'!$A$1:$O$1001,MATCH('Index&amp;Match'!$A77,'Main Data'!$A$1:$A$1001,0),MATCH('Index&amp;Match'!L76,'Main Data'!$A76:$O76,0))</f>
        <v>397.93</v>
      </c>
      <c r="M77" s="11">
        <f>INDEX('Main Data'!$A$1:$O$1001,MATCH('Index&amp;Match'!$A77,'Main Data'!$A$1:$A$1001,0),MATCH('Index&amp;Match'!M76,'Main Data'!$A76:$O76,0))</f>
        <v>156.52000000000001</v>
      </c>
      <c r="N77" s="2" t="str">
        <f>INDEX('Main Data'!$A$1:$O$1001,MATCH('Index&amp;Match'!$A77,'Main Data'!$A$1:$A$1001,0),MATCH('Index&amp;Match'!N76,'Main Data'!$A76:$O76,0))</f>
        <v>Yes</v>
      </c>
      <c r="O77" s="2">
        <f>INDEX('Main Data'!$A$1:$O$1001,MATCH('Index&amp;Match'!$A77,'Main Data'!$A$1:$A$1001,0),MATCH('Index&amp;Match'!O76,'Main Data'!$A76:$O76,0))</f>
        <v>2</v>
      </c>
    </row>
    <row r="78" spans="1:15" x14ac:dyDescent="0.3">
      <c r="A78" s="2" t="s">
        <v>135</v>
      </c>
      <c r="B78" s="1">
        <f>INDEX('Main Data'!$A$1:$O$1001,MATCH('Index&amp;Match'!$A78,'Main Data'!$A$1:$A$1001,0),MATCH('Index&amp;Match'!B77,'Main Data'!$A77:$O77,0))</f>
        <v>46142</v>
      </c>
      <c r="C78" s="2" t="str">
        <f>INDEX('Main Data'!$A$1:$O$1001,MATCH('Index&amp;Match'!$A78,'Main Data'!$A$1:$A$1001,0),MATCH('Index&amp;Match'!C77,'Main Data'!$A77:$O77,0))</f>
        <v>Morgan</v>
      </c>
      <c r="D78" s="2" t="str">
        <f>INDEX('Main Data'!$A$1:$O$1001,MATCH('Index&amp;Match'!$A78,'Main Data'!$A$1:$A$1001,0),MATCH('Index&amp;Match'!D77,'Main Data'!$A77:$O77,0))</f>
        <v>BR-003</v>
      </c>
      <c r="E78" s="2" t="str">
        <f>INDEX('Main Data'!$A$1:$O$1001,MATCH('Index&amp;Match'!$A78,'Main Data'!$A$1:$A$1001,0),MATCH('Index&amp;Match'!E77,'Main Data'!$A77:$O77,0))</f>
        <v>West</v>
      </c>
      <c r="F78" s="2" t="str">
        <f>INDEX('Main Data'!$A$1:$O$1001,MATCH('Index&amp;Match'!$A78,'Main Data'!$A$1:$A$1001,0),MATCH('Index&amp;Match'!F77,'Main Data'!$A77:$O77,0))</f>
        <v>Wealth Management</v>
      </c>
      <c r="G78" s="2" t="str">
        <f>INDEX('Main Data'!$A$1:$O$1001,MATCH('Index&amp;Match'!$A78,'Main Data'!$A$1:$A$1001,0),MATCH('Index&amp;Match'!G77,'Main Data'!$A77:$O77,0))</f>
        <v>Website</v>
      </c>
      <c r="H78" s="2" t="str">
        <f>INDEX('Main Data'!$A$1:$O$1001,MATCH('Index&amp;Match'!$A78,'Main Data'!$A$1:$A$1001,0),MATCH('Index&amp;Match'!H77,'Main Data'!$A77:$O77,0))</f>
        <v>High Net Worth</v>
      </c>
      <c r="I78" s="2">
        <f>INDEX('Main Data'!$A$1:$O$1001,MATCH('Index&amp;Match'!$A78,'Main Data'!$A$1:$A$1001,0),MATCH('Index&amp;Match'!I77,'Main Data'!$A77:$O77,0))</f>
        <v>23</v>
      </c>
      <c r="J78" s="2">
        <f>INDEX('Main Data'!$A$1:$O$1001,MATCH('Index&amp;Match'!$A78,'Main Data'!$A$1:$A$1001,0),MATCH('Index&amp;Match'!J77,'Main Data'!$A77:$O77,0))</f>
        <v>23</v>
      </c>
      <c r="K78" s="11">
        <f>INDEX('Main Data'!$A$1:$O$1001,MATCH('Index&amp;Match'!$A78,'Main Data'!$A$1:$A$1001,0),MATCH('Index&amp;Match'!K77,'Main Data'!$A77:$O77,0))</f>
        <v>31364.2</v>
      </c>
      <c r="L78" s="11">
        <f>INDEX('Main Data'!$A$1:$O$1001,MATCH('Index&amp;Match'!$A78,'Main Data'!$A$1:$A$1001,0),MATCH('Index&amp;Match'!L77,'Main Data'!$A77:$O77,0))</f>
        <v>97.82</v>
      </c>
      <c r="M78" s="11">
        <f>INDEX('Main Data'!$A$1:$O$1001,MATCH('Index&amp;Match'!$A78,'Main Data'!$A$1:$A$1001,0),MATCH('Index&amp;Match'!M77,'Main Data'!$A77:$O77,0))</f>
        <v>4.0199999999999996</v>
      </c>
      <c r="N78" s="2" t="str">
        <f>INDEX('Main Data'!$A$1:$O$1001,MATCH('Index&amp;Match'!$A78,'Main Data'!$A$1:$A$1001,0),MATCH('Index&amp;Match'!N77,'Main Data'!$A77:$O77,0))</f>
        <v>Yes</v>
      </c>
      <c r="O78" s="2">
        <f>INDEX('Main Data'!$A$1:$O$1001,MATCH('Index&amp;Match'!$A78,'Main Data'!$A$1:$A$1001,0),MATCH('Index&amp;Match'!O77,'Main Data'!$A77:$O77,0))</f>
        <v>3</v>
      </c>
    </row>
    <row r="79" spans="1:15" x14ac:dyDescent="0.3">
      <c r="A79" s="2" t="s">
        <v>136</v>
      </c>
      <c r="B79" s="1">
        <f>INDEX('Main Data'!$A$1:$O$1001,MATCH('Index&amp;Match'!$A79,'Main Data'!$A$1:$A$1001,0),MATCH('Index&amp;Match'!B78,'Main Data'!$A78:$O78,0))</f>
        <v>45879</v>
      </c>
      <c r="C79" s="2" t="str">
        <f>INDEX('Main Data'!$A$1:$O$1001,MATCH('Index&amp;Match'!$A79,'Main Data'!$A$1:$A$1001,0),MATCH('Index&amp;Match'!C78,'Main Data'!$A78:$O78,0))</f>
        <v>Morgan</v>
      </c>
      <c r="D79" s="2" t="str">
        <f>INDEX('Main Data'!$A$1:$O$1001,MATCH('Index&amp;Match'!$A79,'Main Data'!$A$1:$A$1001,0),MATCH('Index&amp;Match'!D78,'Main Data'!$A78:$O78,0))</f>
        <v>BR-013</v>
      </c>
      <c r="E79" s="2" t="str">
        <f>INDEX('Main Data'!$A$1:$O$1001,MATCH('Index&amp;Match'!$A79,'Main Data'!$A$1:$A$1001,0),MATCH('Index&amp;Match'!E78,'Main Data'!$A78:$O78,0))</f>
        <v>East</v>
      </c>
      <c r="F79" s="2" t="str">
        <f>INDEX('Main Data'!$A$1:$O$1001,MATCH('Index&amp;Match'!$A79,'Main Data'!$A$1:$A$1001,0),MATCH('Index&amp;Match'!F78,'Main Data'!$A78:$O78,0))</f>
        <v>Auto Loan</v>
      </c>
      <c r="G79" s="2" t="str">
        <f>INDEX('Main Data'!$A$1:$O$1001,MATCH('Index&amp;Match'!$A79,'Main Data'!$A$1:$A$1001,0),MATCH('Index&amp;Match'!G78,'Main Data'!$A78:$O78,0))</f>
        <v>Walk-in</v>
      </c>
      <c r="H79" s="2" t="str">
        <f>INDEX('Main Data'!$A$1:$O$1001,MATCH('Index&amp;Match'!$A79,'Main Data'!$A$1:$A$1001,0),MATCH('Index&amp;Match'!H78,'Main Data'!$A78:$O78,0))</f>
        <v>Retail</v>
      </c>
      <c r="I79" s="2">
        <f>INDEX('Main Data'!$A$1:$O$1001,MATCH('Index&amp;Match'!$A79,'Main Data'!$A$1:$A$1001,0),MATCH('Index&amp;Match'!I78,'Main Data'!$A78:$O78,0))</f>
        <v>29</v>
      </c>
      <c r="J79" s="2">
        <f>INDEX('Main Data'!$A$1:$O$1001,MATCH('Index&amp;Match'!$A79,'Main Data'!$A$1:$A$1001,0),MATCH('Index&amp;Match'!J78,'Main Data'!$A78:$O78,0))</f>
        <v>29</v>
      </c>
      <c r="K79" s="11">
        <f>INDEX('Main Data'!$A$1:$O$1001,MATCH('Index&amp;Match'!$A79,'Main Data'!$A$1:$A$1001,0),MATCH('Index&amp;Match'!K78,'Main Data'!$A78:$O78,0))</f>
        <v>3623.77</v>
      </c>
      <c r="L79" s="11">
        <f>INDEX('Main Data'!$A$1:$O$1001,MATCH('Index&amp;Match'!$A79,'Main Data'!$A$1:$A$1001,0),MATCH('Index&amp;Match'!L78,'Main Data'!$A78:$O78,0))</f>
        <v>400.29</v>
      </c>
      <c r="M79" s="11">
        <f>INDEX('Main Data'!$A$1:$O$1001,MATCH('Index&amp;Match'!$A79,'Main Data'!$A$1:$A$1001,0),MATCH('Index&amp;Match'!M78,'Main Data'!$A78:$O78,0))</f>
        <v>3.89</v>
      </c>
      <c r="N79" s="2" t="str">
        <f>INDEX('Main Data'!$A$1:$O$1001,MATCH('Index&amp;Match'!$A79,'Main Data'!$A$1:$A$1001,0),MATCH('Index&amp;Match'!N78,'Main Data'!$A78:$O78,0))</f>
        <v>No</v>
      </c>
      <c r="O79" s="2">
        <f>INDEX('Main Data'!$A$1:$O$1001,MATCH('Index&amp;Match'!$A79,'Main Data'!$A$1:$A$1001,0),MATCH('Index&amp;Match'!O78,'Main Data'!$A78:$O78,0))</f>
        <v>2</v>
      </c>
    </row>
    <row r="80" spans="1:15" x14ac:dyDescent="0.3">
      <c r="A80" s="2" t="s">
        <v>137</v>
      </c>
      <c r="B80" s="1">
        <f>INDEX('Main Data'!$A$1:$O$1001,MATCH('Index&amp;Match'!$A80,'Main Data'!$A$1:$A$1001,0),MATCH('Index&amp;Match'!B79,'Main Data'!$A79:$O79,0))</f>
        <v>46147</v>
      </c>
      <c r="C80" s="2" t="str">
        <f>INDEX('Main Data'!$A$1:$O$1001,MATCH('Index&amp;Match'!$A80,'Main Data'!$A$1:$A$1001,0),MATCH('Index&amp;Match'!C79,'Main Data'!$A79:$O79,0))</f>
        <v>Jamie</v>
      </c>
      <c r="D80" s="2" t="str">
        <f>INDEX('Main Data'!$A$1:$O$1001,MATCH('Index&amp;Match'!$A80,'Main Data'!$A$1:$A$1001,0),MATCH('Index&amp;Match'!D79,'Main Data'!$A79:$O79,0))</f>
        <v>BR-013</v>
      </c>
      <c r="E80" s="2" t="str">
        <f>INDEX('Main Data'!$A$1:$O$1001,MATCH('Index&amp;Match'!$A80,'Main Data'!$A$1:$A$1001,0),MATCH('Index&amp;Match'!E79,'Main Data'!$A79:$O79,0))</f>
        <v>Central</v>
      </c>
      <c r="F80" s="2" t="str">
        <f>INDEX('Main Data'!$A$1:$O$1001,MATCH('Index&amp;Match'!$A80,'Main Data'!$A$1:$A$1001,0),MATCH('Index&amp;Match'!F79,'Main Data'!$A79:$O79,0))</f>
        <v>Mortgage</v>
      </c>
      <c r="G80" s="2" t="str">
        <f>INDEX('Main Data'!$A$1:$O$1001,MATCH('Index&amp;Match'!$A80,'Main Data'!$A$1:$A$1001,0),MATCH('Index&amp;Match'!G79,'Main Data'!$A79:$O79,0))</f>
        <v>Walk-in</v>
      </c>
      <c r="H80" s="2" t="str">
        <f>INDEX('Main Data'!$A$1:$O$1001,MATCH('Index&amp;Match'!$A80,'Main Data'!$A$1:$A$1001,0),MATCH('Index&amp;Match'!H79,'Main Data'!$A79:$O79,0))</f>
        <v>Corporate</v>
      </c>
      <c r="I80" s="2">
        <f>INDEX('Main Data'!$A$1:$O$1001,MATCH('Index&amp;Match'!$A80,'Main Data'!$A$1:$A$1001,0),MATCH('Index&amp;Match'!I79,'Main Data'!$A79:$O79,0))</f>
        <v>32</v>
      </c>
      <c r="J80" s="2">
        <f>INDEX('Main Data'!$A$1:$O$1001,MATCH('Index&amp;Match'!$A80,'Main Data'!$A$1:$A$1001,0),MATCH('Index&amp;Match'!J79,'Main Data'!$A79:$O79,0))</f>
        <v>32</v>
      </c>
      <c r="K80" s="11">
        <f>INDEX('Main Data'!$A$1:$O$1001,MATCH('Index&amp;Match'!$A80,'Main Data'!$A$1:$A$1001,0),MATCH('Index&amp;Match'!K79,'Main Data'!$A79:$O79,0))</f>
        <v>16568.150000000001</v>
      </c>
      <c r="L80" s="11">
        <f>INDEX('Main Data'!$A$1:$O$1001,MATCH('Index&amp;Match'!$A80,'Main Data'!$A$1:$A$1001,0),MATCH('Index&amp;Match'!L79,'Main Data'!$A79:$O79,0))</f>
        <v>126.74</v>
      </c>
      <c r="M80" s="11">
        <f>INDEX('Main Data'!$A$1:$O$1001,MATCH('Index&amp;Match'!$A80,'Main Data'!$A$1:$A$1001,0),MATCH('Index&amp;Match'!M79,'Main Data'!$A79:$O79,0))</f>
        <v>194.59</v>
      </c>
      <c r="N80" s="2" t="str">
        <f>INDEX('Main Data'!$A$1:$O$1001,MATCH('Index&amp;Match'!$A80,'Main Data'!$A$1:$A$1001,0),MATCH('Index&amp;Match'!N79,'Main Data'!$A79:$O79,0))</f>
        <v>Yes</v>
      </c>
      <c r="O80" s="2">
        <f>INDEX('Main Data'!$A$1:$O$1001,MATCH('Index&amp;Match'!$A80,'Main Data'!$A$1:$A$1001,0),MATCH('Index&amp;Match'!O79,'Main Data'!$A79:$O79,0))</f>
        <v>1</v>
      </c>
    </row>
    <row r="81" spans="1:15" x14ac:dyDescent="0.3">
      <c r="A81" s="2" t="s">
        <v>138</v>
      </c>
      <c r="B81" s="1">
        <f>INDEX('Main Data'!$A$1:$O$1001,MATCH('Index&amp;Match'!$A81,'Main Data'!$A$1:$A$1001,0),MATCH('Index&amp;Match'!B80,'Main Data'!$A80:$O80,0))</f>
        <v>46216</v>
      </c>
      <c r="C81" s="2" t="str">
        <f>INDEX('Main Data'!$A$1:$O$1001,MATCH('Index&amp;Match'!$A81,'Main Data'!$A$1:$A$1001,0),MATCH('Index&amp;Match'!C80,'Main Data'!$A80:$O80,0))</f>
        <v>Morgan</v>
      </c>
      <c r="D81" s="2" t="str">
        <f>INDEX('Main Data'!$A$1:$O$1001,MATCH('Index&amp;Match'!$A81,'Main Data'!$A$1:$A$1001,0),MATCH('Index&amp;Match'!D80,'Main Data'!$A80:$O80,0))</f>
        <v>BR-004</v>
      </c>
      <c r="E81" s="2" t="str">
        <f>INDEX('Main Data'!$A$1:$O$1001,MATCH('Index&amp;Match'!$A81,'Main Data'!$A$1:$A$1001,0),MATCH('Index&amp;Match'!E80,'Main Data'!$A80:$O80,0))</f>
        <v>South</v>
      </c>
      <c r="F81" s="2" t="str">
        <f>INDEX('Main Data'!$A$1:$O$1001,MATCH('Index&amp;Match'!$A81,'Main Data'!$A$1:$A$1001,0),MATCH('Index&amp;Match'!F80,'Main Data'!$A80:$O80,0))</f>
        <v>Personal Loan</v>
      </c>
      <c r="G81" s="2" t="str">
        <f>INDEX('Main Data'!$A$1:$O$1001,MATCH('Index&amp;Match'!$A81,'Main Data'!$A$1:$A$1001,0),MATCH('Index&amp;Match'!G80,'Main Data'!$A80:$O80,0))</f>
        <v>Referral</v>
      </c>
      <c r="H81" s="2" t="str">
        <f>INDEX('Main Data'!$A$1:$O$1001,MATCH('Index&amp;Match'!$A81,'Main Data'!$A$1:$A$1001,0),MATCH('Index&amp;Match'!H80,'Main Data'!$A80:$O80,0))</f>
        <v>SME</v>
      </c>
      <c r="I81" s="2">
        <f>INDEX('Main Data'!$A$1:$O$1001,MATCH('Index&amp;Match'!$A81,'Main Data'!$A$1:$A$1001,0),MATCH('Index&amp;Match'!I80,'Main Data'!$A80:$O80,0))</f>
        <v>43</v>
      </c>
      <c r="J81" s="2">
        <f>INDEX('Main Data'!$A$1:$O$1001,MATCH('Index&amp;Match'!$A81,'Main Data'!$A$1:$A$1001,0),MATCH('Index&amp;Match'!J80,'Main Data'!$A80:$O80,0))</f>
        <v>43</v>
      </c>
      <c r="K81" s="11">
        <f>INDEX('Main Data'!$A$1:$O$1001,MATCH('Index&amp;Match'!$A81,'Main Data'!$A$1:$A$1001,0),MATCH('Index&amp;Match'!K80,'Main Data'!$A80:$O80,0))</f>
        <v>33801.42</v>
      </c>
      <c r="L81" s="11">
        <f>INDEX('Main Data'!$A$1:$O$1001,MATCH('Index&amp;Match'!$A81,'Main Data'!$A$1:$A$1001,0),MATCH('Index&amp;Match'!L80,'Main Data'!$A80:$O80,0))</f>
        <v>251.31</v>
      </c>
      <c r="M81" s="11">
        <f>INDEX('Main Data'!$A$1:$O$1001,MATCH('Index&amp;Match'!$A81,'Main Data'!$A$1:$A$1001,0),MATCH('Index&amp;Match'!M80,'Main Data'!$A80:$O80,0))</f>
        <v>44.29</v>
      </c>
      <c r="N81" s="2" t="str">
        <f>INDEX('Main Data'!$A$1:$O$1001,MATCH('Index&amp;Match'!$A81,'Main Data'!$A$1:$A$1001,0),MATCH('Index&amp;Match'!N80,'Main Data'!$A80:$O80,0))</f>
        <v>Yes</v>
      </c>
      <c r="O81" s="2">
        <f>INDEX('Main Data'!$A$1:$O$1001,MATCH('Index&amp;Match'!$A81,'Main Data'!$A$1:$A$1001,0),MATCH('Index&amp;Match'!O80,'Main Data'!$A80:$O80,0))</f>
        <v>5</v>
      </c>
    </row>
    <row r="82" spans="1:15" x14ac:dyDescent="0.3">
      <c r="A82" s="2" t="s">
        <v>139</v>
      </c>
      <c r="B82" s="1">
        <f>INDEX('Main Data'!$A$1:$O$1001,MATCH('Index&amp;Match'!$A82,'Main Data'!$A$1:$A$1001,0),MATCH('Index&amp;Match'!B81,'Main Data'!$A81:$O81,0))</f>
        <v>46153</v>
      </c>
      <c r="C82" s="2" t="str">
        <f>INDEX('Main Data'!$A$1:$O$1001,MATCH('Index&amp;Match'!$A82,'Main Data'!$A$1:$A$1001,0),MATCH('Index&amp;Match'!C81,'Main Data'!$A81:$O81,0))</f>
        <v>Jamie</v>
      </c>
      <c r="D82" s="2" t="str">
        <f>INDEX('Main Data'!$A$1:$O$1001,MATCH('Index&amp;Match'!$A82,'Main Data'!$A$1:$A$1001,0),MATCH('Index&amp;Match'!D81,'Main Data'!$A81:$O81,0))</f>
        <v>BR-014</v>
      </c>
      <c r="E82" s="2" t="str">
        <f>INDEX('Main Data'!$A$1:$O$1001,MATCH('Index&amp;Match'!$A82,'Main Data'!$A$1:$A$1001,0),MATCH('Index&amp;Match'!E81,'Main Data'!$A81:$O81,0))</f>
        <v>North</v>
      </c>
      <c r="F82" s="2" t="str">
        <f>INDEX('Main Data'!$A$1:$O$1001,MATCH('Index&amp;Match'!$A82,'Main Data'!$A$1:$A$1001,0),MATCH('Index&amp;Match'!F81,'Main Data'!$A81:$O81,0))</f>
        <v>Mortgage</v>
      </c>
      <c r="G82" s="2" t="str">
        <f>INDEX('Main Data'!$A$1:$O$1001,MATCH('Index&amp;Match'!$A82,'Main Data'!$A$1:$A$1001,0),MATCH('Index&amp;Match'!G81,'Main Data'!$A81:$O81,0))</f>
        <v>Walk-in</v>
      </c>
      <c r="H82" s="2" t="str">
        <f>INDEX('Main Data'!$A$1:$O$1001,MATCH('Index&amp;Match'!$A82,'Main Data'!$A$1:$A$1001,0),MATCH('Index&amp;Match'!H81,'Main Data'!$A81:$O81,0))</f>
        <v>SME</v>
      </c>
      <c r="I82" s="2">
        <f>INDEX('Main Data'!$A$1:$O$1001,MATCH('Index&amp;Match'!$A82,'Main Data'!$A$1:$A$1001,0),MATCH('Index&amp;Match'!I81,'Main Data'!$A81:$O81,0))</f>
        <v>34</v>
      </c>
      <c r="J82" s="2">
        <f>INDEX('Main Data'!$A$1:$O$1001,MATCH('Index&amp;Match'!$A82,'Main Data'!$A$1:$A$1001,0),MATCH('Index&amp;Match'!J81,'Main Data'!$A81:$O81,0))</f>
        <v>34</v>
      </c>
      <c r="K82" s="11">
        <f>INDEX('Main Data'!$A$1:$O$1001,MATCH('Index&amp;Match'!$A82,'Main Data'!$A$1:$A$1001,0),MATCH('Index&amp;Match'!K81,'Main Data'!$A81:$O81,0))</f>
        <v>17194.71</v>
      </c>
      <c r="L82" s="11">
        <f>INDEX('Main Data'!$A$1:$O$1001,MATCH('Index&amp;Match'!$A82,'Main Data'!$A$1:$A$1001,0),MATCH('Index&amp;Match'!L81,'Main Data'!$A81:$O81,0))</f>
        <v>144.71</v>
      </c>
      <c r="M82" s="11">
        <f>INDEX('Main Data'!$A$1:$O$1001,MATCH('Index&amp;Match'!$A82,'Main Data'!$A$1:$A$1001,0),MATCH('Index&amp;Match'!M81,'Main Data'!$A81:$O81,0))</f>
        <v>161.12</v>
      </c>
      <c r="N82" s="2" t="str">
        <f>INDEX('Main Data'!$A$1:$O$1001,MATCH('Index&amp;Match'!$A82,'Main Data'!$A$1:$A$1001,0),MATCH('Index&amp;Match'!N81,'Main Data'!$A81:$O81,0))</f>
        <v>Yes</v>
      </c>
      <c r="O82" s="2">
        <f>INDEX('Main Data'!$A$1:$O$1001,MATCH('Index&amp;Match'!$A82,'Main Data'!$A$1:$A$1001,0),MATCH('Index&amp;Match'!O81,'Main Data'!$A81:$O81,0))</f>
        <v>2</v>
      </c>
    </row>
    <row r="83" spans="1:15" x14ac:dyDescent="0.3">
      <c r="A83" s="2" t="s">
        <v>140</v>
      </c>
      <c r="B83" s="1">
        <f>INDEX('Main Data'!$A$1:$O$1001,MATCH('Index&amp;Match'!$A83,'Main Data'!$A$1:$A$1001,0),MATCH('Index&amp;Match'!B82,'Main Data'!$A82:$O82,0))</f>
        <v>46179</v>
      </c>
      <c r="C83" s="2" t="str">
        <f>INDEX('Main Data'!$A$1:$O$1001,MATCH('Index&amp;Match'!$A83,'Main Data'!$A$1:$A$1001,0),MATCH('Index&amp;Match'!C82,'Main Data'!$A82:$O82,0))</f>
        <v>Morgan</v>
      </c>
      <c r="D83" s="2" t="str">
        <f>INDEX('Main Data'!$A$1:$O$1001,MATCH('Index&amp;Match'!$A83,'Main Data'!$A$1:$A$1001,0),MATCH('Index&amp;Match'!D82,'Main Data'!$A82:$O82,0))</f>
        <v>BR-001</v>
      </c>
      <c r="E83" s="2" t="str">
        <f>INDEX('Main Data'!$A$1:$O$1001,MATCH('Index&amp;Match'!$A83,'Main Data'!$A$1:$A$1001,0),MATCH('Index&amp;Match'!E82,'Main Data'!$A82:$O82,0))</f>
        <v>West</v>
      </c>
      <c r="F83" s="2" t="str">
        <f>INDEX('Main Data'!$A$1:$O$1001,MATCH('Index&amp;Match'!$A83,'Main Data'!$A$1:$A$1001,0),MATCH('Index&amp;Match'!F82,'Main Data'!$A82:$O82,0))</f>
        <v>Auto Loan</v>
      </c>
      <c r="G83" s="2" t="str">
        <f>INDEX('Main Data'!$A$1:$O$1001,MATCH('Index&amp;Match'!$A83,'Main Data'!$A$1:$A$1001,0),MATCH('Index&amp;Match'!G82,'Main Data'!$A82:$O82,0))</f>
        <v>Email Campaign</v>
      </c>
      <c r="H83" s="2" t="str">
        <f>INDEX('Main Data'!$A$1:$O$1001,MATCH('Index&amp;Match'!$A83,'Main Data'!$A$1:$A$1001,0),MATCH('Index&amp;Match'!H82,'Main Data'!$A82:$O82,0))</f>
        <v>Corporate</v>
      </c>
      <c r="I83" s="2">
        <f>INDEX('Main Data'!$A$1:$O$1001,MATCH('Index&amp;Match'!$A83,'Main Data'!$A$1:$A$1001,0),MATCH('Index&amp;Match'!I82,'Main Data'!$A82:$O82,0))</f>
        <v>53</v>
      </c>
      <c r="J83" s="2">
        <f>INDEX('Main Data'!$A$1:$O$1001,MATCH('Index&amp;Match'!$A83,'Main Data'!$A$1:$A$1001,0),MATCH('Index&amp;Match'!J82,'Main Data'!$A82:$O82,0))</f>
        <v>53</v>
      </c>
      <c r="K83" s="11">
        <f>INDEX('Main Data'!$A$1:$O$1001,MATCH('Index&amp;Match'!$A83,'Main Data'!$A$1:$A$1001,0),MATCH('Index&amp;Match'!K82,'Main Data'!$A82:$O82,0))</f>
        <v>9390.19</v>
      </c>
      <c r="L83" s="11">
        <f>INDEX('Main Data'!$A$1:$O$1001,MATCH('Index&amp;Match'!$A83,'Main Data'!$A$1:$A$1001,0),MATCH('Index&amp;Match'!L82,'Main Data'!$A82:$O82,0))</f>
        <v>360.31</v>
      </c>
      <c r="M83" s="11">
        <f>INDEX('Main Data'!$A$1:$O$1001,MATCH('Index&amp;Match'!$A83,'Main Data'!$A$1:$A$1001,0),MATCH('Index&amp;Match'!M82,'Main Data'!$A82:$O82,0))</f>
        <v>11.66</v>
      </c>
      <c r="N83" s="2" t="str">
        <f>INDEX('Main Data'!$A$1:$O$1001,MATCH('Index&amp;Match'!$A83,'Main Data'!$A$1:$A$1001,0),MATCH('Index&amp;Match'!N82,'Main Data'!$A82:$O82,0))</f>
        <v>Yes</v>
      </c>
      <c r="O83" s="2">
        <f>INDEX('Main Data'!$A$1:$O$1001,MATCH('Index&amp;Match'!$A83,'Main Data'!$A$1:$A$1001,0),MATCH('Index&amp;Match'!O82,'Main Data'!$A82:$O82,0))</f>
        <v>3</v>
      </c>
    </row>
    <row r="84" spans="1:15" x14ac:dyDescent="0.3">
      <c r="A84" s="2" t="s">
        <v>141</v>
      </c>
      <c r="B84" s="1">
        <f>INDEX('Main Data'!$A$1:$O$1001,MATCH('Index&amp;Match'!$A84,'Main Data'!$A$1:$A$1001,0),MATCH('Index&amp;Match'!B83,'Main Data'!$A83:$O83,0))</f>
        <v>46224</v>
      </c>
      <c r="C84" s="2" t="str">
        <f>INDEX('Main Data'!$A$1:$O$1001,MATCH('Index&amp;Match'!$A84,'Main Data'!$A$1:$A$1001,0),MATCH('Index&amp;Match'!C83,'Main Data'!$A83:$O83,0))</f>
        <v>Casey</v>
      </c>
      <c r="D84" s="2" t="str">
        <f>INDEX('Main Data'!$A$1:$O$1001,MATCH('Index&amp;Match'!$A84,'Main Data'!$A$1:$A$1001,0),MATCH('Index&amp;Match'!D83,'Main Data'!$A83:$O83,0))</f>
        <v>BR-001</v>
      </c>
      <c r="E84" s="2" t="str">
        <f>INDEX('Main Data'!$A$1:$O$1001,MATCH('Index&amp;Match'!$A84,'Main Data'!$A$1:$A$1001,0),MATCH('Index&amp;Match'!E83,'Main Data'!$A83:$O83,0))</f>
        <v>West</v>
      </c>
      <c r="F84" s="2" t="str">
        <f>INDEX('Main Data'!$A$1:$O$1001,MATCH('Index&amp;Match'!$A84,'Main Data'!$A$1:$A$1001,0),MATCH('Index&amp;Match'!F83,'Main Data'!$A83:$O83,0))</f>
        <v>Wealth Management</v>
      </c>
      <c r="G84" s="2" t="str">
        <f>INDEX('Main Data'!$A$1:$O$1001,MATCH('Index&amp;Match'!$A84,'Main Data'!$A$1:$A$1001,0),MATCH('Index&amp;Match'!G83,'Main Data'!$A83:$O83,0))</f>
        <v>Social Media</v>
      </c>
      <c r="H84" s="2" t="str">
        <f>INDEX('Main Data'!$A$1:$O$1001,MATCH('Index&amp;Match'!$A84,'Main Data'!$A$1:$A$1001,0),MATCH('Index&amp;Match'!H83,'Main Data'!$A83:$O83,0))</f>
        <v>SME</v>
      </c>
      <c r="I84" s="2">
        <f>INDEX('Main Data'!$A$1:$O$1001,MATCH('Index&amp;Match'!$A84,'Main Data'!$A$1:$A$1001,0),MATCH('Index&amp;Match'!I83,'Main Data'!$A83:$O83,0))</f>
        <v>38</v>
      </c>
      <c r="J84" s="2">
        <f>INDEX('Main Data'!$A$1:$O$1001,MATCH('Index&amp;Match'!$A84,'Main Data'!$A$1:$A$1001,0),MATCH('Index&amp;Match'!J83,'Main Data'!$A83:$O83,0))</f>
        <v>38</v>
      </c>
      <c r="K84" s="11">
        <f>INDEX('Main Data'!$A$1:$O$1001,MATCH('Index&amp;Match'!$A84,'Main Data'!$A$1:$A$1001,0),MATCH('Index&amp;Match'!K83,'Main Data'!$A83:$O83,0))</f>
        <v>14426.86</v>
      </c>
      <c r="L84" s="11">
        <f>INDEX('Main Data'!$A$1:$O$1001,MATCH('Index&amp;Match'!$A84,'Main Data'!$A$1:$A$1001,0),MATCH('Index&amp;Match'!L83,'Main Data'!$A83:$O83,0))</f>
        <v>444.79</v>
      </c>
      <c r="M84" s="11">
        <f>INDEX('Main Data'!$A$1:$O$1001,MATCH('Index&amp;Match'!$A84,'Main Data'!$A$1:$A$1001,0),MATCH('Index&amp;Match'!M83,'Main Data'!$A83:$O83,0))</f>
        <v>184.23</v>
      </c>
      <c r="N84" s="2" t="str">
        <f>INDEX('Main Data'!$A$1:$O$1001,MATCH('Index&amp;Match'!$A84,'Main Data'!$A$1:$A$1001,0),MATCH('Index&amp;Match'!N83,'Main Data'!$A83:$O83,0))</f>
        <v>No</v>
      </c>
      <c r="O84" s="2">
        <f>INDEX('Main Data'!$A$1:$O$1001,MATCH('Index&amp;Match'!$A84,'Main Data'!$A$1:$A$1001,0),MATCH('Index&amp;Match'!O83,'Main Data'!$A83:$O83,0))</f>
        <v>5</v>
      </c>
    </row>
    <row r="85" spans="1:15" x14ac:dyDescent="0.3">
      <c r="A85" s="2" t="s">
        <v>142</v>
      </c>
      <c r="B85" s="1">
        <f>INDEX('Main Data'!$A$1:$O$1001,MATCH('Index&amp;Match'!$A85,'Main Data'!$A$1:$A$1001,0),MATCH('Index&amp;Match'!B84,'Main Data'!$A84:$O84,0))</f>
        <v>46131</v>
      </c>
      <c r="C85" s="2" t="str">
        <f>INDEX('Main Data'!$A$1:$O$1001,MATCH('Index&amp;Match'!$A85,'Main Data'!$A$1:$A$1001,0),MATCH('Index&amp;Match'!C84,'Main Data'!$A84:$O84,0))</f>
        <v>Drew</v>
      </c>
      <c r="D85" s="2" t="str">
        <f>INDEX('Main Data'!$A$1:$O$1001,MATCH('Index&amp;Match'!$A85,'Main Data'!$A$1:$A$1001,0),MATCH('Index&amp;Match'!D84,'Main Data'!$A84:$O84,0))</f>
        <v>BR-008</v>
      </c>
      <c r="E85" s="2" t="str">
        <f>INDEX('Main Data'!$A$1:$O$1001,MATCH('Index&amp;Match'!$A85,'Main Data'!$A$1:$A$1001,0),MATCH('Index&amp;Match'!E84,'Main Data'!$A84:$O84,0))</f>
        <v>East</v>
      </c>
      <c r="F85" s="2" t="str">
        <f>INDEX('Main Data'!$A$1:$O$1001,MATCH('Index&amp;Match'!$A85,'Main Data'!$A$1:$A$1001,0),MATCH('Index&amp;Match'!F84,'Main Data'!$A84:$O84,0))</f>
        <v>Mortgage</v>
      </c>
      <c r="G85" s="2" t="str">
        <f>INDEX('Main Data'!$A$1:$O$1001,MATCH('Index&amp;Match'!$A85,'Main Data'!$A$1:$A$1001,0),MATCH('Index&amp;Match'!G84,'Main Data'!$A84:$O84,0))</f>
        <v>Social Media</v>
      </c>
      <c r="H85" s="2" t="str">
        <f>INDEX('Main Data'!$A$1:$O$1001,MATCH('Index&amp;Match'!$A85,'Main Data'!$A$1:$A$1001,0),MATCH('Index&amp;Match'!H84,'Main Data'!$A84:$O84,0))</f>
        <v>High Net Worth</v>
      </c>
      <c r="I85" s="2">
        <f>INDEX('Main Data'!$A$1:$O$1001,MATCH('Index&amp;Match'!$A85,'Main Data'!$A$1:$A$1001,0),MATCH('Index&amp;Match'!I84,'Main Data'!$A84:$O84,0))</f>
        <v>69</v>
      </c>
      <c r="J85" s="2">
        <f>INDEX('Main Data'!$A$1:$O$1001,MATCH('Index&amp;Match'!$A85,'Main Data'!$A$1:$A$1001,0),MATCH('Index&amp;Match'!J84,'Main Data'!$A84:$O84,0))</f>
        <v>69</v>
      </c>
      <c r="K85" s="11">
        <f>INDEX('Main Data'!$A$1:$O$1001,MATCH('Index&amp;Match'!$A85,'Main Data'!$A$1:$A$1001,0),MATCH('Index&amp;Match'!K84,'Main Data'!$A84:$O84,0))</f>
        <v>23149.98</v>
      </c>
      <c r="L85" s="11">
        <f>INDEX('Main Data'!$A$1:$O$1001,MATCH('Index&amp;Match'!$A85,'Main Data'!$A$1:$A$1001,0),MATCH('Index&amp;Match'!L84,'Main Data'!$A84:$O84,0))</f>
        <v>180.66</v>
      </c>
      <c r="M85" s="11">
        <f>INDEX('Main Data'!$A$1:$O$1001,MATCH('Index&amp;Match'!$A85,'Main Data'!$A$1:$A$1001,0),MATCH('Index&amp;Match'!M84,'Main Data'!$A84:$O84,0))</f>
        <v>262.32</v>
      </c>
      <c r="N85" s="2" t="str">
        <f>INDEX('Main Data'!$A$1:$O$1001,MATCH('Index&amp;Match'!$A85,'Main Data'!$A$1:$A$1001,0),MATCH('Index&amp;Match'!N84,'Main Data'!$A84:$O84,0))</f>
        <v>Yes</v>
      </c>
      <c r="O85" s="2">
        <f>INDEX('Main Data'!$A$1:$O$1001,MATCH('Index&amp;Match'!$A85,'Main Data'!$A$1:$A$1001,0),MATCH('Index&amp;Match'!O84,'Main Data'!$A84:$O84,0))</f>
        <v>4</v>
      </c>
    </row>
    <row r="86" spans="1:15" x14ac:dyDescent="0.3">
      <c r="A86" s="2" t="s">
        <v>143</v>
      </c>
      <c r="B86" s="1">
        <f>INDEX('Main Data'!$A$1:$O$1001,MATCH('Index&amp;Match'!$A86,'Main Data'!$A$1:$A$1001,0),MATCH('Index&amp;Match'!B85,'Main Data'!$A85:$O85,0))</f>
        <v>46072</v>
      </c>
      <c r="C86" s="2" t="str">
        <f>INDEX('Main Data'!$A$1:$O$1001,MATCH('Index&amp;Match'!$A86,'Main Data'!$A$1:$A$1001,0),MATCH('Index&amp;Match'!C85,'Main Data'!$A85:$O85,0))</f>
        <v>Jamie</v>
      </c>
      <c r="D86" s="2" t="str">
        <f>INDEX('Main Data'!$A$1:$O$1001,MATCH('Index&amp;Match'!$A86,'Main Data'!$A$1:$A$1001,0),MATCH('Index&amp;Match'!D85,'Main Data'!$A85:$O85,0))</f>
        <v>BR-002</v>
      </c>
      <c r="E86" s="2" t="str">
        <f>INDEX('Main Data'!$A$1:$O$1001,MATCH('Index&amp;Match'!$A86,'Main Data'!$A$1:$A$1001,0),MATCH('Index&amp;Match'!E85,'Main Data'!$A85:$O85,0))</f>
        <v>West</v>
      </c>
      <c r="F86" s="2" t="str">
        <f>INDEX('Main Data'!$A$1:$O$1001,MATCH('Index&amp;Match'!$A86,'Main Data'!$A$1:$A$1001,0),MATCH('Index&amp;Match'!F85,'Main Data'!$A85:$O85,0))</f>
        <v>Wealth Management</v>
      </c>
      <c r="G86" s="2" t="str">
        <f>INDEX('Main Data'!$A$1:$O$1001,MATCH('Index&amp;Match'!$A86,'Main Data'!$A$1:$A$1001,0),MATCH('Index&amp;Match'!G85,'Main Data'!$A85:$O85,0))</f>
        <v>Social Media</v>
      </c>
      <c r="H86" s="2" t="str">
        <f>INDEX('Main Data'!$A$1:$O$1001,MATCH('Index&amp;Match'!$A86,'Main Data'!$A$1:$A$1001,0),MATCH('Index&amp;Match'!H85,'Main Data'!$A85:$O85,0))</f>
        <v>SME</v>
      </c>
      <c r="I86" s="2">
        <f>INDEX('Main Data'!$A$1:$O$1001,MATCH('Index&amp;Match'!$A86,'Main Data'!$A$1:$A$1001,0),MATCH('Index&amp;Match'!I85,'Main Data'!$A85:$O85,0))</f>
        <v>61</v>
      </c>
      <c r="J86" s="2">
        <f>INDEX('Main Data'!$A$1:$O$1001,MATCH('Index&amp;Match'!$A86,'Main Data'!$A$1:$A$1001,0),MATCH('Index&amp;Match'!J85,'Main Data'!$A85:$O85,0))</f>
        <v>61</v>
      </c>
      <c r="K86" s="11">
        <f>INDEX('Main Data'!$A$1:$O$1001,MATCH('Index&amp;Match'!$A86,'Main Data'!$A$1:$A$1001,0),MATCH('Index&amp;Match'!K85,'Main Data'!$A85:$O85,0))</f>
        <v>24031.599999999999</v>
      </c>
      <c r="L86" s="11">
        <f>INDEX('Main Data'!$A$1:$O$1001,MATCH('Index&amp;Match'!$A86,'Main Data'!$A$1:$A$1001,0),MATCH('Index&amp;Match'!L85,'Main Data'!$A85:$O85,0))</f>
        <v>86.9</v>
      </c>
      <c r="M86" s="11">
        <f>INDEX('Main Data'!$A$1:$O$1001,MATCH('Index&amp;Match'!$A86,'Main Data'!$A$1:$A$1001,0),MATCH('Index&amp;Match'!M85,'Main Data'!$A85:$O85,0))</f>
        <v>114.22</v>
      </c>
      <c r="N86" s="2" t="str">
        <f>INDEX('Main Data'!$A$1:$O$1001,MATCH('Index&amp;Match'!$A86,'Main Data'!$A$1:$A$1001,0),MATCH('Index&amp;Match'!N85,'Main Data'!$A85:$O85,0))</f>
        <v>No</v>
      </c>
      <c r="O86" s="2">
        <f>INDEX('Main Data'!$A$1:$O$1001,MATCH('Index&amp;Match'!$A86,'Main Data'!$A$1:$A$1001,0),MATCH('Index&amp;Match'!O85,'Main Data'!$A85:$O85,0))</f>
        <v>2</v>
      </c>
    </row>
    <row r="87" spans="1:15" x14ac:dyDescent="0.3">
      <c r="A87" s="2" t="s">
        <v>144</v>
      </c>
      <c r="B87" s="1">
        <f>INDEX('Main Data'!$A$1:$O$1001,MATCH('Index&amp;Match'!$A87,'Main Data'!$A$1:$A$1001,0),MATCH('Index&amp;Match'!B86,'Main Data'!$A86:$O86,0))</f>
        <v>46120</v>
      </c>
      <c r="C87" s="2" t="str">
        <f>INDEX('Main Data'!$A$1:$O$1001,MATCH('Index&amp;Match'!$A87,'Main Data'!$A$1:$A$1001,0),MATCH('Index&amp;Match'!C86,'Main Data'!$A86:$O86,0))</f>
        <v>Taylor</v>
      </c>
      <c r="D87" s="2" t="str">
        <f>INDEX('Main Data'!$A$1:$O$1001,MATCH('Index&amp;Match'!$A87,'Main Data'!$A$1:$A$1001,0),MATCH('Index&amp;Match'!D86,'Main Data'!$A86:$O86,0))</f>
        <v>BR-012</v>
      </c>
      <c r="E87" s="2" t="str">
        <f>INDEX('Main Data'!$A$1:$O$1001,MATCH('Index&amp;Match'!$A87,'Main Data'!$A$1:$A$1001,0),MATCH('Index&amp;Match'!E86,'Main Data'!$A86:$O86,0))</f>
        <v>Central</v>
      </c>
      <c r="F87" s="2" t="str">
        <f>INDEX('Main Data'!$A$1:$O$1001,MATCH('Index&amp;Match'!$A87,'Main Data'!$A$1:$A$1001,0),MATCH('Index&amp;Match'!F86,'Main Data'!$A86:$O86,0))</f>
        <v>Wealth Management</v>
      </c>
      <c r="G87" s="2" t="str">
        <f>INDEX('Main Data'!$A$1:$O$1001,MATCH('Index&amp;Match'!$A87,'Main Data'!$A$1:$A$1001,0),MATCH('Index&amp;Match'!G86,'Main Data'!$A86:$O86,0))</f>
        <v>Website</v>
      </c>
      <c r="H87" s="2" t="str">
        <f>INDEX('Main Data'!$A$1:$O$1001,MATCH('Index&amp;Match'!$A87,'Main Data'!$A$1:$A$1001,0),MATCH('Index&amp;Match'!H86,'Main Data'!$A86:$O86,0))</f>
        <v>Retail</v>
      </c>
      <c r="I87" s="2">
        <f>INDEX('Main Data'!$A$1:$O$1001,MATCH('Index&amp;Match'!$A87,'Main Data'!$A$1:$A$1001,0),MATCH('Index&amp;Match'!I86,'Main Data'!$A86:$O86,0))</f>
        <v>29</v>
      </c>
      <c r="J87" s="2">
        <f>INDEX('Main Data'!$A$1:$O$1001,MATCH('Index&amp;Match'!$A87,'Main Data'!$A$1:$A$1001,0),MATCH('Index&amp;Match'!J86,'Main Data'!$A86:$O86,0))</f>
        <v>29</v>
      </c>
      <c r="K87" s="11">
        <f>INDEX('Main Data'!$A$1:$O$1001,MATCH('Index&amp;Match'!$A87,'Main Data'!$A$1:$A$1001,0),MATCH('Index&amp;Match'!K86,'Main Data'!$A86:$O86,0))</f>
        <v>39258.51</v>
      </c>
      <c r="L87" s="11">
        <f>INDEX('Main Data'!$A$1:$O$1001,MATCH('Index&amp;Match'!$A87,'Main Data'!$A$1:$A$1001,0),MATCH('Index&amp;Match'!L86,'Main Data'!$A86:$O86,0))</f>
        <v>184.32</v>
      </c>
      <c r="M87" s="11">
        <f>INDEX('Main Data'!$A$1:$O$1001,MATCH('Index&amp;Match'!$A87,'Main Data'!$A$1:$A$1001,0),MATCH('Index&amp;Match'!M86,'Main Data'!$A86:$O86,0))</f>
        <v>1.8</v>
      </c>
      <c r="N87" s="2" t="str">
        <f>INDEX('Main Data'!$A$1:$O$1001,MATCH('Index&amp;Match'!$A87,'Main Data'!$A$1:$A$1001,0),MATCH('Index&amp;Match'!N86,'Main Data'!$A86:$O86,0))</f>
        <v>No</v>
      </c>
      <c r="O87" s="2">
        <f>INDEX('Main Data'!$A$1:$O$1001,MATCH('Index&amp;Match'!$A87,'Main Data'!$A$1:$A$1001,0),MATCH('Index&amp;Match'!O86,'Main Data'!$A86:$O86,0))</f>
        <v>5</v>
      </c>
    </row>
    <row r="88" spans="1:15" x14ac:dyDescent="0.3">
      <c r="A88" s="2" t="s">
        <v>145</v>
      </c>
      <c r="B88" s="1">
        <f>INDEX('Main Data'!$A$1:$O$1001,MATCH('Index&amp;Match'!$A88,'Main Data'!$A$1:$A$1001,0),MATCH('Index&amp;Match'!B87,'Main Data'!$A87:$O87,0))</f>
        <v>46127</v>
      </c>
      <c r="C88" s="2" t="str">
        <f>INDEX('Main Data'!$A$1:$O$1001,MATCH('Index&amp;Match'!$A88,'Main Data'!$A$1:$A$1001,0),MATCH('Index&amp;Match'!C87,'Main Data'!$A87:$O87,0))</f>
        <v>Sam</v>
      </c>
      <c r="D88" s="2" t="str">
        <f>INDEX('Main Data'!$A$1:$O$1001,MATCH('Index&amp;Match'!$A88,'Main Data'!$A$1:$A$1001,0),MATCH('Index&amp;Match'!D87,'Main Data'!$A87:$O87,0))</f>
        <v>BR-015</v>
      </c>
      <c r="E88" s="2" t="str">
        <f>INDEX('Main Data'!$A$1:$O$1001,MATCH('Index&amp;Match'!$A88,'Main Data'!$A$1:$A$1001,0),MATCH('Index&amp;Match'!E87,'Main Data'!$A87:$O87,0))</f>
        <v>Central</v>
      </c>
      <c r="F88" s="2" t="str">
        <f>INDEX('Main Data'!$A$1:$O$1001,MATCH('Index&amp;Match'!$A88,'Main Data'!$A$1:$A$1001,0),MATCH('Index&amp;Match'!F87,'Main Data'!$A87:$O87,0))</f>
        <v>Credit Card</v>
      </c>
      <c r="G88" s="2" t="str">
        <f>INDEX('Main Data'!$A$1:$O$1001,MATCH('Index&amp;Match'!$A88,'Main Data'!$A$1:$A$1001,0),MATCH('Index&amp;Match'!G87,'Main Data'!$A87:$O87,0))</f>
        <v>Walk-in</v>
      </c>
      <c r="H88" s="2" t="str">
        <f>INDEX('Main Data'!$A$1:$O$1001,MATCH('Index&amp;Match'!$A88,'Main Data'!$A$1:$A$1001,0),MATCH('Index&amp;Match'!H87,'Main Data'!$A87:$O87,0))</f>
        <v>High Net Worth</v>
      </c>
      <c r="I88" s="2">
        <f>INDEX('Main Data'!$A$1:$O$1001,MATCH('Index&amp;Match'!$A88,'Main Data'!$A$1:$A$1001,0),MATCH('Index&amp;Match'!I87,'Main Data'!$A87:$O87,0))</f>
        <v>43</v>
      </c>
      <c r="J88" s="2">
        <f>INDEX('Main Data'!$A$1:$O$1001,MATCH('Index&amp;Match'!$A88,'Main Data'!$A$1:$A$1001,0),MATCH('Index&amp;Match'!J87,'Main Data'!$A87:$O87,0))</f>
        <v>43</v>
      </c>
      <c r="K88" s="11">
        <f>INDEX('Main Data'!$A$1:$O$1001,MATCH('Index&amp;Match'!$A88,'Main Data'!$A$1:$A$1001,0),MATCH('Index&amp;Match'!K87,'Main Data'!$A87:$O87,0))</f>
        <v>37632.58</v>
      </c>
      <c r="L88" s="11">
        <f>INDEX('Main Data'!$A$1:$O$1001,MATCH('Index&amp;Match'!$A88,'Main Data'!$A$1:$A$1001,0),MATCH('Index&amp;Match'!L87,'Main Data'!$A87:$O87,0))</f>
        <v>352.56</v>
      </c>
      <c r="M88" s="11">
        <f>INDEX('Main Data'!$A$1:$O$1001,MATCH('Index&amp;Match'!$A88,'Main Data'!$A$1:$A$1001,0),MATCH('Index&amp;Match'!M87,'Main Data'!$A87:$O87,0))</f>
        <v>77.34</v>
      </c>
      <c r="N88" s="2" t="str">
        <f>INDEX('Main Data'!$A$1:$O$1001,MATCH('Index&amp;Match'!$A88,'Main Data'!$A$1:$A$1001,0),MATCH('Index&amp;Match'!N87,'Main Data'!$A87:$O87,0))</f>
        <v>Yes</v>
      </c>
      <c r="O88" s="2">
        <f>INDEX('Main Data'!$A$1:$O$1001,MATCH('Index&amp;Match'!$A88,'Main Data'!$A$1:$A$1001,0),MATCH('Index&amp;Match'!O87,'Main Data'!$A87:$O87,0))</f>
        <v>4</v>
      </c>
    </row>
    <row r="89" spans="1:15" x14ac:dyDescent="0.3">
      <c r="A89" s="2" t="s">
        <v>146</v>
      </c>
      <c r="B89" s="1">
        <f>INDEX('Main Data'!$A$1:$O$1001,MATCH('Index&amp;Match'!$A89,'Main Data'!$A$1:$A$1001,0),MATCH('Index&amp;Match'!B88,'Main Data'!$A88:$O88,0))</f>
        <v>45953</v>
      </c>
      <c r="C89" s="2" t="str">
        <f>INDEX('Main Data'!$A$1:$O$1001,MATCH('Index&amp;Match'!$A89,'Main Data'!$A$1:$A$1001,0),MATCH('Index&amp;Match'!C88,'Main Data'!$A88:$O88,0))</f>
        <v>Alex</v>
      </c>
      <c r="D89" s="2" t="str">
        <f>INDEX('Main Data'!$A$1:$O$1001,MATCH('Index&amp;Match'!$A89,'Main Data'!$A$1:$A$1001,0),MATCH('Index&amp;Match'!D88,'Main Data'!$A88:$O88,0))</f>
        <v>BR-008</v>
      </c>
      <c r="E89" s="2" t="str">
        <f>INDEX('Main Data'!$A$1:$O$1001,MATCH('Index&amp;Match'!$A89,'Main Data'!$A$1:$A$1001,0),MATCH('Index&amp;Match'!E88,'Main Data'!$A88:$O88,0))</f>
        <v>East</v>
      </c>
      <c r="F89" s="2" t="str">
        <f>INDEX('Main Data'!$A$1:$O$1001,MATCH('Index&amp;Match'!$A89,'Main Data'!$A$1:$A$1001,0),MATCH('Index&amp;Match'!F88,'Main Data'!$A88:$O88,0))</f>
        <v>Mortgage</v>
      </c>
      <c r="G89" s="2" t="str">
        <f>INDEX('Main Data'!$A$1:$O$1001,MATCH('Index&amp;Match'!$A89,'Main Data'!$A$1:$A$1001,0),MATCH('Index&amp;Match'!G88,'Main Data'!$A88:$O88,0))</f>
        <v>Email Campaign</v>
      </c>
      <c r="H89" s="2" t="str">
        <f>INDEX('Main Data'!$A$1:$O$1001,MATCH('Index&amp;Match'!$A89,'Main Data'!$A$1:$A$1001,0),MATCH('Index&amp;Match'!H88,'Main Data'!$A88:$O88,0))</f>
        <v>High Net Worth</v>
      </c>
      <c r="I89" s="2">
        <f>INDEX('Main Data'!$A$1:$O$1001,MATCH('Index&amp;Match'!$A89,'Main Data'!$A$1:$A$1001,0),MATCH('Index&amp;Match'!I88,'Main Data'!$A88:$O88,0))</f>
        <v>30</v>
      </c>
      <c r="J89" s="2">
        <f>INDEX('Main Data'!$A$1:$O$1001,MATCH('Index&amp;Match'!$A89,'Main Data'!$A$1:$A$1001,0),MATCH('Index&amp;Match'!J88,'Main Data'!$A88:$O88,0))</f>
        <v>30</v>
      </c>
      <c r="K89" s="11">
        <f>INDEX('Main Data'!$A$1:$O$1001,MATCH('Index&amp;Match'!$A89,'Main Data'!$A$1:$A$1001,0),MATCH('Index&amp;Match'!K88,'Main Data'!$A88:$O88,0))</f>
        <v>23112.48</v>
      </c>
      <c r="L89" s="11">
        <f>INDEX('Main Data'!$A$1:$O$1001,MATCH('Index&amp;Match'!$A89,'Main Data'!$A$1:$A$1001,0),MATCH('Index&amp;Match'!L88,'Main Data'!$A88:$O88,0))</f>
        <v>197.94</v>
      </c>
      <c r="M89" s="11">
        <f>INDEX('Main Data'!$A$1:$O$1001,MATCH('Index&amp;Match'!$A89,'Main Data'!$A$1:$A$1001,0),MATCH('Index&amp;Match'!M88,'Main Data'!$A88:$O88,0))</f>
        <v>122.04</v>
      </c>
      <c r="N89" s="2" t="str">
        <f>INDEX('Main Data'!$A$1:$O$1001,MATCH('Index&amp;Match'!$A89,'Main Data'!$A$1:$A$1001,0),MATCH('Index&amp;Match'!N88,'Main Data'!$A88:$O88,0))</f>
        <v>No</v>
      </c>
      <c r="O89" s="2">
        <f>INDEX('Main Data'!$A$1:$O$1001,MATCH('Index&amp;Match'!$A89,'Main Data'!$A$1:$A$1001,0),MATCH('Index&amp;Match'!O88,'Main Data'!$A88:$O88,0))</f>
        <v>3</v>
      </c>
    </row>
    <row r="90" spans="1:15" x14ac:dyDescent="0.3">
      <c r="A90" s="2" t="s">
        <v>147</v>
      </c>
      <c r="B90" s="1">
        <f>INDEX('Main Data'!$A$1:$O$1001,MATCH('Index&amp;Match'!$A90,'Main Data'!$A$1:$A$1001,0),MATCH('Index&amp;Match'!B89,'Main Data'!$A89:$O89,0))</f>
        <v>46154</v>
      </c>
      <c r="C90" s="2" t="str">
        <f>INDEX('Main Data'!$A$1:$O$1001,MATCH('Index&amp;Match'!$A90,'Main Data'!$A$1:$A$1001,0),MATCH('Index&amp;Match'!C89,'Main Data'!$A89:$O89,0))</f>
        <v>Morgan</v>
      </c>
      <c r="D90" s="2" t="str">
        <f>INDEX('Main Data'!$A$1:$O$1001,MATCH('Index&amp;Match'!$A90,'Main Data'!$A$1:$A$1001,0),MATCH('Index&amp;Match'!D89,'Main Data'!$A89:$O89,0))</f>
        <v>BR-007</v>
      </c>
      <c r="E90" s="2" t="str">
        <f>INDEX('Main Data'!$A$1:$O$1001,MATCH('Index&amp;Match'!$A90,'Main Data'!$A$1:$A$1001,0),MATCH('Index&amp;Match'!E89,'Main Data'!$A89:$O89,0))</f>
        <v>Central</v>
      </c>
      <c r="F90" s="2" t="str">
        <f>INDEX('Main Data'!$A$1:$O$1001,MATCH('Index&amp;Match'!$A90,'Main Data'!$A$1:$A$1001,0),MATCH('Index&amp;Match'!F89,'Main Data'!$A89:$O89,0))</f>
        <v>Mortgage</v>
      </c>
      <c r="G90" s="2" t="str">
        <f>INDEX('Main Data'!$A$1:$O$1001,MATCH('Index&amp;Match'!$A90,'Main Data'!$A$1:$A$1001,0),MATCH('Index&amp;Match'!G89,'Main Data'!$A89:$O89,0))</f>
        <v>Website</v>
      </c>
      <c r="H90" s="2" t="str">
        <f>INDEX('Main Data'!$A$1:$O$1001,MATCH('Index&amp;Match'!$A90,'Main Data'!$A$1:$A$1001,0),MATCH('Index&amp;Match'!H89,'Main Data'!$A89:$O89,0))</f>
        <v>High Net Worth</v>
      </c>
      <c r="I90" s="2">
        <f>INDEX('Main Data'!$A$1:$O$1001,MATCH('Index&amp;Match'!$A90,'Main Data'!$A$1:$A$1001,0),MATCH('Index&amp;Match'!I89,'Main Data'!$A89:$O89,0))</f>
        <v>39</v>
      </c>
      <c r="J90" s="2">
        <f>INDEX('Main Data'!$A$1:$O$1001,MATCH('Index&amp;Match'!$A90,'Main Data'!$A$1:$A$1001,0),MATCH('Index&amp;Match'!J89,'Main Data'!$A89:$O89,0))</f>
        <v>39</v>
      </c>
      <c r="K90" s="11">
        <f>INDEX('Main Data'!$A$1:$O$1001,MATCH('Index&amp;Match'!$A90,'Main Data'!$A$1:$A$1001,0),MATCH('Index&amp;Match'!K89,'Main Data'!$A89:$O89,0))</f>
        <v>42360.53</v>
      </c>
      <c r="L90" s="11">
        <f>INDEX('Main Data'!$A$1:$O$1001,MATCH('Index&amp;Match'!$A90,'Main Data'!$A$1:$A$1001,0),MATCH('Index&amp;Match'!L89,'Main Data'!$A89:$O89,0))</f>
        <v>175.15</v>
      </c>
      <c r="M90" s="11">
        <f>INDEX('Main Data'!$A$1:$O$1001,MATCH('Index&amp;Match'!$A90,'Main Data'!$A$1:$A$1001,0),MATCH('Index&amp;Match'!M89,'Main Data'!$A89:$O89,0))</f>
        <v>138.02000000000001</v>
      </c>
      <c r="N90" s="2" t="str">
        <f>INDEX('Main Data'!$A$1:$O$1001,MATCH('Index&amp;Match'!$A90,'Main Data'!$A$1:$A$1001,0),MATCH('Index&amp;Match'!N89,'Main Data'!$A89:$O89,0))</f>
        <v>No</v>
      </c>
      <c r="O90" s="2">
        <f>INDEX('Main Data'!$A$1:$O$1001,MATCH('Index&amp;Match'!$A90,'Main Data'!$A$1:$A$1001,0),MATCH('Index&amp;Match'!O89,'Main Data'!$A89:$O89,0))</f>
        <v>1</v>
      </c>
    </row>
    <row r="91" spans="1:15" x14ac:dyDescent="0.3">
      <c r="A91" s="2" t="s">
        <v>148</v>
      </c>
      <c r="B91" s="1">
        <f>INDEX('Main Data'!$A$1:$O$1001,MATCH('Index&amp;Match'!$A91,'Main Data'!$A$1:$A$1001,0),MATCH('Index&amp;Match'!B90,'Main Data'!$A90:$O90,0))</f>
        <v>45958</v>
      </c>
      <c r="C91" s="2" t="str">
        <f>INDEX('Main Data'!$A$1:$O$1001,MATCH('Index&amp;Match'!$A91,'Main Data'!$A$1:$A$1001,0),MATCH('Index&amp;Match'!C90,'Main Data'!$A90:$O90,0))</f>
        <v>Jordan</v>
      </c>
      <c r="D91" s="2" t="str">
        <f>INDEX('Main Data'!$A$1:$O$1001,MATCH('Index&amp;Match'!$A91,'Main Data'!$A$1:$A$1001,0),MATCH('Index&amp;Match'!D90,'Main Data'!$A90:$O90,0))</f>
        <v>BR-010</v>
      </c>
      <c r="E91" s="2" t="str">
        <f>INDEX('Main Data'!$A$1:$O$1001,MATCH('Index&amp;Match'!$A91,'Main Data'!$A$1:$A$1001,0),MATCH('Index&amp;Match'!E90,'Main Data'!$A90:$O90,0))</f>
        <v>South</v>
      </c>
      <c r="F91" s="2" t="str">
        <f>INDEX('Main Data'!$A$1:$O$1001,MATCH('Index&amp;Match'!$A91,'Main Data'!$A$1:$A$1001,0),MATCH('Index&amp;Match'!F90,'Main Data'!$A90:$O90,0))</f>
        <v>Wealth Management</v>
      </c>
      <c r="G91" s="2" t="str">
        <f>INDEX('Main Data'!$A$1:$O$1001,MATCH('Index&amp;Match'!$A91,'Main Data'!$A$1:$A$1001,0),MATCH('Index&amp;Match'!G90,'Main Data'!$A90:$O90,0))</f>
        <v>Referral</v>
      </c>
      <c r="H91" s="2" t="str">
        <f>INDEX('Main Data'!$A$1:$O$1001,MATCH('Index&amp;Match'!$A91,'Main Data'!$A$1:$A$1001,0),MATCH('Index&amp;Match'!H90,'Main Data'!$A90:$O90,0))</f>
        <v>Corporate</v>
      </c>
      <c r="I91" s="2">
        <f>INDEX('Main Data'!$A$1:$O$1001,MATCH('Index&amp;Match'!$A91,'Main Data'!$A$1:$A$1001,0),MATCH('Index&amp;Match'!I90,'Main Data'!$A90:$O90,0))</f>
        <v>67</v>
      </c>
      <c r="J91" s="2">
        <f>INDEX('Main Data'!$A$1:$O$1001,MATCH('Index&amp;Match'!$A91,'Main Data'!$A$1:$A$1001,0),MATCH('Index&amp;Match'!J90,'Main Data'!$A90:$O90,0))</f>
        <v>67</v>
      </c>
      <c r="K91" s="11">
        <f>INDEX('Main Data'!$A$1:$O$1001,MATCH('Index&amp;Match'!$A91,'Main Data'!$A$1:$A$1001,0),MATCH('Index&amp;Match'!K90,'Main Data'!$A90:$O90,0))</f>
        <v>6154.74</v>
      </c>
      <c r="L91" s="11">
        <f>INDEX('Main Data'!$A$1:$O$1001,MATCH('Index&amp;Match'!$A91,'Main Data'!$A$1:$A$1001,0),MATCH('Index&amp;Match'!L90,'Main Data'!$A90:$O90,0))</f>
        <v>133</v>
      </c>
      <c r="M91" s="11">
        <f>INDEX('Main Data'!$A$1:$O$1001,MATCH('Index&amp;Match'!$A91,'Main Data'!$A$1:$A$1001,0),MATCH('Index&amp;Match'!M90,'Main Data'!$A90:$O90,0))</f>
        <v>59.54</v>
      </c>
      <c r="N91" s="2" t="str">
        <f>INDEX('Main Data'!$A$1:$O$1001,MATCH('Index&amp;Match'!$A91,'Main Data'!$A$1:$A$1001,0),MATCH('Index&amp;Match'!N90,'Main Data'!$A90:$O90,0))</f>
        <v>No</v>
      </c>
      <c r="O91" s="2">
        <f>INDEX('Main Data'!$A$1:$O$1001,MATCH('Index&amp;Match'!$A91,'Main Data'!$A$1:$A$1001,0),MATCH('Index&amp;Match'!O90,'Main Data'!$A90:$O90,0))</f>
        <v>2</v>
      </c>
    </row>
    <row r="92" spans="1:15" x14ac:dyDescent="0.3">
      <c r="A92" s="2" t="s">
        <v>149</v>
      </c>
      <c r="B92" s="1">
        <f>INDEX('Main Data'!$A$1:$O$1001,MATCH('Index&amp;Match'!$A92,'Main Data'!$A$1:$A$1001,0),MATCH('Index&amp;Match'!B91,'Main Data'!$A91:$O91,0))</f>
        <v>45956</v>
      </c>
      <c r="C92" s="2" t="str">
        <f>INDEX('Main Data'!$A$1:$O$1001,MATCH('Index&amp;Match'!$A92,'Main Data'!$A$1:$A$1001,0),MATCH('Index&amp;Match'!C91,'Main Data'!$A91:$O91,0))</f>
        <v>Drew</v>
      </c>
      <c r="D92" s="2" t="str">
        <f>INDEX('Main Data'!$A$1:$O$1001,MATCH('Index&amp;Match'!$A92,'Main Data'!$A$1:$A$1001,0),MATCH('Index&amp;Match'!D91,'Main Data'!$A91:$O91,0))</f>
        <v>BR-010</v>
      </c>
      <c r="E92" s="2" t="str">
        <f>INDEX('Main Data'!$A$1:$O$1001,MATCH('Index&amp;Match'!$A92,'Main Data'!$A$1:$A$1001,0),MATCH('Index&amp;Match'!E91,'Main Data'!$A91:$O91,0))</f>
        <v>East</v>
      </c>
      <c r="F92" s="2" t="str">
        <f>INDEX('Main Data'!$A$1:$O$1001,MATCH('Index&amp;Match'!$A92,'Main Data'!$A$1:$A$1001,0),MATCH('Index&amp;Match'!F91,'Main Data'!$A91:$O91,0))</f>
        <v>Auto Loan</v>
      </c>
      <c r="G92" s="2" t="str">
        <f>INDEX('Main Data'!$A$1:$O$1001,MATCH('Index&amp;Match'!$A92,'Main Data'!$A$1:$A$1001,0),MATCH('Index&amp;Match'!G91,'Main Data'!$A91:$O91,0))</f>
        <v>Email Campaign</v>
      </c>
      <c r="H92" s="2" t="str">
        <f>INDEX('Main Data'!$A$1:$O$1001,MATCH('Index&amp;Match'!$A92,'Main Data'!$A$1:$A$1001,0),MATCH('Index&amp;Match'!H91,'Main Data'!$A91:$O91,0))</f>
        <v>Corporate</v>
      </c>
      <c r="I92" s="2">
        <f>INDEX('Main Data'!$A$1:$O$1001,MATCH('Index&amp;Match'!$A92,'Main Data'!$A$1:$A$1001,0),MATCH('Index&amp;Match'!I91,'Main Data'!$A91:$O91,0))</f>
        <v>25</v>
      </c>
      <c r="J92" s="2">
        <f>INDEX('Main Data'!$A$1:$O$1001,MATCH('Index&amp;Match'!$A92,'Main Data'!$A$1:$A$1001,0),MATCH('Index&amp;Match'!J91,'Main Data'!$A91:$O91,0))</f>
        <v>25</v>
      </c>
      <c r="K92" s="11">
        <f>INDEX('Main Data'!$A$1:$O$1001,MATCH('Index&amp;Match'!$A92,'Main Data'!$A$1:$A$1001,0),MATCH('Index&amp;Match'!K91,'Main Data'!$A91:$O91,0))</f>
        <v>13139.99</v>
      </c>
      <c r="L92" s="11">
        <f>INDEX('Main Data'!$A$1:$O$1001,MATCH('Index&amp;Match'!$A92,'Main Data'!$A$1:$A$1001,0),MATCH('Index&amp;Match'!L91,'Main Data'!$A91:$O91,0))</f>
        <v>273.88</v>
      </c>
      <c r="M92" s="11">
        <f>INDEX('Main Data'!$A$1:$O$1001,MATCH('Index&amp;Match'!$A92,'Main Data'!$A$1:$A$1001,0),MATCH('Index&amp;Match'!M91,'Main Data'!$A91:$O91,0))</f>
        <v>6.59</v>
      </c>
      <c r="N92" s="2" t="str">
        <f>INDEX('Main Data'!$A$1:$O$1001,MATCH('Index&amp;Match'!$A92,'Main Data'!$A$1:$A$1001,0),MATCH('Index&amp;Match'!N91,'Main Data'!$A91:$O91,0))</f>
        <v>Yes</v>
      </c>
      <c r="O92" s="2">
        <f>INDEX('Main Data'!$A$1:$O$1001,MATCH('Index&amp;Match'!$A92,'Main Data'!$A$1:$A$1001,0),MATCH('Index&amp;Match'!O91,'Main Data'!$A91:$O91,0))</f>
        <v>1</v>
      </c>
    </row>
    <row r="93" spans="1:15" x14ac:dyDescent="0.3">
      <c r="A93" s="2" t="s">
        <v>150</v>
      </c>
      <c r="B93" s="1">
        <f>INDEX('Main Data'!$A$1:$O$1001,MATCH('Index&amp;Match'!$A93,'Main Data'!$A$1:$A$1001,0),MATCH('Index&amp;Match'!B92,'Main Data'!$A92:$O92,0))</f>
        <v>46148</v>
      </c>
      <c r="C93" s="2" t="str">
        <f>INDEX('Main Data'!$A$1:$O$1001,MATCH('Index&amp;Match'!$A93,'Main Data'!$A$1:$A$1001,0),MATCH('Index&amp;Match'!C92,'Main Data'!$A92:$O92,0))</f>
        <v>Morgan</v>
      </c>
      <c r="D93" s="2" t="str">
        <f>INDEX('Main Data'!$A$1:$O$1001,MATCH('Index&amp;Match'!$A93,'Main Data'!$A$1:$A$1001,0),MATCH('Index&amp;Match'!D92,'Main Data'!$A92:$O92,0))</f>
        <v>BR-002</v>
      </c>
      <c r="E93" s="2" t="str">
        <f>INDEX('Main Data'!$A$1:$O$1001,MATCH('Index&amp;Match'!$A93,'Main Data'!$A$1:$A$1001,0),MATCH('Index&amp;Match'!E92,'Main Data'!$A92:$O92,0))</f>
        <v>South</v>
      </c>
      <c r="F93" s="2" t="str">
        <f>INDEX('Main Data'!$A$1:$O$1001,MATCH('Index&amp;Match'!$A93,'Main Data'!$A$1:$A$1001,0),MATCH('Index&amp;Match'!F92,'Main Data'!$A92:$O92,0))</f>
        <v>Credit Card</v>
      </c>
      <c r="G93" s="2" t="str">
        <f>INDEX('Main Data'!$A$1:$O$1001,MATCH('Index&amp;Match'!$A93,'Main Data'!$A$1:$A$1001,0),MATCH('Index&amp;Match'!G92,'Main Data'!$A92:$O92,0))</f>
        <v>Email Campaign</v>
      </c>
      <c r="H93" s="2" t="str">
        <f>INDEX('Main Data'!$A$1:$O$1001,MATCH('Index&amp;Match'!$A93,'Main Data'!$A$1:$A$1001,0),MATCH('Index&amp;Match'!H92,'Main Data'!$A92:$O92,0))</f>
        <v>High Net Worth</v>
      </c>
      <c r="I93" s="2">
        <f>INDEX('Main Data'!$A$1:$O$1001,MATCH('Index&amp;Match'!$A93,'Main Data'!$A$1:$A$1001,0),MATCH('Index&amp;Match'!I92,'Main Data'!$A92:$O92,0))</f>
        <v>67</v>
      </c>
      <c r="J93" s="2">
        <f>INDEX('Main Data'!$A$1:$O$1001,MATCH('Index&amp;Match'!$A93,'Main Data'!$A$1:$A$1001,0),MATCH('Index&amp;Match'!J92,'Main Data'!$A92:$O92,0))</f>
        <v>67</v>
      </c>
      <c r="K93" s="11">
        <f>INDEX('Main Data'!$A$1:$O$1001,MATCH('Index&amp;Match'!$A93,'Main Data'!$A$1:$A$1001,0),MATCH('Index&amp;Match'!K92,'Main Data'!$A92:$O92,0))</f>
        <v>41484.83</v>
      </c>
      <c r="L93" s="11">
        <f>INDEX('Main Data'!$A$1:$O$1001,MATCH('Index&amp;Match'!$A93,'Main Data'!$A$1:$A$1001,0),MATCH('Index&amp;Match'!L92,'Main Data'!$A92:$O92,0))</f>
        <v>174.18</v>
      </c>
      <c r="M93" s="11">
        <f>INDEX('Main Data'!$A$1:$O$1001,MATCH('Index&amp;Match'!$A93,'Main Data'!$A$1:$A$1001,0),MATCH('Index&amp;Match'!M92,'Main Data'!$A92:$O92,0))</f>
        <v>177.04</v>
      </c>
      <c r="N93" s="2" t="str">
        <f>INDEX('Main Data'!$A$1:$O$1001,MATCH('Index&amp;Match'!$A93,'Main Data'!$A$1:$A$1001,0),MATCH('Index&amp;Match'!N92,'Main Data'!$A92:$O92,0))</f>
        <v>Yes</v>
      </c>
      <c r="O93" s="2">
        <f>INDEX('Main Data'!$A$1:$O$1001,MATCH('Index&amp;Match'!$A93,'Main Data'!$A$1:$A$1001,0),MATCH('Index&amp;Match'!O92,'Main Data'!$A92:$O92,0))</f>
        <v>3</v>
      </c>
    </row>
    <row r="94" spans="1:15" x14ac:dyDescent="0.3">
      <c r="A94" s="2" t="s">
        <v>151</v>
      </c>
      <c r="B94" s="1">
        <f>INDEX('Main Data'!$A$1:$O$1001,MATCH('Index&amp;Match'!$A94,'Main Data'!$A$1:$A$1001,0),MATCH('Index&amp;Match'!B93,'Main Data'!$A93:$O93,0))</f>
        <v>46031</v>
      </c>
      <c r="C94" s="2" t="str">
        <f>INDEX('Main Data'!$A$1:$O$1001,MATCH('Index&amp;Match'!$A94,'Main Data'!$A$1:$A$1001,0),MATCH('Index&amp;Match'!C93,'Main Data'!$A93:$O93,0))</f>
        <v>Jordan</v>
      </c>
      <c r="D94" s="2" t="str">
        <f>INDEX('Main Data'!$A$1:$O$1001,MATCH('Index&amp;Match'!$A94,'Main Data'!$A$1:$A$1001,0),MATCH('Index&amp;Match'!D93,'Main Data'!$A93:$O93,0))</f>
        <v>BR-006</v>
      </c>
      <c r="E94" s="2" t="str">
        <f>INDEX('Main Data'!$A$1:$O$1001,MATCH('Index&amp;Match'!$A94,'Main Data'!$A$1:$A$1001,0),MATCH('Index&amp;Match'!E93,'Main Data'!$A93:$O93,0))</f>
        <v>North</v>
      </c>
      <c r="F94" s="2" t="str">
        <f>INDEX('Main Data'!$A$1:$O$1001,MATCH('Index&amp;Match'!$A94,'Main Data'!$A$1:$A$1001,0),MATCH('Index&amp;Match'!F93,'Main Data'!$A93:$O93,0))</f>
        <v>Wealth Management</v>
      </c>
      <c r="G94" s="2" t="str">
        <f>INDEX('Main Data'!$A$1:$O$1001,MATCH('Index&amp;Match'!$A94,'Main Data'!$A$1:$A$1001,0),MATCH('Index&amp;Match'!G93,'Main Data'!$A93:$O93,0))</f>
        <v>Email Campaign</v>
      </c>
      <c r="H94" s="2" t="str">
        <f>INDEX('Main Data'!$A$1:$O$1001,MATCH('Index&amp;Match'!$A94,'Main Data'!$A$1:$A$1001,0),MATCH('Index&amp;Match'!H93,'Main Data'!$A93:$O93,0))</f>
        <v>Corporate</v>
      </c>
      <c r="I94" s="2">
        <f>INDEX('Main Data'!$A$1:$O$1001,MATCH('Index&amp;Match'!$A94,'Main Data'!$A$1:$A$1001,0),MATCH('Index&amp;Match'!I93,'Main Data'!$A93:$O93,0))</f>
        <v>72</v>
      </c>
      <c r="J94" s="2">
        <f>INDEX('Main Data'!$A$1:$O$1001,MATCH('Index&amp;Match'!$A94,'Main Data'!$A$1:$A$1001,0),MATCH('Index&amp;Match'!J93,'Main Data'!$A93:$O93,0))</f>
        <v>72</v>
      </c>
      <c r="K94" s="11">
        <f>INDEX('Main Data'!$A$1:$O$1001,MATCH('Index&amp;Match'!$A94,'Main Data'!$A$1:$A$1001,0),MATCH('Index&amp;Match'!K93,'Main Data'!$A93:$O93,0))</f>
        <v>19210.7</v>
      </c>
      <c r="L94" s="11">
        <f>INDEX('Main Data'!$A$1:$O$1001,MATCH('Index&amp;Match'!$A94,'Main Data'!$A$1:$A$1001,0),MATCH('Index&amp;Match'!L93,'Main Data'!$A93:$O93,0))</f>
        <v>378.95</v>
      </c>
      <c r="M94" s="11">
        <f>INDEX('Main Data'!$A$1:$O$1001,MATCH('Index&amp;Match'!$A94,'Main Data'!$A$1:$A$1001,0),MATCH('Index&amp;Match'!M93,'Main Data'!$A93:$O93,0))</f>
        <v>104.83</v>
      </c>
      <c r="N94" s="2" t="str">
        <f>INDEX('Main Data'!$A$1:$O$1001,MATCH('Index&amp;Match'!$A94,'Main Data'!$A$1:$A$1001,0),MATCH('Index&amp;Match'!N93,'Main Data'!$A93:$O93,0))</f>
        <v>Yes</v>
      </c>
      <c r="O94" s="2">
        <f>INDEX('Main Data'!$A$1:$O$1001,MATCH('Index&amp;Match'!$A94,'Main Data'!$A$1:$A$1001,0),MATCH('Index&amp;Match'!O93,'Main Data'!$A93:$O93,0))</f>
        <v>119</v>
      </c>
    </row>
    <row r="95" spans="1:15" x14ac:dyDescent="0.3">
      <c r="A95" s="2" t="s">
        <v>152</v>
      </c>
      <c r="B95" s="1">
        <f>INDEX('Main Data'!$A$1:$O$1001,MATCH('Index&amp;Match'!$A95,'Main Data'!$A$1:$A$1001,0),MATCH('Index&amp;Match'!B94,'Main Data'!$A94:$O94,0))</f>
        <v>46032</v>
      </c>
      <c r="C95" s="2" t="str">
        <f>INDEX('Main Data'!$A$1:$O$1001,MATCH('Index&amp;Match'!$A95,'Main Data'!$A$1:$A$1001,0),MATCH('Index&amp;Match'!C94,'Main Data'!$A94:$O94,0))</f>
        <v>Sam</v>
      </c>
      <c r="D95" s="2" t="str">
        <f>INDEX('Main Data'!$A$1:$O$1001,MATCH('Index&amp;Match'!$A95,'Main Data'!$A$1:$A$1001,0),MATCH('Index&amp;Match'!D94,'Main Data'!$A94:$O94,0))</f>
        <v>BR-006</v>
      </c>
      <c r="E95" s="2" t="str">
        <f>INDEX('Main Data'!$A$1:$O$1001,MATCH('Index&amp;Match'!$A95,'Main Data'!$A$1:$A$1001,0),MATCH('Index&amp;Match'!E94,'Main Data'!$A94:$O94,0))</f>
        <v>South</v>
      </c>
      <c r="F95" s="2" t="str">
        <f>INDEX('Main Data'!$A$1:$O$1001,MATCH('Index&amp;Match'!$A95,'Main Data'!$A$1:$A$1001,0),MATCH('Index&amp;Match'!F94,'Main Data'!$A94:$O94,0))</f>
        <v>Personal Loan</v>
      </c>
      <c r="G95" s="2" t="str">
        <f>INDEX('Main Data'!$A$1:$O$1001,MATCH('Index&amp;Match'!$A95,'Main Data'!$A$1:$A$1001,0),MATCH('Index&amp;Match'!G94,'Main Data'!$A94:$O94,0))</f>
        <v>Social Media</v>
      </c>
      <c r="H95" s="2" t="str">
        <f>INDEX('Main Data'!$A$1:$O$1001,MATCH('Index&amp;Match'!$A95,'Main Data'!$A$1:$A$1001,0),MATCH('Index&amp;Match'!H94,'Main Data'!$A94:$O94,0))</f>
        <v>SME</v>
      </c>
      <c r="I95" s="2">
        <f>INDEX('Main Data'!$A$1:$O$1001,MATCH('Index&amp;Match'!$A95,'Main Data'!$A$1:$A$1001,0),MATCH('Index&amp;Match'!I94,'Main Data'!$A94:$O94,0))</f>
        <v>43</v>
      </c>
      <c r="J95" s="2">
        <f>INDEX('Main Data'!$A$1:$O$1001,MATCH('Index&amp;Match'!$A95,'Main Data'!$A$1:$A$1001,0),MATCH('Index&amp;Match'!J94,'Main Data'!$A94:$O94,0))</f>
        <v>43</v>
      </c>
      <c r="K95" s="11">
        <f>INDEX('Main Data'!$A$1:$O$1001,MATCH('Index&amp;Match'!$A95,'Main Data'!$A$1:$A$1001,0),MATCH('Index&amp;Match'!K94,'Main Data'!$A94:$O94,0))</f>
        <v>49068.49</v>
      </c>
      <c r="L95" s="11">
        <f>INDEX('Main Data'!$A$1:$O$1001,MATCH('Index&amp;Match'!$A95,'Main Data'!$A$1:$A$1001,0),MATCH('Index&amp;Match'!L94,'Main Data'!$A94:$O94,0))</f>
        <v>84.48</v>
      </c>
      <c r="M95" s="11">
        <f>INDEX('Main Data'!$A$1:$O$1001,MATCH('Index&amp;Match'!$A95,'Main Data'!$A$1:$A$1001,0),MATCH('Index&amp;Match'!M94,'Main Data'!$A94:$O94,0))</f>
        <v>56.6</v>
      </c>
      <c r="N95" s="2" t="str">
        <f>INDEX('Main Data'!$A$1:$O$1001,MATCH('Index&amp;Match'!$A95,'Main Data'!$A$1:$A$1001,0),MATCH('Index&amp;Match'!N94,'Main Data'!$A94:$O94,0))</f>
        <v>No</v>
      </c>
      <c r="O95" s="2">
        <f>INDEX('Main Data'!$A$1:$O$1001,MATCH('Index&amp;Match'!$A95,'Main Data'!$A$1:$A$1001,0),MATCH('Index&amp;Match'!O94,'Main Data'!$A94:$O94,0))</f>
        <v>117</v>
      </c>
    </row>
    <row r="96" spans="1:15" x14ac:dyDescent="0.3">
      <c r="A96" s="2" t="s">
        <v>153</v>
      </c>
      <c r="B96" s="1">
        <f>INDEX('Main Data'!$A$1:$O$1001,MATCH('Index&amp;Match'!$A96,'Main Data'!$A$1:$A$1001,0),MATCH('Index&amp;Match'!B95,'Main Data'!$A95:$O95,0))</f>
        <v>45919</v>
      </c>
      <c r="C96" s="2" t="str">
        <f>INDEX('Main Data'!$A$1:$O$1001,MATCH('Index&amp;Match'!$A96,'Main Data'!$A$1:$A$1001,0),MATCH('Index&amp;Match'!C95,'Main Data'!$A95:$O95,0))</f>
        <v>Sam</v>
      </c>
      <c r="D96" s="2" t="str">
        <f>INDEX('Main Data'!$A$1:$O$1001,MATCH('Index&amp;Match'!$A96,'Main Data'!$A$1:$A$1001,0),MATCH('Index&amp;Match'!D95,'Main Data'!$A95:$O95,0))</f>
        <v>BR-003</v>
      </c>
      <c r="E96" s="2" t="str">
        <f>INDEX('Main Data'!$A$1:$O$1001,MATCH('Index&amp;Match'!$A96,'Main Data'!$A$1:$A$1001,0),MATCH('Index&amp;Match'!E95,'Main Data'!$A95:$O95,0))</f>
        <v>North</v>
      </c>
      <c r="F96" s="2" t="str">
        <f>INDEX('Main Data'!$A$1:$O$1001,MATCH('Index&amp;Match'!$A96,'Main Data'!$A$1:$A$1001,0),MATCH('Index&amp;Match'!F95,'Main Data'!$A95:$O95,0))</f>
        <v>Personal Loan</v>
      </c>
      <c r="G96" s="2" t="str">
        <f>INDEX('Main Data'!$A$1:$O$1001,MATCH('Index&amp;Match'!$A96,'Main Data'!$A$1:$A$1001,0),MATCH('Index&amp;Match'!G95,'Main Data'!$A95:$O95,0))</f>
        <v>Email Campaign</v>
      </c>
      <c r="H96" s="2" t="str">
        <f>INDEX('Main Data'!$A$1:$O$1001,MATCH('Index&amp;Match'!$A96,'Main Data'!$A$1:$A$1001,0),MATCH('Index&amp;Match'!H95,'Main Data'!$A95:$O95,0))</f>
        <v>Corporate</v>
      </c>
      <c r="I96" s="2">
        <f>INDEX('Main Data'!$A$1:$O$1001,MATCH('Index&amp;Match'!$A96,'Main Data'!$A$1:$A$1001,0),MATCH('Index&amp;Match'!I95,'Main Data'!$A95:$O95,0))</f>
        <v>50</v>
      </c>
      <c r="J96" s="2">
        <f>INDEX('Main Data'!$A$1:$O$1001,MATCH('Index&amp;Match'!$A96,'Main Data'!$A$1:$A$1001,0),MATCH('Index&amp;Match'!J95,'Main Data'!$A95:$O95,0))</f>
        <v>50</v>
      </c>
      <c r="K96" s="11">
        <f>INDEX('Main Data'!$A$1:$O$1001,MATCH('Index&amp;Match'!$A96,'Main Data'!$A$1:$A$1001,0),MATCH('Index&amp;Match'!K95,'Main Data'!$A95:$O95,0))</f>
        <v>23579.54</v>
      </c>
      <c r="L96" s="11">
        <f>INDEX('Main Data'!$A$1:$O$1001,MATCH('Index&amp;Match'!$A96,'Main Data'!$A$1:$A$1001,0),MATCH('Index&amp;Match'!L95,'Main Data'!$A95:$O95,0))</f>
        <v>348.81</v>
      </c>
      <c r="M96" s="11">
        <f>INDEX('Main Data'!$A$1:$O$1001,MATCH('Index&amp;Match'!$A96,'Main Data'!$A$1:$A$1001,0),MATCH('Index&amp;Match'!M95,'Main Data'!$A95:$O95,0))</f>
        <v>7.6</v>
      </c>
      <c r="N96" s="2" t="str">
        <f>INDEX('Main Data'!$A$1:$O$1001,MATCH('Index&amp;Match'!$A96,'Main Data'!$A$1:$A$1001,0),MATCH('Index&amp;Match'!N95,'Main Data'!$A95:$O95,0))</f>
        <v>Yes</v>
      </c>
      <c r="O96" s="2">
        <f>INDEX('Main Data'!$A$1:$O$1001,MATCH('Index&amp;Match'!$A96,'Main Data'!$A$1:$A$1001,0),MATCH('Index&amp;Match'!O95,'Main Data'!$A95:$O95,0))</f>
        <v>99</v>
      </c>
    </row>
    <row r="97" spans="1:15" x14ac:dyDescent="0.3">
      <c r="A97" s="2" t="s">
        <v>154</v>
      </c>
      <c r="B97" s="1">
        <f>INDEX('Main Data'!$A$1:$O$1001,MATCH('Index&amp;Match'!$A97,'Main Data'!$A$1:$A$1001,0),MATCH('Index&amp;Match'!B96,'Main Data'!$A96:$O96,0))</f>
        <v>46031</v>
      </c>
      <c r="C97" s="2" t="str">
        <f>INDEX('Main Data'!$A$1:$O$1001,MATCH('Index&amp;Match'!$A97,'Main Data'!$A$1:$A$1001,0),MATCH('Index&amp;Match'!C96,'Main Data'!$A96:$O96,0))</f>
        <v>Sam</v>
      </c>
      <c r="D97" s="2" t="str">
        <f>INDEX('Main Data'!$A$1:$O$1001,MATCH('Index&amp;Match'!$A97,'Main Data'!$A$1:$A$1001,0),MATCH('Index&amp;Match'!D96,'Main Data'!$A96:$O96,0))</f>
        <v>BR-011</v>
      </c>
      <c r="E97" s="2" t="str">
        <f>INDEX('Main Data'!$A$1:$O$1001,MATCH('Index&amp;Match'!$A97,'Main Data'!$A$1:$A$1001,0),MATCH('Index&amp;Match'!E96,'Main Data'!$A96:$O96,0))</f>
        <v>North</v>
      </c>
      <c r="F97" s="2" t="str">
        <f>INDEX('Main Data'!$A$1:$O$1001,MATCH('Index&amp;Match'!$A97,'Main Data'!$A$1:$A$1001,0),MATCH('Index&amp;Match'!F96,'Main Data'!$A96:$O96,0))</f>
        <v>Credit Card</v>
      </c>
      <c r="G97" s="2" t="str">
        <f>INDEX('Main Data'!$A$1:$O$1001,MATCH('Index&amp;Match'!$A97,'Main Data'!$A$1:$A$1001,0),MATCH('Index&amp;Match'!G96,'Main Data'!$A96:$O96,0))</f>
        <v>Walk-in</v>
      </c>
      <c r="H97" s="2" t="str">
        <f>INDEX('Main Data'!$A$1:$O$1001,MATCH('Index&amp;Match'!$A97,'Main Data'!$A$1:$A$1001,0),MATCH('Index&amp;Match'!H96,'Main Data'!$A96:$O96,0))</f>
        <v>Corporate</v>
      </c>
      <c r="I97" s="2">
        <f>INDEX('Main Data'!$A$1:$O$1001,MATCH('Index&amp;Match'!$A97,'Main Data'!$A$1:$A$1001,0),MATCH('Index&amp;Match'!I96,'Main Data'!$A96:$O96,0))</f>
        <v>45</v>
      </c>
      <c r="J97" s="2">
        <f>INDEX('Main Data'!$A$1:$O$1001,MATCH('Index&amp;Match'!$A97,'Main Data'!$A$1:$A$1001,0),MATCH('Index&amp;Match'!J96,'Main Data'!$A96:$O96,0))</f>
        <v>45</v>
      </c>
      <c r="K97" s="11">
        <f>INDEX('Main Data'!$A$1:$O$1001,MATCH('Index&amp;Match'!$A97,'Main Data'!$A$1:$A$1001,0),MATCH('Index&amp;Match'!K96,'Main Data'!$A96:$O96,0))</f>
        <v>39700.81</v>
      </c>
      <c r="L97" s="11">
        <f>INDEX('Main Data'!$A$1:$O$1001,MATCH('Index&amp;Match'!$A97,'Main Data'!$A$1:$A$1001,0),MATCH('Index&amp;Match'!L96,'Main Data'!$A96:$O96,0))</f>
        <v>156.9</v>
      </c>
      <c r="M97" s="11">
        <f>INDEX('Main Data'!$A$1:$O$1001,MATCH('Index&amp;Match'!$A97,'Main Data'!$A$1:$A$1001,0),MATCH('Index&amp;Match'!M96,'Main Data'!$A96:$O96,0))</f>
        <v>198.92</v>
      </c>
      <c r="N97" s="2" t="str">
        <f>INDEX('Main Data'!$A$1:$O$1001,MATCH('Index&amp;Match'!$A97,'Main Data'!$A$1:$A$1001,0),MATCH('Index&amp;Match'!N96,'Main Data'!$A96:$O96,0))</f>
        <v>Yes</v>
      </c>
      <c r="O97" s="2">
        <f>INDEX('Main Data'!$A$1:$O$1001,MATCH('Index&amp;Match'!$A97,'Main Data'!$A$1:$A$1001,0),MATCH('Index&amp;Match'!O96,'Main Data'!$A96:$O96,0))</f>
        <v>97</v>
      </c>
    </row>
    <row r="98" spans="1:15" x14ac:dyDescent="0.3">
      <c r="A98" s="2" t="s">
        <v>155</v>
      </c>
      <c r="B98" s="1">
        <f>INDEX('Main Data'!$A$1:$O$1001,MATCH('Index&amp;Match'!$A98,'Main Data'!$A$1:$A$1001,0),MATCH('Index&amp;Match'!B97,'Main Data'!$A97:$O97,0))</f>
        <v>45971</v>
      </c>
      <c r="C98" s="2" t="str">
        <f>INDEX('Main Data'!$A$1:$O$1001,MATCH('Index&amp;Match'!$A98,'Main Data'!$A$1:$A$1001,0),MATCH('Index&amp;Match'!C97,'Main Data'!$A97:$O97,0))</f>
        <v>Jordan</v>
      </c>
      <c r="D98" s="2" t="str">
        <f>INDEX('Main Data'!$A$1:$O$1001,MATCH('Index&amp;Match'!$A98,'Main Data'!$A$1:$A$1001,0),MATCH('Index&amp;Match'!D97,'Main Data'!$A97:$O97,0))</f>
        <v>BR-002</v>
      </c>
      <c r="E98" s="2" t="str">
        <f>INDEX('Main Data'!$A$1:$O$1001,MATCH('Index&amp;Match'!$A98,'Main Data'!$A$1:$A$1001,0),MATCH('Index&amp;Match'!E97,'Main Data'!$A97:$O97,0))</f>
        <v>South</v>
      </c>
      <c r="F98" s="2" t="str">
        <f>INDEX('Main Data'!$A$1:$O$1001,MATCH('Index&amp;Match'!$A98,'Main Data'!$A$1:$A$1001,0),MATCH('Index&amp;Match'!F97,'Main Data'!$A97:$O97,0))</f>
        <v>Auto Loan</v>
      </c>
      <c r="G98" s="2" t="str">
        <f>INDEX('Main Data'!$A$1:$O$1001,MATCH('Index&amp;Match'!$A98,'Main Data'!$A$1:$A$1001,0),MATCH('Index&amp;Match'!G97,'Main Data'!$A97:$O97,0))</f>
        <v>Email Campaign</v>
      </c>
      <c r="H98" s="2" t="str">
        <f>INDEX('Main Data'!$A$1:$O$1001,MATCH('Index&amp;Match'!$A98,'Main Data'!$A$1:$A$1001,0),MATCH('Index&amp;Match'!H97,'Main Data'!$A97:$O97,0))</f>
        <v>High Net Worth</v>
      </c>
      <c r="I98" s="2">
        <f>INDEX('Main Data'!$A$1:$O$1001,MATCH('Index&amp;Match'!$A98,'Main Data'!$A$1:$A$1001,0),MATCH('Index&amp;Match'!I97,'Main Data'!$A97:$O97,0))</f>
        <v>48</v>
      </c>
      <c r="J98" s="2">
        <f>INDEX('Main Data'!$A$1:$O$1001,MATCH('Index&amp;Match'!$A98,'Main Data'!$A$1:$A$1001,0),MATCH('Index&amp;Match'!J97,'Main Data'!$A97:$O97,0))</f>
        <v>48</v>
      </c>
      <c r="K98" s="11">
        <f>INDEX('Main Data'!$A$1:$O$1001,MATCH('Index&amp;Match'!$A98,'Main Data'!$A$1:$A$1001,0),MATCH('Index&amp;Match'!K97,'Main Data'!$A97:$O97,0))</f>
        <v>20414.2</v>
      </c>
      <c r="L98" s="11">
        <f>INDEX('Main Data'!$A$1:$O$1001,MATCH('Index&amp;Match'!$A98,'Main Data'!$A$1:$A$1001,0),MATCH('Index&amp;Match'!L97,'Main Data'!$A97:$O97,0))</f>
        <v>270.18</v>
      </c>
      <c r="M98" s="11">
        <f>INDEX('Main Data'!$A$1:$O$1001,MATCH('Index&amp;Match'!$A98,'Main Data'!$A$1:$A$1001,0),MATCH('Index&amp;Match'!M97,'Main Data'!$A97:$O97,0))</f>
        <v>144.6</v>
      </c>
      <c r="N98" s="2" t="str">
        <f>INDEX('Main Data'!$A$1:$O$1001,MATCH('Index&amp;Match'!$A98,'Main Data'!$A$1:$A$1001,0),MATCH('Index&amp;Match'!N97,'Main Data'!$A97:$O97,0))</f>
        <v>Yes</v>
      </c>
      <c r="O98" s="2">
        <f>INDEX('Main Data'!$A$1:$O$1001,MATCH('Index&amp;Match'!$A98,'Main Data'!$A$1:$A$1001,0),MATCH('Index&amp;Match'!O97,'Main Data'!$A97:$O97,0))</f>
        <v>24</v>
      </c>
    </row>
    <row r="99" spans="1:15" x14ac:dyDescent="0.3">
      <c r="A99" s="2" t="s">
        <v>156</v>
      </c>
      <c r="B99" s="1">
        <f>INDEX('Main Data'!$A$1:$O$1001,MATCH('Index&amp;Match'!$A99,'Main Data'!$A$1:$A$1001,0),MATCH('Index&amp;Match'!B98,'Main Data'!$A98:$O98,0))</f>
        <v>46038</v>
      </c>
      <c r="C99" s="2" t="str">
        <f>INDEX('Main Data'!$A$1:$O$1001,MATCH('Index&amp;Match'!$A99,'Main Data'!$A$1:$A$1001,0),MATCH('Index&amp;Match'!C98,'Main Data'!$A98:$O98,0))</f>
        <v>Morgan</v>
      </c>
      <c r="D99" s="2" t="str">
        <f>INDEX('Main Data'!$A$1:$O$1001,MATCH('Index&amp;Match'!$A99,'Main Data'!$A$1:$A$1001,0),MATCH('Index&amp;Match'!D98,'Main Data'!$A98:$O98,0))</f>
        <v>BR-012</v>
      </c>
      <c r="E99" s="2" t="str">
        <f>INDEX('Main Data'!$A$1:$O$1001,MATCH('Index&amp;Match'!$A99,'Main Data'!$A$1:$A$1001,0),MATCH('Index&amp;Match'!E98,'Main Data'!$A98:$O98,0))</f>
        <v>East</v>
      </c>
      <c r="F99" s="2" t="str">
        <f>INDEX('Main Data'!$A$1:$O$1001,MATCH('Index&amp;Match'!$A99,'Main Data'!$A$1:$A$1001,0),MATCH('Index&amp;Match'!F98,'Main Data'!$A98:$O98,0))</f>
        <v>Wealth Management</v>
      </c>
      <c r="G99" s="2" t="str">
        <f>INDEX('Main Data'!$A$1:$O$1001,MATCH('Index&amp;Match'!$A99,'Main Data'!$A$1:$A$1001,0),MATCH('Index&amp;Match'!G98,'Main Data'!$A98:$O98,0))</f>
        <v>Social Media</v>
      </c>
      <c r="H99" s="2" t="str">
        <f>INDEX('Main Data'!$A$1:$O$1001,MATCH('Index&amp;Match'!$A99,'Main Data'!$A$1:$A$1001,0),MATCH('Index&amp;Match'!H98,'Main Data'!$A98:$O98,0))</f>
        <v>Retail</v>
      </c>
      <c r="I99" s="2">
        <f>INDEX('Main Data'!$A$1:$O$1001,MATCH('Index&amp;Match'!$A99,'Main Data'!$A$1:$A$1001,0),MATCH('Index&amp;Match'!I98,'Main Data'!$A98:$O98,0))</f>
        <v>54</v>
      </c>
      <c r="J99" s="2">
        <f>INDEX('Main Data'!$A$1:$O$1001,MATCH('Index&amp;Match'!$A99,'Main Data'!$A$1:$A$1001,0),MATCH('Index&amp;Match'!J98,'Main Data'!$A98:$O98,0))</f>
        <v>54</v>
      </c>
      <c r="K99" s="11">
        <f>INDEX('Main Data'!$A$1:$O$1001,MATCH('Index&amp;Match'!$A99,'Main Data'!$A$1:$A$1001,0),MATCH('Index&amp;Match'!K98,'Main Data'!$A98:$O98,0))</f>
        <v>21535.200000000001</v>
      </c>
      <c r="L99" s="11">
        <f>INDEX('Main Data'!$A$1:$O$1001,MATCH('Index&amp;Match'!$A99,'Main Data'!$A$1:$A$1001,0),MATCH('Index&amp;Match'!L98,'Main Data'!$A98:$O98,0))</f>
        <v>178.74</v>
      </c>
      <c r="M99" s="11">
        <f>INDEX('Main Data'!$A$1:$O$1001,MATCH('Index&amp;Match'!$A99,'Main Data'!$A$1:$A$1001,0),MATCH('Index&amp;Match'!M98,'Main Data'!$A98:$O98,0))</f>
        <v>151.19999999999999</v>
      </c>
      <c r="N99" s="2" t="str">
        <f>INDEX('Main Data'!$A$1:$O$1001,MATCH('Index&amp;Match'!$A99,'Main Data'!$A$1:$A$1001,0),MATCH('Index&amp;Match'!N98,'Main Data'!$A98:$O98,0))</f>
        <v>Yes</v>
      </c>
      <c r="O99" s="2">
        <f>INDEX('Main Data'!$A$1:$O$1001,MATCH('Index&amp;Match'!$A99,'Main Data'!$A$1:$A$1001,0),MATCH('Index&amp;Match'!O98,'Main Data'!$A98:$O98,0))</f>
        <v>19</v>
      </c>
    </row>
    <row r="100" spans="1:15" x14ac:dyDescent="0.3">
      <c r="A100" s="2" t="s">
        <v>157</v>
      </c>
      <c r="B100" s="1">
        <f>INDEX('Main Data'!$A$1:$O$1001,MATCH('Index&amp;Match'!$A100,'Main Data'!$A$1:$A$1001,0),MATCH('Index&amp;Match'!B99,'Main Data'!$A99:$O99,0))</f>
        <v>46056</v>
      </c>
      <c r="C100" s="2" t="str">
        <f>INDEX('Main Data'!$A$1:$O$1001,MATCH('Index&amp;Match'!$A100,'Main Data'!$A$1:$A$1001,0),MATCH('Index&amp;Match'!C99,'Main Data'!$A99:$O99,0))</f>
        <v>Sam</v>
      </c>
      <c r="D100" s="2" t="str">
        <f>INDEX('Main Data'!$A$1:$O$1001,MATCH('Index&amp;Match'!$A100,'Main Data'!$A$1:$A$1001,0),MATCH('Index&amp;Match'!D99,'Main Data'!$A99:$O99,0))</f>
        <v>BR-001</v>
      </c>
      <c r="E100" s="2" t="str">
        <f>INDEX('Main Data'!$A$1:$O$1001,MATCH('Index&amp;Match'!$A100,'Main Data'!$A$1:$A$1001,0),MATCH('Index&amp;Match'!E99,'Main Data'!$A99:$O99,0))</f>
        <v>Central</v>
      </c>
      <c r="F100" s="2" t="str">
        <f>INDEX('Main Data'!$A$1:$O$1001,MATCH('Index&amp;Match'!$A100,'Main Data'!$A$1:$A$1001,0),MATCH('Index&amp;Match'!F99,'Main Data'!$A99:$O99,0))</f>
        <v>Mortgage</v>
      </c>
      <c r="G100" s="2" t="str">
        <f>INDEX('Main Data'!$A$1:$O$1001,MATCH('Index&amp;Match'!$A100,'Main Data'!$A$1:$A$1001,0),MATCH('Index&amp;Match'!G99,'Main Data'!$A99:$O99,0))</f>
        <v>Email Campaign</v>
      </c>
      <c r="H100" s="2" t="str">
        <f>INDEX('Main Data'!$A$1:$O$1001,MATCH('Index&amp;Match'!$A100,'Main Data'!$A$1:$A$1001,0),MATCH('Index&amp;Match'!H99,'Main Data'!$A99:$O99,0))</f>
        <v>Retail</v>
      </c>
      <c r="I100" s="2">
        <f>INDEX('Main Data'!$A$1:$O$1001,MATCH('Index&amp;Match'!$A100,'Main Data'!$A$1:$A$1001,0),MATCH('Index&amp;Match'!I99,'Main Data'!$A99:$O99,0))</f>
        <v>65</v>
      </c>
      <c r="J100" s="2">
        <f>INDEX('Main Data'!$A$1:$O$1001,MATCH('Index&amp;Match'!$A100,'Main Data'!$A$1:$A$1001,0),MATCH('Index&amp;Match'!J99,'Main Data'!$A99:$O99,0))</f>
        <v>65</v>
      </c>
      <c r="K100" s="11">
        <f>INDEX('Main Data'!$A$1:$O$1001,MATCH('Index&amp;Match'!$A100,'Main Data'!$A$1:$A$1001,0),MATCH('Index&amp;Match'!K99,'Main Data'!$A99:$O99,0))</f>
        <v>19452.72</v>
      </c>
      <c r="L100" s="11">
        <f>INDEX('Main Data'!$A$1:$O$1001,MATCH('Index&amp;Match'!$A100,'Main Data'!$A$1:$A$1001,0),MATCH('Index&amp;Match'!L99,'Main Data'!$A99:$O99,0))</f>
        <v>375.25</v>
      </c>
      <c r="M100" s="11">
        <f>INDEX('Main Data'!$A$1:$O$1001,MATCH('Index&amp;Match'!$A100,'Main Data'!$A$1:$A$1001,0),MATCH('Index&amp;Match'!M99,'Main Data'!$A99:$O99,0))</f>
        <v>90.46</v>
      </c>
      <c r="N100" s="2" t="str">
        <f>INDEX('Main Data'!$A$1:$O$1001,MATCH('Index&amp;Match'!$A100,'Main Data'!$A$1:$A$1001,0),MATCH('Index&amp;Match'!N99,'Main Data'!$A99:$O99,0))</f>
        <v>Yes</v>
      </c>
      <c r="O100" s="2">
        <f>INDEX('Main Data'!$A$1:$O$1001,MATCH('Index&amp;Match'!$A100,'Main Data'!$A$1:$A$1001,0),MATCH('Index&amp;Match'!O99,'Main Data'!$A99:$O99,0))</f>
        <v>18</v>
      </c>
    </row>
    <row r="101" spans="1:15" x14ac:dyDescent="0.3">
      <c r="A101" s="2" t="s">
        <v>158</v>
      </c>
      <c r="B101" s="1">
        <f>INDEX('Main Data'!$A$1:$O$1001,MATCH('Index&amp;Match'!$A101,'Main Data'!$A$1:$A$1001,0),MATCH('Index&amp;Match'!B100,'Main Data'!$A100:$O100,0))</f>
        <v>45984</v>
      </c>
      <c r="C101" s="2" t="str">
        <f>INDEX('Main Data'!$A$1:$O$1001,MATCH('Index&amp;Match'!$A101,'Main Data'!$A$1:$A$1001,0),MATCH('Index&amp;Match'!C100,'Main Data'!$A100:$O100,0))</f>
        <v>Casey</v>
      </c>
      <c r="D101" s="2" t="str">
        <f>INDEX('Main Data'!$A$1:$O$1001,MATCH('Index&amp;Match'!$A101,'Main Data'!$A$1:$A$1001,0),MATCH('Index&amp;Match'!D100,'Main Data'!$A100:$O100,0))</f>
        <v>BR-006</v>
      </c>
      <c r="E101" s="2" t="str">
        <f>INDEX('Main Data'!$A$1:$O$1001,MATCH('Index&amp;Match'!$A101,'Main Data'!$A$1:$A$1001,0),MATCH('Index&amp;Match'!E100,'Main Data'!$A100:$O100,0))</f>
        <v>Central</v>
      </c>
      <c r="F101" s="2" t="str">
        <f>INDEX('Main Data'!$A$1:$O$1001,MATCH('Index&amp;Match'!$A101,'Main Data'!$A$1:$A$1001,0),MATCH('Index&amp;Match'!F100,'Main Data'!$A100:$O100,0))</f>
        <v>Credit Card</v>
      </c>
      <c r="G101" s="2" t="str">
        <f>INDEX('Main Data'!$A$1:$O$1001,MATCH('Index&amp;Match'!$A101,'Main Data'!$A$1:$A$1001,0),MATCH('Index&amp;Match'!G100,'Main Data'!$A100:$O100,0))</f>
        <v>Referral</v>
      </c>
      <c r="H101" s="2" t="str">
        <f>INDEX('Main Data'!$A$1:$O$1001,MATCH('Index&amp;Match'!$A101,'Main Data'!$A$1:$A$1001,0),MATCH('Index&amp;Match'!H100,'Main Data'!$A100:$O100,0))</f>
        <v>Retail</v>
      </c>
      <c r="I101" s="2">
        <f>INDEX('Main Data'!$A$1:$O$1001,MATCH('Index&amp;Match'!$A101,'Main Data'!$A$1:$A$1001,0),MATCH('Index&amp;Match'!I100,'Main Data'!$A100:$O100,0))</f>
        <v>68</v>
      </c>
      <c r="J101" s="2">
        <f>INDEX('Main Data'!$A$1:$O$1001,MATCH('Index&amp;Match'!$A101,'Main Data'!$A$1:$A$1001,0),MATCH('Index&amp;Match'!J100,'Main Data'!$A100:$O100,0))</f>
        <v>68</v>
      </c>
      <c r="K101" s="11">
        <f>INDEX('Main Data'!$A$1:$O$1001,MATCH('Index&amp;Match'!$A101,'Main Data'!$A$1:$A$1001,0),MATCH('Index&amp;Match'!K100,'Main Data'!$A100:$O100,0))</f>
        <v>36094.239999999998</v>
      </c>
      <c r="L101" s="11">
        <f>INDEX('Main Data'!$A$1:$O$1001,MATCH('Index&amp;Match'!$A101,'Main Data'!$A$1:$A$1001,0),MATCH('Index&amp;Match'!L100,'Main Data'!$A100:$O100,0))</f>
        <v>475.39</v>
      </c>
      <c r="M101" s="11">
        <f>INDEX('Main Data'!$A$1:$O$1001,MATCH('Index&amp;Match'!$A101,'Main Data'!$A$1:$A$1001,0),MATCH('Index&amp;Match'!M100,'Main Data'!$A100:$O100,0))</f>
        <v>8.6300000000000008</v>
      </c>
      <c r="N101" s="2" t="str">
        <f>INDEX('Main Data'!$A$1:$O$1001,MATCH('Index&amp;Match'!$A101,'Main Data'!$A$1:$A$1001,0),MATCH('Index&amp;Match'!N100,'Main Data'!$A100:$O100,0))</f>
        <v>Yes</v>
      </c>
      <c r="O101" s="2">
        <f>INDEX('Main Data'!$A$1:$O$1001,MATCH('Index&amp;Match'!$A101,'Main Data'!$A$1:$A$1001,0),MATCH('Index&amp;Match'!O100,'Main Data'!$A100:$O100,0))</f>
        <v>64</v>
      </c>
    </row>
    <row r="102" spans="1:15" x14ac:dyDescent="0.3">
      <c r="A102" s="2" t="s">
        <v>159</v>
      </c>
      <c r="B102" s="1">
        <f>INDEX('Main Data'!$A$1:$O$1001,MATCH('Index&amp;Match'!$A102,'Main Data'!$A$1:$A$1001,0),MATCH('Index&amp;Match'!B101,'Main Data'!$A101:$O101,0))</f>
        <v>46136</v>
      </c>
      <c r="C102" s="2" t="str">
        <f>INDEX('Main Data'!$A$1:$O$1001,MATCH('Index&amp;Match'!$A102,'Main Data'!$A$1:$A$1001,0),MATCH('Index&amp;Match'!C101,'Main Data'!$A101:$O101,0))</f>
        <v>Jamie</v>
      </c>
      <c r="D102" s="2" t="str">
        <f>INDEX('Main Data'!$A$1:$O$1001,MATCH('Index&amp;Match'!$A102,'Main Data'!$A$1:$A$1001,0),MATCH('Index&amp;Match'!D101,'Main Data'!$A101:$O101,0))</f>
        <v>BR-012</v>
      </c>
      <c r="E102" s="2" t="str">
        <f>INDEX('Main Data'!$A$1:$O$1001,MATCH('Index&amp;Match'!$A102,'Main Data'!$A$1:$A$1001,0),MATCH('Index&amp;Match'!E101,'Main Data'!$A101:$O101,0))</f>
        <v>North</v>
      </c>
      <c r="F102" s="2" t="str">
        <f>INDEX('Main Data'!$A$1:$O$1001,MATCH('Index&amp;Match'!$A102,'Main Data'!$A$1:$A$1001,0),MATCH('Index&amp;Match'!F101,'Main Data'!$A101:$O101,0))</f>
        <v>Auto Loan</v>
      </c>
      <c r="G102" s="2" t="str">
        <f>INDEX('Main Data'!$A$1:$O$1001,MATCH('Index&amp;Match'!$A102,'Main Data'!$A$1:$A$1001,0),MATCH('Index&amp;Match'!G101,'Main Data'!$A101:$O101,0))</f>
        <v>Referral</v>
      </c>
      <c r="H102" s="2" t="str">
        <f>INDEX('Main Data'!$A$1:$O$1001,MATCH('Index&amp;Match'!$A102,'Main Data'!$A$1:$A$1001,0),MATCH('Index&amp;Match'!H101,'Main Data'!$A101:$O101,0))</f>
        <v>SME</v>
      </c>
      <c r="I102" s="2">
        <f>INDEX('Main Data'!$A$1:$O$1001,MATCH('Index&amp;Match'!$A102,'Main Data'!$A$1:$A$1001,0),MATCH('Index&amp;Match'!I101,'Main Data'!$A101:$O101,0))</f>
        <v>67</v>
      </c>
      <c r="J102" s="2">
        <f>INDEX('Main Data'!$A$1:$O$1001,MATCH('Index&amp;Match'!$A102,'Main Data'!$A$1:$A$1001,0),MATCH('Index&amp;Match'!J101,'Main Data'!$A101:$O101,0))</f>
        <v>67</v>
      </c>
      <c r="K102" s="11">
        <f>INDEX('Main Data'!$A$1:$O$1001,MATCH('Index&amp;Match'!$A102,'Main Data'!$A$1:$A$1001,0),MATCH('Index&amp;Match'!K101,'Main Data'!$A101:$O101,0))</f>
        <v>27602.14</v>
      </c>
      <c r="L102" s="11">
        <f>INDEX('Main Data'!$A$1:$O$1001,MATCH('Index&amp;Match'!$A102,'Main Data'!$A$1:$A$1001,0),MATCH('Index&amp;Match'!L101,'Main Data'!$A101:$O101,0))</f>
        <v>462.68</v>
      </c>
      <c r="M102" s="11">
        <f>INDEX('Main Data'!$A$1:$O$1001,MATCH('Index&amp;Match'!$A102,'Main Data'!$A$1:$A$1001,0),MATCH('Index&amp;Match'!M101,'Main Data'!$A101:$O101,0))</f>
        <v>61.92</v>
      </c>
      <c r="N102" s="2" t="str">
        <f>INDEX('Main Data'!$A$1:$O$1001,MATCH('Index&amp;Match'!$A102,'Main Data'!$A$1:$A$1001,0),MATCH('Index&amp;Match'!N101,'Main Data'!$A101:$O101,0))</f>
        <v>Yes</v>
      </c>
      <c r="O102" s="2">
        <f>INDEX('Main Data'!$A$1:$O$1001,MATCH('Index&amp;Match'!$A102,'Main Data'!$A$1:$A$1001,0),MATCH('Index&amp;Match'!O101,'Main Data'!$A101:$O101,0))</f>
        <v>113</v>
      </c>
    </row>
    <row r="103" spans="1:15" x14ac:dyDescent="0.3">
      <c r="A103" s="2" t="s">
        <v>160</v>
      </c>
      <c r="B103" s="1">
        <f>INDEX('Main Data'!$A$1:$O$1001,MATCH('Index&amp;Match'!$A103,'Main Data'!$A$1:$A$1001,0),MATCH('Index&amp;Match'!B102,'Main Data'!$A102:$O102,0))</f>
        <v>46228</v>
      </c>
      <c r="C103" s="2" t="str">
        <f>INDEX('Main Data'!$A$1:$O$1001,MATCH('Index&amp;Match'!$A103,'Main Data'!$A$1:$A$1001,0),MATCH('Index&amp;Match'!C102,'Main Data'!$A102:$O102,0))</f>
        <v>Jordan</v>
      </c>
      <c r="D103" s="2" t="str">
        <f>INDEX('Main Data'!$A$1:$O$1001,MATCH('Index&amp;Match'!$A103,'Main Data'!$A$1:$A$1001,0),MATCH('Index&amp;Match'!D102,'Main Data'!$A102:$O102,0))</f>
        <v>BR-005</v>
      </c>
      <c r="E103" s="2" t="str">
        <f>INDEX('Main Data'!$A$1:$O$1001,MATCH('Index&amp;Match'!$A103,'Main Data'!$A$1:$A$1001,0),MATCH('Index&amp;Match'!E102,'Main Data'!$A102:$O102,0))</f>
        <v>North</v>
      </c>
      <c r="F103" s="2" t="str">
        <f>INDEX('Main Data'!$A$1:$O$1001,MATCH('Index&amp;Match'!$A103,'Main Data'!$A$1:$A$1001,0),MATCH('Index&amp;Match'!F102,'Main Data'!$A102:$O102,0))</f>
        <v>Mortgage</v>
      </c>
      <c r="G103" s="2" t="str">
        <f>INDEX('Main Data'!$A$1:$O$1001,MATCH('Index&amp;Match'!$A103,'Main Data'!$A$1:$A$1001,0),MATCH('Index&amp;Match'!G102,'Main Data'!$A102:$O102,0))</f>
        <v>Social Media</v>
      </c>
      <c r="H103" s="2" t="str">
        <f>INDEX('Main Data'!$A$1:$O$1001,MATCH('Index&amp;Match'!$A103,'Main Data'!$A$1:$A$1001,0),MATCH('Index&amp;Match'!H102,'Main Data'!$A102:$O102,0))</f>
        <v>Corporate</v>
      </c>
      <c r="I103" s="2">
        <f>INDEX('Main Data'!$A$1:$O$1001,MATCH('Index&amp;Match'!$A103,'Main Data'!$A$1:$A$1001,0),MATCH('Index&amp;Match'!I102,'Main Data'!$A102:$O102,0))</f>
        <v>45</v>
      </c>
      <c r="J103" s="2">
        <f>INDEX('Main Data'!$A$1:$O$1001,MATCH('Index&amp;Match'!$A103,'Main Data'!$A$1:$A$1001,0),MATCH('Index&amp;Match'!J102,'Main Data'!$A102:$O102,0))</f>
        <v>45</v>
      </c>
      <c r="K103" s="11">
        <f>INDEX('Main Data'!$A$1:$O$1001,MATCH('Index&amp;Match'!$A103,'Main Data'!$A$1:$A$1001,0),MATCH('Index&amp;Match'!K102,'Main Data'!$A102:$O102,0))</f>
        <v>47217.02</v>
      </c>
      <c r="L103" s="11">
        <f>INDEX('Main Data'!$A$1:$O$1001,MATCH('Index&amp;Match'!$A103,'Main Data'!$A$1:$A$1001,0),MATCH('Index&amp;Match'!L102,'Main Data'!$A102:$O102,0))</f>
        <v>312.54000000000002</v>
      </c>
      <c r="M103" s="11">
        <f>INDEX('Main Data'!$A$1:$O$1001,MATCH('Index&amp;Match'!$A103,'Main Data'!$A$1:$A$1001,0),MATCH('Index&amp;Match'!M102,'Main Data'!$A102:$O102,0))</f>
        <v>64.02</v>
      </c>
      <c r="N103" s="2" t="str">
        <f>INDEX('Main Data'!$A$1:$O$1001,MATCH('Index&amp;Match'!$A103,'Main Data'!$A$1:$A$1001,0),MATCH('Index&amp;Match'!N102,'Main Data'!$A102:$O102,0))</f>
        <v>No</v>
      </c>
      <c r="O103" s="2">
        <f>INDEX('Main Data'!$A$1:$O$1001,MATCH('Index&amp;Match'!$A103,'Main Data'!$A$1:$A$1001,0),MATCH('Index&amp;Match'!O102,'Main Data'!$A102:$O102,0))</f>
        <v>116</v>
      </c>
    </row>
    <row r="104" spans="1:15" x14ac:dyDescent="0.3">
      <c r="A104" s="2" t="s">
        <v>161</v>
      </c>
      <c r="B104" s="1">
        <f>INDEX('Main Data'!$A$1:$O$1001,MATCH('Index&amp;Match'!$A104,'Main Data'!$A$1:$A$1001,0),MATCH('Index&amp;Match'!B103,'Main Data'!$A103:$O103,0))</f>
        <v>46030</v>
      </c>
      <c r="C104" s="2" t="str">
        <f>INDEX('Main Data'!$A$1:$O$1001,MATCH('Index&amp;Match'!$A104,'Main Data'!$A$1:$A$1001,0),MATCH('Index&amp;Match'!C103,'Main Data'!$A103:$O103,0))</f>
        <v>Jordan</v>
      </c>
      <c r="D104" s="2" t="str">
        <f>INDEX('Main Data'!$A$1:$O$1001,MATCH('Index&amp;Match'!$A104,'Main Data'!$A$1:$A$1001,0),MATCH('Index&amp;Match'!D103,'Main Data'!$A103:$O103,0))</f>
        <v>BR-014</v>
      </c>
      <c r="E104" s="2" t="str">
        <f>INDEX('Main Data'!$A$1:$O$1001,MATCH('Index&amp;Match'!$A104,'Main Data'!$A$1:$A$1001,0),MATCH('Index&amp;Match'!E103,'Main Data'!$A103:$O103,0))</f>
        <v>East</v>
      </c>
      <c r="F104" s="2" t="str">
        <f>INDEX('Main Data'!$A$1:$O$1001,MATCH('Index&amp;Match'!$A104,'Main Data'!$A$1:$A$1001,0),MATCH('Index&amp;Match'!F103,'Main Data'!$A103:$O103,0))</f>
        <v>Personal Loan</v>
      </c>
      <c r="G104" s="2" t="str">
        <f>INDEX('Main Data'!$A$1:$O$1001,MATCH('Index&amp;Match'!$A104,'Main Data'!$A$1:$A$1001,0),MATCH('Index&amp;Match'!G103,'Main Data'!$A103:$O103,0))</f>
        <v>Walk-in</v>
      </c>
      <c r="H104" s="2" t="str">
        <f>INDEX('Main Data'!$A$1:$O$1001,MATCH('Index&amp;Match'!$A104,'Main Data'!$A$1:$A$1001,0),MATCH('Index&amp;Match'!H103,'Main Data'!$A103:$O103,0))</f>
        <v>Retail</v>
      </c>
      <c r="I104" s="2">
        <f>INDEX('Main Data'!$A$1:$O$1001,MATCH('Index&amp;Match'!$A104,'Main Data'!$A$1:$A$1001,0),MATCH('Index&amp;Match'!I103,'Main Data'!$A103:$O103,0))</f>
        <v>30</v>
      </c>
      <c r="J104" s="2">
        <f>INDEX('Main Data'!$A$1:$O$1001,MATCH('Index&amp;Match'!$A104,'Main Data'!$A$1:$A$1001,0),MATCH('Index&amp;Match'!J103,'Main Data'!$A103:$O103,0))</f>
        <v>30</v>
      </c>
      <c r="K104" s="11">
        <f>INDEX('Main Data'!$A$1:$O$1001,MATCH('Index&amp;Match'!$A104,'Main Data'!$A$1:$A$1001,0),MATCH('Index&amp;Match'!K103,'Main Data'!$A103:$O103,0))</f>
        <v>12919.07</v>
      </c>
      <c r="L104" s="11">
        <f>INDEX('Main Data'!$A$1:$O$1001,MATCH('Index&amp;Match'!$A104,'Main Data'!$A$1:$A$1001,0),MATCH('Index&amp;Match'!L103,'Main Data'!$A103:$O103,0))</f>
        <v>258.17</v>
      </c>
      <c r="M104" s="11">
        <f>INDEX('Main Data'!$A$1:$O$1001,MATCH('Index&amp;Match'!$A104,'Main Data'!$A$1:$A$1001,0),MATCH('Index&amp;Match'!M103,'Main Data'!$A103:$O103,0))</f>
        <v>167.67</v>
      </c>
      <c r="N104" s="2" t="str">
        <f>INDEX('Main Data'!$A$1:$O$1001,MATCH('Index&amp;Match'!$A104,'Main Data'!$A$1:$A$1001,0),MATCH('Index&amp;Match'!N103,'Main Data'!$A103:$O103,0))</f>
        <v>Yes</v>
      </c>
      <c r="O104" s="2">
        <f>INDEX('Main Data'!$A$1:$O$1001,MATCH('Index&amp;Match'!$A104,'Main Data'!$A$1:$A$1001,0),MATCH('Index&amp;Match'!O103,'Main Data'!$A103:$O103,0))</f>
        <v>88</v>
      </c>
    </row>
    <row r="105" spans="1:15" x14ac:dyDescent="0.3">
      <c r="A105" s="2" t="s">
        <v>162</v>
      </c>
      <c r="B105" s="1">
        <f>INDEX('Main Data'!$A$1:$O$1001,MATCH('Index&amp;Match'!$A105,'Main Data'!$A$1:$A$1001,0),MATCH('Index&amp;Match'!B104,'Main Data'!$A104:$O104,0))</f>
        <v>46049</v>
      </c>
      <c r="C105" s="2" t="str">
        <f>INDEX('Main Data'!$A$1:$O$1001,MATCH('Index&amp;Match'!$A105,'Main Data'!$A$1:$A$1001,0),MATCH('Index&amp;Match'!C104,'Main Data'!$A104:$O104,0))</f>
        <v>Morgan</v>
      </c>
      <c r="D105" s="2" t="str">
        <f>INDEX('Main Data'!$A$1:$O$1001,MATCH('Index&amp;Match'!$A105,'Main Data'!$A$1:$A$1001,0),MATCH('Index&amp;Match'!D104,'Main Data'!$A104:$O104,0))</f>
        <v>BR-014</v>
      </c>
      <c r="E105" s="2" t="str">
        <f>INDEX('Main Data'!$A$1:$O$1001,MATCH('Index&amp;Match'!$A105,'Main Data'!$A$1:$A$1001,0),MATCH('Index&amp;Match'!E104,'Main Data'!$A104:$O104,0))</f>
        <v>West</v>
      </c>
      <c r="F105" s="2" t="str">
        <f>INDEX('Main Data'!$A$1:$O$1001,MATCH('Index&amp;Match'!$A105,'Main Data'!$A$1:$A$1001,0),MATCH('Index&amp;Match'!F104,'Main Data'!$A104:$O104,0))</f>
        <v>Personal Loan</v>
      </c>
      <c r="G105" s="2" t="str">
        <f>INDEX('Main Data'!$A$1:$O$1001,MATCH('Index&amp;Match'!$A105,'Main Data'!$A$1:$A$1001,0),MATCH('Index&amp;Match'!G104,'Main Data'!$A104:$O104,0))</f>
        <v>Walk-in</v>
      </c>
      <c r="H105" s="2" t="str">
        <f>INDEX('Main Data'!$A$1:$O$1001,MATCH('Index&amp;Match'!$A105,'Main Data'!$A$1:$A$1001,0),MATCH('Index&amp;Match'!H104,'Main Data'!$A104:$O104,0))</f>
        <v>High Net Worth</v>
      </c>
      <c r="I105" s="2">
        <f>INDEX('Main Data'!$A$1:$O$1001,MATCH('Index&amp;Match'!$A105,'Main Data'!$A$1:$A$1001,0),MATCH('Index&amp;Match'!I104,'Main Data'!$A104:$O104,0))</f>
        <v>34</v>
      </c>
      <c r="J105" s="2">
        <f>INDEX('Main Data'!$A$1:$O$1001,MATCH('Index&amp;Match'!$A105,'Main Data'!$A$1:$A$1001,0),MATCH('Index&amp;Match'!J104,'Main Data'!$A104:$O104,0))</f>
        <v>34</v>
      </c>
      <c r="K105" s="11">
        <f>INDEX('Main Data'!$A$1:$O$1001,MATCH('Index&amp;Match'!$A105,'Main Data'!$A$1:$A$1001,0),MATCH('Index&amp;Match'!K104,'Main Data'!$A104:$O104,0))</f>
        <v>5477.86</v>
      </c>
      <c r="L105" s="11">
        <f>INDEX('Main Data'!$A$1:$O$1001,MATCH('Index&amp;Match'!$A105,'Main Data'!$A$1:$A$1001,0),MATCH('Index&amp;Match'!L104,'Main Data'!$A104:$O104,0))</f>
        <v>418.24</v>
      </c>
      <c r="M105" s="11">
        <f>INDEX('Main Data'!$A$1:$O$1001,MATCH('Index&amp;Match'!$A105,'Main Data'!$A$1:$A$1001,0),MATCH('Index&amp;Match'!M104,'Main Data'!$A104:$O104,0))</f>
        <v>196.27</v>
      </c>
      <c r="N105" s="2" t="str">
        <f>INDEX('Main Data'!$A$1:$O$1001,MATCH('Index&amp;Match'!$A105,'Main Data'!$A$1:$A$1001,0),MATCH('Index&amp;Match'!N104,'Main Data'!$A104:$O104,0))</f>
        <v>No</v>
      </c>
      <c r="O105" s="2">
        <f>INDEX('Main Data'!$A$1:$O$1001,MATCH('Index&amp;Match'!$A105,'Main Data'!$A$1:$A$1001,0),MATCH('Index&amp;Match'!O104,'Main Data'!$A104:$O104,0))</f>
        <v>109</v>
      </c>
    </row>
    <row r="106" spans="1:15" x14ac:dyDescent="0.3">
      <c r="A106" s="2" t="s">
        <v>163</v>
      </c>
      <c r="B106" s="1">
        <f>INDEX('Main Data'!$A$1:$O$1001,MATCH('Index&amp;Match'!$A106,'Main Data'!$A$1:$A$1001,0),MATCH('Index&amp;Match'!B105,'Main Data'!$A105:$O105,0))</f>
        <v>46191</v>
      </c>
      <c r="C106" s="2" t="str">
        <f>INDEX('Main Data'!$A$1:$O$1001,MATCH('Index&amp;Match'!$A106,'Main Data'!$A$1:$A$1001,0),MATCH('Index&amp;Match'!C105,'Main Data'!$A105:$O105,0))</f>
        <v>Jordan</v>
      </c>
      <c r="D106" s="2" t="str">
        <f>INDEX('Main Data'!$A$1:$O$1001,MATCH('Index&amp;Match'!$A106,'Main Data'!$A$1:$A$1001,0),MATCH('Index&amp;Match'!D105,'Main Data'!$A105:$O105,0))</f>
        <v>BR-011</v>
      </c>
      <c r="E106" s="2" t="str">
        <f>INDEX('Main Data'!$A$1:$O$1001,MATCH('Index&amp;Match'!$A106,'Main Data'!$A$1:$A$1001,0),MATCH('Index&amp;Match'!E105,'Main Data'!$A105:$O105,0))</f>
        <v>South</v>
      </c>
      <c r="F106" s="2" t="str">
        <f>INDEX('Main Data'!$A$1:$O$1001,MATCH('Index&amp;Match'!$A106,'Main Data'!$A$1:$A$1001,0),MATCH('Index&amp;Match'!F105,'Main Data'!$A105:$O105,0))</f>
        <v>Mortgage</v>
      </c>
      <c r="G106" s="2" t="str">
        <f>INDEX('Main Data'!$A$1:$O$1001,MATCH('Index&amp;Match'!$A106,'Main Data'!$A$1:$A$1001,0),MATCH('Index&amp;Match'!G105,'Main Data'!$A105:$O105,0))</f>
        <v>Website</v>
      </c>
      <c r="H106" s="2" t="str">
        <f>INDEX('Main Data'!$A$1:$O$1001,MATCH('Index&amp;Match'!$A106,'Main Data'!$A$1:$A$1001,0),MATCH('Index&amp;Match'!H105,'Main Data'!$A105:$O105,0))</f>
        <v>Retail</v>
      </c>
      <c r="I106" s="2">
        <f>INDEX('Main Data'!$A$1:$O$1001,MATCH('Index&amp;Match'!$A106,'Main Data'!$A$1:$A$1001,0),MATCH('Index&amp;Match'!I105,'Main Data'!$A105:$O105,0))</f>
        <v>62</v>
      </c>
      <c r="J106" s="2">
        <f>INDEX('Main Data'!$A$1:$O$1001,MATCH('Index&amp;Match'!$A106,'Main Data'!$A$1:$A$1001,0),MATCH('Index&amp;Match'!J105,'Main Data'!$A105:$O105,0))</f>
        <v>62</v>
      </c>
      <c r="K106" s="11">
        <f>INDEX('Main Data'!$A$1:$O$1001,MATCH('Index&amp;Match'!$A106,'Main Data'!$A$1:$A$1001,0),MATCH('Index&amp;Match'!K105,'Main Data'!$A105:$O105,0))</f>
        <v>19966.439999999999</v>
      </c>
      <c r="L106" s="11">
        <f>INDEX('Main Data'!$A$1:$O$1001,MATCH('Index&amp;Match'!$A106,'Main Data'!$A$1:$A$1001,0),MATCH('Index&amp;Match'!L105,'Main Data'!$A105:$O105,0))</f>
        <v>357.5</v>
      </c>
      <c r="M106" s="11">
        <f>INDEX('Main Data'!$A$1:$O$1001,MATCH('Index&amp;Match'!$A106,'Main Data'!$A$1:$A$1001,0),MATCH('Index&amp;Match'!M105,'Main Data'!$A105:$O105,0))</f>
        <v>55.09</v>
      </c>
      <c r="N106" s="2" t="str">
        <f>INDEX('Main Data'!$A$1:$O$1001,MATCH('Index&amp;Match'!$A106,'Main Data'!$A$1:$A$1001,0),MATCH('Index&amp;Match'!N105,'Main Data'!$A105:$O105,0))</f>
        <v>Yes</v>
      </c>
      <c r="O106" s="2">
        <f>INDEX('Main Data'!$A$1:$O$1001,MATCH('Index&amp;Match'!$A106,'Main Data'!$A$1:$A$1001,0),MATCH('Index&amp;Match'!O105,'Main Data'!$A105:$O105,0))</f>
        <v>35</v>
      </c>
    </row>
    <row r="107" spans="1:15" x14ac:dyDescent="0.3">
      <c r="A107" s="2" t="s">
        <v>164</v>
      </c>
      <c r="B107" s="1">
        <f>INDEX('Main Data'!$A$1:$O$1001,MATCH('Index&amp;Match'!$A107,'Main Data'!$A$1:$A$1001,0),MATCH('Index&amp;Match'!B106,'Main Data'!$A106:$O106,0))</f>
        <v>46005</v>
      </c>
      <c r="C107" s="2" t="str">
        <f>INDEX('Main Data'!$A$1:$O$1001,MATCH('Index&amp;Match'!$A107,'Main Data'!$A$1:$A$1001,0),MATCH('Index&amp;Match'!C106,'Main Data'!$A106:$O106,0))</f>
        <v>Jordan</v>
      </c>
      <c r="D107" s="2" t="str">
        <f>INDEX('Main Data'!$A$1:$O$1001,MATCH('Index&amp;Match'!$A107,'Main Data'!$A$1:$A$1001,0),MATCH('Index&amp;Match'!D106,'Main Data'!$A106:$O106,0))</f>
        <v>BR-009</v>
      </c>
      <c r="E107" s="2" t="str">
        <f>INDEX('Main Data'!$A$1:$O$1001,MATCH('Index&amp;Match'!$A107,'Main Data'!$A$1:$A$1001,0),MATCH('Index&amp;Match'!E106,'Main Data'!$A106:$O106,0))</f>
        <v>North</v>
      </c>
      <c r="F107" s="2" t="str">
        <f>INDEX('Main Data'!$A$1:$O$1001,MATCH('Index&amp;Match'!$A107,'Main Data'!$A$1:$A$1001,0),MATCH('Index&amp;Match'!F106,'Main Data'!$A106:$O106,0))</f>
        <v>Credit Card</v>
      </c>
      <c r="G107" s="2" t="str">
        <f>INDEX('Main Data'!$A$1:$O$1001,MATCH('Index&amp;Match'!$A107,'Main Data'!$A$1:$A$1001,0),MATCH('Index&amp;Match'!G106,'Main Data'!$A106:$O106,0))</f>
        <v>Social Media</v>
      </c>
      <c r="H107" s="2" t="str">
        <f>INDEX('Main Data'!$A$1:$O$1001,MATCH('Index&amp;Match'!$A107,'Main Data'!$A$1:$A$1001,0),MATCH('Index&amp;Match'!H106,'Main Data'!$A106:$O106,0))</f>
        <v>Retail</v>
      </c>
      <c r="I107" s="2">
        <f>INDEX('Main Data'!$A$1:$O$1001,MATCH('Index&amp;Match'!$A107,'Main Data'!$A$1:$A$1001,0),MATCH('Index&amp;Match'!I106,'Main Data'!$A106:$O106,0))</f>
        <v>66</v>
      </c>
      <c r="J107" s="2">
        <f>INDEX('Main Data'!$A$1:$O$1001,MATCH('Index&amp;Match'!$A107,'Main Data'!$A$1:$A$1001,0),MATCH('Index&amp;Match'!J106,'Main Data'!$A106:$O106,0))</f>
        <v>66</v>
      </c>
      <c r="K107" s="11">
        <f>INDEX('Main Data'!$A$1:$O$1001,MATCH('Index&amp;Match'!$A107,'Main Data'!$A$1:$A$1001,0),MATCH('Index&amp;Match'!K106,'Main Data'!$A106:$O106,0))</f>
        <v>31027.279999999999</v>
      </c>
      <c r="L107" s="11">
        <f>INDEX('Main Data'!$A$1:$O$1001,MATCH('Index&amp;Match'!$A107,'Main Data'!$A$1:$A$1001,0),MATCH('Index&amp;Match'!L106,'Main Data'!$A106:$O106,0))</f>
        <v>132.6</v>
      </c>
      <c r="M107" s="11">
        <f>INDEX('Main Data'!$A$1:$O$1001,MATCH('Index&amp;Match'!$A107,'Main Data'!$A$1:$A$1001,0),MATCH('Index&amp;Match'!M106,'Main Data'!$A106:$O106,0))</f>
        <v>193.55</v>
      </c>
      <c r="N107" s="2" t="str">
        <f>INDEX('Main Data'!$A$1:$O$1001,MATCH('Index&amp;Match'!$A107,'Main Data'!$A$1:$A$1001,0),MATCH('Index&amp;Match'!N106,'Main Data'!$A106:$O106,0))</f>
        <v>Yes</v>
      </c>
      <c r="O107" s="2">
        <f>INDEX('Main Data'!$A$1:$O$1001,MATCH('Index&amp;Match'!$A107,'Main Data'!$A$1:$A$1001,0),MATCH('Index&amp;Match'!O106,'Main Data'!$A106:$O106,0))</f>
        <v>62</v>
      </c>
    </row>
    <row r="108" spans="1:15" x14ac:dyDescent="0.3">
      <c r="A108" s="2" t="s">
        <v>165</v>
      </c>
      <c r="B108" s="1">
        <f>INDEX('Main Data'!$A$1:$O$1001,MATCH('Index&amp;Match'!$A108,'Main Data'!$A$1:$A$1001,0),MATCH('Index&amp;Match'!B107,'Main Data'!$A107:$O107,0))</f>
        <v>45979</v>
      </c>
      <c r="C108" s="2" t="str">
        <f>INDEX('Main Data'!$A$1:$O$1001,MATCH('Index&amp;Match'!$A108,'Main Data'!$A$1:$A$1001,0),MATCH('Index&amp;Match'!C107,'Main Data'!$A107:$O107,0))</f>
        <v>Sam</v>
      </c>
      <c r="D108" s="2" t="str">
        <f>INDEX('Main Data'!$A$1:$O$1001,MATCH('Index&amp;Match'!$A108,'Main Data'!$A$1:$A$1001,0),MATCH('Index&amp;Match'!D107,'Main Data'!$A107:$O107,0))</f>
        <v>BR-001</v>
      </c>
      <c r="E108" s="2" t="str">
        <f>INDEX('Main Data'!$A$1:$O$1001,MATCH('Index&amp;Match'!$A108,'Main Data'!$A$1:$A$1001,0),MATCH('Index&amp;Match'!E107,'Main Data'!$A107:$O107,0))</f>
        <v>Central</v>
      </c>
      <c r="F108" s="2" t="str">
        <f>INDEX('Main Data'!$A$1:$O$1001,MATCH('Index&amp;Match'!$A108,'Main Data'!$A$1:$A$1001,0),MATCH('Index&amp;Match'!F107,'Main Data'!$A107:$O107,0))</f>
        <v>Personal Loan</v>
      </c>
      <c r="G108" s="2" t="str">
        <f>INDEX('Main Data'!$A$1:$O$1001,MATCH('Index&amp;Match'!$A108,'Main Data'!$A$1:$A$1001,0),MATCH('Index&amp;Match'!G107,'Main Data'!$A107:$O107,0))</f>
        <v>Email Campaign</v>
      </c>
      <c r="H108" s="2" t="str">
        <f>INDEX('Main Data'!$A$1:$O$1001,MATCH('Index&amp;Match'!$A108,'Main Data'!$A$1:$A$1001,0),MATCH('Index&amp;Match'!H107,'Main Data'!$A107:$O107,0))</f>
        <v>Corporate</v>
      </c>
      <c r="I108" s="2">
        <f>INDEX('Main Data'!$A$1:$O$1001,MATCH('Index&amp;Match'!$A108,'Main Data'!$A$1:$A$1001,0),MATCH('Index&amp;Match'!I107,'Main Data'!$A107:$O107,0))</f>
        <v>50</v>
      </c>
      <c r="J108" s="2">
        <f>INDEX('Main Data'!$A$1:$O$1001,MATCH('Index&amp;Match'!$A108,'Main Data'!$A$1:$A$1001,0),MATCH('Index&amp;Match'!J107,'Main Data'!$A107:$O107,0))</f>
        <v>50</v>
      </c>
      <c r="K108" s="11">
        <f>INDEX('Main Data'!$A$1:$O$1001,MATCH('Index&amp;Match'!$A108,'Main Data'!$A$1:$A$1001,0),MATCH('Index&amp;Match'!K107,'Main Data'!$A107:$O107,0))</f>
        <v>43109.55</v>
      </c>
      <c r="L108" s="11">
        <f>INDEX('Main Data'!$A$1:$O$1001,MATCH('Index&amp;Match'!$A108,'Main Data'!$A$1:$A$1001,0),MATCH('Index&amp;Match'!L107,'Main Data'!$A107:$O107,0))</f>
        <v>419.41</v>
      </c>
      <c r="M108" s="11">
        <f>INDEX('Main Data'!$A$1:$O$1001,MATCH('Index&amp;Match'!$A108,'Main Data'!$A$1:$A$1001,0),MATCH('Index&amp;Match'!M107,'Main Data'!$A107:$O107,0))</f>
        <v>64.31</v>
      </c>
      <c r="N108" s="2" t="str">
        <f>INDEX('Main Data'!$A$1:$O$1001,MATCH('Index&amp;Match'!$A108,'Main Data'!$A$1:$A$1001,0),MATCH('Index&amp;Match'!N107,'Main Data'!$A107:$O107,0))</f>
        <v>No</v>
      </c>
      <c r="O108" s="2">
        <f>INDEX('Main Data'!$A$1:$O$1001,MATCH('Index&amp;Match'!$A108,'Main Data'!$A$1:$A$1001,0),MATCH('Index&amp;Match'!O107,'Main Data'!$A107:$O107,0))</f>
        <v>1</v>
      </c>
    </row>
    <row r="109" spans="1:15" x14ac:dyDescent="0.3">
      <c r="A109" s="2" t="s">
        <v>166</v>
      </c>
      <c r="B109" s="1">
        <f>INDEX('Main Data'!$A$1:$O$1001,MATCH('Index&amp;Match'!$A109,'Main Data'!$A$1:$A$1001,0),MATCH('Index&amp;Match'!B108,'Main Data'!$A108:$O108,0))</f>
        <v>46067</v>
      </c>
      <c r="C109" s="2" t="str">
        <f>INDEX('Main Data'!$A$1:$O$1001,MATCH('Index&amp;Match'!$A109,'Main Data'!$A$1:$A$1001,0),MATCH('Index&amp;Match'!C108,'Main Data'!$A108:$O108,0))</f>
        <v>Morgan</v>
      </c>
      <c r="D109" s="2" t="str">
        <f>INDEX('Main Data'!$A$1:$O$1001,MATCH('Index&amp;Match'!$A109,'Main Data'!$A$1:$A$1001,0),MATCH('Index&amp;Match'!D108,'Main Data'!$A108:$O108,0))</f>
        <v>BR-015</v>
      </c>
      <c r="E109" s="2" t="str">
        <f>INDEX('Main Data'!$A$1:$O$1001,MATCH('Index&amp;Match'!$A109,'Main Data'!$A$1:$A$1001,0),MATCH('Index&amp;Match'!E108,'Main Data'!$A108:$O108,0))</f>
        <v>East</v>
      </c>
      <c r="F109" s="2" t="str">
        <f>INDEX('Main Data'!$A$1:$O$1001,MATCH('Index&amp;Match'!$A109,'Main Data'!$A$1:$A$1001,0),MATCH('Index&amp;Match'!F108,'Main Data'!$A108:$O108,0))</f>
        <v>Wealth Management</v>
      </c>
      <c r="G109" s="2" t="str">
        <f>INDEX('Main Data'!$A$1:$O$1001,MATCH('Index&amp;Match'!$A109,'Main Data'!$A$1:$A$1001,0),MATCH('Index&amp;Match'!G108,'Main Data'!$A108:$O108,0))</f>
        <v>Social Media</v>
      </c>
      <c r="H109" s="2" t="str">
        <f>INDEX('Main Data'!$A$1:$O$1001,MATCH('Index&amp;Match'!$A109,'Main Data'!$A$1:$A$1001,0),MATCH('Index&amp;Match'!H108,'Main Data'!$A108:$O108,0))</f>
        <v>Corporate</v>
      </c>
      <c r="I109" s="2">
        <f>INDEX('Main Data'!$A$1:$O$1001,MATCH('Index&amp;Match'!$A109,'Main Data'!$A$1:$A$1001,0),MATCH('Index&amp;Match'!I108,'Main Data'!$A108:$O108,0))</f>
        <v>61</v>
      </c>
      <c r="J109" s="2">
        <f>INDEX('Main Data'!$A$1:$O$1001,MATCH('Index&amp;Match'!$A109,'Main Data'!$A$1:$A$1001,0),MATCH('Index&amp;Match'!J108,'Main Data'!$A108:$O108,0))</f>
        <v>61</v>
      </c>
      <c r="K109" s="11">
        <f>INDEX('Main Data'!$A$1:$O$1001,MATCH('Index&amp;Match'!$A109,'Main Data'!$A$1:$A$1001,0),MATCH('Index&amp;Match'!K108,'Main Data'!$A108:$O108,0))</f>
        <v>17636.75</v>
      </c>
      <c r="L109" s="11">
        <f>INDEX('Main Data'!$A$1:$O$1001,MATCH('Index&amp;Match'!$A109,'Main Data'!$A$1:$A$1001,0),MATCH('Index&amp;Match'!L108,'Main Data'!$A108:$O108,0))</f>
        <v>243</v>
      </c>
      <c r="M109" s="11">
        <f>INDEX('Main Data'!$A$1:$O$1001,MATCH('Index&amp;Match'!$A109,'Main Data'!$A$1:$A$1001,0),MATCH('Index&amp;Match'!M108,'Main Data'!$A108:$O108,0))</f>
        <v>199.65</v>
      </c>
      <c r="N109" s="2" t="str">
        <f>INDEX('Main Data'!$A$1:$O$1001,MATCH('Index&amp;Match'!$A109,'Main Data'!$A$1:$A$1001,0),MATCH('Index&amp;Match'!N108,'Main Data'!$A108:$O108,0))</f>
        <v>No</v>
      </c>
      <c r="O109" s="2">
        <f>INDEX('Main Data'!$A$1:$O$1001,MATCH('Index&amp;Match'!$A109,'Main Data'!$A$1:$A$1001,0),MATCH('Index&amp;Match'!O108,'Main Data'!$A108:$O108,0))</f>
        <v>100</v>
      </c>
    </row>
    <row r="110" spans="1:15" x14ac:dyDescent="0.3">
      <c r="A110" s="2" t="s">
        <v>167</v>
      </c>
      <c r="B110" s="1">
        <f>INDEX('Main Data'!$A$1:$O$1001,MATCH('Index&amp;Match'!$A110,'Main Data'!$A$1:$A$1001,0),MATCH('Index&amp;Match'!B109,'Main Data'!$A109:$O109,0))</f>
        <v>45948</v>
      </c>
      <c r="C110" s="2" t="str">
        <f>INDEX('Main Data'!$A$1:$O$1001,MATCH('Index&amp;Match'!$A110,'Main Data'!$A$1:$A$1001,0),MATCH('Index&amp;Match'!C109,'Main Data'!$A109:$O109,0))</f>
        <v>Sam</v>
      </c>
      <c r="D110" s="2" t="str">
        <f>INDEX('Main Data'!$A$1:$O$1001,MATCH('Index&amp;Match'!$A110,'Main Data'!$A$1:$A$1001,0),MATCH('Index&amp;Match'!D109,'Main Data'!$A109:$O109,0))</f>
        <v>BR-015</v>
      </c>
      <c r="E110" s="2" t="str">
        <f>INDEX('Main Data'!$A$1:$O$1001,MATCH('Index&amp;Match'!$A110,'Main Data'!$A$1:$A$1001,0),MATCH('Index&amp;Match'!E109,'Main Data'!$A109:$O109,0))</f>
        <v>South</v>
      </c>
      <c r="F110" s="2" t="str">
        <f>INDEX('Main Data'!$A$1:$O$1001,MATCH('Index&amp;Match'!$A110,'Main Data'!$A$1:$A$1001,0),MATCH('Index&amp;Match'!F109,'Main Data'!$A109:$O109,0))</f>
        <v>Mortgage</v>
      </c>
      <c r="G110" s="2" t="str">
        <f>INDEX('Main Data'!$A$1:$O$1001,MATCH('Index&amp;Match'!$A110,'Main Data'!$A$1:$A$1001,0),MATCH('Index&amp;Match'!G109,'Main Data'!$A109:$O109,0))</f>
        <v>Website</v>
      </c>
      <c r="H110" s="2" t="str">
        <f>INDEX('Main Data'!$A$1:$O$1001,MATCH('Index&amp;Match'!$A110,'Main Data'!$A$1:$A$1001,0),MATCH('Index&amp;Match'!H109,'Main Data'!$A109:$O109,0))</f>
        <v>Corporate</v>
      </c>
      <c r="I110" s="2">
        <f>INDEX('Main Data'!$A$1:$O$1001,MATCH('Index&amp;Match'!$A110,'Main Data'!$A$1:$A$1001,0),MATCH('Index&amp;Match'!I109,'Main Data'!$A109:$O109,0))</f>
        <v>45</v>
      </c>
      <c r="J110" s="2">
        <f>INDEX('Main Data'!$A$1:$O$1001,MATCH('Index&amp;Match'!$A110,'Main Data'!$A$1:$A$1001,0),MATCH('Index&amp;Match'!J109,'Main Data'!$A109:$O109,0))</f>
        <v>45</v>
      </c>
      <c r="K110" s="11">
        <f>INDEX('Main Data'!$A$1:$O$1001,MATCH('Index&amp;Match'!$A110,'Main Data'!$A$1:$A$1001,0),MATCH('Index&amp;Match'!K109,'Main Data'!$A109:$O109,0))</f>
        <v>32862.44</v>
      </c>
      <c r="L110" s="11">
        <f>INDEX('Main Data'!$A$1:$O$1001,MATCH('Index&amp;Match'!$A110,'Main Data'!$A$1:$A$1001,0),MATCH('Index&amp;Match'!L109,'Main Data'!$A109:$O109,0))</f>
        <v>135.04</v>
      </c>
      <c r="M110" s="11">
        <f>INDEX('Main Data'!$A$1:$O$1001,MATCH('Index&amp;Match'!$A110,'Main Data'!$A$1:$A$1001,0),MATCH('Index&amp;Match'!M109,'Main Data'!$A109:$O109,0))</f>
        <v>199.23</v>
      </c>
      <c r="N110" s="2" t="str">
        <f>INDEX('Main Data'!$A$1:$O$1001,MATCH('Index&amp;Match'!$A110,'Main Data'!$A$1:$A$1001,0),MATCH('Index&amp;Match'!N109,'Main Data'!$A109:$O109,0))</f>
        <v>Yes</v>
      </c>
      <c r="O110" s="2">
        <f>INDEX('Main Data'!$A$1:$O$1001,MATCH('Index&amp;Match'!$A110,'Main Data'!$A$1:$A$1001,0),MATCH('Index&amp;Match'!O109,'Main Data'!$A109:$O109,0))</f>
        <v>25</v>
      </c>
    </row>
    <row r="111" spans="1:15" x14ac:dyDescent="0.3">
      <c r="A111" s="2" t="s">
        <v>168</v>
      </c>
      <c r="B111" s="1">
        <f>INDEX('Main Data'!$A$1:$O$1001,MATCH('Index&amp;Match'!$A111,'Main Data'!$A$1:$A$1001,0),MATCH('Index&amp;Match'!B110,'Main Data'!$A110:$O110,0))</f>
        <v>45971</v>
      </c>
      <c r="C111" s="2" t="str">
        <f>INDEX('Main Data'!$A$1:$O$1001,MATCH('Index&amp;Match'!$A111,'Main Data'!$A$1:$A$1001,0),MATCH('Index&amp;Match'!C110,'Main Data'!$A110:$O110,0))</f>
        <v>Jamie</v>
      </c>
      <c r="D111" s="2" t="str">
        <f>INDEX('Main Data'!$A$1:$O$1001,MATCH('Index&amp;Match'!$A111,'Main Data'!$A$1:$A$1001,0),MATCH('Index&amp;Match'!D110,'Main Data'!$A110:$O110,0))</f>
        <v>BR-007</v>
      </c>
      <c r="E111" s="2" t="str">
        <f>INDEX('Main Data'!$A$1:$O$1001,MATCH('Index&amp;Match'!$A111,'Main Data'!$A$1:$A$1001,0),MATCH('Index&amp;Match'!E110,'Main Data'!$A110:$O110,0))</f>
        <v>East</v>
      </c>
      <c r="F111" s="2" t="str">
        <f>INDEX('Main Data'!$A$1:$O$1001,MATCH('Index&amp;Match'!$A111,'Main Data'!$A$1:$A$1001,0),MATCH('Index&amp;Match'!F110,'Main Data'!$A110:$O110,0))</f>
        <v>Mortgage</v>
      </c>
      <c r="G111" s="2" t="str">
        <f>INDEX('Main Data'!$A$1:$O$1001,MATCH('Index&amp;Match'!$A111,'Main Data'!$A$1:$A$1001,0),MATCH('Index&amp;Match'!G110,'Main Data'!$A110:$O110,0))</f>
        <v>Social Media</v>
      </c>
      <c r="H111" s="2" t="str">
        <f>INDEX('Main Data'!$A$1:$O$1001,MATCH('Index&amp;Match'!$A111,'Main Data'!$A$1:$A$1001,0),MATCH('Index&amp;Match'!H110,'Main Data'!$A110:$O110,0))</f>
        <v>SME</v>
      </c>
      <c r="I111" s="2">
        <f>INDEX('Main Data'!$A$1:$O$1001,MATCH('Index&amp;Match'!$A111,'Main Data'!$A$1:$A$1001,0),MATCH('Index&amp;Match'!I110,'Main Data'!$A110:$O110,0))</f>
        <v>34</v>
      </c>
      <c r="J111" s="2">
        <f>INDEX('Main Data'!$A$1:$O$1001,MATCH('Index&amp;Match'!$A111,'Main Data'!$A$1:$A$1001,0),MATCH('Index&amp;Match'!J110,'Main Data'!$A110:$O110,0))</f>
        <v>34</v>
      </c>
      <c r="K111" s="11">
        <f>INDEX('Main Data'!$A$1:$O$1001,MATCH('Index&amp;Match'!$A111,'Main Data'!$A$1:$A$1001,0),MATCH('Index&amp;Match'!K110,'Main Data'!$A110:$O110,0))</f>
        <v>17834.830000000002</v>
      </c>
      <c r="L111" s="11">
        <f>INDEX('Main Data'!$A$1:$O$1001,MATCH('Index&amp;Match'!$A111,'Main Data'!$A$1:$A$1001,0),MATCH('Index&amp;Match'!L110,'Main Data'!$A110:$O110,0))</f>
        <v>176.81</v>
      </c>
      <c r="M111" s="11">
        <f>INDEX('Main Data'!$A$1:$O$1001,MATCH('Index&amp;Match'!$A111,'Main Data'!$A$1:$A$1001,0),MATCH('Index&amp;Match'!M110,'Main Data'!$A110:$O110,0))</f>
        <v>38.24</v>
      </c>
      <c r="N111" s="2" t="str">
        <f>INDEX('Main Data'!$A$1:$O$1001,MATCH('Index&amp;Match'!$A111,'Main Data'!$A$1:$A$1001,0),MATCH('Index&amp;Match'!N110,'Main Data'!$A110:$O110,0))</f>
        <v>No</v>
      </c>
      <c r="O111" s="2">
        <f>INDEX('Main Data'!$A$1:$O$1001,MATCH('Index&amp;Match'!$A111,'Main Data'!$A$1:$A$1001,0),MATCH('Index&amp;Match'!O110,'Main Data'!$A110:$O110,0))</f>
        <v>45</v>
      </c>
    </row>
    <row r="112" spans="1:15" x14ac:dyDescent="0.3">
      <c r="A112" s="2" t="s">
        <v>169</v>
      </c>
      <c r="B112" s="1">
        <f>INDEX('Main Data'!$A$1:$O$1001,MATCH('Index&amp;Match'!$A112,'Main Data'!$A$1:$A$1001,0),MATCH('Index&amp;Match'!B111,'Main Data'!$A111:$O111,0))</f>
        <v>45910</v>
      </c>
      <c r="C112" s="2" t="str">
        <f>INDEX('Main Data'!$A$1:$O$1001,MATCH('Index&amp;Match'!$A112,'Main Data'!$A$1:$A$1001,0),MATCH('Index&amp;Match'!C111,'Main Data'!$A111:$O111,0))</f>
        <v>Drew</v>
      </c>
      <c r="D112" s="2" t="str">
        <f>INDEX('Main Data'!$A$1:$O$1001,MATCH('Index&amp;Match'!$A112,'Main Data'!$A$1:$A$1001,0),MATCH('Index&amp;Match'!D111,'Main Data'!$A111:$O111,0))</f>
        <v>BR-015</v>
      </c>
      <c r="E112" s="2" t="str">
        <f>INDEX('Main Data'!$A$1:$O$1001,MATCH('Index&amp;Match'!$A112,'Main Data'!$A$1:$A$1001,0),MATCH('Index&amp;Match'!E111,'Main Data'!$A111:$O111,0))</f>
        <v>South</v>
      </c>
      <c r="F112" s="2" t="str">
        <f>INDEX('Main Data'!$A$1:$O$1001,MATCH('Index&amp;Match'!$A112,'Main Data'!$A$1:$A$1001,0),MATCH('Index&amp;Match'!F111,'Main Data'!$A111:$O111,0))</f>
        <v>Personal Loan</v>
      </c>
      <c r="G112" s="2" t="str">
        <f>INDEX('Main Data'!$A$1:$O$1001,MATCH('Index&amp;Match'!$A112,'Main Data'!$A$1:$A$1001,0),MATCH('Index&amp;Match'!G111,'Main Data'!$A111:$O111,0))</f>
        <v>Social Media</v>
      </c>
      <c r="H112" s="2" t="str">
        <f>INDEX('Main Data'!$A$1:$O$1001,MATCH('Index&amp;Match'!$A112,'Main Data'!$A$1:$A$1001,0),MATCH('Index&amp;Match'!H111,'Main Data'!$A111:$O111,0))</f>
        <v>SME</v>
      </c>
      <c r="I112" s="2">
        <f>INDEX('Main Data'!$A$1:$O$1001,MATCH('Index&amp;Match'!$A112,'Main Data'!$A$1:$A$1001,0),MATCH('Index&amp;Match'!I111,'Main Data'!$A111:$O111,0))</f>
        <v>55</v>
      </c>
      <c r="J112" s="2">
        <f>INDEX('Main Data'!$A$1:$O$1001,MATCH('Index&amp;Match'!$A112,'Main Data'!$A$1:$A$1001,0),MATCH('Index&amp;Match'!J111,'Main Data'!$A111:$O111,0))</f>
        <v>55</v>
      </c>
      <c r="K112" s="11">
        <f>INDEX('Main Data'!$A$1:$O$1001,MATCH('Index&amp;Match'!$A112,'Main Data'!$A$1:$A$1001,0),MATCH('Index&amp;Match'!K111,'Main Data'!$A111:$O111,0))</f>
        <v>31052.37</v>
      </c>
      <c r="L112" s="11">
        <f>INDEX('Main Data'!$A$1:$O$1001,MATCH('Index&amp;Match'!$A112,'Main Data'!$A$1:$A$1001,0),MATCH('Index&amp;Match'!L111,'Main Data'!$A111:$O111,0))</f>
        <v>170.39</v>
      </c>
      <c r="M112" s="11">
        <f>INDEX('Main Data'!$A$1:$O$1001,MATCH('Index&amp;Match'!$A112,'Main Data'!$A$1:$A$1001,0),MATCH('Index&amp;Match'!M111,'Main Data'!$A111:$O111,0))</f>
        <v>62.55</v>
      </c>
      <c r="N112" s="2" t="str">
        <f>INDEX('Main Data'!$A$1:$O$1001,MATCH('Index&amp;Match'!$A112,'Main Data'!$A$1:$A$1001,0),MATCH('Index&amp;Match'!N111,'Main Data'!$A111:$O111,0))</f>
        <v>No</v>
      </c>
      <c r="O112" s="2">
        <f>INDEX('Main Data'!$A$1:$O$1001,MATCH('Index&amp;Match'!$A112,'Main Data'!$A$1:$A$1001,0),MATCH('Index&amp;Match'!O111,'Main Data'!$A111:$O111,0))</f>
        <v>49</v>
      </c>
    </row>
    <row r="113" spans="1:15" x14ac:dyDescent="0.3">
      <c r="A113" s="2" t="s">
        <v>170</v>
      </c>
      <c r="B113" s="1">
        <f>INDEX('Main Data'!$A$1:$O$1001,MATCH('Index&amp;Match'!$A113,'Main Data'!$A$1:$A$1001,0),MATCH('Index&amp;Match'!B112,'Main Data'!$A112:$O112,0))</f>
        <v>46133</v>
      </c>
      <c r="C113" s="2" t="str">
        <f>INDEX('Main Data'!$A$1:$O$1001,MATCH('Index&amp;Match'!$A113,'Main Data'!$A$1:$A$1001,0),MATCH('Index&amp;Match'!C112,'Main Data'!$A112:$O112,0))</f>
        <v>Jamie</v>
      </c>
      <c r="D113" s="2" t="str">
        <f>INDEX('Main Data'!$A$1:$O$1001,MATCH('Index&amp;Match'!$A113,'Main Data'!$A$1:$A$1001,0),MATCH('Index&amp;Match'!D112,'Main Data'!$A112:$O112,0))</f>
        <v>BR-005</v>
      </c>
      <c r="E113" s="2" t="str">
        <f>INDEX('Main Data'!$A$1:$O$1001,MATCH('Index&amp;Match'!$A113,'Main Data'!$A$1:$A$1001,0),MATCH('Index&amp;Match'!E112,'Main Data'!$A112:$O112,0))</f>
        <v>South</v>
      </c>
      <c r="F113" s="2" t="str">
        <f>INDEX('Main Data'!$A$1:$O$1001,MATCH('Index&amp;Match'!$A113,'Main Data'!$A$1:$A$1001,0),MATCH('Index&amp;Match'!F112,'Main Data'!$A112:$O112,0))</f>
        <v>Credit Card</v>
      </c>
      <c r="G113" s="2" t="str">
        <f>INDEX('Main Data'!$A$1:$O$1001,MATCH('Index&amp;Match'!$A113,'Main Data'!$A$1:$A$1001,0),MATCH('Index&amp;Match'!G112,'Main Data'!$A112:$O112,0))</f>
        <v>Website</v>
      </c>
      <c r="H113" s="2" t="str">
        <f>INDEX('Main Data'!$A$1:$O$1001,MATCH('Index&amp;Match'!$A113,'Main Data'!$A$1:$A$1001,0),MATCH('Index&amp;Match'!H112,'Main Data'!$A112:$O112,0))</f>
        <v>Retail</v>
      </c>
      <c r="I113" s="2">
        <f>INDEX('Main Data'!$A$1:$O$1001,MATCH('Index&amp;Match'!$A113,'Main Data'!$A$1:$A$1001,0),MATCH('Index&amp;Match'!I112,'Main Data'!$A112:$O112,0))</f>
        <v>72</v>
      </c>
      <c r="J113" s="2">
        <f>INDEX('Main Data'!$A$1:$O$1001,MATCH('Index&amp;Match'!$A113,'Main Data'!$A$1:$A$1001,0),MATCH('Index&amp;Match'!J112,'Main Data'!$A112:$O112,0))</f>
        <v>72</v>
      </c>
      <c r="K113" s="11">
        <f>INDEX('Main Data'!$A$1:$O$1001,MATCH('Index&amp;Match'!$A113,'Main Data'!$A$1:$A$1001,0),MATCH('Index&amp;Match'!K112,'Main Data'!$A112:$O112,0))</f>
        <v>44297.99</v>
      </c>
      <c r="L113" s="11">
        <f>INDEX('Main Data'!$A$1:$O$1001,MATCH('Index&amp;Match'!$A113,'Main Data'!$A$1:$A$1001,0),MATCH('Index&amp;Match'!L112,'Main Data'!$A112:$O112,0))</f>
        <v>283.64</v>
      </c>
      <c r="M113" s="11">
        <f>INDEX('Main Data'!$A$1:$O$1001,MATCH('Index&amp;Match'!$A113,'Main Data'!$A$1:$A$1001,0),MATCH('Index&amp;Match'!M112,'Main Data'!$A112:$O112,0))</f>
        <v>97.21</v>
      </c>
      <c r="N113" s="2" t="str">
        <f>INDEX('Main Data'!$A$1:$O$1001,MATCH('Index&amp;Match'!$A113,'Main Data'!$A$1:$A$1001,0),MATCH('Index&amp;Match'!N112,'Main Data'!$A112:$O112,0))</f>
        <v>No</v>
      </c>
      <c r="O113" s="2">
        <f>INDEX('Main Data'!$A$1:$O$1001,MATCH('Index&amp;Match'!$A113,'Main Data'!$A$1:$A$1001,0),MATCH('Index&amp;Match'!O112,'Main Data'!$A112:$O112,0))</f>
        <v>107</v>
      </c>
    </row>
    <row r="114" spans="1:15" x14ac:dyDescent="0.3">
      <c r="A114" s="2" t="s">
        <v>171</v>
      </c>
      <c r="B114" s="1">
        <f>INDEX('Main Data'!$A$1:$O$1001,MATCH('Index&amp;Match'!$A114,'Main Data'!$A$1:$A$1001,0),MATCH('Index&amp;Match'!B113,'Main Data'!$A113:$O113,0))</f>
        <v>45995</v>
      </c>
      <c r="C114" s="2" t="str">
        <f>INDEX('Main Data'!$A$1:$O$1001,MATCH('Index&amp;Match'!$A114,'Main Data'!$A$1:$A$1001,0),MATCH('Index&amp;Match'!C113,'Main Data'!$A113:$O113,0))</f>
        <v>Drew</v>
      </c>
      <c r="D114" s="2" t="str">
        <f>INDEX('Main Data'!$A$1:$O$1001,MATCH('Index&amp;Match'!$A114,'Main Data'!$A$1:$A$1001,0),MATCH('Index&amp;Match'!D113,'Main Data'!$A113:$O113,0))</f>
        <v>BR-005</v>
      </c>
      <c r="E114" s="2" t="str">
        <f>INDEX('Main Data'!$A$1:$O$1001,MATCH('Index&amp;Match'!$A114,'Main Data'!$A$1:$A$1001,0),MATCH('Index&amp;Match'!E113,'Main Data'!$A113:$O113,0))</f>
        <v>North</v>
      </c>
      <c r="F114" s="2" t="str">
        <f>INDEX('Main Data'!$A$1:$O$1001,MATCH('Index&amp;Match'!$A114,'Main Data'!$A$1:$A$1001,0),MATCH('Index&amp;Match'!F113,'Main Data'!$A113:$O113,0))</f>
        <v>Wealth Management</v>
      </c>
      <c r="G114" s="2" t="str">
        <f>INDEX('Main Data'!$A$1:$O$1001,MATCH('Index&amp;Match'!$A114,'Main Data'!$A$1:$A$1001,0),MATCH('Index&amp;Match'!G113,'Main Data'!$A113:$O113,0))</f>
        <v>Walk-in</v>
      </c>
      <c r="H114" s="2" t="str">
        <f>INDEX('Main Data'!$A$1:$O$1001,MATCH('Index&amp;Match'!$A114,'Main Data'!$A$1:$A$1001,0),MATCH('Index&amp;Match'!H113,'Main Data'!$A113:$O113,0))</f>
        <v>Corporate</v>
      </c>
      <c r="I114" s="2">
        <f>INDEX('Main Data'!$A$1:$O$1001,MATCH('Index&amp;Match'!$A114,'Main Data'!$A$1:$A$1001,0),MATCH('Index&amp;Match'!I113,'Main Data'!$A113:$O113,0))</f>
        <v>68</v>
      </c>
      <c r="J114" s="2">
        <f>INDEX('Main Data'!$A$1:$O$1001,MATCH('Index&amp;Match'!$A114,'Main Data'!$A$1:$A$1001,0),MATCH('Index&amp;Match'!J113,'Main Data'!$A113:$O113,0))</f>
        <v>68</v>
      </c>
      <c r="K114" s="11">
        <f>INDEX('Main Data'!$A$1:$O$1001,MATCH('Index&amp;Match'!$A114,'Main Data'!$A$1:$A$1001,0),MATCH('Index&amp;Match'!K113,'Main Data'!$A113:$O113,0))</f>
        <v>11952.2</v>
      </c>
      <c r="L114" s="11">
        <f>INDEX('Main Data'!$A$1:$O$1001,MATCH('Index&amp;Match'!$A114,'Main Data'!$A$1:$A$1001,0),MATCH('Index&amp;Match'!L113,'Main Data'!$A113:$O113,0))</f>
        <v>155.47</v>
      </c>
      <c r="M114" s="11">
        <f>INDEX('Main Data'!$A$1:$O$1001,MATCH('Index&amp;Match'!$A114,'Main Data'!$A$1:$A$1001,0),MATCH('Index&amp;Match'!M113,'Main Data'!$A113:$O113,0))</f>
        <v>132.82</v>
      </c>
      <c r="N114" s="2" t="str">
        <f>INDEX('Main Data'!$A$1:$O$1001,MATCH('Index&amp;Match'!$A114,'Main Data'!$A$1:$A$1001,0),MATCH('Index&amp;Match'!N113,'Main Data'!$A113:$O113,0))</f>
        <v>Yes</v>
      </c>
      <c r="O114" s="2">
        <f>INDEX('Main Data'!$A$1:$O$1001,MATCH('Index&amp;Match'!$A114,'Main Data'!$A$1:$A$1001,0),MATCH('Index&amp;Match'!O113,'Main Data'!$A113:$O113,0))</f>
        <v>98</v>
      </c>
    </row>
    <row r="115" spans="1:15" x14ac:dyDescent="0.3">
      <c r="A115" s="2" t="s">
        <v>172</v>
      </c>
      <c r="B115" s="1">
        <f>INDEX('Main Data'!$A$1:$O$1001,MATCH('Index&amp;Match'!$A115,'Main Data'!$A$1:$A$1001,0),MATCH('Index&amp;Match'!B114,'Main Data'!$A114:$O114,0))</f>
        <v>45966</v>
      </c>
      <c r="C115" s="2" t="str">
        <f>INDEX('Main Data'!$A$1:$O$1001,MATCH('Index&amp;Match'!$A115,'Main Data'!$A$1:$A$1001,0),MATCH('Index&amp;Match'!C114,'Main Data'!$A114:$O114,0))</f>
        <v>Sam</v>
      </c>
      <c r="D115" s="2" t="str">
        <f>INDEX('Main Data'!$A$1:$O$1001,MATCH('Index&amp;Match'!$A115,'Main Data'!$A$1:$A$1001,0),MATCH('Index&amp;Match'!D114,'Main Data'!$A114:$O114,0))</f>
        <v>BR-014</v>
      </c>
      <c r="E115" s="2" t="str">
        <f>INDEX('Main Data'!$A$1:$O$1001,MATCH('Index&amp;Match'!$A115,'Main Data'!$A$1:$A$1001,0),MATCH('Index&amp;Match'!E114,'Main Data'!$A114:$O114,0))</f>
        <v>East</v>
      </c>
      <c r="F115" s="2" t="str">
        <f>INDEX('Main Data'!$A$1:$O$1001,MATCH('Index&amp;Match'!$A115,'Main Data'!$A$1:$A$1001,0),MATCH('Index&amp;Match'!F114,'Main Data'!$A114:$O114,0))</f>
        <v>Credit Card</v>
      </c>
      <c r="G115" s="2" t="str">
        <f>INDEX('Main Data'!$A$1:$O$1001,MATCH('Index&amp;Match'!$A115,'Main Data'!$A$1:$A$1001,0),MATCH('Index&amp;Match'!G114,'Main Data'!$A114:$O114,0))</f>
        <v>Email Campaign</v>
      </c>
      <c r="H115" s="2" t="str">
        <f>INDEX('Main Data'!$A$1:$O$1001,MATCH('Index&amp;Match'!$A115,'Main Data'!$A$1:$A$1001,0),MATCH('Index&amp;Match'!H114,'Main Data'!$A114:$O114,0))</f>
        <v>Retail</v>
      </c>
      <c r="I115" s="2">
        <f>INDEX('Main Data'!$A$1:$O$1001,MATCH('Index&amp;Match'!$A115,'Main Data'!$A$1:$A$1001,0),MATCH('Index&amp;Match'!I114,'Main Data'!$A114:$O114,0))</f>
        <v>54</v>
      </c>
      <c r="J115" s="2">
        <f>INDEX('Main Data'!$A$1:$O$1001,MATCH('Index&amp;Match'!$A115,'Main Data'!$A$1:$A$1001,0),MATCH('Index&amp;Match'!J114,'Main Data'!$A114:$O114,0))</f>
        <v>54</v>
      </c>
      <c r="K115" s="11">
        <f>INDEX('Main Data'!$A$1:$O$1001,MATCH('Index&amp;Match'!$A115,'Main Data'!$A$1:$A$1001,0),MATCH('Index&amp;Match'!K114,'Main Data'!$A114:$O114,0))</f>
        <v>20509.96</v>
      </c>
      <c r="L115" s="11">
        <f>INDEX('Main Data'!$A$1:$O$1001,MATCH('Index&amp;Match'!$A115,'Main Data'!$A$1:$A$1001,0),MATCH('Index&amp;Match'!L114,'Main Data'!$A114:$O114,0))</f>
        <v>105.6</v>
      </c>
      <c r="M115" s="11">
        <f>INDEX('Main Data'!$A$1:$O$1001,MATCH('Index&amp;Match'!$A115,'Main Data'!$A$1:$A$1001,0),MATCH('Index&amp;Match'!M114,'Main Data'!$A114:$O114,0))</f>
        <v>105.61</v>
      </c>
      <c r="N115" s="2" t="str">
        <f>INDEX('Main Data'!$A$1:$O$1001,MATCH('Index&amp;Match'!$A115,'Main Data'!$A$1:$A$1001,0),MATCH('Index&amp;Match'!N114,'Main Data'!$A114:$O114,0))</f>
        <v>Yes</v>
      </c>
      <c r="O115" s="2">
        <f>INDEX('Main Data'!$A$1:$O$1001,MATCH('Index&amp;Match'!$A115,'Main Data'!$A$1:$A$1001,0),MATCH('Index&amp;Match'!O114,'Main Data'!$A114:$O114,0))</f>
        <v>89</v>
      </c>
    </row>
    <row r="116" spans="1:15" x14ac:dyDescent="0.3">
      <c r="A116" s="2" t="s">
        <v>173</v>
      </c>
      <c r="B116" s="1">
        <f>INDEX('Main Data'!$A$1:$O$1001,MATCH('Index&amp;Match'!$A116,'Main Data'!$A$1:$A$1001,0),MATCH('Index&amp;Match'!B115,'Main Data'!$A115:$O115,0))</f>
        <v>45950</v>
      </c>
      <c r="C116" s="2" t="str">
        <f>INDEX('Main Data'!$A$1:$O$1001,MATCH('Index&amp;Match'!$A116,'Main Data'!$A$1:$A$1001,0),MATCH('Index&amp;Match'!C115,'Main Data'!$A115:$O115,0))</f>
        <v>Jamie</v>
      </c>
      <c r="D116" s="2" t="str">
        <f>INDEX('Main Data'!$A$1:$O$1001,MATCH('Index&amp;Match'!$A116,'Main Data'!$A$1:$A$1001,0),MATCH('Index&amp;Match'!D115,'Main Data'!$A115:$O115,0))</f>
        <v>BR-002</v>
      </c>
      <c r="E116" s="2" t="str">
        <f>INDEX('Main Data'!$A$1:$O$1001,MATCH('Index&amp;Match'!$A116,'Main Data'!$A$1:$A$1001,0),MATCH('Index&amp;Match'!E115,'Main Data'!$A115:$O115,0))</f>
        <v>East</v>
      </c>
      <c r="F116" s="2" t="str">
        <f>INDEX('Main Data'!$A$1:$O$1001,MATCH('Index&amp;Match'!$A116,'Main Data'!$A$1:$A$1001,0),MATCH('Index&amp;Match'!F115,'Main Data'!$A115:$O115,0))</f>
        <v>Auto Loan</v>
      </c>
      <c r="G116" s="2" t="str">
        <f>INDEX('Main Data'!$A$1:$O$1001,MATCH('Index&amp;Match'!$A116,'Main Data'!$A$1:$A$1001,0),MATCH('Index&amp;Match'!G115,'Main Data'!$A115:$O115,0))</f>
        <v>Website</v>
      </c>
      <c r="H116" s="2" t="str">
        <f>INDEX('Main Data'!$A$1:$O$1001,MATCH('Index&amp;Match'!$A116,'Main Data'!$A$1:$A$1001,0),MATCH('Index&amp;Match'!H115,'Main Data'!$A115:$O115,0))</f>
        <v>High Net Worth</v>
      </c>
      <c r="I116" s="2">
        <f>INDEX('Main Data'!$A$1:$O$1001,MATCH('Index&amp;Match'!$A116,'Main Data'!$A$1:$A$1001,0),MATCH('Index&amp;Match'!I115,'Main Data'!$A115:$O115,0))</f>
        <v>30</v>
      </c>
      <c r="J116" s="2">
        <f>INDEX('Main Data'!$A$1:$O$1001,MATCH('Index&amp;Match'!$A116,'Main Data'!$A$1:$A$1001,0),MATCH('Index&amp;Match'!J115,'Main Data'!$A115:$O115,0))</f>
        <v>30</v>
      </c>
      <c r="K116" s="11">
        <f>INDEX('Main Data'!$A$1:$O$1001,MATCH('Index&amp;Match'!$A116,'Main Data'!$A$1:$A$1001,0),MATCH('Index&amp;Match'!K115,'Main Data'!$A115:$O115,0))</f>
        <v>49666.63</v>
      </c>
      <c r="L116" s="11">
        <f>INDEX('Main Data'!$A$1:$O$1001,MATCH('Index&amp;Match'!$A116,'Main Data'!$A$1:$A$1001,0),MATCH('Index&amp;Match'!L115,'Main Data'!$A115:$O115,0))</f>
        <v>105.66</v>
      </c>
      <c r="M116" s="11">
        <f>INDEX('Main Data'!$A$1:$O$1001,MATCH('Index&amp;Match'!$A116,'Main Data'!$A$1:$A$1001,0),MATCH('Index&amp;Match'!M115,'Main Data'!$A115:$O115,0))</f>
        <v>290.83</v>
      </c>
      <c r="N116" s="2" t="str">
        <f>INDEX('Main Data'!$A$1:$O$1001,MATCH('Index&amp;Match'!$A116,'Main Data'!$A$1:$A$1001,0),MATCH('Index&amp;Match'!N115,'Main Data'!$A115:$O115,0))</f>
        <v>Yes</v>
      </c>
      <c r="O116" s="2">
        <f>INDEX('Main Data'!$A$1:$O$1001,MATCH('Index&amp;Match'!$A116,'Main Data'!$A$1:$A$1001,0),MATCH('Index&amp;Match'!O115,'Main Data'!$A115:$O115,0))</f>
        <v>16</v>
      </c>
    </row>
    <row r="117" spans="1:15" x14ac:dyDescent="0.3">
      <c r="A117" s="2" t="s">
        <v>174</v>
      </c>
      <c r="B117" s="1">
        <f>INDEX('Main Data'!$A$1:$O$1001,MATCH('Index&amp;Match'!$A117,'Main Data'!$A$1:$A$1001,0),MATCH('Index&amp;Match'!B116,'Main Data'!$A116:$O116,0))</f>
        <v>45941</v>
      </c>
      <c r="C117" s="2" t="str">
        <f>INDEX('Main Data'!$A$1:$O$1001,MATCH('Index&amp;Match'!$A117,'Main Data'!$A$1:$A$1001,0),MATCH('Index&amp;Match'!C116,'Main Data'!$A116:$O116,0))</f>
        <v>Morgan</v>
      </c>
      <c r="D117" s="2" t="str">
        <f>INDEX('Main Data'!$A$1:$O$1001,MATCH('Index&amp;Match'!$A117,'Main Data'!$A$1:$A$1001,0),MATCH('Index&amp;Match'!D116,'Main Data'!$A116:$O116,0))</f>
        <v>BR-011</v>
      </c>
      <c r="E117" s="2" t="str">
        <f>INDEX('Main Data'!$A$1:$O$1001,MATCH('Index&amp;Match'!$A117,'Main Data'!$A$1:$A$1001,0),MATCH('Index&amp;Match'!E116,'Main Data'!$A116:$O116,0))</f>
        <v>Central</v>
      </c>
      <c r="F117" s="2" t="str">
        <f>INDEX('Main Data'!$A$1:$O$1001,MATCH('Index&amp;Match'!$A117,'Main Data'!$A$1:$A$1001,0),MATCH('Index&amp;Match'!F116,'Main Data'!$A116:$O116,0))</f>
        <v>Auto Loan</v>
      </c>
      <c r="G117" s="2" t="str">
        <f>INDEX('Main Data'!$A$1:$O$1001,MATCH('Index&amp;Match'!$A117,'Main Data'!$A$1:$A$1001,0),MATCH('Index&amp;Match'!G116,'Main Data'!$A116:$O116,0))</f>
        <v>Referral</v>
      </c>
      <c r="H117" s="2" t="str">
        <f>INDEX('Main Data'!$A$1:$O$1001,MATCH('Index&amp;Match'!$A117,'Main Data'!$A$1:$A$1001,0),MATCH('Index&amp;Match'!H116,'Main Data'!$A116:$O116,0))</f>
        <v>High Net Worth</v>
      </c>
      <c r="I117" s="2">
        <f>INDEX('Main Data'!$A$1:$O$1001,MATCH('Index&amp;Match'!$A117,'Main Data'!$A$1:$A$1001,0),MATCH('Index&amp;Match'!I116,'Main Data'!$A116:$O116,0))</f>
        <v>55</v>
      </c>
      <c r="J117" s="2">
        <f>INDEX('Main Data'!$A$1:$O$1001,MATCH('Index&amp;Match'!$A117,'Main Data'!$A$1:$A$1001,0),MATCH('Index&amp;Match'!J116,'Main Data'!$A116:$O116,0))</f>
        <v>55</v>
      </c>
      <c r="K117" s="11">
        <f>INDEX('Main Data'!$A$1:$O$1001,MATCH('Index&amp;Match'!$A117,'Main Data'!$A$1:$A$1001,0),MATCH('Index&amp;Match'!K116,'Main Data'!$A116:$O116,0))</f>
        <v>43493.57</v>
      </c>
      <c r="L117" s="11">
        <f>INDEX('Main Data'!$A$1:$O$1001,MATCH('Index&amp;Match'!$A117,'Main Data'!$A$1:$A$1001,0),MATCH('Index&amp;Match'!L116,'Main Data'!$A116:$O116,0))</f>
        <v>312.47000000000003</v>
      </c>
      <c r="M117" s="11">
        <f>INDEX('Main Data'!$A$1:$O$1001,MATCH('Index&amp;Match'!$A117,'Main Data'!$A$1:$A$1001,0),MATCH('Index&amp;Match'!M116,'Main Data'!$A116:$O116,0))</f>
        <v>217.2</v>
      </c>
      <c r="N117" s="2" t="str">
        <f>INDEX('Main Data'!$A$1:$O$1001,MATCH('Index&amp;Match'!$A117,'Main Data'!$A$1:$A$1001,0),MATCH('Index&amp;Match'!N116,'Main Data'!$A116:$O116,0))</f>
        <v>No</v>
      </c>
      <c r="O117" s="2">
        <f>INDEX('Main Data'!$A$1:$O$1001,MATCH('Index&amp;Match'!$A117,'Main Data'!$A$1:$A$1001,0),MATCH('Index&amp;Match'!O116,'Main Data'!$A116:$O116,0))</f>
        <v>98</v>
      </c>
    </row>
    <row r="118" spans="1:15" x14ac:dyDescent="0.3">
      <c r="A118" s="2" t="s">
        <v>175</v>
      </c>
      <c r="B118" s="1">
        <f>INDEX('Main Data'!$A$1:$O$1001,MATCH('Index&amp;Match'!$A118,'Main Data'!$A$1:$A$1001,0),MATCH('Index&amp;Match'!B117,'Main Data'!$A117:$O117,0))</f>
        <v>46192</v>
      </c>
      <c r="C118" s="2" t="str">
        <f>INDEX('Main Data'!$A$1:$O$1001,MATCH('Index&amp;Match'!$A118,'Main Data'!$A$1:$A$1001,0),MATCH('Index&amp;Match'!C117,'Main Data'!$A117:$O117,0))</f>
        <v>Alex</v>
      </c>
      <c r="D118" s="2" t="str">
        <f>INDEX('Main Data'!$A$1:$O$1001,MATCH('Index&amp;Match'!$A118,'Main Data'!$A$1:$A$1001,0),MATCH('Index&amp;Match'!D117,'Main Data'!$A117:$O117,0))</f>
        <v>BR-003</v>
      </c>
      <c r="E118" s="2" t="str">
        <f>INDEX('Main Data'!$A$1:$O$1001,MATCH('Index&amp;Match'!$A118,'Main Data'!$A$1:$A$1001,0),MATCH('Index&amp;Match'!E117,'Main Data'!$A117:$O117,0))</f>
        <v>Central</v>
      </c>
      <c r="F118" s="2" t="str">
        <f>INDEX('Main Data'!$A$1:$O$1001,MATCH('Index&amp;Match'!$A118,'Main Data'!$A$1:$A$1001,0),MATCH('Index&amp;Match'!F117,'Main Data'!$A117:$O117,0))</f>
        <v>Personal Loan</v>
      </c>
      <c r="G118" s="2" t="str">
        <f>INDEX('Main Data'!$A$1:$O$1001,MATCH('Index&amp;Match'!$A118,'Main Data'!$A$1:$A$1001,0),MATCH('Index&amp;Match'!G117,'Main Data'!$A117:$O117,0))</f>
        <v>Walk-in</v>
      </c>
      <c r="H118" s="2" t="str">
        <f>INDEX('Main Data'!$A$1:$O$1001,MATCH('Index&amp;Match'!$A118,'Main Data'!$A$1:$A$1001,0),MATCH('Index&amp;Match'!H117,'Main Data'!$A117:$O117,0))</f>
        <v>Corporate</v>
      </c>
      <c r="I118" s="2">
        <f>INDEX('Main Data'!$A$1:$O$1001,MATCH('Index&amp;Match'!$A118,'Main Data'!$A$1:$A$1001,0),MATCH('Index&amp;Match'!I117,'Main Data'!$A117:$O117,0))</f>
        <v>31</v>
      </c>
      <c r="J118" s="2">
        <f>INDEX('Main Data'!$A$1:$O$1001,MATCH('Index&amp;Match'!$A118,'Main Data'!$A$1:$A$1001,0),MATCH('Index&amp;Match'!J117,'Main Data'!$A117:$O117,0))</f>
        <v>31</v>
      </c>
      <c r="K118" s="11">
        <f>INDEX('Main Data'!$A$1:$O$1001,MATCH('Index&amp;Match'!$A118,'Main Data'!$A$1:$A$1001,0),MATCH('Index&amp;Match'!K117,'Main Data'!$A117:$O117,0))</f>
        <v>28449.67</v>
      </c>
      <c r="L118" s="11">
        <f>INDEX('Main Data'!$A$1:$O$1001,MATCH('Index&amp;Match'!$A118,'Main Data'!$A$1:$A$1001,0),MATCH('Index&amp;Match'!L117,'Main Data'!$A117:$O117,0))</f>
        <v>380.64</v>
      </c>
      <c r="M118" s="11">
        <f>INDEX('Main Data'!$A$1:$O$1001,MATCH('Index&amp;Match'!$A118,'Main Data'!$A$1:$A$1001,0),MATCH('Index&amp;Match'!M117,'Main Data'!$A117:$O117,0))</f>
        <v>42.41</v>
      </c>
      <c r="N118" s="2" t="str">
        <f>INDEX('Main Data'!$A$1:$O$1001,MATCH('Index&amp;Match'!$A118,'Main Data'!$A$1:$A$1001,0),MATCH('Index&amp;Match'!N117,'Main Data'!$A117:$O117,0))</f>
        <v>Yes</v>
      </c>
      <c r="O118" s="2">
        <f>INDEX('Main Data'!$A$1:$O$1001,MATCH('Index&amp;Match'!$A118,'Main Data'!$A$1:$A$1001,0),MATCH('Index&amp;Match'!O117,'Main Data'!$A117:$O117,0))</f>
        <v>93</v>
      </c>
    </row>
    <row r="119" spans="1:15" x14ac:dyDescent="0.3">
      <c r="A119" s="2" t="s">
        <v>176</v>
      </c>
      <c r="B119" s="1">
        <f>INDEX('Main Data'!$A$1:$O$1001,MATCH('Index&amp;Match'!$A119,'Main Data'!$A$1:$A$1001,0),MATCH('Index&amp;Match'!B118,'Main Data'!$A118:$O118,0))</f>
        <v>45970</v>
      </c>
      <c r="C119" s="2" t="str">
        <f>INDEX('Main Data'!$A$1:$O$1001,MATCH('Index&amp;Match'!$A119,'Main Data'!$A$1:$A$1001,0),MATCH('Index&amp;Match'!C118,'Main Data'!$A118:$O118,0))</f>
        <v>Sam</v>
      </c>
      <c r="D119" s="2" t="str">
        <f>INDEX('Main Data'!$A$1:$O$1001,MATCH('Index&amp;Match'!$A119,'Main Data'!$A$1:$A$1001,0),MATCH('Index&amp;Match'!D118,'Main Data'!$A118:$O118,0))</f>
        <v>BR-007</v>
      </c>
      <c r="E119" s="2" t="str">
        <f>INDEX('Main Data'!$A$1:$O$1001,MATCH('Index&amp;Match'!$A119,'Main Data'!$A$1:$A$1001,0),MATCH('Index&amp;Match'!E118,'Main Data'!$A118:$O118,0))</f>
        <v>North</v>
      </c>
      <c r="F119" s="2" t="str">
        <f>INDEX('Main Data'!$A$1:$O$1001,MATCH('Index&amp;Match'!$A119,'Main Data'!$A$1:$A$1001,0),MATCH('Index&amp;Match'!F118,'Main Data'!$A118:$O118,0))</f>
        <v>Personal Loan</v>
      </c>
      <c r="G119" s="2" t="str">
        <f>INDEX('Main Data'!$A$1:$O$1001,MATCH('Index&amp;Match'!$A119,'Main Data'!$A$1:$A$1001,0),MATCH('Index&amp;Match'!G118,'Main Data'!$A118:$O118,0))</f>
        <v>Referral</v>
      </c>
      <c r="H119" s="2" t="str">
        <f>INDEX('Main Data'!$A$1:$O$1001,MATCH('Index&amp;Match'!$A119,'Main Data'!$A$1:$A$1001,0),MATCH('Index&amp;Match'!H118,'Main Data'!$A118:$O118,0))</f>
        <v>Corporate</v>
      </c>
      <c r="I119" s="2">
        <f>INDEX('Main Data'!$A$1:$O$1001,MATCH('Index&amp;Match'!$A119,'Main Data'!$A$1:$A$1001,0),MATCH('Index&amp;Match'!I118,'Main Data'!$A118:$O118,0))</f>
        <v>31</v>
      </c>
      <c r="J119" s="2">
        <f>INDEX('Main Data'!$A$1:$O$1001,MATCH('Index&amp;Match'!$A119,'Main Data'!$A$1:$A$1001,0),MATCH('Index&amp;Match'!J118,'Main Data'!$A118:$O118,0))</f>
        <v>31</v>
      </c>
      <c r="K119" s="11">
        <f>INDEX('Main Data'!$A$1:$O$1001,MATCH('Index&amp;Match'!$A119,'Main Data'!$A$1:$A$1001,0),MATCH('Index&amp;Match'!K118,'Main Data'!$A118:$O118,0))</f>
        <v>26073.07</v>
      </c>
      <c r="L119" s="11">
        <f>INDEX('Main Data'!$A$1:$O$1001,MATCH('Index&amp;Match'!$A119,'Main Data'!$A$1:$A$1001,0),MATCH('Index&amp;Match'!L118,'Main Data'!$A118:$O118,0))</f>
        <v>194.69</v>
      </c>
      <c r="M119" s="11">
        <f>INDEX('Main Data'!$A$1:$O$1001,MATCH('Index&amp;Match'!$A119,'Main Data'!$A$1:$A$1001,0),MATCH('Index&amp;Match'!M118,'Main Data'!$A118:$O118,0))</f>
        <v>21.02</v>
      </c>
      <c r="N119" s="2" t="str">
        <f>INDEX('Main Data'!$A$1:$O$1001,MATCH('Index&amp;Match'!$A119,'Main Data'!$A$1:$A$1001,0),MATCH('Index&amp;Match'!N118,'Main Data'!$A118:$O118,0))</f>
        <v>No</v>
      </c>
      <c r="O119" s="2">
        <f>INDEX('Main Data'!$A$1:$O$1001,MATCH('Index&amp;Match'!$A119,'Main Data'!$A$1:$A$1001,0),MATCH('Index&amp;Match'!O118,'Main Data'!$A118:$O118,0))</f>
        <v>19</v>
      </c>
    </row>
    <row r="120" spans="1:15" x14ac:dyDescent="0.3">
      <c r="A120" s="2" t="s">
        <v>177</v>
      </c>
      <c r="B120" s="1">
        <f>INDEX('Main Data'!$A$1:$O$1001,MATCH('Index&amp;Match'!$A120,'Main Data'!$A$1:$A$1001,0),MATCH('Index&amp;Match'!B119,'Main Data'!$A119:$O119,0))</f>
        <v>45994</v>
      </c>
      <c r="C120" s="2" t="str">
        <f>INDEX('Main Data'!$A$1:$O$1001,MATCH('Index&amp;Match'!$A120,'Main Data'!$A$1:$A$1001,0),MATCH('Index&amp;Match'!C119,'Main Data'!$A119:$O119,0))</f>
        <v>Drew</v>
      </c>
      <c r="D120" s="2" t="str">
        <f>INDEX('Main Data'!$A$1:$O$1001,MATCH('Index&amp;Match'!$A120,'Main Data'!$A$1:$A$1001,0),MATCH('Index&amp;Match'!D119,'Main Data'!$A119:$O119,0))</f>
        <v>BR-006</v>
      </c>
      <c r="E120" s="2" t="str">
        <f>INDEX('Main Data'!$A$1:$O$1001,MATCH('Index&amp;Match'!$A120,'Main Data'!$A$1:$A$1001,0),MATCH('Index&amp;Match'!E119,'Main Data'!$A119:$O119,0))</f>
        <v>North</v>
      </c>
      <c r="F120" s="2" t="str">
        <f>INDEX('Main Data'!$A$1:$O$1001,MATCH('Index&amp;Match'!$A120,'Main Data'!$A$1:$A$1001,0),MATCH('Index&amp;Match'!F119,'Main Data'!$A119:$O119,0))</f>
        <v>Personal Loan</v>
      </c>
      <c r="G120" s="2" t="str">
        <f>INDEX('Main Data'!$A$1:$O$1001,MATCH('Index&amp;Match'!$A120,'Main Data'!$A$1:$A$1001,0),MATCH('Index&amp;Match'!G119,'Main Data'!$A119:$O119,0))</f>
        <v>Walk-in</v>
      </c>
      <c r="H120" s="2" t="str">
        <f>INDEX('Main Data'!$A$1:$O$1001,MATCH('Index&amp;Match'!$A120,'Main Data'!$A$1:$A$1001,0),MATCH('Index&amp;Match'!H119,'Main Data'!$A119:$O119,0))</f>
        <v>High Net Worth</v>
      </c>
      <c r="I120" s="2">
        <f>INDEX('Main Data'!$A$1:$O$1001,MATCH('Index&amp;Match'!$A120,'Main Data'!$A$1:$A$1001,0),MATCH('Index&amp;Match'!I119,'Main Data'!$A119:$O119,0))</f>
        <v>41</v>
      </c>
      <c r="J120" s="2">
        <f>INDEX('Main Data'!$A$1:$O$1001,MATCH('Index&amp;Match'!$A120,'Main Data'!$A$1:$A$1001,0),MATCH('Index&amp;Match'!J119,'Main Data'!$A119:$O119,0))</f>
        <v>41</v>
      </c>
      <c r="K120" s="11">
        <f>INDEX('Main Data'!$A$1:$O$1001,MATCH('Index&amp;Match'!$A120,'Main Data'!$A$1:$A$1001,0),MATCH('Index&amp;Match'!K119,'Main Data'!$A119:$O119,0))</f>
        <v>14587.72</v>
      </c>
      <c r="L120" s="11">
        <f>INDEX('Main Data'!$A$1:$O$1001,MATCH('Index&amp;Match'!$A120,'Main Data'!$A$1:$A$1001,0),MATCH('Index&amp;Match'!L119,'Main Data'!$A119:$O119,0))</f>
        <v>65.59</v>
      </c>
      <c r="M120" s="11">
        <f>INDEX('Main Data'!$A$1:$O$1001,MATCH('Index&amp;Match'!$A120,'Main Data'!$A$1:$A$1001,0),MATCH('Index&amp;Match'!M119,'Main Data'!$A119:$O119,0))</f>
        <v>206.52</v>
      </c>
      <c r="N120" s="2" t="str">
        <f>INDEX('Main Data'!$A$1:$O$1001,MATCH('Index&amp;Match'!$A120,'Main Data'!$A$1:$A$1001,0),MATCH('Index&amp;Match'!N119,'Main Data'!$A119:$O119,0))</f>
        <v>Yes</v>
      </c>
      <c r="O120" s="2">
        <f>INDEX('Main Data'!$A$1:$O$1001,MATCH('Index&amp;Match'!$A120,'Main Data'!$A$1:$A$1001,0),MATCH('Index&amp;Match'!O119,'Main Data'!$A119:$O119,0))</f>
        <v>23</v>
      </c>
    </row>
    <row r="121" spans="1:15" x14ac:dyDescent="0.3">
      <c r="A121" s="2" t="s">
        <v>178</v>
      </c>
      <c r="B121" s="1">
        <f>INDEX('Main Data'!$A$1:$O$1001,MATCH('Index&amp;Match'!$A121,'Main Data'!$A$1:$A$1001,0),MATCH('Index&amp;Match'!B120,'Main Data'!$A120:$O120,0))</f>
        <v>46002</v>
      </c>
      <c r="C121" s="2" t="str">
        <f>INDEX('Main Data'!$A$1:$O$1001,MATCH('Index&amp;Match'!$A121,'Main Data'!$A$1:$A$1001,0),MATCH('Index&amp;Match'!C120,'Main Data'!$A120:$O120,0))</f>
        <v>Casey</v>
      </c>
      <c r="D121" s="2" t="str">
        <f>INDEX('Main Data'!$A$1:$O$1001,MATCH('Index&amp;Match'!$A121,'Main Data'!$A$1:$A$1001,0),MATCH('Index&amp;Match'!D120,'Main Data'!$A120:$O120,0))</f>
        <v>BR-012</v>
      </c>
      <c r="E121" s="2" t="str">
        <f>INDEX('Main Data'!$A$1:$O$1001,MATCH('Index&amp;Match'!$A121,'Main Data'!$A$1:$A$1001,0),MATCH('Index&amp;Match'!E120,'Main Data'!$A120:$O120,0))</f>
        <v>West</v>
      </c>
      <c r="F121" s="2" t="str">
        <f>INDEX('Main Data'!$A$1:$O$1001,MATCH('Index&amp;Match'!$A121,'Main Data'!$A$1:$A$1001,0),MATCH('Index&amp;Match'!F120,'Main Data'!$A120:$O120,0))</f>
        <v>Auto Loan</v>
      </c>
      <c r="G121" s="2" t="str">
        <f>INDEX('Main Data'!$A$1:$O$1001,MATCH('Index&amp;Match'!$A121,'Main Data'!$A$1:$A$1001,0),MATCH('Index&amp;Match'!G120,'Main Data'!$A120:$O120,0))</f>
        <v>Email Campaign</v>
      </c>
      <c r="H121" s="2" t="str">
        <f>INDEX('Main Data'!$A$1:$O$1001,MATCH('Index&amp;Match'!$A121,'Main Data'!$A$1:$A$1001,0),MATCH('Index&amp;Match'!H120,'Main Data'!$A120:$O120,0))</f>
        <v>Corporate</v>
      </c>
      <c r="I121" s="2">
        <f>INDEX('Main Data'!$A$1:$O$1001,MATCH('Index&amp;Match'!$A121,'Main Data'!$A$1:$A$1001,0),MATCH('Index&amp;Match'!I120,'Main Data'!$A120:$O120,0))</f>
        <v>41</v>
      </c>
      <c r="J121" s="2">
        <f>INDEX('Main Data'!$A$1:$O$1001,MATCH('Index&amp;Match'!$A121,'Main Data'!$A$1:$A$1001,0),MATCH('Index&amp;Match'!J120,'Main Data'!$A120:$O120,0))</f>
        <v>41</v>
      </c>
      <c r="K121" s="11">
        <f>INDEX('Main Data'!$A$1:$O$1001,MATCH('Index&amp;Match'!$A121,'Main Data'!$A$1:$A$1001,0),MATCH('Index&amp;Match'!K120,'Main Data'!$A120:$O120,0))</f>
        <v>26101.87</v>
      </c>
      <c r="L121" s="11">
        <f>INDEX('Main Data'!$A$1:$O$1001,MATCH('Index&amp;Match'!$A121,'Main Data'!$A$1:$A$1001,0),MATCH('Index&amp;Match'!L120,'Main Data'!$A120:$O120,0))</f>
        <v>107.25</v>
      </c>
      <c r="M121" s="11">
        <f>INDEX('Main Data'!$A$1:$O$1001,MATCH('Index&amp;Match'!$A121,'Main Data'!$A$1:$A$1001,0),MATCH('Index&amp;Match'!M120,'Main Data'!$A120:$O120,0))</f>
        <v>31.69</v>
      </c>
      <c r="N121" s="2" t="str">
        <f>INDEX('Main Data'!$A$1:$O$1001,MATCH('Index&amp;Match'!$A121,'Main Data'!$A$1:$A$1001,0),MATCH('Index&amp;Match'!N120,'Main Data'!$A120:$O120,0))</f>
        <v>Yes</v>
      </c>
      <c r="O121" s="2">
        <f>INDEX('Main Data'!$A$1:$O$1001,MATCH('Index&amp;Match'!$A121,'Main Data'!$A$1:$A$1001,0),MATCH('Index&amp;Match'!O120,'Main Data'!$A120:$O120,0))</f>
        <v>83</v>
      </c>
    </row>
    <row r="122" spans="1:15" x14ac:dyDescent="0.3">
      <c r="A122" s="2" t="s">
        <v>179</v>
      </c>
      <c r="B122" s="1">
        <f>INDEX('Main Data'!$A$1:$O$1001,MATCH('Index&amp;Match'!$A122,'Main Data'!$A$1:$A$1001,0),MATCH('Index&amp;Match'!B121,'Main Data'!$A121:$O121,0))</f>
        <v>46107</v>
      </c>
      <c r="C122" s="2" t="str">
        <f>INDEX('Main Data'!$A$1:$O$1001,MATCH('Index&amp;Match'!$A122,'Main Data'!$A$1:$A$1001,0),MATCH('Index&amp;Match'!C121,'Main Data'!$A121:$O121,0))</f>
        <v>Drew</v>
      </c>
      <c r="D122" s="2" t="str">
        <f>INDEX('Main Data'!$A$1:$O$1001,MATCH('Index&amp;Match'!$A122,'Main Data'!$A$1:$A$1001,0),MATCH('Index&amp;Match'!D121,'Main Data'!$A121:$O121,0))</f>
        <v>BR-002</v>
      </c>
      <c r="E122" s="2" t="str">
        <f>INDEX('Main Data'!$A$1:$O$1001,MATCH('Index&amp;Match'!$A122,'Main Data'!$A$1:$A$1001,0),MATCH('Index&amp;Match'!E121,'Main Data'!$A121:$O121,0))</f>
        <v>Central</v>
      </c>
      <c r="F122" s="2" t="str">
        <f>INDEX('Main Data'!$A$1:$O$1001,MATCH('Index&amp;Match'!$A122,'Main Data'!$A$1:$A$1001,0),MATCH('Index&amp;Match'!F121,'Main Data'!$A121:$O121,0))</f>
        <v>Credit Card</v>
      </c>
      <c r="G122" s="2" t="str">
        <f>INDEX('Main Data'!$A$1:$O$1001,MATCH('Index&amp;Match'!$A122,'Main Data'!$A$1:$A$1001,0),MATCH('Index&amp;Match'!G121,'Main Data'!$A121:$O121,0))</f>
        <v>Email Campaign</v>
      </c>
      <c r="H122" s="2" t="str">
        <f>INDEX('Main Data'!$A$1:$O$1001,MATCH('Index&amp;Match'!$A122,'Main Data'!$A$1:$A$1001,0),MATCH('Index&amp;Match'!H121,'Main Data'!$A121:$O121,0))</f>
        <v>SME</v>
      </c>
      <c r="I122" s="2">
        <f>INDEX('Main Data'!$A$1:$O$1001,MATCH('Index&amp;Match'!$A122,'Main Data'!$A$1:$A$1001,0),MATCH('Index&amp;Match'!I121,'Main Data'!$A121:$O121,0))</f>
        <v>42</v>
      </c>
      <c r="J122" s="2">
        <f>INDEX('Main Data'!$A$1:$O$1001,MATCH('Index&amp;Match'!$A122,'Main Data'!$A$1:$A$1001,0),MATCH('Index&amp;Match'!J121,'Main Data'!$A121:$O121,0))</f>
        <v>42</v>
      </c>
      <c r="K122" s="11">
        <f>INDEX('Main Data'!$A$1:$O$1001,MATCH('Index&amp;Match'!$A122,'Main Data'!$A$1:$A$1001,0),MATCH('Index&amp;Match'!K121,'Main Data'!$A121:$O121,0))</f>
        <v>42484.98</v>
      </c>
      <c r="L122" s="11">
        <f>INDEX('Main Data'!$A$1:$O$1001,MATCH('Index&amp;Match'!$A122,'Main Data'!$A$1:$A$1001,0),MATCH('Index&amp;Match'!L121,'Main Data'!$A121:$O121,0))</f>
        <v>461.61</v>
      </c>
      <c r="M122" s="11">
        <f>INDEX('Main Data'!$A$1:$O$1001,MATCH('Index&amp;Match'!$A122,'Main Data'!$A$1:$A$1001,0),MATCH('Index&amp;Match'!M121,'Main Data'!$A121:$O121,0))</f>
        <v>157.54</v>
      </c>
      <c r="N122" s="2" t="str">
        <f>INDEX('Main Data'!$A$1:$O$1001,MATCH('Index&amp;Match'!$A122,'Main Data'!$A$1:$A$1001,0),MATCH('Index&amp;Match'!N121,'Main Data'!$A121:$O121,0))</f>
        <v>Yes</v>
      </c>
      <c r="O122" s="2">
        <f>INDEX('Main Data'!$A$1:$O$1001,MATCH('Index&amp;Match'!$A122,'Main Data'!$A$1:$A$1001,0),MATCH('Index&amp;Match'!O121,'Main Data'!$A121:$O121,0))</f>
        <v>25</v>
      </c>
    </row>
    <row r="123" spans="1:15" x14ac:dyDescent="0.3">
      <c r="A123" s="2" t="s">
        <v>180</v>
      </c>
      <c r="B123" s="1">
        <f>INDEX('Main Data'!$A$1:$O$1001,MATCH('Index&amp;Match'!$A123,'Main Data'!$A$1:$A$1001,0),MATCH('Index&amp;Match'!B122,'Main Data'!$A122:$O122,0))</f>
        <v>46012</v>
      </c>
      <c r="C123" s="2" t="str">
        <f>INDEX('Main Data'!$A$1:$O$1001,MATCH('Index&amp;Match'!$A123,'Main Data'!$A$1:$A$1001,0),MATCH('Index&amp;Match'!C122,'Main Data'!$A122:$O122,0))</f>
        <v>Casey</v>
      </c>
      <c r="D123" s="2" t="str">
        <f>INDEX('Main Data'!$A$1:$O$1001,MATCH('Index&amp;Match'!$A123,'Main Data'!$A$1:$A$1001,0),MATCH('Index&amp;Match'!D122,'Main Data'!$A122:$O122,0))</f>
        <v>BR-006</v>
      </c>
      <c r="E123" s="2" t="str">
        <f>INDEX('Main Data'!$A$1:$O$1001,MATCH('Index&amp;Match'!$A123,'Main Data'!$A$1:$A$1001,0),MATCH('Index&amp;Match'!E122,'Main Data'!$A122:$O122,0))</f>
        <v>South</v>
      </c>
      <c r="F123" s="2" t="str">
        <f>INDEX('Main Data'!$A$1:$O$1001,MATCH('Index&amp;Match'!$A123,'Main Data'!$A$1:$A$1001,0),MATCH('Index&amp;Match'!F122,'Main Data'!$A122:$O122,0))</f>
        <v>Credit Card</v>
      </c>
      <c r="G123" s="2" t="str">
        <f>INDEX('Main Data'!$A$1:$O$1001,MATCH('Index&amp;Match'!$A123,'Main Data'!$A$1:$A$1001,0),MATCH('Index&amp;Match'!G122,'Main Data'!$A122:$O122,0))</f>
        <v>Social Media</v>
      </c>
      <c r="H123" s="2" t="str">
        <f>INDEX('Main Data'!$A$1:$O$1001,MATCH('Index&amp;Match'!$A123,'Main Data'!$A$1:$A$1001,0),MATCH('Index&amp;Match'!H122,'Main Data'!$A122:$O122,0))</f>
        <v>SME</v>
      </c>
      <c r="I123" s="2">
        <f>INDEX('Main Data'!$A$1:$O$1001,MATCH('Index&amp;Match'!$A123,'Main Data'!$A$1:$A$1001,0),MATCH('Index&amp;Match'!I122,'Main Data'!$A122:$O122,0))</f>
        <v>65</v>
      </c>
      <c r="J123" s="2">
        <f>INDEX('Main Data'!$A$1:$O$1001,MATCH('Index&amp;Match'!$A123,'Main Data'!$A$1:$A$1001,0),MATCH('Index&amp;Match'!J122,'Main Data'!$A122:$O122,0))</f>
        <v>65</v>
      </c>
      <c r="K123" s="11">
        <f>INDEX('Main Data'!$A$1:$O$1001,MATCH('Index&amp;Match'!$A123,'Main Data'!$A$1:$A$1001,0),MATCH('Index&amp;Match'!K122,'Main Data'!$A122:$O122,0))</f>
        <v>34416.14</v>
      </c>
      <c r="L123" s="11">
        <f>INDEX('Main Data'!$A$1:$O$1001,MATCH('Index&amp;Match'!$A123,'Main Data'!$A$1:$A$1001,0),MATCH('Index&amp;Match'!L122,'Main Data'!$A122:$O122,0))</f>
        <v>272.08999999999997</v>
      </c>
      <c r="M123" s="11">
        <f>INDEX('Main Data'!$A$1:$O$1001,MATCH('Index&amp;Match'!$A123,'Main Data'!$A$1:$A$1001,0),MATCH('Index&amp;Match'!M122,'Main Data'!$A122:$O122,0))</f>
        <v>62.21</v>
      </c>
      <c r="N123" s="2" t="str">
        <f>INDEX('Main Data'!$A$1:$O$1001,MATCH('Index&amp;Match'!$A123,'Main Data'!$A$1:$A$1001,0),MATCH('Index&amp;Match'!N122,'Main Data'!$A122:$O122,0))</f>
        <v>No</v>
      </c>
      <c r="O123" s="2">
        <f>INDEX('Main Data'!$A$1:$O$1001,MATCH('Index&amp;Match'!$A123,'Main Data'!$A$1:$A$1001,0),MATCH('Index&amp;Match'!O122,'Main Data'!$A122:$O122,0))</f>
        <v>16</v>
      </c>
    </row>
    <row r="124" spans="1:15" x14ac:dyDescent="0.3">
      <c r="A124" s="2" t="s">
        <v>181</v>
      </c>
      <c r="B124" s="1">
        <f>INDEX('Main Data'!$A$1:$O$1001,MATCH('Index&amp;Match'!$A124,'Main Data'!$A$1:$A$1001,0),MATCH('Index&amp;Match'!B123,'Main Data'!$A123:$O123,0))</f>
        <v>46194</v>
      </c>
      <c r="C124" s="2" t="str">
        <f>INDEX('Main Data'!$A$1:$O$1001,MATCH('Index&amp;Match'!$A124,'Main Data'!$A$1:$A$1001,0),MATCH('Index&amp;Match'!C123,'Main Data'!$A123:$O123,0))</f>
        <v>Jordan</v>
      </c>
      <c r="D124" s="2" t="str">
        <f>INDEX('Main Data'!$A$1:$O$1001,MATCH('Index&amp;Match'!$A124,'Main Data'!$A$1:$A$1001,0),MATCH('Index&amp;Match'!D123,'Main Data'!$A123:$O123,0))</f>
        <v>BR-002</v>
      </c>
      <c r="E124" s="2" t="str">
        <f>INDEX('Main Data'!$A$1:$O$1001,MATCH('Index&amp;Match'!$A124,'Main Data'!$A$1:$A$1001,0),MATCH('Index&amp;Match'!E123,'Main Data'!$A123:$O123,0))</f>
        <v>East</v>
      </c>
      <c r="F124" s="2" t="str">
        <f>INDEX('Main Data'!$A$1:$O$1001,MATCH('Index&amp;Match'!$A124,'Main Data'!$A$1:$A$1001,0),MATCH('Index&amp;Match'!F123,'Main Data'!$A123:$O123,0))</f>
        <v>Personal Loan</v>
      </c>
      <c r="G124" s="2" t="str">
        <f>INDEX('Main Data'!$A$1:$O$1001,MATCH('Index&amp;Match'!$A124,'Main Data'!$A$1:$A$1001,0),MATCH('Index&amp;Match'!G123,'Main Data'!$A123:$O123,0))</f>
        <v>Referral</v>
      </c>
      <c r="H124" s="2" t="str">
        <f>INDEX('Main Data'!$A$1:$O$1001,MATCH('Index&amp;Match'!$A124,'Main Data'!$A$1:$A$1001,0),MATCH('Index&amp;Match'!H123,'Main Data'!$A123:$O123,0))</f>
        <v>Corporate</v>
      </c>
      <c r="I124" s="2">
        <f>INDEX('Main Data'!$A$1:$O$1001,MATCH('Index&amp;Match'!$A124,'Main Data'!$A$1:$A$1001,0),MATCH('Index&amp;Match'!I123,'Main Data'!$A123:$O123,0))</f>
        <v>27</v>
      </c>
      <c r="J124" s="2">
        <f>INDEX('Main Data'!$A$1:$O$1001,MATCH('Index&amp;Match'!$A124,'Main Data'!$A$1:$A$1001,0),MATCH('Index&amp;Match'!J123,'Main Data'!$A123:$O123,0))</f>
        <v>27</v>
      </c>
      <c r="K124" s="11">
        <f>INDEX('Main Data'!$A$1:$O$1001,MATCH('Index&amp;Match'!$A124,'Main Data'!$A$1:$A$1001,0),MATCH('Index&amp;Match'!K123,'Main Data'!$A123:$O123,0))</f>
        <v>14857.18</v>
      </c>
      <c r="L124" s="11">
        <f>INDEX('Main Data'!$A$1:$O$1001,MATCH('Index&amp;Match'!$A124,'Main Data'!$A$1:$A$1001,0),MATCH('Index&amp;Match'!L123,'Main Data'!$A123:$O123,0))</f>
        <v>254.11</v>
      </c>
      <c r="M124" s="11">
        <f>INDEX('Main Data'!$A$1:$O$1001,MATCH('Index&amp;Match'!$A124,'Main Data'!$A$1:$A$1001,0),MATCH('Index&amp;Match'!M123,'Main Data'!$A123:$O123,0))</f>
        <v>65.38</v>
      </c>
      <c r="N124" s="2" t="str">
        <f>INDEX('Main Data'!$A$1:$O$1001,MATCH('Index&amp;Match'!$A124,'Main Data'!$A$1:$A$1001,0),MATCH('Index&amp;Match'!N123,'Main Data'!$A123:$O123,0))</f>
        <v>Yes</v>
      </c>
      <c r="O124" s="2">
        <f>INDEX('Main Data'!$A$1:$O$1001,MATCH('Index&amp;Match'!$A124,'Main Data'!$A$1:$A$1001,0),MATCH('Index&amp;Match'!O123,'Main Data'!$A123:$O123,0))</f>
        <v>54</v>
      </c>
    </row>
    <row r="125" spans="1:15" x14ac:dyDescent="0.3">
      <c r="A125" s="2" t="s">
        <v>182</v>
      </c>
      <c r="B125" s="1">
        <f>INDEX('Main Data'!$A$1:$O$1001,MATCH('Index&amp;Match'!$A125,'Main Data'!$A$1:$A$1001,0),MATCH('Index&amp;Match'!B124,'Main Data'!$A124:$O124,0))</f>
        <v>46208</v>
      </c>
      <c r="C125" s="2" t="str">
        <f>INDEX('Main Data'!$A$1:$O$1001,MATCH('Index&amp;Match'!$A125,'Main Data'!$A$1:$A$1001,0),MATCH('Index&amp;Match'!C124,'Main Data'!$A124:$O124,0))</f>
        <v>Jamie</v>
      </c>
      <c r="D125" s="2" t="str">
        <f>INDEX('Main Data'!$A$1:$O$1001,MATCH('Index&amp;Match'!$A125,'Main Data'!$A$1:$A$1001,0),MATCH('Index&amp;Match'!D124,'Main Data'!$A124:$O124,0))</f>
        <v>BR-002</v>
      </c>
      <c r="E125" s="2" t="str">
        <f>INDEX('Main Data'!$A$1:$O$1001,MATCH('Index&amp;Match'!$A125,'Main Data'!$A$1:$A$1001,0),MATCH('Index&amp;Match'!E124,'Main Data'!$A124:$O124,0))</f>
        <v>North</v>
      </c>
      <c r="F125" s="2" t="str">
        <f>INDEX('Main Data'!$A$1:$O$1001,MATCH('Index&amp;Match'!$A125,'Main Data'!$A$1:$A$1001,0),MATCH('Index&amp;Match'!F124,'Main Data'!$A124:$O124,0))</f>
        <v>Wealth Management</v>
      </c>
      <c r="G125" s="2" t="str">
        <f>INDEX('Main Data'!$A$1:$O$1001,MATCH('Index&amp;Match'!$A125,'Main Data'!$A$1:$A$1001,0),MATCH('Index&amp;Match'!G124,'Main Data'!$A124:$O124,0))</f>
        <v>Walk-in</v>
      </c>
      <c r="H125" s="2" t="str">
        <f>INDEX('Main Data'!$A$1:$O$1001,MATCH('Index&amp;Match'!$A125,'Main Data'!$A$1:$A$1001,0),MATCH('Index&amp;Match'!H124,'Main Data'!$A124:$O124,0))</f>
        <v>High Net Worth</v>
      </c>
      <c r="I125" s="2">
        <f>INDEX('Main Data'!$A$1:$O$1001,MATCH('Index&amp;Match'!$A125,'Main Data'!$A$1:$A$1001,0),MATCH('Index&amp;Match'!I124,'Main Data'!$A124:$O124,0))</f>
        <v>37</v>
      </c>
      <c r="J125" s="2">
        <f>INDEX('Main Data'!$A$1:$O$1001,MATCH('Index&amp;Match'!$A125,'Main Data'!$A$1:$A$1001,0),MATCH('Index&amp;Match'!J124,'Main Data'!$A124:$O124,0))</f>
        <v>37</v>
      </c>
      <c r="K125" s="11">
        <f>INDEX('Main Data'!$A$1:$O$1001,MATCH('Index&amp;Match'!$A125,'Main Data'!$A$1:$A$1001,0),MATCH('Index&amp;Match'!K124,'Main Data'!$A124:$O124,0))</f>
        <v>10472.459999999999</v>
      </c>
      <c r="L125" s="11">
        <f>INDEX('Main Data'!$A$1:$O$1001,MATCH('Index&amp;Match'!$A125,'Main Data'!$A$1:$A$1001,0),MATCH('Index&amp;Match'!L124,'Main Data'!$A124:$O124,0))</f>
        <v>67.12</v>
      </c>
      <c r="M125" s="11">
        <f>INDEX('Main Data'!$A$1:$O$1001,MATCH('Index&amp;Match'!$A125,'Main Data'!$A$1:$A$1001,0),MATCH('Index&amp;Match'!M124,'Main Data'!$A124:$O124,0))</f>
        <v>3.24</v>
      </c>
      <c r="N125" s="2" t="str">
        <f>INDEX('Main Data'!$A$1:$O$1001,MATCH('Index&amp;Match'!$A125,'Main Data'!$A$1:$A$1001,0),MATCH('Index&amp;Match'!N124,'Main Data'!$A124:$O124,0))</f>
        <v>No</v>
      </c>
      <c r="O125" s="2">
        <f>INDEX('Main Data'!$A$1:$O$1001,MATCH('Index&amp;Match'!$A125,'Main Data'!$A$1:$A$1001,0),MATCH('Index&amp;Match'!O124,'Main Data'!$A124:$O124,0))</f>
        <v>115</v>
      </c>
    </row>
    <row r="126" spans="1:15" x14ac:dyDescent="0.3">
      <c r="A126" s="2" t="s">
        <v>183</v>
      </c>
      <c r="B126" s="1">
        <f>INDEX('Main Data'!$A$1:$O$1001,MATCH('Index&amp;Match'!$A126,'Main Data'!$A$1:$A$1001,0),MATCH('Index&amp;Match'!B125,'Main Data'!$A125:$O125,0))</f>
        <v>45894</v>
      </c>
      <c r="C126" s="2" t="str">
        <f>INDEX('Main Data'!$A$1:$O$1001,MATCH('Index&amp;Match'!$A126,'Main Data'!$A$1:$A$1001,0),MATCH('Index&amp;Match'!C125,'Main Data'!$A125:$O125,0))</f>
        <v>Casey</v>
      </c>
      <c r="D126" s="2" t="str">
        <f>INDEX('Main Data'!$A$1:$O$1001,MATCH('Index&amp;Match'!$A126,'Main Data'!$A$1:$A$1001,0),MATCH('Index&amp;Match'!D125,'Main Data'!$A125:$O125,0))</f>
        <v>BR-002</v>
      </c>
      <c r="E126" s="2" t="str">
        <f>INDEX('Main Data'!$A$1:$O$1001,MATCH('Index&amp;Match'!$A126,'Main Data'!$A$1:$A$1001,0),MATCH('Index&amp;Match'!E125,'Main Data'!$A125:$O125,0))</f>
        <v>East</v>
      </c>
      <c r="F126" s="2" t="str">
        <f>INDEX('Main Data'!$A$1:$O$1001,MATCH('Index&amp;Match'!$A126,'Main Data'!$A$1:$A$1001,0),MATCH('Index&amp;Match'!F125,'Main Data'!$A125:$O125,0))</f>
        <v>Credit Card</v>
      </c>
      <c r="G126" s="2" t="str">
        <f>INDEX('Main Data'!$A$1:$O$1001,MATCH('Index&amp;Match'!$A126,'Main Data'!$A$1:$A$1001,0),MATCH('Index&amp;Match'!G125,'Main Data'!$A125:$O125,0))</f>
        <v>Email Campaign</v>
      </c>
      <c r="H126" s="2" t="str">
        <f>INDEX('Main Data'!$A$1:$O$1001,MATCH('Index&amp;Match'!$A126,'Main Data'!$A$1:$A$1001,0),MATCH('Index&amp;Match'!H125,'Main Data'!$A125:$O125,0))</f>
        <v>Retail</v>
      </c>
      <c r="I126" s="2">
        <f>INDEX('Main Data'!$A$1:$O$1001,MATCH('Index&amp;Match'!$A126,'Main Data'!$A$1:$A$1001,0),MATCH('Index&amp;Match'!I125,'Main Data'!$A125:$O125,0))</f>
        <v>22</v>
      </c>
      <c r="J126" s="2">
        <f>INDEX('Main Data'!$A$1:$O$1001,MATCH('Index&amp;Match'!$A126,'Main Data'!$A$1:$A$1001,0),MATCH('Index&amp;Match'!J125,'Main Data'!$A125:$O125,0))</f>
        <v>22</v>
      </c>
      <c r="K126" s="11">
        <f>INDEX('Main Data'!$A$1:$O$1001,MATCH('Index&amp;Match'!$A126,'Main Data'!$A$1:$A$1001,0),MATCH('Index&amp;Match'!K125,'Main Data'!$A125:$O125,0))</f>
        <v>13627.82</v>
      </c>
      <c r="L126" s="11">
        <f>INDEX('Main Data'!$A$1:$O$1001,MATCH('Index&amp;Match'!$A126,'Main Data'!$A$1:$A$1001,0),MATCH('Index&amp;Match'!L125,'Main Data'!$A125:$O125,0))</f>
        <v>377.89</v>
      </c>
      <c r="M126" s="11">
        <f>INDEX('Main Data'!$A$1:$O$1001,MATCH('Index&amp;Match'!$A126,'Main Data'!$A$1:$A$1001,0),MATCH('Index&amp;Match'!M125,'Main Data'!$A125:$O125,0))</f>
        <v>140.19999999999999</v>
      </c>
      <c r="N126" s="2" t="str">
        <f>INDEX('Main Data'!$A$1:$O$1001,MATCH('Index&amp;Match'!$A126,'Main Data'!$A$1:$A$1001,0),MATCH('Index&amp;Match'!N125,'Main Data'!$A125:$O125,0))</f>
        <v>Yes</v>
      </c>
      <c r="O126" s="2">
        <f>INDEX('Main Data'!$A$1:$O$1001,MATCH('Index&amp;Match'!$A126,'Main Data'!$A$1:$A$1001,0),MATCH('Index&amp;Match'!O125,'Main Data'!$A125:$O125,0))</f>
        <v>73</v>
      </c>
    </row>
    <row r="127" spans="1:15" x14ac:dyDescent="0.3">
      <c r="A127" s="2" t="s">
        <v>184</v>
      </c>
      <c r="B127" s="1">
        <f>INDEX('Main Data'!$A$1:$O$1001,MATCH('Index&amp;Match'!$A127,'Main Data'!$A$1:$A$1001,0),MATCH('Index&amp;Match'!B126,'Main Data'!$A126:$O126,0))</f>
        <v>45911</v>
      </c>
      <c r="C127" s="2" t="str">
        <f>INDEX('Main Data'!$A$1:$O$1001,MATCH('Index&amp;Match'!$A127,'Main Data'!$A$1:$A$1001,0),MATCH('Index&amp;Match'!C126,'Main Data'!$A126:$O126,0))</f>
        <v>Drew</v>
      </c>
      <c r="D127" s="2" t="str">
        <f>INDEX('Main Data'!$A$1:$O$1001,MATCH('Index&amp;Match'!$A127,'Main Data'!$A$1:$A$1001,0),MATCH('Index&amp;Match'!D126,'Main Data'!$A126:$O126,0))</f>
        <v>BR-014</v>
      </c>
      <c r="E127" s="2" t="str">
        <f>INDEX('Main Data'!$A$1:$O$1001,MATCH('Index&amp;Match'!$A127,'Main Data'!$A$1:$A$1001,0),MATCH('Index&amp;Match'!E126,'Main Data'!$A126:$O126,0))</f>
        <v>East</v>
      </c>
      <c r="F127" s="2" t="str">
        <f>INDEX('Main Data'!$A$1:$O$1001,MATCH('Index&amp;Match'!$A127,'Main Data'!$A$1:$A$1001,0),MATCH('Index&amp;Match'!F126,'Main Data'!$A126:$O126,0))</f>
        <v>Auto Loan</v>
      </c>
      <c r="G127" s="2" t="str">
        <f>INDEX('Main Data'!$A$1:$O$1001,MATCH('Index&amp;Match'!$A127,'Main Data'!$A$1:$A$1001,0),MATCH('Index&amp;Match'!G126,'Main Data'!$A126:$O126,0))</f>
        <v>Website</v>
      </c>
      <c r="H127" s="2" t="str">
        <f>INDEX('Main Data'!$A$1:$O$1001,MATCH('Index&amp;Match'!$A127,'Main Data'!$A$1:$A$1001,0),MATCH('Index&amp;Match'!H126,'Main Data'!$A126:$O126,0))</f>
        <v>Corporate</v>
      </c>
      <c r="I127" s="2">
        <f>INDEX('Main Data'!$A$1:$O$1001,MATCH('Index&amp;Match'!$A127,'Main Data'!$A$1:$A$1001,0),MATCH('Index&amp;Match'!I126,'Main Data'!$A126:$O126,0))</f>
        <v>32</v>
      </c>
      <c r="J127" s="2">
        <f>INDEX('Main Data'!$A$1:$O$1001,MATCH('Index&amp;Match'!$A127,'Main Data'!$A$1:$A$1001,0),MATCH('Index&amp;Match'!J126,'Main Data'!$A126:$O126,0))</f>
        <v>32</v>
      </c>
      <c r="K127" s="11">
        <f>INDEX('Main Data'!$A$1:$O$1001,MATCH('Index&amp;Match'!$A127,'Main Data'!$A$1:$A$1001,0),MATCH('Index&amp;Match'!K126,'Main Data'!$A126:$O126,0))</f>
        <v>8903.08</v>
      </c>
      <c r="L127" s="11">
        <f>INDEX('Main Data'!$A$1:$O$1001,MATCH('Index&amp;Match'!$A127,'Main Data'!$A$1:$A$1001,0),MATCH('Index&amp;Match'!L126,'Main Data'!$A126:$O126,0))</f>
        <v>287.63</v>
      </c>
      <c r="M127" s="11">
        <f>INDEX('Main Data'!$A$1:$O$1001,MATCH('Index&amp;Match'!$A127,'Main Data'!$A$1:$A$1001,0),MATCH('Index&amp;Match'!M126,'Main Data'!$A126:$O126,0))</f>
        <v>22.65</v>
      </c>
      <c r="N127" s="2" t="str">
        <f>INDEX('Main Data'!$A$1:$O$1001,MATCH('Index&amp;Match'!$A127,'Main Data'!$A$1:$A$1001,0),MATCH('Index&amp;Match'!N126,'Main Data'!$A126:$O126,0))</f>
        <v>No</v>
      </c>
      <c r="O127" s="2">
        <f>INDEX('Main Data'!$A$1:$O$1001,MATCH('Index&amp;Match'!$A127,'Main Data'!$A$1:$A$1001,0),MATCH('Index&amp;Match'!O126,'Main Data'!$A126:$O126,0))</f>
        <v>1</v>
      </c>
    </row>
    <row r="128" spans="1:15" x14ac:dyDescent="0.3">
      <c r="A128" s="2" t="s">
        <v>185</v>
      </c>
      <c r="B128" s="1">
        <f>INDEX('Main Data'!$A$1:$O$1001,MATCH('Index&amp;Match'!$A128,'Main Data'!$A$1:$A$1001,0),MATCH('Index&amp;Match'!B127,'Main Data'!$A127:$O127,0))</f>
        <v>46164</v>
      </c>
      <c r="C128" s="2" t="str">
        <f>INDEX('Main Data'!$A$1:$O$1001,MATCH('Index&amp;Match'!$A128,'Main Data'!$A$1:$A$1001,0),MATCH('Index&amp;Match'!C127,'Main Data'!$A127:$O127,0))</f>
        <v>Jordan</v>
      </c>
      <c r="D128" s="2" t="str">
        <f>INDEX('Main Data'!$A$1:$O$1001,MATCH('Index&amp;Match'!$A128,'Main Data'!$A$1:$A$1001,0),MATCH('Index&amp;Match'!D127,'Main Data'!$A127:$O127,0))</f>
        <v>BR-015</v>
      </c>
      <c r="E128" s="2" t="str">
        <f>INDEX('Main Data'!$A$1:$O$1001,MATCH('Index&amp;Match'!$A128,'Main Data'!$A$1:$A$1001,0),MATCH('Index&amp;Match'!E127,'Main Data'!$A127:$O127,0))</f>
        <v>West</v>
      </c>
      <c r="F128" s="2" t="str">
        <f>INDEX('Main Data'!$A$1:$O$1001,MATCH('Index&amp;Match'!$A128,'Main Data'!$A$1:$A$1001,0),MATCH('Index&amp;Match'!F127,'Main Data'!$A127:$O127,0))</f>
        <v>Mortgage</v>
      </c>
      <c r="G128" s="2" t="str">
        <f>INDEX('Main Data'!$A$1:$O$1001,MATCH('Index&amp;Match'!$A128,'Main Data'!$A$1:$A$1001,0),MATCH('Index&amp;Match'!G127,'Main Data'!$A127:$O127,0))</f>
        <v>Email Campaign</v>
      </c>
      <c r="H128" s="2" t="str">
        <f>INDEX('Main Data'!$A$1:$O$1001,MATCH('Index&amp;Match'!$A128,'Main Data'!$A$1:$A$1001,0),MATCH('Index&amp;Match'!H127,'Main Data'!$A127:$O127,0))</f>
        <v>Corporate</v>
      </c>
      <c r="I128" s="2">
        <f>INDEX('Main Data'!$A$1:$O$1001,MATCH('Index&amp;Match'!$A128,'Main Data'!$A$1:$A$1001,0),MATCH('Index&amp;Match'!I127,'Main Data'!$A127:$O127,0))</f>
        <v>62</v>
      </c>
      <c r="J128" s="2">
        <f>INDEX('Main Data'!$A$1:$O$1001,MATCH('Index&amp;Match'!$A128,'Main Data'!$A$1:$A$1001,0),MATCH('Index&amp;Match'!J127,'Main Data'!$A127:$O127,0))</f>
        <v>62</v>
      </c>
      <c r="K128" s="11">
        <f>INDEX('Main Data'!$A$1:$O$1001,MATCH('Index&amp;Match'!$A128,'Main Data'!$A$1:$A$1001,0),MATCH('Index&amp;Match'!K127,'Main Data'!$A127:$O127,0))</f>
        <v>5234.21</v>
      </c>
      <c r="L128" s="11">
        <f>INDEX('Main Data'!$A$1:$O$1001,MATCH('Index&amp;Match'!$A128,'Main Data'!$A$1:$A$1001,0),MATCH('Index&amp;Match'!L127,'Main Data'!$A127:$O127,0))</f>
        <v>140.94</v>
      </c>
      <c r="M128" s="11">
        <f>INDEX('Main Data'!$A$1:$O$1001,MATCH('Index&amp;Match'!$A128,'Main Data'!$A$1:$A$1001,0),MATCH('Index&amp;Match'!M127,'Main Data'!$A127:$O127,0))</f>
        <v>154.58000000000001</v>
      </c>
      <c r="N128" s="2" t="str">
        <f>INDEX('Main Data'!$A$1:$O$1001,MATCH('Index&amp;Match'!$A128,'Main Data'!$A$1:$A$1001,0),MATCH('Index&amp;Match'!N127,'Main Data'!$A127:$O127,0))</f>
        <v>No</v>
      </c>
      <c r="O128" s="2">
        <f>INDEX('Main Data'!$A$1:$O$1001,MATCH('Index&amp;Match'!$A128,'Main Data'!$A$1:$A$1001,0),MATCH('Index&amp;Match'!O127,'Main Data'!$A127:$O127,0))</f>
        <v>42</v>
      </c>
    </row>
    <row r="129" spans="1:15" x14ac:dyDescent="0.3">
      <c r="A129" s="2" t="s">
        <v>186</v>
      </c>
      <c r="B129" s="1">
        <f>INDEX('Main Data'!$A$1:$O$1001,MATCH('Index&amp;Match'!$A129,'Main Data'!$A$1:$A$1001,0),MATCH('Index&amp;Match'!B128,'Main Data'!$A128:$O128,0))</f>
        <v>46042</v>
      </c>
      <c r="C129" s="2" t="str">
        <f>INDEX('Main Data'!$A$1:$O$1001,MATCH('Index&amp;Match'!$A129,'Main Data'!$A$1:$A$1001,0),MATCH('Index&amp;Match'!C128,'Main Data'!$A128:$O128,0))</f>
        <v>Alex</v>
      </c>
      <c r="D129" s="2" t="str">
        <f>INDEX('Main Data'!$A$1:$O$1001,MATCH('Index&amp;Match'!$A129,'Main Data'!$A$1:$A$1001,0),MATCH('Index&amp;Match'!D128,'Main Data'!$A128:$O128,0))</f>
        <v>BR-011</v>
      </c>
      <c r="E129" s="2" t="str">
        <f>INDEX('Main Data'!$A$1:$O$1001,MATCH('Index&amp;Match'!$A129,'Main Data'!$A$1:$A$1001,0),MATCH('Index&amp;Match'!E128,'Main Data'!$A128:$O128,0))</f>
        <v>Central</v>
      </c>
      <c r="F129" s="2" t="str">
        <f>INDEX('Main Data'!$A$1:$O$1001,MATCH('Index&amp;Match'!$A129,'Main Data'!$A$1:$A$1001,0),MATCH('Index&amp;Match'!F128,'Main Data'!$A128:$O128,0))</f>
        <v>Mortgage</v>
      </c>
      <c r="G129" s="2" t="str">
        <f>INDEX('Main Data'!$A$1:$O$1001,MATCH('Index&amp;Match'!$A129,'Main Data'!$A$1:$A$1001,0),MATCH('Index&amp;Match'!G128,'Main Data'!$A128:$O128,0))</f>
        <v>Website</v>
      </c>
      <c r="H129" s="2" t="str">
        <f>INDEX('Main Data'!$A$1:$O$1001,MATCH('Index&amp;Match'!$A129,'Main Data'!$A$1:$A$1001,0),MATCH('Index&amp;Match'!H128,'Main Data'!$A128:$O128,0))</f>
        <v>Retail</v>
      </c>
      <c r="I129" s="2">
        <f>INDEX('Main Data'!$A$1:$O$1001,MATCH('Index&amp;Match'!$A129,'Main Data'!$A$1:$A$1001,0),MATCH('Index&amp;Match'!I128,'Main Data'!$A128:$O128,0))</f>
        <v>38</v>
      </c>
      <c r="J129" s="2">
        <f>INDEX('Main Data'!$A$1:$O$1001,MATCH('Index&amp;Match'!$A129,'Main Data'!$A$1:$A$1001,0),MATCH('Index&amp;Match'!J128,'Main Data'!$A128:$O128,0))</f>
        <v>38</v>
      </c>
      <c r="K129" s="11">
        <f>INDEX('Main Data'!$A$1:$O$1001,MATCH('Index&amp;Match'!$A129,'Main Data'!$A$1:$A$1001,0),MATCH('Index&amp;Match'!K128,'Main Data'!$A128:$O128,0))</f>
        <v>21247.24</v>
      </c>
      <c r="L129" s="11">
        <f>INDEX('Main Data'!$A$1:$O$1001,MATCH('Index&amp;Match'!$A129,'Main Data'!$A$1:$A$1001,0),MATCH('Index&amp;Match'!L128,'Main Data'!$A128:$O128,0))</f>
        <v>99.53</v>
      </c>
      <c r="M129" s="11">
        <f>INDEX('Main Data'!$A$1:$O$1001,MATCH('Index&amp;Match'!$A129,'Main Data'!$A$1:$A$1001,0),MATCH('Index&amp;Match'!M128,'Main Data'!$A128:$O128,0))</f>
        <v>98.37</v>
      </c>
      <c r="N129" s="2" t="str">
        <f>INDEX('Main Data'!$A$1:$O$1001,MATCH('Index&amp;Match'!$A129,'Main Data'!$A$1:$A$1001,0),MATCH('Index&amp;Match'!N128,'Main Data'!$A128:$O128,0))</f>
        <v>No</v>
      </c>
      <c r="O129" s="2">
        <f>INDEX('Main Data'!$A$1:$O$1001,MATCH('Index&amp;Match'!$A129,'Main Data'!$A$1:$A$1001,0),MATCH('Index&amp;Match'!O128,'Main Data'!$A128:$O128,0))</f>
        <v>19</v>
      </c>
    </row>
    <row r="130" spans="1:15" x14ac:dyDescent="0.3">
      <c r="A130" s="2" t="s">
        <v>187</v>
      </c>
      <c r="B130" s="1">
        <f>INDEX('Main Data'!$A$1:$O$1001,MATCH('Index&amp;Match'!$A130,'Main Data'!$A$1:$A$1001,0),MATCH('Index&amp;Match'!B129,'Main Data'!$A129:$O129,0))</f>
        <v>46149</v>
      </c>
      <c r="C130" s="2" t="str">
        <f>INDEX('Main Data'!$A$1:$O$1001,MATCH('Index&amp;Match'!$A130,'Main Data'!$A$1:$A$1001,0),MATCH('Index&amp;Match'!C129,'Main Data'!$A129:$O129,0))</f>
        <v>Morgan</v>
      </c>
      <c r="D130" s="2" t="str">
        <f>INDEX('Main Data'!$A$1:$O$1001,MATCH('Index&amp;Match'!$A130,'Main Data'!$A$1:$A$1001,0),MATCH('Index&amp;Match'!D129,'Main Data'!$A129:$O129,0))</f>
        <v>BR-003</v>
      </c>
      <c r="E130" s="2" t="str">
        <f>INDEX('Main Data'!$A$1:$O$1001,MATCH('Index&amp;Match'!$A130,'Main Data'!$A$1:$A$1001,0),MATCH('Index&amp;Match'!E129,'Main Data'!$A129:$O129,0))</f>
        <v>North</v>
      </c>
      <c r="F130" s="2" t="str">
        <f>INDEX('Main Data'!$A$1:$O$1001,MATCH('Index&amp;Match'!$A130,'Main Data'!$A$1:$A$1001,0),MATCH('Index&amp;Match'!F129,'Main Data'!$A129:$O129,0))</f>
        <v>Mortgage</v>
      </c>
      <c r="G130" s="2" t="str">
        <f>INDEX('Main Data'!$A$1:$O$1001,MATCH('Index&amp;Match'!$A130,'Main Data'!$A$1:$A$1001,0),MATCH('Index&amp;Match'!G129,'Main Data'!$A129:$O129,0))</f>
        <v>Walk-in</v>
      </c>
      <c r="H130" s="2" t="str">
        <f>INDEX('Main Data'!$A$1:$O$1001,MATCH('Index&amp;Match'!$A130,'Main Data'!$A$1:$A$1001,0),MATCH('Index&amp;Match'!H129,'Main Data'!$A129:$O129,0))</f>
        <v>Corporate</v>
      </c>
      <c r="I130" s="2">
        <f>INDEX('Main Data'!$A$1:$O$1001,MATCH('Index&amp;Match'!$A130,'Main Data'!$A$1:$A$1001,0),MATCH('Index&amp;Match'!I129,'Main Data'!$A129:$O129,0))</f>
        <v>74</v>
      </c>
      <c r="J130" s="2">
        <f>INDEX('Main Data'!$A$1:$O$1001,MATCH('Index&amp;Match'!$A130,'Main Data'!$A$1:$A$1001,0),MATCH('Index&amp;Match'!J129,'Main Data'!$A129:$O129,0))</f>
        <v>74</v>
      </c>
      <c r="K130" s="11">
        <f>INDEX('Main Data'!$A$1:$O$1001,MATCH('Index&amp;Match'!$A130,'Main Data'!$A$1:$A$1001,0),MATCH('Index&amp;Match'!K129,'Main Data'!$A129:$O129,0))</f>
        <v>6108.33</v>
      </c>
      <c r="L130" s="11">
        <f>INDEX('Main Data'!$A$1:$O$1001,MATCH('Index&amp;Match'!$A130,'Main Data'!$A$1:$A$1001,0),MATCH('Index&amp;Match'!L129,'Main Data'!$A129:$O129,0))</f>
        <v>222.52</v>
      </c>
      <c r="M130" s="11">
        <f>INDEX('Main Data'!$A$1:$O$1001,MATCH('Index&amp;Match'!$A130,'Main Data'!$A$1:$A$1001,0),MATCH('Index&amp;Match'!M129,'Main Data'!$A129:$O129,0))</f>
        <v>156.86000000000001</v>
      </c>
      <c r="N130" s="2" t="str">
        <f>INDEX('Main Data'!$A$1:$O$1001,MATCH('Index&amp;Match'!$A130,'Main Data'!$A$1:$A$1001,0),MATCH('Index&amp;Match'!N129,'Main Data'!$A129:$O129,0))</f>
        <v>No</v>
      </c>
      <c r="O130" s="2">
        <f>INDEX('Main Data'!$A$1:$O$1001,MATCH('Index&amp;Match'!$A130,'Main Data'!$A$1:$A$1001,0),MATCH('Index&amp;Match'!O129,'Main Data'!$A129:$O129,0))</f>
        <v>97</v>
      </c>
    </row>
    <row r="131" spans="1:15" x14ac:dyDescent="0.3">
      <c r="A131" s="2" t="s">
        <v>188</v>
      </c>
      <c r="B131" s="1">
        <f>INDEX('Main Data'!$A$1:$O$1001,MATCH('Index&amp;Match'!$A131,'Main Data'!$A$1:$A$1001,0),MATCH('Index&amp;Match'!B130,'Main Data'!$A130:$O130,0))</f>
        <v>45915</v>
      </c>
      <c r="C131" s="2" t="str">
        <f>INDEX('Main Data'!$A$1:$O$1001,MATCH('Index&amp;Match'!$A131,'Main Data'!$A$1:$A$1001,0),MATCH('Index&amp;Match'!C130,'Main Data'!$A130:$O130,0))</f>
        <v>Morgan</v>
      </c>
      <c r="D131" s="2" t="str">
        <f>INDEX('Main Data'!$A$1:$O$1001,MATCH('Index&amp;Match'!$A131,'Main Data'!$A$1:$A$1001,0),MATCH('Index&amp;Match'!D130,'Main Data'!$A130:$O130,0))</f>
        <v>BR-015</v>
      </c>
      <c r="E131" s="2" t="str">
        <f>INDEX('Main Data'!$A$1:$O$1001,MATCH('Index&amp;Match'!$A131,'Main Data'!$A$1:$A$1001,0),MATCH('Index&amp;Match'!E130,'Main Data'!$A130:$O130,0))</f>
        <v>East</v>
      </c>
      <c r="F131" s="2" t="str">
        <f>INDEX('Main Data'!$A$1:$O$1001,MATCH('Index&amp;Match'!$A131,'Main Data'!$A$1:$A$1001,0),MATCH('Index&amp;Match'!F130,'Main Data'!$A130:$O130,0))</f>
        <v>Wealth Management</v>
      </c>
      <c r="G131" s="2" t="str">
        <f>INDEX('Main Data'!$A$1:$O$1001,MATCH('Index&amp;Match'!$A131,'Main Data'!$A$1:$A$1001,0),MATCH('Index&amp;Match'!G130,'Main Data'!$A130:$O130,0))</f>
        <v>Email Campaign</v>
      </c>
      <c r="H131" s="2" t="str">
        <f>INDEX('Main Data'!$A$1:$O$1001,MATCH('Index&amp;Match'!$A131,'Main Data'!$A$1:$A$1001,0),MATCH('Index&amp;Match'!H130,'Main Data'!$A130:$O130,0))</f>
        <v>Retail</v>
      </c>
      <c r="I131" s="2">
        <f>INDEX('Main Data'!$A$1:$O$1001,MATCH('Index&amp;Match'!$A131,'Main Data'!$A$1:$A$1001,0),MATCH('Index&amp;Match'!I130,'Main Data'!$A130:$O130,0))</f>
        <v>31</v>
      </c>
      <c r="J131" s="2">
        <f>INDEX('Main Data'!$A$1:$O$1001,MATCH('Index&amp;Match'!$A131,'Main Data'!$A$1:$A$1001,0),MATCH('Index&amp;Match'!J130,'Main Data'!$A130:$O130,0))</f>
        <v>31</v>
      </c>
      <c r="K131" s="11">
        <f>INDEX('Main Data'!$A$1:$O$1001,MATCH('Index&amp;Match'!$A131,'Main Data'!$A$1:$A$1001,0),MATCH('Index&amp;Match'!K130,'Main Data'!$A130:$O130,0))</f>
        <v>9009.67</v>
      </c>
      <c r="L131" s="11">
        <f>INDEX('Main Data'!$A$1:$O$1001,MATCH('Index&amp;Match'!$A131,'Main Data'!$A$1:$A$1001,0),MATCH('Index&amp;Match'!L130,'Main Data'!$A130:$O130,0))</f>
        <v>426.72</v>
      </c>
      <c r="M131" s="11">
        <f>INDEX('Main Data'!$A$1:$O$1001,MATCH('Index&amp;Match'!$A131,'Main Data'!$A$1:$A$1001,0),MATCH('Index&amp;Match'!M130,'Main Data'!$A130:$O130,0))</f>
        <v>116.79</v>
      </c>
      <c r="N131" s="2" t="str">
        <f>INDEX('Main Data'!$A$1:$O$1001,MATCH('Index&amp;Match'!$A131,'Main Data'!$A$1:$A$1001,0),MATCH('Index&amp;Match'!N130,'Main Data'!$A130:$O130,0))</f>
        <v>Yes</v>
      </c>
      <c r="O131" s="2">
        <f>INDEX('Main Data'!$A$1:$O$1001,MATCH('Index&amp;Match'!$A131,'Main Data'!$A$1:$A$1001,0),MATCH('Index&amp;Match'!O130,'Main Data'!$A130:$O130,0))</f>
        <v>34</v>
      </c>
    </row>
    <row r="132" spans="1:15" x14ac:dyDescent="0.3">
      <c r="A132" s="2" t="s">
        <v>189</v>
      </c>
      <c r="B132" s="1">
        <f>INDEX('Main Data'!$A$1:$O$1001,MATCH('Index&amp;Match'!$A132,'Main Data'!$A$1:$A$1001,0),MATCH('Index&amp;Match'!B131,'Main Data'!$A131:$O131,0))</f>
        <v>46123</v>
      </c>
      <c r="C132" s="2" t="str">
        <f>INDEX('Main Data'!$A$1:$O$1001,MATCH('Index&amp;Match'!$A132,'Main Data'!$A$1:$A$1001,0),MATCH('Index&amp;Match'!C131,'Main Data'!$A131:$O131,0))</f>
        <v>Morgan</v>
      </c>
      <c r="D132" s="2" t="str">
        <f>INDEX('Main Data'!$A$1:$O$1001,MATCH('Index&amp;Match'!$A132,'Main Data'!$A$1:$A$1001,0),MATCH('Index&amp;Match'!D131,'Main Data'!$A131:$O131,0))</f>
        <v>BR-002</v>
      </c>
      <c r="E132" s="2" t="str">
        <f>INDEX('Main Data'!$A$1:$O$1001,MATCH('Index&amp;Match'!$A132,'Main Data'!$A$1:$A$1001,0),MATCH('Index&amp;Match'!E131,'Main Data'!$A131:$O131,0))</f>
        <v>North</v>
      </c>
      <c r="F132" s="2" t="str">
        <f>INDEX('Main Data'!$A$1:$O$1001,MATCH('Index&amp;Match'!$A132,'Main Data'!$A$1:$A$1001,0),MATCH('Index&amp;Match'!F131,'Main Data'!$A131:$O131,0))</f>
        <v>Personal Loan</v>
      </c>
      <c r="G132" s="2" t="str">
        <f>INDEX('Main Data'!$A$1:$O$1001,MATCH('Index&amp;Match'!$A132,'Main Data'!$A$1:$A$1001,0),MATCH('Index&amp;Match'!G131,'Main Data'!$A131:$O131,0))</f>
        <v>Email Campaign</v>
      </c>
      <c r="H132" s="2" t="str">
        <f>INDEX('Main Data'!$A$1:$O$1001,MATCH('Index&amp;Match'!$A132,'Main Data'!$A$1:$A$1001,0),MATCH('Index&amp;Match'!H131,'Main Data'!$A131:$O131,0))</f>
        <v>High Net Worth</v>
      </c>
      <c r="I132" s="2">
        <f>INDEX('Main Data'!$A$1:$O$1001,MATCH('Index&amp;Match'!$A132,'Main Data'!$A$1:$A$1001,0),MATCH('Index&amp;Match'!I131,'Main Data'!$A131:$O131,0))</f>
        <v>36</v>
      </c>
      <c r="J132" s="2">
        <f>INDEX('Main Data'!$A$1:$O$1001,MATCH('Index&amp;Match'!$A132,'Main Data'!$A$1:$A$1001,0),MATCH('Index&amp;Match'!J131,'Main Data'!$A131:$O131,0))</f>
        <v>36</v>
      </c>
      <c r="K132" s="11">
        <f>INDEX('Main Data'!$A$1:$O$1001,MATCH('Index&amp;Match'!$A132,'Main Data'!$A$1:$A$1001,0),MATCH('Index&amp;Match'!K131,'Main Data'!$A131:$O131,0))</f>
        <v>27592.57</v>
      </c>
      <c r="L132" s="11">
        <f>INDEX('Main Data'!$A$1:$O$1001,MATCH('Index&amp;Match'!$A132,'Main Data'!$A$1:$A$1001,0),MATCH('Index&amp;Match'!L131,'Main Data'!$A131:$O131,0))</f>
        <v>439.38</v>
      </c>
      <c r="M132" s="11">
        <f>INDEX('Main Data'!$A$1:$O$1001,MATCH('Index&amp;Match'!$A132,'Main Data'!$A$1:$A$1001,0),MATCH('Index&amp;Match'!M131,'Main Data'!$A131:$O131,0))</f>
        <v>24.74</v>
      </c>
      <c r="N132" s="2" t="str">
        <f>INDEX('Main Data'!$A$1:$O$1001,MATCH('Index&amp;Match'!$A132,'Main Data'!$A$1:$A$1001,0),MATCH('Index&amp;Match'!N131,'Main Data'!$A131:$O131,0))</f>
        <v>Yes</v>
      </c>
      <c r="O132" s="2">
        <f>INDEX('Main Data'!$A$1:$O$1001,MATCH('Index&amp;Match'!$A132,'Main Data'!$A$1:$A$1001,0),MATCH('Index&amp;Match'!O131,'Main Data'!$A131:$O131,0))</f>
        <v>80</v>
      </c>
    </row>
    <row r="133" spans="1:15" x14ac:dyDescent="0.3">
      <c r="A133" s="2" t="s">
        <v>190</v>
      </c>
      <c r="B133" s="1">
        <f>INDEX('Main Data'!$A$1:$O$1001,MATCH('Index&amp;Match'!$A133,'Main Data'!$A$1:$A$1001,0),MATCH('Index&amp;Match'!B132,'Main Data'!$A132:$O132,0))</f>
        <v>45894</v>
      </c>
      <c r="C133" s="2" t="str">
        <f>INDEX('Main Data'!$A$1:$O$1001,MATCH('Index&amp;Match'!$A133,'Main Data'!$A$1:$A$1001,0),MATCH('Index&amp;Match'!C132,'Main Data'!$A132:$O132,0))</f>
        <v>Casey</v>
      </c>
      <c r="D133" s="2" t="str">
        <f>INDEX('Main Data'!$A$1:$O$1001,MATCH('Index&amp;Match'!$A133,'Main Data'!$A$1:$A$1001,0),MATCH('Index&amp;Match'!D132,'Main Data'!$A132:$O132,0))</f>
        <v>BR-004</v>
      </c>
      <c r="E133" s="2" t="str">
        <f>INDEX('Main Data'!$A$1:$O$1001,MATCH('Index&amp;Match'!$A133,'Main Data'!$A$1:$A$1001,0),MATCH('Index&amp;Match'!E132,'Main Data'!$A132:$O132,0))</f>
        <v>South</v>
      </c>
      <c r="F133" s="2" t="str">
        <f>INDEX('Main Data'!$A$1:$O$1001,MATCH('Index&amp;Match'!$A133,'Main Data'!$A$1:$A$1001,0),MATCH('Index&amp;Match'!F132,'Main Data'!$A132:$O132,0))</f>
        <v>Auto Loan</v>
      </c>
      <c r="G133" s="2" t="str">
        <f>INDEX('Main Data'!$A$1:$O$1001,MATCH('Index&amp;Match'!$A133,'Main Data'!$A$1:$A$1001,0),MATCH('Index&amp;Match'!G132,'Main Data'!$A132:$O132,0))</f>
        <v>Walk-in</v>
      </c>
      <c r="H133" s="2" t="str">
        <f>INDEX('Main Data'!$A$1:$O$1001,MATCH('Index&amp;Match'!$A133,'Main Data'!$A$1:$A$1001,0),MATCH('Index&amp;Match'!H132,'Main Data'!$A132:$O132,0))</f>
        <v>SME</v>
      </c>
      <c r="I133" s="2">
        <f>INDEX('Main Data'!$A$1:$O$1001,MATCH('Index&amp;Match'!$A133,'Main Data'!$A$1:$A$1001,0),MATCH('Index&amp;Match'!I132,'Main Data'!$A132:$O132,0))</f>
        <v>69</v>
      </c>
      <c r="J133" s="2">
        <f>INDEX('Main Data'!$A$1:$O$1001,MATCH('Index&amp;Match'!$A133,'Main Data'!$A$1:$A$1001,0),MATCH('Index&amp;Match'!J132,'Main Data'!$A132:$O132,0))</f>
        <v>69</v>
      </c>
      <c r="K133" s="11">
        <f>INDEX('Main Data'!$A$1:$O$1001,MATCH('Index&amp;Match'!$A133,'Main Data'!$A$1:$A$1001,0),MATCH('Index&amp;Match'!K132,'Main Data'!$A132:$O132,0))</f>
        <v>8647.66</v>
      </c>
      <c r="L133" s="11">
        <f>INDEX('Main Data'!$A$1:$O$1001,MATCH('Index&amp;Match'!$A133,'Main Data'!$A$1:$A$1001,0),MATCH('Index&amp;Match'!L132,'Main Data'!$A132:$O132,0))</f>
        <v>321.27999999999997</v>
      </c>
      <c r="M133" s="11">
        <f>INDEX('Main Data'!$A$1:$O$1001,MATCH('Index&amp;Match'!$A133,'Main Data'!$A$1:$A$1001,0),MATCH('Index&amp;Match'!M132,'Main Data'!$A132:$O132,0))</f>
        <v>153.13</v>
      </c>
      <c r="N133" s="2" t="str">
        <f>INDEX('Main Data'!$A$1:$O$1001,MATCH('Index&amp;Match'!$A133,'Main Data'!$A$1:$A$1001,0),MATCH('Index&amp;Match'!N132,'Main Data'!$A132:$O132,0))</f>
        <v>Yes</v>
      </c>
      <c r="O133" s="2">
        <f>INDEX('Main Data'!$A$1:$O$1001,MATCH('Index&amp;Match'!$A133,'Main Data'!$A$1:$A$1001,0),MATCH('Index&amp;Match'!O132,'Main Data'!$A132:$O132,0))</f>
        <v>108</v>
      </c>
    </row>
    <row r="134" spans="1:15" x14ac:dyDescent="0.3">
      <c r="A134" s="2" t="s">
        <v>191</v>
      </c>
      <c r="B134" s="1">
        <f>INDEX('Main Data'!$A$1:$O$1001,MATCH('Index&amp;Match'!$A134,'Main Data'!$A$1:$A$1001,0),MATCH('Index&amp;Match'!B133,'Main Data'!$A133:$O133,0))</f>
        <v>45917</v>
      </c>
      <c r="C134" s="2" t="str">
        <f>INDEX('Main Data'!$A$1:$O$1001,MATCH('Index&amp;Match'!$A134,'Main Data'!$A$1:$A$1001,0),MATCH('Index&amp;Match'!C133,'Main Data'!$A133:$O133,0))</f>
        <v>Alex</v>
      </c>
      <c r="D134" s="2" t="str">
        <f>INDEX('Main Data'!$A$1:$O$1001,MATCH('Index&amp;Match'!$A134,'Main Data'!$A$1:$A$1001,0),MATCH('Index&amp;Match'!D133,'Main Data'!$A133:$O133,0))</f>
        <v>BR-009</v>
      </c>
      <c r="E134" s="2" t="str">
        <f>INDEX('Main Data'!$A$1:$O$1001,MATCH('Index&amp;Match'!$A134,'Main Data'!$A$1:$A$1001,0),MATCH('Index&amp;Match'!E133,'Main Data'!$A133:$O133,0))</f>
        <v>West</v>
      </c>
      <c r="F134" s="2" t="str">
        <f>INDEX('Main Data'!$A$1:$O$1001,MATCH('Index&amp;Match'!$A134,'Main Data'!$A$1:$A$1001,0),MATCH('Index&amp;Match'!F133,'Main Data'!$A133:$O133,0))</f>
        <v>Wealth Management</v>
      </c>
      <c r="G134" s="2" t="str">
        <f>INDEX('Main Data'!$A$1:$O$1001,MATCH('Index&amp;Match'!$A134,'Main Data'!$A$1:$A$1001,0),MATCH('Index&amp;Match'!G133,'Main Data'!$A133:$O133,0))</f>
        <v>Email Campaign</v>
      </c>
      <c r="H134" s="2" t="str">
        <f>INDEX('Main Data'!$A$1:$O$1001,MATCH('Index&amp;Match'!$A134,'Main Data'!$A$1:$A$1001,0),MATCH('Index&amp;Match'!H133,'Main Data'!$A133:$O133,0))</f>
        <v>High Net Worth</v>
      </c>
      <c r="I134" s="2">
        <f>INDEX('Main Data'!$A$1:$O$1001,MATCH('Index&amp;Match'!$A134,'Main Data'!$A$1:$A$1001,0),MATCH('Index&amp;Match'!I133,'Main Data'!$A133:$O133,0))</f>
        <v>71</v>
      </c>
      <c r="J134" s="2">
        <f>INDEX('Main Data'!$A$1:$O$1001,MATCH('Index&amp;Match'!$A134,'Main Data'!$A$1:$A$1001,0),MATCH('Index&amp;Match'!J133,'Main Data'!$A133:$O133,0))</f>
        <v>71</v>
      </c>
      <c r="K134" s="11">
        <f>INDEX('Main Data'!$A$1:$O$1001,MATCH('Index&amp;Match'!$A134,'Main Data'!$A$1:$A$1001,0),MATCH('Index&amp;Match'!K133,'Main Data'!$A133:$O133,0))</f>
        <v>3662.05</v>
      </c>
      <c r="L134" s="11">
        <f>INDEX('Main Data'!$A$1:$O$1001,MATCH('Index&amp;Match'!$A134,'Main Data'!$A$1:$A$1001,0),MATCH('Index&amp;Match'!L133,'Main Data'!$A133:$O133,0))</f>
        <v>377.39</v>
      </c>
      <c r="M134" s="11">
        <f>INDEX('Main Data'!$A$1:$O$1001,MATCH('Index&amp;Match'!$A134,'Main Data'!$A$1:$A$1001,0),MATCH('Index&amp;Match'!M133,'Main Data'!$A133:$O133,0))</f>
        <v>20.94</v>
      </c>
      <c r="N134" s="2" t="str">
        <f>INDEX('Main Data'!$A$1:$O$1001,MATCH('Index&amp;Match'!$A134,'Main Data'!$A$1:$A$1001,0),MATCH('Index&amp;Match'!N133,'Main Data'!$A133:$O133,0))</f>
        <v>Yes</v>
      </c>
      <c r="O134" s="2">
        <f>INDEX('Main Data'!$A$1:$O$1001,MATCH('Index&amp;Match'!$A134,'Main Data'!$A$1:$A$1001,0),MATCH('Index&amp;Match'!O133,'Main Data'!$A133:$O133,0))</f>
        <v>104</v>
      </c>
    </row>
    <row r="135" spans="1:15" x14ac:dyDescent="0.3">
      <c r="A135" s="2" t="s">
        <v>192</v>
      </c>
      <c r="B135" s="1">
        <f>INDEX('Main Data'!$A$1:$O$1001,MATCH('Index&amp;Match'!$A135,'Main Data'!$A$1:$A$1001,0),MATCH('Index&amp;Match'!B134,'Main Data'!$A134:$O134,0))</f>
        <v>45965</v>
      </c>
      <c r="C135" s="2" t="str">
        <f>INDEX('Main Data'!$A$1:$O$1001,MATCH('Index&amp;Match'!$A135,'Main Data'!$A$1:$A$1001,0),MATCH('Index&amp;Match'!C134,'Main Data'!$A134:$O134,0))</f>
        <v>Casey</v>
      </c>
      <c r="D135" s="2" t="str">
        <f>INDEX('Main Data'!$A$1:$O$1001,MATCH('Index&amp;Match'!$A135,'Main Data'!$A$1:$A$1001,0),MATCH('Index&amp;Match'!D134,'Main Data'!$A134:$O134,0))</f>
        <v>BR-006</v>
      </c>
      <c r="E135" s="2" t="str">
        <f>INDEX('Main Data'!$A$1:$O$1001,MATCH('Index&amp;Match'!$A135,'Main Data'!$A$1:$A$1001,0),MATCH('Index&amp;Match'!E134,'Main Data'!$A134:$O134,0))</f>
        <v>South</v>
      </c>
      <c r="F135" s="2" t="str">
        <f>INDEX('Main Data'!$A$1:$O$1001,MATCH('Index&amp;Match'!$A135,'Main Data'!$A$1:$A$1001,0),MATCH('Index&amp;Match'!F134,'Main Data'!$A134:$O134,0))</f>
        <v>Auto Loan</v>
      </c>
      <c r="G135" s="2" t="str">
        <f>INDEX('Main Data'!$A$1:$O$1001,MATCH('Index&amp;Match'!$A135,'Main Data'!$A$1:$A$1001,0),MATCH('Index&amp;Match'!G134,'Main Data'!$A134:$O134,0))</f>
        <v>Website</v>
      </c>
      <c r="H135" s="2" t="str">
        <f>INDEX('Main Data'!$A$1:$O$1001,MATCH('Index&amp;Match'!$A135,'Main Data'!$A$1:$A$1001,0),MATCH('Index&amp;Match'!H134,'Main Data'!$A134:$O134,0))</f>
        <v>SME</v>
      </c>
      <c r="I135" s="2">
        <f>INDEX('Main Data'!$A$1:$O$1001,MATCH('Index&amp;Match'!$A135,'Main Data'!$A$1:$A$1001,0),MATCH('Index&amp;Match'!I134,'Main Data'!$A134:$O134,0))</f>
        <v>38</v>
      </c>
      <c r="J135" s="2">
        <f>INDEX('Main Data'!$A$1:$O$1001,MATCH('Index&amp;Match'!$A135,'Main Data'!$A$1:$A$1001,0),MATCH('Index&amp;Match'!J134,'Main Data'!$A134:$O134,0))</f>
        <v>38</v>
      </c>
      <c r="K135" s="11">
        <f>INDEX('Main Data'!$A$1:$O$1001,MATCH('Index&amp;Match'!$A135,'Main Data'!$A$1:$A$1001,0),MATCH('Index&amp;Match'!K134,'Main Data'!$A134:$O134,0))</f>
        <v>16210.75</v>
      </c>
      <c r="L135" s="11">
        <f>INDEX('Main Data'!$A$1:$O$1001,MATCH('Index&amp;Match'!$A135,'Main Data'!$A$1:$A$1001,0),MATCH('Index&amp;Match'!L134,'Main Data'!$A134:$O134,0))</f>
        <v>101.82</v>
      </c>
      <c r="M135" s="11">
        <f>INDEX('Main Data'!$A$1:$O$1001,MATCH('Index&amp;Match'!$A135,'Main Data'!$A$1:$A$1001,0),MATCH('Index&amp;Match'!M134,'Main Data'!$A134:$O134,0))</f>
        <v>95.74</v>
      </c>
      <c r="N135" s="2" t="str">
        <f>INDEX('Main Data'!$A$1:$O$1001,MATCH('Index&amp;Match'!$A135,'Main Data'!$A$1:$A$1001,0),MATCH('Index&amp;Match'!N134,'Main Data'!$A134:$O134,0))</f>
        <v>No</v>
      </c>
      <c r="O135" s="2">
        <f>INDEX('Main Data'!$A$1:$O$1001,MATCH('Index&amp;Match'!$A135,'Main Data'!$A$1:$A$1001,0),MATCH('Index&amp;Match'!O134,'Main Data'!$A134:$O134,0))</f>
        <v>55</v>
      </c>
    </row>
    <row r="136" spans="1:15" x14ac:dyDescent="0.3">
      <c r="A136" s="2" t="s">
        <v>193</v>
      </c>
      <c r="B136" s="1">
        <f>INDEX('Main Data'!$A$1:$O$1001,MATCH('Index&amp;Match'!$A136,'Main Data'!$A$1:$A$1001,0),MATCH('Index&amp;Match'!B135,'Main Data'!$A135:$O135,0))</f>
        <v>46064</v>
      </c>
      <c r="C136" s="2" t="str">
        <f>INDEX('Main Data'!$A$1:$O$1001,MATCH('Index&amp;Match'!$A136,'Main Data'!$A$1:$A$1001,0),MATCH('Index&amp;Match'!C135,'Main Data'!$A135:$O135,0))</f>
        <v>Jamie</v>
      </c>
      <c r="D136" s="2" t="str">
        <f>INDEX('Main Data'!$A$1:$O$1001,MATCH('Index&amp;Match'!$A136,'Main Data'!$A$1:$A$1001,0),MATCH('Index&amp;Match'!D135,'Main Data'!$A135:$O135,0))</f>
        <v>BR-001</v>
      </c>
      <c r="E136" s="2" t="str">
        <f>INDEX('Main Data'!$A$1:$O$1001,MATCH('Index&amp;Match'!$A136,'Main Data'!$A$1:$A$1001,0),MATCH('Index&amp;Match'!E135,'Main Data'!$A135:$O135,0))</f>
        <v>North</v>
      </c>
      <c r="F136" s="2" t="str">
        <f>INDEX('Main Data'!$A$1:$O$1001,MATCH('Index&amp;Match'!$A136,'Main Data'!$A$1:$A$1001,0),MATCH('Index&amp;Match'!F135,'Main Data'!$A135:$O135,0))</f>
        <v>Auto Loan</v>
      </c>
      <c r="G136" s="2" t="str">
        <f>INDEX('Main Data'!$A$1:$O$1001,MATCH('Index&amp;Match'!$A136,'Main Data'!$A$1:$A$1001,0),MATCH('Index&amp;Match'!G135,'Main Data'!$A135:$O135,0))</f>
        <v>Email Campaign</v>
      </c>
      <c r="H136" s="2" t="str">
        <f>INDEX('Main Data'!$A$1:$O$1001,MATCH('Index&amp;Match'!$A136,'Main Data'!$A$1:$A$1001,0),MATCH('Index&amp;Match'!H135,'Main Data'!$A135:$O135,0))</f>
        <v>Retail</v>
      </c>
      <c r="I136" s="2">
        <f>INDEX('Main Data'!$A$1:$O$1001,MATCH('Index&amp;Match'!$A136,'Main Data'!$A$1:$A$1001,0),MATCH('Index&amp;Match'!I135,'Main Data'!$A135:$O135,0))</f>
        <v>55</v>
      </c>
      <c r="J136" s="2">
        <f>INDEX('Main Data'!$A$1:$O$1001,MATCH('Index&amp;Match'!$A136,'Main Data'!$A$1:$A$1001,0),MATCH('Index&amp;Match'!J135,'Main Data'!$A135:$O135,0))</f>
        <v>55</v>
      </c>
      <c r="K136" s="11">
        <f>INDEX('Main Data'!$A$1:$O$1001,MATCH('Index&amp;Match'!$A136,'Main Data'!$A$1:$A$1001,0),MATCH('Index&amp;Match'!K135,'Main Data'!$A135:$O135,0))</f>
        <v>11405.8</v>
      </c>
      <c r="L136" s="11">
        <f>INDEX('Main Data'!$A$1:$O$1001,MATCH('Index&amp;Match'!$A136,'Main Data'!$A$1:$A$1001,0),MATCH('Index&amp;Match'!L135,'Main Data'!$A135:$O135,0))</f>
        <v>314.66000000000003</v>
      </c>
      <c r="M136" s="11">
        <f>INDEX('Main Data'!$A$1:$O$1001,MATCH('Index&amp;Match'!$A136,'Main Data'!$A$1:$A$1001,0),MATCH('Index&amp;Match'!M135,'Main Data'!$A135:$O135,0))</f>
        <v>34.47</v>
      </c>
      <c r="N136" s="2" t="str">
        <f>INDEX('Main Data'!$A$1:$O$1001,MATCH('Index&amp;Match'!$A136,'Main Data'!$A$1:$A$1001,0),MATCH('Index&amp;Match'!N135,'Main Data'!$A135:$O135,0))</f>
        <v>Yes</v>
      </c>
      <c r="O136" s="2">
        <f>INDEX('Main Data'!$A$1:$O$1001,MATCH('Index&amp;Match'!$A136,'Main Data'!$A$1:$A$1001,0),MATCH('Index&amp;Match'!O135,'Main Data'!$A135:$O135,0))</f>
        <v>18</v>
      </c>
    </row>
    <row r="137" spans="1:15" x14ac:dyDescent="0.3">
      <c r="A137" s="2" t="s">
        <v>194</v>
      </c>
      <c r="B137" s="1">
        <f>INDEX('Main Data'!$A$1:$O$1001,MATCH('Index&amp;Match'!$A137,'Main Data'!$A$1:$A$1001,0),MATCH('Index&amp;Match'!B136,'Main Data'!$A136:$O136,0))</f>
        <v>45888</v>
      </c>
      <c r="C137" s="2" t="str">
        <f>INDEX('Main Data'!$A$1:$O$1001,MATCH('Index&amp;Match'!$A137,'Main Data'!$A$1:$A$1001,0),MATCH('Index&amp;Match'!C136,'Main Data'!$A136:$O136,0))</f>
        <v>Casey</v>
      </c>
      <c r="D137" s="2" t="str">
        <f>INDEX('Main Data'!$A$1:$O$1001,MATCH('Index&amp;Match'!$A137,'Main Data'!$A$1:$A$1001,0),MATCH('Index&amp;Match'!D136,'Main Data'!$A136:$O136,0))</f>
        <v>BR-008</v>
      </c>
      <c r="E137" s="2" t="str">
        <f>INDEX('Main Data'!$A$1:$O$1001,MATCH('Index&amp;Match'!$A137,'Main Data'!$A$1:$A$1001,0),MATCH('Index&amp;Match'!E136,'Main Data'!$A136:$O136,0))</f>
        <v>North</v>
      </c>
      <c r="F137" s="2" t="str">
        <f>INDEX('Main Data'!$A$1:$O$1001,MATCH('Index&amp;Match'!$A137,'Main Data'!$A$1:$A$1001,0),MATCH('Index&amp;Match'!F136,'Main Data'!$A136:$O136,0))</f>
        <v>Personal Loan</v>
      </c>
      <c r="G137" s="2" t="str">
        <f>INDEX('Main Data'!$A$1:$O$1001,MATCH('Index&amp;Match'!$A137,'Main Data'!$A$1:$A$1001,0),MATCH('Index&amp;Match'!G136,'Main Data'!$A136:$O136,0))</f>
        <v>Referral</v>
      </c>
      <c r="H137" s="2" t="str">
        <f>INDEX('Main Data'!$A$1:$O$1001,MATCH('Index&amp;Match'!$A137,'Main Data'!$A$1:$A$1001,0),MATCH('Index&amp;Match'!H136,'Main Data'!$A136:$O136,0))</f>
        <v>SME</v>
      </c>
      <c r="I137" s="2">
        <f>INDEX('Main Data'!$A$1:$O$1001,MATCH('Index&amp;Match'!$A137,'Main Data'!$A$1:$A$1001,0),MATCH('Index&amp;Match'!I136,'Main Data'!$A136:$O136,0))</f>
        <v>73</v>
      </c>
      <c r="J137" s="2">
        <f>INDEX('Main Data'!$A$1:$O$1001,MATCH('Index&amp;Match'!$A137,'Main Data'!$A$1:$A$1001,0),MATCH('Index&amp;Match'!J136,'Main Data'!$A136:$O136,0))</f>
        <v>73</v>
      </c>
      <c r="K137" s="11">
        <f>INDEX('Main Data'!$A$1:$O$1001,MATCH('Index&amp;Match'!$A137,'Main Data'!$A$1:$A$1001,0),MATCH('Index&amp;Match'!K136,'Main Data'!$A136:$O136,0))</f>
        <v>26007.61</v>
      </c>
      <c r="L137" s="11">
        <f>INDEX('Main Data'!$A$1:$O$1001,MATCH('Index&amp;Match'!$A137,'Main Data'!$A$1:$A$1001,0),MATCH('Index&amp;Match'!L136,'Main Data'!$A136:$O136,0))</f>
        <v>350.13</v>
      </c>
      <c r="M137" s="11">
        <f>INDEX('Main Data'!$A$1:$O$1001,MATCH('Index&amp;Match'!$A137,'Main Data'!$A$1:$A$1001,0),MATCH('Index&amp;Match'!M136,'Main Data'!$A136:$O136,0))</f>
        <v>150.47</v>
      </c>
      <c r="N137" s="2" t="str">
        <f>INDEX('Main Data'!$A$1:$O$1001,MATCH('Index&amp;Match'!$A137,'Main Data'!$A$1:$A$1001,0),MATCH('Index&amp;Match'!N136,'Main Data'!$A136:$O136,0))</f>
        <v>Yes</v>
      </c>
      <c r="O137" s="2">
        <f>INDEX('Main Data'!$A$1:$O$1001,MATCH('Index&amp;Match'!$A137,'Main Data'!$A$1:$A$1001,0),MATCH('Index&amp;Match'!O136,'Main Data'!$A136:$O136,0))</f>
        <v>34</v>
      </c>
    </row>
    <row r="138" spans="1:15" x14ac:dyDescent="0.3">
      <c r="A138" s="2" t="s">
        <v>195</v>
      </c>
      <c r="B138" s="1">
        <f>INDEX('Main Data'!$A$1:$O$1001,MATCH('Index&amp;Match'!$A138,'Main Data'!$A$1:$A$1001,0),MATCH('Index&amp;Match'!B137,'Main Data'!$A137:$O137,0))</f>
        <v>45903</v>
      </c>
      <c r="C138" s="2" t="str">
        <f>INDEX('Main Data'!$A$1:$O$1001,MATCH('Index&amp;Match'!$A138,'Main Data'!$A$1:$A$1001,0),MATCH('Index&amp;Match'!C137,'Main Data'!$A137:$O137,0))</f>
        <v>Alex</v>
      </c>
      <c r="D138" s="2" t="str">
        <f>INDEX('Main Data'!$A$1:$O$1001,MATCH('Index&amp;Match'!$A138,'Main Data'!$A$1:$A$1001,0),MATCH('Index&amp;Match'!D137,'Main Data'!$A137:$O137,0))</f>
        <v>BR-015</v>
      </c>
      <c r="E138" s="2" t="str">
        <f>INDEX('Main Data'!$A$1:$O$1001,MATCH('Index&amp;Match'!$A138,'Main Data'!$A$1:$A$1001,0),MATCH('Index&amp;Match'!E137,'Main Data'!$A137:$O137,0))</f>
        <v>Central</v>
      </c>
      <c r="F138" s="2" t="str">
        <f>INDEX('Main Data'!$A$1:$O$1001,MATCH('Index&amp;Match'!$A138,'Main Data'!$A$1:$A$1001,0),MATCH('Index&amp;Match'!F137,'Main Data'!$A137:$O137,0))</f>
        <v>Mortgage</v>
      </c>
      <c r="G138" s="2" t="str">
        <f>INDEX('Main Data'!$A$1:$O$1001,MATCH('Index&amp;Match'!$A138,'Main Data'!$A$1:$A$1001,0),MATCH('Index&amp;Match'!G137,'Main Data'!$A137:$O137,0))</f>
        <v>Social Media</v>
      </c>
      <c r="H138" s="2" t="str">
        <f>INDEX('Main Data'!$A$1:$O$1001,MATCH('Index&amp;Match'!$A138,'Main Data'!$A$1:$A$1001,0),MATCH('Index&amp;Match'!H137,'Main Data'!$A137:$O137,0))</f>
        <v>High Net Worth</v>
      </c>
      <c r="I138" s="2">
        <f>INDEX('Main Data'!$A$1:$O$1001,MATCH('Index&amp;Match'!$A138,'Main Data'!$A$1:$A$1001,0),MATCH('Index&amp;Match'!I137,'Main Data'!$A137:$O137,0))</f>
        <v>46</v>
      </c>
      <c r="J138" s="2">
        <f>INDEX('Main Data'!$A$1:$O$1001,MATCH('Index&amp;Match'!$A138,'Main Data'!$A$1:$A$1001,0),MATCH('Index&amp;Match'!J137,'Main Data'!$A137:$O137,0))</f>
        <v>46</v>
      </c>
      <c r="K138" s="11">
        <f>INDEX('Main Data'!$A$1:$O$1001,MATCH('Index&amp;Match'!$A138,'Main Data'!$A$1:$A$1001,0),MATCH('Index&amp;Match'!K137,'Main Data'!$A137:$O137,0))</f>
        <v>5567.17</v>
      </c>
      <c r="L138" s="11">
        <f>INDEX('Main Data'!$A$1:$O$1001,MATCH('Index&amp;Match'!$A138,'Main Data'!$A$1:$A$1001,0),MATCH('Index&amp;Match'!L137,'Main Data'!$A137:$O137,0))</f>
        <v>140.32</v>
      </c>
      <c r="M138" s="11">
        <f>INDEX('Main Data'!$A$1:$O$1001,MATCH('Index&amp;Match'!$A138,'Main Data'!$A$1:$A$1001,0),MATCH('Index&amp;Match'!M137,'Main Data'!$A137:$O137,0))</f>
        <v>273.48</v>
      </c>
      <c r="N138" s="2" t="str">
        <f>INDEX('Main Data'!$A$1:$O$1001,MATCH('Index&amp;Match'!$A138,'Main Data'!$A$1:$A$1001,0),MATCH('Index&amp;Match'!N137,'Main Data'!$A137:$O137,0))</f>
        <v>Yes</v>
      </c>
      <c r="O138" s="2">
        <f>INDEX('Main Data'!$A$1:$O$1001,MATCH('Index&amp;Match'!$A138,'Main Data'!$A$1:$A$1001,0),MATCH('Index&amp;Match'!O137,'Main Data'!$A137:$O137,0))</f>
        <v>89</v>
      </c>
    </row>
    <row r="139" spans="1:15" x14ac:dyDescent="0.3">
      <c r="A139" s="2" t="s">
        <v>196</v>
      </c>
      <c r="B139" s="1">
        <f>INDEX('Main Data'!$A$1:$O$1001,MATCH('Index&amp;Match'!$A139,'Main Data'!$A$1:$A$1001,0),MATCH('Index&amp;Match'!B138,'Main Data'!$A138:$O138,0))</f>
        <v>45930</v>
      </c>
      <c r="C139" s="2" t="str">
        <f>INDEX('Main Data'!$A$1:$O$1001,MATCH('Index&amp;Match'!$A139,'Main Data'!$A$1:$A$1001,0),MATCH('Index&amp;Match'!C138,'Main Data'!$A138:$O138,0))</f>
        <v>Alex</v>
      </c>
      <c r="D139" s="2" t="str">
        <f>INDEX('Main Data'!$A$1:$O$1001,MATCH('Index&amp;Match'!$A139,'Main Data'!$A$1:$A$1001,0),MATCH('Index&amp;Match'!D138,'Main Data'!$A138:$O138,0))</f>
        <v>BR-012</v>
      </c>
      <c r="E139" s="2" t="str">
        <f>INDEX('Main Data'!$A$1:$O$1001,MATCH('Index&amp;Match'!$A139,'Main Data'!$A$1:$A$1001,0),MATCH('Index&amp;Match'!E138,'Main Data'!$A138:$O138,0))</f>
        <v>East</v>
      </c>
      <c r="F139" s="2" t="str">
        <f>INDEX('Main Data'!$A$1:$O$1001,MATCH('Index&amp;Match'!$A139,'Main Data'!$A$1:$A$1001,0),MATCH('Index&amp;Match'!F138,'Main Data'!$A138:$O138,0))</f>
        <v>Personal Loan</v>
      </c>
      <c r="G139" s="2" t="str">
        <f>INDEX('Main Data'!$A$1:$O$1001,MATCH('Index&amp;Match'!$A139,'Main Data'!$A$1:$A$1001,0),MATCH('Index&amp;Match'!G138,'Main Data'!$A138:$O138,0))</f>
        <v>Website</v>
      </c>
      <c r="H139" s="2" t="str">
        <f>INDEX('Main Data'!$A$1:$O$1001,MATCH('Index&amp;Match'!$A139,'Main Data'!$A$1:$A$1001,0),MATCH('Index&amp;Match'!H138,'Main Data'!$A138:$O138,0))</f>
        <v>SME</v>
      </c>
      <c r="I139" s="2">
        <f>INDEX('Main Data'!$A$1:$O$1001,MATCH('Index&amp;Match'!$A139,'Main Data'!$A$1:$A$1001,0),MATCH('Index&amp;Match'!I138,'Main Data'!$A138:$O138,0))</f>
        <v>36</v>
      </c>
      <c r="J139" s="2">
        <f>INDEX('Main Data'!$A$1:$O$1001,MATCH('Index&amp;Match'!$A139,'Main Data'!$A$1:$A$1001,0),MATCH('Index&amp;Match'!J138,'Main Data'!$A138:$O138,0))</f>
        <v>36</v>
      </c>
      <c r="K139" s="11">
        <f>INDEX('Main Data'!$A$1:$O$1001,MATCH('Index&amp;Match'!$A139,'Main Data'!$A$1:$A$1001,0),MATCH('Index&amp;Match'!K138,'Main Data'!$A138:$O138,0))</f>
        <v>37712.65</v>
      </c>
      <c r="L139" s="11">
        <f>INDEX('Main Data'!$A$1:$O$1001,MATCH('Index&amp;Match'!$A139,'Main Data'!$A$1:$A$1001,0),MATCH('Index&amp;Match'!L138,'Main Data'!$A138:$O138,0))</f>
        <v>446.07</v>
      </c>
      <c r="M139" s="11">
        <f>INDEX('Main Data'!$A$1:$O$1001,MATCH('Index&amp;Match'!$A139,'Main Data'!$A$1:$A$1001,0),MATCH('Index&amp;Match'!M138,'Main Data'!$A138:$O138,0))</f>
        <v>110.83</v>
      </c>
      <c r="N139" s="2" t="str">
        <f>INDEX('Main Data'!$A$1:$O$1001,MATCH('Index&amp;Match'!$A139,'Main Data'!$A$1:$A$1001,0),MATCH('Index&amp;Match'!N138,'Main Data'!$A138:$O138,0))</f>
        <v>Yes</v>
      </c>
      <c r="O139" s="2">
        <f>INDEX('Main Data'!$A$1:$O$1001,MATCH('Index&amp;Match'!$A139,'Main Data'!$A$1:$A$1001,0),MATCH('Index&amp;Match'!O138,'Main Data'!$A138:$O138,0))</f>
        <v>45</v>
      </c>
    </row>
    <row r="140" spans="1:15" x14ac:dyDescent="0.3">
      <c r="A140" s="2" t="s">
        <v>197</v>
      </c>
      <c r="B140" s="1">
        <f>INDEX('Main Data'!$A$1:$O$1001,MATCH('Index&amp;Match'!$A140,'Main Data'!$A$1:$A$1001,0),MATCH('Index&amp;Match'!B139,'Main Data'!$A139:$O139,0))</f>
        <v>46117</v>
      </c>
      <c r="C140" s="2" t="str">
        <f>INDEX('Main Data'!$A$1:$O$1001,MATCH('Index&amp;Match'!$A140,'Main Data'!$A$1:$A$1001,0),MATCH('Index&amp;Match'!C139,'Main Data'!$A139:$O139,0))</f>
        <v>Jamie</v>
      </c>
      <c r="D140" s="2" t="str">
        <f>INDEX('Main Data'!$A$1:$O$1001,MATCH('Index&amp;Match'!$A140,'Main Data'!$A$1:$A$1001,0),MATCH('Index&amp;Match'!D139,'Main Data'!$A139:$O139,0))</f>
        <v>BR-014</v>
      </c>
      <c r="E140" s="2" t="str">
        <f>INDEX('Main Data'!$A$1:$O$1001,MATCH('Index&amp;Match'!$A140,'Main Data'!$A$1:$A$1001,0),MATCH('Index&amp;Match'!E139,'Main Data'!$A139:$O139,0))</f>
        <v>East</v>
      </c>
      <c r="F140" s="2" t="str">
        <f>INDEX('Main Data'!$A$1:$O$1001,MATCH('Index&amp;Match'!$A140,'Main Data'!$A$1:$A$1001,0),MATCH('Index&amp;Match'!F139,'Main Data'!$A139:$O139,0))</f>
        <v>Wealth Management</v>
      </c>
      <c r="G140" s="2" t="str">
        <f>INDEX('Main Data'!$A$1:$O$1001,MATCH('Index&amp;Match'!$A140,'Main Data'!$A$1:$A$1001,0),MATCH('Index&amp;Match'!G139,'Main Data'!$A139:$O139,0))</f>
        <v>Referral</v>
      </c>
      <c r="H140" s="2" t="str">
        <f>INDEX('Main Data'!$A$1:$O$1001,MATCH('Index&amp;Match'!$A140,'Main Data'!$A$1:$A$1001,0),MATCH('Index&amp;Match'!H139,'Main Data'!$A139:$O139,0))</f>
        <v>Retail</v>
      </c>
      <c r="I140" s="2">
        <f>INDEX('Main Data'!$A$1:$O$1001,MATCH('Index&amp;Match'!$A140,'Main Data'!$A$1:$A$1001,0),MATCH('Index&amp;Match'!I139,'Main Data'!$A139:$O139,0))</f>
        <v>26</v>
      </c>
      <c r="J140" s="2">
        <f>INDEX('Main Data'!$A$1:$O$1001,MATCH('Index&amp;Match'!$A140,'Main Data'!$A$1:$A$1001,0),MATCH('Index&amp;Match'!J139,'Main Data'!$A139:$O139,0))</f>
        <v>26</v>
      </c>
      <c r="K140" s="11">
        <f>INDEX('Main Data'!$A$1:$O$1001,MATCH('Index&amp;Match'!$A140,'Main Data'!$A$1:$A$1001,0),MATCH('Index&amp;Match'!K139,'Main Data'!$A139:$O139,0))</f>
        <v>45358.559999999998</v>
      </c>
      <c r="L140" s="11">
        <f>INDEX('Main Data'!$A$1:$O$1001,MATCH('Index&amp;Match'!$A140,'Main Data'!$A$1:$A$1001,0),MATCH('Index&amp;Match'!L139,'Main Data'!$A139:$O139,0))</f>
        <v>137.75</v>
      </c>
      <c r="M140" s="11">
        <f>INDEX('Main Data'!$A$1:$O$1001,MATCH('Index&amp;Match'!$A140,'Main Data'!$A$1:$A$1001,0),MATCH('Index&amp;Match'!M139,'Main Data'!$A139:$O139,0))</f>
        <v>105.43</v>
      </c>
      <c r="N140" s="2" t="str">
        <f>INDEX('Main Data'!$A$1:$O$1001,MATCH('Index&amp;Match'!$A140,'Main Data'!$A$1:$A$1001,0),MATCH('Index&amp;Match'!N139,'Main Data'!$A139:$O139,0))</f>
        <v>Yes</v>
      </c>
      <c r="O140" s="2">
        <f>INDEX('Main Data'!$A$1:$O$1001,MATCH('Index&amp;Match'!$A140,'Main Data'!$A$1:$A$1001,0),MATCH('Index&amp;Match'!O139,'Main Data'!$A139:$O139,0))</f>
        <v>6</v>
      </c>
    </row>
    <row r="141" spans="1:15" x14ac:dyDescent="0.3">
      <c r="A141" s="2" t="s">
        <v>198</v>
      </c>
      <c r="B141" s="1">
        <f>INDEX('Main Data'!$A$1:$O$1001,MATCH('Index&amp;Match'!$A141,'Main Data'!$A$1:$A$1001,0),MATCH('Index&amp;Match'!B140,'Main Data'!$A140:$O140,0))</f>
        <v>45944</v>
      </c>
      <c r="C141" s="2" t="str">
        <f>INDEX('Main Data'!$A$1:$O$1001,MATCH('Index&amp;Match'!$A141,'Main Data'!$A$1:$A$1001,0),MATCH('Index&amp;Match'!C140,'Main Data'!$A140:$O140,0))</f>
        <v>Alex</v>
      </c>
      <c r="D141" s="2" t="str">
        <f>INDEX('Main Data'!$A$1:$O$1001,MATCH('Index&amp;Match'!$A141,'Main Data'!$A$1:$A$1001,0),MATCH('Index&amp;Match'!D140,'Main Data'!$A140:$O140,0))</f>
        <v>BR-007</v>
      </c>
      <c r="E141" s="2" t="str">
        <f>INDEX('Main Data'!$A$1:$O$1001,MATCH('Index&amp;Match'!$A141,'Main Data'!$A$1:$A$1001,0),MATCH('Index&amp;Match'!E140,'Main Data'!$A140:$O140,0))</f>
        <v>South</v>
      </c>
      <c r="F141" s="2" t="str">
        <f>INDEX('Main Data'!$A$1:$O$1001,MATCH('Index&amp;Match'!$A141,'Main Data'!$A$1:$A$1001,0),MATCH('Index&amp;Match'!F140,'Main Data'!$A140:$O140,0))</f>
        <v>Wealth Management</v>
      </c>
      <c r="G141" s="2" t="str">
        <f>INDEX('Main Data'!$A$1:$O$1001,MATCH('Index&amp;Match'!$A141,'Main Data'!$A$1:$A$1001,0),MATCH('Index&amp;Match'!G140,'Main Data'!$A140:$O140,0))</f>
        <v>Walk-in</v>
      </c>
      <c r="H141" s="2" t="str">
        <f>INDEX('Main Data'!$A$1:$O$1001,MATCH('Index&amp;Match'!$A141,'Main Data'!$A$1:$A$1001,0),MATCH('Index&amp;Match'!H140,'Main Data'!$A140:$O140,0))</f>
        <v>SME</v>
      </c>
      <c r="I141" s="2">
        <f>INDEX('Main Data'!$A$1:$O$1001,MATCH('Index&amp;Match'!$A141,'Main Data'!$A$1:$A$1001,0),MATCH('Index&amp;Match'!I140,'Main Data'!$A140:$O140,0))</f>
        <v>64</v>
      </c>
      <c r="J141" s="2">
        <f>INDEX('Main Data'!$A$1:$O$1001,MATCH('Index&amp;Match'!$A141,'Main Data'!$A$1:$A$1001,0),MATCH('Index&amp;Match'!J140,'Main Data'!$A140:$O140,0))</f>
        <v>64</v>
      </c>
      <c r="K141" s="11">
        <f>INDEX('Main Data'!$A$1:$O$1001,MATCH('Index&amp;Match'!$A141,'Main Data'!$A$1:$A$1001,0),MATCH('Index&amp;Match'!K140,'Main Data'!$A140:$O140,0))</f>
        <v>37300.04</v>
      </c>
      <c r="L141" s="11">
        <f>INDEX('Main Data'!$A$1:$O$1001,MATCH('Index&amp;Match'!$A141,'Main Data'!$A$1:$A$1001,0),MATCH('Index&amp;Match'!L140,'Main Data'!$A140:$O140,0))</f>
        <v>191.06</v>
      </c>
      <c r="M141" s="11">
        <f>INDEX('Main Data'!$A$1:$O$1001,MATCH('Index&amp;Match'!$A141,'Main Data'!$A$1:$A$1001,0),MATCH('Index&amp;Match'!M140,'Main Data'!$A140:$O140,0))</f>
        <v>152.79</v>
      </c>
      <c r="N141" s="2" t="str">
        <f>INDEX('Main Data'!$A$1:$O$1001,MATCH('Index&amp;Match'!$A141,'Main Data'!$A$1:$A$1001,0),MATCH('Index&amp;Match'!N140,'Main Data'!$A140:$O140,0))</f>
        <v>No</v>
      </c>
      <c r="O141" s="2">
        <f>INDEX('Main Data'!$A$1:$O$1001,MATCH('Index&amp;Match'!$A141,'Main Data'!$A$1:$A$1001,0),MATCH('Index&amp;Match'!O140,'Main Data'!$A140:$O140,0))</f>
        <v>21</v>
      </c>
    </row>
    <row r="142" spans="1:15" x14ac:dyDescent="0.3">
      <c r="A142" s="2" t="s">
        <v>199</v>
      </c>
      <c r="B142" s="1">
        <f>INDEX('Main Data'!$A$1:$O$1001,MATCH('Index&amp;Match'!$A142,'Main Data'!$A$1:$A$1001,0),MATCH('Index&amp;Match'!B141,'Main Data'!$A141:$O141,0))</f>
        <v>46225</v>
      </c>
      <c r="C142" s="2" t="str">
        <f>INDEX('Main Data'!$A$1:$O$1001,MATCH('Index&amp;Match'!$A142,'Main Data'!$A$1:$A$1001,0),MATCH('Index&amp;Match'!C141,'Main Data'!$A141:$O141,0))</f>
        <v>Drew</v>
      </c>
      <c r="D142" s="2" t="str">
        <f>INDEX('Main Data'!$A$1:$O$1001,MATCH('Index&amp;Match'!$A142,'Main Data'!$A$1:$A$1001,0),MATCH('Index&amp;Match'!D141,'Main Data'!$A141:$O141,0))</f>
        <v>BR-010</v>
      </c>
      <c r="E142" s="2" t="str">
        <f>INDEX('Main Data'!$A$1:$O$1001,MATCH('Index&amp;Match'!$A142,'Main Data'!$A$1:$A$1001,0),MATCH('Index&amp;Match'!E141,'Main Data'!$A141:$O141,0))</f>
        <v>West</v>
      </c>
      <c r="F142" s="2" t="str">
        <f>INDEX('Main Data'!$A$1:$O$1001,MATCH('Index&amp;Match'!$A142,'Main Data'!$A$1:$A$1001,0),MATCH('Index&amp;Match'!F141,'Main Data'!$A141:$O141,0))</f>
        <v>Wealth Management</v>
      </c>
      <c r="G142" s="2" t="str">
        <f>INDEX('Main Data'!$A$1:$O$1001,MATCH('Index&amp;Match'!$A142,'Main Data'!$A$1:$A$1001,0),MATCH('Index&amp;Match'!G141,'Main Data'!$A141:$O141,0))</f>
        <v>Website</v>
      </c>
      <c r="H142" s="2" t="str">
        <f>INDEX('Main Data'!$A$1:$O$1001,MATCH('Index&amp;Match'!$A142,'Main Data'!$A$1:$A$1001,0),MATCH('Index&amp;Match'!H141,'Main Data'!$A141:$O141,0))</f>
        <v>Corporate</v>
      </c>
      <c r="I142" s="2">
        <f>INDEX('Main Data'!$A$1:$O$1001,MATCH('Index&amp;Match'!$A142,'Main Data'!$A$1:$A$1001,0),MATCH('Index&amp;Match'!I141,'Main Data'!$A141:$O141,0))</f>
        <v>63</v>
      </c>
      <c r="J142" s="2">
        <f>INDEX('Main Data'!$A$1:$O$1001,MATCH('Index&amp;Match'!$A142,'Main Data'!$A$1:$A$1001,0),MATCH('Index&amp;Match'!J141,'Main Data'!$A141:$O141,0))</f>
        <v>63</v>
      </c>
      <c r="K142" s="11">
        <f>INDEX('Main Data'!$A$1:$O$1001,MATCH('Index&amp;Match'!$A142,'Main Data'!$A$1:$A$1001,0),MATCH('Index&amp;Match'!K141,'Main Data'!$A141:$O141,0))</f>
        <v>26874.94</v>
      </c>
      <c r="L142" s="11">
        <f>INDEX('Main Data'!$A$1:$O$1001,MATCH('Index&amp;Match'!$A142,'Main Data'!$A$1:$A$1001,0),MATCH('Index&amp;Match'!L141,'Main Data'!$A141:$O141,0))</f>
        <v>329.25</v>
      </c>
      <c r="M142" s="11">
        <f>INDEX('Main Data'!$A$1:$O$1001,MATCH('Index&amp;Match'!$A142,'Main Data'!$A$1:$A$1001,0),MATCH('Index&amp;Match'!M141,'Main Data'!$A141:$O141,0))</f>
        <v>1.02</v>
      </c>
      <c r="N142" s="2" t="str">
        <f>INDEX('Main Data'!$A$1:$O$1001,MATCH('Index&amp;Match'!$A142,'Main Data'!$A$1:$A$1001,0),MATCH('Index&amp;Match'!N141,'Main Data'!$A141:$O141,0))</f>
        <v>Yes</v>
      </c>
      <c r="O142" s="2">
        <f>INDEX('Main Data'!$A$1:$O$1001,MATCH('Index&amp;Match'!$A142,'Main Data'!$A$1:$A$1001,0),MATCH('Index&amp;Match'!O141,'Main Data'!$A141:$O141,0))</f>
        <v>70</v>
      </c>
    </row>
    <row r="143" spans="1:15" x14ac:dyDescent="0.3">
      <c r="A143" s="2" t="s">
        <v>200</v>
      </c>
      <c r="B143" s="1">
        <f>INDEX('Main Data'!$A$1:$O$1001,MATCH('Index&amp;Match'!$A143,'Main Data'!$A$1:$A$1001,0),MATCH('Index&amp;Match'!B142,'Main Data'!$A142:$O142,0))</f>
        <v>46055</v>
      </c>
      <c r="C143" s="2" t="str">
        <f>INDEX('Main Data'!$A$1:$O$1001,MATCH('Index&amp;Match'!$A143,'Main Data'!$A$1:$A$1001,0),MATCH('Index&amp;Match'!C142,'Main Data'!$A142:$O142,0))</f>
        <v>Alex</v>
      </c>
      <c r="D143" s="2" t="str">
        <f>INDEX('Main Data'!$A$1:$O$1001,MATCH('Index&amp;Match'!$A143,'Main Data'!$A$1:$A$1001,0),MATCH('Index&amp;Match'!D142,'Main Data'!$A142:$O142,0))</f>
        <v>BR-003</v>
      </c>
      <c r="E143" s="2" t="str">
        <f>INDEX('Main Data'!$A$1:$O$1001,MATCH('Index&amp;Match'!$A143,'Main Data'!$A$1:$A$1001,0),MATCH('Index&amp;Match'!E142,'Main Data'!$A142:$O142,0))</f>
        <v>East</v>
      </c>
      <c r="F143" s="2" t="str">
        <f>INDEX('Main Data'!$A$1:$O$1001,MATCH('Index&amp;Match'!$A143,'Main Data'!$A$1:$A$1001,0),MATCH('Index&amp;Match'!F142,'Main Data'!$A142:$O142,0))</f>
        <v>Personal Loan</v>
      </c>
      <c r="G143" s="2" t="str">
        <f>INDEX('Main Data'!$A$1:$O$1001,MATCH('Index&amp;Match'!$A143,'Main Data'!$A$1:$A$1001,0),MATCH('Index&amp;Match'!G142,'Main Data'!$A142:$O142,0))</f>
        <v>Social Media</v>
      </c>
      <c r="H143" s="2" t="str">
        <f>INDEX('Main Data'!$A$1:$O$1001,MATCH('Index&amp;Match'!$A143,'Main Data'!$A$1:$A$1001,0),MATCH('Index&amp;Match'!H142,'Main Data'!$A142:$O142,0))</f>
        <v>High Net Worth</v>
      </c>
      <c r="I143" s="2">
        <f>INDEX('Main Data'!$A$1:$O$1001,MATCH('Index&amp;Match'!$A143,'Main Data'!$A$1:$A$1001,0),MATCH('Index&amp;Match'!I142,'Main Data'!$A142:$O142,0))</f>
        <v>67</v>
      </c>
      <c r="J143" s="2">
        <f>INDEX('Main Data'!$A$1:$O$1001,MATCH('Index&amp;Match'!$A143,'Main Data'!$A$1:$A$1001,0),MATCH('Index&amp;Match'!J142,'Main Data'!$A142:$O142,0))</f>
        <v>67</v>
      </c>
      <c r="K143" s="11">
        <f>INDEX('Main Data'!$A$1:$O$1001,MATCH('Index&amp;Match'!$A143,'Main Data'!$A$1:$A$1001,0),MATCH('Index&amp;Match'!K142,'Main Data'!$A142:$O142,0))</f>
        <v>43103.06</v>
      </c>
      <c r="L143" s="11">
        <f>INDEX('Main Data'!$A$1:$O$1001,MATCH('Index&amp;Match'!$A143,'Main Data'!$A$1:$A$1001,0),MATCH('Index&amp;Match'!L142,'Main Data'!$A142:$O142,0))</f>
        <v>337.26</v>
      </c>
      <c r="M143" s="11">
        <f>INDEX('Main Data'!$A$1:$O$1001,MATCH('Index&amp;Match'!$A143,'Main Data'!$A$1:$A$1001,0),MATCH('Index&amp;Match'!M142,'Main Data'!$A142:$O142,0))</f>
        <v>275.33</v>
      </c>
      <c r="N143" s="2" t="str">
        <f>INDEX('Main Data'!$A$1:$O$1001,MATCH('Index&amp;Match'!$A143,'Main Data'!$A$1:$A$1001,0),MATCH('Index&amp;Match'!N142,'Main Data'!$A142:$O142,0))</f>
        <v>Yes</v>
      </c>
      <c r="O143" s="2">
        <f>INDEX('Main Data'!$A$1:$O$1001,MATCH('Index&amp;Match'!$A143,'Main Data'!$A$1:$A$1001,0),MATCH('Index&amp;Match'!O142,'Main Data'!$A142:$O142,0))</f>
        <v>96</v>
      </c>
    </row>
    <row r="144" spans="1:15" x14ac:dyDescent="0.3">
      <c r="A144" s="2" t="s">
        <v>201</v>
      </c>
      <c r="B144" s="1">
        <f>INDEX('Main Data'!$A$1:$O$1001,MATCH('Index&amp;Match'!$A144,'Main Data'!$A$1:$A$1001,0),MATCH('Index&amp;Match'!B143,'Main Data'!$A143:$O143,0))</f>
        <v>46161</v>
      </c>
      <c r="C144" s="2" t="str">
        <f>INDEX('Main Data'!$A$1:$O$1001,MATCH('Index&amp;Match'!$A144,'Main Data'!$A$1:$A$1001,0),MATCH('Index&amp;Match'!C143,'Main Data'!$A143:$O143,0))</f>
        <v>Morgan</v>
      </c>
      <c r="D144" s="2" t="str">
        <f>INDEX('Main Data'!$A$1:$O$1001,MATCH('Index&amp;Match'!$A144,'Main Data'!$A$1:$A$1001,0),MATCH('Index&amp;Match'!D143,'Main Data'!$A143:$O143,0))</f>
        <v>BR-001</v>
      </c>
      <c r="E144" s="2" t="str">
        <f>INDEX('Main Data'!$A$1:$O$1001,MATCH('Index&amp;Match'!$A144,'Main Data'!$A$1:$A$1001,0),MATCH('Index&amp;Match'!E143,'Main Data'!$A143:$O143,0))</f>
        <v>Central</v>
      </c>
      <c r="F144" s="2" t="str">
        <f>INDEX('Main Data'!$A$1:$O$1001,MATCH('Index&amp;Match'!$A144,'Main Data'!$A$1:$A$1001,0),MATCH('Index&amp;Match'!F143,'Main Data'!$A143:$O143,0))</f>
        <v>Auto Loan</v>
      </c>
      <c r="G144" s="2" t="str">
        <f>INDEX('Main Data'!$A$1:$O$1001,MATCH('Index&amp;Match'!$A144,'Main Data'!$A$1:$A$1001,0),MATCH('Index&amp;Match'!G143,'Main Data'!$A143:$O143,0))</f>
        <v>Social Media</v>
      </c>
      <c r="H144" s="2" t="str">
        <f>INDEX('Main Data'!$A$1:$O$1001,MATCH('Index&amp;Match'!$A144,'Main Data'!$A$1:$A$1001,0),MATCH('Index&amp;Match'!H143,'Main Data'!$A143:$O143,0))</f>
        <v>Corporate</v>
      </c>
      <c r="I144" s="2">
        <f>INDEX('Main Data'!$A$1:$O$1001,MATCH('Index&amp;Match'!$A144,'Main Data'!$A$1:$A$1001,0),MATCH('Index&amp;Match'!I143,'Main Data'!$A143:$O143,0))</f>
        <v>67</v>
      </c>
      <c r="J144" s="2">
        <f>INDEX('Main Data'!$A$1:$O$1001,MATCH('Index&amp;Match'!$A144,'Main Data'!$A$1:$A$1001,0),MATCH('Index&amp;Match'!J143,'Main Data'!$A143:$O143,0))</f>
        <v>67</v>
      </c>
      <c r="K144" s="11">
        <f>INDEX('Main Data'!$A$1:$O$1001,MATCH('Index&amp;Match'!$A144,'Main Data'!$A$1:$A$1001,0),MATCH('Index&amp;Match'!K143,'Main Data'!$A143:$O143,0))</f>
        <v>34898.46</v>
      </c>
      <c r="L144" s="11">
        <f>INDEX('Main Data'!$A$1:$O$1001,MATCH('Index&amp;Match'!$A144,'Main Data'!$A$1:$A$1001,0),MATCH('Index&amp;Match'!L143,'Main Data'!$A143:$O143,0))</f>
        <v>364.72</v>
      </c>
      <c r="M144" s="11">
        <f>INDEX('Main Data'!$A$1:$O$1001,MATCH('Index&amp;Match'!$A144,'Main Data'!$A$1:$A$1001,0),MATCH('Index&amp;Match'!M143,'Main Data'!$A143:$O143,0))</f>
        <v>39.49</v>
      </c>
      <c r="N144" s="2" t="str">
        <f>INDEX('Main Data'!$A$1:$O$1001,MATCH('Index&amp;Match'!$A144,'Main Data'!$A$1:$A$1001,0),MATCH('Index&amp;Match'!N143,'Main Data'!$A143:$O143,0))</f>
        <v>Yes</v>
      </c>
      <c r="O144" s="2">
        <f>INDEX('Main Data'!$A$1:$O$1001,MATCH('Index&amp;Match'!$A144,'Main Data'!$A$1:$A$1001,0),MATCH('Index&amp;Match'!O143,'Main Data'!$A143:$O143,0))</f>
        <v>105</v>
      </c>
    </row>
    <row r="145" spans="1:15" x14ac:dyDescent="0.3">
      <c r="A145" s="2" t="s">
        <v>202</v>
      </c>
      <c r="B145" s="1">
        <f>INDEX('Main Data'!$A$1:$O$1001,MATCH('Index&amp;Match'!$A145,'Main Data'!$A$1:$A$1001,0),MATCH('Index&amp;Match'!B144,'Main Data'!$A144:$O144,0))</f>
        <v>46064</v>
      </c>
      <c r="C145" s="2" t="str">
        <f>INDEX('Main Data'!$A$1:$O$1001,MATCH('Index&amp;Match'!$A145,'Main Data'!$A$1:$A$1001,0),MATCH('Index&amp;Match'!C144,'Main Data'!$A144:$O144,0))</f>
        <v>Drew</v>
      </c>
      <c r="D145" s="2" t="str">
        <f>INDEX('Main Data'!$A$1:$O$1001,MATCH('Index&amp;Match'!$A145,'Main Data'!$A$1:$A$1001,0),MATCH('Index&amp;Match'!D144,'Main Data'!$A144:$O144,0))</f>
        <v>BR-005</v>
      </c>
      <c r="E145" s="2" t="str">
        <f>INDEX('Main Data'!$A$1:$O$1001,MATCH('Index&amp;Match'!$A145,'Main Data'!$A$1:$A$1001,0),MATCH('Index&amp;Match'!E144,'Main Data'!$A144:$O144,0))</f>
        <v>South</v>
      </c>
      <c r="F145" s="2" t="str">
        <f>INDEX('Main Data'!$A$1:$O$1001,MATCH('Index&amp;Match'!$A145,'Main Data'!$A$1:$A$1001,0),MATCH('Index&amp;Match'!F144,'Main Data'!$A144:$O144,0))</f>
        <v>Auto Loan</v>
      </c>
      <c r="G145" s="2" t="str">
        <f>INDEX('Main Data'!$A$1:$O$1001,MATCH('Index&amp;Match'!$A145,'Main Data'!$A$1:$A$1001,0),MATCH('Index&amp;Match'!G144,'Main Data'!$A144:$O144,0))</f>
        <v>Walk-in</v>
      </c>
      <c r="H145" s="2" t="str">
        <f>INDEX('Main Data'!$A$1:$O$1001,MATCH('Index&amp;Match'!$A145,'Main Data'!$A$1:$A$1001,0),MATCH('Index&amp;Match'!H144,'Main Data'!$A144:$O144,0))</f>
        <v>Retail</v>
      </c>
      <c r="I145" s="2">
        <f>INDEX('Main Data'!$A$1:$O$1001,MATCH('Index&amp;Match'!$A145,'Main Data'!$A$1:$A$1001,0),MATCH('Index&amp;Match'!I144,'Main Data'!$A144:$O144,0))</f>
        <v>68</v>
      </c>
      <c r="J145" s="2">
        <f>INDEX('Main Data'!$A$1:$O$1001,MATCH('Index&amp;Match'!$A145,'Main Data'!$A$1:$A$1001,0),MATCH('Index&amp;Match'!J144,'Main Data'!$A144:$O144,0))</f>
        <v>68</v>
      </c>
      <c r="K145" s="11">
        <f>INDEX('Main Data'!$A$1:$O$1001,MATCH('Index&amp;Match'!$A145,'Main Data'!$A$1:$A$1001,0),MATCH('Index&amp;Match'!K144,'Main Data'!$A144:$O144,0))</f>
        <v>1022.28</v>
      </c>
      <c r="L145" s="11">
        <f>INDEX('Main Data'!$A$1:$O$1001,MATCH('Index&amp;Match'!$A145,'Main Data'!$A$1:$A$1001,0),MATCH('Index&amp;Match'!L144,'Main Data'!$A144:$O144,0))</f>
        <v>100.41</v>
      </c>
      <c r="M145" s="11">
        <f>INDEX('Main Data'!$A$1:$O$1001,MATCH('Index&amp;Match'!$A145,'Main Data'!$A$1:$A$1001,0),MATCH('Index&amp;Match'!M144,'Main Data'!$A144:$O144,0))</f>
        <v>196.82</v>
      </c>
      <c r="N145" s="2" t="str">
        <f>INDEX('Main Data'!$A$1:$O$1001,MATCH('Index&amp;Match'!$A145,'Main Data'!$A$1:$A$1001,0),MATCH('Index&amp;Match'!N144,'Main Data'!$A144:$O144,0))</f>
        <v>No</v>
      </c>
      <c r="O145" s="2">
        <f>INDEX('Main Data'!$A$1:$O$1001,MATCH('Index&amp;Match'!$A145,'Main Data'!$A$1:$A$1001,0),MATCH('Index&amp;Match'!O144,'Main Data'!$A144:$O144,0))</f>
        <v>48</v>
      </c>
    </row>
    <row r="146" spans="1:15" x14ac:dyDescent="0.3">
      <c r="A146" s="2" t="s">
        <v>203</v>
      </c>
      <c r="B146" s="1">
        <f>INDEX('Main Data'!$A$1:$O$1001,MATCH('Index&amp;Match'!$A146,'Main Data'!$A$1:$A$1001,0),MATCH('Index&amp;Match'!B145,'Main Data'!$A145:$O145,0))</f>
        <v>46014</v>
      </c>
      <c r="C146" s="2" t="str">
        <f>INDEX('Main Data'!$A$1:$O$1001,MATCH('Index&amp;Match'!$A146,'Main Data'!$A$1:$A$1001,0),MATCH('Index&amp;Match'!C145,'Main Data'!$A145:$O145,0))</f>
        <v>Drew</v>
      </c>
      <c r="D146" s="2" t="str">
        <f>INDEX('Main Data'!$A$1:$O$1001,MATCH('Index&amp;Match'!$A146,'Main Data'!$A$1:$A$1001,0),MATCH('Index&amp;Match'!D145,'Main Data'!$A145:$O145,0))</f>
        <v>BR-013</v>
      </c>
      <c r="E146" s="2" t="str">
        <f>INDEX('Main Data'!$A$1:$O$1001,MATCH('Index&amp;Match'!$A146,'Main Data'!$A$1:$A$1001,0),MATCH('Index&amp;Match'!E145,'Main Data'!$A145:$O145,0))</f>
        <v>South</v>
      </c>
      <c r="F146" s="2" t="str">
        <f>INDEX('Main Data'!$A$1:$O$1001,MATCH('Index&amp;Match'!$A146,'Main Data'!$A$1:$A$1001,0),MATCH('Index&amp;Match'!F145,'Main Data'!$A145:$O145,0))</f>
        <v>Credit Card</v>
      </c>
      <c r="G146" s="2" t="str">
        <f>INDEX('Main Data'!$A$1:$O$1001,MATCH('Index&amp;Match'!$A146,'Main Data'!$A$1:$A$1001,0),MATCH('Index&amp;Match'!G145,'Main Data'!$A145:$O145,0))</f>
        <v>Walk-in</v>
      </c>
      <c r="H146" s="2" t="str">
        <f>INDEX('Main Data'!$A$1:$O$1001,MATCH('Index&amp;Match'!$A146,'Main Data'!$A$1:$A$1001,0),MATCH('Index&amp;Match'!H145,'Main Data'!$A145:$O145,0))</f>
        <v>SME</v>
      </c>
      <c r="I146" s="2">
        <f>INDEX('Main Data'!$A$1:$O$1001,MATCH('Index&amp;Match'!$A146,'Main Data'!$A$1:$A$1001,0),MATCH('Index&amp;Match'!I145,'Main Data'!$A145:$O145,0))</f>
        <v>62</v>
      </c>
      <c r="J146" s="2">
        <f>INDEX('Main Data'!$A$1:$O$1001,MATCH('Index&amp;Match'!$A146,'Main Data'!$A$1:$A$1001,0),MATCH('Index&amp;Match'!J145,'Main Data'!$A145:$O145,0))</f>
        <v>62</v>
      </c>
      <c r="K146" s="11">
        <f>INDEX('Main Data'!$A$1:$O$1001,MATCH('Index&amp;Match'!$A146,'Main Data'!$A$1:$A$1001,0),MATCH('Index&amp;Match'!K145,'Main Data'!$A145:$O145,0))</f>
        <v>20007.46</v>
      </c>
      <c r="L146" s="11">
        <f>INDEX('Main Data'!$A$1:$O$1001,MATCH('Index&amp;Match'!$A146,'Main Data'!$A$1:$A$1001,0),MATCH('Index&amp;Match'!L145,'Main Data'!$A145:$O145,0))</f>
        <v>432.26</v>
      </c>
      <c r="M146" s="11">
        <f>INDEX('Main Data'!$A$1:$O$1001,MATCH('Index&amp;Match'!$A146,'Main Data'!$A$1:$A$1001,0),MATCH('Index&amp;Match'!M145,'Main Data'!$A145:$O145,0))</f>
        <v>147.25</v>
      </c>
      <c r="N146" s="2" t="str">
        <f>INDEX('Main Data'!$A$1:$O$1001,MATCH('Index&amp;Match'!$A146,'Main Data'!$A$1:$A$1001,0),MATCH('Index&amp;Match'!N145,'Main Data'!$A145:$O145,0))</f>
        <v>Yes</v>
      </c>
      <c r="O146" s="2">
        <f>INDEX('Main Data'!$A$1:$O$1001,MATCH('Index&amp;Match'!$A146,'Main Data'!$A$1:$A$1001,0),MATCH('Index&amp;Match'!O145,'Main Data'!$A145:$O145,0))</f>
        <v>107</v>
      </c>
    </row>
    <row r="147" spans="1:15" x14ac:dyDescent="0.3">
      <c r="A147" s="2" t="s">
        <v>204</v>
      </c>
      <c r="B147" s="1">
        <f>INDEX('Main Data'!$A$1:$O$1001,MATCH('Index&amp;Match'!$A147,'Main Data'!$A$1:$A$1001,0),MATCH('Index&amp;Match'!B146,'Main Data'!$A146:$O146,0))</f>
        <v>46131</v>
      </c>
      <c r="C147" s="2" t="str">
        <f>INDEX('Main Data'!$A$1:$O$1001,MATCH('Index&amp;Match'!$A147,'Main Data'!$A$1:$A$1001,0),MATCH('Index&amp;Match'!C146,'Main Data'!$A146:$O146,0))</f>
        <v>Jamie</v>
      </c>
      <c r="D147" s="2" t="str">
        <f>INDEX('Main Data'!$A$1:$O$1001,MATCH('Index&amp;Match'!$A147,'Main Data'!$A$1:$A$1001,0),MATCH('Index&amp;Match'!D146,'Main Data'!$A146:$O146,0))</f>
        <v>BR-004</v>
      </c>
      <c r="E147" s="2" t="str">
        <f>INDEX('Main Data'!$A$1:$O$1001,MATCH('Index&amp;Match'!$A147,'Main Data'!$A$1:$A$1001,0),MATCH('Index&amp;Match'!E146,'Main Data'!$A146:$O146,0))</f>
        <v>Central</v>
      </c>
      <c r="F147" s="2" t="str">
        <f>INDEX('Main Data'!$A$1:$O$1001,MATCH('Index&amp;Match'!$A147,'Main Data'!$A$1:$A$1001,0),MATCH('Index&amp;Match'!F146,'Main Data'!$A146:$O146,0))</f>
        <v>Wealth Management</v>
      </c>
      <c r="G147" s="2" t="str">
        <f>INDEX('Main Data'!$A$1:$O$1001,MATCH('Index&amp;Match'!$A147,'Main Data'!$A$1:$A$1001,0),MATCH('Index&amp;Match'!G146,'Main Data'!$A146:$O146,0))</f>
        <v>Website</v>
      </c>
      <c r="H147" s="2" t="str">
        <f>INDEX('Main Data'!$A$1:$O$1001,MATCH('Index&amp;Match'!$A147,'Main Data'!$A$1:$A$1001,0),MATCH('Index&amp;Match'!H146,'Main Data'!$A146:$O146,0))</f>
        <v>Corporate</v>
      </c>
      <c r="I147" s="2">
        <f>INDEX('Main Data'!$A$1:$O$1001,MATCH('Index&amp;Match'!$A147,'Main Data'!$A$1:$A$1001,0),MATCH('Index&amp;Match'!I146,'Main Data'!$A146:$O146,0))</f>
        <v>32</v>
      </c>
      <c r="J147" s="2">
        <f>INDEX('Main Data'!$A$1:$O$1001,MATCH('Index&amp;Match'!$A147,'Main Data'!$A$1:$A$1001,0),MATCH('Index&amp;Match'!J146,'Main Data'!$A146:$O146,0))</f>
        <v>32</v>
      </c>
      <c r="K147" s="11">
        <f>INDEX('Main Data'!$A$1:$O$1001,MATCH('Index&amp;Match'!$A147,'Main Data'!$A$1:$A$1001,0),MATCH('Index&amp;Match'!K146,'Main Data'!$A146:$O146,0))</f>
        <v>42622.12</v>
      </c>
      <c r="L147" s="11">
        <f>INDEX('Main Data'!$A$1:$O$1001,MATCH('Index&amp;Match'!$A147,'Main Data'!$A$1:$A$1001,0),MATCH('Index&amp;Match'!L146,'Main Data'!$A146:$O146,0))</f>
        <v>289.77999999999997</v>
      </c>
      <c r="M147" s="11">
        <f>INDEX('Main Data'!$A$1:$O$1001,MATCH('Index&amp;Match'!$A147,'Main Data'!$A$1:$A$1001,0),MATCH('Index&amp;Match'!M146,'Main Data'!$A146:$O146,0))</f>
        <v>154.85</v>
      </c>
      <c r="N147" s="2" t="str">
        <f>INDEX('Main Data'!$A$1:$O$1001,MATCH('Index&amp;Match'!$A147,'Main Data'!$A$1:$A$1001,0),MATCH('Index&amp;Match'!N146,'Main Data'!$A146:$O146,0))</f>
        <v>No</v>
      </c>
      <c r="O147" s="2">
        <f>INDEX('Main Data'!$A$1:$O$1001,MATCH('Index&amp;Match'!$A147,'Main Data'!$A$1:$A$1001,0),MATCH('Index&amp;Match'!O146,'Main Data'!$A146:$O146,0))</f>
        <v>39</v>
      </c>
    </row>
    <row r="148" spans="1:15" x14ac:dyDescent="0.3">
      <c r="A148" s="2" t="s">
        <v>205</v>
      </c>
      <c r="B148" s="1">
        <f>INDEX('Main Data'!$A$1:$O$1001,MATCH('Index&amp;Match'!$A148,'Main Data'!$A$1:$A$1001,0),MATCH('Index&amp;Match'!B147,'Main Data'!$A147:$O147,0))</f>
        <v>46132</v>
      </c>
      <c r="C148" s="2" t="str">
        <f>INDEX('Main Data'!$A$1:$O$1001,MATCH('Index&amp;Match'!$A148,'Main Data'!$A$1:$A$1001,0),MATCH('Index&amp;Match'!C147,'Main Data'!$A147:$O147,0))</f>
        <v>Taylor</v>
      </c>
      <c r="D148" s="2" t="str">
        <f>INDEX('Main Data'!$A$1:$O$1001,MATCH('Index&amp;Match'!$A148,'Main Data'!$A$1:$A$1001,0),MATCH('Index&amp;Match'!D147,'Main Data'!$A147:$O147,0))</f>
        <v>BR-010</v>
      </c>
      <c r="E148" s="2" t="str">
        <f>INDEX('Main Data'!$A$1:$O$1001,MATCH('Index&amp;Match'!$A148,'Main Data'!$A$1:$A$1001,0),MATCH('Index&amp;Match'!E147,'Main Data'!$A147:$O147,0))</f>
        <v>West</v>
      </c>
      <c r="F148" s="2" t="str">
        <f>INDEX('Main Data'!$A$1:$O$1001,MATCH('Index&amp;Match'!$A148,'Main Data'!$A$1:$A$1001,0),MATCH('Index&amp;Match'!F147,'Main Data'!$A147:$O147,0))</f>
        <v>Auto Loan</v>
      </c>
      <c r="G148" s="2" t="str">
        <f>INDEX('Main Data'!$A$1:$O$1001,MATCH('Index&amp;Match'!$A148,'Main Data'!$A$1:$A$1001,0),MATCH('Index&amp;Match'!G147,'Main Data'!$A147:$O147,0))</f>
        <v>Email Campaign</v>
      </c>
      <c r="H148" s="2" t="str">
        <f>INDEX('Main Data'!$A$1:$O$1001,MATCH('Index&amp;Match'!$A148,'Main Data'!$A$1:$A$1001,0),MATCH('Index&amp;Match'!H147,'Main Data'!$A147:$O147,0))</f>
        <v>Corporate</v>
      </c>
      <c r="I148" s="2">
        <f>INDEX('Main Data'!$A$1:$O$1001,MATCH('Index&amp;Match'!$A148,'Main Data'!$A$1:$A$1001,0),MATCH('Index&amp;Match'!I147,'Main Data'!$A147:$O147,0))</f>
        <v>33</v>
      </c>
      <c r="J148" s="2">
        <f>INDEX('Main Data'!$A$1:$O$1001,MATCH('Index&amp;Match'!$A148,'Main Data'!$A$1:$A$1001,0),MATCH('Index&amp;Match'!J147,'Main Data'!$A147:$O147,0))</f>
        <v>33</v>
      </c>
      <c r="K148" s="11">
        <f>INDEX('Main Data'!$A$1:$O$1001,MATCH('Index&amp;Match'!$A148,'Main Data'!$A$1:$A$1001,0),MATCH('Index&amp;Match'!K147,'Main Data'!$A147:$O147,0))</f>
        <v>17620.009999999998</v>
      </c>
      <c r="L148" s="11">
        <f>INDEX('Main Data'!$A$1:$O$1001,MATCH('Index&amp;Match'!$A148,'Main Data'!$A$1:$A$1001,0),MATCH('Index&amp;Match'!L147,'Main Data'!$A147:$O147,0))</f>
        <v>262.08999999999997</v>
      </c>
      <c r="M148" s="11">
        <f>INDEX('Main Data'!$A$1:$O$1001,MATCH('Index&amp;Match'!$A148,'Main Data'!$A$1:$A$1001,0),MATCH('Index&amp;Match'!M147,'Main Data'!$A147:$O147,0))</f>
        <v>131.24</v>
      </c>
      <c r="N148" s="2" t="str">
        <f>INDEX('Main Data'!$A$1:$O$1001,MATCH('Index&amp;Match'!$A148,'Main Data'!$A$1:$A$1001,0),MATCH('Index&amp;Match'!N147,'Main Data'!$A147:$O147,0))</f>
        <v>Yes</v>
      </c>
      <c r="O148" s="2">
        <f>INDEX('Main Data'!$A$1:$O$1001,MATCH('Index&amp;Match'!$A148,'Main Data'!$A$1:$A$1001,0),MATCH('Index&amp;Match'!O147,'Main Data'!$A147:$O147,0))</f>
        <v>31</v>
      </c>
    </row>
    <row r="149" spans="1:15" x14ac:dyDescent="0.3">
      <c r="A149" s="2" t="s">
        <v>206</v>
      </c>
      <c r="B149" s="1">
        <f>INDEX('Main Data'!$A$1:$O$1001,MATCH('Index&amp;Match'!$A149,'Main Data'!$A$1:$A$1001,0),MATCH('Index&amp;Match'!B148,'Main Data'!$A148:$O148,0))</f>
        <v>45953</v>
      </c>
      <c r="C149" s="2" t="str">
        <f>INDEX('Main Data'!$A$1:$O$1001,MATCH('Index&amp;Match'!$A149,'Main Data'!$A$1:$A$1001,0),MATCH('Index&amp;Match'!C148,'Main Data'!$A148:$O148,0))</f>
        <v>Taylor</v>
      </c>
      <c r="D149" s="2" t="str">
        <f>INDEX('Main Data'!$A$1:$O$1001,MATCH('Index&amp;Match'!$A149,'Main Data'!$A$1:$A$1001,0),MATCH('Index&amp;Match'!D148,'Main Data'!$A148:$O148,0))</f>
        <v>BR-008</v>
      </c>
      <c r="E149" s="2" t="str">
        <f>INDEX('Main Data'!$A$1:$O$1001,MATCH('Index&amp;Match'!$A149,'Main Data'!$A$1:$A$1001,0),MATCH('Index&amp;Match'!E148,'Main Data'!$A148:$O148,0))</f>
        <v>Central</v>
      </c>
      <c r="F149" s="2" t="str">
        <f>INDEX('Main Data'!$A$1:$O$1001,MATCH('Index&amp;Match'!$A149,'Main Data'!$A$1:$A$1001,0),MATCH('Index&amp;Match'!F148,'Main Data'!$A148:$O148,0))</f>
        <v>Credit Card</v>
      </c>
      <c r="G149" s="2" t="str">
        <f>INDEX('Main Data'!$A$1:$O$1001,MATCH('Index&amp;Match'!$A149,'Main Data'!$A$1:$A$1001,0),MATCH('Index&amp;Match'!G148,'Main Data'!$A148:$O148,0))</f>
        <v>Walk-in</v>
      </c>
      <c r="H149" s="2" t="str">
        <f>INDEX('Main Data'!$A$1:$O$1001,MATCH('Index&amp;Match'!$A149,'Main Data'!$A$1:$A$1001,0),MATCH('Index&amp;Match'!H148,'Main Data'!$A148:$O148,0))</f>
        <v>SME</v>
      </c>
      <c r="I149" s="2">
        <f>INDEX('Main Data'!$A$1:$O$1001,MATCH('Index&amp;Match'!$A149,'Main Data'!$A$1:$A$1001,0),MATCH('Index&amp;Match'!I148,'Main Data'!$A148:$O148,0))</f>
        <v>24</v>
      </c>
      <c r="J149" s="2">
        <f>INDEX('Main Data'!$A$1:$O$1001,MATCH('Index&amp;Match'!$A149,'Main Data'!$A$1:$A$1001,0),MATCH('Index&amp;Match'!J148,'Main Data'!$A148:$O148,0))</f>
        <v>24</v>
      </c>
      <c r="K149" s="11">
        <f>INDEX('Main Data'!$A$1:$O$1001,MATCH('Index&amp;Match'!$A149,'Main Data'!$A$1:$A$1001,0),MATCH('Index&amp;Match'!K148,'Main Data'!$A148:$O148,0))</f>
        <v>2243.15</v>
      </c>
      <c r="L149" s="11">
        <f>INDEX('Main Data'!$A$1:$O$1001,MATCH('Index&amp;Match'!$A149,'Main Data'!$A$1:$A$1001,0),MATCH('Index&amp;Match'!L148,'Main Data'!$A148:$O148,0))</f>
        <v>491.49</v>
      </c>
      <c r="M149" s="11">
        <f>INDEX('Main Data'!$A$1:$O$1001,MATCH('Index&amp;Match'!$A149,'Main Data'!$A$1:$A$1001,0),MATCH('Index&amp;Match'!M148,'Main Data'!$A148:$O148,0))</f>
        <v>94.33</v>
      </c>
      <c r="N149" s="2" t="str">
        <f>INDEX('Main Data'!$A$1:$O$1001,MATCH('Index&amp;Match'!$A149,'Main Data'!$A$1:$A$1001,0),MATCH('Index&amp;Match'!N148,'Main Data'!$A148:$O148,0))</f>
        <v>Yes</v>
      </c>
      <c r="O149" s="2">
        <f>INDEX('Main Data'!$A$1:$O$1001,MATCH('Index&amp;Match'!$A149,'Main Data'!$A$1:$A$1001,0),MATCH('Index&amp;Match'!O148,'Main Data'!$A148:$O148,0))</f>
        <v>106</v>
      </c>
    </row>
    <row r="150" spans="1:15" x14ac:dyDescent="0.3">
      <c r="A150" s="2" t="s">
        <v>207</v>
      </c>
      <c r="B150" s="1">
        <f>INDEX('Main Data'!$A$1:$O$1001,MATCH('Index&amp;Match'!$A150,'Main Data'!$A$1:$A$1001,0),MATCH('Index&amp;Match'!B149,'Main Data'!$A149:$O149,0))</f>
        <v>46076</v>
      </c>
      <c r="C150" s="2" t="str">
        <f>INDEX('Main Data'!$A$1:$O$1001,MATCH('Index&amp;Match'!$A150,'Main Data'!$A$1:$A$1001,0),MATCH('Index&amp;Match'!C149,'Main Data'!$A149:$O149,0))</f>
        <v>Alex</v>
      </c>
      <c r="D150" s="2" t="str">
        <f>INDEX('Main Data'!$A$1:$O$1001,MATCH('Index&amp;Match'!$A150,'Main Data'!$A$1:$A$1001,0),MATCH('Index&amp;Match'!D149,'Main Data'!$A149:$O149,0))</f>
        <v>BR-001</v>
      </c>
      <c r="E150" s="2" t="str">
        <f>INDEX('Main Data'!$A$1:$O$1001,MATCH('Index&amp;Match'!$A150,'Main Data'!$A$1:$A$1001,0),MATCH('Index&amp;Match'!E149,'Main Data'!$A149:$O149,0))</f>
        <v>West</v>
      </c>
      <c r="F150" s="2" t="str">
        <f>INDEX('Main Data'!$A$1:$O$1001,MATCH('Index&amp;Match'!$A150,'Main Data'!$A$1:$A$1001,0),MATCH('Index&amp;Match'!F149,'Main Data'!$A149:$O149,0))</f>
        <v>Auto Loan</v>
      </c>
      <c r="G150" s="2" t="str">
        <f>INDEX('Main Data'!$A$1:$O$1001,MATCH('Index&amp;Match'!$A150,'Main Data'!$A$1:$A$1001,0),MATCH('Index&amp;Match'!G149,'Main Data'!$A149:$O149,0))</f>
        <v>Email Campaign</v>
      </c>
      <c r="H150" s="2" t="str">
        <f>INDEX('Main Data'!$A$1:$O$1001,MATCH('Index&amp;Match'!$A150,'Main Data'!$A$1:$A$1001,0),MATCH('Index&amp;Match'!H149,'Main Data'!$A149:$O149,0))</f>
        <v>SME</v>
      </c>
      <c r="I150" s="2">
        <f>INDEX('Main Data'!$A$1:$O$1001,MATCH('Index&amp;Match'!$A150,'Main Data'!$A$1:$A$1001,0),MATCH('Index&amp;Match'!I149,'Main Data'!$A149:$O149,0))</f>
        <v>59</v>
      </c>
      <c r="J150" s="2">
        <f>INDEX('Main Data'!$A$1:$O$1001,MATCH('Index&amp;Match'!$A150,'Main Data'!$A$1:$A$1001,0),MATCH('Index&amp;Match'!J149,'Main Data'!$A149:$O149,0))</f>
        <v>59</v>
      </c>
      <c r="K150" s="11">
        <f>INDEX('Main Data'!$A$1:$O$1001,MATCH('Index&amp;Match'!$A150,'Main Data'!$A$1:$A$1001,0),MATCH('Index&amp;Match'!K149,'Main Data'!$A149:$O149,0))</f>
        <v>37435.89</v>
      </c>
      <c r="L150" s="11">
        <f>INDEX('Main Data'!$A$1:$O$1001,MATCH('Index&amp;Match'!$A150,'Main Data'!$A$1:$A$1001,0),MATCH('Index&amp;Match'!L149,'Main Data'!$A149:$O149,0))</f>
        <v>383.17</v>
      </c>
      <c r="M150" s="11">
        <f>INDEX('Main Data'!$A$1:$O$1001,MATCH('Index&amp;Match'!$A150,'Main Data'!$A$1:$A$1001,0),MATCH('Index&amp;Match'!M149,'Main Data'!$A149:$O149,0))</f>
        <v>114.33</v>
      </c>
      <c r="N150" s="2" t="str">
        <f>INDEX('Main Data'!$A$1:$O$1001,MATCH('Index&amp;Match'!$A150,'Main Data'!$A$1:$A$1001,0),MATCH('Index&amp;Match'!N149,'Main Data'!$A149:$O149,0))</f>
        <v>Yes</v>
      </c>
      <c r="O150" s="2">
        <f>INDEX('Main Data'!$A$1:$O$1001,MATCH('Index&amp;Match'!$A150,'Main Data'!$A$1:$A$1001,0),MATCH('Index&amp;Match'!O149,'Main Data'!$A149:$O149,0))</f>
        <v>10</v>
      </c>
    </row>
    <row r="151" spans="1:15" x14ac:dyDescent="0.3">
      <c r="A151" s="2" t="s">
        <v>208</v>
      </c>
      <c r="B151" s="1">
        <f>INDEX('Main Data'!$A$1:$O$1001,MATCH('Index&amp;Match'!$A151,'Main Data'!$A$1:$A$1001,0),MATCH('Index&amp;Match'!B150,'Main Data'!$A150:$O150,0))</f>
        <v>46209</v>
      </c>
      <c r="C151" s="2" t="str">
        <f>INDEX('Main Data'!$A$1:$O$1001,MATCH('Index&amp;Match'!$A151,'Main Data'!$A$1:$A$1001,0),MATCH('Index&amp;Match'!C150,'Main Data'!$A150:$O150,0))</f>
        <v>Drew</v>
      </c>
      <c r="D151" s="2" t="str">
        <f>INDEX('Main Data'!$A$1:$O$1001,MATCH('Index&amp;Match'!$A151,'Main Data'!$A$1:$A$1001,0),MATCH('Index&amp;Match'!D150,'Main Data'!$A150:$O150,0))</f>
        <v>BR-010</v>
      </c>
      <c r="E151" s="2" t="str">
        <f>INDEX('Main Data'!$A$1:$O$1001,MATCH('Index&amp;Match'!$A151,'Main Data'!$A$1:$A$1001,0),MATCH('Index&amp;Match'!E150,'Main Data'!$A150:$O150,0))</f>
        <v>Central</v>
      </c>
      <c r="F151" s="2" t="str">
        <f>INDEX('Main Data'!$A$1:$O$1001,MATCH('Index&amp;Match'!$A151,'Main Data'!$A$1:$A$1001,0),MATCH('Index&amp;Match'!F150,'Main Data'!$A150:$O150,0))</f>
        <v>Wealth Management</v>
      </c>
      <c r="G151" s="2" t="str">
        <f>INDEX('Main Data'!$A$1:$O$1001,MATCH('Index&amp;Match'!$A151,'Main Data'!$A$1:$A$1001,0),MATCH('Index&amp;Match'!G150,'Main Data'!$A150:$O150,0))</f>
        <v>Referral</v>
      </c>
      <c r="H151" s="2" t="str">
        <f>INDEX('Main Data'!$A$1:$O$1001,MATCH('Index&amp;Match'!$A151,'Main Data'!$A$1:$A$1001,0),MATCH('Index&amp;Match'!H150,'Main Data'!$A150:$O150,0))</f>
        <v>High Net Worth</v>
      </c>
      <c r="I151" s="2">
        <f>INDEX('Main Data'!$A$1:$O$1001,MATCH('Index&amp;Match'!$A151,'Main Data'!$A$1:$A$1001,0),MATCH('Index&amp;Match'!I150,'Main Data'!$A150:$O150,0))</f>
        <v>74</v>
      </c>
      <c r="J151" s="2">
        <f>INDEX('Main Data'!$A$1:$O$1001,MATCH('Index&amp;Match'!$A151,'Main Data'!$A$1:$A$1001,0),MATCH('Index&amp;Match'!J150,'Main Data'!$A150:$O150,0))</f>
        <v>74</v>
      </c>
      <c r="K151" s="11">
        <f>INDEX('Main Data'!$A$1:$O$1001,MATCH('Index&amp;Match'!$A151,'Main Data'!$A$1:$A$1001,0),MATCH('Index&amp;Match'!K150,'Main Data'!$A150:$O150,0))</f>
        <v>40200.89</v>
      </c>
      <c r="L151" s="11">
        <f>INDEX('Main Data'!$A$1:$O$1001,MATCH('Index&amp;Match'!$A151,'Main Data'!$A$1:$A$1001,0),MATCH('Index&amp;Match'!L150,'Main Data'!$A150:$O150,0))</f>
        <v>103.1</v>
      </c>
      <c r="M151" s="11">
        <f>INDEX('Main Data'!$A$1:$O$1001,MATCH('Index&amp;Match'!$A151,'Main Data'!$A$1:$A$1001,0),MATCH('Index&amp;Match'!M150,'Main Data'!$A150:$O150,0))</f>
        <v>13.92</v>
      </c>
      <c r="N151" s="2" t="str">
        <f>INDEX('Main Data'!$A$1:$O$1001,MATCH('Index&amp;Match'!$A151,'Main Data'!$A$1:$A$1001,0),MATCH('Index&amp;Match'!N150,'Main Data'!$A150:$O150,0))</f>
        <v>Yes</v>
      </c>
      <c r="O151" s="2">
        <f>INDEX('Main Data'!$A$1:$O$1001,MATCH('Index&amp;Match'!$A151,'Main Data'!$A$1:$A$1001,0),MATCH('Index&amp;Match'!O150,'Main Data'!$A150:$O150,0))</f>
        <v>30</v>
      </c>
    </row>
    <row r="152" spans="1:15" x14ac:dyDescent="0.3">
      <c r="A152" s="2" t="s">
        <v>209</v>
      </c>
      <c r="B152" s="1">
        <f>INDEX('Main Data'!$A$1:$O$1001,MATCH('Index&amp;Match'!$A152,'Main Data'!$A$1:$A$1001,0),MATCH('Index&amp;Match'!B151,'Main Data'!$A151:$O151,0))</f>
        <v>46040</v>
      </c>
      <c r="C152" s="2" t="str">
        <f>INDEX('Main Data'!$A$1:$O$1001,MATCH('Index&amp;Match'!$A152,'Main Data'!$A$1:$A$1001,0),MATCH('Index&amp;Match'!C151,'Main Data'!$A151:$O151,0))</f>
        <v>Taylor</v>
      </c>
      <c r="D152" s="2" t="str">
        <f>INDEX('Main Data'!$A$1:$O$1001,MATCH('Index&amp;Match'!$A152,'Main Data'!$A$1:$A$1001,0),MATCH('Index&amp;Match'!D151,'Main Data'!$A151:$O151,0))</f>
        <v>BR-001</v>
      </c>
      <c r="E152" s="2" t="str">
        <f>INDEX('Main Data'!$A$1:$O$1001,MATCH('Index&amp;Match'!$A152,'Main Data'!$A$1:$A$1001,0),MATCH('Index&amp;Match'!E151,'Main Data'!$A151:$O151,0))</f>
        <v>Central</v>
      </c>
      <c r="F152" s="2" t="str">
        <f>INDEX('Main Data'!$A$1:$O$1001,MATCH('Index&amp;Match'!$A152,'Main Data'!$A$1:$A$1001,0),MATCH('Index&amp;Match'!F151,'Main Data'!$A151:$O151,0))</f>
        <v>Mortgage</v>
      </c>
      <c r="G152" s="2" t="str">
        <f>INDEX('Main Data'!$A$1:$O$1001,MATCH('Index&amp;Match'!$A152,'Main Data'!$A$1:$A$1001,0),MATCH('Index&amp;Match'!G151,'Main Data'!$A151:$O151,0))</f>
        <v>Social Media</v>
      </c>
      <c r="H152" s="2" t="str">
        <f>INDEX('Main Data'!$A$1:$O$1001,MATCH('Index&amp;Match'!$A152,'Main Data'!$A$1:$A$1001,0),MATCH('Index&amp;Match'!H151,'Main Data'!$A151:$O151,0))</f>
        <v>Corporate</v>
      </c>
      <c r="I152" s="2">
        <f>INDEX('Main Data'!$A$1:$O$1001,MATCH('Index&amp;Match'!$A152,'Main Data'!$A$1:$A$1001,0),MATCH('Index&amp;Match'!I151,'Main Data'!$A151:$O151,0))</f>
        <v>22</v>
      </c>
      <c r="J152" s="2">
        <f>INDEX('Main Data'!$A$1:$O$1001,MATCH('Index&amp;Match'!$A152,'Main Data'!$A$1:$A$1001,0),MATCH('Index&amp;Match'!J151,'Main Data'!$A151:$O151,0))</f>
        <v>22</v>
      </c>
      <c r="K152" s="11">
        <f>INDEX('Main Data'!$A$1:$O$1001,MATCH('Index&amp;Match'!$A152,'Main Data'!$A$1:$A$1001,0),MATCH('Index&amp;Match'!K151,'Main Data'!$A151:$O151,0))</f>
        <v>8449.39</v>
      </c>
      <c r="L152" s="11">
        <f>INDEX('Main Data'!$A$1:$O$1001,MATCH('Index&amp;Match'!$A152,'Main Data'!$A$1:$A$1001,0),MATCH('Index&amp;Match'!L151,'Main Data'!$A151:$O151,0))</f>
        <v>390.44</v>
      </c>
      <c r="M152" s="11">
        <f>INDEX('Main Data'!$A$1:$O$1001,MATCH('Index&amp;Match'!$A152,'Main Data'!$A$1:$A$1001,0),MATCH('Index&amp;Match'!M151,'Main Data'!$A151:$O151,0))</f>
        <v>124.79</v>
      </c>
      <c r="N152" s="2" t="str">
        <f>INDEX('Main Data'!$A$1:$O$1001,MATCH('Index&amp;Match'!$A152,'Main Data'!$A$1:$A$1001,0),MATCH('Index&amp;Match'!N151,'Main Data'!$A151:$O151,0))</f>
        <v>No</v>
      </c>
      <c r="O152" s="2">
        <f>INDEX('Main Data'!$A$1:$O$1001,MATCH('Index&amp;Match'!$A152,'Main Data'!$A$1:$A$1001,0),MATCH('Index&amp;Match'!O151,'Main Data'!$A151:$O151,0))</f>
        <v>116</v>
      </c>
    </row>
    <row r="153" spans="1:15" x14ac:dyDescent="0.3">
      <c r="A153" s="2" t="s">
        <v>210</v>
      </c>
      <c r="B153" s="1">
        <f>INDEX('Main Data'!$A$1:$O$1001,MATCH('Index&amp;Match'!$A153,'Main Data'!$A$1:$A$1001,0),MATCH('Index&amp;Match'!B152,'Main Data'!$A152:$O152,0))</f>
        <v>46165</v>
      </c>
      <c r="C153" s="2" t="str">
        <f>INDEX('Main Data'!$A$1:$O$1001,MATCH('Index&amp;Match'!$A153,'Main Data'!$A$1:$A$1001,0),MATCH('Index&amp;Match'!C152,'Main Data'!$A152:$O152,0))</f>
        <v>Taylor</v>
      </c>
      <c r="D153" s="2" t="str">
        <f>INDEX('Main Data'!$A$1:$O$1001,MATCH('Index&amp;Match'!$A153,'Main Data'!$A$1:$A$1001,0),MATCH('Index&amp;Match'!D152,'Main Data'!$A152:$O152,0))</f>
        <v>BR-012</v>
      </c>
      <c r="E153" s="2" t="str">
        <f>INDEX('Main Data'!$A$1:$O$1001,MATCH('Index&amp;Match'!$A153,'Main Data'!$A$1:$A$1001,0),MATCH('Index&amp;Match'!E152,'Main Data'!$A152:$O152,0))</f>
        <v>North</v>
      </c>
      <c r="F153" s="2" t="str">
        <f>INDEX('Main Data'!$A$1:$O$1001,MATCH('Index&amp;Match'!$A153,'Main Data'!$A$1:$A$1001,0),MATCH('Index&amp;Match'!F152,'Main Data'!$A152:$O152,0))</f>
        <v>Wealth Management</v>
      </c>
      <c r="G153" s="2" t="str">
        <f>INDEX('Main Data'!$A$1:$O$1001,MATCH('Index&amp;Match'!$A153,'Main Data'!$A$1:$A$1001,0),MATCH('Index&amp;Match'!G152,'Main Data'!$A152:$O152,0))</f>
        <v>Email Campaign</v>
      </c>
      <c r="H153" s="2" t="str">
        <f>INDEX('Main Data'!$A$1:$O$1001,MATCH('Index&amp;Match'!$A153,'Main Data'!$A$1:$A$1001,0),MATCH('Index&amp;Match'!H152,'Main Data'!$A152:$O152,0))</f>
        <v>Corporate</v>
      </c>
      <c r="I153" s="2">
        <f>INDEX('Main Data'!$A$1:$O$1001,MATCH('Index&amp;Match'!$A153,'Main Data'!$A$1:$A$1001,0),MATCH('Index&amp;Match'!I152,'Main Data'!$A152:$O152,0))</f>
        <v>46</v>
      </c>
      <c r="J153" s="2">
        <f>INDEX('Main Data'!$A$1:$O$1001,MATCH('Index&amp;Match'!$A153,'Main Data'!$A$1:$A$1001,0),MATCH('Index&amp;Match'!J152,'Main Data'!$A152:$O152,0))</f>
        <v>46</v>
      </c>
      <c r="K153" s="11">
        <f>INDEX('Main Data'!$A$1:$O$1001,MATCH('Index&amp;Match'!$A153,'Main Data'!$A$1:$A$1001,0),MATCH('Index&amp;Match'!K152,'Main Data'!$A152:$O152,0))</f>
        <v>27098.35</v>
      </c>
      <c r="L153" s="11">
        <f>INDEX('Main Data'!$A$1:$O$1001,MATCH('Index&amp;Match'!$A153,'Main Data'!$A$1:$A$1001,0),MATCH('Index&amp;Match'!L152,'Main Data'!$A152:$O152,0))</f>
        <v>92.86</v>
      </c>
      <c r="M153" s="11">
        <f>INDEX('Main Data'!$A$1:$O$1001,MATCH('Index&amp;Match'!$A153,'Main Data'!$A$1:$A$1001,0),MATCH('Index&amp;Match'!M152,'Main Data'!$A152:$O152,0))</f>
        <v>125.22</v>
      </c>
      <c r="N153" s="2" t="str">
        <f>INDEX('Main Data'!$A$1:$O$1001,MATCH('Index&amp;Match'!$A153,'Main Data'!$A$1:$A$1001,0),MATCH('Index&amp;Match'!N152,'Main Data'!$A152:$O152,0))</f>
        <v>Yes</v>
      </c>
      <c r="O153" s="2">
        <f>INDEX('Main Data'!$A$1:$O$1001,MATCH('Index&amp;Match'!$A153,'Main Data'!$A$1:$A$1001,0),MATCH('Index&amp;Match'!O152,'Main Data'!$A152:$O152,0))</f>
        <v>18</v>
      </c>
    </row>
    <row r="154" spans="1:15" x14ac:dyDescent="0.3">
      <c r="A154" s="2" t="s">
        <v>211</v>
      </c>
      <c r="B154" s="1">
        <f>INDEX('Main Data'!$A$1:$O$1001,MATCH('Index&amp;Match'!$A154,'Main Data'!$A$1:$A$1001,0),MATCH('Index&amp;Match'!B153,'Main Data'!$A153:$O153,0))</f>
        <v>45929</v>
      </c>
      <c r="C154" s="2" t="str">
        <f>INDEX('Main Data'!$A$1:$O$1001,MATCH('Index&amp;Match'!$A154,'Main Data'!$A$1:$A$1001,0),MATCH('Index&amp;Match'!C153,'Main Data'!$A153:$O153,0))</f>
        <v>Alex</v>
      </c>
      <c r="D154" s="2" t="str">
        <f>INDEX('Main Data'!$A$1:$O$1001,MATCH('Index&amp;Match'!$A154,'Main Data'!$A$1:$A$1001,0),MATCH('Index&amp;Match'!D153,'Main Data'!$A153:$O153,0))</f>
        <v>BR-004</v>
      </c>
      <c r="E154" s="2" t="str">
        <f>INDEX('Main Data'!$A$1:$O$1001,MATCH('Index&amp;Match'!$A154,'Main Data'!$A$1:$A$1001,0),MATCH('Index&amp;Match'!E153,'Main Data'!$A153:$O153,0))</f>
        <v>South</v>
      </c>
      <c r="F154" s="2" t="str">
        <f>INDEX('Main Data'!$A$1:$O$1001,MATCH('Index&amp;Match'!$A154,'Main Data'!$A$1:$A$1001,0),MATCH('Index&amp;Match'!F153,'Main Data'!$A153:$O153,0))</f>
        <v>Personal Loan</v>
      </c>
      <c r="G154" s="2" t="str">
        <f>INDEX('Main Data'!$A$1:$O$1001,MATCH('Index&amp;Match'!$A154,'Main Data'!$A$1:$A$1001,0),MATCH('Index&amp;Match'!G153,'Main Data'!$A153:$O153,0))</f>
        <v>Social Media</v>
      </c>
      <c r="H154" s="2" t="str">
        <f>INDEX('Main Data'!$A$1:$O$1001,MATCH('Index&amp;Match'!$A154,'Main Data'!$A$1:$A$1001,0),MATCH('Index&amp;Match'!H153,'Main Data'!$A153:$O153,0))</f>
        <v>Retail</v>
      </c>
      <c r="I154" s="2">
        <f>INDEX('Main Data'!$A$1:$O$1001,MATCH('Index&amp;Match'!$A154,'Main Data'!$A$1:$A$1001,0),MATCH('Index&amp;Match'!I153,'Main Data'!$A153:$O153,0))</f>
        <v>47</v>
      </c>
      <c r="J154" s="2">
        <f>INDEX('Main Data'!$A$1:$O$1001,MATCH('Index&amp;Match'!$A154,'Main Data'!$A$1:$A$1001,0),MATCH('Index&amp;Match'!J153,'Main Data'!$A153:$O153,0))</f>
        <v>47</v>
      </c>
      <c r="K154" s="11">
        <f>INDEX('Main Data'!$A$1:$O$1001,MATCH('Index&amp;Match'!$A154,'Main Data'!$A$1:$A$1001,0),MATCH('Index&amp;Match'!K153,'Main Data'!$A153:$O153,0))</f>
        <v>10001.790000000001</v>
      </c>
      <c r="L154" s="11">
        <f>INDEX('Main Data'!$A$1:$O$1001,MATCH('Index&amp;Match'!$A154,'Main Data'!$A$1:$A$1001,0),MATCH('Index&amp;Match'!L153,'Main Data'!$A153:$O153,0))</f>
        <v>62.36</v>
      </c>
      <c r="M154" s="11">
        <f>INDEX('Main Data'!$A$1:$O$1001,MATCH('Index&amp;Match'!$A154,'Main Data'!$A$1:$A$1001,0),MATCH('Index&amp;Match'!M153,'Main Data'!$A153:$O153,0))</f>
        <v>178.24</v>
      </c>
      <c r="N154" s="2" t="str">
        <f>INDEX('Main Data'!$A$1:$O$1001,MATCH('Index&amp;Match'!$A154,'Main Data'!$A$1:$A$1001,0),MATCH('Index&amp;Match'!N153,'Main Data'!$A153:$O153,0))</f>
        <v>Yes</v>
      </c>
      <c r="O154" s="2">
        <f>INDEX('Main Data'!$A$1:$O$1001,MATCH('Index&amp;Match'!$A154,'Main Data'!$A$1:$A$1001,0),MATCH('Index&amp;Match'!O153,'Main Data'!$A153:$O153,0))</f>
        <v>60</v>
      </c>
    </row>
    <row r="155" spans="1:15" x14ac:dyDescent="0.3">
      <c r="A155" s="2" t="s">
        <v>212</v>
      </c>
      <c r="B155" s="1">
        <f>INDEX('Main Data'!$A$1:$O$1001,MATCH('Index&amp;Match'!$A155,'Main Data'!$A$1:$A$1001,0),MATCH('Index&amp;Match'!B154,'Main Data'!$A154:$O154,0))</f>
        <v>45920</v>
      </c>
      <c r="C155" s="2" t="str">
        <f>INDEX('Main Data'!$A$1:$O$1001,MATCH('Index&amp;Match'!$A155,'Main Data'!$A$1:$A$1001,0),MATCH('Index&amp;Match'!C154,'Main Data'!$A154:$O154,0))</f>
        <v>Taylor</v>
      </c>
      <c r="D155" s="2" t="str">
        <f>INDEX('Main Data'!$A$1:$O$1001,MATCH('Index&amp;Match'!$A155,'Main Data'!$A$1:$A$1001,0),MATCH('Index&amp;Match'!D154,'Main Data'!$A154:$O154,0))</f>
        <v>BR-008</v>
      </c>
      <c r="E155" s="2" t="str">
        <f>INDEX('Main Data'!$A$1:$O$1001,MATCH('Index&amp;Match'!$A155,'Main Data'!$A$1:$A$1001,0),MATCH('Index&amp;Match'!E154,'Main Data'!$A154:$O154,0))</f>
        <v>Central</v>
      </c>
      <c r="F155" s="2" t="str">
        <f>INDEX('Main Data'!$A$1:$O$1001,MATCH('Index&amp;Match'!$A155,'Main Data'!$A$1:$A$1001,0),MATCH('Index&amp;Match'!F154,'Main Data'!$A154:$O154,0))</f>
        <v>Auto Loan</v>
      </c>
      <c r="G155" s="2" t="str">
        <f>INDEX('Main Data'!$A$1:$O$1001,MATCH('Index&amp;Match'!$A155,'Main Data'!$A$1:$A$1001,0),MATCH('Index&amp;Match'!G154,'Main Data'!$A154:$O154,0))</f>
        <v>Email Campaign</v>
      </c>
      <c r="H155" s="2" t="str">
        <f>INDEX('Main Data'!$A$1:$O$1001,MATCH('Index&amp;Match'!$A155,'Main Data'!$A$1:$A$1001,0),MATCH('Index&amp;Match'!H154,'Main Data'!$A154:$O154,0))</f>
        <v>High Net Worth</v>
      </c>
      <c r="I155" s="2">
        <f>INDEX('Main Data'!$A$1:$O$1001,MATCH('Index&amp;Match'!$A155,'Main Data'!$A$1:$A$1001,0),MATCH('Index&amp;Match'!I154,'Main Data'!$A154:$O154,0))</f>
        <v>47</v>
      </c>
      <c r="J155" s="2">
        <f>INDEX('Main Data'!$A$1:$O$1001,MATCH('Index&amp;Match'!$A155,'Main Data'!$A$1:$A$1001,0),MATCH('Index&amp;Match'!J154,'Main Data'!$A154:$O154,0))</f>
        <v>47</v>
      </c>
      <c r="K155" s="11">
        <f>INDEX('Main Data'!$A$1:$O$1001,MATCH('Index&amp;Match'!$A155,'Main Data'!$A$1:$A$1001,0),MATCH('Index&amp;Match'!K154,'Main Data'!$A154:$O154,0))</f>
        <v>36102.1</v>
      </c>
      <c r="L155" s="11">
        <f>INDEX('Main Data'!$A$1:$O$1001,MATCH('Index&amp;Match'!$A155,'Main Data'!$A$1:$A$1001,0),MATCH('Index&amp;Match'!L154,'Main Data'!$A154:$O154,0))</f>
        <v>231.63</v>
      </c>
      <c r="M155" s="11">
        <f>INDEX('Main Data'!$A$1:$O$1001,MATCH('Index&amp;Match'!$A155,'Main Data'!$A$1:$A$1001,0),MATCH('Index&amp;Match'!M154,'Main Data'!$A154:$O154,0))</f>
        <v>151.69999999999999</v>
      </c>
      <c r="N155" s="2" t="str">
        <f>INDEX('Main Data'!$A$1:$O$1001,MATCH('Index&amp;Match'!$A155,'Main Data'!$A$1:$A$1001,0),MATCH('Index&amp;Match'!N154,'Main Data'!$A154:$O154,0))</f>
        <v>No</v>
      </c>
      <c r="O155" s="2">
        <f>INDEX('Main Data'!$A$1:$O$1001,MATCH('Index&amp;Match'!$A155,'Main Data'!$A$1:$A$1001,0),MATCH('Index&amp;Match'!O154,'Main Data'!$A154:$O154,0))</f>
        <v>88</v>
      </c>
    </row>
    <row r="156" spans="1:15" x14ac:dyDescent="0.3">
      <c r="A156" s="2" t="s">
        <v>213</v>
      </c>
      <c r="B156" s="1">
        <f>INDEX('Main Data'!$A$1:$O$1001,MATCH('Index&amp;Match'!$A156,'Main Data'!$A$1:$A$1001,0),MATCH('Index&amp;Match'!B155,'Main Data'!$A155:$O155,0))</f>
        <v>46190</v>
      </c>
      <c r="C156" s="2" t="str">
        <f>INDEX('Main Data'!$A$1:$O$1001,MATCH('Index&amp;Match'!$A156,'Main Data'!$A$1:$A$1001,0),MATCH('Index&amp;Match'!C155,'Main Data'!$A155:$O155,0))</f>
        <v>Casey</v>
      </c>
      <c r="D156" s="2" t="str">
        <f>INDEX('Main Data'!$A$1:$O$1001,MATCH('Index&amp;Match'!$A156,'Main Data'!$A$1:$A$1001,0),MATCH('Index&amp;Match'!D155,'Main Data'!$A155:$O155,0))</f>
        <v>BR-005</v>
      </c>
      <c r="E156" s="2" t="str">
        <f>INDEX('Main Data'!$A$1:$O$1001,MATCH('Index&amp;Match'!$A156,'Main Data'!$A$1:$A$1001,0),MATCH('Index&amp;Match'!E155,'Main Data'!$A155:$O155,0))</f>
        <v>Central</v>
      </c>
      <c r="F156" s="2" t="str">
        <f>INDEX('Main Data'!$A$1:$O$1001,MATCH('Index&amp;Match'!$A156,'Main Data'!$A$1:$A$1001,0),MATCH('Index&amp;Match'!F155,'Main Data'!$A155:$O155,0))</f>
        <v>Auto Loan</v>
      </c>
      <c r="G156" s="2" t="str">
        <f>INDEX('Main Data'!$A$1:$O$1001,MATCH('Index&amp;Match'!$A156,'Main Data'!$A$1:$A$1001,0),MATCH('Index&amp;Match'!G155,'Main Data'!$A155:$O155,0))</f>
        <v>Referral</v>
      </c>
      <c r="H156" s="2" t="str">
        <f>INDEX('Main Data'!$A$1:$O$1001,MATCH('Index&amp;Match'!$A156,'Main Data'!$A$1:$A$1001,0),MATCH('Index&amp;Match'!H155,'Main Data'!$A155:$O155,0))</f>
        <v>Retail</v>
      </c>
      <c r="I156" s="2">
        <f>INDEX('Main Data'!$A$1:$O$1001,MATCH('Index&amp;Match'!$A156,'Main Data'!$A$1:$A$1001,0),MATCH('Index&amp;Match'!I155,'Main Data'!$A155:$O155,0))</f>
        <v>35</v>
      </c>
      <c r="J156" s="2">
        <f>INDEX('Main Data'!$A$1:$O$1001,MATCH('Index&amp;Match'!$A156,'Main Data'!$A$1:$A$1001,0),MATCH('Index&amp;Match'!J155,'Main Data'!$A155:$O155,0))</f>
        <v>35</v>
      </c>
      <c r="K156" s="11">
        <f>INDEX('Main Data'!$A$1:$O$1001,MATCH('Index&amp;Match'!$A156,'Main Data'!$A$1:$A$1001,0),MATCH('Index&amp;Match'!K155,'Main Data'!$A155:$O155,0))</f>
        <v>13941.75</v>
      </c>
      <c r="L156" s="11">
        <f>INDEX('Main Data'!$A$1:$O$1001,MATCH('Index&amp;Match'!$A156,'Main Data'!$A$1:$A$1001,0),MATCH('Index&amp;Match'!L155,'Main Data'!$A155:$O155,0))</f>
        <v>497.11</v>
      </c>
      <c r="M156" s="11">
        <f>INDEX('Main Data'!$A$1:$O$1001,MATCH('Index&amp;Match'!$A156,'Main Data'!$A$1:$A$1001,0),MATCH('Index&amp;Match'!M155,'Main Data'!$A155:$O155,0))</f>
        <v>15.43</v>
      </c>
      <c r="N156" s="2" t="str">
        <f>INDEX('Main Data'!$A$1:$O$1001,MATCH('Index&amp;Match'!$A156,'Main Data'!$A$1:$A$1001,0),MATCH('Index&amp;Match'!N155,'Main Data'!$A155:$O155,0))</f>
        <v>Yes</v>
      </c>
      <c r="O156" s="2">
        <f>INDEX('Main Data'!$A$1:$O$1001,MATCH('Index&amp;Match'!$A156,'Main Data'!$A$1:$A$1001,0),MATCH('Index&amp;Match'!O155,'Main Data'!$A155:$O155,0))</f>
        <v>116</v>
      </c>
    </row>
    <row r="157" spans="1:15" x14ac:dyDescent="0.3">
      <c r="A157" s="2" t="s">
        <v>214</v>
      </c>
      <c r="B157" s="1">
        <f>INDEX('Main Data'!$A$1:$O$1001,MATCH('Index&amp;Match'!$A157,'Main Data'!$A$1:$A$1001,0),MATCH('Index&amp;Match'!B156,'Main Data'!$A156:$O156,0))</f>
        <v>46043</v>
      </c>
      <c r="C157" s="2" t="str">
        <f>INDEX('Main Data'!$A$1:$O$1001,MATCH('Index&amp;Match'!$A157,'Main Data'!$A$1:$A$1001,0),MATCH('Index&amp;Match'!C156,'Main Data'!$A156:$O156,0))</f>
        <v>Jordan</v>
      </c>
      <c r="D157" s="2" t="str">
        <f>INDEX('Main Data'!$A$1:$O$1001,MATCH('Index&amp;Match'!$A157,'Main Data'!$A$1:$A$1001,0),MATCH('Index&amp;Match'!D156,'Main Data'!$A156:$O156,0))</f>
        <v>BR-002</v>
      </c>
      <c r="E157" s="2" t="str">
        <f>INDEX('Main Data'!$A$1:$O$1001,MATCH('Index&amp;Match'!$A157,'Main Data'!$A$1:$A$1001,0),MATCH('Index&amp;Match'!E156,'Main Data'!$A156:$O156,0))</f>
        <v>East</v>
      </c>
      <c r="F157" s="2" t="str">
        <f>INDEX('Main Data'!$A$1:$O$1001,MATCH('Index&amp;Match'!$A157,'Main Data'!$A$1:$A$1001,0),MATCH('Index&amp;Match'!F156,'Main Data'!$A156:$O156,0))</f>
        <v>Personal Loan</v>
      </c>
      <c r="G157" s="2" t="str">
        <f>INDEX('Main Data'!$A$1:$O$1001,MATCH('Index&amp;Match'!$A157,'Main Data'!$A$1:$A$1001,0),MATCH('Index&amp;Match'!G156,'Main Data'!$A156:$O156,0))</f>
        <v>Walk-in</v>
      </c>
      <c r="H157" s="2" t="str">
        <f>INDEX('Main Data'!$A$1:$O$1001,MATCH('Index&amp;Match'!$A157,'Main Data'!$A$1:$A$1001,0),MATCH('Index&amp;Match'!H156,'Main Data'!$A156:$O156,0))</f>
        <v>Corporate</v>
      </c>
      <c r="I157" s="2">
        <f>INDEX('Main Data'!$A$1:$O$1001,MATCH('Index&amp;Match'!$A157,'Main Data'!$A$1:$A$1001,0),MATCH('Index&amp;Match'!I156,'Main Data'!$A156:$O156,0))</f>
        <v>28</v>
      </c>
      <c r="J157" s="2">
        <f>INDEX('Main Data'!$A$1:$O$1001,MATCH('Index&amp;Match'!$A157,'Main Data'!$A$1:$A$1001,0),MATCH('Index&amp;Match'!J156,'Main Data'!$A156:$O156,0))</f>
        <v>28</v>
      </c>
      <c r="K157" s="11">
        <f>INDEX('Main Data'!$A$1:$O$1001,MATCH('Index&amp;Match'!$A157,'Main Data'!$A$1:$A$1001,0),MATCH('Index&amp;Match'!K156,'Main Data'!$A156:$O156,0))</f>
        <v>16152.65</v>
      </c>
      <c r="L157" s="11">
        <f>INDEX('Main Data'!$A$1:$O$1001,MATCH('Index&amp;Match'!$A157,'Main Data'!$A$1:$A$1001,0),MATCH('Index&amp;Match'!L156,'Main Data'!$A156:$O156,0))</f>
        <v>128.69999999999999</v>
      </c>
      <c r="M157" s="11">
        <f>INDEX('Main Data'!$A$1:$O$1001,MATCH('Index&amp;Match'!$A157,'Main Data'!$A$1:$A$1001,0),MATCH('Index&amp;Match'!M156,'Main Data'!$A156:$O156,0))</f>
        <v>61.24</v>
      </c>
      <c r="N157" s="2" t="str">
        <f>INDEX('Main Data'!$A$1:$O$1001,MATCH('Index&amp;Match'!$A157,'Main Data'!$A$1:$A$1001,0),MATCH('Index&amp;Match'!N156,'Main Data'!$A156:$O156,0))</f>
        <v>Yes</v>
      </c>
      <c r="O157" s="2">
        <f>INDEX('Main Data'!$A$1:$O$1001,MATCH('Index&amp;Match'!$A157,'Main Data'!$A$1:$A$1001,0),MATCH('Index&amp;Match'!O156,'Main Data'!$A156:$O156,0))</f>
        <v>73</v>
      </c>
    </row>
    <row r="158" spans="1:15" x14ac:dyDescent="0.3">
      <c r="A158" s="2" t="s">
        <v>215</v>
      </c>
      <c r="B158" s="1">
        <f>INDEX('Main Data'!$A$1:$O$1001,MATCH('Index&amp;Match'!$A158,'Main Data'!$A$1:$A$1001,0),MATCH('Index&amp;Match'!B157,'Main Data'!$A157:$O157,0))</f>
        <v>45915</v>
      </c>
      <c r="C158" s="2" t="str">
        <f>INDEX('Main Data'!$A$1:$O$1001,MATCH('Index&amp;Match'!$A158,'Main Data'!$A$1:$A$1001,0),MATCH('Index&amp;Match'!C157,'Main Data'!$A157:$O157,0))</f>
        <v>Jamie</v>
      </c>
      <c r="D158" s="2" t="str">
        <f>INDEX('Main Data'!$A$1:$O$1001,MATCH('Index&amp;Match'!$A158,'Main Data'!$A$1:$A$1001,0),MATCH('Index&amp;Match'!D157,'Main Data'!$A157:$O157,0))</f>
        <v>BR-006</v>
      </c>
      <c r="E158" s="2" t="str">
        <f>INDEX('Main Data'!$A$1:$O$1001,MATCH('Index&amp;Match'!$A158,'Main Data'!$A$1:$A$1001,0),MATCH('Index&amp;Match'!E157,'Main Data'!$A157:$O157,0))</f>
        <v>South</v>
      </c>
      <c r="F158" s="2" t="str">
        <f>INDEX('Main Data'!$A$1:$O$1001,MATCH('Index&amp;Match'!$A158,'Main Data'!$A$1:$A$1001,0),MATCH('Index&amp;Match'!F157,'Main Data'!$A157:$O157,0))</f>
        <v>Personal Loan</v>
      </c>
      <c r="G158" s="2" t="str">
        <f>INDEX('Main Data'!$A$1:$O$1001,MATCH('Index&amp;Match'!$A158,'Main Data'!$A$1:$A$1001,0),MATCH('Index&amp;Match'!G157,'Main Data'!$A157:$O157,0))</f>
        <v>Referral</v>
      </c>
      <c r="H158" s="2" t="str">
        <f>INDEX('Main Data'!$A$1:$O$1001,MATCH('Index&amp;Match'!$A158,'Main Data'!$A$1:$A$1001,0),MATCH('Index&amp;Match'!H157,'Main Data'!$A157:$O157,0))</f>
        <v>Retail</v>
      </c>
      <c r="I158" s="2">
        <f>INDEX('Main Data'!$A$1:$O$1001,MATCH('Index&amp;Match'!$A158,'Main Data'!$A$1:$A$1001,0),MATCH('Index&amp;Match'!I157,'Main Data'!$A157:$O157,0))</f>
        <v>27</v>
      </c>
      <c r="J158" s="2">
        <f>INDEX('Main Data'!$A$1:$O$1001,MATCH('Index&amp;Match'!$A158,'Main Data'!$A$1:$A$1001,0),MATCH('Index&amp;Match'!J157,'Main Data'!$A157:$O157,0))</f>
        <v>27</v>
      </c>
      <c r="K158" s="11">
        <f>INDEX('Main Data'!$A$1:$O$1001,MATCH('Index&amp;Match'!$A158,'Main Data'!$A$1:$A$1001,0),MATCH('Index&amp;Match'!K157,'Main Data'!$A157:$O157,0))</f>
        <v>42326.06</v>
      </c>
      <c r="L158" s="11">
        <f>INDEX('Main Data'!$A$1:$O$1001,MATCH('Index&amp;Match'!$A158,'Main Data'!$A$1:$A$1001,0),MATCH('Index&amp;Match'!L157,'Main Data'!$A157:$O157,0))</f>
        <v>352.69</v>
      </c>
      <c r="M158" s="11">
        <f>INDEX('Main Data'!$A$1:$O$1001,MATCH('Index&amp;Match'!$A158,'Main Data'!$A$1:$A$1001,0),MATCH('Index&amp;Match'!M157,'Main Data'!$A157:$O157,0))</f>
        <v>131.13</v>
      </c>
      <c r="N158" s="2" t="str">
        <f>INDEX('Main Data'!$A$1:$O$1001,MATCH('Index&amp;Match'!$A158,'Main Data'!$A$1:$A$1001,0),MATCH('Index&amp;Match'!N157,'Main Data'!$A157:$O157,0))</f>
        <v>No</v>
      </c>
      <c r="O158" s="2">
        <f>INDEX('Main Data'!$A$1:$O$1001,MATCH('Index&amp;Match'!$A158,'Main Data'!$A$1:$A$1001,0),MATCH('Index&amp;Match'!O157,'Main Data'!$A157:$O157,0))</f>
        <v>95</v>
      </c>
    </row>
    <row r="159" spans="1:15" x14ac:dyDescent="0.3">
      <c r="A159" s="2" t="s">
        <v>216</v>
      </c>
      <c r="B159" s="1">
        <f>INDEX('Main Data'!$A$1:$O$1001,MATCH('Index&amp;Match'!$A159,'Main Data'!$A$1:$A$1001,0),MATCH('Index&amp;Match'!B158,'Main Data'!$A158:$O158,0))</f>
        <v>46031</v>
      </c>
      <c r="C159" s="2" t="str">
        <f>INDEX('Main Data'!$A$1:$O$1001,MATCH('Index&amp;Match'!$A159,'Main Data'!$A$1:$A$1001,0),MATCH('Index&amp;Match'!C158,'Main Data'!$A158:$O158,0))</f>
        <v>Jordan</v>
      </c>
      <c r="D159" s="2" t="str">
        <f>INDEX('Main Data'!$A$1:$O$1001,MATCH('Index&amp;Match'!$A159,'Main Data'!$A$1:$A$1001,0),MATCH('Index&amp;Match'!D158,'Main Data'!$A158:$O158,0))</f>
        <v>BR-005</v>
      </c>
      <c r="E159" s="2" t="str">
        <f>INDEX('Main Data'!$A$1:$O$1001,MATCH('Index&amp;Match'!$A159,'Main Data'!$A$1:$A$1001,0),MATCH('Index&amp;Match'!E158,'Main Data'!$A158:$O158,0))</f>
        <v>East</v>
      </c>
      <c r="F159" s="2" t="str">
        <f>INDEX('Main Data'!$A$1:$O$1001,MATCH('Index&amp;Match'!$A159,'Main Data'!$A$1:$A$1001,0),MATCH('Index&amp;Match'!F158,'Main Data'!$A158:$O158,0))</f>
        <v>Mortgage</v>
      </c>
      <c r="G159" s="2" t="str">
        <f>INDEX('Main Data'!$A$1:$O$1001,MATCH('Index&amp;Match'!$A159,'Main Data'!$A$1:$A$1001,0),MATCH('Index&amp;Match'!G158,'Main Data'!$A158:$O158,0))</f>
        <v>Walk-in</v>
      </c>
      <c r="H159" s="2" t="str">
        <f>INDEX('Main Data'!$A$1:$O$1001,MATCH('Index&amp;Match'!$A159,'Main Data'!$A$1:$A$1001,0),MATCH('Index&amp;Match'!H158,'Main Data'!$A158:$O158,0))</f>
        <v>Corporate</v>
      </c>
      <c r="I159" s="2">
        <f>INDEX('Main Data'!$A$1:$O$1001,MATCH('Index&amp;Match'!$A159,'Main Data'!$A$1:$A$1001,0),MATCH('Index&amp;Match'!I158,'Main Data'!$A158:$O158,0))</f>
        <v>67</v>
      </c>
      <c r="J159" s="2">
        <f>INDEX('Main Data'!$A$1:$O$1001,MATCH('Index&amp;Match'!$A159,'Main Data'!$A$1:$A$1001,0),MATCH('Index&amp;Match'!J158,'Main Data'!$A158:$O158,0))</f>
        <v>67</v>
      </c>
      <c r="K159" s="11">
        <f>INDEX('Main Data'!$A$1:$O$1001,MATCH('Index&amp;Match'!$A159,'Main Data'!$A$1:$A$1001,0),MATCH('Index&amp;Match'!K158,'Main Data'!$A158:$O158,0))</f>
        <v>24077.96</v>
      </c>
      <c r="L159" s="11">
        <f>INDEX('Main Data'!$A$1:$O$1001,MATCH('Index&amp;Match'!$A159,'Main Data'!$A$1:$A$1001,0),MATCH('Index&amp;Match'!L158,'Main Data'!$A158:$O158,0))</f>
        <v>128.03</v>
      </c>
      <c r="M159" s="11">
        <f>INDEX('Main Data'!$A$1:$O$1001,MATCH('Index&amp;Match'!$A159,'Main Data'!$A$1:$A$1001,0),MATCH('Index&amp;Match'!M158,'Main Data'!$A158:$O158,0))</f>
        <v>47.85</v>
      </c>
      <c r="N159" s="2" t="str">
        <f>INDEX('Main Data'!$A$1:$O$1001,MATCH('Index&amp;Match'!$A159,'Main Data'!$A$1:$A$1001,0),MATCH('Index&amp;Match'!N158,'Main Data'!$A158:$O158,0))</f>
        <v>Yes</v>
      </c>
      <c r="O159" s="2">
        <f>INDEX('Main Data'!$A$1:$O$1001,MATCH('Index&amp;Match'!$A159,'Main Data'!$A$1:$A$1001,0),MATCH('Index&amp;Match'!O158,'Main Data'!$A158:$O158,0))</f>
        <v>15</v>
      </c>
    </row>
    <row r="160" spans="1:15" x14ac:dyDescent="0.3">
      <c r="A160" s="2" t="s">
        <v>217</v>
      </c>
      <c r="B160" s="1">
        <f>INDEX('Main Data'!$A$1:$O$1001,MATCH('Index&amp;Match'!$A160,'Main Data'!$A$1:$A$1001,0),MATCH('Index&amp;Match'!B159,'Main Data'!$A159:$O159,0))</f>
        <v>46007</v>
      </c>
      <c r="C160" s="2" t="str">
        <f>INDEX('Main Data'!$A$1:$O$1001,MATCH('Index&amp;Match'!$A160,'Main Data'!$A$1:$A$1001,0),MATCH('Index&amp;Match'!C159,'Main Data'!$A159:$O159,0))</f>
        <v>Alex</v>
      </c>
      <c r="D160" s="2" t="str">
        <f>INDEX('Main Data'!$A$1:$O$1001,MATCH('Index&amp;Match'!$A160,'Main Data'!$A$1:$A$1001,0),MATCH('Index&amp;Match'!D159,'Main Data'!$A159:$O159,0))</f>
        <v>BR-002</v>
      </c>
      <c r="E160" s="2" t="str">
        <f>INDEX('Main Data'!$A$1:$O$1001,MATCH('Index&amp;Match'!$A160,'Main Data'!$A$1:$A$1001,0),MATCH('Index&amp;Match'!E159,'Main Data'!$A159:$O159,0))</f>
        <v>South</v>
      </c>
      <c r="F160" s="2" t="str">
        <f>INDEX('Main Data'!$A$1:$O$1001,MATCH('Index&amp;Match'!$A160,'Main Data'!$A$1:$A$1001,0),MATCH('Index&amp;Match'!F159,'Main Data'!$A159:$O159,0))</f>
        <v>Auto Loan</v>
      </c>
      <c r="G160" s="2" t="str">
        <f>INDEX('Main Data'!$A$1:$O$1001,MATCH('Index&amp;Match'!$A160,'Main Data'!$A$1:$A$1001,0),MATCH('Index&amp;Match'!G159,'Main Data'!$A159:$O159,0))</f>
        <v>Walk-in</v>
      </c>
      <c r="H160" s="2" t="str">
        <f>INDEX('Main Data'!$A$1:$O$1001,MATCH('Index&amp;Match'!$A160,'Main Data'!$A$1:$A$1001,0),MATCH('Index&amp;Match'!H159,'Main Data'!$A159:$O159,0))</f>
        <v>Corporate</v>
      </c>
      <c r="I160" s="2">
        <f>INDEX('Main Data'!$A$1:$O$1001,MATCH('Index&amp;Match'!$A160,'Main Data'!$A$1:$A$1001,0),MATCH('Index&amp;Match'!I159,'Main Data'!$A159:$O159,0))</f>
        <v>66</v>
      </c>
      <c r="J160" s="2">
        <f>INDEX('Main Data'!$A$1:$O$1001,MATCH('Index&amp;Match'!$A160,'Main Data'!$A$1:$A$1001,0),MATCH('Index&amp;Match'!J159,'Main Data'!$A159:$O159,0))</f>
        <v>66</v>
      </c>
      <c r="K160" s="11">
        <f>INDEX('Main Data'!$A$1:$O$1001,MATCH('Index&amp;Match'!$A160,'Main Data'!$A$1:$A$1001,0),MATCH('Index&amp;Match'!K159,'Main Data'!$A159:$O159,0))</f>
        <v>33652.85</v>
      </c>
      <c r="L160" s="11">
        <f>INDEX('Main Data'!$A$1:$O$1001,MATCH('Index&amp;Match'!$A160,'Main Data'!$A$1:$A$1001,0),MATCH('Index&amp;Match'!L159,'Main Data'!$A159:$O159,0))</f>
        <v>376.15</v>
      </c>
      <c r="M160" s="11">
        <f>INDEX('Main Data'!$A$1:$O$1001,MATCH('Index&amp;Match'!$A160,'Main Data'!$A$1:$A$1001,0),MATCH('Index&amp;Match'!M159,'Main Data'!$A159:$O159,0))</f>
        <v>56.11</v>
      </c>
      <c r="N160" s="2" t="str">
        <f>INDEX('Main Data'!$A$1:$O$1001,MATCH('Index&amp;Match'!$A160,'Main Data'!$A$1:$A$1001,0),MATCH('Index&amp;Match'!N159,'Main Data'!$A159:$O159,0))</f>
        <v>No</v>
      </c>
      <c r="O160" s="2">
        <f>INDEX('Main Data'!$A$1:$O$1001,MATCH('Index&amp;Match'!$A160,'Main Data'!$A$1:$A$1001,0),MATCH('Index&amp;Match'!O159,'Main Data'!$A159:$O159,0))</f>
        <v>4</v>
      </c>
    </row>
    <row r="161" spans="1:15" x14ac:dyDescent="0.3">
      <c r="A161" s="2" t="s">
        <v>218</v>
      </c>
      <c r="B161" s="1">
        <f>INDEX('Main Data'!$A$1:$O$1001,MATCH('Index&amp;Match'!$A161,'Main Data'!$A$1:$A$1001,0),MATCH('Index&amp;Match'!B160,'Main Data'!$A160:$O160,0))</f>
        <v>45957</v>
      </c>
      <c r="C161" s="2" t="str">
        <f>INDEX('Main Data'!$A$1:$O$1001,MATCH('Index&amp;Match'!$A161,'Main Data'!$A$1:$A$1001,0),MATCH('Index&amp;Match'!C160,'Main Data'!$A160:$O160,0))</f>
        <v>Morgan</v>
      </c>
      <c r="D161" s="2" t="str">
        <f>INDEX('Main Data'!$A$1:$O$1001,MATCH('Index&amp;Match'!$A161,'Main Data'!$A$1:$A$1001,0),MATCH('Index&amp;Match'!D160,'Main Data'!$A160:$O160,0))</f>
        <v>BR-013</v>
      </c>
      <c r="E161" s="2" t="str">
        <f>INDEX('Main Data'!$A$1:$O$1001,MATCH('Index&amp;Match'!$A161,'Main Data'!$A$1:$A$1001,0),MATCH('Index&amp;Match'!E160,'Main Data'!$A160:$O160,0))</f>
        <v>East</v>
      </c>
      <c r="F161" s="2" t="str">
        <f>INDEX('Main Data'!$A$1:$O$1001,MATCH('Index&amp;Match'!$A161,'Main Data'!$A$1:$A$1001,0),MATCH('Index&amp;Match'!F160,'Main Data'!$A160:$O160,0))</f>
        <v>Auto Loan</v>
      </c>
      <c r="G161" s="2" t="str">
        <f>INDEX('Main Data'!$A$1:$O$1001,MATCH('Index&amp;Match'!$A161,'Main Data'!$A$1:$A$1001,0),MATCH('Index&amp;Match'!G160,'Main Data'!$A160:$O160,0))</f>
        <v>Social Media</v>
      </c>
      <c r="H161" s="2" t="str">
        <f>INDEX('Main Data'!$A$1:$O$1001,MATCH('Index&amp;Match'!$A161,'Main Data'!$A$1:$A$1001,0),MATCH('Index&amp;Match'!H160,'Main Data'!$A160:$O160,0))</f>
        <v>Retail</v>
      </c>
      <c r="I161" s="2">
        <f>INDEX('Main Data'!$A$1:$O$1001,MATCH('Index&amp;Match'!$A161,'Main Data'!$A$1:$A$1001,0),MATCH('Index&amp;Match'!I160,'Main Data'!$A160:$O160,0))</f>
        <v>60</v>
      </c>
      <c r="J161" s="2">
        <f>INDEX('Main Data'!$A$1:$O$1001,MATCH('Index&amp;Match'!$A161,'Main Data'!$A$1:$A$1001,0),MATCH('Index&amp;Match'!J160,'Main Data'!$A160:$O160,0))</f>
        <v>60</v>
      </c>
      <c r="K161" s="11">
        <f>INDEX('Main Data'!$A$1:$O$1001,MATCH('Index&amp;Match'!$A161,'Main Data'!$A$1:$A$1001,0),MATCH('Index&amp;Match'!K160,'Main Data'!$A160:$O160,0))</f>
        <v>20417.47</v>
      </c>
      <c r="L161" s="11">
        <f>INDEX('Main Data'!$A$1:$O$1001,MATCH('Index&amp;Match'!$A161,'Main Data'!$A$1:$A$1001,0),MATCH('Index&amp;Match'!L160,'Main Data'!$A160:$O160,0))</f>
        <v>277.41000000000003</v>
      </c>
      <c r="M161" s="11">
        <f>INDEX('Main Data'!$A$1:$O$1001,MATCH('Index&amp;Match'!$A161,'Main Data'!$A$1:$A$1001,0),MATCH('Index&amp;Match'!M160,'Main Data'!$A160:$O160,0))</f>
        <v>164.09</v>
      </c>
      <c r="N161" s="2" t="str">
        <f>INDEX('Main Data'!$A$1:$O$1001,MATCH('Index&amp;Match'!$A161,'Main Data'!$A$1:$A$1001,0),MATCH('Index&amp;Match'!N160,'Main Data'!$A160:$O160,0))</f>
        <v>Yes</v>
      </c>
      <c r="O161" s="2">
        <f>INDEX('Main Data'!$A$1:$O$1001,MATCH('Index&amp;Match'!$A161,'Main Data'!$A$1:$A$1001,0),MATCH('Index&amp;Match'!O160,'Main Data'!$A160:$O160,0))</f>
        <v>63</v>
      </c>
    </row>
    <row r="162" spans="1:15" x14ac:dyDescent="0.3">
      <c r="A162" s="2" t="s">
        <v>219</v>
      </c>
      <c r="B162" s="1">
        <f>INDEX('Main Data'!$A$1:$O$1001,MATCH('Index&amp;Match'!$A162,'Main Data'!$A$1:$A$1001,0),MATCH('Index&amp;Match'!B161,'Main Data'!$A161:$O161,0))</f>
        <v>45929</v>
      </c>
      <c r="C162" s="2" t="str">
        <f>INDEX('Main Data'!$A$1:$O$1001,MATCH('Index&amp;Match'!$A162,'Main Data'!$A$1:$A$1001,0),MATCH('Index&amp;Match'!C161,'Main Data'!$A161:$O161,0))</f>
        <v>Jamie</v>
      </c>
      <c r="D162" s="2" t="str">
        <f>INDEX('Main Data'!$A$1:$O$1001,MATCH('Index&amp;Match'!$A162,'Main Data'!$A$1:$A$1001,0),MATCH('Index&amp;Match'!D161,'Main Data'!$A161:$O161,0))</f>
        <v>BR-014</v>
      </c>
      <c r="E162" s="2" t="str">
        <f>INDEX('Main Data'!$A$1:$O$1001,MATCH('Index&amp;Match'!$A162,'Main Data'!$A$1:$A$1001,0),MATCH('Index&amp;Match'!E161,'Main Data'!$A161:$O161,0))</f>
        <v>Central</v>
      </c>
      <c r="F162" s="2" t="str">
        <f>INDEX('Main Data'!$A$1:$O$1001,MATCH('Index&amp;Match'!$A162,'Main Data'!$A$1:$A$1001,0),MATCH('Index&amp;Match'!F161,'Main Data'!$A161:$O161,0))</f>
        <v>Mortgage</v>
      </c>
      <c r="G162" s="2" t="str">
        <f>INDEX('Main Data'!$A$1:$O$1001,MATCH('Index&amp;Match'!$A162,'Main Data'!$A$1:$A$1001,0),MATCH('Index&amp;Match'!G161,'Main Data'!$A161:$O161,0))</f>
        <v>Referral</v>
      </c>
      <c r="H162" s="2" t="str">
        <f>INDEX('Main Data'!$A$1:$O$1001,MATCH('Index&amp;Match'!$A162,'Main Data'!$A$1:$A$1001,0),MATCH('Index&amp;Match'!H161,'Main Data'!$A161:$O161,0))</f>
        <v>Retail</v>
      </c>
      <c r="I162" s="2">
        <f>INDEX('Main Data'!$A$1:$O$1001,MATCH('Index&amp;Match'!$A162,'Main Data'!$A$1:$A$1001,0),MATCH('Index&amp;Match'!I161,'Main Data'!$A161:$O161,0))</f>
        <v>32</v>
      </c>
      <c r="J162" s="2">
        <f>INDEX('Main Data'!$A$1:$O$1001,MATCH('Index&amp;Match'!$A162,'Main Data'!$A$1:$A$1001,0),MATCH('Index&amp;Match'!J161,'Main Data'!$A161:$O161,0))</f>
        <v>32</v>
      </c>
      <c r="K162" s="11">
        <f>INDEX('Main Data'!$A$1:$O$1001,MATCH('Index&amp;Match'!$A162,'Main Data'!$A$1:$A$1001,0),MATCH('Index&amp;Match'!K161,'Main Data'!$A161:$O161,0))</f>
        <v>15251.34</v>
      </c>
      <c r="L162" s="11">
        <f>INDEX('Main Data'!$A$1:$O$1001,MATCH('Index&amp;Match'!$A162,'Main Data'!$A$1:$A$1001,0),MATCH('Index&amp;Match'!L161,'Main Data'!$A161:$O161,0))</f>
        <v>355.99</v>
      </c>
      <c r="M162" s="11">
        <f>INDEX('Main Data'!$A$1:$O$1001,MATCH('Index&amp;Match'!$A162,'Main Data'!$A$1:$A$1001,0),MATCH('Index&amp;Match'!M161,'Main Data'!$A161:$O161,0))</f>
        <v>116.86</v>
      </c>
      <c r="N162" s="2" t="str">
        <f>INDEX('Main Data'!$A$1:$O$1001,MATCH('Index&amp;Match'!$A162,'Main Data'!$A$1:$A$1001,0),MATCH('Index&amp;Match'!N161,'Main Data'!$A161:$O161,0))</f>
        <v>No</v>
      </c>
      <c r="O162" s="2">
        <f>INDEX('Main Data'!$A$1:$O$1001,MATCH('Index&amp;Match'!$A162,'Main Data'!$A$1:$A$1001,0),MATCH('Index&amp;Match'!O161,'Main Data'!$A161:$O161,0))</f>
        <v>40</v>
      </c>
    </row>
    <row r="163" spans="1:15" x14ac:dyDescent="0.3">
      <c r="A163" s="2" t="s">
        <v>220</v>
      </c>
      <c r="B163" s="1">
        <f>INDEX('Main Data'!$A$1:$O$1001,MATCH('Index&amp;Match'!$A163,'Main Data'!$A$1:$A$1001,0),MATCH('Index&amp;Match'!B162,'Main Data'!$A162:$O162,0))</f>
        <v>46186</v>
      </c>
      <c r="C163" s="2" t="str">
        <f>INDEX('Main Data'!$A$1:$O$1001,MATCH('Index&amp;Match'!$A163,'Main Data'!$A$1:$A$1001,0),MATCH('Index&amp;Match'!C162,'Main Data'!$A162:$O162,0))</f>
        <v>Alex</v>
      </c>
      <c r="D163" s="2" t="str">
        <f>INDEX('Main Data'!$A$1:$O$1001,MATCH('Index&amp;Match'!$A163,'Main Data'!$A$1:$A$1001,0),MATCH('Index&amp;Match'!D162,'Main Data'!$A162:$O162,0))</f>
        <v>BR-011</v>
      </c>
      <c r="E163" s="2" t="str">
        <f>INDEX('Main Data'!$A$1:$O$1001,MATCH('Index&amp;Match'!$A163,'Main Data'!$A$1:$A$1001,0),MATCH('Index&amp;Match'!E162,'Main Data'!$A162:$O162,0))</f>
        <v>Central</v>
      </c>
      <c r="F163" s="2" t="str">
        <f>INDEX('Main Data'!$A$1:$O$1001,MATCH('Index&amp;Match'!$A163,'Main Data'!$A$1:$A$1001,0),MATCH('Index&amp;Match'!F162,'Main Data'!$A162:$O162,0))</f>
        <v>Credit Card</v>
      </c>
      <c r="G163" s="2" t="str">
        <f>INDEX('Main Data'!$A$1:$O$1001,MATCH('Index&amp;Match'!$A163,'Main Data'!$A$1:$A$1001,0),MATCH('Index&amp;Match'!G162,'Main Data'!$A162:$O162,0))</f>
        <v>Email Campaign</v>
      </c>
      <c r="H163" s="2" t="str">
        <f>INDEX('Main Data'!$A$1:$O$1001,MATCH('Index&amp;Match'!$A163,'Main Data'!$A$1:$A$1001,0),MATCH('Index&amp;Match'!H162,'Main Data'!$A162:$O162,0))</f>
        <v>SME</v>
      </c>
      <c r="I163" s="2">
        <f>INDEX('Main Data'!$A$1:$O$1001,MATCH('Index&amp;Match'!$A163,'Main Data'!$A$1:$A$1001,0),MATCH('Index&amp;Match'!I162,'Main Data'!$A162:$O162,0))</f>
        <v>33</v>
      </c>
      <c r="J163" s="2">
        <f>INDEX('Main Data'!$A$1:$O$1001,MATCH('Index&amp;Match'!$A163,'Main Data'!$A$1:$A$1001,0),MATCH('Index&amp;Match'!J162,'Main Data'!$A162:$O162,0))</f>
        <v>33</v>
      </c>
      <c r="K163" s="11">
        <f>INDEX('Main Data'!$A$1:$O$1001,MATCH('Index&amp;Match'!$A163,'Main Data'!$A$1:$A$1001,0),MATCH('Index&amp;Match'!K162,'Main Data'!$A162:$O162,0))</f>
        <v>31461.16</v>
      </c>
      <c r="L163" s="11">
        <f>INDEX('Main Data'!$A$1:$O$1001,MATCH('Index&amp;Match'!$A163,'Main Data'!$A$1:$A$1001,0),MATCH('Index&amp;Match'!L162,'Main Data'!$A162:$O162,0))</f>
        <v>141.29</v>
      </c>
      <c r="M163" s="11">
        <f>INDEX('Main Data'!$A$1:$O$1001,MATCH('Index&amp;Match'!$A163,'Main Data'!$A$1:$A$1001,0),MATCH('Index&amp;Match'!M162,'Main Data'!$A162:$O162,0))</f>
        <v>101.71</v>
      </c>
      <c r="N163" s="2" t="str">
        <f>INDEX('Main Data'!$A$1:$O$1001,MATCH('Index&amp;Match'!$A163,'Main Data'!$A$1:$A$1001,0),MATCH('Index&amp;Match'!N162,'Main Data'!$A162:$O162,0))</f>
        <v>Yes</v>
      </c>
      <c r="O163" s="2">
        <f>INDEX('Main Data'!$A$1:$O$1001,MATCH('Index&amp;Match'!$A163,'Main Data'!$A$1:$A$1001,0),MATCH('Index&amp;Match'!O162,'Main Data'!$A162:$O162,0))</f>
        <v>9</v>
      </c>
    </row>
    <row r="164" spans="1:15" x14ac:dyDescent="0.3">
      <c r="A164" s="2" t="s">
        <v>221</v>
      </c>
      <c r="B164" s="1">
        <f>INDEX('Main Data'!$A$1:$O$1001,MATCH('Index&amp;Match'!$A164,'Main Data'!$A$1:$A$1001,0),MATCH('Index&amp;Match'!B163,'Main Data'!$A163:$O163,0))</f>
        <v>46049</v>
      </c>
      <c r="C164" s="2" t="str">
        <f>INDEX('Main Data'!$A$1:$O$1001,MATCH('Index&amp;Match'!$A164,'Main Data'!$A$1:$A$1001,0),MATCH('Index&amp;Match'!C163,'Main Data'!$A163:$O163,0))</f>
        <v>Drew</v>
      </c>
      <c r="D164" s="2" t="str">
        <f>INDEX('Main Data'!$A$1:$O$1001,MATCH('Index&amp;Match'!$A164,'Main Data'!$A$1:$A$1001,0),MATCH('Index&amp;Match'!D163,'Main Data'!$A163:$O163,0))</f>
        <v>BR-011</v>
      </c>
      <c r="E164" s="2" t="str">
        <f>INDEX('Main Data'!$A$1:$O$1001,MATCH('Index&amp;Match'!$A164,'Main Data'!$A$1:$A$1001,0),MATCH('Index&amp;Match'!E163,'Main Data'!$A163:$O163,0))</f>
        <v>North</v>
      </c>
      <c r="F164" s="2" t="str">
        <f>INDEX('Main Data'!$A$1:$O$1001,MATCH('Index&amp;Match'!$A164,'Main Data'!$A$1:$A$1001,0),MATCH('Index&amp;Match'!F163,'Main Data'!$A163:$O163,0))</f>
        <v>Mortgage</v>
      </c>
      <c r="G164" s="2" t="str">
        <f>INDEX('Main Data'!$A$1:$O$1001,MATCH('Index&amp;Match'!$A164,'Main Data'!$A$1:$A$1001,0),MATCH('Index&amp;Match'!G163,'Main Data'!$A163:$O163,0))</f>
        <v>Referral</v>
      </c>
      <c r="H164" s="2" t="str">
        <f>INDEX('Main Data'!$A$1:$O$1001,MATCH('Index&amp;Match'!$A164,'Main Data'!$A$1:$A$1001,0),MATCH('Index&amp;Match'!H163,'Main Data'!$A163:$O163,0))</f>
        <v>SME</v>
      </c>
      <c r="I164" s="2">
        <f>INDEX('Main Data'!$A$1:$O$1001,MATCH('Index&amp;Match'!$A164,'Main Data'!$A$1:$A$1001,0),MATCH('Index&amp;Match'!I163,'Main Data'!$A163:$O163,0))</f>
        <v>63</v>
      </c>
      <c r="J164" s="2">
        <f>INDEX('Main Data'!$A$1:$O$1001,MATCH('Index&amp;Match'!$A164,'Main Data'!$A$1:$A$1001,0),MATCH('Index&amp;Match'!J163,'Main Data'!$A163:$O163,0))</f>
        <v>63</v>
      </c>
      <c r="K164" s="11">
        <f>INDEX('Main Data'!$A$1:$O$1001,MATCH('Index&amp;Match'!$A164,'Main Data'!$A$1:$A$1001,0),MATCH('Index&amp;Match'!K163,'Main Data'!$A163:$O163,0))</f>
        <v>8165.45</v>
      </c>
      <c r="L164" s="11">
        <f>INDEX('Main Data'!$A$1:$O$1001,MATCH('Index&amp;Match'!$A164,'Main Data'!$A$1:$A$1001,0),MATCH('Index&amp;Match'!L163,'Main Data'!$A163:$O163,0))</f>
        <v>385.53</v>
      </c>
      <c r="M164" s="11">
        <f>INDEX('Main Data'!$A$1:$O$1001,MATCH('Index&amp;Match'!$A164,'Main Data'!$A$1:$A$1001,0),MATCH('Index&amp;Match'!M163,'Main Data'!$A163:$O163,0))</f>
        <v>63.69</v>
      </c>
      <c r="N164" s="2" t="str">
        <f>INDEX('Main Data'!$A$1:$O$1001,MATCH('Index&amp;Match'!$A164,'Main Data'!$A$1:$A$1001,0),MATCH('Index&amp;Match'!N163,'Main Data'!$A163:$O163,0))</f>
        <v>No</v>
      </c>
      <c r="O164" s="2">
        <f>INDEX('Main Data'!$A$1:$O$1001,MATCH('Index&amp;Match'!$A164,'Main Data'!$A$1:$A$1001,0),MATCH('Index&amp;Match'!O163,'Main Data'!$A163:$O163,0))</f>
        <v>109</v>
      </c>
    </row>
    <row r="165" spans="1:15" x14ac:dyDescent="0.3">
      <c r="A165" s="2" t="s">
        <v>222</v>
      </c>
      <c r="B165" s="1">
        <f>INDEX('Main Data'!$A$1:$O$1001,MATCH('Index&amp;Match'!$A165,'Main Data'!$A$1:$A$1001,0),MATCH('Index&amp;Match'!B164,'Main Data'!$A164:$O164,0))</f>
        <v>45887</v>
      </c>
      <c r="C165" s="2" t="str">
        <f>INDEX('Main Data'!$A$1:$O$1001,MATCH('Index&amp;Match'!$A165,'Main Data'!$A$1:$A$1001,0),MATCH('Index&amp;Match'!C164,'Main Data'!$A164:$O164,0))</f>
        <v>Morgan</v>
      </c>
      <c r="D165" s="2" t="str">
        <f>INDEX('Main Data'!$A$1:$O$1001,MATCH('Index&amp;Match'!$A165,'Main Data'!$A$1:$A$1001,0),MATCH('Index&amp;Match'!D164,'Main Data'!$A164:$O164,0))</f>
        <v>BR-011</v>
      </c>
      <c r="E165" s="2" t="str">
        <f>INDEX('Main Data'!$A$1:$O$1001,MATCH('Index&amp;Match'!$A165,'Main Data'!$A$1:$A$1001,0),MATCH('Index&amp;Match'!E164,'Main Data'!$A164:$O164,0))</f>
        <v>East</v>
      </c>
      <c r="F165" s="2" t="str">
        <f>INDEX('Main Data'!$A$1:$O$1001,MATCH('Index&amp;Match'!$A165,'Main Data'!$A$1:$A$1001,0),MATCH('Index&amp;Match'!F164,'Main Data'!$A164:$O164,0))</f>
        <v>Wealth Management</v>
      </c>
      <c r="G165" s="2" t="str">
        <f>INDEX('Main Data'!$A$1:$O$1001,MATCH('Index&amp;Match'!$A165,'Main Data'!$A$1:$A$1001,0),MATCH('Index&amp;Match'!G164,'Main Data'!$A164:$O164,0))</f>
        <v>Social Media</v>
      </c>
      <c r="H165" s="2" t="str">
        <f>INDEX('Main Data'!$A$1:$O$1001,MATCH('Index&amp;Match'!$A165,'Main Data'!$A$1:$A$1001,0),MATCH('Index&amp;Match'!H164,'Main Data'!$A164:$O164,0))</f>
        <v>SME</v>
      </c>
      <c r="I165" s="2">
        <f>INDEX('Main Data'!$A$1:$O$1001,MATCH('Index&amp;Match'!$A165,'Main Data'!$A$1:$A$1001,0),MATCH('Index&amp;Match'!I164,'Main Data'!$A164:$O164,0))</f>
        <v>37</v>
      </c>
      <c r="J165" s="2">
        <f>INDEX('Main Data'!$A$1:$O$1001,MATCH('Index&amp;Match'!$A165,'Main Data'!$A$1:$A$1001,0),MATCH('Index&amp;Match'!J164,'Main Data'!$A164:$O164,0))</f>
        <v>37</v>
      </c>
      <c r="K165" s="11">
        <f>INDEX('Main Data'!$A$1:$O$1001,MATCH('Index&amp;Match'!$A165,'Main Data'!$A$1:$A$1001,0),MATCH('Index&amp;Match'!K164,'Main Data'!$A164:$O164,0))</f>
        <v>18963.490000000002</v>
      </c>
      <c r="L165" s="11">
        <f>INDEX('Main Data'!$A$1:$O$1001,MATCH('Index&amp;Match'!$A165,'Main Data'!$A$1:$A$1001,0),MATCH('Index&amp;Match'!L164,'Main Data'!$A164:$O164,0))</f>
        <v>498.03</v>
      </c>
      <c r="M165" s="11">
        <f>INDEX('Main Data'!$A$1:$O$1001,MATCH('Index&amp;Match'!$A165,'Main Data'!$A$1:$A$1001,0),MATCH('Index&amp;Match'!M164,'Main Data'!$A164:$O164,0))</f>
        <v>146.19</v>
      </c>
      <c r="N165" s="2" t="str">
        <f>INDEX('Main Data'!$A$1:$O$1001,MATCH('Index&amp;Match'!$A165,'Main Data'!$A$1:$A$1001,0),MATCH('Index&amp;Match'!N164,'Main Data'!$A164:$O164,0))</f>
        <v>Yes</v>
      </c>
      <c r="O165" s="2">
        <f>INDEX('Main Data'!$A$1:$O$1001,MATCH('Index&amp;Match'!$A165,'Main Data'!$A$1:$A$1001,0),MATCH('Index&amp;Match'!O164,'Main Data'!$A164:$O164,0))</f>
        <v>9</v>
      </c>
    </row>
    <row r="166" spans="1:15" x14ac:dyDescent="0.3">
      <c r="A166" s="2" t="s">
        <v>223</v>
      </c>
      <c r="B166" s="1">
        <f>INDEX('Main Data'!$A$1:$O$1001,MATCH('Index&amp;Match'!$A166,'Main Data'!$A$1:$A$1001,0),MATCH('Index&amp;Match'!B165,'Main Data'!$A165:$O165,0))</f>
        <v>45980</v>
      </c>
      <c r="C166" s="2" t="str">
        <f>INDEX('Main Data'!$A$1:$O$1001,MATCH('Index&amp;Match'!$A166,'Main Data'!$A$1:$A$1001,0),MATCH('Index&amp;Match'!C165,'Main Data'!$A165:$O165,0))</f>
        <v>Jordan</v>
      </c>
      <c r="D166" s="2" t="str">
        <f>INDEX('Main Data'!$A$1:$O$1001,MATCH('Index&amp;Match'!$A166,'Main Data'!$A$1:$A$1001,0),MATCH('Index&amp;Match'!D165,'Main Data'!$A165:$O165,0))</f>
        <v>BR-003</v>
      </c>
      <c r="E166" s="2" t="str">
        <f>INDEX('Main Data'!$A$1:$O$1001,MATCH('Index&amp;Match'!$A166,'Main Data'!$A$1:$A$1001,0),MATCH('Index&amp;Match'!E165,'Main Data'!$A165:$O165,0))</f>
        <v>West</v>
      </c>
      <c r="F166" s="2" t="str">
        <f>INDEX('Main Data'!$A$1:$O$1001,MATCH('Index&amp;Match'!$A166,'Main Data'!$A$1:$A$1001,0),MATCH('Index&amp;Match'!F165,'Main Data'!$A165:$O165,0))</f>
        <v>Auto Loan</v>
      </c>
      <c r="G166" s="2" t="str">
        <f>INDEX('Main Data'!$A$1:$O$1001,MATCH('Index&amp;Match'!$A166,'Main Data'!$A$1:$A$1001,0),MATCH('Index&amp;Match'!G165,'Main Data'!$A165:$O165,0))</f>
        <v>Walk-in</v>
      </c>
      <c r="H166" s="2" t="str">
        <f>INDEX('Main Data'!$A$1:$O$1001,MATCH('Index&amp;Match'!$A166,'Main Data'!$A$1:$A$1001,0),MATCH('Index&amp;Match'!H165,'Main Data'!$A165:$O165,0))</f>
        <v>Corporate</v>
      </c>
      <c r="I166" s="2">
        <f>INDEX('Main Data'!$A$1:$O$1001,MATCH('Index&amp;Match'!$A166,'Main Data'!$A$1:$A$1001,0),MATCH('Index&amp;Match'!I165,'Main Data'!$A165:$O165,0))</f>
        <v>37</v>
      </c>
      <c r="J166" s="2">
        <f>INDEX('Main Data'!$A$1:$O$1001,MATCH('Index&amp;Match'!$A166,'Main Data'!$A$1:$A$1001,0),MATCH('Index&amp;Match'!J165,'Main Data'!$A165:$O165,0))</f>
        <v>37</v>
      </c>
      <c r="K166" s="11">
        <f>INDEX('Main Data'!$A$1:$O$1001,MATCH('Index&amp;Match'!$A166,'Main Data'!$A$1:$A$1001,0),MATCH('Index&amp;Match'!K165,'Main Data'!$A165:$O165,0))</f>
        <v>10847.33</v>
      </c>
      <c r="L166" s="11">
        <f>INDEX('Main Data'!$A$1:$O$1001,MATCH('Index&amp;Match'!$A166,'Main Data'!$A$1:$A$1001,0),MATCH('Index&amp;Match'!L165,'Main Data'!$A165:$O165,0))</f>
        <v>349.54</v>
      </c>
      <c r="M166" s="11">
        <f>INDEX('Main Data'!$A$1:$O$1001,MATCH('Index&amp;Match'!$A166,'Main Data'!$A$1:$A$1001,0),MATCH('Index&amp;Match'!M165,'Main Data'!$A165:$O165,0))</f>
        <v>57.54</v>
      </c>
      <c r="N166" s="2" t="str">
        <f>INDEX('Main Data'!$A$1:$O$1001,MATCH('Index&amp;Match'!$A166,'Main Data'!$A$1:$A$1001,0),MATCH('Index&amp;Match'!N165,'Main Data'!$A165:$O165,0))</f>
        <v>No</v>
      </c>
      <c r="O166" s="2">
        <f>INDEX('Main Data'!$A$1:$O$1001,MATCH('Index&amp;Match'!$A166,'Main Data'!$A$1:$A$1001,0),MATCH('Index&amp;Match'!O165,'Main Data'!$A165:$O165,0))</f>
        <v>26</v>
      </c>
    </row>
    <row r="167" spans="1:15" x14ac:dyDescent="0.3">
      <c r="A167" s="2" t="s">
        <v>224</v>
      </c>
      <c r="B167" s="1">
        <f>INDEX('Main Data'!$A$1:$O$1001,MATCH('Index&amp;Match'!$A167,'Main Data'!$A$1:$A$1001,0),MATCH('Index&amp;Match'!B166,'Main Data'!$A166:$O166,0))</f>
        <v>46096</v>
      </c>
      <c r="C167" s="2" t="str">
        <f>INDEX('Main Data'!$A$1:$O$1001,MATCH('Index&amp;Match'!$A167,'Main Data'!$A$1:$A$1001,0),MATCH('Index&amp;Match'!C166,'Main Data'!$A166:$O166,0))</f>
        <v>Alex</v>
      </c>
      <c r="D167" s="2" t="str">
        <f>INDEX('Main Data'!$A$1:$O$1001,MATCH('Index&amp;Match'!$A167,'Main Data'!$A$1:$A$1001,0),MATCH('Index&amp;Match'!D166,'Main Data'!$A166:$O166,0))</f>
        <v>BR-015</v>
      </c>
      <c r="E167" s="2" t="str">
        <f>INDEX('Main Data'!$A$1:$O$1001,MATCH('Index&amp;Match'!$A167,'Main Data'!$A$1:$A$1001,0),MATCH('Index&amp;Match'!E166,'Main Data'!$A166:$O166,0))</f>
        <v>North</v>
      </c>
      <c r="F167" s="2" t="str">
        <f>INDEX('Main Data'!$A$1:$O$1001,MATCH('Index&amp;Match'!$A167,'Main Data'!$A$1:$A$1001,0),MATCH('Index&amp;Match'!F166,'Main Data'!$A166:$O166,0))</f>
        <v>Personal Loan</v>
      </c>
      <c r="G167" s="2" t="str">
        <f>INDEX('Main Data'!$A$1:$O$1001,MATCH('Index&amp;Match'!$A167,'Main Data'!$A$1:$A$1001,0),MATCH('Index&amp;Match'!G166,'Main Data'!$A166:$O166,0))</f>
        <v>Social Media</v>
      </c>
      <c r="H167" s="2" t="str">
        <f>INDEX('Main Data'!$A$1:$O$1001,MATCH('Index&amp;Match'!$A167,'Main Data'!$A$1:$A$1001,0),MATCH('Index&amp;Match'!H166,'Main Data'!$A166:$O166,0))</f>
        <v>Retail</v>
      </c>
      <c r="I167" s="2">
        <f>INDEX('Main Data'!$A$1:$O$1001,MATCH('Index&amp;Match'!$A167,'Main Data'!$A$1:$A$1001,0),MATCH('Index&amp;Match'!I166,'Main Data'!$A166:$O166,0))</f>
        <v>56</v>
      </c>
      <c r="J167" s="2">
        <f>INDEX('Main Data'!$A$1:$O$1001,MATCH('Index&amp;Match'!$A167,'Main Data'!$A$1:$A$1001,0),MATCH('Index&amp;Match'!J166,'Main Data'!$A166:$O166,0))</f>
        <v>56</v>
      </c>
      <c r="K167" s="11">
        <f>INDEX('Main Data'!$A$1:$O$1001,MATCH('Index&amp;Match'!$A167,'Main Data'!$A$1:$A$1001,0),MATCH('Index&amp;Match'!K166,'Main Data'!$A166:$O166,0))</f>
        <v>34941.85</v>
      </c>
      <c r="L167" s="11">
        <f>INDEX('Main Data'!$A$1:$O$1001,MATCH('Index&amp;Match'!$A167,'Main Data'!$A$1:$A$1001,0),MATCH('Index&amp;Match'!L166,'Main Data'!$A166:$O166,0))</f>
        <v>272.07</v>
      </c>
      <c r="M167" s="11">
        <f>INDEX('Main Data'!$A$1:$O$1001,MATCH('Index&amp;Match'!$A167,'Main Data'!$A$1:$A$1001,0),MATCH('Index&amp;Match'!M166,'Main Data'!$A166:$O166,0))</f>
        <v>147.41</v>
      </c>
      <c r="N167" s="2" t="str">
        <f>INDEX('Main Data'!$A$1:$O$1001,MATCH('Index&amp;Match'!$A167,'Main Data'!$A$1:$A$1001,0),MATCH('Index&amp;Match'!N166,'Main Data'!$A166:$O166,0))</f>
        <v>Yes</v>
      </c>
      <c r="O167" s="2">
        <f>INDEX('Main Data'!$A$1:$O$1001,MATCH('Index&amp;Match'!$A167,'Main Data'!$A$1:$A$1001,0),MATCH('Index&amp;Match'!O166,'Main Data'!$A166:$O166,0))</f>
        <v>4</v>
      </c>
    </row>
    <row r="168" spans="1:15" x14ac:dyDescent="0.3">
      <c r="A168" s="2" t="s">
        <v>225</v>
      </c>
      <c r="B168" s="1">
        <f>INDEX('Main Data'!$A$1:$O$1001,MATCH('Index&amp;Match'!$A168,'Main Data'!$A$1:$A$1001,0),MATCH('Index&amp;Match'!B167,'Main Data'!$A167:$O167,0))</f>
        <v>46025</v>
      </c>
      <c r="C168" s="2" t="str">
        <f>INDEX('Main Data'!$A$1:$O$1001,MATCH('Index&amp;Match'!$A168,'Main Data'!$A$1:$A$1001,0),MATCH('Index&amp;Match'!C167,'Main Data'!$A167:$O167,0))</f>
        <v>Drew</v>
      </c>
      <c r="D168" s="2" t="str">
        <f>INDEX('Main Data'!$A$1:$O$1001,MATCH('Index&amp;Match'!$A168,'Main Data'!$A$1:$A$1001,0),MATCH('Index&amp;Match'!D167,'Main Data'!$A167:$O167,0))</f>
        <v>BR-009</v>
      </c>
      <c r="E168" s="2" t="str">
        <f>INDEX('Main Data'!$A$1:$O$1001,MATCH('Index&amp;Match'!$A168,'Main Data'!$A$1:$A$1001,0),MATCH('Index&amp;Match'!E167,'Main Data'!$A167:$O167,0))</f>
        <v>East</v>
      </c>
      <c r="F168" s="2" t="str">
        <f>INDEX('Main Data'!$A$1:$O$1001,MATCH('Index&amp;Match'!$A168,'Main Data'!$A$1:$A$1001,0),MATCH('Index&amp;Match'!F167,'Main Data'!$A167:$O167,0))</f>
        <v>Wealth Management</v>
      </c>
      <c r="G168" s="2" t="str">
        <f>INDEX('Main Data'!$A$1:$O$1001,MATCH('Index&amp;Match'!$A168,'Main Data'!$A$1:$A$1001,0),MATCH('Index&amp;Match'!G167,'Main Data'!$A167:$O167,0))</f>
        <v>Website</v>
      </c>
      <c r="H168" s="2" t="str">
        <f>INDEX('Main Data'!$A$1:$O$1001,MATCH('Index&amp;Match'!$A168,'Main Data'!$A$1:$A$1001,0),MATCH('Index&amp;Match'!H167,'Main Data'!$A167:$O167,0))</f>
        <v>High Net Worth</v>
      </c>
      <c r="I168" s="2">
        <f>INDEX('Main Data'!$A$1:$O$1001,MATCH('Index&amp;Match'!$A168,'Main Data'!$A$1:$A$1001,0),MATCH('Index&amp;Match'!I167,'Main Data'!$A167:$O167,0))</f>
        <v>41</v>
      </c>
      <c r="J168" s="2">
        <f>INDEX('Main Data'!$A$1:$O$1001,MATCH('Index&amp;Match'!$A168,'Main Data'!$A$1:$A$1001,0),MATCH('Index&amp;Match'!J167,'Main Data'!$A167:$O167,0))</f>
        <v>41</v>
      </c>
      <c r="K168" s="11">
        <f>INDEX('Main Data'!$A$1:$O$1001,MATCH('Index&amp;Match'!$A168,'Main Data'!$A$1:$A$1001,0),MATCH('Index&amp;Match'!K167,'Main Data'!$A167:$O167,0))</f>
        <v>47238.34</v>
      </c>
      <c r="L168" s="11">
        <f>INDEX('Main Data'!$A$1:$O$1001,MATCH('Index&amp;Match'!$A168,'Main Data'!$A$1:$A$1001,0),MATCH('Index&amp;Match'!L167,'Main Data'!$A167:$O167,0))</f>
        <v>465.43</v>
      </c>
      <c r="M168" s="11">
        <f>INDEX('Main Data'!$A$1:$O$1001,MATCH('Index&amp;Match'!$A168,'Main Data'!$A$1:$A$1001,0),MATCH('Index&amp;Match'!M167,'Main Data'!$A167:$O167,0))</f>
        <v>21.03</v>
      </c>
      <c r="N168" s="2" t="str">
        <f>INDEX('Main Data'!$A$1:$O$1001,MATCH('Index&amp;Match'!$A168,'Main Data'!$A$1:$A$1001,0),MATCH('Index&amp;Match'!N167,'Main Data'!$A167:$O167,0))</f>
        <v>Yes</v>
      </c>
      <c r="O168" s="2">
        <f>INDEX('Main Data'!$A$1:$O$1001,MATCH('Index&amp;Match'!$A168,'Main Data'!$A$1:$A$1001,0),MATCH('Index&amp;Match'!O167,'Main Data'!$A167:$O167,0))</f>
        <v>81</v>
      </c>
    </row>
    <row r="169" spans="1:15" x14ac:dyDescent="0.3">
      <c r="A169" s="2" t="s">
        <v>226</v>
      </c>
      <c r="B169" s="1">
        <f>INDEX('Main Data'!$A$1:$O$1001,MATCH('Index&amp;Match'!$A169,'Main Data'!$A$1:$A$1001,0),MATCH('Index&amp;Match'!B168,'Main Data'!$A168:$O168,0))</f>
        <v>46064</v>
      </c>
      <c r="C169" s="2" t="str">
        <f>INDEX('Main Data'!$A$1:$O$1001,MATCH('Index&amp;Match'!$A169,'Main Data'!$A$1:$A$1001,0),MATCH('Index&amp;Match'!C168,'Main Data'!$A168:$O168,0))</f>
        <v>Jamie</v>
      </c>
      <c r="D169" s="2" t="str">
        <f>INDEX('Main Data'!$A$1:$O$1001,MATCH('Index&amp;Match'!$A169,'Main Data'!$A$1:$A$1001,0),MATCH('Index&amp;Match'!D168,'Main Data'!$A168:$O168,0))</f>
        <v>BR-007</v>
      </c>
      <c r="E169" s="2" t="str">
        <f>INDEX('Main Data'!$A$1:$O$1001,MATCH('Index&amp;Match'!$A169,'Main Data'!$A$1:$A$1001,0),MATCH('Index&amp;Match'!E168,'Main Data'!$A168:$O168,0))</f>
        <v>East</v>
      </c>
      <c r="F169" s="2" t="str">
        <f>INDEX('Main Data'!$A$1:$O$1001,MATCH('Index&amp;Match'!$A169,'Main Data'!$A$1:$A$1001,0),MATCH('Index&amp;Match'!F168,'Main Data'!$A168:$O168,0))</f>
        <v>Auto Loan</v>
      </c>
      <c r="G169" s="2" t="str">
        <f>INDEX('Main Data'!$A$1:$O$1001,MATCH('Index&amp;Match'!$A169,'Main Data'!$A$1:$A$1001,0),MATCH('Index&amp;Match'!G168,'Main Data'!$A168:$O168,0))</f>
        <v>Website</v>
      </c>
      <c r="H169" s="2" t="str">
        <f>INDEX('Main Data'!$A$1:$O$1001,MATCH('Index&amp;Match'!$A169,'Main Data'!$A$1:$A$1001,0),MATCH('Index&amp;Match'!H168,'Main Data'!$A168:$O168,0))</f>
        <v>Corporate</v>
      </c>
      <c r="I169" s="2">
        <f>INDEX('Main Data'!$A$1:$O$1001,MATCH('Index&amp;Match'!$A169,'Main Data'!$A$1:$A$1001,0),MATCH('Index&amp;Match'!I168,'Main Data'!$A168:$O168,0))</f>
        <v>28</v>
      </c>
      <c r="J169" s="2">
        <f>INDEX('Main Data'!$A$1:$O$1001,MATCH('Index&amp;Match'!$A169,'Main Data'!$A$1:$A$1001,0),MATCH('Index&amp;Match'!J168,'Main Data'!$A168:$O168,0))</f>
        <v>28</v>
      </c>
      <c r="K169" s="11">
        <f>INDEX('Main Data'!$A$1:$O$1001,MATCH('Index&amp;Match'!$A169,'Main Data'!$A$1:$A$1001,0),MATCH('Index&amp;Match'!K168,'Main Data'!$A168:$O168,0))</f>
        <v>49777.79</v>
      </c>
      <c r="L169" s="11">
        <f>INDEX('Main Data'!$A$1:$O$1001,MATCH('Index&amp;Match'!$A169,'Main Data'!$A$1:$A$1001,0),MATCH('Index&amp;Match'!L168,'Main Data'!$A168:$O168,0))</f>
        <v>57.13</v>
      </c>
      <c r="M169" s="11">
        <f>INDEX('Main Data'!$A$1:$O$1001,MATCH('Index&amp;Match'!$A169,'Main Data'!$A$1:$A$1001,0),MATCH('Index&amp;Match'!M168,'Main Data'!$A168:$O168,0))</f>
        <v>172.91</v>
      </c>
      <c r="N169" s="2" t="str">
        <f>INDEX('Main Data'!$A$1:$O$1001,MATCH('Index&amp;Match'!$A169,'Main Data'!$A$1:$A$1001,0),MATCH('Index&amp;Match'!N168,'Main Data'!$A168:$O168,0))</f>
        <v>Yes</v>
      </c>
      <c r="O169" s="2">
        <f>INDEX('Main Data'!$A$1:$O$1001,MATCH('Index&amp;Match'!$A169,'Main Data'!$A$1:$A$1001,0),MATCH('Index&amp;Match'!O168,'Main Data'!$A168:$O168,0))</f>
        <v>16</v>
      </c>
    </row>
    <row r="170" spans="1:15" x14ac:dyDescent="0.3">
      <c r="A170" s="2" t="s">
        <v>227</v>
      </c>
      <c r="B170" s="1">
        <f>INDEX('Main Data'!$A$1:$O$1001,MATCH('Index&amp;Match'!$A170,'Main Data'!$A$1:$A$1001,0),MATCH('Index&amp;Match'!B169,'Main Data'!$A169:$O169,0))</f>
        <v>46015</v>
      </c>
      <c r="C170" s="2" t="str">
        <f>INDEX('Main Data'!$A$1:$O$1001,MATCH('Index&amp;Match'!$A170,'Main Data'!$A$1:$A$1001,0),MATCH('Index&amp;Match'!C169,'Main Data'!$A169:$O169,0))</f>
        <v>Jamie</v>
      </c>
      <c r="D170" s="2" t="str">
        <f>INDEX('Main Data'!$A$1:$O$1001,MATCH('Index&amp;Match'!$A170,'Main Data'!$A$1:$A$1001,0),MATCH('Index&amp;Match'!D169,'Main Data'!$A169:$O169,0))</f>
        <v>BR-007</v>
      </c>
      <c r="E170" s="2" t="str">
        <f>INDEX('Main Data'!$A$1:$O$1001,MATCH('Index&amp;Match'!$A170,'Main Data'!$A$1:$A$1001,0),MATCH('Index&amp;Match'!E169,'Main Data'!$A169:$O169,0))</f>
        <v>North</v>
      </c>
      <c r="F170" s="2" t="str">
        <f>INDEX('Main Data'!$A$1:$O$1001,MATCH('Index&amp;Match'!$A170,'Main Data'!$A$1:$A$1001,0),MATCH('Index&amp;Match'!F169,'Main Data'!$A169:$O169,0))</f>
        <v>Mortgage</v>
      </c>
      <c r="G170" s="2" t="str">
        <f>INDEX('Main Data'!$A$1:$O$1001,MATCH('Index&amp;Match'!$A170,'Main Data'!$A$1:$A$1001,0),MATCH('Index&amp;Match'!G169,'Main Data'!$A169:$O169,0))</f>
        <v>Email Campaign</v>
      </c>
      <c r="H170" s="2" t="str">
        <f>INDEX('Main Data'!$A$1:$O$1001,MATCH('Index&amp;Match'!$A170,'Main Data'!$A$1:$A$1001,0),MATCH('Index&amp;Match'!H169,'Main Data'!$A169:$O169,0))</f>
        <v>High Net Worth</v>
      </c>
      <c r="I170" s="2">
        <f>INDEX('Main Data'!$A$1:$O$1001,MATCH('Index&amp;Match'!$A170,'Main Data'!$A$1:$A$1001,0),MATCH('Index&amp;Match'!I169,'Main Data'!$A169:$O169,0))</f>
        <v>25</v>
      </c>
      <c r="J170" s="2">
        <f>INDEX('Main Data'!$A$1:$O$1001,MATCH('Index&amp;Match'!$A170,'Main Data'!$A$1:$A$1001,0),MATCH('Index&amp;Match'!J169,'Main Data'!$A169:$O169,0))</f>
        <v>25</v>
      </c>
      <c r="K170" s="11">
        <f>INDEX('Main Data'!$A$1:$O$1001,MATCH('Index&amp;Match'!$A170,'Main Data'!$A$1:$A$1001,0),MATCH('Index&amp;Match'!K169,'Main Data'!$A169:$O169,0))</f>
        <v>22788.7</v>
      </c>
      <c r="L170" s="11">
        <f>INDEX('Main Data'!$A$1:$O$1001,MATCH('Index&amp;Match'!$A170,'Main Data'!$A$1:$A$1001,0),MATCH('Index&amp;Match'!L169,'Main Data'!$A169:$O169,0))</f>
        <v>378.47</v>
      </c>
      <c r="M170" s="11">
        <f>INDEX('Main Data'!$A$1:$O$1001,MATCH('Index&amp;Match'!$A170,'Main Data'!$A$1:$A$1001,0),MATCH('Index&amp;Match'!M169,'Main Data'!$A169:$O169,0))</f>
        <v>149.86000000000001</v>
      </c>
      <c r="N170" s="2" t="str">
        <f>INDEX('Main Data'!$A$1:$O$1001,MATCH('Index&amp;Match'!$A170,'Main Data'!$A$1:$A$1001,0),MATCH('Index&amp;Match'!N169,'Main Data'!$A169:$O169,0))</f>
        <v>No</v>
      </c>
      <c r="O170" s="2">
        <f>INDEX('Main Data'!$A$1:$O$1001,MATCH('Index&amp;Match'!$A170,'Main Data'!$A$1:$A$1001,0),MATCH('Index&amp;Match'!O169,'Main Data'!$A169:$O169,0))</f>
        <v>15</v>
      </c>
    </row>
    <row r="171" spans="1:15" x14ac:dyDescent="0.3">
      <c r="A171" s="2" t="s">
        <v>228</v>
      </c>
      <c r="B171" s="1">
        <f>INDEX('Main Data'!$A$1:$O$1001,MATCH('Index&amp;Match'!$A171,'Main Data'!$A$1:$A$1001,0),MATCH('Index&amp;Match'!B170,'Main Data'!$A170:$O170,0))</f>
        <v>45978</v>
      </c>
      <c r="C171" s="2" t="str">
        <f>INDEX('Main Data'!$A$1:$O$1001,MATCH('Index&amp;Match'!$A171,'Main Data'!$A$1:$A$1001,0),MATCH('Index&amp;Match'!C170,'Main Data'!$A170:$O170,0))</f>
        <v>Sam</v>
      </c>
      <c r="D171" s="2" t="str">
        <f>INDEX('Main Data'!$A$1:$O$1001,MATCH('Index&amp;Match'!$A171,'Main Data'!$A$1:$A$1001,0),MATCH('Index&amp;Match'!D170,'Main Data'!$A170:$O170,0))</f>
        <v>BR-015</v>
      </c>
      <c r="E171" s="2" t="str">
        <f>INDEX('Main Data'!$A$1:$O$1001,MATCH('Index&amp;Match'!$A171,'Main Data'!$A$1:$A$1001,0),MATCH('Index&amp;Match'!E170,'Main Data'!$A170:$O170,0))</f>
        <v>Central</v>
      </c>
      <c r="F171" s="2" t="str">
        <f>INDEX('Main Data'!$A$1:$O$1001,MATCH('Index&amp;Match'!$A171,'Main Data'!$A$1:$A$1001,0),MATCH('Index&amp;Match'!F170,'Main Data'!$A170:$O170,0))</f>
        <v>Wealth Management</v>
      </c>
      <c r="G171" s="2" t="str">
        <f>INDEX('Main Data'!$A$1:$O$1001,MATCH('Index&amp;Match'!$A171,'Main Data'!$A$1:$A$1001,0),MATCH('Index&amp;Match'!G170,'Main Data'!$A170:$O170,0))</f>
        <v>Social Media</v>
      </c>
      <c r="H171" s="2" t="str">
        <f>INDEX('Main Data'!$A$1:$O$1001,MATCH('Index&amp;Match'!$A171,'Main Data'!$A$1:$A$1001,0),MATCH('Index&amp;Match'!H170,'Main Data'!$A170:$O170,0))</f>
        <v>Retail</v>
      </c>
      <c r="I171" s="2">
        <f>INDEX('Main Data'!$A$1:$O$1001,MATCH('Index&amp;Match'!$A171,'Main Data'!$A$1:$A$1001,0),MATCH('Index&amp;Match'!I170,'Main Data'!$A170:$O170,0))</f>
        <v>46</v>
      </c>
      <c r="J171" s="2">
        <f>INDEX('Main Data'!$A$1:$O$1001,MATCH('Index&amp;Match'!$A171,'Main Data'!$A$1:$A$1001,0),MATCH('Index&amp;Match'!J170,'Main Data'!$A170:$O170,0))</f>
        <v>46</v>
      </c>
      <c r="K171" s="11">
        <f>INDEX('Main Data'!$A$1:$O$1001,MATCH('Index&amp;Match'!$A171,'Main Data'!$A$1:$A$1001,0),MATCH('Index&amp;Match'!K170,'Main Data'!$A170:$O170,0))</f>
        <v>13000.25</v>
      </c>
      <c r="L171" s="11">
        <f>INDEX('Main Data'!$A$1:$O$1001,MATCH('Index&amp;Match'!$A171,'Main Data'!$A$1:$A$1001,0),MATCH('Index&amp;Match'!L170,'Main Data'!$A170:$O170,0))</f>
        <v>449.94</v>
      </c>
      <c r="M171" s="11">
        <f>INDEX('Main Data'!$A$1:$O$1001,MATCH('Index&amp;Match'!$A171,'Main Data'!$A$1:$A$1001,0),MATCH('Index&amp;Match'!M170,'Main Data'!$A170:$O170,0))</f>
        <v>87.7</v>
      </c>
      <c r="N171" s="2" t="str">
        <f>INDEX('Main Data'!$A$1:$O$1001,MATCH('Index&amp;Match'!$A171,'Main Data'!$A$1:$A$1001,0),MATCH('Index&amp;Match'!N170,'Main Data'!$A170:$O170,0))</f>
        <v>No</v>
      </c>
      <c r="O171" s="2">
        <f>INDEX('Main Data'!$A$1:$O$1001,MATCH('Index&amp;Match'!$A171,'Main Data'!$A$1:$A$1001,0),MATCH('Index&amp;Match'!O170,'Main Data'!$A170:$O170,0))</f>
        <v>99</v>
      </c>
    </row>
    <row r="172" spans="1:15" x14ac:dyDescent="0.3">
      <c r="A172" s="2" t="s">
        <v>229</v>
      </c>
      <c r="B172" s="1">
        <f>INDEX('Main Data'!$A$1:$O$1001,MATCH('Index&amp;Match'!$A172,'Main Data'!$A$1:$A$1001,0),MATCH('Index&amp;Match'!B171,'Main Data'!$A171:$O171,0))</f>
        <v>46165</v>
      </c>
      <c r="C172" s="2" t="str">
        <f>INDEX('Main Data'!$A$1:$O$1001,MATCH('Index&amp;Match'!$A172,'Main Data'!$A$1:$A$1001,0),MATCH('Index&amp;Match'!C171,'Main Data'!$A171:$O171,0))</f>
        <v>Drew</v>
      </c>
      <c r="D172" s="2" t="str">
        <f>INDEX('Main Data'!$A$1:$O$1001,MATCH('Index&amp;Match'!$A172,'Main Data'!$A$1:$A$1001,0),MATCH('Index&amp;Match'!D171,'Main Data'!$A171:$O171,0))</f>
        <v>BR-011</v>
      </c>
      <c r="E172" s="2" t="str">
        <f>INDEX('Main Data'!$A$1:$O$1001,MATCH('Index&amp;Match'!$A172,'Main Data'!$A$1:$A$1001,0),MATCH('Index&amp;Match'!E171,'Main Data'!$A171:$O171,0))</f>
        <v>East</v>
      </c>
      <c r="F172" s="2" t="str">
        <f>INDEX('Main Data'!$A$1:$O$1001,MATCH('Index&amp;Match'!$A172,'Main Data'!$A$1:$A$1001,0),MATCH('Index&amp;Match'!F171,'Main Data'!$A171:$O171,0))</f>
        <v>Auto Loan</v>
      </c>
      <c r="G172" s="2" t="str">
        <f>INDEX('Main Data'!$A$1:$O$1001,MATCH('Index&amp;Match'!$A172,'Main Data'!$A$1:$A$1001,0),MATCH('Index&amp;Match'!G171,'Main Data'!$A171:$O171,0))</f>
        <v>Email Campaign</v>
      </c>
      <c r="H172" s="2" t="str">
        <f>INDEX('Main Data'!$A$1:$O$1001,MATCH('Index&amp;Match'!$A172,'Main Data'!$A$1:$A$1001,0),MATCH('Index&amp;Match'!H171,'Main Data'!$A171:$O171,0))</f>
        <v>Corporate</v>
      </c>
      <c r="I172" s="2">
        <f>INDEX('Main Data'!$A$1:$O$1001,MATCH('Index&amp;Match'!$A172,'Main Data'!$A$1:$A$1001,0),MATCH('Index&amp;Match'!I171,'Main Data'!$A171:$O171,0))</f>
        <v>36</v>
      </c>
      <c r="J172" s="2">
        <f>INDEX('Main Data'!$A$1:$O$1001,MATCH('Index&amp;Match'!$A172,'Main Data'!$A$1:$A$1001,0),MATCH('Index&amp;Match'!J171,'Main Data'!$A171:$O171,0))</f>
        <v>36</v>
      </c>
      <c r="K172" s="11">
        <f>INDEX('Main Data'!$A$1:$O$1001,MATCH('Index&amp;Match'!$A172,'Main Data'!$A$1:$A$1001,0),MATCH('Index&amp;Match'!K171,'Main Data'!$A171:$O171,0))</f>
        <v>22420.05</v>
      </c>
      <c r="L172" s="11">
        <f>INDEX('Main Data'!$A$1:$O$1001,MATCH('Index&amp;Match'!$A172,'Main Data'!$A$1:$A$1001,0),MATCH('Index&amp;Match'!L171,'Main Data'!$A171:$O171,0))</f>
        <v>77.75</v>
      </c>
      <c r="M172" s="11">
        <f>INDEX('Main Data'!$A$1:$O$1001,MATCH('Index&amp;Match'!$A172,'Main Data'!$A$1:$A$1001,0),MATCH('Index&amp;Match'!M171,'Main Data'!$A171:$O171,0))</f>
        <v>122.2</v>
      </c>
      <c r="N172" s="2" t="str">
        <f>INDEX('Main Data'!$A$1:$O$1001,MATCH('Index&amp;Match'!$A172,'Main Data'!$A$1:$A$1001,0),MATCH('Index&amp;Match'!N171,'Main Data'!$A171:$O171,0))</f>
        <v>Yes</v>
      </c>
      <c r="O172" s="2">
        <f>INDEX('Main Data'!$A$1:$O$1001,MATCH('Index&amp;Match'!$A172,'Main Data'!$A$1:$A$1001,0),MATCH('Index&amp;Match'!O171,'Main Data'!$A171:$O171,0))</f>
        <v>52</v>
      </c>
    </row>
    <row r="173" spans="1:15" x14ac:dyDescent="0.3">
      <c r="A173" s="2" t="s">
        <v>230</v>
      </c>
      <c r="B173" s="1">
        <f>INDEX('Main Data'!$A$1:$O$1001,MATCH('Index&amp;Match'!$A173,'Main Data'!$A$1:$A$1001,0),MATCH('Index&amp;Match'!B172,'Main Data'!$A172:$O172,0))</f>
        <v>46231</v>
      </c>
      <c r="C173" s="2" t="str">
        <f>INDEX('Main Data'!$A$1:$O$1001,MATCH('Index&amp;Match'!$A173,'Main Data'!$A$1:$A$1001,0),MATCH('Index&amp;Match'!C172,'Main Data'!$A172:$O172,0))</f>
        <v>Casey</v>
      </c>
      <c r="D173" s="2" t="str">
        <f>INDEX('Main Data'!$A$1:$O$1001,MATCH('Index&amp;Match'!$A173,'Main Data'!$A$1:$A$1001,0),MATCH('Index&amp;Match'!D172,'Main Data'!$A172:$O172,0))</f>
        <v>BR-006</v>
      </c>
      <c r="E173" s="2" t="str">
        <f>INDEX('Main Data'!$A$1:$O$1001,MATCH('Index&amp;Match'!$A173,'Main Data'!$A$1:$A$1001,0),MATCH('Index&amp;Match'!E172,'Main Data'!$A172:$O172,0))</f>
        <v>Central</v>
      </c>
      <c r="F173" s="2" t="str">
        <f>INDEX('Main Data'!$A$1:$O$1001,MATCH('Index&amp;Match'!$A173,'Main Data'!$A$1:$A$1001,0),MATCH('Index&amp;Match'!F172,'Main Data'!$A172:$O172,0))</f>
        <v>Credit Card</v>
      </c>
      <c r="G173" s="2" t="str">
        <f>INDEX('Main Data'!$A$1:$O$1001,MATCH('Index&amp;Match'!$A173,'Main Data'!$A$1:$A$1001,0),MATCH('Index&amp;Match'!G172,'Main Data'!$A172:$O172,0))</f>
        <v>Email Campaign</v>
      </c>
      <c r="H173" s="2" t="str">
        <f>INDEX('Main Data'!$A$1:$O$1001,MATCH('Index&amp;Match'!$A173,'Main Data'!$A$1:$A$1001,0),MATCH('Index&amp;Match'!H172,'Main Data'!$A172:$O172,0))</f>
        <v>High Net Worth</v>
      </c>
      <c r="I173" s="2">
        <f>INDEX('Main Data'!$A$1:$O$1001,MATCH('Index&amp;Match'!$A173,'Main Data'!$A$1:$A$1001,0),MATCH('Index&amp;Match'!I172,'Main Data'!$A172:$O172,0))</f>
        <v>56</v>
      </c>
      <c r="J173" s="2">
        <f>INDEX('Main Data'!$A$1:$O$1001,MATCH('Index&amp;Match'!$A173,'Main Data'!$A$1:$A$1001,0),MATCH('Index&amp;Match'!J172,'Main Data'!$A172:$O172,0))</f>
        <v>56</v>
      </c>
      <c r="K173" s="11">
        <f>INDEX('Main Data'!$A$1:$O$1001,MATCH('Index&amp;Match'!$A173,'Main Data'!$A$1:$A$1001,0),MATCH('Index&amp;Match'!K172,'Main Data'!$A172:$O172,0))</f>
        <v>42439.839999999997</v>
      </c>
      <c r="L173" s="11">
        <f>INDEX('Main Data'!$A$1:$O$1001,MATCH('Index&amp;Match'!$A173,'Main Data'!$A$1:$A$1001,0),MATCH('Index&amp;Match'!L172,'Main Data'!$A172:$O172,0))</f>
        <v>252.53</v>
      </c>
      <c r="M173" s="11">
        <f>INDEX('Main Data'!$A$1:$O$1001,MATCH('Index&amp;Match'!$A173,'Main Data'!$A$1:$A$1001,0),MATCH('Index&amp;Match'!M172,'Main Data'!$A172:$O172,0))</f>
        <v>187.26</v>
      </c>
      <c r="N173" s="2" t="str">
        <f>INDEX('Main Data'!$A$1:$O$1001,MATCH('Index&amp;Match'!$A173,'Main Data'!$A$1:$A$1001,0),MATCH('Index&amp;Match'!N172,'Main Data'!$A172:$O172,0))</f>
        <v>Yes</v>
      </c>
      <c r="O173" s="2">
        <f>INDEX('Main Data'!$A$1:$O$1001,MATCH('Index&amp;Match'!$A173,'Main Data'!$A$1:$A$1001,0),MATCH('Index&amp;Match'!O172,'Main Data'!$A172:$O172,0))</f>
        <v>69</v>
      </c>
    </row>
    <row r="174" spans="1:15" x14ac:dyDescent="0.3">
      <c r="A174" s="2" t="s">
        <v>231</v>
      </c>
      <c r="B174" s="1">
        <f>INDEX('Main Data'!$A$1:$O$1001,MATCH('Index&amp;Match'!$A174,'Main Data'!$A$1:$A$1001,0),MATCH('Index&amp;Match'!B173,'Main Data'!$A173:$O173,0))</f>
        <v>45959</v>
      </c>
      <c r="C174" s="2" t="str">
        <f>INDEX('Main Data'!$A$1:$O$1001,MATCH('Index&amp;Match'!$A174,'Main Data'!$A$1:$A$1001,0),MATCH('Index&amp;Match'!C173,'Main Data'!$A173:$O173,0))</f>
        <v>Taylor</v>
      </c>
      <c r="D174" s="2" t="str">
        <f>INDEX('Main Data'!$A$1:$O$1001,MATCH('Index&amp;Match'!$A174,'Main Data'!$A$1:$A$1001,0),MATCH('Index&amp;Match'!D173,'Main Data'!$A173:$O173,0))</f>
        <v>BR-008</v>
      </c>
      <c r="E174" s="2" t="str">
        <f>INDEX('Main Data'!$A$1:$O$1001,MATCH('Index&amp;Match'!$A174,'Main Data'!$A$1:$A$1001,0),MATCH('Index&amp;Match'!E173,'Main Data'!$A173:$O173,0))</f>
        <v>North</v>
      </c>
      <c r="F174" s="2" t="str">
        <f>INDEX('Main Data'!$A$1:$O$1001,MATCH('Index&amp;Match'!$A174,'Main Data'!$A$1:$A$1001,0),MATCH('Index&amp;Match'!F173,'Main Data'!$A173:$O173,0))</f>
        <v>Credit Card</v>
      </c>
      <c r="G174" s="2" t="str">
        <f>INDEX('Main Data'!$A$1:$O$1001,MATCH('Index&amp;Match'!$A174,'Main Data'!$A$1:$A$1001,0),MATCH('Index&amp;Match'!G173,'Main Data'!$A173:$O173,0))</f>
        <v>Website</v>
      </c>
      <c r="H174" s="2" t="str">
        <f>INDEX('Main Data'!$A$1:$O$1001,MATCH('Index&amp;Match'!$A174,'Main Data'!$A$1:$A$1001,0),MATCH('Index&amp;Match'!H173,'Main Data'!$A173:$O173,0))</f>
        <v>High Net Worth</v>
      </c>
      <c r="I174" s="2">
        <f>INDEX('Main Data'!$A$1:$O$1001,MATCH('Index&amp;Match'!$A174,'Main Data'!$A$1:$A$1001,0),MATCH('Index&amp;Match'!I173,'Main Data'!$A173:$O173,0))</f>
        <v>48</v>
      </c>
      <c r="J174" s="2">
        <f>INDEX('Main Data'!$A$1:$O$1001,MATCH('Index&amp;Match'!$A174,'Main Data'!$A$1:$A$1001,0),MATCH('Index&amp;Match'!J173,'Main Data'!$A173:$O173,0))</f>
        <v>48</v>
      </c>
      <c r="K174" s="11">
        <f>INDEX('Main Data'!$A$1:$O$1001,MATCH('Index&amp;Match'!$A174,'Main Data'!$A$1:$A$1001,0),MATCH('Index&amp;Match'!K173,'Main Data'!$A173:$O173,0))</f>
        <v>10697.28</v>
      </c>
      <c r="L174" s="11">
        <f>INDEX('Main Data'!$A$1:$O$1001,MATCH('Index&amp;Match'!$A174,'Main Data'!$A$1:$A$1001,0),MATCH('Index&amp;Match'!L173,'Main Data'!$A173:$O173,0))</f>
        <v>142.12</v>
      </c>
      <c r="M174" s="11">
        <f>INDEX('Main Data'!$A$1:$O$1001,MATCH('Index&amp;Match'!$A174,'Main Data'!$A$1:$A$1001,0),MATCH('Index&amp;Match'!M173,'Main Data'!$A173:$O173,0))</f>
        <v>39.619999999999997</v>
      </c>
      <c r="N174" s="2" t="str">
        <f>INDEX('Main Data'!$A$1:$O$1001,MATCH('Index&amp;Match'!$A174,'Main Data'!$A$1:$A$1001,0),MATCH('Index&amp;Match'!N173,'Main Data'!$A173:$O173,0))</f>
        <v>No</v>
      </c>
      <c r="O174" s="2">
        <f>INDEX('Main Data'!$A$1:$O$1001,MATCH('Index&amp;Match'!$A174,'Main Data'!$A$1:$A$1001,0),MATCH('Index&amp;Match'!O173,'Main Data'!$A173:$O173,0))</f>
        <v>119</v>
      </c>
    </row>
    <row r="175" spans="1:15" x14ac:dyDescent="0.3">
      <c r="A175" s="2" t="s">
        <v>232</v>
      </c>
      <c r="B175" s="1">
        <f>INDEX('Main Data'!$A$1:$O$1001,MATCH('Index&amp;Match'!$A175,'Main Data'!$A$1:$A$1001,0),MATCH('Index&amp;Match'!B174,'Main Data'!$A174:$O174,0))</f>
        <v>45918</v>
      </c>
      <c r="C175" s="2" t="str">
        <f>INDEX('Main Data'!$A$1:$O$1001,MATCH('Index&amp;Match'!$A175,'Main Data'!$A$1:$A$1001,0),MATCH('Index&amp;Match'!C174,'Main Data'!$A174:$O174,0))</f>
        <v>Morgan</v>
      </c>
      <c r="D175" s="2" t="str">
        <f>INDEX('Main Data'!$A$1:$O$1001,MATCH('Index&amp;Match'!$A175,'Main Data'!$A$1:$A$1001,0),MATCH('Index&amp;Match'!D174,'Main Data'!$A174:$O174,0))</f>
        <v>BR-004</v>
      </c>
      <c r="E175" s="2" t="str">
        <f>INDEX('Main Data'!$A$1:$O$1001,MATCH('Index&amp;Match'!$A175,'Main Data'!$A$1:$A$1001,0),MATCH('Index&amp;Match'!E174,'Main Data'!$A174:$O174,0))</f>
        <v>Central</v>
      </c>
      <c r="F175" s="2" t="str">
        <f>INDEX('Main Data'!$A$1:$O$1001,MATCH('Index&amp;Match'!$A175,'Main Data'!$A$1:$A$1001,0),MATCH('Index&amp;Match'!F174,'Main Data'!$A174:$O174,0))</f>
        <v>Personal Loan</v>
      </c>
      <c r="G175" s="2" t="str">
        <f>INDEX('Main Data'!$A$1:$O$1001,MATCH('Index&amp;Match'!$A175,'Main Data'!$A$1:$A$1001,0),MATCH('Index&amp;Match'!G174,'Main Data'!$A174:$O174,0))</f>
        <v>Email Campaign</v>
      </c>
      <c r="H175" s="2" t="str">
        <f>INDEX('Main Data'!$A$1:$O$1001,MATCH('Index&amp;Match'!$A175,'Main Data'!$A$1:$A$1001,0),MATCH('Index&amp;Match'!H174,'Main Data'!$A174:$O174,0))</f>
        <v>SME</v>
      </c>
      <c r="I175" s="2">
        <f>INDEX('Main Data'!$A$1:$O$1001,MATCH('Index&amp;Match'!$A175,'Main Data'!$A$1:$A$1001,0),MATCH('Index&amp;Match'!I174,'Main Data'!$A174:$O174,0))</f>
        <v>74</v>
      </c>
      <c r="J175" s="2">
        <f>INDEX('Main Data'!$A$1:$O$1001,MATCH('Index&amp;Match'!$A175,'Main Data'!$A$1:$A$1001,0),MATCH('Index&amp;Match'!J174,'Main Data'!$A174:$O174,0))</f>
        <v>74</v>
      </c>
      <c r="K175" s="11">
        <f>INDEX('Main Data'!$A$1:$O$1001,MATCH('Index&amp;Match'!$A175,'Main Data'!$A$1:$A$1001,0),MATCH('Index&amp;Match'!K174,'Main Data'!$A174:$O174,0))</f>
        <v>47628.73</v>
      </c>
      <c r="L175" s="11">
        <f>INDEX('Main Data'!$A$1:$O$1001,MATCH('Index&amp;Match'!$A175,'Main Data'!$A$1:$A$1001,0),MATCH('Index&amp;Match'!L174,'Main Data'!$A174:$O174,0))</f>
        <v>304.93</v>
      </c>
      <c r="M175" s="11">
        <f>INDEX('Main Data'!$A$1:$O$1001,MATCH('Index&amp;Match'!$A175,'Main Data'!$A$1:$A$1001,0),MATCH('Index&amp;Match'!M174,'Main Data'!$A174:$O174,0))</f>
        <v>151.25</v>
      </c>
      <c r="N175" s="2" t="str">
        <f>INDEX('Main Data'!$A$1:$O$1001,MATCH('Index&amp;Match'!$A175,'Main Data'!$A$1:$A$1001,0),MATCH('Index&amp;Match'!N174,'Main Data'!$A174:$O174,0))</f>
        <v>Yes</v>
      </c>
      <c r="O175" s="2">
        <f>INDEX('Main Data'!$A$1:$O$1001,MATCH('Index&amp;Match'!$A175,'Main Data'!$A$1:$A$1001,0),MATCH('Index&amp;Match'!O174,'Main Data'!$A174:$O174,0))</f>
        <v>5</v>
      </c>
    </row>
    <row r="176" spans="1:15" x14ac:dyDescent="0.3">
      <c r="A176" s="2" t="s">
        <v>233</v>
      </c>
      <c r="B176" s="1">
        <f>INDEX('Main Data'!$A$1:$O$1001,MATCH('Index&amp;Match'!$A176,'Main Data'!$A$1:$A$1001,0),MATCH('Index&amp;Match'!B175,'Main Data'!$A175:$O175,0))</f>
        <v>45992</v>
      </c>
      <c r="C176" s="2" t="str">
        <f>INDEX('Main Data'!$A$1:$O$1001,MATCH('Index&amp;Match'!$A176,'Main Data'!$A$1:$A$1001,0),MATCH('Index&amp;Match'!C175,'Main Data'!$A175:$O175,0))</f>
        <v>Drew</v>
      </c>
      <c r="D176" s="2" t="str">
        <f>INDEX('Main Data'!$A$1:$O$1001,MATCH('Index&amp;Match'!$A176,'Main Data'!$A$1:$A$1001,0),MATCH('Index&amp;Match'!D175,'Main Data'!$A175:$O175,0))</f>
        <v>BR-008</v>
      </c>
      <c r="E176" s="2" t="str">
        <f>INDEX('Main Data'!$A$1:$O$1001,MATCH('Index&amp;Match'!$A176,'Main Data'!$A$1:$A$1001,0),MATCH('Index&amp;Match'!E175,'Main Data'!$A175:$O175,0))</f>
        <v>South</v>
      </c>
      <c r="F176" s="2" t="str">
        <f>INDEX('Main Data'!$A$1:$O$1001,MATCH('Index&amp;Match'!$A176,'Main Data'!$A$1:$A$1001,0),MATCH('Index&amp;Match'!F175,'Main Data'!$A175:$O175,0))</f>
        <v>Auto Loan</v>
      </c>
      <c r="G176" s="2" t="str">
        <f>INDEX('Main Data'!$A$1:$O$1001,MATCH('Index&amp;Match'!$A176,'Main Data'!$A$1:$A$1001,0),MATCH('Index&amp;Match'!G175,'Main Data'!$A175:$O175,0))</f>
        <v>Website</v>
      </c>
      <c r="H176" s="2" t="str">
        <f>INDEX('Main Data'!$A$1:$O$1001,MATCH('Index&amp;Match'!$A176,'Main Data'!$A$1:$A$1001,0),MATCH('Index&amp;Match'!H175,'Main Data'!$A175:$O175,0))</f>
        <v>SME</v>
      </c>
      <c r="I176" s="2">
        <f>INDEX('Main Data'!$A$1:$O$1001,MATCH('Index&amp;Match'!$A176,'Main Data'!$A$1:$A$1001,0),MATCH('Index&amp;Match'!I175,'Main Data'!$A175:$O175,0))</f>
        <v>49</v>
      </c>
      <c r="J176" s="2">
        <f>INDEX('Main Data'!$A$1:$O$1001,MATCH('Index&amp;Match'!$A176,'Main Data'!$A$1:$A$1001,0),MATCH('Index&amp;Match'!J175,'Main Data'!$A175:$O175,0))</f>
        <v>49</v>
      </c>
      <c r="K176" s="11">
        <f>INDEX('Main Data'!$A$1:$O$1001,MATCH('Index&amp;Match'!$A176,'Main Data'!$A$1:$A$1001,0),MATCH('Index&amp;Match'!K175,'Main Data'!$A175:$O175,0))</f>
        <v>17422.36</v>
      </c>
      <c r="L176" s="11">
        <f>INDEX('Main Data'!$A$1:$O$1001,MATCH('Index&amp;Match'!$A176,'Main Data'!$A$1:$A$1001,0),MATCH('Index&amp;Match'!L175,'Main Data'!$A175:$O175,0))</f>
        <v>342.29</v>
      </c>
      <c r="M176" s="11">
        <f>INDEX('Main Data'!$A$1:$O$1001,MATCH('Index&amp;Match'!$A176,'Main Data'!$A$1:$A$1001,0),MATCH('Index&amp;Match'!M175,'Main Data'!$A175:$O175,0))</f>
        <v>55.19</v>
      </c>
      <c r="N176" s="2" t="str">
        <f>INDEX('Main Data'!$A$1:$O$1001,MATCH('Index&amp;Match'!$A176,'Main Data'!$A$1:$A$1001,0),MATCH('Index&amp;Match'!N175,'Main Data'!$A175:$O175,0))</f>
        <v>No</v>
      </c>
      <c r="O176" s="2">
        <f>INDEX('Main Data'!$A$1:$O$1001,MATCH('Index&amp;Match'!$A176,'Main Data'!$A$1:$A$1001,0),MATCH('Index&amp;Match'!O175,'Main Data'!$A175:$O175,0))</f>
        <v>20</v>
      </c>
    </row>
    <row r="177" spans="1:15" x14ac:dyDescent="0.3">
      <c r="A177" s="2" t="s">
        <v>234</v>
      </c>
      <c r="B177" s="1">
        <f>INDEX('Main Data'!$A$1:$O$1001,MATCH('Index&amp;Match'!$A177,'Main Data'!$A$1:$A$1001,0),MATCH('Index&amp;Match'!B176,'Main Data'!$A176:$O176,0))</f>
        <v>45902</v>
      </c>
      <c r="C177" s="2" t="str">
        <f>INDEX('Main Data'!$A$1:$O$1001,MATCH('Index&amp;Match'!$A177,'Main Data'!$A$1:$A$1001,0),MATCH('Index&amp;Match'!C176,'Main Data'!$A176:$O176,0))</f>
        <v>Sam</v>
      </c>
      <c r="D177" s="2" t="str">
        <f>INDEX('Main Data'!$A$1:$O$1001,MATCH('Index&amp;Match'!$A177,'Main Data'!$A$1:$A$1001,0),MATCH('Index&amp;Match'!D176,'Main Data'!$A176:$O176,0))</f>
        <v>BR-004</v>
      </c>
      <c r="E177" s="2" t="str">
        <f>INDEX('Main Data'!$A$1:$O$1001,MATCH('Index&amp;Match'!$A177,'Main Data'!$A$1:$A$1001,0),MATCH('Index&amp;Match'!E176,'Main Data'!$A176:$O176,0))</f>
        <v>West</v>
      </c>
      <c r="F177" s="2" t="str">
        <f>INDEX('Main Data'!$A$1:$O$1001,MATCH('Index&amp;Match'!$A177,'Main Data'!$A$1:$A$1001,0),MATCH('Index&amp;Match'!F176,'Main Data'!$A176:$O176,0))</f>
        <v>Credit Card</v>
      </c>
      <c r="G177" s="2" t="str">
        <f>INDEX('Main Data'!$A$1:$O$1001,MATCH('Index&amp;Match'!$A177,'Main Data'!$A$1:$A$1001,0),MATCH('Index&amp;Match'!G176,'Main Data'!$A176:$O176,0))</f>
        <v>Walk-in</v>
      </c>
      <c r="H177" s="2" t="str">
        <f>INDEX('Main Data'!$A$1:$O$1001,MATCH('Index&amp;Match'!$A177,'Main Data'!$A$1:$A$1001,0),MATCH('Index&amp;Match'!H176,'Main Data'!$A176:$O176,0))</f>
        <v>SME</v>
      </c>
      <c r="I177" s="2">
        <f>INDEX('Main Data'!$A$1:$O$1001,MATCH('Index&amp;Match'!$A177,'Main Data'!$A$1:$A$1001,0),MATCH('Index&amp;Match'!I176,'Main Data'!$A176:$O176,0))</f>
        <v>67</v>
      </c>
      <c r="J177" s="2">
        <f>INDEX('Main Data'!$A$1:$O$1001,MATCH('Index&amp;Match'!$A177,'Main Data'!$A$1:$A$1001,0),MATCH('Index&amp;Match'!J176,'Main Data'!$A176:$O176,0))</f>
        <v>67</v>
      </c>
      <c r="K177" s="11">
        <f>INDEX('Main Data'!$A$1:$O$1001,MATCH('Index&amp;Match'!$A177,'Main Data'!$A$1:$A$1001,0),MATCH('Index&amp;Match'!K176,'Main Data'!$A176:$O176,0))</f>
        <v>49297.279999999999</v>
      </c>
      <c r="L177" s="11">
        <f>INDEX('Main Data'!$A$1:$O$1001,MATCH('Index&amp;Match'!$A177,'Main Data'!$A$1:$A$1001,0),MATCH('Index&amp;Match'!L176,'Main Data'!$A176:$O176,0))</f>
        <v>186.18</v>
      </c>
      <c r="M177" s="11">
        <f>INDEX('Main Data'!$A$1:$O$1001,MATCH('Index&amp;Match'!$A177,'Main Data'!$A$1:$A$1001,0),MATCH('Index&amp;Match'!M176,'Main Data'!$A176:$O176,0))</f>
        <v>180.99</v>
      </c>
      <c r="N177" s="2" t="str">
        <f>INDEX('Main Data'!$A$1:$O$1001,MATCH('Index&amp;Match'!$A177,'Main Data'!$A$1:$A$1001,0),MATCH('Index&amp;Match'!N176,'Main Data'!$A176:$O176,0))</f>
        <v>Yes</v>
      </c>
      <c r="O177" s="2">
        <f>INDEX('Main Data'!$A$1:$O$1001,MATCH('Index&amp;Match'!$A177,'Main Data'!$A$1:$A$1001,0),MATCH('Index&amp;Match'!O176,'Main Data'!$A176:$O176,0))</f>
        <v>79</v>
      </c>
    </row>
    <row r="178" spans="1:15" x14ac:dyDescent="0.3">
      <c r="A178" s="2" t="s">
        <v>235</v>
      </c>
      <c r="B178" s="1">
        <f>INDEX('Main Data'!$A$1:$O$1001,MATCH('Index&amp;Match'!$A178,'Main Data'!$A$1:$A$1001,0),MATCH('Index&amp;Match'!B177,'Main Data'!$A177:$O177,0))</f>
        <v>46155</v>
      </c>
      <c r="C178" s="2" t="str">
        <f>INDEX('Main Data'!$A$1:$O$1001,MATCH('Index&amp;Match'!$A178,'Main Data'!$A$1:$A$1001,0),MATCH('Index&amp;Match'!C177,'Main Data'!$A177:$O177,0))</f>
        <v>Taylor</v>
      </c>
      <c r="D178" s="2" t="str">
        <f>INDEX('Main Data'!$A$1:$O$1001,MATCH('Index&amp;Match'!$A178,'Main Data'!$A$1:$A$1001,0),MATCH('Index&amp;Match'!D177,'Main Data'!$A177:$O177,0))</f>
        <v>BR-008</v>
      </c>
      <c r="E178" s="2" t="str">
        <f>INDEX('Main Data'!$A$1:$O$1001,MATCH('Index&amp;Match'!$A178,'Main Data'!$A$1:$A$1001,0),MATCH('Index&amp;Match'!E177,'Main Data'!$A177:$O177,0))</f>
        <v>East</v>
      </c>
      <c r="F178" s="2" t="str">
        <f>INDEX('Main Data'!$A$1:$O$1001,MATCH('Index&amp;Match'!$A178,'Main Data'!$A$1:$A$1001,0),MATCH('Index&amp;Match'!F177,'Main Data'!$A177:$O177,0))</f>
        <v>Mortgage</v>
      </c>
      <c r="G178" s="2" t="str">
        <f>INDEX('Main Data'!$A$1:$O$1001,MATCH('Index&amp;Match'!$A178,'Main Data'!$A$1:$A$1001,0),MATCH('Index&amp;Match'!G177,'Main Data'!$A177:$O177,0))</f>
        <v>Social Media</v>
      </c>
      <c r="H178" s="2" t="str">
        <f>INDEX('Main Data'!$A$1:$O$1001,MATCH('Index&amp;Match'!$A178,'Main Data'!$A$1:$A$1001,0),MATCH('Index&amp;Match'!H177,'Main Data'!$A177:$O177,0))</f>
        <v>Corporate</v>
      </c>
      <c r="I178" s="2">
        <f>INDEX('Main Data'!$A$1:$O$1001,MATCH('Index&amp;Match'!$A178,'Main Data'!$A$1:$A$1001,0),MATCH('Index&amp;Match'!I177,'Main Data'!$A177:$O177,0))</f>
        <v>32</v>
      </c>
      <c r="J178" s="2">
        <f>INDEX('Main Data'!$A$1:$O$1001,MATCH('Index&amp;Match'!$A178,'Main Data'!$A$1:$A$1001,0),MATCH('Index&amp;Match'!J177,'Main Data'!$A177:$O177,0))</f>
        <v>32</v>
      </c>
      <c r="K178" s="11">
        <f>INDEX('Main Data'!$A$1:$O$1001,MATCH('Index&amp;Match'!$A178,'Main Data'!$A$1:$A$1001,0),MATCH('Index&amp;Match'!K177,'Main Data'!$A177:$O177,0))</f>
        <v>42011.14</v>
      </c>
      <c r="L178" s="11">
        <f>INDEX('Main Data'!$A$1:$O$1001,MATCH('Index&amp;Match'!$A178,'Main Data'!$A$1:$A$1001,0),MATCH('Index&amp;Match'!L177,'Main Data'!$A177:$O177,0))</f>
        <v>256.99</v>
      </c>
      <c r="M178" s="11">
        <f>INDEX('Main Data'!$A$1:$O$1001,MATCH('Index&amp;Match'!$A178,'Main Data'!$A$1:$A$1001,0),MATCH('Index&amp;Match'!M177,'Main Data'!$A177:$O177,0))</f>
        <v>163.57</v>
      </c>
      <c r="N178" s="2" t="str">
        <f>INDEX('Main Data'!$A$1:$O$1001,MATCH('Index&amp;Match'!$A178,'Main Data'!$A$1:$A$1001,0),MATCH('Index&amp;Match'!N177,'Main Data'!$A177:$O177,0))</f>
        <v>No</v>
      </c>
      <c r="O178" s="2">
        <f>INDEX('Main Data'!$A$1:$O$1001,MATCH('Index&amp;Match'!$A178,'Main Data'!$A$1:$A$1001,0),MATCH('Index&amp;Match'!O177,'Main Data'!$A177:$O177,0))</f>
        <v>18</v>
      </c>
    </row>
    <row r="179" spans="1:15" x14ac:dyDescent="0.3">
      <c r="A179" s="2" t="s">
        <v>236</v>
      </c>
      <c r="B179" s="1">
        <f>INDEX('Main Data'!$A$1:$O$1001,MATCH('Index&amp;Match'!$A179,'Main Data'!$A$1:$A$1001,0),MATCH('Index&amp;Match'!B178,'Main Data'!$A178:$O178,0))</f>
        <v>45957</v>
      </c>
      <c r="C179" s="2" t="str">
        <f>INDEX('Main Data'!$A$1:$O$1001,MATCH('Index&amp;Match'!$A179,'Main Data'!$A$1:$A$1001,0),MATCH('Index&amp;Match'!C178,'Main Data'!$A178:$O178,0))</f>
        <v>Taylor</v>
      </c>
      <c r="D179" s="2" t="str">
        <f>INDEX('Main Data'!$A$1:$O$1001,MATCH('Index&amp;Match'!$A179,'Main Data'!$A$1:$A$1001,0),MATCH('Index&amp;Match'!D178,'Main Data'!$A178:$O178,0))</f>
        <v>BR-009</v>
      </c>
      <c r="E179" s="2" t="str">
        <f>INDEX('Main Data'!$A$1:$O$1001,MATCH('Index&amp;Match'!$A179,'Main Data'!$A$1:$A$1001,0),MATCH('Index&amp;Match'!E178,'Main Data'!$A178:$O178,0))</f>
        <v>West</v>
      </c>
      <c r="F179" s="2" t="str">
        <f>INDEX('Main Data'!$A$1:$O$1001,MATCH('Index&amp;Match'!$A179,'Main Data'!$A$1:$A$1001,0),MATCH('Index&amp;Match'!F178,'Main Data'!$A178:$O178,0))</f>
        <v>Auto Loan</v>
      </c>
      <c r="G179" s="2" t="str">
        <f>INDEX('Main Data'!$A$1:$O$1001,MATCH('Index&amp;Match'!$A179,'Main Data'!$A$1:$A$1001,0),MATCH('Index&amp;Match'!G178,'Main Data'!$A178:$O178,0))</f>
        <v>Email Campaign</v>
      </c>
      <c r="H179" s="2" t="str">
        <f>INDEX('Main Data'!$A$1:$O$1001,MATCH('Index&amp;Match'!$A179,'Main Data'!$A$1:$A$1001,0),MATCH('Index&amp;Match'!H178,'Main Data'!$A178:$O178,0))</f>
        <v>Retail</v>
      </c>
      <c r="I179" s="2">
        <f>INDEX('Main Data'!$A$1:$O$1001,MATCH('Index&amp;Match'!$A179,'Main Data'!$A$1:$A$1001,0),MATCH('Index&amp;Match'!I178,'Main Data'!$A178:$O178,0))</f>
        <v>57</v>
      </c>
      <c r="J179" s="2">
        <f>INDEX('Main Data'!$A$1:$O$1001,MATCH('Index&amp;Match'!$A179,'Main Data'!$A$1:$A$1001,0),MATCH('Index&amp;Match'!J178,'Main Data'!$A178:$O178,0))</f>
        <v>57</v>
      </c>
      <c r="K179" s="11">
        <f>INDEX('Main Data'!$A$1:$O$1001,MATCH('Index&amp;Match'!$A179,'Main Data'!$A$1:$A$1001,0),MATCH('Index&amp;Match'!K178,'Main Data'!$A178:$O178,0))</f>
        <v>40524.239999999998</v>
      </c>
      <c r="L179" s="11">
        <f>INDEX('Main Data'!$A$1:$O$1001,MATCH('Index&amp;Match'!$A179,'Main Data'!$A$1:$A$1001,0),MATCH('Index&amp;Match'!L178,'Main Data'!$A178:$O178,0))</f>
        <v>175.7</v>
      </c>
      <c r="M179" s="11">
        <f>INDEX('Main Data'!$A$1:$O$1001,MATCH('Index&amp;Match'!$A179,'Main Data'!$A$1:$A$1001,0),MATCH('Index&amp;Match'!M178,'Main Data'!$A178:$O178,0))</f>
        <v>69.25</v>
      </c>
      <c r="N179" s="2" t="str">
        <f>INDEX('Main Data'!$A$1:$O$1001,MATCH('Index&amp;Match'!$A179,'Main Data'!$A$1:$A$1001,0),MATCH('Index&amp;Match'!N178,'Main Data'!$A178:$O178,0))</f>
        <v>Yes</v>
      </c>
      <c r="O179" s="2">
        <f>INDEX('Main Data'!$A$1:$O$1001,MATCH('Index&amp;Match'!$A179,'Main Data'!$A$1:$A$1001,0),MATCH('Index&amp;Match'!O178,'Main Data'!$A178:$O178,0))</f>
        <v>111</v>
      </c>
    </row>
    <row r="180" spans="1:15" x14ac:dyDescent="0.3">
      <c r="A180" s="2" t="s">
        <v>237</v>
      </c>
      <c r="B180" s="1">
        <f>INDEX('Main Data'!$A$1:$O$1001,MATCH('Index&amp;Match'!$A180,'Main Data'!$A$1:$A$1001,0),MATCH('Index&amp;Match'!B179,'Main Data'!$A179:$O179,0))</f>
        <v>46190</v>
      </c>
      <c r="C180" s="2" t="str">
        <f>INDEX('Main Data'!$A$1:$O$1001,MATCH('Index&amp;Match'!$A180,'Main Data'!$A$1:$A$1001,0),MATCH('Index&amp;Match'!C179,'Main Data'!$A179:$O179,0))</f>
        <v>Alex</v>
      </c>
      <c r="D180" s="2" t="str">
        <f>INDEX('Main Data'!$A$1:$O$1001,MATCH('Index&amp;Match'!$A180,'Main Data'!$A$1:$A$1001,0),MATCH('Index&amp;Match'!D179,'Main Data'!$A179:$O179,0))</f>
        <v>BR-003</v>
      </c>
      <c r="E180" s="2" t="str">
        <f>INDEX('Main Data'!$A$1:$O$1001,MATCH('Index&amp;Match'!$A180,'Main Data'!$A$1:$A$1001,0),MATCH('Index&amp;Match'!E179,'Main Data'!$A179:$O179,0))</f>
        <v>Central</v>
      </c>
      <c r="F180" s="2" t="str">
        <f>INDEX('Main Data'!$A$1:$O$1001,MATCH('Index&amp;Match'!$A180,'Main Data'!$A$1:$A$1001,0),MATCH('Index&amp;Match'!F179,'Main Data'!$A179:$O179,0))</f>
        <v>Mortgage</v>
      </c>
      <c r="G180" s="2" t="str">
        <f>INDEX('Main Data'!$A$1:$O$1001,MATCH('Index&amp;Match'!$A180,'Main Data'!$A$1:$A$1001,0),MATCH('Index&amp;Match'!G179,'Main Data'!$A179:$O179,0))</f>
        <v>Website</v>
      </c>
      <c r="H180" s="2" t="str">
        <f>INDEX('Main Data'!$A$1:$O$1001,MATCH('Index&amp;Match'!$A180,'Main Data'!$A$1:$A$1001,0),MATCH('Index&amp;Match'!H179,'Main Data'!$A179:$O179,0))</f>
        <v>Retail</v>
      </c>
      <c r="I180" s="2">
        <f>INDEX('Main Data'!$A$1:$O$1001,MATCH('Index&amp;Match'!$A180,'Main Data'!$A$1:$A$1001,0),MATCH('Index&amp;Match'!I179,'Main Data'!$A179:$O179,0))</f>
        <v>50</v>
      </c>
      <c r="J180" s="2">
        <f>INDEX('Main Data'!$A$1:$O$1001,MATCH('Index&amp;Match'!$A180,'Main Data'!$A$1:$A$1001,0),MATCH('Index&amp;Match'!J179,'Main Data'!$A179:$O179,0))</f>
        <v>50</v>
      </c>
      <c r="K180" s="11">
        <f>INDEX('Main Data'!$A$1:$O$1001,MATCH('Index&amp;Match'!$A180,'Main Data'!$A$1:$A$1001,0),MATCH('Index&amp;Match'!K179,'Main Data'!$A179:$O179,0))</f>
        <v>16236.28</v>
      </c>
      <c r="L180" s="11">
        <f>INDEX('Main Data'!$A$1:$O$1001,MATCH('Index&amp;Match'!$A180,'Main Data'!$A$1:$A$1001,0),MATCH('Index&amp;Match'!L179,'Main Data'!$A179:$O179,0))</f>
        <v>216.23</v>
      </c>
      <c r="M180" s="11">
        <f>INDEX('Main Data'!$A$1:$O$1001,MATCH('Index&amp;Match'!$A180,'Main Data'!$A$1:$A$1001,0),MATCH('Index&amp;Match'!M179,'Main Data'!$A179:$O179,0))</f>
        <v>161.55000000000001</v>
      </c>
      <c r="N180" s="2" t="str">
        <f>INDEX('Main Data'!$A$1:$O$1001,MATCH('Index&amp;Match'!$A180,'Main Data'!$A$1:$A$1001,0),MATCH('Index&amp;Match'!N179,'Main Data'!$A179:$O179,0))</f>
        <v>Yes</v>
      </c>
      <c r="O180" s="2">
        <f>INDEX('Main Data'!$A$1:$O$1001,MATCH('Index&amp;Match'!$A180,'Main Data'!$A$1:$A$1001,0),MATCH('Index&amp;Match'!O179,'Main Data'!$A179:$O179,0))</f>
        <v>2</v>
      </c>
    </row>
    <row r="181" spans="1:15" x14ac:dyDescent="0.3">
      <c r="A181" s="2" t="s">
        <v>238</v>
      </c>
      <c r="B181" s="1">
        <f>INDEX('Main Data'!$A$1:$O$1001,MATCH('Index&amp;Match'!$A181,'Main Data'!$A$1:$A$1001,0),MATCH('Index&amp;Match'!B180,'Main Data'!$A180:$O180,0))</f>
        <v>46065</v>
      </c>
      <c r="C181" s="2" t="str">
        <f>INDEX('Main Data'!$A$1:$O$1001,MATCH('Index&amp;Match'!$A181,'Main Data'!$A$1:$A$1001,0),MATCH('Index&amp;Match'!C180,'Main Data'!$A180:$O180,0))</f>
        <v>Taylor</v>
      </c>
      <c r="D181" s="2" t="str">
        <f>INDEX('Main Data'!$A$1:$O$1001,MATCH('Index&amp;Match'!$A181,'Main Data'!$A$1:$A$1001,0),MATCH('Index&amp;Match'!D180,'Main Data'!$A180:$O180,0))</f>
        <v>BR-003</v>
      </c>
      <c r="E181" s="2" t="str">
        <f>INDEX('Main Data'!$A$1:$O$1001,MATCH('Index&amp;Match'!$A181,'Main Data'!$A$1:$A$1001,0),MATCH('Index&amp;Match'!E180,'Main Data'!$A180:$O180,0))</f>
        <v>East</v>
      </c>
      <c r="F181" s="2" t="str">
        <f>INDEX('Main Data'!$A$1:$O$1001,MATCH('Index&amp;Match'!$A181,'Main Data'!$A$1:$A$1001,0),MATCH('Index&amp;Match'!F180,'Main Data'!$A180:$O180,0))</f>
        <v>Mortgage</v>
      </c>
      <c r="G181" s="2" t="str">
        <f>INDEX('Main Data'!$A$1:$O$1001,MATCH('Index&amp;Match'!$A181,'Main Data'!$A$1:$A$1001,0),MATCH('Index&amp;Match'!G180,'Main Data'!$A180:$O180,0))</f>
        <v>Referral</v>
      </c>
      <c r="H181" s="2" t="str">
        <f>INDEX('Main Data'!$A$1:$O$1001,MATCH('Index&amp;Match'!$A181,'Main Data'!$A$1:$A$1001,0),MATCH('Index&amp;Match'!H180,'Main Data'!$A180:$O180,0))</f>
        <v>SME</v>
      </c>
      <c r="I181" s="2">
        <f>INDEX('Main Data'!$A$1:$O$1001,MATCH('Index&amp;Match'!$A181,'Main Data'!$A$1:$A$1001,0),MATCH('Index&amp;Match'!I180,'Main Data'!$A180:$O180,0))</f>
        <v>43</v>
      </c>
      <c r="J181" s="2">
        <f>INDEX('Main Data'!$A$1:$O$1001,MATCH('Index&amp;Match'!$A181,'Main Data'!$A$1:$A$1001,0),MATCH('Index&amp;Match'!J180,'Main Data'!$A180:$O180,0))</f>
        <v>43</v>
      </c>
      <c r="K181" s="11">
        <f>INDEX('Main Data'!$A$1:$O$1001,MATCH('Index&amp;Match'!$A181,'Main Data'!$A$1:$A$1001,0),MATCH('Index&amp;Match'!K180,'Main Data'!$A180:$O180,0))</f>
        <v>934.47</v>
      </c>
      <c r="L181" s="11">
        <f>INDEX('Main Data'!$A$1:$O$1001,MATCH('Index&amp;Match'!$A181,'Main Data'!$A$1:$A$1001,0),MATCH('Index&amp;Match'!L180,'Main Data'!$A180:$O180,0))</f>
        <v>121.79</v>
      </c>
      <c r="M181" s="11">
        <f>INDEX('Main Data'!$A$1:$O$1001,MATCH('Index&amp;Match'!$A181,'Main Data'!$A$1:$A$1001,0),MATCH('Index&amp;Match'!M180,'Main Data'!$A180:$O180,0))</f>
        <v>71.28</v>
      </c>
      <c r="N181" s="2" t="str">
        <f>INDEX('Main Data'!$A$1:$O$1001,MATCH('Index&amp;Match'!$A181,'Main Data'!$A$1:$A$1001,0),MATCH('Index&amp;Match'!N180,'Main Data'!$A180:$O180,0))</f>
        <v>No</v>
      </c>
      <c r="O181" s="2">
        <f>INDEX('Main Data'!$A$1:$O$1001,MATCH('Index&amp;Match'!$A181,'Main Data'!$A$1:$A$1001,0),MATCH('Index&amp;Match'!O180,'Main Data'!$A180:$O180,0))</f>
        <v>93</v>
      </c>
    </row>
    <row r="182" spans="1:15" x14ac:dyDescent="0.3">
      <c r="A182" s="2" t="s">
        <v>239</v>
      </c>
      <c r="B182" s="1">
        <f>INDEX('Main Data'!$A$1:$O$1001,MATCH('Index&amp;Match'!$A182,'Main Data'!$A$1:$A$1001,0),MATCH('Index&amp;Match'!B181,'Main Data'!$A181:$O181,0))</f>
        <v>45956</v>
      </c>
      <c r="C182" s="2" t="str">
        <f>INDEX('Main Data'!$A$1:$O$1001,MATCH('Index&amp;Match'!$A182,'Main Data'!$A$1:$A$1001,0),MATCH('Index&amp;Match'!C181,'Main Data'!$A181:$O181,0))</f>
        <v>Casey</v>
      </c>
      <c r="D182" s="2" t="str">
        <f>INDEX('Main Data'!$A$1:$O$1001,MATCH('Index&amp;Match'!$A182,'Main Data'!$A$1:$A$1001,0),MATCH('Index&amp;Match'!D181,'Main Data'!$A181:$O181,0))</f>
        <v>BR-011</v>
      </c>
      <c r="E182" s="2" t="str">
        <f>INDEX('Main Data'!$A$1:$O$1001,MATCH('Index&amp;Match'!$A182,'Main Data'!$A$1:$A$1001,0),MATCH('Index&amp;Match'!E181,'Main Data'!$A181:$O181,0))</f>
        <v>Central</v>
      </c>
      <c r="F182" s="2" t="str">
        <f>INDEX('Main Data'!$A$1:$O$1001,MATCH('Index&amp;Match'!$A182,'Main Data'!$A$1:$A$1001,0),MATCH('Index&amp;Match'!F181,'Main Data'!$A181:$O181,0))</f>
        <v>Credit Card</v>
      </c>
      <c r="G182" s="2" t="str">
        <f>INDEX('Main Data'!$A$1:$O$1001,MATCH('Index&amp;Match'!$A182,'Main Data'!$A$1:$A$1001,0),MATCH('Index&amp;Match'!G181,'Main Data'!$A181:$O181,0))</f>
        <v>Email Campaign</v>
      </c>
      <c r="H182" s="2" t="str">
        <f>INDEX('Main Data'!$A$1:$O$1001,MATCH('Index&amp;Match'!$A182,'Main Data'!$A$1:$A$1001,0),MATCH('Index&amp;Match'!H181,'Main Data'!$A181:$O181,0))</f>
        <v>SME</v>
      </c>
      <c r="I182" s="2">
        <f>INDEX('Main Data'!$A$1:$O$1001,MATCH('Index&amp;Match'!$A182,'Main Data'!$A$1:$A$1001,0),MATCH('Index&amp;Match'!I181,'Main Data'!$A181:$O181,0))</f>
        <v>36</v>
      </c>
      <c r="J182" s="2">
        <f>INDEX('Main Data'!$A$1:$O$1001,MATCH('Index&amp;Match'!$A182,'Main Data'!$A$1:$A$1001,0),MATCH('Index&amp;Match'!J181,'Main Data'!$A181:$O181,0))</f>
        <v>36</v>
      </c>
      <c r="K182" s="11">
        <f>INDEX('Main Data'!$A$1:$O$1001,MATCH('Index&amp;Match'!$A182,'Main Data'!$A$1:$A$1001,0),MATCH('Index&amp;Match'!K181,'Main Data'!$A181:$O181,0))</f>
        <v>19415.580000000002</v>
      </c>
      <c r="L182" s="11">
        <f>INDEX('Main Data'!$A$1:$O$1001,MATCH('Index&amp;Match'!$A182,'Main Data'!$A$1:$A$1001,0),MATCH('Index&amp;Match'!L181,'Main Data'!$A181:$O181,0))</f>
        <v>448.5</v>
      </c>
      <c r="M182" s="11">
        <f>INDEX('Main Data'!$A$1:$O$1001,MATCH('Index&amp;Match'!$A182,'Main Data'!$A$1:$A$1001,0),MATCH('Index&amp;Match'!M181,'Main Data'!$A181:$O181,0))</f>
        <v>20.190000000000001</v>
      </c>
      <c r="N182" s="2" t="str">
        <f>INDEX('Main Data'!$A$1:$O$1001,MATCH('Index&amp;Match'!$A182,'Main Data'!$A$1:$A$1001,0),MATCH('Index&amp;Match'!N181,'Main Data'!$A181:$O181,0))</f>
        <v>No</v>
      </c>
      <c r="O182" s="2">
        <f>INDEX('Main Data'!$A$1:$O$1001,MATCH('Index&amp;Match'!$A182,'Main Data'!$A$1:$A$1001,0),MATCH('Index&amp;Match'!O181,'Main Data'!$A181:$O181,0))</f>
        <v>13</v>
      </c>
    </row>
    <row r="183" spans="1:15" x14ac:dyDescent="0.3">
      <c r="A183" s="2" t="s">
        <v>240</v>
      </c>
      <c r="B183" s="1">
        <f>INDEX('Main Data'!$A$1:$O$1001,MATCH('Index&amp;Match'!$A183,'Main Data'!$A$1:$A$1001,0),MATCH('Index&amp;Match'!B182,'Main Data'!$A182:$O182,0))</f>
        <v>45891</v>
      </c>
      <c r="C183" s="2" t="str">
        <f>INDEX('Main Data'!$A$1:$O$1001,MATCH('Index&amp;Match'!$A183,'Main Data'!$A$1:$A$1001,0),MATCH('Index&amp;Match'!C182,'Main Data'!$A182:$O182,0))</f>
        <v>Jamie</v>
      </c>
      <c r="D183" s="2" t="str">
        <f>INDEX('Main Data'!$A$1:$O$1001,MATCH('Index&amp;Match'!$A183,'Main Data'!$A$1:$A$1001,0),MATCH('Index&amp;Match'!D182,'Main Data'!$A182:$O182,0))</f>
        <v>BR-013</v>
      </c>
      <c r="E183" s="2" t="str">
        <f>INDEX('Main Data'!$A$1:$O$1001,MATCH('Index&amp;Match'!$A183,'Main Data'!$A$1:$A$1001,0),MATCH('Index&amp;Match'!E182,'Main Data'!$A182:$O182,0))</f>
        <v>South</v>
      </c>
      <c r="F183" s="2" t="str">
        <f>INDEX('Main Data'!$A$1:$O$1001,MATCH('Index&amp;Match'!$A183,'Main Data'!$A$1:$A$1001,0),MATCH('Index&amp;Match'!F182,'Main Data'!$A182:$O182,0))</f>
        <v>Auto Loan</v>
      </c>
      <c r="G183" s="2" t="str">
        <f>INDEX('Main Data'!$A$1:$O$1001,MATCH('Index&amp;Match'!$A183,'Main Data'!$A$1:$A$1001,0),MATCH('Index&amp;Match'!G182,'Main Data'!$A182:$O182,0))</f>
        <v>Walk-in</v>
      </c>
      <c r="H183" s="2" t="str">
        <f>INDEX('Main Data'!$A$1:$O$1001,MATCH('Index&amp;Match'!$A183,'Main Data'!$A$1:$A$1001,0),MATCH('Index&amp;Match'!H182,'Main Data'!$A182:$O182,0))</f>
        <v>SME</v>
      </c>
      <c r="I183" s="2">
        <f>INDEX('Main Data'!$A$1:$O$1001,MATCH('Index&amp;Match'!$A183,'Main Data'!$A$1:$A$1001,0),MATCH('Index&amp;Match'!I182,'Main Data'!$A182:$O182,0))</f>
        <v>34</v>
      </c>
      <c r="J183" s="2">
        <f>INDEX('Main Data'!$A$1:$O$1001,MATCH('Index&amp;Match'!$A183,'Main Data'!$A$1:$A$1001,0),MATCH('Index&amp;Match'!J182,'Main Data'!$A182:$O182,0))</f>
        <v>34</v>
      </c>
      <c r="K183" s="11">
        <f>INDEX('Main Data'!$A$1:$O$1001,MATCH('Index&amp;Match'!$A183,'Main Data'!$A$1:$A$1001,0),MATCH('Index&amp;Match'!K182,'Main Data'!$A182:$O182,0))</f>
        <v>15439.56</v>
      </c>
      <c r="L183" s="11">
        <f>INDEX('Main Data'!$A$1:$O$1001,MATCH('Index&amp;Match'!$A183,'Main Data'!$A$1:$A$1001,0),MATCH('Index&amp;Match'!L182,'Main Data'!$A182:$O182,0))</f>
        <v>54.5</v>
      </c>
      <c r="M183" s="11">
        <f>INDEX('Main Data'!$A$1:$O$1001,MATCH('Index&amp;Match'!$A183,'Main Data'!$A$1:$A$1001,0),MATCH('Index&amp;Match'!M182,'Main Data'!$A182:$O182,0))</f>
        <v>192.38</v>
      </c>
      <c r="N183" s="2" t="str">
        <f>INDEX('Main Data'!$A$1:$O$1001,MATCH('Index&amp;Match'!$A183,'Main Data'!$A$1:$A$1001,0),MATCH('Index&amp;Match'!N182,'Main Data'!$A182:$O182,0))</f>
        <v>No</v>
      </c>
      <c r="O183" s="2">
        <f>INDEX('Main Data'!$A$1:$O$1001,MATCH('Index&amp;Match'!$A183,'Main Data'!$A$1:$A$1001,0),MATCH('Index&amp;Match'!O182,'Main Data'!$A182:$O182,0))</f>
        <v>4</v>
      </c>
    </row>
    <row r="184" spans="1:15" x14ac:dyDescent="0.3">
      <c r="A184" s="2" t="s">
        <v>241</v>
      </c>
      <c r="B184" s="1">
        <f>INDEX('Main Data'!$A$1:$O$1001,MATCH('Index&amp;Match'!$A184,'Main Data'!$A$1:$A$1001,0),MATCH('Index&amp;Match'!B183,'Main Data'!$A183:$O183,0))</f>
        <v>46165</v>
      </c>
      <c r="C184" s="2" t="str">
        <f>INDEX('Main Data'!$A$1:$O$1001,MATCH('Index&amp;Match'!$A184,'Main Data'!$A$1:$A$1001,0),MATCH('Index&amp;Match'!C183,'Main Data'!$A183:$O183,0))</f>
        <v>Sam</v>
      </c>
      <c r="D184" s="2" t="str">
        <f>INDEX('Main Data'!$A$1:$O$1001,MATCH('Index&amp;Match'!$A184,'Main Data'!$A$1:$A$1001,0),MATCH('Index&amp;Match'!D183,'Main Data'!$A183:$O183,0))</f>
        <v>BR-002</v>
      </c>
      <c r="E184" s="2" t="str">
        <f>INDEX('Main Data'!$A$1:$O$1001,MATCH('Index&amp;Match'!$A184,'Main Data'!$A$1:$A$1001,0),MATCH('Index&amp;Match'!E183,'Main Data'!$A183:$O183,0))</f>
        <v>North</v>
      </c>
      <c r="F184" s="2" t="str">
        <f>INDEX('Main Data'!$A$1:$O$1001,MATCH('Index&amp;Match'!$A184,'Main Data'!$A$1:$A$1001,0),MATCH('Index&amp;Match'!F183,'Main Data'!$A183:$O183,0))</f>
        <v>Wealth Management</v>
      </c>
      <c r="G184" s="2" t="str">
        <f>INDEX('Main Data'!$A$1:$O$1001,MATCH('Index&amp;Match'!$A184,'Main Data'!$A$1:$A$1001,0),MATCH('Index&amp;Match'!G183,'Main Data'!$A183:$O183,0))</f>
        <v>Walk-in</v>
      </c>
      <c r="H184" s="2" t="str">
        <f>INDEX('Main Data'!$A$1:$O$1001,MATCH('Index&amp;Match'!$A184,'Main Data'!$A$1:$A$1001,0),MATCH('Index&amp;Match'!H183,'Main Data'!$A183:$O183,0))</f>
        <v>High Net Worth</v>
      </c>
      <c r="I184" s="2">
        <f>INDEX('Main Data'!$A$1:$O$1001,MATCH('Index&amp;Match'!$A184,'Main Data'!$A$1:$A$1001,0),MATCH('Index&amp;Match'!I183,'Main Data'!$A183:$O183,0))</f>
        <v>30</v>
      </c>
      <c r="J184" s="2">
        <f>INDEX('Main Data'!$A$1:$O$1001,MATCH('Index&amp;Match'!$A184,'Main Data'!$A$1:$A$1001,0),MATCH('Index&amp;Match'!J183,'Main Data'!$A183:$O183,0))</f>
        <v>30</v>
      </c>
      <c r="K184" s="11">
        <f>INDEX('Main Data'!$A$1:$O$1001,MATCH('Index&amp;Match'!$A184,'Main Data'!$A$1:$A$1001,0),MATCH('Index&amp;Match'!K183,'Main Data'!$A183:$O183,0))</f>
        <v>2351.15</v>
      </c>
      <c r="L184" s="11">
        <f>INDEX('Main Data'!$A$1:$O$1001,MATCH('Index&amp;Match'!$A184,'Main Data'!$A$1:$A$1001,0),MATCH('Index&amp;Match'!L183,'Main Data'!$A183:$O183,0))</f>
        <v>447.08</v>
      </c>
      <c r="M184" s="11">
        <f>INDEX('Main Data'!$A$1:$O$1001,MATCH('Index&amp;Match'!$A184,'Main Data'!$A$1:$A$1001,0),MATCH('Index&amp;Match'!M183,'Main Data'!$A183:$O183,0))</f>
        <v>195.78</v>
      </c>
      <c r="N184" s="2" t="str">
        <f>INDEX('Main Data'!$A$1:$O$1001,MATCH('Index&amp;Match'!$A184,'Main Data'!$A$1:$A$1001,0),MATCH('Index&amp;Match'!N183,'Main Data'!$A183:$O183,0))</f>
        <v>Yes</v>
      </c>
      <c r="O184" s="2">
        <f>INDEX('Main Data'!$A$1:$O$1001,MATCH('Index&amp;Match'!$A184,'Main Data'!$A$1:$A$1001,0),MATCH('Index&amp;Match'!O183,'Main Data'!$A183:$O183,0))</f>
        <v>42</v>
      </c>
    </row>
    <row r="185" spans="1:15" x14ac:dyDescent="0.3">
      <c r="A185" s="2" t="s">
        <v>242</v>
      </c>
      <c r="B185" s="1">
        <f>INDEX('Main Data'!$A$1:$O$1001,MATCH('Index&amp;Match'!$A185,'Main Data'!$A$1:$A$1001,0),MATCH('Index&amp;Match'!B184,'Main Data'!$A184:$O184,0))</f>
        <v>46128</v>
      </c>
      <c r="C185" s="2" t="str">
        <f>INDEX('Main Data'!$A$1:$O$1001,MATCH('Index&amp;Match'!$A185,'Main Data'!$A$1:$A$1001,0),MATCH('Index&amp;Match'!C184,'Main Data'!$A184:$O184,0))</f>
        <v>Taylor</v>
      </c>
      <c r="D185" s="2" t="str">
        <f>INDEX('Main Data'!$A$1:$O$1001,MATCH('Index&amp;Match'!$A185,'Main Data'!$A$1:$A$1001,0),MATCH('Index&amp;Match'!D184,'Main Data'!$A184:$O184,0))</f>
        <v>BR-013</v>
      </c>
      <c r="E185" s="2" t="str">
        <f>INDEX('Main Data'!$A$1:$O$1001,MATCH('Index&amp;Match'!$A185,'Main Data'!$A$1:$A$1001,0),MATCH('Index&amp;Match'!E184,'Main Data'!$A184:$O184,0))</f>
        <v>East</v>
      </c>
      <c r="F185" s="2" t="str">
        <f>INDEX('Main Data'!$A$1:$O$1001,MATCH('Index&amp;Match'!$A185,'Main Data'!$A$1:$A$1001,0),MATCH('Index&amp;Match'!F184,'Main Data'!$A184:$O184,0))</f>
        <v>Credit Card</v>
      </c>
      <c r="G185" s="2" t="str">
        <f>INDEX('Main Data'!$A$1:$O$1001,MATCH('Index&amp;Match'!$A185,'Main Data'!$A$1:$A$1001,0),MATCH('Index&amp;Match'!G184,'Main Data'!$A184:$O184,0))</f>
        <v>Referral</v>
      </c>
      <c r="H185" s="2" t="str">
        <f>INDEX('Main Data'!$A$1:$O$1001,MATCH('Index&amp;Match'!$A185,'Main Data'!$A$1:$A$1001,0),MATCH('Index&amp;Match'!H184,'Main Data'!$A184:$O184,0))</f>
        <v>SME</v>
      </c>
      <c r="I185" s="2">
        <f>INDEX('Main Data'!$A$1:$O$1001,MATCH('Index&amp;Match'!$A185,'Main Data'!$A$1:$A$1001,0),MATCH('Index&amp;Match'!I184,'Main Data'!$A184:$O184,0))</f>
        <v>27</v>
      </c>
      <c r="J185" s="2">
        <f>INDEX('Main Data'!$A$1:$O$1001,MATCH('Index&amp;Match'!$A185,'Main Data'!$A$1:$A$1001,0),MATCH('Index&amp;Match'!J184,'Main Data'!$A184:$O184,0))</f>
        <v>27</v>
      </c>
      <c r="K185" s="11">
        <f>INDEX('Main Data'!$A$1:$O$1001,MATCH('Index&amp;Match'!$A185,'Main Data'!$A$1:$A$1001,0),MATCH('Index&amp;Match'!K184,'Main Data'!$A184:$O184,0))</f>
        <v>25515.58</v>
      </c>
      <c r="L185" s="11">
        <f>INDEX('Main Data'!$A$1:$O$1001,MATCH('Index&amp;Match'!$A185,'Main Data'!$A$1:$A$1001,0),MATCH('Index&amp;Match'!L184,'Main Data'!$A184:$O184,0))</f>
        <v>307.26</v>
      </c>
      <c r="M185" s="11">
        <f>INDEX('Main Data'!$A$1:$O$1001,MATCH('Index&amp;Match'!$A185,'Main Data'!$A$1:$A$1001,0),MATCH('Index&amp;Match'!M184,'Main Data'!$A184:$O184,0))</f>
        <v>91.22</v>
      </c>
      <c r="N185" s="2" t="str">
        <f>INDEX('Main Data'!$A$1:$O$1001,MATCH('Index&amp;Match'!$A185,'Main Data'!$A$1:$A$1001,0),MATCH('Index&amp;Match'!N184,'Main Data'!$A184:$O184,0))</f>
        <v>Yes</v>
      </c>
      <c r="O185" s="2">
        <f>INDEX('Main Data'!$A$1:$O$1001,MATCH('Index&amp;Match'!$A185,'Main Data'!$A$1:$A$1001,0),MATCH('Index&amp;Match'!O184,'Main Data'!$A184:$O184,0))</f>
        <v>109</v>
      </c>
    </row>
    <row r="186" spans="1:15" x14ac:dyDescent="0.3">
      <c r="A186" s="2" t="s">
        <v>243</v>
      </c>
      <c r="B186" s="1">
        <f>INDEX('Main Data'!$A$1:$O$1001,MATCH('Index&amp;Match'!$A186,'Main Data'!$A$1:$A$1001,0),MATCH('Index&amp;Match'!B185,'Main Data'!$A185:$O185,0))</f>
        <v>45950</v>
      </c>
      <c r="C186" s="2" t="str">
        <f>INDEX('Main Data'!$A$1:$O$1001,MATCH('Index&amp;Match'!$A186,'Main Data'!$A$1:$A$1001,0),MATCH('Index&amp;Match'!C185,'Main Data'!$A185:$O185,0))</f>
        <v>Alex</v>
      </c>
      <c r="D186" s="2" t="str">
        <f>INDEX('Main Data'!$A$1:$O$1001,MATCH('Index&amp;Match'!$A186,'Main Data'!$A$1:$A$1001,0),MATCH('Index&amp;Match'!D185,'Main Data'!$A185:$O185,0))</f>
        <v>BR-010</v>
      </c>
      <c r="E186" s="2" t="str">
        <f>INDEX('Main Data'!$A$1:$O$1001,MATCH('Index&amp;Match'!$A186,'Main Data'!$A$1:$A$1001,0),MATCH('Index&amp;Match'!E185,'Main Data'!$A185:$O185,0))</f>
        <v>South</v>
      </c>
      <c r="F186" s="2" t="str">
        <f>INDEX('Main Data'!$A$1:$O$1001,MATCH('Index&amp;Match'!$A186,'Main Data'!$A$1:$A$1001,0),MATCH('Index&amp;Match'!F185,'Main Data'!$A185:$O185,0))</f>
        <v>Credit Card</v>
      </c>
      <c r="G186" s="2" t="str">
        <f>INDEX('Main Data'!$A$1:$O$1001,MATCH('Index&amp;Match'!$A186,'Main Data'!$A$1:$A$1001,0),MATCH('Index&amp;Match'!G185,'Main Data'!$A185:$O185,0))</f>
        <v>Website</v>
      </c>
      <c r="H186" s="2" t="str">
        <f>INDEX('Main Data'!$A$1:$O$1001,MATCH('Index&amp;Match'!$A186,'Main Data'!$A$1:$A$1001,0),MATCH('Index&amp;Match'!H185,'Main Data'!$A185:$O185,0))</f>
        <v>High Net Worth</v>
      </c>
      <c r="I186" s="2">
        <f>INDEX('Main Data'!$A$1:$O$1001,MATCH('Index&amp;Match'!$A186,'Main Data'!$A$1:$A$1001,0),MATCH('Index&amp;Match'!I185,'Main Data'!$A185:$O185,0))</f>
        <v>65</v>
      </c>
      <c r="J186" s="2">
        <f>INDEX('Main Data'!$A$1:$O$1001,MATCH('Index&amp;Match'!$A186,'Main Data'!$A$1:$A$1001,0),MATCH('Index&amp;Match'!J185,'Main Data'!$A185:$O185,0))</f>
        <v>65</v>
      </c>
      <c r="K186" s="11">
        <f>INDEX('Main Data'!$A$1:$O$1001,MATCH('Index&amp;Match'!$A186,'Main Data'!$A$1:$A$1001,0),MATCH('Index&amp;Match'!K185,'Main Data'!$A185:$O185,0))</f>
        <v>20450.05</v>
      </c>
      <c r="L186" s="11">
        <f>INDEX('Main Data'!$A$1:$O$1001,MATCH('Index&amp;Match'!$A186,'Main Data'!$A$1:$A$1001,0),MATCH('Index&amp;Match'!L185,'Main Data'!$A185:$O185,0))</f>
        <v>199.25</v>
      </c>
      <c r="M186" s="11">
        <f>INDEX('Main Data'!$A$1:$O$1001,MATCH('Index&amp;Match'!$A186,'Main Data'!$A$1:$A$1001,0),MATCH('Index&amp;Match'!M185,'Main Data'!$A185:$O185,0))</f>
        <v>119.32</v>
      </c>
      <c r="N186" s="2" t="str">
        <f>INDEX('Main Data'!$A$1:$O$1001,MATCH('Index&amp;Match'!$A186,'Main Data'!$A$1:$A$1001,0),MATCH('Index&amp;Match'!N185,'Main Data'!$A185:$O185,0))</f>
        <v>Yes</v>
      </c>
      <c r="O186" s="2">
        <f>INDEX('Main Data'!$A$1:$O$1001,MATCH('Index&amp;Match'!$A186,'Main Data'!$A$1:$A$1001,0),MATCH('Index&amp;Match'!O185,'Main Data'!$A185:$O185,0))</f>
        <v>74</v>
      </c>
    </row>
    <row r="187" spans="1:15" x14ac:dyDescent="0.3">
      <c r="A187" s="2" t="s">
        <v>244</v>
      </c>
      <c r="B187" s="1">
        <f>INDEX('Main Data'!$A$1:$O$1001,MATCH('Index&amp;Match'!$A187,'Main Data'!$A$1:$A$1001,0),MATCH('Index&amp;Match'!B186,'Main Data'!$A186:$O186,0))</f>
        <v>46234</v>
      </c>
      <c r="C187" s="2" t="str">
        <f>INDEX('Main Data'!$A$1:$O$1001,MATCH('Index&amp;Match'!$A187,'Main Data'!$A$1:$A$1001,0),MATCH('Index&amp;Match'!C186,'Main Data'!$A186:$O186,0))</f>
        <v>Casey</v>
      </c>
      <c r="D187" s="2" t="str">
        <f>INDEX('Main Data'!$A$1:$O$1001,MATCH('Index&amp;Match'!$A187,'Main Data'!$A$1:$A$1001,0),MATCH('Index&amp;Match'!D186,'Main Data'!$A186:$O186,0))</f>
        <v>BR-003</v>
      </c>
      <c r="E187" s="2" t="str">
        <f>INDEX('Main Data'!$A$1:$O$1001,MATCH('Index&amp;Match'!$A187,'Main Data'!$A$1:$A$1001,0),MATCH('Index&amp;Match'!E186,'Main Data'!$A186:$O186,0))</f>
        <v>South</v>
      </c>
      <c r="F187" s="2" t="str">
        <f>INDEX('Main Data'!$A$1:$O$1001,MATCH('Index&amp;Match'!$A187,'Main Data'!$A$1:$A$1001,0),MATCH('Index&amp;Match'!F186,'Main Data'!$A186:$O186,0))</f>
        <v>Auto Loan</v>
      </c>
      <c r="G187" s="2" t="str">
        <f>INDEX('Main Data'!$A$1:$O$1001,MATCH('Index&amp;Match'!$A187,'Main Data'!$A$1:$A$1001,0),MATCH('Index&amp;Match'!G186,'Main Data'!$A186:$O186,0))</f>
        <v>Email Campaign</v>
      </c>
      <c r="H187" s="2" t="str">
        <f>INDEX('Main Data'!$A$1:$O$1001,MATCH('Index&amp;Match'!$A187,'Main Data'!$A$1:$A$1001,0),MATCH('Index&amp;Match'!H186,'Main Data'!$A186:$O186,0))</f>
        <v>Retail</v>
      </c>
      <c r="I187" s="2">
        <f>INDEX('Main Data'!$A$1:$O$1001,MATCH('Index&amp;Match'!$A187,'Main Data'!$A$1:$A$1001,0),MATCH('Index&amp;Match'!I186,'Main Data'!$A186:$O186,0))</f>
        <v>72</v>
      </c>
      <c r="J187" s="2">
        <f>INDEX('Main Data'!$A$1:$O$1001,MATCH('Index&amp;Match'!$A187,'Main Data'!$A$1:$A$1001,0),MATCH('Index&amp;Match'!J186,'Main Data'!$A186:$O186,0))</f>
        <v>72</v>
      </c>
      <c r="K187" s="11">
        <f>INDEX('Main Data'!$A$1:$O$1001,MATCH('Index&amp;Match'!$A187,'Main Data'!$A$1:$A$1001,0),MATCH('Index&amp;Match'!K186,'Main Data'!$A186:$O186,0))</f>
        <v>31910.55</v>
      </c>
      <c r="L187" s="11">
        <f>INDEX('Main Data'!$A$1:$O$1001,MATCH('Index&amp;Match'!$A187,'Main Data'!$A$1:$A$1001,0),MATCH('Index&amp;Match'!L186,'Main Data'!$A186:$O186,0))</f>
        <v>375.38</v>
      </c>
      <c r="M187" s="11">
        <f>INDEX('Main Data'!$A$1:$O$1001,MATCH('Index&amp;Match'!$A187,'Main Data'!$A$1:$A$1001,0),MATCH('Index&amp;Match'!M186,'Main Data'!$A186:$O186,0))</f>
        <v>64.94</v>
      </c>
      <c r="N187" s="2" t="str">
        <f>INDEX('Main Data'!$A$1:$O$1001,MATCH('Index&amp;Match'!$A187,'Main Data'!$A$1:$A$1001,0),MATCH('Index&amp;Match'!N186,'Main Data'!$A186:$O186,0))</f>
        <v>No</v>
      </c>
      <c r="O187" s="2">
        <f>INDEX('Main Data'!$A$1:$O$1001,MATCH('Index&amp;Match'!$A187,'Main Data'!$A$1:$A$1001,0),MATCH('Index&amp;Match'!O186,'Main Data'!$A186:$O186,0))</f>
        <v>61</v>
      </c>
    </row>
    <row r="188" spans="1:15" x14ac:dyDescent="0.3">
      <c r="A188" s="2" t="s">
        <v>245</v>
      </c>
      <c r="B188" s="1">
        <f>INDEX('Main Data'!$A$1:$O$1001,MATCH('Index&amp;Match'!$A188,'Main Data'!$A$1:$A$1001,0),MATCH('Index&amp;Match'!B187,'Main Data'!$A187:$O187,0))</f>
        <v>46219</v>
      </c>
      <c r="C188" s="2" t="str">
        <f>INDEX('Main Data'!$A$1:$O$1001,MATCH('Index&amp;Match'!$A188,'Main Data'!$A$1:$A$1001,0),MATCH('Index&amp;Match'!C187,'Main Data'!$A187:$O187,0))</f>
        <v>Jordan</v>
      </c>
      <c r="D188" s="2" t="str">
        <f>INDEX('Main Data'!$A$1:$O$1001,MATCH('Index&amp;Match'!$A188,'Main Data'!$A$1:$A$1001,0),MATCH('Index&amp;Match'!D187,'Main Data'!$A187:$O187,0))</f>
        <v>BR-003</v>
      </c>
      <c r="E188" s="2" t="str">
        <f>INDEX('Main Data'!$A$1:$O$1001,MATCH('Index&amp;Match'!$A188,'Main Data'!$A$1:$A$1001,0),MATCH('Index&amp;Match'!E187,'Main Data'!$A187:$O187,0))</f>
        <v>East</v>
      </c>
      <c r="F188" s="2" t="str">
        <f>INDEX('Main Data'!$A$1:$O$1001,MATCH('Index&amp;Match'!$A188,'Main Data'!$A$1:$A$1001,0),MATCH('Index&amp;Match'!F187,'Main Data'!$A187:$O187,0))</f>
        <v>Auto Loan</v>
      </c>
      <c r="G188" s="2" t="str">
        <f>INDEX('Main Data'!$A$1:$O$1001,MATCH('Index&amp;Match'!$A188,'Main Data'!$A$1:$A$1001,0),MATCH('Index&amp;Match'!G187,'Main Data'!$A187:$O187,0))</f>
        <v>Website</v>
      </c>
      <c r="H188" s="2" t="str">
        <f>INDEX('Main Data'!$A$1:$O$1001,MATCH('Index&amp;Match'!$A188,'Main Data'!$A$1:$A$1001,0),MATCH('Index&amp;Match'!H187,'Main Data'!$A187:$O187,0))</f>
        <v>Corporate</v>
      </c>
      <c r="I188" s="2">
        <f>INDEX('Main Data'!$A$1:$O$1001,MATCH('Index&amp;Match'!$A188,'Main Data'!$A$1:$A$1001,0),MATCH('Index&amp;Match'!I187,'Main Data'!$A187:$O187,0))</f>
        <v>57</v>
      </c>
      <c r="J188" s="2">
        <f>INDEX('Main Data'!$A$1:$O$1001,MATCH('Index&amp;Match'!$A188,'Main Data'!$A$1:$A$1001,0),MATCH('Index&amp;Match'!J187,'Main Data'!$A187:$O187,0))</f>
        <v>57</v>
      </c>
      <c r="K188" s="11">
        <f>INDEX('Main Data'!$A$1:$O$1001,MATCH('Index&amp;Match'!$A188,'Main Data'!$A$1:$A$1001,0),MATCH('Index&amp;Match'!K187,'Main Data'!$A187:$O187,0))</f>
        <v>31248.720000000001</v>
      </c>
      <c r="L188" s="11">
        <f>INDEX('Main Data'!$A$1:$O$1001,MATCH('Index&amp;Match'!$A188,'Main Data'!$A$1:$A$1001,0),MATCH('Index&amp;Match'!L187,'Main Data'!$A187:$O187,0))</f>
        <v>278.49</v>
      </c>
      <c r="M188" s="11">
        <f>INDEX('Main Data'!$A$1:$O$1001,MATCH('Index&amp;Match'!$A188,'Main Data'!$A$1:$A$1001,0),MATCH('Index&amp;Match'!M187,'Main Data'!$A187:$O187,0))</f>
        <v>196.29</v>
      </c>
      <c r="N188" s="2" t="str">
        <f>INDEX('Main Data'!$A$1:$O$1001,MATCH('Index&amp;Match'!$A188,'Main Data'!$A$1:$A$1001,0),MATCH('Index&amp;Match'!N187,'Main Data'!$A187:$O187,0))</f>
        <v>Yes</v>
      </c>
      <c r="O188" s="2">
        <f>INDEX('Main Data'!$A$1:$O$1001,MATCH('Index&amp;Match'!$A188,'Main Data'!$A$1:$A$1001,0),MATCH('Index&amp;Match'!O187,'Main Data'!$A187:$O187,0))</f>
        <v>95</v>
      </c>
    </row>
    <row r="189" spans="1:15" x14ac:dyDescent="0.3">
      <c r="A189" s="2" t="s">
        <v>246</v>
      </c>
      <c r="B189" s="1">
        <f>INDEX('Main Data'!$A$1:$O$1001,MATCH('Index&amp;Match'!$A189,'Main Data'!$A$1:$A$1001,0),MATCH('Index&amp;Match'!B188,'Main Data'!$A188:$O188,0))</f>
        <v>46153</v>
      </c>
      <c r="C189" s="2" t="str">
        <f>INDEX('Main Data'!$A$1:$O$1001,MATCH('Index&amp;Match'!$A189,'Main Data'!$A$1:$A$1001,0),MATCH('Index&amp;Match'!C188,'Main Data'!$A188:$O188,0))</f>
        <v>Jamie</v>
      </c>
      <c r="D189" s="2" t="str">
        <f>INDEX('Main Data'!$A$1:$O$1001,MATCH('Index&amp;Match'!$A189,'Main Data'!$A$1:$A$1001,0),MATCH('Index&amp;Match'!D188,'Main Data'!$A188:$O188,0))</f>
        <v>BR-005</v>
      </c>
      <c r="E189" s="2" t="str">
        <f>INDEX('Main Data'!$A$1:$O$1001,MATCH('Index&amp;Match'!$A189,'Main Data'!$A$1:$A$1001,0),MATCH('Index&amp;Match'!E188,'Main Data'!$A188:$O188,0))</f>
        <v>Central</v>
      </c>
      <c r="F189" s="2" t="str">
        <f>INDEX('Main Data'!$A$1:$O$1001,MATCH('Index&amp;Match'!$A189,'Main Data'!$A$1:$A$1001,0),MATCH('Index&amp;Match'!F188,'Main Data'!$A188:$O188,0))</f>
        <v>Mortgage</v>
      </c>
      <c r="G189" s="2" t="str">
        <f>INDEX('Main Data'!$A$1:$O$1001,MATCH('Index&amp;Match'!$A189,'Main Data'!$A$1:$A$1001,0),MATCH('Index&amp;Match'!G188,'Main Data'!$A188:$O188,0))</f>
        <v>Walk-in</v>
      </c>
      <c r="H189" s="2" t="str">
        <f>INDEX('Main Data'!$A$1:$O$1001,MATCH('Index&amp;Match'!$A189,'Main Data'!$A$1:$A$1001,0),MATCH('Index&amp;Match'!H188,'Main Data'!$A188:$O188,0))</f>
        <v>Corporate</v>
      </c>
      <c r="I189" s="2">
        <f>INDEX('Main Data'!$A$1:$O$1001,MATCH('Index&amp;Match'!$A189,'Main Data'!$A$1:$A$1001,0),MATCH('Index&amp;Match'!I188,'Main Data'!$A188:$O188,0))</f>
        <v>49</v>
      </c>
      <c r="J189" s="2">
        <f>INDEX('Main Data'!$A$1:$O$1001,MATCH('Index&amp;Match'!$A189,'Main Data'!$A$1:$A$1001,0),MATCH('Index&amp;Match'!J188,'Main Data'!$A188:$O188,0))</f>
        <v>49</v>
      </c>
      <c r="K189" s="11">
        <f>INDEX('Main Data'!$A$1:$O$1001,MATCH('Index&amp;Match'!$A189,'Main Data'!$A$1:$A$1001,0),MATCH('Index&amp;Match'!K188,'Main Data'!$A188:$O188,0))</f>
        <v>6476.96</v>
      </c>
      <c r="L189" s="11">
        <f>INDEX('Main Data'!$A$1:$O$1001,MATCH('Index&amp;Match'!$A189,'Main Data'!$A$1:$A$1001,0),MATCH('Index&amp;Match'!L188,'Main Data'!$A188:$O188,0))</f>
        <v>274.60000000000002</v>
      </c>
      <c r="M189" s="11">
        <f>INDEX('Main Data'!$A$1:$O$1001,MATCH('Index&amp;Match'!$A189,'Main Data'!$A$1:$A$1001,0),MATCH('Index&amp;Match'!M188,'Main Data'!$A188:$O188,0))</f>
        <v>26.95</v>
      </c>
      <c r="N189" s="2" t="str">
        <f>INDEX('Main Data'!$A$1:$O$1001,MATCH('Index&amp;Match'!$A189,'Main Data'!$A$1:$A$1001,0),MATCH('Index&amp;Match'!N188,'Main Data'!$A188:$O188,0))</f>
        <v>Yes</v>
      </c>
      <c r="O189" s="2">
        <f>INDEX('Main Data'!$A$1:$O$1001,MATCH('Index&amp;Match'!$A189,'Main Data'!$A$1:$A$1001,0),MATCH('Index&amp;Match'!O188,'Main Data'!$A188:$O188,0))</f>
        <v>105</v>
      </c>
    </row>
    <row r="190" spans="1:15" x14ac:dyDescent="0.3">
      <c r="A190" s="2" t="s">
        <v>247</v>
      </c>
      <c r="B190" s="1">
        <f>INDEX('Main Data'!$A$1:$O$1001,MATCH('Index&amp;Match'!$A190,'Main Data'!$A$1:$A$1001,0),MATCH('Index&amp;Match'!B189,'Main Data'!$A189:$O189,0))</f>
        <v>46197</v>
      </c>
      <c r="C190" s="2" t="str">
        <f>INDEX('Main Data'!$A$1:$O$1001,MATCH('Index&amp;Match'!$A190,'Main Data'!$A$1:$A$1001,0),MATCH('Index&amp;Match'!C189,'Main Data'!$A189:$O189,0))</f>
        <v>Jamie</v>
      </c>
      <c r="D190" s="2" t="str">
        <f>INDEX('Main Data'!$A$1:$O$1001,MATCH('Index&amp;Match'!$A190,'Main Data'!$A$1:$A$1001,0),MATCH('Index&amp;Match'!D189,'Main Data'!$A189:$O189,0))</f>
        <v>BR-005</v>
      </c>
      <c r="E190" s="2" t="str">
        <f>INDEX('Main Data'!$A$1:$O$1001,MATCH('Index&amp;Match'!$A190,'Main Data'!$A$1:$A$1001,0),MATCH('Index&amp;Match'!E189,'Main Data'!$A189:$O189,0))</f>
        <v>South</v>
      </c>
      <c r="F190" s="2" t="str">
        <f>INDEX('Main Data'!$A$1:$O$1001,MATCH('Index&amp;Match'!$A190,'Main Data'!$A$1:$A$1001,0),MATCH('Index&amp;Match'!F189,'Main Data'!$A189:$O189,0))</f>
        <v>Auto Loan</v>
      </c>
      <c r="G190" s="2" t="str">
        <f>INDEX('Main Data'!$A$1:$O$1001,MATCH('Index&amp;Match'!$A190,'Main Data'!$A$1:$A$1001,0),MATCH('Index&amp;Match'!G189,'Main Data'!$A189:$O189,0))</f>
        <v>Website</v>
      </c>
      <c r="H190" s="2" t="str">
        <f>INDEX('Main Data'!$A$1:$O$1001,MATCH('Index&amp;Match'!$A190,'Main Data'!$A$1:$A$1001,0),MATCH('Index&amp;Match'!H189,'Main Data'!$A189:$O189,0))</f>
        <v>Corporate</v>
      </c>
      <c r="I190" s="2">
        <f>INDEX('Main Data'!$A$1:$O$1001,MATCH('Index&amp;Match'!$A190,'Main Data'!$A$1:$A$1001,0),MATCH('Index&amp;Match'!I189,'Main Data'!$A189:$O189,0))</f>
        <v>23</v>
      </c>
      <c r="J190" s="2">
        <f>INDEX('Main Data'!$A$1:$O$1001,MATCH('Index&amp;Match'!$A190,'Main Data'!$A$1:$A$1001,0),MATCH('Index&amp;Match'!J189,'Main Data'!$A189:$O189,0))</f>
        <v>23</v>
      </c>
      <c r="K190" s="11">
        <f>INDEX('Main Data'!$A$1:$O$1001,MATCH('Index&amp;Match'!$A190,'Main Data'!$A$1:$A$1001,0),MATCH('Index&amp;Match'!K189,'Main Data'!$A189:$O189,0))</f>
        <v>48859.79</v>
      </c>
      <c r="L190" s="11">
        <f>INDEX('Main Data'!$A$1:$O$1001,MATCH('Index&amp;Match'!$A190,'Main Data'!$A$1:$A$1001,0),MATCH('Index&amp;Match'!L189,'Main Data'!$A189:$O189,0))</f>
        <v>99.56</v>
      </c>
      <c r="M190" s="11">
        <f>INDEX('Main Data'!$A$1:$O$1001,MATCH('Index&amp;Match'!$A190,'Main Data'!$A$1:$A$1001,0),MATCH('Index&amp;Match'!M189,'Main Data'!$A189:$O189,0))</f>
        <v>62.96</v>
      </c>
      <c r="N190" s="2" t="str">
        <f>INDEX('Main Data'!$A$1:$O$1001,MATCH('Index&amp;Match'!$A190,'Main Data'!$A$1:$A$1001,0),MATCH('Index&amp;Match'!N189,'Main Data'!$A189:$O189,0))</f>
        <v>Yes</v>
      </c>
      <c r="O190" s="2">
        <f>INDEX('Main Data'!$A$1:$O$1001,MATCH('Index&amp;Match'!$A190,'Main Data'!$A$1:$A$1001,0),MATCH('Index&amp;Match'!O189,'Main Data'!$A189:$O189,0))</f>
        <v>8</v>
      </c>
    </row>
    <row r="191" spans="1:15" x14ac:dyDescent="0.3">
      <c r="A191" s="2" t="s">
        <v>248</v>
      </c>
      <c r="B191" s="1">
        <f>INDEX('Main Data'!$A$1:$O$1001,MATCH('Index&amp;Match'!$A191,'Main Data'!$A$1:$A$1001,0),MATCH('Index&amp;Match'!B190,'Main Data'!$A190:$O190,0))</f>
        <v>45954</v>
      </c>
      <c r="C191" s="2" t="str">
        <f>INDEX('Main Data'!$A$1:$O$1001,MATCH('Index&amp;Match'!$A191,'Main Data'!$A$1:$A$1001,0),MATCH('Index&amp;Match'!C190,'Main Data'!$A190:$O190,0))</f>
        <v>Sam</v>
      </c>
      <c r="D191" s="2" t="str">
        <f>INDEX('Main Data'!$A$1:$O$1001,MATCH('Index&amp;Match'!$A191,'Main Data'!$A$1:$A$1001,0),MATCH('Index&amp;Match'!D190,'Main Data'!$A190:$O190,0))</f>
        <v>BR-002</v>
      </c>
      <c r="E191" s="2" t="str">
        <f>INDEX('Main Data'!$A$1:$O$1001,MATCH('Index&amp;Match'!$A191,'Main Data'!$A$1:$A$1001,0),MATCH('Index&amp;Match'!E190,'Main Data'!$A190:$O190,0))</f>
        <v>West</v>
      </c>
      <c r="F191" s="2" t="str">
        <f>INDEX('Main Data'!$A$1:$O$1001,MATCH('Index&amp;Match'!$A191,'Main Data'!$A$1:$A$1001,0),MATCH('Index&amp;Match'!F190,'Main Data'!$A190:$O190,0))</f>
        <v>Mortgage</v>
      </c>
      <c r="G191" s="2" t="str">
        <f>INDEX('Main Data'!$A$1:$O$1001,MATCH('Index&amp;Match'!$A191,'Main Data'!$A$1:$A$1001,0),MATCH('Index&amp;Match'!G190,'Main Data'!$A190:$O190,0))</f>
        <v>Walk-in</v>
      </c>
      <c r="H191" s="2" t="str">
        <f>INDEX('Main Data'!$A$1:$O$1001,MATCH('Index&amp;Match'!$A191,'Main Data'!$A$1:$A$1001,0),MATCH('Index&amp;Match'!H190,'Main Data'!$A190:$O190,0))</f>
        <v>Corporate</v>
      </c>
      <c r="I191" s="2">
        <f>INDEX('Main Data'!$A$1:$O$1001,MATCH('Index&amp;Match'!$A191,'Main Data'!$A$1:$A$1001,0),MATCH('Index&amp;Match'!I190,'Main Data'!$A190:$O190,0))</f>
        <v>35</v>
      </c>
      <c r="J191" s="2">
        <f>INDEX('Main Data'!$A$1:$O$1001,MATCH('Index&amp;Match'!$A191,'Main Data'!$A$1:$A$1001,0),MATCH('Index&amp;Match'!J190,'Main Data'!$A190:$O190,0))</f>
        <v>35</v>
      </c>
      <c r="K191" s="11">
        <f>INDEX('Main Data'!$A$1:$O$1001,MATCH('Index&amp;Match'!$A191,'Main Data'!$A$1:$A$1001,0),MATCH('Index&amp;Match'!K190,'Main Data'!$A190:$O190,0))</f>
        <v>9753.11</v>
      </c>
      <c r="L191" s="11">
        <f>INDEX('Main Data'!$A$1:$O$1001,MATCH('Index&amp;Match'!$A191,'Main Data'!$A$1:$A$1001,0),MATCH('Index&amp;Match'!L190,'Main Data'!$A190:$O190,0))</f>
        <v>225.28</v>
      </c>
      <c r="M191" s="11">
        <f>INDEX('Main Data'!$A$1:$O$1001,MATCH('Index&amp;Match'!$A191,'Main Data'!$A$1:$A$1001,0),MATCH('Index&amp;Match'!M190,'Main Data'!$A190:$O190,0))</f>
        <v>97.1</v>
      </c>
      <c r="N191" s="2" t="str">
        <f>INDEX('Main Data'!$A$1:$O$1001,MATCH('Index&amp;Match'!$A191,'Main Data'!$A$1:$A$1001,0),MATCH('Index&amp;Match'!N190,'Main Data'!$A190:$O190,0))</f>
        <v>Yes</v>
      </c>
      <c r="O191" s="2">
        <f>INDEX('Main Data'!$A$1:$O$1001,MATCH('Index&amp;Match'!$A191,'Main Data'!$A$1:$A$1001,0),MATCH('Index&amp;Match'!O190,'Main Data'!$A190:$O190,0))</f>
        <v>67</v>
      </c>
    </row>
    <row r="192" spans="1:15" x14ac:dyDescent="0.3">
      <c r="A192" s="2" t="s">
        <v>249</v>
      </c>
      <c r="B192" s="1">
        <f>INDEX('Main Data'!$A$1:$O$1001,MATCH('Index&amp;Match'!$A192,'Main Data'!$A$1:$A$1001,0),MATCH('Index&amp;Match'!B191,'Main Data'!$A191:$O191,0))</f>
        <v>45876</v>
      </c>
      <c r="C192" s="2" t="str">
        <f>INDEX('Main Data'!$A$1:$O$1001,MATCH('Index&amp;Match'!$A192,'Main Data'!$A$1:$A$1001,0),MATCH('Index&amp;Match'!C191,'Main Data'!$A191:$O191,0))</f>
        <v>Jamie</v>
      </c>
      <c r="D192" s="2" t="str">
        <f>INDEX('Main Data'!$A$1:$O$1001,MATCH('Index&amp;Match'!$A192,'Main Data'!$A$1:$A$1001,0),MATCH('Index&amp;Match'!D191,'Main Data'!$A191:$O191,0))</f>
        <v>BR-012</v>
      </c>
      <c r="E192" s="2" t="str">
        <f>INDEX('Main Data'!$A$1:$O$1001,MATCH('Index&amp;Match'!$A192,'Main Data'!$A$1:$A$1001,0),MATCH('Index&amp;Match'!E191,'Main Data'!$A191:$O191,0))</f>
        <v>South</v>
      </c>
      <c r="F192" s="2" t="str">
        <f>INDEX('Main Data'!$A$1:$O$1001,MATCH('Index&amp;Match'!$A192,'Main Data'!$A$1:$A$1001,0),MATCH('Index&amp;Match'!F191,'Main Data'!$A191:$O191,0))</f>
        <v>Credit Card</v>
      </c>
      <c r="G192" s="2" t="str">
        <f>INDEX('Main Data'!$A$1:$O$1001,MATCH('Index&amp;Match'!$A192,'Main Data'!$A$1:$A$1001,0),MATCH('Index&amp;Match'!G191,'Main Data'!$A191:$O191,0))</f>
        <v>Website</v>
      </c>
      <c r="H192" s="2" t="str">
        <f>INDEX('Main Data'!$A$1:$O$1001,MATCH('Index&amp;Match'!$A192,'Main Data'!$A$1:$A$1001,0),MATCH('Index&amp;Match'!H191,'Main Data'!$A191:$O191,0))</f>
        <v>High Net Worth</v>
      </c>
      <c r="I192" s="2">
        <f>INDEX('Main Data'!$A$1:$O$1001,MATCH('Index&amp;Match'!$A192,'Main Data'!$A$1:$A$1001,0),MATCH('Index&amp;Match'!I191,'Main Data'!$A191:$O191,0))</f>
        <v>56</v>
      </c>
      <c r="J192" s="2">
        <f>INDEX('Main Data'!$A$1:$O$1001,MATCH('Index&amp;Match'!$A192,'Main Data'!$A$1:$A$1001,0),MATCH('Index&amp;Match'!J191,'Main Data'!$A191:$O191,0))</f>
        <v>56</v>
      </c>
      <c r="K192" s="11">
        <f>INDEX('Main Data'!$A$1:$O$1001,MATCH('Index&amp;Match'!$A192,'Main Data'!$A$1:$A$1001,0),MATCH('Index&amp;Match'!K191,'Main Data'!$A191:$O191,0))</f>
        <v>22541.06</v>
      </c>
      <c r="L192" s="11">
        <f>INDEX('Main Data'!$A$1:$O$1001,MATCH('Index&amp;Match'!$A192,'Main Data'!$A$1:$A$1001,0),MATCH('Index&amp;Match'!L191,'Main Data'!$A191:$O191,0))</f>
        <v>158.47999999999999</v>
      </c>
      <c r="M192" s="11">
        <f>INDEX('Main Data'!$A$1:$O$1001,MATCH('Index&amp;Match'!$A192,'Main Data'!$A$1:$A$1001,0),MATCH('Index&amp;Match'!M191,'Main Data'!$A191:$O191,0))</f>
        <v>143.4</v>
      </c>
      <c r="N192" s="2" t="str">
        <f>INDEX('Main Data'!$A$1:$O$1001,MATCH('Index&amp;Match'!$A192,'Main Data'!$A$1:$A$1001,0),MATCH('Index&amp;Match'!N191,'Main Data'!$A191:$O191,0))</f>
        <v>No</v>
      </c>
      <c r="O192" s="2">
        <f>INDEX('Main Data'!$A$1:$O$1001,MATCH('Index&amp;Match'!$A192,'Main Data'!$A$1:$A$1001,0),MATCH('Index&amp;Match'!O191,'Main Data'!$A191:$O191,0))</f>
        <v>112</v>
      </c>
    </row>
    <row r="193" spans="1:15" x14ac:dyDescent="0.3">
      <c r="A193" s="2" t="s">
        <v>250</v>
      </c>
      <c r="B193" s="1">
        <f>INDEX('Main Data'!$A$1:$O$1001,MATCH('Index&amp;Match'!$A193,'Main Data'!$A$1:$A$1001,0),MATCH('Index&amp;Match'!B192,'Main Data'!$A192:$O192,0))</f>
        <v>45975</v>
      </c>
      <c r="C193" s="2" t="str">
        <f>INDEX('Main Data'!$A$1:$O$1001,MATCH('Index&amp;Match'!$A193,'Main Data'!$A$1:$A$1001,0),MATCH('Index&amp;Match'!C192,'Main Data'!$A192:$O192,0))</f>
        <v>Taylor</v>
      </c>
      <c r="D193" s="2" t="str">
        <f>INDEX('Main Data'!$A$1:$O$1001,MATCH('Index&amp;Match'!$A193,'Main Data'!$A$1:$A$1001,0),MATCH('Index&amp;Match'!D192,'Main Data'!$A192:$O192,0))</f>
        <v>BR-010</v>
      </c>
      <c r="E193" s="2" t="str">
        <f>INDEX('Main Data'!$A$1:$O$1001,MATCH('Index&amp;Match'!$A193,'Main Data'!$A$1:$A$1001,0),MATCH('Index&amp;Match'!E192,'Main Data'!$A192:$O192,0))</f>
        <v>Central</v>
      </c>
      <c r="F193" s="2" t="str">
        <f>INDEX('Main Data'!$A$1:$O$1001,MATCH('Index&amp;Match'!$A193,'Main Data'!$A$1:$A$1001,0),MATCH('Index&amp;Match'!F192,'Main Data'!$A192:$O192,0))</f>
        <v>Personal Loan</v>
      </c>
      <c r="G193" s="2" t="str">
        <f>INDEX('Main Data'!$A$1:$O$1001,MATCH('Index&amp;Match'!$A193,'Main Data'!$A$1:$A$1001,0),MATCH('Index&amp;Match'!G192,'Main Data'!$A192:$O192,0))</f>
        <v>Referral</v>
      </c>
      <c r="H193" s="2" t="str">
        <f>INDEX('Main Data'!$A$1:$O$1001,MATCH('Index&amp;Match'!$A193,'Main Data'!$A$1:$A$1001,0),MATCH('Index&amp;Match'!H192,'Main Data'!$A192:$O192,0))</f>
        <v>High Net Worth</v>
      </c>
      <c r="I193" s="2">
        <f>INDEX('Main Data'!$A$1:$O$1001,MATCH('Index&amp;Match'!$A193,'Main Data'!$A$1:$A$1001,0),MATCH('Index&amp;Match'!I192,'Main Data'!$A192:$O192,0))</f>
        <v>67</v>
      </c>
      <c r="J193" s="2">
        <f>INDEX('Main Data'!$A$1:$O$1001,MATCH('Index&amp;Match'!$A193,'Main Data'!$A$1:$A$1001,0),MATCH('Index&amp;Match'!J192,'Main Data'!$A192:$O192,0))</f>
        <v>67</v>
      </c>
      <c r="K193" s="11">
        <f>INDEX('Main Data'!$A$1:$O$1001,MATCH('Index&amp;Match'!$A193,'Main Data'!$A$1:$A$1001,0),MATCH('Index&amp;Match'!K192,'Main Data'!$A192:$O192,0))</f>
        <v>24661.82</v>
      </c>
      <c r="L193" s="11">
        <f>INDEX('Main Data'!$A$1:$O$1001,MATCH('Index&amp;Match'!$A193,'Main Data'!$A$1:$A$1001,0),MATCH('Index&amp;Match'!L192,'Main Data'!$A192:$O192,0))</f>
        <v>57.06</v>
      </c>
      <c r="M193" s="11">
        <f>INDEX('Main Data'!$A$1:$O$1001,MATCH('Index&amp;Match'!$A193,'Main Data'!$A$1:$A$1001,0),MATCH('Index&amp;Match'!M192,'Main Data'!$A192:$O192,0))</f>
        <v>141.4</v>
      </c>
      <c r="N193" s="2" t="str">
        <f>INDEX('Main Data'!$A$1:$O$1001,MATCH('Index&amp;Match'!$A193,'Main Data'!$A$1:$A$1001,0),MATCH('Index&amp;Match'!N192,'Main Data'!$A192:$O192,0))</f>
        <v>Yes</v>
      </c>
      <c r="O193" s="2">
        <f>INDEX('Main Data'!$A$1:$O$1001,MATCH('Index&amp;Match'!$A193,'Main Data'!$A$1:$A$1001,0),MATCH('Index&amp;Match'!O192,'Main Data'!$A192:$O192,0))</f>
        <v>63</v>
      </c>
    </row>
    <row r="194" spans="1:15" x14ac:dyDescent="0.3">
      <c r="A194" s="2" t="s">
        <v>251</v>
      </c>
      <c r="B194" s="1">
        <f>INDEX('Main Data'!$A$1:$O$1001,MATCH('Index&amp;Match'!$A194,'Main Data'!$A$1:$A$1001,0),MATCH('Index&amp;Match'!B193,'Main Data'!$A193:$O193,0))</f>
        <v>46199</v>
      </c>
      <c r="C194" s="2" t="str">
        <f>INDEX('Main Data'!$A$1:$O$1001,MATCH('Index&amp;Match'!$A194,'Main Data'!$A$1:$A$1001,0),MATCH('Index&amp;Match'!C193,'Main Data'!$A193:$O193,0))</f>
        <v>Alex</v>
      </c>
      <c r="D194" s="2" t="str">
        <f>INDEX('Main Data'!$A$1:$O$1001,MATCH('Index&amp;Match'!$A194,'Main Data'!$A$1:$A$1001,0),MATCH('Index&amp;Match'!D193,'Main Data'!$A193:$O193,0))</f>
        <v>BR-013</v>
      </c>
      <c r="E194" s="2" t="str">
        <f>INDEX('Main Data'!$A$1:$O$1001,MATCH('Index&amp;Match'!$A194,'Main Data'!$A$1:$A$1001,0),MATCH('Index&amp;Match'!E193,'Main Data'!$A193:$O193,0))</f>
        <v>Central</v>
      </c>
      <c r="F194" s="2" t="str">
        <f>INDEX('Main Data'!$A$1:$O$1001,MATCH('Index&amp;Match'!$A194,'Main Data'!$A$1:$A$1001,0),MATCH('Index&amp;Match'!F193,'Main Data'!$A193:$O193,0))</f>
        <v>Wealth Management</v>
      </c>
      <c r="G194" s="2" t="str">
        <f>INDEX('Main Data'!$A$1:$O$1001,MATCH('Index&amp;Match'!$A194,'Main Data'!$A$1:$A$1001,0),MATCH('Index&amp;Match'!G193,'Main Data'!$A193:$O193,0))</f>
        <v>Social Media</v>
      </c>
      <c r="H194" s="2" t="str">
        <f>INDEX('Main Data'!$A$1:$O$1001,MATCH('Index&amp;Match'!$A194,'Main Data'!$A$1:$A$1001,0),MATCH('Index&amp;Match'!H193,'Main Data'!$A193:$O193,0))</f>
        <v>SME</v>
      </c>
      <c r="I194" s="2">
        <f>INDEX('Main Data'!$A$1:$O$1001,MATCH('Index&amp;Match'!$A194,'Main Data'!$A$1:$A$1001,0),MATCH('Index&amp;Match'!I193,'Main Data'!$A193:$O193,0))</f>
        <v>66</v>
      </c>
      <c r="J194" s="2">
        <f>INDEX('Main Data'!$A$1:$O$1001,MATCH('Index&amp;Match'!$A194,'Main Data'!$A$1:$A$1001,0),MATCH('Index&amp;Match'!J193,'Main Data'!$A193:$O193,0))</f>
        <v>66</v>
      </c>
      <c r="K194" s="11">
        <f>INDEX('Main Data'!$A$1:$O$1001,MATCH('Index&amp;Match'!$A194,'Main Data'!$A$1:$A$1001,0),MATCH('Index&amp;Match'!K193,'Main Data'!$A193:$O193,0))</f>
        <v>40746.61</v>
      </c>
      <c r="L194" s="11">
        <f>INDEX('Main Data'!$A$1:$O$1001,MATCH('Index&amp;Match'!$A194,'Main Data'!$A$1:$A$1001,0),MATCH('Index&amp;Match'!L193,'Main Data'!$A193:$O193,0))</f>
        <v>212.04</v>
      </c>
      <c r="M194" s="11">
        <f>INDEX('Main Data'!$A$1:$O$1001,MATCH('Index&amp;Match'!$A194,'Main Data'!$A$1:$A$1001,0),MATCH('Index&amp;Match'!M193,'Main Data'!$A193:$O193,0))</f>
        <v>35.159999999999997</v>
      </c>
      <c r="N194" s="2" t="str">
        <f>INDEX('Main Data'!$A$1:$O$1001,MATCH('Index&amp;Match'!$A194,'Main Data'!$A$1:$A$1001,0),MATCH('Index&amp;Match'!N193,'Main Data'!$A193:$O193,0))</f>
        <v>Yes</v>
      </c>
      <c r="O194" s="2">
        <f>INDEX('Main Data'!$A$1:$O$1001,MATCH('Index&amp;Match'!$A194,'Main Data'!$A$1:$A$1001,0),MATCH('Index&amp;Match'!O193,'Main Data'!$A193:$O193,0))</f>
        <v>110</v>
      </c>
    </row>
    <row r="195" spans="1:15" x14ac:dyDescent="0.3">
      <c r="A195" s="2" t="s">
        <v>252</v>
      </c>
      <c r="B195" s="1">
        <f>INDEX('Main Data'!$A$1:$O$1001,MATCH('Index&amp;Match'!$A195,'Main Data'!$A$1:$A$1001,0),MATCH('Index&amp;Match'!B194,'Main Data'!$A194:$O194,0))</f>
        <v>45953</v>
      </c>
      <c r="C195" s="2" t="str">
        <f>INDEX('Main Data'!$A$1:$O$1001,MATCH('Index&amp;Match'!$A195,'Main Data'!$A$1:$A$1001,0),MATCH('Index&amp;Match'!C194,'Main Data'!$A194:$O194,0))</f>
        <v>Jamie</v>
      </c>
      <c r="D195" s="2" t="str">
        <f>INDEX('Main Data'!$A$1:$O$1001,MATCH('Index&amp;Match'!$A195,'Main Data'!$A$1:$A$1001,0),MATCH('Index&amp;Match'!D194,'Main Data'!$A194:$O194,0))</f>
        <v>BR-006</v>
      </c>
      <c r="E195" s="2" t="str">
        <f>INDEX('Main Data'!$A$1:$O$1001,MATCH('Index&amp;Match'!$A195,'Main Data'!$A$1:$A$1001,0),MATCH('Index&amp;Match'!E194,'Main Data'!$A194:$O194,0))</f>
        <v>West</v>
      </c>
      <c r="F195" s="2" t="str">
        <f>INDEX('Main Data'!$A$1:$O$1001,MATCH('Index&amp;Match'!$A195,'Main Data'!$A$1:$A$1001,0),MATCH('Index&amp;Match'!F194,'Main Data'!$A194:$O194,0))</f>
        <v>Credit Card</v>
      </c>
      <c r="G195" s="2" t="str">
        <f>INDEX('Main Data'!$A$1:$O$1001,MATCH('Index&amp;Match'!$A195,'Main Data'!$A$1:$A$1001,0),MATCH('Index&amp;Match'!G194,'Main Data'!$A194:$O194,0))</f>
        <v>Referral</v>
      </c>
      <c r="H195" s="2" t="str">
        <f>INDEX('Main Data'!$A$1:$O$1001,MATCH('Index&amp;Match'!$A195,'Main Data'!$A$1:$A$1001,0),MATCH('Index&amp;Match'!H194,'Main Data'!$A194:$O194,0))</f>
        <v>High Net Worth</v>
      </c>
      <c r="I195" s="2">
        <f>INDEX('Main Data'!$A$1:$O$1001,MATCH('Index&amp;Match'!$A195,'Main Data'!$A$1:$A$1001,0),MATCH('Index&amp;Match'!I194,'Main Data'!$A194:$O194,0))</f>
        <v>72</v>
      </c>
      <c r="J195" s="2">
        <f>INDEX('Main Data'!$A$1:$O$1001,MATCH('Index&amp;Match'!$A195,'Main Data'!$A$1:$A$1001,0),MATCH('Index&amp;Match'!J194,'Main Data'!$A194:$O194,0))</f>
        <v>72</v>
      </c>
      <c r="K195" s="11">
        <f>INDEX('Main Data'!$A$1:$O$1001,MATCH('Index&amp;Match'!$A195,'Main Data'!$A$1:$A$1001,0),MATCH('Index&amp;Match'!K194,'Main Data'!$A194:$O194,0))</f>
        <v>5411.87</v>
      </c>
      <c r="L195" s="11">
        <f>INDEX('Main Data'!$A$1:$O$1001,MATCH('Index&amp;Match'!$A195,'Main Data'!$A$1:$A$1001,0),MATCH('Index&amp;Match'!L194,'Main Data'!$A194:$O194,0))</f>
        <v>90.42</v>
      </c>
      <c r="M195" s="11">
        <f>INDEX('Main Data'!$A$1:$O$1001,MATCH('Index&amp;Match'!$A195,'Main Data'!$A$1:$A$1001,0),MATCH('Index&amp;Match'!M194,'Main Data'!$A194:$O194,0))</f>
        <v>43.48</v>
      </c>
      <c r="N195" s="2" t="str">
        <f>INDEX('Main Data'!$A$1:$O$1001,MATCH('Index&amp;Match'!$A195,'Main Data'!$A$1:$A$1001,0),MATCH('Index&amp;Match'!N194,'Main Data'!$A194:$O194,0))</f>
        <v>Yes</v>
      </c>
      <c r="O195" s="2">
        <f>INDEX('Main Data'!$A$1:$O$1001,MATCH('Index&amp;Match'!$A195,'Main Data'!$A$1:$A$1001,0),MATCH('Index&amp;Match'!O194,'Main Data'!$A194:$O194,0))</f>
        <v>9</v>
      </c>
    </row>
    <row r="196" spans="1:15" x14ac:dyDescent="0.3">
      <c r="A196" s="2" t="s">
        <v>253</v>
      </c>
      <c r="B196" s="1">
        <f>INDEX('Main Data'!$A$1:$O$1001,MATCH('Index&amp;Match'!$A196,'Main Data'!$A$1:$A$1001,0),MATCH('Index&amp;Match'!B195,'Main Data'!$A195:$O195,0))</f>
        <v>46049</v>
      </c>
      <c r="C196" s="2" t="str">
        <f>INDEX('Main Data'!$A$1:$O$1001,MATCH('Index&amp;Match'!$A196,'Main Data'!$A$1:$A$1001,0),MATCH('Index&amp;Match'!C195,'Main Data'!$A195:$O195,0))</f>
        <v>Jamie</v>
      </c>
      <c r="D196" s="2" t="str">
        <f>INDEX('Main Data'!$A$1:$O$1001,MATCH('Index&amp;Match'!$A196,'Main Data'!$A$1:$A$1001,0),MATCH('Index&amp;Match'!D195,'Main Data'!$A195:$O195,0))</f>
        <v>BR-005</v>
      </c>
      <c r="E196" s="2" t="str">
        <f>INDEX('Main Data'!$A$1:$O$1001,MATCH('Index&amp;Match'!$A196,'Main Data'!$A$1:$A$1001,0),MATCH('Index&amp;Match'!E195,'Main Data'!$A195:$O195,0))</f>
        <v>South</v>
      </c>
      <c r="F196" s="2" t="str">
        <f>INDEX('Main Data'!$A$1:$O$1001,MATCH('Index&amp;Match'!$A196,'Main Data'!$A$1:$A$1001,0),MATCH('Index&amp;Match'!F195,'Main Data'!$A195:$O195,0))</f>
        <v>Auto Loan</v>
      </c>
      <c r="G196" s="2" t="str">
        <f>INDEX('Main Data'!$A$1:$O$1001,MATCH('Index&amp;Match'!$A196,'Main Data'!$A$1:$A$1001,0),MATCH('Index&amp;Match'!G195,'Main Data'!$A195:$O195,0))</f>
        <v>Referral</v>
      </c>
      <c r="H196" s="2" t="str">
        <f>INDEX('Main Data'!$A$1:$O$1001,MATCH('Index&amp;Match'!$A196,'Main Data'!$A$1:$A$1001,0),MATCH('Index&amp;Match'!H195,'Main Data'!$A195:$O195,0))</f>
        <v>SME</v>
      </c>
      <c r="I196" s="2">
        <f>INDEX('Main Data'!$A$1:$O$1001,MATCH('Index&amp;Match'!$A196,'Main Data'!$A$1:$A$1001,0),MATCH('Index&amp;Match'!I195,'Main Data'!$A195:$O195,0))</f>
        <v>39</v>
      </c>
      <c r="J196" s="2">
        <f>INDEX('Main Data'!$A$1:$O$1001,MATCH('Index&amp;Match'!$A196,'Main Data'!$A$1:$A$1001,0),MATCH('Index&amp;Match'!J195,'Main Data'!$A195:$O195,0))</f>
        <v>39</v>
      </c>
      <c r="K196" s="11">
        <f>INDEX('Main Data'!$A$1:$O$1001,MATCH('Index&amp;Match'!$A196,'Main Data'!$A$1:$A$1001,0),MATCH('Index&amp;Match'!K195,'Main Data'!$A195:$O195,0))</f>
        <v>21717.89</v>
      </c>
      <c r="L196" s="11">
        <f>INDEX('Main Data'!$A$1:$O$1001,MATCH('Index&amp;Match'!$A196,'Main Data'!$A$1:$A$1001,0),MATCH('Index&amp;Match'!L195,'Main Data'!$A195:$O195,0))</f>
        <v>165.57</v>
      </c>
      <c r="M196" s="11">
        <f>INDEX('Main Data'!$A$1:$O$1001,MATCH('Index&amp;Match'!$A196,'Main Data'!$A$1:$A$1001,0),MATCH('Index&amp;Match'!M195,'Main Data'!$A195:$O195,0))</f>
        <v>50.95</v>
      </c>
      <c r="N196" s="2" t="str">
        <f>INDEX('Main Data'!$A$1:$O$1001,MATCH('Index&amp;Match'!$A196,'Main Data'!$A$1:$A$1001,0),MATCH('Index&amp;Match'!N195,'Main Data'!$A195:$O195,0))</f>
        <v>Yes</v>
      </c>
      <c r="O196" s="2">
        <f>INDEX('Main Data'!$A$1:$O$1001,MATCH('Index&amp;Match'!$A196,'Main Data'!$A$1:$A$1001,0),MATCH('Index&amp;Match'!O195,'Main Data'!$A195:$O195,0))</f>
        <v>94</v>
      </c>
    </row>
    <row r="197" spans="1:15" x14ac:dyDescent="0.3">
      <c r="A197" s="2" t="s">
        <v>254</v>
      </c>
      <c r="B197" s="1">
        <f>INDEX('Main Data'!$A$1:$O$1001,MATCH('Index&amp;Match'!$A197,'Main Data'!$A$1:$A$1001,0),MATCH('Index&amp;Match'!B196,'Main Data'!$A196:$O196,0))</f>
        <v>45948</v>
      </c>
      <c r="C197" s="2" t="str">
        <f>INDEX('Main Data'!$A$1:$O$1001,MATCH('Index&amp;Match'!$A197,'Main Data'!$A$1:$A$1001,0),MATCH('Index&amp;Match'!C196,'Main Data'!$A196:$O196,0))</f>
        <v>Jordan</v>
      </c>
      <c r="D197" s="2" t="str">
        <f>INDEX('Main Data'!$A$1:$O$1001,MATCH('Index&amp;Match'!$A197,'Main Data'!$A$1:$A$1001,0),MATCH('Index&amp;Match'!D196,'Main Data'!$A196:$O196,0))</f>
        <v>BR-006</v>
      </c>
      <c r="E197" s="2" t="str">
        <f>INDEX('Main Data'!$A$1:$O$1001,MATCH('Index&amp;Match'!$A197,'Main Data'!$A$1:$A$1001,0),MATCH('Index&amp;Match'!E196,'Main Data'!$A196:$O196,0))</f>
        <v>Central</v>
      </c>
      <c r="F197" s="2" t="str">
        <f>INDEX('Main Data'!$A$1:$O$1001,MATCH('Index&amp;Match'!$A197,'Main Data'!$A$1:$A$1001,0),MATCH('Index&amp;Match'!F196,'Main Data'!$A196:$O196,0))</f>
        <v>Wealth Management</v>
      </c>
      <c r="G197" s="2" t="str">
        <f>INDEX('Main Data'!$A$1:$O$1001,MATCH('Index&amp;Match'!$A197,'Main Data'!$A$1:$A$1001,0),MATCH('Index&amp;Match'!G196,'Main Data'!$A196:$O196,0))</f>
        <v>Social Media</v>
      </c>
      <c r="H197" s="2" t="str">
        <f>INDEX('Main Data'!$A$1:$O$1001,MATCH('Index&amp;Match'!$A197,'Main Data'!$A$1:$A$1001,0),MATCH('Index&amp;Match'!H196,'Main Data'!$A196:$O196,0))</f>
        <v>SME</v>
      </c>
      <c r="I197" s="2">
        <f>INDEX('Main Data'!$A$1:$O$1001,MATCH('Index&amp;Match'!$A197,'Main Data'!$A$1:$A$1001,0),MATCH('Index&amp;Match'!I196,'Main Data'!$A196:$O196,0))</f>
        <v>33</v>
      </c>
      <c r="J197" s="2">
        <f>INDEX('Main Data'!$A$1:$O$1001,MATCH('Index&amp;Match'!$A197,'Main Data'!$A$1:$A$1001,0),MATCH('Index&amp;Match'!J196,'Main Data'!$A196:$O196,0))</f>
        <v>33</v>
      </c>
      <c r="K197" s="11">
        <f>INDEX('Main Data'!$A$1:$O$1001,MATCH('Index&amp;Match'!$A197,'Main Data'!$A$1:$A$1001,0),MATCH('Index&amp;Match'!K196,'Main Data'!$A196:$O196,0))</f>
        <v>31610.86</v>
      </c>
      <c r="L197" s="11">
        <f>INDEX('Main Data'!$A$1:$O$1001,MATCH('Index&amp;Match'!$A197,'Main Data'!$A$1:$A$1001,0),MATCH('Index&amp;Match'!L196,'Main Data'!$A196:$O196,0))</f>
        <v>91.63</v>
      </c>
      <c r="M197" s="11">
        <f>INDEX('Main Data'!$A$1:$O$1001,MATCH('Index&amp;Match'!$A197,'Main Data'!$A$1:$A$1001,0),MATCH('Index&amp;Match'!M196,'Main Data'!$A196:$O196,0))</f>
        <v>182.91</v>
      </c>
      <c r="N197" s="2" t="str">
        <f>INDEX('Main Data'!$A$1:$O$1001,MATCH('Index&amp;Match'!$A197,'Main Data'!$A$1:$A$1001,0),MATCH('Index&amp;Match'!N196,'Main Data'!$A196:$O196,0))</f>
        <v>Yes</v>
      </c>
      <c r="O197" s="2">
        <f>INDEX('Main Data'!$A$1:$O$1001,MATCH('Index&amp;Match'!$A197,'Main Data'!$A$1:$A$1001,0),MATCH('Index&amp;Match'!O196,'Main Data'!$A196:$O196,0))</f>
        <v>117</v>
      </c>
    </row>
    <row r="198" spans="1:15" x14ac:dyDescent="0.3">
      <c r="A198" s="2" t="s">
        <v>255</v>
      </c>
      <c r="B198" s="1">
        <f>INDEX('Main Data'!$A$1:$O$1001,MATCH('Index&amp;Match'!$A198,'Main Data'!$A$1:$A$1001,0),MATCH('Index&amp;Match'!B197,'Main Data'!$A197:$O197,0))</f>
        <v>46032</v>
      </c>
      <c r="C198" s="2" t="str">
        <f>INDEX('Main Data'!$A$1:$O$1001,MATCH('Index&amp;Match'!$A198,'Main Data'!$A$1:$A$1001,0),MATCH('Index&amp;Match'!C197,'Main Data'!$A197:$O197,0))</f>
        <v>Jordan</v>
      </c>
      <c r="D198" s="2" t="str">
        <f>INDEX('Main Data'!$A$1:$O$1001,MATCH('Index&amp;Match'!$A198,'Main Data'!$A$1:$A$1001,0),MATCH('Index&amp;Match'!D197,'Main Data'!$A197:$O197,0))</f>
        <v>BR-001</v>
      </c>
      <c r="E198" s="2" t="str">
        <f>INDEX('Main Data'!$A$1:$O$1001,MATCH('Index&amp;Match'!$A198,'Main Data'!$A$1:$A$1001,0),MATCH('Index&amp;Match'!E197,'Main Data'!$A197:$O197,0))</f>
        <v>East</v>
      </c>
      <c r="F198" s="2" t="str">
        <f>INDEX('Main Data'!$A$1:$O$1001,MATCH('Index&amp;Match'!$A198,'Main Data'!$A$1:$A$1001,0),MATCH('Index&amp;Match'!F197,'Main Data'!$A197:$O197,0))</f>
        <v>Personal Loan</v>
      </c>
      <c r="G198" s="2" t="str">
        <f>INDEX('Main Data'!$A$1:$O$1001,MATCH('Index&amp;Match'!$A198,'Main Data'!$A$1:$A$1001,0),MATCH('Index&amp;Match'!G197,'Main Data'!$A197:$O197,0))</f>
        <v>Social Media</v>
      </c>
      <c r="H198" s="2" t="str">
        <f>INDEX('Main Data'!$A$1:$O$1001,MATCH('Index&amp;Match'!$A198,'Main Data'!$A$1:$A$1001,0),MATCH('Index&amp;Match'!H197,'Main Data'!$A197:$O197,0))</f>
        <v>Corporate</v>
      </c>
      <c r="I198" s="2">
        <f>INDEX('Main Data'!$A$1:$O$1001,MATCH('Index&amp;Match'!$A198,'Main Data'!$A$1:$A$1001,0),MATCH('Index&amp;Match'!I197,'Main Data'!$A197:$O197,0))</f>
        <v>62</v>
      </c>
      <c r="J198" s="2">
        <f>INDEX('Main Data'!$A$1:$O$1001,MATCH('Index&amp;Match'!$A198,'Main Data'!$A$1:$A$1001,0),MATCH('Index&amp;Match'!J197,'Main Data'!$A197:$O197,0))</f>
        <v>62</v>
      </c>
      <c r="K198" s="11">
        <f>INDEX('Main Data'!$A$1:$O$1001,MATCH('Index&amp;Match'!$A198,'Main Data'!$A$1:$A$1001,0),MATCH('Index&amp;Match'!K197,'Main Data'!$A197:$O197,0))</f>
        <v>11150.2</v>
      </c>
      <c r="L198" s="11">
        <f>INDEX('Main Data'!$A$1:$O$1001,MATCH('Index&amp;Match'!$A198,'Main Data'!$A$1:$A$1001,0),MATCH('Index&amp;Match'!L197,'Main Data'!$A197:$O197,0))</f>
        <v>95.42</v>
      </c>
      <c r="M198" s="11">
        <f>INDEX('Main Data'!$A$1:$O$1001,MATCH('Index&amp;Match'!$A198,'Main Data'!$A$1:$A$1001,0),MATCH('Index&amp;Match'!M197,'Main Data'!$A197:$O197,0))</f>
        <v>22.61</v>
      </c>
      <c r="N198" s="2" t="str">
        <f>INDEX('Main Data'!$A$1:$O$1001,MATCH('Index&amp;Match'!$A198,'Main Data'!$A$1:$A$1001,0),MATCH('Index&amp;Match'!N197,'Main Data'!$A197:$O197,0))</f>
        <v>Yes</v>
      </c>
      <c r="O198" s="2">
        <f>INDEX('Main Data'!$A$1:$O$1001,MATCH('Index&amp;Match'!$A198,'Main Data'!$A$1:$A$1001,0),MATCH('Index&amp;Match'!O197,'Main Data'!$A197:$O197,0))</f>
        <v>11</v>
      </c>
    </row>
    <row r="199" spans="1:15" x14ac:dyDescent="0.3">
      <c r="A199" s="2" t="s">
        <v>256</v>
      </c>
      <c r="B199" s="1">
        <f>INDEX('Main Data'!$A$1:$O$1001,MATCH('Index&amp;Match'!$A199,'Main Data'!$A$1:$A$1001,0),MATCH('Index&amp;Match'!B198,'Main Data'!$A198:$O198,0))</f>
        <v>46009</v>
      </c>
      <c r="C199" s="2" t="str">
        <f>INDEX('Main Data'!$A$1:$O$1001,MATCH('Index&amp;Match'!$A199,'Main Data'!$A$1:$A$1001,0),MATCH('Index&amp;Match'!C198,'Main Data'!$A198:$O198,0))</f>
        <v>Morgan</v>
      </c>
      <c r="D199" s="2" t="str">
        <f>INDEX('Main Data'!$A$1:$O$1001,MATCH('Index&amp;Match'!$A199,'Main Data'!$A$1:$A$1001,0),MATCH('Index&amp;Match'!D198,'Main Data'!$A198:$O198,0))</f>
        <v>BR-005</v>
      </c>
      <c r="E199" s="2" t="str">
        <f>INDEX('Main Data'!$A$1:$O$1001,MATCH('Index&amp;Match'!$A199,'Main Data'!$A$1:$A$1001,0),MATCH('Index&amp;Match'!E198,'Main Data'!$A198:$O198,0))</f>
        <v>North</v>
      </c>
      <c r="F199" s="2" t="str">
        <f>INDEX('Main Data'!$A$1:$O$1001,MATCH('Index&amp;Match'!$A199,'Main Data'!$A$1:$A$1001,0),MATCH('Index&amp;Match'!F198,'Main Data'!$A198:$O198,0))</f>
        <v>Personal Loan</v>
      </c>
      <c r="G199" s="2" t="str">
        <f>INDEX('Main Data'!$A$1:$O$1001,MATCH('Index&amp;Match'!$A199,'Main Data'!$A$1:$A$1001,0),MATCH('Index&amp;Match'!G198,'Main Data'!$A198:$O198,0))</f>
        <v>Email Campaign</v>
      </c>
      <c r="H199" s="2" t="str">
        <f>INDEX('Main Data'!$A$1:$O$1001,MATCH('Index&amp;Match'!$A199,'Main Data'!$A$1:$A$1001,0),MATCH('Index&amp;Match'!H198,'Main Data'!$A198:$O198,0))</f>
        <v>High Net Worth</v>
      </c>
      <c r="I199" s="2">
        <f>INDEX('Main Data'!$A$1:$O$1001,MATCH('Index&amp;Match'!$A199,'Main Data'!$A$1:$A$1001,0),MATCH('Index&amp;Match'!I198,'Main Data'!$A198:$O198,0))</f>
        <v>41</v>
      </c>
      <c r="J199" s="2">
        <f>INDEX('Main Data'!$A$1:$O$1001,MATCH('Index&amp;Match'!$A199,'Main Data'!$A$1:$A$1001,0),MATCH('Index&amp;Match'!J198,'Main Data'!$A198:$O198,0))</f>
        <v>41</v>
      </c>
      <c r="K199" s="11">
        <f>INDEX('Main Data'!$A$1:$O$1001,MATCH('Index&amp;Match'!$A199,'Main Data'!$A$1:$A$1001,0),MATCH('Index&amp;Match'!K198,'Main Data'!$A198:$O198,0))</f>
        <v>31559.66</v>
      </c>
      <c r="L199" s="11">
        <f>INDEX('Main Data'!$A$1:$O$1001,MATCH('Index&amp;Match'!$A199,'Main Data'!$A$1:$A$1001,0),MATCH('Index&amp;Match'!L198,'Main Data'!$A198:$O198,0))</f>
        <v>139.56</v>
      </c>
      <c r="M199" s="11">
        <f>INDEX('Main Data'!$A$1:$O$1001,MATCH('Index&amp;Match'!$A199,'Main Data'!$A$1:$A$1001,0),MATCH('Index&amp;Match'!M198,'Main Data'!$A198:$O198,0))</f>
        <v>227.24</v>
      </c>
      <c r="N199" s="2" t="str">
        <f>INDEX('Main Data'!$A$1:$O$1001,MATCH('Index&amp;Match'!$A199,'Main Data'!$A$1:$A$1001,0),MATCH('Index&amp;Match'!N198,'Main Data'!$A198:$O198,0))</f>
        <v>No</v>
      </c>
      <c r="O199" s="2">
        <f>INDEX('Main Data'!$A$1:$O$1001,MATCH('Index&amp;Match'!$A199,'Main Data'!$A$1:$A$1001,0),MATCH('Index&amp;Match'!O198,'Main Data'!$A198:$O198,0))</f>
        <v>99</v>
      </c>
    </row>
    <row r="200" spans="1:15" x14ac:dyDescent="0.3">
      <c r="A200" s="2" t="s">
        <v>257</v>
      </c>
      <c r="B200" s="1">
        <f>INDEX('Main Data'!$A$1:$O$1001,MATCH('Index&amp;Match'!$A200,'Main Data'!$A$1:$A$1001,0),MATCH('Index&amp;Match'!B199,'Main Data'!$A199:$O199,0))</f>
        <v>46052</v>
      </c>
      <c r="C200" s="2" t="str">
        <f>INDEX('Main Data'!$A$1:$O$1001,MATCH('Index&amp;Match'!$A200,'Main Data'!$A$1:$A$1001,0),MATCH('Index&amp;Match'!C199,'Main Data'!$A199:$O199,0))</f>
        <v>Casey</v>
      </c>
      <c r="D200" s="2" t="str">
        <f>INDEX('Main Data'!$A$1:$O$1001,MATCH('Index&amp;Match'!$A200,'Main Data'!$A$1:$A$1001,0),MATCH('Index&amp;Match'!D199,'Main Data'!$A199:$O199,0))</f>
        <v>BR-009</v>
      </c>
      <c r="E200" s="2" t="str">
        <f>INDEX('Main Data'!$A$1:$O$1001,MATCH('Index&amp;Match'!$A200,'Main Data'!$A$1:$A$1001,0),MATCH('Index&amp;Match'!E199,'Main Data'!$A199:$O199,0))</f>
        <v>North</v>
      </c>
      <c r="F200" s="2" t="str">
        <f>INDEX('Main Data'!$A$1:$O$1001,MATCH('Index&amp;Match'!$A200,'Main Data'!$A$1:$A$1001,0),MATCH('Index&amp;Match'!F199,'Main Data'!$A199:$O199,0))</f>
        <v>Mortgage</v>
      </c>
      <c r="G200" s="2" t="str">
        <f>INDEX('Main Data'!$A$1:$O$1001,MATCH('Index&amp;Match'!$A200,'Main Data'!$A$1:$A$1001,0),MATCH('Index&amp;Match'!G199,'Main Data'!$A199:$O199,0))</f>
        <v>Email Campaign</v>
      </c>
      <c r="H200" s="2" t="str">
        <f>INDEX('Main Data'!$A$1:$O$1001,MATCH('Index&amp;Match'!$A200,'Main Data'!$A$1:$A$1001,0),MATCH('Index&amp;Match'!H199,'Main Data'!$A199:$O199,0))</f>
        <v>High Net Worth</v>
      </c>
      <c r="I200" s="2">
        <f>INDEX('Main Data'!$A$1:$O$1001,MATCH('Index&amp;Match'!$A200,'Main Data'!$A$1:$A$1001,0),MATCH('Index&amp;Match'!I199,'Main Data'!$A199:$O199,0))</f>
        <v>57</v>
      </c>
      <c r="J200" s="2">
        <f>INDEX('Main Data'!$A$1:$O$1001,MATCH('Index&amp;Match'!$A200,'Main Data'!$A$1:$A$1001,0),MATCH('Index&amp;Match'!J199,'Main Data'!$A199:$O199,0))</f>
        <v>57</v>
      </c>
      <c r="K200" s="11">
        <f>INDEX('Main Data'!$A$1:$O$1001,MATCH('Index&amp;Match'!$A200,'Main Data'!$A$1:$A$1001,0),MATCH('Index&amp;Match'!K199,'Main Data'!$A199:$O199,0))</f>
        <v>46221.41</v>
      </c>
      <c r="L200" s="11">
        <f>INDEX('Main Data'!$A$1:$O$1001,MATCH('Index&amp;Match'!$A200,'Main Data'!$A$1:$A$1001,0),MATCH('Index&amp;Match'!L199,'Main Data'!$A199:$O199,0))</f>
        <v>499.93</v>
      </c>
      <c r="M200" s="11">
        <f>INDEX('Main Data'!$A$1:$O$1001,MATCH('Index&amp;Match'!$A200,'Main Data'!$A$1:$A$1001,0),MATCH('Index&amp;Match'!M199,'Main Data'!$A199:$O199,0))</f>
        <v>227.26</v>
      </c>
      <c r="N200" s="2" t="str">
        <f>INDEX('Main Data'!$A$1:$O$1001,MATCH('Index&amp;Match'!$A200,'Main Data'!$A$1:$A$1001,0),MATCH('Index&amp;Match'!N199,'Main Data'!$A199:$O199,0))</f>
        <v>Yes</v>
      </c>
      <c r="O200" s="2">
        <f>INDEX('Main Data'!$A$1:$O$1001,MATCH('Index&amp;Match'!$A200,'Main Data'!$A$1:$A$1001,0),MATCH('Index&amp;Match'!O199,'Main Data'!$A199:$O199,0))</f>
        <v>101</v>
      </c>
    </row>
    <row r="201" spans="1:15" x14ac:dyDescent="0.3">
      <c r="A201" s="2" t="s">
        <v>258</v>
      </c>
      <c r="B201" s="1">
        <f>INDEX('Main Data'!$A$1:$O$1001,MATCH('Index&amp;Match'!$A201,'Main Data'!$A$1:$A$1001,0),MATCH('Index&amp;Match'!B200,'Main Data'!$A200:$O200,0))</f>
        <v>46122</v>
      </c>
      <c r="C201" s="2" t="str">
        <f>INDEX('Main Data'!$A$1:$O$1001,MATCH('Index&amp;Match'!$A201,'Main Data'!$A$1:$A$1001,0),MATCH('Index&amp;Match'!C200,'Main Data'!$A200:$O200,0))</f>
        <v>Taylor</v>
      </c>
      <c r="D201" s="2" t="str">
        <f>INDEX('Main Data'!$A$1:$O$1001,MATCH('Index&amp;Match'!$A201,'Main Data'!$A$1:$A$1001,0),MATCH('Index&amp;Match'!D200,'Main Data'!$A200:$O200,0))</f>
        <v>BR-012</v>
      </c>
      <c r="E201" s="2" t="str">
        <f>INDEX('Main Data'!$A$1:$O$1001,MATCH('Index&amp;Match'!$A201,'Main Data'!$A$1:$A$1001,0),MATCH('Index&amp;Match'!E200,'Main Data'!$A200:$O200,0))</f>
        <v>North</v>
      </c>
      <c r="F201" s="2" t="str">
        <f>INDEX('Main Data'!$A$1:$O$1001,MATCH('Index&amp;Match'!$A201,'Main Data'!$A$1:$A$1001,0),MATCH('Index&amp;Match'!F200,'Main Data'!$A200:$O200,0))</f>
        <v>Wealth Management</v>
      </c>
      <c r="G201" s="2" t="str">
        <f>INDEX('Main Data'!$A$1:$O$1001,MATCH('Index&amp;Match'!$A201,'Main Data'!$A$1:$A$1001,0),MATCH('Index&amp;Match'!G200,'Main Data'!$A200:$O200,0))</f>
        <v>Referral</v>
      </c>
      <c r="H201" s="2" t="str">
        <f>INDEX('Main Data'!$A$1:$O$1001,MATCH('Index&amp;Match'!$A201,'Main Data'!$A$1:$A$1001,0),MATCH('Index&amp;Match'!H200,'Main Data'!$A200:$O200,0))</f>
        <v>SME</v>
      </c>
      <c r="I201" s="2">
        <f>INDEX('Main Data'!$A$1:$O$1001,MATCH('Index&amp;Match'!$A201,'Main Data'!$A$1:$A$1001,0),MATCH('Index&amp;Match'!I200,'Main Data'!$A200:$O200,0))</f>
        <v>47</v>
      </c>
      <c r="J201" s="2">
        <f>INDEX('Main Data'!$A$1:$O$1001,MATCH('Index&amp;Match'!$A201,'Main Data'!$A$1:$A$1001,0),MATCH('Index&amp;Match'!J200,'Main Data'!$A200:$O200,0))</f>
        <v>47</v>
      </c>
      <c r="K201" s="11">
        <f>INDEX('Main Data'!$A$1:$O$1001,MATCH('Index&amp;Match'!$A201,'Main Data'!$A$1:$A$1001,0),MATCH('Index&amp;Match'!K200,'Main Data'!$A200:$O200,0))</f>
        <v>49877.15</v>
      </c>
      <c r="L201" s="11">
        <f>INDEX('Main Data'!$A$1:$O$1001,MATCH('Index&amp;Match'!$A201,'Main Data'!$A$1:$A$1001,0),MATCH('Index&amp;Match'!L200,'Main Data'!$A200:$O200,0))</f>
        <v>50.98</v>
      </c>
      <c r="M201" s="11">
        <f>INDEX('Main Data'!$A$1:$O$1001,MATCH('Index&amp;Match'!$A201,'Main Data'!$A$1:$A$1001,0),MATCH('Index&amp;Match'!M200,'Main Data'!$A200:$O200,0))</f>
        <v>161.94999999999999</v>
      </c>
      <c r="N201" s="2" t="str">
        <f>INDEX('Main Data'!$A$1:$O$1001,MATCH('Index&amp;Match'!$A201,'Main Data'!$A$1:$A$1001,0),MATCH('Index&amp;Match'!N200,'Main Data'!$A200:$O200,0))</f>
        <v>Yes</v>
      </c>
      <c r="O201" s="2">
        <f>INDEX('Main Data'!$A$1:$O$1001,MATCH('Index&amp;Match'!$A201,'Main Data'!$A$1:$A$1001,0),MATCH('Index&amp;Match'!O200,'Main Data'!$A200:$O200,0))</f>
        <v>42</v>
      </c>
    </row>
    <row r="202" spans="1:15" x14ac:dyDescent="0.3">
      <c r="A202" s="2" t="s">
        <v>259</v>
      </c>
      <c r="B202" s="1">
        <f>INDEX('Main Data'!$A$1:$O$1001,MATCH('Index&amp;Match'!$A202,'Main Data'!$A$1:$A$1001,0),MATCH('Index&amp;Match'!B201,'Main Data'!$A201:$O201,0))</f>
        <v>45961</v>
      </c>
      <c r="C202" s="2" t="str">
        <f>INDEX('Main Data'!$A$1:$O$1001,MATCH('Index&amp;Match'!$A202,'Main Data'!$A$1:$A$1001,0),MATCH('Index&amp;Match'!C201,'Main Data'!$A201:$O201,0))</f>
        <v>Jamie</v>
      </c>
      <c r="D202" s="2" t="str">
        <f>INDEX('Main Data'!$A$1:$O$1001,MATCH('Index&amp;Match'!$A202,'Main Data'!$A$1:$A$1001,0),MATCH('Index&amp;Match'!D201,'Main Data'!$A201:$O201,0))</f>
        <v>BR-010</v>
      </c>
      <c r="E202" s="2" t="str">
        <f>INDEX('Main Data'!$A$1:$O$1001,MATCH('Index&amp;Match'!$A202,'Main Data'!$A$1:$A$1001,0),MATCH('Index&amp;Match'!E201,'Main Data'!$A201:$O201,0))</f>
        <v>South</v>
      </c>
      <c r="F202" s="2" t="str">
        <f>INDEX('Main Data'!$A$1:$O$1001,MATCH('Index&amp;Match'!$A202,'Main Data'!$A$1:$A$1001,0),MATCH('Index&amp;Match'!F201,'Main Data'!$A201:$O201,0))</f>
        <v>Mortgage</v>
      </c>
      <c r="G202" s="2" t="str">
        <f>INDEX('Main Data'!$A$1:$O$1001,MATCH('Index&amp;Match'!$A202,'Main Data'!$A$1:$A$1001,0),MATCH('Index&amp;Match'!G201,'Main Data'!$A201:$O201,0))</f>
        <v>Referral</v>
      </c>
      <c r="H202" s="2" t="str">
        <f>INDEX('Main Data'!$A$1:$O$1001,MATCH('Index&amp;Match'!$A202,'Main Data'!$A$1:$A$1001,0),MATCH('Index&amp;Match'!H201,'Main Data'!$A201:$O201,0))</f>
        <v>SME</v>
      </c>
      <c r="I202" s="2">
        <f>INDEX('Main Data'!$A$1:$O$1001,MATCH('Index&amp;Match'!$A202,'Main Data'!$A$1:$A$1001,0),MATCH('Index&amp;Match'!I201,'Main Data'!$A201:$O201,0))</f>
        <v>72</v>
      </c>
      <c r="J202" s="2">
        <f>INDEX('Main Data'!$A$1:$O$1001,MATCH('Index&amp;Match'!$A202,'Main Data'!$A$1:$A$1001,0),MATCH('Index&amp;Match'!J201,'Main Data'!$A201:$O201,0))</f>
        <v>72</v>
      </c>
      <c r="K202" s="11">
        <f>INDEX('Main Data'!$A$1:$O$1001,MATCH('Index&amp;Match'!$A202,'Main Data'!$A$1:$A$1001,0),MATCH('Index&amp;Match'!K201,'Main Data'!$A201:$O201,0))</f>
        <v>2106.33</v>
      </c>
      <c r="L202" s="11">
        <f>INDEX('Main Data'!$A$1:$O$1001,MATCH('Index&amp;Match'!$A202,'Main Data'!$A$1:$A$1001,0),MATCH('Index&amp;Match'!L201,'Main Data'!$A201:$O201,0))</f>
        <v>337.4</v>
      </c>
      <c r="M202" s="11">
        <f>INDEX('Main Data'!$A$1:$O$1001,MATCH('Index&amp;Match'!$A202,'Main Data'!$A$1:$A$1001,0),MATCH('Index&amp;Match'!M201,'Main Data'!$A201:$O201,0))</f>
        <v>177.32</v>
      </c>
      <c r="N202" s="2" t="str">
        <f>INDEX('Main Data'!$A$1:$O$1001,MATCH('Index&amp;Match'!$A202,'Main Data'!$A$1:$A$1001,0),MATCH('Index&amp;Match'!N201,'Main Data'!$A201:$O201,0))</f>
        <v>Yes</v>
      </c>
      <c r="O202" s="2">
        <f>INDEX('Main Data'!$A$1:$O$1001,MATCH('Index&amp;Match'!$A202,'Main Data'!$A$1:$A$1001,0),MATCH('Index&amp;Match'!O201,'Main Data'!$A201:$O201,0))</f>
        <v>13</v>
      </c>
    </row>
    <row r="203" spans="1:15" x14ac:dyDescent="0.3">
      <c r="A203" s="2" t="s">
        <v>260</v>
      </c>
      <c r="B203" s="1">
        <f>INDEX('Main Data'!$A$1:$O$1001,MATCH('Index&amp;Match'!$A203,'Main Data'!$A$1:$A$1001,0),MATCH('Index&amp;Match'!B202,'Main Data'!$A202:$O202,0))</f>
        <v>46190</v>
      </c>
      <c r="C203" s="2" t="str">
        <f>INDEX('Main Data'!$A$1:$O$1001,MATCH('Index&amp;Match'!$A203,'Main Data'!$A$1:$A$1001,0),MATCH('Index&amp;Match'!C202,'Main Data'!$A202:$O202,0))</f>
        <v>Drew</v>
      </c>
      <c r="D203" s="2" t="str">
        <f>INDEX('Main Data'!$A$1:$O$1001,MATCH('Index&amp;Match'!$A203,'Main Data'!$A$1:$A$1001,0),MATCH('Index&amp;Match'!D202,'Main Data'!$A202:$O202,0))</f>
        <v>BR-014</v>
      </c>
      <c r="E203" s="2" t="str">
        <f>INDEX('Main Data'!$A$1:$O$1001,MATCH('Index&amp;Match'!$A203,'Main Data'!$A$1:$A$1001,0),MATCH('Index&amp;Match'!E202,'Main Data'!$A202:$O202,0))</f>
        <v>West</v>
      </c>
      <c r="F203" s="2" t="str">
        <f>INDEX('Main Data'!$A$1:$O$1001,MATCH('Index&amp;Match'!$A203,'Main Data'!$A$1:$A$1001,0),MATCH('Index&amp;Match'!F202,'Main Data'!$A202:$O202,0))</f>
        <v>Credit Card</v>
      </c>
      <c r="G203" s="2" t="str">
        <f>INDEX('Main Data'!$A$1:$O$1001,MATCH('Index&amp;Match'!$A203,'Main Data'!$A$1:$A$1001,0),MATCH('Index&amp;Match'!G202,'Main Data'!$A202:$O202,0))</f>
        <v>Walk-in</v>
      </c>
      <c r="H203" s="2" t="str">
        <f>INDEX('Main Data'!$A$1:$O$1001,MATCH('Index&amp;Match'!$A203,'Main Data'!$A$1:$A$1001,0),MATCH('Index&amp;Match'!H202,'Main Data'!$A202:$O202,0))</f>
        <v>Retail</v>
      </c>
      <c r="I203" s="2">
        <f>INDEX('Main Data'!$A$1:$O$1001,MATCH('Index&amp;Match'!$A203,'Main Data'!$A$1:$A$1001,0),MATCH('Index&amp;Match'!I202,'Main Data'!$A202:$O202,0))</f>
        <v>49</v>
      </c>
      <c r="J203" s="2">
        <f>INDEX('Main Data'!$A$1:$O$1001,MATCH('Index&amp;Match'!$A203,'Main Data'!$A$1:$A$1001,0),MATCH('Index&amp;Match'!J202,'Main Data'!$A202:$O202,0))</f>
        <v>49</v>
      </c>
      <c r="K203" s="11">
        <f>INDEX('Main Data'!$A$1:$O$1001,MATCH('Index&amp;Match'!$A203,'Main Data'!$A$1:$A$1001,0),MATCH('Index&amp;Match'!K202,'Main Data'!$A202:$O202,0))</f>
        <v>12161.62</v>
      </c>
      <c r="L203" s="11">
        <f>INDEX('Main Data'!$A$1:$O$1001,MATCH('Index&amp;Match'!$A203,'Main Data'!$A$1:$A$1001,0),MATCH('Index&amp;Match'!L202,'Main Data'!$A202:$O202,0))</f>
        <v>113.56</v>
      </c>
      <c r="M203" s="11">
        <f>INDEX('Main Data'!$A$1:$O$1001,MATCH('Index&amp;Match'!$A203,'Main Data'!$A$1:$A$1001,0),MATCH('Index&amp;Match'!M202,'Main Data'!$A202:$O202,0))</f>
        <v>52.61</v>
      </c>
      <c r="N203" s="2" t="str">
        <f>INDEX('Main Data'!$A$1:$O$1001,MATCH('Index&amp;Match'!$A203,'Main Data'!$A$1:$A$1001,0),MATCH('Index&amp;Match'!N202,'Main Data'!$A202:$O202,0))</f>
        <v>No</v>
      </c>
      <c r="O203" s="2">
        <f>INDEX('Main Data'!$A$1:$O$1001,MATCH('Index&amp;Match'!$A203,'Main Data'!$A$1:$A$1001,0),MATCH('Index&amp;Match'!O202,'Main Data'!$A202:$O202,0))</f>
        <v>36</v>
      </c>
    </row>
    <row r="204" spans="1:15" x14ac:dyDescent="0.3">
      <c r="A204" s="2" t="s">
        <v>261</v>
      </c>
      <c r="B204" s="1">
        <f>INDEX('Main Data'!$A$1:$O$1001,MATCH('Index&amp;Match'!$A204,'Main Data'!$A$1:$A$1001,0),MATCH('Index&amp;Match'!B203,'Main Data'!$A203:$O203,0))</f>
        <v>46129</v>
      </c>
      <c r="C204" s="2" t="str">
        <f>INDEX('Main Data'!$A$1:$O$1001,MATCH('Index&amp;Match'!$A204,'Main Data'!$A$1:$A$1001,0),MATCH('Index&amp;Match'!C203,'Main Data'!$A203:$O203,0))</f>
        <v>Jamie</v>
      </c>
      <c r="D204" s="2" t="str">
        <f>INDEX('Main Data'!$A$1:$O$1001,MATCH('Index&amp;Match'!$A204,'Main Data'!$A$1:$A$1001,0),MATCH('Index&amp;Match'!D203,'Main Data'!$A203:$O203,0))</f>
        <v>BR-002</v>
      </c>
      <c r="E204" s="2" t="str">
        <f>INDEX('Main Data'!$A$1:$O$1001,MATCH('Index&amp;Match'!$A204,'Main Data'!$A$1:$A$1001,0),MATCH('Index&amp;Match'!E203,'Main Data'!$A203:$O203,0))</f>
        <v>Central</v>
      </c>
      <c r="F204" s="2" t="str">
        <f>INDEX('Main Data'!$A$1:$O$1001,MATCH('Index&amp;Match'!$A204,'Main Data'!$A$1:$A$1001,0),MATCH('Index&amp;Match'!F203,'Main Data'!$A203:$O203,0))</f>
        <v>Wealth Management</v>
      </c>
      <c r="G204" s="2" t="str">
        <f>INDEX('Main Data'!$A$1:$O$1001,MATCH('Index&amp;Match'!$A204,'Main Data'!$A$1:$A$1001,0),MATCH('Index&amp;Match'!G203,'Main Data'!$A203:$O203,0))</f>
        <v>Walk-in</v>
      </c>
      <c r="H204" s="2" t="str">
        <f>INDEX('Main Data'!$A$1:$O$1001,MATCH('Index&amp;Match'!$A204,'Main Data'!$A$1:$A$1001,0),MATCH('Index&amp;Match'!H203,'Main Data'!$A203:$O203,0))</f>
        <v>Retail</v>
      </c>
      <c r="I204" s="2">
        <f>INDEX('Main Data'!$A$1:$O$1001,MATCH('Index&amp;Match'!$A204,'Main Data'!$A$1:$A$1001,0),MATCH('Index&amp;Match'!I203,'Main Data'!$A203:$O203,0))</f>
        <v>40</v>
      </c>
      <c r="J204" s="2">
        <f>INDEX('Main Data'!$A$1:$O$1001,MATCH('Index&amp;Match'!$A204,'Main Data'!$A$1:$A$1001,0),MATCH('Index&amp;Match'!J203,'Main Data'!$A203:$O203,0))</f>
        <v>40</v>
      </c>
      <c r="K204" s="11">
        <f>INDEX('Main Data'!$A$1:$O$1001,MATCH('Index&amp;Match'!$A204,'Main Data'!$A$1:$A$1001,0),MATCH('Index&amp;Match'!K203,'Main Data'!$A203:$O203,0))</f>
        <v>15860.2</v>
      </c>
      <c r="L204" s="11">
        <f>INDEX('Main Data'!$A$1:$O$1001,MATCH('Index&amp;Match'!$A204,'Main Data'!$A$1:$A$1001,0),MATCH('Index&amp;Match'!L203,'Main Data'!$A203:$O203,0))</f>
        <v>464.28</v>
      </c>
      <c r="M204" s="11">
        <f>INDEX('Main Data'!$A$1:$O$1001,MATCH('Index&amp;Match'!$A204,'Main Data'!$A$1:$A$1001,0),MATCH('Index&amp;Match'!M203,'Main Data'!$A203:$O203,0))</f>
        <v>44.91</v>
      </c>
      <c r="N204" s="2" t="str">
        <f>INDEX('Main Data'!$A$1:$O$1001,MATCH('Index&amp;Match'!$A204,'Main Data'!$A$1:$A$1001,0),MATCH('Index&amp;Match'!N203,'Main Data'!$A203:$O203,0))</f>
        <v>Yes</v>
      </c>
      <c r="O204" s="2">
        <f>INDEX('Main Data'!$A$1:$O$1001,MATCH('Index&amp;Match'!$A204,'Main Data'!$A$1:$A$1001,0),MATCH('Index&amp;Match'!O203,'Main Data'!$A203:$O203,0))</f>
        <v>13</v>
      </c>
    </row>
    <row r="205" spans="1:15" x14ac:dyDescent="0.3">
      <c r="A205" s="2" t="s">
        <v>262</v>
      </c>
      <c r="B205" s="1">
        <f>INDEX('Main Data'!$A$1:$O$1001,MATCH('Index&amp;Match'!$A205,'Main Data'!$A$1:$A$1001,0),MATCH('Index&amp;Match'!B204,'Main Data'!$A204:$O204,0))</f>
        <v>46067</v>
      </c>
      <c r="C205" s="2" t="str">
        <f>INDEX('Main Data'!$A$1:$O$1001,MATCH('Index&amp;Match'!$A205,'Main Data'!$A$1:$A$1001,0),MATCH('Index&amp;Match'!C204,'Main Data'!$A204:$O204,0))</f>
        <v>Alex</v>
      </c>
      <c r="D205" s="2" t="str">
        <f>INDEX('Main Data'!$A$1:$O$1001,MATCH('Index&amp;Match'!$A205,'Main Data'!$A$1:$A$1001,0),MATCH('Index&amp;Match'!D204,'Main Data'!$A204:$O204,0))</f>
        <v>BR-001</v>
      </c>
      <c r="E205" s="2" t="str">
        <f>INDEX('Main Data'!$A$1:$O$1001,MATCH('Index&amp;Match'!$A205,'Main Data'!$A$1:$A$1001,0),MATCH('Index&amp;Match'!E204,'Main Data'!$A204:$O204,0))</f>
        <v>East</v>
      </c>
      <c r="F205" s="2" t="str">
        <f>INDEX('Main Data'!$A$1:$O$1001,MATCH('Index&amp;Match'!$A205,'Main Data'!$A$1:$A$1001,0),MATCH('Index&amp;Match'!F204,'Main Data'!$A204:$O204,0))</f>
        <v>Credit Card</v>
      </c>
      <c r="G205" s="2" t="str">
        <f>INDEX('Main Data'!$A$1:$O$1001,MATCH('Index&amp;Match'!$A205,'Main Data'!$A$1:$A$1001,0),MATCH('Index&amp;Match'!G204,'Main Data'!$A204:$O204,0))</f>
        <v>Email Campaign</v>
      </c>
      <c r="H205" s="2" t="str">
        <f>INDEX('Main Data'!$A$1:$O$1001,MATCH('Index&amp;Match'!$A205,'Main Data'!$A$1:$A$1001,0),MATCH('Index&amp;Match'!H204,'Main Data'!$A204:$O204,0))</f>
        <v>SME</v>
      </c>
      <c r="I205" s="2">
        <f>INDEX('Main Data'!$A$1:$O$1001,MATCH('Index&amp;Match'!$A205,'Main Data'!$A$1:$A$1001,0),MATCH('Index&amp;Match'!I204,'Main Data'!$A204:$O204,0))</f>
        <v>45</v>
      </c>
      <c r="J205" s="2">
        <f>INDEX('Main Data'!$A$1:$O$1001,MATCH('Index&amp;Match'!$A205,'Main Data'!$A$1:$A$1001,0),MATCH('Index&amp;Match'!J204,'Main Data'!$A204:$O204,0))</f>
        <v>45</v>
      </c>
      <c r="K205" s="11">
        <f>INDEX('Main Data'!$A$1:$O$1001,MATCH('Index&amp;Match'!$A205,'Main Data'!$A$1:$A$1001,0),MATCH('Index&amp;Match'!K204,'Main Data'!$A204:$O204,0))</f>
        <v>20256.740000000002</v>
      </c>
      <c r="L205" s="11">
        <f>INDEX('Main Data'!$A$1:$O$1001,MATCH('Index&amp;Match'!$A205,'Main Data'!$A$1:$A$1001,0),MATCH('Index&amp;Match'!L204,'Main Data'!$A204:$O204,0))</f>
        <v>92.13</v>
      </c>
      <c r="M205" s="11">
        <f>INDEX('Main Data'!$A$1:$O$1001,MATCH('Index&amp;Match'!$A205,'Main Data'!$A$1:$A$1001,0),MATCH('Index&amp;Match'!M204,'Main Data'!$A204:$O204,0))</f>
        <v>93.1</v>
      </c>
      <c r="N205" s="2" t="str">
        <f>INDEX('Main Data'!$A$1:$O$1001,MATCH('Index&amp;Match'!$A205,'Main Data'!$A$1:$A$1001,0),MATCH('Index&amp;Match'!N204,'Main Data'!$A204:$O204,0))</f>
        <v>No</v>
      </c>
      <c r="O205" s="2">
        <f>INDEX('Main Data'!$A$1:$O$1001,MATCH('Index&amp;Match'!$A205,'Main Data'!$A$1:$A$1001,0),MATCH('Index&amp;Match'!O204,'Main Data'!$A204:$O204,0))</f>
        <v>12</v>
      </c>
    </row>
    <row r="206" spans="1:15" x14ac:dyDescent="0.3">
      <c r="A206" s="2" t="s">
        <v>263</v>
      </c>
      <c r="B206" s="1">
        <f>INDEX('Main Data'!$A$1:$O$1001,MATCH('Index&amp;Match'!$A206,'Main Data'!$A$1:$A$1001,0),MATCH('Index&amp;Match'!B205,'Main Data'!$A205:$O205,0))</f>
        <v>46135</v>
      </c>
      <c r="C206" s="2" t="str">
        <f>INDEX('Main Data'!$A$1:$O$1001,MATCH('Index&amp;Match'!$A206,'Main Data'!$A$1:$A$1001,0),MATCH('Index&amp;Match'!C205,'Main Data'!$A205:$O205,0))</f>
        <v>Morgan</v>
      </c>
      <c r="D206" s="2" t="str">
        <f>INDEX('Main Data'!$A$1:$O$1001,MATCH('Index&amp;Match'!$A206,'Main Data'!$A$1:$A$1001,0),MATCH('Index&amp;Match'!D205,'Main Data'!$A205:$O205,0))</f>
        <v>BR-014</v>
      </c>
      <c r="E206" s="2" t="str">
        <f>INDEX('Main Data'!$A$1:$O$1001,MATCH('Index&amp;Match'!$A206,'Main Data'!$A$1:$A$1001,0),MATCH('Index&amp;Match'!E205,'Main Data'!$A205:$O205,0))</f>
        <v>East</v>
      </c>
      <c r="F206" s="2" t="str">
        <f>INDEX('Main Data'!$A$1:$O$1001,MATCH('Index&amp;Match'!$A206,'Main Data'!$A$1:$A$1001,0),MATCH('Index&amp;Match'!F205,'Main Data'!$A205:$O205,0))</f>
        <v>Mortgage</v>
      </c>
      <c r="G206" s="2" t="str">
        <f>INDEX('Main Data'!$A$1:$O$1001,MATCH('Index&amp;Match'!$A206,'Main Data'!$A$1:$A$1001,0),MATCH('Index&amp;Match'!G205,'Main Data'!$A205:$O205,0))</f>
        <v>Email Campaign</v>
      </c>
      <c r="H206" s="2" t="str">
        <f>INDEX('Main Data'!$A$1:$O$1001,MATCH('Index&amp;Match'!$A206,'Main Data'!$A$1:$A$1001,0),MATCH('Index&amp;Match'!H205,'Main Data'!$A205:$O205,0))</f>
        <v>Retail</v>
      </c>
      <c r="I206" s="2">
        <f>INDEX('Main Data'!$A$1:$O$1001,MATCH('Index&amp;Match'!$A206,'Main Data'!$A$1:$A$1001,0),MATCH('Index&amp;Match'!I205,'Main Data'!$A205:$O205,0))</f>
        <v>26</v>
      </c>
      <c r="J206" s="2">
        <f>INDEX('Main Data'!$A$1:$O$1001,MATCH('Index&amp;Match'!$A206,'Main Data'!$A$1:$A$1001,0),MATCH('Index&amp;Match'!J205,'Main Data'!$A205:$O205,0))</f>
        <v>26</v>
      </c>
      <c r="K206" s="11">
        <f>INDEX('Main Data'!$A$1:$O$1001,MATCH('Index&amp;Match'!$A206,'Main Data'!$A$1:$A$1001,0),MATCH('Index&amp;Match'!K205,'Main Data'!$A205:$O205,0))</f>
        <v>12491.73</v>
      </c>
      <c r="L206" s="11">
        <f>INDEX('Main Data'!$A$1:$O$1001,MATCH('Index&amp;Match'!$A206,'Main Data'!$A$1:$A$1001,0),MATCH('Index&amp;Match'!L205,'Main Data'!$A205:$O205,0))</f>
        <v>479.78</v>
      </c>
      <c r="M206" s="11">
        <f>INDEX('Main Data'!$A$1:$O$1001,MATCH('Index&amp;Match'!$A206,'Main Data'!$A$1:$A$1001,0),MATCH('Index&amp;Match'!M205,'Main Data'!$A205:$O205,0))</f>
        <v>53.02</v>
      </c>
      <c r="N206" s="2" t="str">
        <f>INDEX('Main Data'!$A$1:$O$1001,MATCH('Index&amp;Match'!$A206,'Main Data'!$A$1:$A$1001,0),MATCH('Index&amp;Match'!N205,'Main Data'!$A205:$O205,0))</f>
        <v>Yes</v>
      </c>
      <c r="O206" s="2">
        <f>INDEX('Main Data'!$A$1:$O$1001,MATCH('Index&amp;Match'!$A206,'Main Data'!$A$1:$A$1001,0),MATCH('Index&amp;Match'!O205,'Main Data'!$A205:$O205,0))</f>
        <v>37</v>
      </c>
    </row>
    <row r="207" spans="1:15" x14ac:dyDescent="0.3">
      <c r="A207" s="2" t="s">
        <v>264</v>
      </c>
      <c r="B207" s="1">
        <f>INDEX('Main Data'!$A$1:$O$1001,MATCH('Index&amp;Match'!$A207,'Main Data'!$A$1:$A$1001,0),MATCH('Index&amp;Match'!B206,'Main Data'!$A206:$O206,0))</f>
        <v>45933</v>
      </c>
      <c r="C207" s="2" t="str">
        <f>INDEX('Main Data'!$A$1:$O$1001,MATCH('Index&amp;Match'!$A207,'Main Data'!$A$1:$A$1001,0),MATCH('Index&amp;Match'!C206,'Main Data'!$A206:$O206,0))</f>
        <v>Casey</v>
      </c>
      <c r="D207" s="2" t="str">
        <f>INDEX('Main Data'!$A$1:$O$1001,MATCH('Index&amp;Match'!$A207,'Main Data'!$A$1:$A$1001,0),MATCH('Index&amp;Match'!D206,'Main Data'!$A206:$O206,0))</f>
        <v>BR-010</v>
      </c>
      <c r="E207" s="2" t="str">
        <f>INDEX('Main Data'!$A$1:$O$1001,MATCH('Index&amp;Match'!$A207,'Main Data'!$A$1:$A$1001,0),MATCH('Index&amp;Match'!E206,'Main Data'!$A206:$O206,0))</f>
        <v>South</v>
      </c>
      <c r="F207" s="2" t="str">
        <f>INDEX('Main Data'!$A$1:$O$1001,MATCH('Index&amp;Match'!$A207,'Main Data'!$A$1:$A$1001,0),MATCH('Index&amp;Match'!F206,'Main Data'!$A206:$O206,0))</f>
        <v>Wealth Management</v>
      </c>
      <c r="G207" s="2" t="str">
        <f>INDEX('Main Data'!$A$1:$O$1001,MATCH('Index&amp;Match'!$A207,'Main Data'!$A$1:$A$1001,0),MATCH('Index&amp;Match'!G206,'Main Data'!$A206:$O206,0))</f>
        <v>Walk-in</v>
      </c>
      <c r="H207" s="2" t="str">
        <f>INDEX('Main Data'!$A$1:$O$1001,MATCH('Index&amp;Match'!$A207,'Main Data'!$A$1:$A$1001,0),MATCH('Index&amp;Match'!H206,'Main Data'!$A206:$O206,0))</f>
        <v>Retail</v>
      </c>
      <c r="I207" s="2">
        <f>INDEX('Main Data'!$A$1:$O$1001,MATCH('Index&amp;Match'!$A207,'Main Data'!$A$1:$A$1001,0),MATCH('Index&amp;Match'!I206,'Main Data'!$A206:$O206,0))</f>
        <v>56</v>
      </c>
      <c r="J207" s="2">
        <f>INDEX('Main Data'!$A$1:$O$1001,MATCH('Index&amp;Match'!$A207,'Main Data'!$A$1:$A$1001,0),MATCH('Index&amp;Match'!J206,'Main Data'!$A206:$O206,0))</f>
        <v>56</v>
      </c>
      <c r="K207" s="11">
        <f>INDEX('Main Data'!$A$1:$O$1001,MATCH('Index&amp;Match'!$A207,'Main Data'!$A$1:$A$1001,0),MATCH('Index&amp;Match'!K206,'Main Data'!$A206:$O206,0))</f>
        <v>10572.66</v>
      </c>
      <c r="L207" s="11">
        <f>INDEX('Main Data'!$A$1:$O$1001,MATCH('Index&amp;Match'!$A207,'Main Data'!$A$1:$A$1001,0),MATCH('Index&amp;Match'!L206,'Main Data'!$A206:$O206,0))</f>
        <v>324.92</v>
      </c>
      <c r="M207" s="11">
        <f>INDEX('Main Data'!$A$1:$O$1001,MATCH('Index&amp;Match'!$A207,'Main Data'!$A$1:$A$1001,0),MATCH('Index&amp;Match'!M206,'Main Data'!$A206:$O206,0))</f>
        <v>146.86000000000001</v>
      </c>
      <c r="N207" s="2" t="str">
        <f>INDEX('Main Data'!$A$1:$O$1001,MATCH('Index&amp;Match'!$A207,'Main Data'!$A$1:$A$1001,0),MATCH('Index&amp;Match'!N206,'Main Data'!$A206:$O206,0))</f>
        <v>No</v>
      </c>
      <c r="O207" s="2">
        <f>INDEX('Main Data'!$A$1:$O$1001,MATCH('Index&amp;Match'!$A207,'Main Data'!$A$1:$A$1001,0),MATCH('Index&amp;Match'!O206,'Main Data'!$A206:$O206,0))</f>
        <v>74</v>
      </c>
    </row>
    <row r="208" spans="1:15" x14ac:dyDescent="0.3">
      <c r="A208" s="2" t="s">
        <v>265</v>
      </c>
      <c r="B208" s="1">
        <f>INDEX('Main Data'!$A$1:$O$1001,MATCH('Index&amp;Match'!$A208,'Main Data'!$A$1:$A$1001,0),MATCH('Index&amp;Match'!B207,'Main Data'!$A207:$O207,0))</f>
        <v>45988</v>
      </c>
      <c r="C208" s="2" t="str">
        <f>INDEX('Main Data'!$A$1:$O$1001,MATCH('Index&amp;Match'!$A208,'Main Data'!$A$1:$A$1001,0),MATCH('Index&amp;Match'!C207,'Main Data'!$A207:$O207,0))</f>
        <v>Drew</v>
      </c>
      <c r="D208" s="2" t="str">
        <f>INDEX('Main Data'!$A$1:$O$1001,MATCH('Index&amp;Match'!$A208,'Main Data'!$A$1:$A$1001,0),MATCH('Index&amp;Match'!D207,'Main Data'!$A207:$O207,0))</f>
        <v>BR-013</v>
      </c>
      <c r="E208" s="2" t="str">
        <f>INDEX('Main Data'!$A$1:$O$1001,MATCH('Index&amp;Match'!$A208,'Main Data'!$A$1:$A$1001,0),MATCH('Index&amp;Match'!E207,'Main Data'!$A207:$O207,0))</f>
        <v>North</v>
      </c>
      <c r="F208" s="2" t="str">
        <f>INDEX('Main Data'!$A$1:$O$1001,MATCH('Index&amp;Match'!$A208,'Main Data'!$A$1:$A$1001,0),MATCH('Index&amp;Match'!F207,'Main Data'!$A207:$O207,0))</f>
        <v>Mortgage</v>
      </c>
      <c r="G208" s="2" t="str">
        <f>INDEX('Main Data'!$A$1:$O$1001,MATCH('Index&amp;Match'!$A208,'Main Data'!$A$1:$A$1001,0),MATCH('Index&amp;Match'!G207,'Main Data'!$A207:$O207,0))</f>
        <v>Walk-in</v>
      </c>
      <c r="H208" s="2" t="str">
        <f>INDEX('Main Data'!$A$1:$O$1001,MATCH('Index&amp;Match'!$A208,'Main Data'!$A$1:$A$1001,0),MATCH('Index&amp;Match'!H207,'Main Data'!$A207:$O207,0))</f>
        <v>SME</v>
      </c>
      <c r="I208" s="2">
        <f>INDEX('Main Data'!$A$1:$O$1001,MATCH('Index&amp;Match'!$A208,'Main Data'!$A$1:$A$1001,0),MATCH('Index&amp;Match'!I207,'Main Data'!$A207:$O207,0))</f>
        <v>22</v>
      </c>
      <c r="J208" s="2">
        <f>INDEX('Main Data'!$A$1:$O$1001,MATCH('Index&amp;Match'!$A208,'Main Data'!$A$1:$A$1001,0),MATCH('Index&amp;Match'!J207,'Main Data'!$A207:$O207,0))</f>
        <v>22</v>
      </c>
      <c r="K208" s="11">
        <f>INDEX('Main Data'!$A$1:$O$1001,MATCH('Index&amp;Match'!$A208,'Main Data'!$A$1:$A$1001,0),MATCH('Index&amp;Match'!K207,'Main Data'!$A207:$O207,0))</f>
        <v>47750.42</v>
      </c>
      <c r="L208" s="11">
        <f>INDEX('Main Data'!$A$1:$O$1001,MATCH('Index&amp;Match'!$A208,'Main Data'!$A$1:$A$1001,0),MATCH('Index&amp;Match'!L207,'Main Data'!$A207:$O207,0))</f>
        <v>50.57</v>
      </c>
      <c r="M208" s="11">
        <f>INDEX('Main Data'!$A$1:$O$1001,MATCH('Index&amp;Match'!$A208,'Main Data'!$A$1:$A$1001,0),MATCH('Index&amp;Match'!M207,'Main Data'!$A207:$O207,0))</f>
        <v>127.19</v>
      </c>
      <c r="N208" s="2" t="str">
        <f>INDEX('Main Data'!$A$1:$O$1001,MATCH('Index&amp;Match'!$A208,'Main Data'!$A$1:$A$1001,0),MATCH('Index&amp;Match'!N207,'Main Data'!$A207:$O207,0))</f>
        <v>Yes</v>
      </c>
      <c r="O208" s="2">
        <f>INDEX('Main Data'!$A$1:$O$1001,MATCH('Index&amp;Match'!$A208,'Main Data'!$A$1:$A$1001,0),MATCH('Index&amp;Match'!O207,'Main Data'!$A207:$O207,0))</f>
        <v>73</v>
      </c>
    </row>
    <row r="209" spans="1:15" x14ac:dyDescent="0.3">
      <c r="A209" s="2" t="s">
        <v>266</v>
      </c>
      <c r="B209" s="1">
        <f>INDEX('Main Data'!$A$1:$O$1001,MATCH('Index&amp;Match'!$A209,'Main Data'!$A$1:$A$1001,0),MATCH('Index&amp;Match'!B208,'Main Data'!$A208:$O208,0))</f>
        <v>45895</v>
      </c>
      <c r="C209" s="2" t="str">
        <f>INDEX('Main Data'!$A$1:$O$1001,MATCH('Index&amp;Match'!$A209,'Main Data'!$A$1:$A$1001,0),MATCH('Index&amp;Match'!C208,'Main Data'!$A208:$O208,0))</f>
        <v>Morgan</v>
      </c>
      <c r="D209" s="2" t="str">
        <f>INDEX('Main Data'!$A$1:$O$1001,MATCH('Index&amp;Match'!$A209,'Main Data'!$A$1:$A$1001,0),MATCH('Index&amp;Match'!D208,'Main Data'!$A208:$O208,0))</f>
        <v>BR-011</v>
      </c>
      <c r="E209" s="2" t="str">
        <f>INDEX('Main Data'!$A$1:$O$1001,MATCH('Index&amp;Match'!$A209,'Main Data'!$A$1:$A$1001,0),MATCH('Index&amp;Match'!E208,'Main Data'!$A208:$O208,0))</f>
        <v>South</v>
      </c>
      <c r="F209" s="2" t="str">
        <f>INDEX('Main Data'!$A$1:$O$1001,MATCH('Index&amp;Match'!$A209,'Main Data'!$A$1:$A$1001,0),MATCH('Index&amp;Match'!F208,'Main Data'!$A208:$O208,0))</f>
        <v>Wealth Management</v>
      </c>
      <c r="G209" s="2" t="str">
        <f>INDEX('Main Data'!$A$1:$O$1001,MATCH('Index&amp;Match'!$A209,'Main Data'!$A$1:$A$1001,0),MATCH('Index&amp;Match'!G208,'Main Data'!$A208:$O208,0))</f>
        <v>Website</v>
      </c>
      <c r="H209" s="2" t="str">
        <f>INDEX('Main Data'!$A$1:$O$1001,MATCH('Index&amp;Match'!$A209,'Main Data'!$A$1:$A$1001,0),MATCH('Index&amp;Match'!H208,'Main Data'!$A208:$O208,0))</f>
        <v>SME</v>
      </c>
      <c r="I209" s="2">
        <f>INDEX('Main Data'!$A$1:$O$1001,MATCH('Index&amp;Match'!$A209,'Main Data'!$A$1:$A$1001,0),MATCH('Index&amp;Match'!I208,'Main Data'!$A208:$O208,0))</f>
        <v>42</v>
      </c>
      <c r="J209" s="2">
        <f>INDEX('Main Data'!$A$1:$O$1001,MATCH('Index&amp;Match'!$A209,'Main Data'!$A$1:$A$1001,0),MATCH('Index&amp;Match'!J208,'Main Data'!$A208:$O208,0))</f>
        <v>42</v>
      </c>
      <c r="K209" s="11">
        <f>INDEX('Main Data'!$A$1:$O$1001,MATCH('Index&amp;Match'!$A209,'Main Data'!$A$1:$A$1001,0),MATCH('Index&amp;Match'!K208,'Main Data'!$A208:$O208,0))</f>
        <v>45966.82</v>
      </c>
      <c r="L209" s="11">
        <f>INDEX('Main Data'!$A$1:$O$1001,MATCH('Index&amp;Match'!$A209,'Main Data'!$A$1:$A$1001,0),MATCH('Index&amp;Match'!L208,'Main Data'!$A208:$O208,0))</f>
        <v>452.3</v>
      </c>
      <c r="M209" s="11">
        <f>INDEX('Main Data'!$A$1:$O$1001,MATCH('Index&amp;Match'!$A209,'Main Data'!$A$1:$A$1001,0),MATCH('Index&amp;Match'!M208,'Main Data'!$A208:$O208,0))</f>
        <v>175</v>
      </c>
      <c r="N209" s="2" t="str">
        <f>INDEX('Main Data'!$A$1:$O$1001,MATCH('Index&amp;Match'!$A209,'Main Data'!$A$1:$A$1001,0),MATCH('Index&amp;Match'!N208,'Main Data'!$A208:$O208,0))</f>
        <v>No</v>
      </c>
      <c r="O209" s="2">
        <f>INDEX('Main Data'!$A$1:$O$1001,MATCH('Index&amp;Match'!$A209,'Main Data'!$A$1:$A$1001,0),MATCH('Index&amp;Match'!O208,'Main Data'!$A208:$O208,0))</f>
        <v>52</v>
      </c>
    </row>
    <row r="210" spans="1:15" x14ac:dyDescent="0.3">
      <c r="A210" s="2" t="s">
        <v>267</v>
      </c>
      <c r="B210" s="1">
        <f>INDEX('Main Data'!$A$1:$O$1001,MATCH('Index&amp;Match'!$A210,'Main Data'!$A$1:$A$1001,0),MATCH('Index&amp;Match'!B209,'Main Data'!$A209:$O209,0))</f>
        <v>46046</v>
      </c>
      <c r="C210" s="2" t="str">
        <f>INDEX('Main Data'!$A$1:$O$1001,MATCH('Index&amp;Match'!$A210,'Main Data'!$A$1:$A$1001,0),MATCH('Index&amp;Match'!C209,'Main Data'!$A209:$O209,0))</f>
        <v>Sam</v>
      </c>
      <c r="D210" s="2" t="str">
        <f>INDEX('Main Data'!$A$1:$O$1001,MATCH('Index&amp;Match'!$A210,'Main Data'!$A$1:$A$1001,0),MATCH('Index&amp;Match'!D209,'Main Data'!$A209:$O209,0))</f>
        <v>BR-009</v>
      </c>
      <c r="E210" s="2" t="str">
        <f>INDEX('Main Data'!$A$1:$O$1001,MATCH('Index&amp;Match'!$A210,'Main Data'!$A$1:$A$1001,0),MATCH('Index&amp;Match'!E209,'Main Data'!$A209:$O209,0))</f>
        <v>West</v>
      </c>
      <c r="F210" s="2" t="str">
        <f>INDEX('Main Data'!$A$1:$O$1001,MATCH('Index&amp;Match'!$A210,'Main Data'!$A$1:$A$1001,0),MATCH('Index&amp;Match'!F209,'Main Data'!$A209:$O209,0))</f>
        <v>Mortgage</v>
      </c>
      <c r="G210" s="2" t="str">
        <f>INDEX('Main Data'!$A$1:$O$1001,MATCH('Index&amp;Match'!$A210,'Main Data'!$A$1:$A$1001,0),MATCH('Index&amp;Match'!G209,'Main Data'!$A209:$O209,0))</f>
        <v>Website</v>
      </c>
      <c r="H210" s="2" t="str">
        <f>INDEX('Main Data'!$A$1:$O$1001,MATCH('Index&amp;Match'!$A210,'Main Data'!$A$1:$A$1001,0),MATCH('Index&amp;Match'!H209,'Main Data'!$A209:$O209,0))</f>
        <v>High Net Worth</v>
      </c>
      <c r="I210" s="2">
        <f>INDEX('Main Data'!$A$1:$O$1001,MATCH('Index&amp;Match'!$A210,'Main Data'!$A$1:$A$1001,0),MATCH('Index&amp;Match'!I209,'Main Data'!$A209:$O209,0))</f>
        <v>52</v>
      </c>
      <c r="J210" s="2">
        <f>INDEX('Main Data'!$A$1:$O$1001,MATCH('Index&amp;Match'!$A210,'Main Data'!$A$1:$A$1001,0),MATCH('Index&amp;Match'!J209,'Main Data'!$A209:$O209,0))</f>
        <v>52</v>
      </c>
      <c r="K210" s="11">
        <f>INDEX('Main Data'!$A$1:$O$1001,MATCH('Index&amp;Match'!$A210,'Main Data'!$A$1:$A$1001,0),MATCH('Index&amp;Match'!K209,'Main Data'!$A209:$O209,0))</f>
        <v>2826.13</v>
      </c>
      <c r="L210" s="11">
        <f>INDEX('Main Data'!$A$1:$O$1001,MATCH('Index&amp;Match'!$A210,'Main Data'!$A$1:$A$1001,0),MATCH('Index&amp;Match'!L209,'Main Data'!$A209:$O209,0))</f>
        <v>284.77</v>
      </c>
      <c r="M210" s="11">
        <f>INDEX('Main Data'!$A$1:$O$1001,MATCH('Index&amp;Match'!$A210,'Main Data'!$A$1:$A$1001,0),MATCH('Index&amp;Match'!M209,'Main Data'!$A209:$O209,0))</f>
        <v>24.83</v>
      </c>
      <c r="N210" s="2" t="str">
        <f>INDEX('Main Data'!$A$1:$O$1001,MATCH('Index&amp;Match'!$A210,'Main Data'!$A$1:$A$1001,0),MATCH('Index&amp;Match'!N209,'Main Data'!$A209:$O209,0))</f>
        <v>Yes</v>
      </c>
      <c r="O210" s="2">
        <f>INDEX('Main Data'!$A$1:$O$1001,MATCH('Index&amp;Match'!$A210,'Main Data'!$A$1:$A$1001,0),MATCH('Index&amp;Match'!O209,'Main Data'!$A209:$O209,0))</f>
        <v>71</v>
      </c>
    </row>
    <row r="211" spans="1:15" x14ac:dyDescent="0.3">
      <c r="A211" s="2" t="s">
        <v>268</v>
      </c>
      <c r="B211" s="1">
        <f>INDEX('Main Data'!$A$1:$O$1001,MATCH('Index&amp;Match'!$A211,'Main Data'!$A$1:$A$1001,0),MATCH('Index&amp;Match'!B210,'Main Data'!$A210:$O210,0))</f>
        <v>45946</v>
      </c>
      <c r="C211" s="2" t="str">
        <f>INDEX('Main Data'!$A$1:$O$1001,MATCH('Index&amp;Match'!$A211,'Main Data'!$A$1:$A$1001,0),MATCH('Index&amp;Match'!C210,'Main Data'!$A210:$O210,0))</f>
        <v>Casey</v>
      </c>
      <c r="D211" s="2" t="str">
        <f>INDEX('Main Data'!$A$1:$O$1001,MATCH('Index&amp;Match'!$A211,'Main Data'!$A$1:$A$1001,0),MATCH('Index&amp;Match'!D210,'Main Data'!$A210:$O210,0))</f>
        <v>BR-010</v>
      </c>
      <c r="E211" s="2" t="str">
        <f>INDEX('Main Data'!$A$1:$O$1001,MATCH('Index&amp;Match'!$A211,'Main Data'!$A$1:$A$1001,0),MATCH('Index&amp;Match'!E210,'Main Data'!$A210:$O210,0))</f>
        <v>West</v>
      </c>
      <c r="F211" s="2" t="str">
        <f>INDEX('Main Data'!$A$1:$O$1001,MATCH('Index&amp;Match'!$A211,'Main Data'!$A$1:$A$1001,0),MATCH('Index&amp;Match'!F210,'Main Data'!$A210:$O210,0))</f>
        <v>Personal Loan</v>
      </c>
      <c r="G211" s="2" t="str">
        <f>INDEX('Main Data'!$A$1:$O$1001,MATCH('Index&amp;Match'!$A211,'Main Data'!$A$1:$A$1001,0),MATCH('Index&amp;Match'!G210,'Main Data'!$A210:$O210,0))</f>
        <v>Walk-in</v>
      </c>
      <c r="H211" s="2" t="str">
        <f>INDEX('Main Data'!$A$1:$O$1001,MATCH('Index&amp;Match'!$A211,'Main Data'!$A$1:$A$1001,0),MATCH('Index&amp;Match'!H210,'Main Data'!$A210:$O210,0))</f>
        <v>SME</v>
      </c>
      <c r="I211" s="2">
        <f>INDEX('Main Data'!$A$1:$O$1001,MATCH('Index&amp;Match'!$A211,'Main Data'!$A$1:$A$1001,0),MATCH('Index&amp;Match'!I210,'Main Data'!$A210:$O210,0))</f>
        <v>36</v>
      </c>
      <c r="J211" s="2">
        <f>INDEX('Main Data'!$A$1:$O$1001,MATCH('Index&amp;Match'!$A211,'Main Data'!$A$1:$A$1001,0),MATCH('Index&amp;Match'!J210,'Main Data'!$A210:$O210,0))</f>
        <v>36</v>
      </c>
      <c r="K211" s="11">
        <f>INDEX('Main Data'!$A$1:$O$1001,MATCH('Index&amp;Match'!$A211,'Main Data'!$A$1:$A$1001,0),MATCH('Index&amp;Match'!K210,'Main Data'!$A210:$O210,0))</f>
        <v>17271.240000000002</v>
      </c>
      <c r="L211" s="11">
        <f>INDEX('Main Data'!$A$1:$O$1001,MATCH('Index&amp;Match'!$A211,'Main Data'!$A$1:$A$1001,0),MATCH('Index&amp;Match'!L210,'Main Data'!$A210:$O210,0))</f>
        <v>168.2</v>
      </c>
      <c r="M211" s="11">
        <f>INDEX('Main Data'!$A$1:$O$1001,MATCH('Index&amp;Match'!$A211,'Main Data'!$A$1:$A$1001,0),MATCH('Index&amp;Match'!M210,'Main Data'!$A210:$O210,0))</f>
        <v>183.02</v>
      </c>
      <c r="N211" s="2" t="str">
        <f>INDEX('Main Data'!$A$1:$O$1001,MATCH('Index&amp;Match'!$A211,'Main Data'!$A$1:$A$1001,0),MATCH('Index&amp;Match'!N210,'Main Data'!$A210:$O210,0))</f>
        <v>Yes</v>
      </c>
      <c r="O211" s="2">
        <f>INDEX('Main Data'!$A$1:$O$1001,MATCH('Index&amp;Match'!$A211,'Main Data'!$A$1:$A$1001,0),MATCH('Index&amp;Match'!O210,'Main Data'!$A210:$O210,0))</f>
        <v>2</v>
      </c>
    </row>
    <row r="212" spans="1:15" x14ac:dyDescent="0.3">
      <c r="A212" s="2" t="s">
        <v>269</v>
      </c>
      <c r="B212" s="1">
        <f>INDEX('Main Data'!$A$1:$O$1001,MATCH('Index&amp;Match'!$A212,'Main Data'!$A$1:$A$1001,0),MATCH('Index&amp;Match'!B211,'Main Data'!$A211:$O211,0))</f>
        <v>45975</v>
      </c>
      <c r="C212" s="2" t="str">
        <f>INDEX('Main Data'!$A$1:$O$1001,MATCH('Index&amp;Match'!$A212,'Main Data'!$A$1:$A$1001,0),MATCH('Index&amp;Match'!C211,'Main Data'!$A211:$O211,0))</f>
        <v>Jamie</v>
      </c>
      <c r="D212" s="2" t="str">
        <f>INDEX('Main Data'!$A$1:$O$1001,MATCH('Index&amp;Match'!$A212,'Main Data'!$A$1:$A$1001,0),MATCH('Index&amp;Match'!D211,'Main Data'!$A211:$O211,0))</f>
        <v>BR-009</v>
      </c>
      <c r="E212" s="2" t="str">
        <f>INDEX('Main Data'!$A$1:$O$1001,MATCH('Index&amp;Match'!$A212,'Main Data'!$A$1:$A$1001,0),MATCH('Index&amp;Match'!E211,'Main Data'!$A211:$O211,0))</f>
        <v>Central</v>
      </c>
      <c r="F212" s="2" t="str">
        <f>INDEX('Main Data'!$A$1:$O$1001,MATCH('Index&amp;Match'!$A212,'Main Data'!$A$1:$A$1001,0),MATCH('Index&amp;Match'!F211,'Main Data'!$A211:$O211,0))</f>
        <v>Mortgage</v>
      </c>
      <c r="G212" s="2" t="str">
        <f>INDEX('Main Data'!$A$1:$O$1001,MATCH('Index&amp;Match'!$A212,'Main Data'!$A$1:$A$1001,0),MATCH('Index&amp;Match'!G211,'Main Data'!$A211:$O211,0))</f>
        <v>Website</v>
      </c>
      <c r="H212" s="2" t="str">
        <f>INDEX('Main Data'!$A$1:$O$1001,MATCH('Index&amp;Match'!$A212,'Main Data'!$A$1:$A$1001,0),MATCH('Index&amp;Match'!H211,'Main Data'!$A211:$O211,0))</f>
        <v>SME</v>
      </c>
      <c r="I212" s="2">
        <f>INDEX('Main Data'!$A$1:$O$1001,MATCH('Index&amp;Match'!$A212,'Main Data'!$A$1:$A$1001,0),MATCH('Index&amp;Match'!I211,'Main Data'!$A211:$O211,0))</f>
        <v>38</v>
      </c>
      <c r="J212" s="2">
        <f>INDEX('Main Data'!$A$1:$O$1001,MATCH('Index&amp;Match'!$A212,'Main Data'!$A$1:$A$1001,0),MATCH('Index&amp;Match'!J211,'Main Data'!$A211:$O211,0))</f>
        <v>38</v>
      </c>
      <c r="K212" s="11">
        <f>INDEX('Main Data'!$A$1:$O$1001,MATCH('Index&amp;Match'!$A212,'Main Data'!$A$1:$A$1001,0),MATCH('Index&amp;Match'!K211,'Main Data'!$A211:$O211,0))</f>
        <v>20554.849999999999</v>
      </c>
      <c r="L212" s="11">
        <f>INDEX('Main Data'!$A$1:$O$1001,MATCH('Index&amp;Match'!$A212,'Main Data'!$A$1:$A$1001,0),MATCH('Index&amp;Match'!L211,'Main Data'!$A211:$O211,0))</f>
        <v>395.28</v>
      </c>
      <c r="M212" s="11">
        <f>INDEX('Main Data'!$A$1:$O$1001,MATCH('Index&amp;Match'!$A212,'Main Data'!$A$1:$A$1001,0),MATCH('Index&amp;Match'!M211,'Main Data'!$A211:$O211,0))</f>
        <v>58.67</v>
      </c>
      <c r="N212" s="2" t="str">
        <f>INDEX('Main Data'!$A$1:$O$1001,MATCH('Index&amp;Match'!$A212,'Main Data'!$A$1:$A$1001,0),MATCH('Index&amp;Match'!N211,'Main Data'!$A211:$O211,0))</f>
        <v>No</v>
      </c>
      <c r="O212" s="2">
        <f>INDEX('Main Data'!$A$1:$O$1001,MATCH('Index&amp;Match'!$A212,'Main Data'!$A$1:$A$1001,0),MATCH('Index&amp;Match'!O211,'Main Data'!$A211:$O211,0))</f>
        <v>118</v>
      </c>
    </row>
    <row r="213" spans="1:15" x14ac:dyDescent="0.3">
      <c r="A213" s="2" t="s">
        <v>270</v>
      </c>
      <c r="B213" s="1">
        <f>INDEX('Main Data'!$A$1:$O$1001,MATCH('Index&amp;Match'!$A213,'Main Data'!$A$1:$A$1001,0),MATCH('Index&amp;Match'!B212,'Main Data'!$A212:$O212,0))</f>
        <v>45998</v>
      </c>
      <c r="C213" s="2" t="str">
        <f>INDEX('Main Data'!$A$1:$O$1001,MATCH('Index&amp;Match'!$A213,'Main Data'!$A$1:$A$1001,0),MATCH('Index&amp;Match'!C212,'Main Data'!$A212:$O212,0))</f>
        <v>Jamie</v>
      </c>
      <c r="D213" s="2" t="str">
        <f>INDEX('Main Data'!$A$1:$O$1001,MATCH('Index&amp;Match'!$A213,'Main Data'!$A$1:$A$1001,0),MATCH('Index&amp;Match'!D212,'Main Data'!$A212:$O212,0))</f>
        <v>BR-015</v>
      </c>
      <c r="E213" s="2" t="str">
        <f>INDEX('Main Data'!$A$1:$O$1001,MATCH('Index&amp;Match'!$A213,'Main Data'!$A$1:$A$1001,0),MATCH('Index&amp;Match'!E212,'Main Data'!$A212:$O212,0))</f>
        <v>Central</v>
      </c>
      <c r="F213" s="2" t="str">
        <f>INDEX('Main Data'!$A$1:$O$1001,MATCH('Index&amp;Match'!$A213,'Main Data'!$A$1:$A$1001,0),MATCH('Index&amp;Match'!F212,'Main Data'!$A212:$O212,0))</f>
        <v>Personal Loan</v>
      </c>
      <c r="G213" s="2" t="str">
        <f>INDEX('Main Data'!$A$1:$O$1001,MATCH('Index&amp;Match'!$A213,'Main Data'!$A$1:$A$1001,0),MATCH('Index&amp;Match'!G212,'Main Data'!$A212:$O212,0))</f>
        <v>Social Media</v>
      </c>
      <c r="H213" s="2" t="str">
        <f>INDEX('Main Data'!$A$1:$O$1001,MATCH('Index&amp;Match'!$A213,'Main Data'!$A$1:$A$1001,0),MATCH('Index&amp;Match'!H212,'Main Data'!$A212:$O212,0))</f>
        <v>Corporate</v>
      </c>
      <c r="I213" s="2">
        <f>INDEX('Main Data'!$A$1:$O$1001,MATCH('Index&amp;Match'!$A213,'Main Data'!$A$1:$A$1001,0),MATCH('Index&amp;Match'!I212,'Main Data'!$A212:$O212,0))</f>
        <v>25</v>
      </c>
      <c r="J213" s="2">
        <f>INDEX('Main Data'!$A$1:$O$1001,MATCH('Index&amp;Match'!$A213,'Main Data'!$A$1:$A$1001,0),MATCH('Index&amp;Match'!J212,'Main Data'!$A212:$O212,0))</f>
        <v>25</v>
      </c>
      <c r="K213" s="11">
        <f>INDEX('Main Data'!$A$1:$O$1001,MATCH('Index&amp;Match'!$A213,'Main Data'!$A$1:$A$1001,0),MATCH('Index&amp;Match'!K212,'Main Data'!$A212:$O212,0))</f>
        <v>12331.22</v>
      </c>
      <c r="L213" s="11">
        <f>INDEX('Main Data'!$A$1:$O$1001,MATCH('Index&amp;Match'!$A213,'Main Data'!$A$1:$A$1001,0),MATCH('Index&amp;Match'!L212,'Main Data'!$A212:$O212,0))</f>
        <v>467</v>
      </c>
      <c r="M213" s="11">
        <f>INDEX('Main Data'!$A$1:$O$1001,MATCH('Index&amp;Match'!$A213,'Main Data'!$A$1:$A$1001,0),MATCH('Index&amp;Match'!M212,'Main Data'!$A212:$O212,0))</f>
        <v>98.14</v>
      </c>
      <c r="N213" s="2" t="str">
        <f>INDEX('Main Data'!$A$1:$O$1001,MATCH('Index&amp;Match'!$A213,'Main Data'!$A$1:$A$1001,0),MATCH('Index&amp;Match'!N212,'Main Data'!$A212:$O212,0))</f>
        <v>Yes</v>
      </c>
      <c r="O213" s="2">
        <f>INDEX('Main Data'!$A$1:$O$1001,MATCH('Index&amp;Match'!$A213,'Main Data'!$A$1:$A$1001,0),MATCH('Index&amp;Match'!O212,'Main Data'!$A212:$O212,0))</f>
        <v>56</v>
      </c>
    </row>
    <row r="214" spans="1:15" x14ac:dyDescent="0.3">
      <c r="A214" s="2" t="s">
        <v>271</v>
      </c>
      <c r="B214" s="1">
        <f>INDEX('Main Data'!$A$1:$O$1001,MATCH('Index&amp;Match'!$A214,'Main Data'!$A$1:$A$1001,0),MATCH('Index&amp;Match'!B213,'Main Data'!$A213:$O213,0))</f>
        <v>46226</v>
      </c>
      <c r="C214" s="2" t="str">
        <f>INDEX('Main Data'!$A$1:$O$1001,MATCH('Index&amp;Match'!$A214,'Main Data'!$A$1:$A$1001,0),MATCH('Index&amp;Match'!C213,'Main Data'!$A213:$O213,0))</f>
        <v>Casey</v>
      </c>
      <c r="D214" s="2" t="str">
        <f>INDEX('Main Data'!$A$1:$O$1001,MATCH('Index&amp;Match'!$A214,'Main Data'!$A$1:$A$1001,0),MATCH('Index&amp;Match'!D213,'Main Data'!$A213:$O213,0))</f>
        <v>BR-009</v>
      </c>
      <c r="E214" s="2" t="str">
        <f>INDEX('Main Data'!$A$1:$O$1001,MATCH('Index&amp;Match'!$A214,'Main Data'!$A$1:$A$1001,0),MATCH('Index&amp;Match'!E213,'Main Data'!$A213:$O213,0))</f>
        <v>West</v>
      </c>
      <c r="F214" s="2" t="str">
        <f>INDEX('Main Data'!$A$1:$O$1001,MATCH('Index&amp;Match'!$A214,'Main Data'!$A$1:$A$1001,0),MATCH('Index&amp;Match'!F213,'Main Data'!$A213:$O213,0))</f>
        <v>Mortgage</v>
      </c>
      <c r="G214" s="2" t="str">
        <f>INDEX('Main Data'!$A$1:$O$1001,MATCH('Index&amp;Match'!$A214,'Main Data'!$A$1:$A$1001,0),MATCH('Index&amp;Match'!G213,'Main Data'!$A213:$O213,0))</f>
        <v>Email Campaign</v>
      </c>
      <c r="H214" s="2" t="str">
        <f>INDEX('Main Data'!$A$1:$O$1001,MATCH('Index&amp;Match'!$A214,'Main Data'!$A$1:$A$1001,0),MATCH('Index&amp;Match'!H213,'Main Data'!$A213:$O213,0))</f>
        <v>High Net Worth</v>
      </c>
      <c r="I214" s="2">
        <f>INDEX('Main Data'!$A$1:$O$1001,MATCH('Index&amp;Match'!$A214,'Main Data'!$A$1:$A$1001,0),MATCH('Index&amp;Match'!I213,'Main Data'!$A213:$O213,0))</f>
        <v>74</v>
      </c>
      <c r="J214" s="2">
        <f>INDEX('Main Data'!$A$1:$O$1001,MATCH('Index&amp;Match'!$A214,'Main Data'!$A$1:$A$1001,0),MATCH('Index&amp;Match'!J213,'Main Data'!$A213:$O213,0))</f>
        <v>74</v>
      </c>
      <c r="K214" s="11">
        <f>INDEX('Main Data'!$A$1:$O$1001,MATCH('Index&amp;Match'!$A214,'Main Data'!$A$1:$A$1001,0),MATCH('Index&amp;Match'!K213,'Main Data'!$A213:$O213,0))</f>
        <v>31629.21</v>
      </c>
      <c r="L214" s="11">
        <f>INDEX('Main Data'!$A$1:$O$1001,MATCH('Index&amp;Match'!$A214,'Main Data'!$A$1:$A$1001,0),MATCH('Index&amp;Match'!L213,'Main Data'!$A213:$O213,0))</f>
        <v>267.66000000000003</v>
      </c>
      <c r="M214" s="11">
        <f>INDEX('Main Data'!$A$1:$O$1001,MATCH('Index&amp;Match'!$A214,'Main Data'!$A$1:$A$1001,0),MATCH('Index&amp;Match'!M213,'Main Data'!$A213:$O213,0))</f>
        <v>131.58000000000001</v>
      </c>
      <c r="N214" s="2" t="str">
        <f>INDEX('Main Data'!$A$1:$O$1001,MATCH('Index&amp;Match'!$A214,'Main Data'!$A$1:$A$1001,0),MATCH('Index&amp;Match'!N213,'Main Data'!$A213:$O213,0))</f>
        <v>No</v>
      </c>
      <c r="O214" s="2">
        <f>INDEX('Main Data'!$A$1:$O$1001,MATCH('Index&amp;Match'!$A214,'Main Data'!$A$1:$A$1001,0),MATCH('Index&amp;Match'!O213,'Main Data'!$A213:$O213,0))</f>
        <v>60</v>
      </c>
    </row>
    <row r="215" spans="1:15" x14ac:dyDescent="0.3">
      <c r="A215" s="2" t="s">
        <v>272</v>
      </c>
      <c r="B215" s="1">
        <f>INDEX('Main Data'!$A$1:$O$1001,MATCH('Index&amp;Match'!$A215,'Main Data'!$A$1:$A$1001,0),MATCH('Index&amp;Match'!B214,'Main Data'!$A214:$O214,0))</f>
        <v>45947</v>
      </c>
      <c r="C215" s="2" t="str">
        <f>INDEX('Main Data'!$A$1:$O$1001,MATCH('Index&amp;Match'!$A215,'Main Data'!$A$1:$A$1001,0),MATCH('Index&amp;Match'!C214,'Main Data'!$A214:$O214,0))</f>
        <v>Jamie</v>
      </c>
      <c r="D215" s="2" t="str">
        <f>INDEX('Main Data'!$A$1:$O$1001,MATCH('Index&amp;Match'!$A215,'Main Data'!$A$1:$A$1001,0),MATCH('Index&amp;Match'!D214,'Main Data'!$A214:$O214,0))</f>
        <v>BR-006</v>
      </c>
      <c r="E215" s="2" t="str">
        <f>INDEX('Main Data'!$A$1:$O$1001,MATCH('Index&amp;Match'!$A215,'Main Data'!$A$1:$A$1001,0),MATCH('Index&amp;Match'!E214,'Main Data'!$A214:$O214,0))</f>
        <v>West</v>
      </c>
      <c r="F215" s="2" t="str">
        <f>INDEX('Main Data'!$A$1:$O$1001,MATCH('Index&amp;Match'!$A215,'Main Data'!$A$1:$A$1001,0),MATCH('Index&amp;Match'!F214,'Main Data'!$A214:$O214,0))</f>
        <v>Wealth Management</v>
      </c>
      <c r="G215" s="2" t="str">
        <f>INDEX('Main Data'!$A$1:$O$1001,MATCH('Index&amp;Match'!$A215,'Main Data'!$A$1:$A$1001,0),MATCH('Index&amp;Match'!G214,'Main Data'!$A214:$O214,0))</f>
        <v>Email Campaign</v>
      </c>
      <c r="H215" s="2" t="str">
        <f>INDEX('Main Data'!$A$1:$O$1001,MATCH('Index&amp;Match'!$A215,'Main Data'!$A$1:$A$1001,0),MATCH('Index&amp;Match'!H214,'Main Data'!$A214:$O214,0))</f>
        <v>High Net Worth</v>
      </c>
      <c r="I215" s="2">
        <f>INDEX('Main Data'!$A$1:$O$1001,MATCH('Index&amp;Match'!$A215,'Main Data'!$A$1:$A$1001,0),MATCH('Index&amp;Match'!I214,'Main Data'!$A214:$O214,0))</f>
        <v>56</v>
      </c>
      <c r="J215" s="2">
        <f>INDEX('Main Data'!$A$1:$O$1001,MATCH('Index&amp;Match'!$A215,'Main Data'!$A$1:$A$1001,0),MATCH('Index&amp;Match'!J214,'Main Data'!$A214:$O214,0))</f>
        <v>56</v>
      </c>
      <c r="K215" s="11">
        <f>INDEX('Main Data'!$A$1:$O$1001,MATCH('Index&amp;Match'!$A215,'Main Data'!$A$1:$A$1001,0),MATCH('Index&amp;Match'!K214,'Main Data'!$A214:$O214,0))</f>
        <v>32198.85</v>
      </c>
      <c r="L215" s="11">
        <f>INDEX('Main Data'!$A$1:$O$1001,MATCH('Index&amp;Match'!$A215,'Main Data'!$A$1:$A$1001,0),MATCH('Index&amp;Match'!L214,'Main Data'!$A214:$O214,0))</f>
        <v>192</v>
      </c>
      <c r="M215" s="11">
        <f>INDEX('Main Data'!$A$1:$O$1001,MATCH('Index&amp;Match'!$A215,'Main Data'!$A$1:$A$1001,0),MATCH('Index&amp;Match'!M214,'Main Data'!$A214:$O214,0))</f>
        <v>228.09</v>
      </c>
      <c r="N215" s="2" t="str">
        <f>INDEX('Main Data'!$A$1:$O$1001,MATCH('Index&amp;Match'!$A215,'Main Data'!$A$1:$A$1001,0),MATCH('Index&amp;Match'!N214,'Main Data'!$A214:$O214,0))</f>
        <v>Yes</v>
      </c>
      <c r="O215" s="2">
        <f>INDEX('Main Data'!$A$1:$O$1001,MATCH('Index&amp;Match'!$A215,'Main Data'!$A$1:$A$1001,0),MATCH('Index&amp;Match'!O214,'Main Data'!$A214:$O214,0))</f>
        <v>23</v>
      </c>
    </row>
    <row r="216" spans="1:15" x14ac:dyDescent="0.3">
      <c r="A216" s="2" t="s">
        <v>273</v>
      </c>
      <c r="B216" s="1">
        <f>INDEX('Main Data'!$A$1:$O$1001,MATCH('Index&amp;Match'!$A216,'Main Data'!$A$1:$A$1001,0),MATCH('Index&amp;Match'!B215,'Main Data'!$A215:$O215,0))</f>
        <v>46101</v>
      </c>
      <c r="C216" s="2" t="str">
        <f>INDEX('Main Data'!$A$1:$O$1001,MATCH('Index&amp;Match'!$A216,'Main Data'!$A$1:$A$1001,0),MATCH('Index&amp;Match'!C215,'Main Data'!$A215:$O215,0))</f>
        <v>Taylor</v>
      </c>
      <c r="D216" s="2" t="str">
        <f>INDEX('Main Data'!$A$1:$O$1001,MATCH('Index&amp;Match'!$A216,'Main Data'!$A$1:$A$1001,0),MATCH('Index&amp;Match'!D215,'Main Data'!$A215:$O215,0))</f>
        <v>BR-015</v>
      </c>
      <c r="E216" s="2" t="str">
        <f>INDEX('Main Data'!$A$1:$O$1001,MATCH('Index&amp;Match'!$A216,'Main Data'!$A$1:$A$1001,0),MATCH('Index&amp;Match'!E215,'Main Data'!$A215:$O215,0))</f>
        <v>West</v>
      </c>
      <c r="F216" s="2" t="str">
        <f>INDEX('Main Data'!$A$1:$O$1001,MATCH('Index&amp;Match'!$A216,'Main Data'!$A$1:$A$1001,0),MATCH('Index&amp;Match'!F215,'Main Data'!$A215:$O215,0))</f>
        <v>Wealth Management</v>
      </c>
      <c r="G216" s="2" t="str">
        <f>INDEX('Main Data'!$A$1:$O$1001,MATCH('Index&amp;Match'!$A216,'Main Data'!$A$1:$A$1001,0),MATCH('Index&amp;Match'!G215,'Main Data'!$A215:$O215,0))</f>
        <v>Walk-in</v>
      </c>
      <c r="H216" s="2" t="str">
        <f>INDEX('Main Data'!$A$1:$O$1001,MATCH('Index&amp;Match'!$A216,'Main Data'!$A$1:$A$1001,0),MATCH('Index&amp;Match'!H215,'Main Data'!$A215:$O215,0))</f>
        <v>High Net Worth</v>
      </c>
      <c r="I216" s="2">
        <f>INDEX('Main Data'!$A$1:$O$1001,MATCH('Index&amp;Match'!$A216,'Main Data'!$A$1:$A$1001,0),MATCH('Index&amp;Match'!I215,'Main Data'!$A215:$O215,0))</f>
        <v>50</v>
      </c>
      <c r="J216" s="2">
        <f>INDEX('Main Data'!$A$1:$O$1001,MATCH('Index&amp;Match'!$A216,'Main Data'!$A$1:$A$1001,0),MATCH('Index&amp;Match'!J215,'Main Data'!$A215:$O215,0))</f>
        <v>50</v>
      </c>
      <c r="K216" s="11">
        <f>INDEX('Main Data'!$A$1:$O$1001,MATCH('Index&amp;Match'!$A216,'Main Data'!$A$1:$A$1001,0),MATCH('Index&amp;Match'!K215,'Main Data'!$A215:$O215,0))</f>
        <v>42599.96</v>
      </c>
      <c r="L216" s="11">
        <f>INDEX('Main Data'!$A$1:$O$1001,MATCH('Index&amp;Match'!$A216,'Main Data'!$A$1:$A$1001,0),MATCH('Index&amp;Match'!L215,'Main Data'!$A215:$O215,0))</f>
        <v>405.03</v>
      </c>
      <c r="M216" s="11">
        <f>INDEX('Main Data'!$A$1:$O$1001,MATCH('Index&amp;Match'!$A216,'Main Data'!$A$1:$A$1001,0),MATCH('Index&amp;Match'!M215,'Main Data'!$A215:$O215,0))</f>
        <v>126.1</v>
      </c>
      <c r="N216" s="2" t="str">
        <f>INDEX('Main Data'!$A$1:$O$1001,MATCH('Index&amp;Match'!$A216,'Main Data'!$A$1:$A$1001,0),MATCH('Index&amp;Match'!N215,'Main Data'!$A215:$O215,0))</f>
        <v>No</v>
      </c>
      <c r="O216" s="2">
        <f>INDEX('Main Data'!$A$1:$O$1001,MATCH('Index&amp;Match'!$A216,'Main Data'!$A$1:$A$1001,0),MATCH('Index&amp;Match'!O215,'Main Data'!$A215:$O215,0))</f>
        <v>103</v>
      </c>
    </row>
    <row r="217" spans="1:15" x14ac:dyDescent="0.3">
      <c r="A217" s="2" t="s">
        <v>274</v>
      </c>
      <c r="B217" s="1">
        <f>INDEX('Main Data'!$A$1:$O$1001,MATCH('Index&amp;Match'!$A217,'Main Data'!$A$1:$A$1001,0),MATCH('Index&amp;Match'!B216,'Main Data'!$A216:$O216,0))</f>
        <v>46084</v>
      </c>
      <c r="C217" s="2" t="str">
        <f>INDEX('Main Data'!$A$1:$O$1001,MATCH('Index&amp;Match'!$A217,'Main Data'!$A$1:$A$1001,0),MATCH('Index&amp;Match'!C216,'Main Data'!$A216:$O216,0))</f>
        <v>Casey</v>
      </c>
      <c r="D217" s="2" t="str">
        <f>INDEX('Main Data'!$A$1:$O$1001,MATCH('Index&amp;Match'!$A217,'Main Data'!$A$1:$A$1001,0),MATCH('Index&amp;Match'!D216,'Main Data'!$A216:$O216,0))</f>
        <v>BR-008</v>
      </c>
      <c r="E217" s="2" t="str">
        <f>INDEX('Main Data'!$A$1:$O$1001,MATCH('Index&amp;Match'!$A217,'Main Data'!$A$1:$A$1001,0),MATCH('Index&amp;Match'!E216,'Main Data'!$A216:$O216,0))</f>
        <v>South</v>
      </c>
      <c r="F217" s="2" t="str">
        <f>INDEX('Main Data'!$A$1:$O$1001,MATCH('Index&amp;Match'!$A217,'Main Data'!$A$1:$A$1001,0),MATCH('Index&amp;Match'!F216,'Main Data'!$A216:$O216,0))</f>
        <v>Wealth Management</v>
      </c>
      <c r="G217" s="2" t="str">
        <f>INDEX('Main Data'!$A$1:$O$1001,MATCH('Index&amp;Match'!$A217,'Main Data'!$A$1:$A$1001,0),MATCH('Index&amp;Match'!G216,'Main Data'!$A216:$O216,0))</f>
        <v>Referral</v>
      </c>
      <c r="H217" s="2" t="str">
        <f>INDEX('Main Data'!$A$1:$O$1001,MATCH('Index&amp;Match'!$A217,'Main Data'!$A$1:$A$1001,0),MATCH('Index&amp;Match'!H216,'Main Data'!$A216:$O216,0))</f>
        <v>Corporate</v>
      </c>
      <c r="I217" s="2">
        <f>INDEX('Main Data'!$A$1:$O$1001,MATCH('Index&amp;Match'!$A217,'Main Data'!$A$1:$A$1001,0),MATCH('Index&amp;Match'!I216,'Main Data'!$A216:$O216,0))</f>
        <v>65</v>
      </c>
      <c r="J217" s="2">
        <f>INDEX('Main Data'!$A$1:$O$1001,MATCH('Index&amp;Match'!$A217,'Main Data'!$A$1:$A$1001,0),MATCH('Index&amp;Match'!J216,'Main Data'!$A216:$O216,0))</f>
        <v>65</v>
      </c>
      <c r="K217" s="11">
        <f>INDEX('Main Data'!$A$1:$O$1001,MATCH('Index&amp;Match'!$A217,'Main Data'!$A$1:$A$1001,0),MATCH('Index&amp;Match'!K216,'Main Data'!$A216:$O216,0))</f>
        <v>37173.03</v>
      </c>
      <c r="L217" s="11">
        <f>INDEX('Main Data'!$A$1:$O$1001,MATCH('Index&amp;Match'!$A217,'Main Data'!$A$1:$A$1001,0),MATCH('Index&amp;Match'!L216,'Main Data'!$A216:$O216,0))</f>
        <v>356.8</v>
      </c>
      <c r="M217" s="11">
        <f>INDEX('Main Data'!$A$1:$O$1001,MATCH('Index&amp;Match'!$A217,'Main Data'!$A$1:$A$1001,0),MATCH('Index&amp;Match'!M216,'Main Data'!$A216:$O216,0))</f>
        <v>188.71</v>
      </c>
      <c r="N217" s="2" t="str">
        <f>INDEX('Main Data'!$A$1:$O$1001,MATCH('Index&amp;Match'!$A217,'Main Data'!$A$1:$A$1001,0),MATCH('Index&amp;Match'!N216,'Main Data'!$A216:$O216,0))</f>
        <v>No</v>
      </c>
      <c r="O217" s="2">
        <f>INDEX('Main Data'!$A$1:$O$1001,MATCH('Index&amp;Match'!$A217,'Main Data'!$A$1:$A$1001,0),MATCH('Index&amp;Match'!O216,'Main Data'!$A216:$O216,0))</f>
        <v>40</v>
      </c>
    </row>
    <row r="218" spans="1:15" x14ac:dyDescent="0.3">
      <c r="A218" s="2" t="s">
        <v>275</v>
      </c>
      <c r="B218" s="1">
        <f>INDEX('Main Data'!$A$1:$O$1001,MATCH('Index&amp;Match'!$A218,'Main Data'!$A$1:$A$1001,0),MATCH('Index&amp;Match'!B217,'Main Data'!$A217:$O217,0))</f>
        <v>46156</v>
      </c>
      <c r="C218" s="2" t="str">
        <f>INDEX('Main Data'!$A$1:$O$1001,MATCH('Index&amp;Match'!$A218,'Main Data'!$A$1:$A$1001,0),MATCH('Index&amp;Match'!C217,'Main Data'!$A217:$O217,0))</f>
        <v>Morgan</v>
      </c>
      <c r="D218" s="2" t="str">
        <f>INDEX('Main Data'!$A$1:$O$1001,MATCH('Index&amp;Match'!$A218,'Main Data'!$A$1:$A$1001,0),MATCH('Index&amp;Match'!D217,'Main Data'!$A217:$O217,0))</f>
        <v>BR-014</v>
      </c>
      <c r="E218" s="2" t="str">
        <f>INDEX('Main Data'!$A$1:$O$1001,MATCH('Index&amp;Match'!$A218,'Main Data'!$A$1:$A$1001,0),MATCH('Index&amp;Match'!E217,'Main Data'!$A217:$O217,0))</f>
        <v>West</v>
      </c>
      <c r="F218" s="2" t="str">
        <f>INDEX('Main Data'!$A$1:$O$1001,MATCH('Index&amp;Match'!$A218,'Main Data'!$A$1:$A$1001,0),MATCH('Index&amp;Match'!F217,'Main Data'!$A217:$O217,0))</f>
        <v>Auto Loan</v>
      </c>
      <c r="G218" s="2" t="str">
        <f>INDEX('Main Data'!$A$1:$O$1001,MATCH('Index&amp;Match'!$A218,'Main Data'!$A$1:$A$1001,0),MATCH('Index&amp;Match'!G217,'Main Data'!$A217:$O217,0))</f>
        <v>Walk-in</v>
      </c>
      <c r="H218" s="2" t="str">
        <f>INDEX('Main Data'!$A$1:$O$1001,MATCH('Index&amp;Match'!$A218,'Main Data'!$A$1:$A$1001,0),MATCH('Index&amp;Match'!H217,'Main Data'!$A217:$O217,0))</f>
        <v>SME</v>
      </c>
      <c r="I218" s="2">
        <f>INDEX('Main Data'!$A$1:$O$1001,MATCH('Index&amp;Match'!$A218,'Main Data'!$A$1:$A$1001,0),MATCH('Index&amp;Match'!I217,'Main Data'!$A217:$O217,0))</f>
        <v>39</v>
      </c>
      <c r="J218" s="2">
        <f>INDEX('Main Data'!$A$1:$O$1001,MATCH('Index&amp;Match'!$A218,'Main Data'!$A$1:$A$1001,0),MATCH('Index&amp;Match'!J217,'Main Data'!$A217:$O217,0))</f>
        <v>39</v>
      </c>
      <c r="K218" s="11">
        <f>INDEX('Main Data'!$A$1:$O$1001,MATCH('Index&amp;Match'!$A218,'Main Data'!$A$1:$A$1001,0),MATCH('Index&amp;Match'!K217,'Main Data'!$A217:$O217,0))</f>
        <v>27357.38</v>
      </c>
      <c r="L218" s="11">
        <f>INDEX('Main Data'!$A$1:$O$1001,MATCH('Index&amp;Match'!$A218,'Main Data'!$A$1:$A$1001,0),MATCH('Index&amp;Match'!L217,'Main Data'!$A217:$O217,0))</f>
        <v>449.94</v>
      </c>
      <c r="M218" s="11">
        <f>INDEX('Main Data'!$A$1:$O$1001,MATCH('Index&amp;Match'!$A218,'Main Data'!$A$1:$A$1001,0),MATCH('Index&amp;Match'!M217,'Main Data'!$A217:$O217,0))</f>
        <v>180.51</v>
      </c>
      <c r="N218" s="2" t="str">
        <f>INDEX('Main Data'!$A$1:$O$1001,MATCH('Index&amp;Match'!$A218,'Main Data'!$A$1:$A$1001,0),MATCH('Index&amp;Match'!N217,'Main Data'!$A217:$O217,0))</f>
        <v>No</v>
      </c>
      <c r="O218" s="2">
        <f>INDEX('Main Data'!$A$1:$O$1001,MATCH('Index&amp;Match'!$A218,'Main Data'!$A$1:$A$1001,0),MATCH('Index&amp;Match'!O217,'Main Data'!$A217:$O217,0))</f>
        <v>64</v>
      </c>
    </row>
    <row r="219" spans="1:15" x14ac:dyDescent="0.3">
      <c r="A219" s="2" t="s">
        <v>276</v>
      </c>
      <c r="B219" s="1">
        <f>INDEX('Main Data'!$A$1:$O$1001,MATCH('Index&amp;Match'!$A219,'Main Data'!$A$1:$A$1001,0),MATCH('Index&amp;Match'!B218,'Main Data'!$A218:$O218,0))</f>
        <v>46091</v>
      </c>
      <c r="C219" s="2" t="str">
        <f>INDEX('Main Data'!$A$1:$O$1001,MATCH('Index&amp;Match'!$A219,'Main Data'!$A$1:$A$1001,0),MATCH('Index&amp;Match'!C218,'Main Data'!$A218:$O218,0))</f>
        <v>Casey</v>
      </c>
      <c r="D219" s="2" t="str">
        <f>INDEX('Main Data'!$A$1:$O$1001,MATCH('Index&amp;Match'!$A219,'Main Data'!$A$1:$A$1001,0),MATCH('Index&amp;Match'!D218,'Main Data'!$A218:$O218,0))</f>
        <v>BR-011</v>
      </c>
      <c r="E219" s="2" t="str">
        <f>INDEX('Main Data'!$A$1:$O$1001,MATCH('Index&amp;Match'!$A219,'Main Data'!$A$1:$A$1001,0),MATCH('Index&amp;Match'!E218,'Main Data'!$A218:$O218,0))</f>
        <v>East</v>
      </c>
      <c r="F219" s="2" t="str">
        <f>INDEX('Main Data'!$A$1:$O$1001,MATCH('Index&amp;Match'!$A219,'Main Data'!$A$1:$A$1001,0),MATCH('Index&amp;Match'!F218,'Main Data'!$A218:$O218,0))</f>
        <v>Credit Card</v>
      </c>
      <c r="G219" s="2" t="str">
        <f>INDEX('Main Data'!$A$1:$O$1001,MATCH('Index&amp;Match'!$A219,'Main Data'!$A$1:$A$1001,0),MATCH('Index&amp;Match'!G218,'Main Data'!$A218:$O218,0))</f>
        <v>Website</v>
      </c>
      <c r="H219" s="2" t="str">
        <f>INDEX('Main Data'!$A$1:$O$1001,MATCH('Index&amp;Match'!$A219,'Main Data'!$A$1:$A$1001,0),MATCH('Index&amp;Match'!H218,'Main Data'!$A218:$O218,0))</f>
        <v>High Net Worth</v>
      </c>
      <c r="I219" s="2">
        <f>INDEX('Main Data'!$A$1:$O$1001,MATCH('Index&amp;Match'!$A219,'Main Data'!$A$1:$A$1001,0),MATCH('Index&amp;Match'!I218,'Main Data'!$A218:$O218,0))</f>
        <v>43</v>
      </c>
      <c r="J219" s="2">
        <f>INDEX('Main Data'!$A$1:$O$1001,MATCH('Index&amp;Match'!$A219,'Main Data'!$A$1:$A$1001,0),MATCH('Index&amp;Match'!J218,'Main Data'!$A218:$O218,0))</f>
        <v>43</v>
      </c>
      <c r="K219" s="11">
        <f>INDEX('Main Data'!$A$1:$O$1001,MATCH('Index&amp;Match'!$A219,'Main Data'!$A$1:$A$1001,0),MATCH('Index&amp;Match'!K218,'Main Data'!$A218:$O218,0))</f>
        <v>32852.550000000003</v>
      </c>
      <c r="L219" s="11">
        <f>INDEX('Main Data'!$A$1:$O$1001,MATCH('Index&amp;Match'!$A219,'Main Data'!$A$1:$A$1001,0),MATCH('Index&amp;Match'!L218,'Main Data'!$A218:$O218,0))</f>
        <v>361.63</v>
      </c>
      <c r="M219" s="11">
        <f>INDEX('Main Data'!$A$1:$O$1001,MATCH('Index&amp;Match'!$A219,'Main Data'!$A$1:$A$1001,0),MATCH('Index&amp;Match'!M218,'Main Data'!$A218:$O218,0))</f>
        <v>261.64</v>
      </c>
      <c r="N219" s="2" t="str">
        <f>INDEX('Main Data'!$A$1:$O$1001,MATCH('Index&amp;Match'!$A219,'Main Data'!$A$1:$A$1001,0),MATCH('Index&amp;Match'!N218,'Main Data'!$A218:$O218,0))</f>
        <v>No</v>
      </c>
      <c r="O219" s="2">
        <f>INDEX('Main Data'!$A$1:$O$1001,MATCH('Index&amp;Match'!$A219,'Main Data'!$A$1:$A$1001,0),MATCH('Index&amp;Match'!O218,'Main Data'!$A218:$O218,0))</f>
        <v>103</v>
      </c>
    </row>
    <row r="220" spans="1:15" x14ac:dyDescent="0.3">
      <c r="A220" s="2" t="s">
        <v>277</v>
      </c>
      <c r="B220" s="1">
        <f>INDEX('Main Data'!$A$1:$O$1001,MATCH('Index&amp;Match'!$A220,'Main Data'!$A$1:$A$1001,0),MATCH('Index&amp;Match'!B219,'Main Data'!$A219:$O219,0))</f>
        <v>45998</v>
      </c>
      <c r="C220" s="2" t="str">
        <f>INDEX('Main Data'!$A$1:$O$1001,MATCH('Index&amp;Match'!$A220,'Main Data'!$A$1:$A$1001,0),MATCH('Index&amp;Match'!C219,'Main Data'!$A219:$O219,0))</f>
        <v>Drew</v>
      </c>
      <c r="D220" s="2" t="str">
        <f>INDEX('Main Data'!$A$1:$O$1001,MATCH('Index&amp;Match'!$A220,'Main Data'!$A$1:$A$1001,0),MATCH('Index&amp;Match'!D219,'Main Data'!$A219:$O219,0))</f>
        <v>BR-015</v>
      </c>
      <c r="E220" s="2" t="str">
        <f>INDEX('Main Data'!$A$1:$O$1001,MATCH('Index&amp;Match'!$A220,'Main Data'!$A$1:$A$1001,0),MATCH('Index&amp;Match'!E219,'Main Data'!$A219:$O219,0))</f>
        <v>North</v>
      </c>
      <c r="F220" s="2" t="str">
        <f>INDEX('Main Data'!$A$1:$O$1001,MATCH('Index&amp;Match'!$A220,'Main Data'!$A$1:$A$1001,0),MATCH('Index&amp;Match'!F219,'Main Data'!$A219:$O219,0))</f>
        <v>Wealth Management</v>
      </c>
      <c r="G220" s="2" t="str">
        <f>INDEX('Main Data'!$A$1:$O$1001,MATCH('Index&amp;Match'!$A220,'Main Data'!$A$1:$A$1001,0),MATCH('Index&amp;Match'!G219,'Main Data'!$A219:$O219,0))</f>
        <v>Referral</v>
      </c>
      <c r="H220" s="2" t="str">
        <f>INDEX('Main Data'!$A$1:$O$1001,MATCH('Index&amp;Match'!$A220,'Main Data'!$A$1:$A$1001,0),MATCH('Index&amp;Match'!H219,'Main Data'!$A219:$O219,0))</f>
        <v>High Net Worth</v>
      </c>
      <c r="I220" s="2">
        <f>INDEX('Main Data'!$A$1:$O$1001,MATCH('Index&amp;Match'!$A220,'Main Data'!$A$1:$A$1001,0),MATCH('Index&amp;Match'!I219,'Main Data'!$A219:$O219,0))</f>
        <v>54</v>
      </c>
      <c r="J220" s="2">
        <f>INDEX('Main Data'!$A$1:$O$1001,MATCH('Index&amp;Match'!$A220,'Main Data'!$A$1:$A$1001,0),MATCH('Index&amp;Match'!J219,'Main Data'!$A219:$O219,0))</f>
        <v>54</v>
      </c>
      <c r="K220" s="11">
        <f>INDEX('Main Data'!$A$1:$O$1001,MATCH('Index&amp;Match'!$A220,'Main Data'!$A$1:$A$1001,0),MATCH('Index&amp;Match'!K219,'Main Data'!$A219:$O219,0))</f>
        <v>14062.44</v>
      </c>
      <c r="L220" s="11">
        <f>INDEX('Main Data'!$A$1:$O$1001,MATCH('Index&amp;Match'!$A220,'Main Data'!$A$1:$A$1001,0),MATCH('Index&amp;Match'!L219,'Main Data'!$A219:$O219,0))</f>
        <v>159.59</v>
      </c>
      <c r="M220" s="11">
        <f>INDEX('Main Data'!$A$1:$O$1001,MATCH('Index&amp;Match'!$A220,'Main Data'!$A$1:$A$1001,0),MATCH('Index&amp;Match'!M219,'Main Data'!$A219:$O219,0))</f>
        <v>21.38</v>
      </c>
      <c r="N220" s="2" t="str">
        <f>INDEX('Main Data'!$A$1:$O$1001,MATCH('Index&amp;Match'!$A220,'Main Data'!$A$1:$A$1001,0),MATCH('Index&amp;Match'!N219,'Main Data'!$A219:$O219,0))</f>
        <v>No</v>
      </c>
      <c r="O220" s="2">
        <f>INDEX('Main Data'!$A$1:$O$1001,MATCH('Index&amp;Match'!$A220,'Main Data'!$A$1:$A$1001,0),MATCH('Index&amp;Match'!O219,'Main Data'!$A219:$O219,0))</f>
        <v>85</v>
      </c>
    </row>
    <row r="221" spans="1:15" x14ac:dyDescent="0.3">
      <c r="A221" s="2" t="s">
        <v>278</v>
      </c>
      <c r="B221" s="1">
        <f>INDEX('Main Data'!$A$1:$O$1001,MATCH('Index&amp;Match'!$A221,'Main Data'!$A$1:$A$1001,0),MATCH('Index&amp;Match'!B220,'Main Data'!$A220:$O220,0))</f>
        <v>46182</v>
      </c>
      <c r="C221" s="2" t="str">
        <f>INDEX('Main Data'!$A$1:$O$1001,MATCH('Index&amp;Match'!$A221,'Main Data'!$A$1:$A$1001,0),MATCH('Index&amp;Match'!C220,'Main Data'!$A220:$O220,0))</f>
        <v>Jamie</v>
      </c>
      <c r="D221" s="2" t="str">
        <f>INDEX('Main Data'!$A$1:$O$1001,MATCH('Index&amp;Match'!$A221,'Main Data'!$A$1:$A$1001,0),MATCH('Index&amp;Match'!D220,'Main Data'!$A220:$O220,0))</f>
        <v>BR-013</v>
      </c>
      <c r="E221" s="2" t="str">
        <f>INDEX('Main Data'!$A$1:$O$1001,MATCH('Index&amp;Match'!$A221,'Main Data'!$A$1:$A$1001,0),MATCH('Index&amp;Match'!E220,'Main Data'!$A220:$O220,0))</f>
        <v>West</v>
      </c>
      <c r="F221" s="2" t="str">
        <f>INDEX('Main Data'!$A$1:$O$1001,MATCH('Index&amp;Match'!$A221,'Main Data'!$A$1:$A$1001,0),MATCH('Index&amp;Match'!F220,'Main Data'!$A220:$O220,0))</f>
        <v>Personal Loan</v>
      </c>
      <c r="G221" s="2" t="str">
        <f>INDEX('Main Data'!$A$1:$O$1001,MATCH('Index&amp;Match'!$A221,'Main Data'!$A$1:$A$1001,0),MATCH('Index&amp;Match'!G220,'Main Data'!$A220:$O220,0))</f>
        <v>Website</v>
      </c>
      <c r="H221" s="2" t="str">
        <f>INDEX('Main Data'!$A$1:$O$1001,MATCH('Index&amp;Match'!$A221,'Main Data'!$A$1:$A$1001,0),MATCH('Index&amp;Match'!H220,'Main Data'!$A220:$O220,0))</f>
        <v>Retail</v>
      </c>
      <c r="I221" s="2">
        <f>INDEX('Main Data'!$A$1:$O$1001,MATCH('Index&amp;Match'!$A221,'Main Data'!$A$1:$A$1001,0),MATCH('Index&amp;Match'!I220,'Main Data'!$A220:$O220,0))</f>
        <v>33</v>
      </c>
      <c r="J221" s="2">
        <f>INDEX('Main Data'!$A$1:$O$1001,MATCH('Index&amp;Match'!$A221,'Main Data'!$A$1:$A$1001,0),MATCH('Index&amp;Match'!J220,'Main Data'!$A220:$O220,0))</f>
        <v>33</v>
      </c>
      <c r="K221" s="11">
        <f>INDEX('Main Data'!$A$1:$O$1001,MATCH('Index&amp;Match'!$A221,'Main Data'!$A$1:$A$1001,0),MATCH('Index&amp;Match'!K220,'Main Data'!$A220:$O220,0))</f>
        <v>29856.28</v>
      </c>
      <c r="L221" s="11">
        <f>INDEX('Main Data'!$A$1:$O$1001,MATCH('Index&amp;Match'!$A221,'Main Data'!$A$1:$A$1001,0),MATCH('Index&amp;Match'!L220,'Main Data'!$A220:$O220,0))</f>
        <v>469.25</v>
      </c>
      <c r="M221" s="11">
        <f>INDEX('Main Data'!$A$1:$O$1001,MATCH('Index&amp;Match'!$A221,'Main Data'!$A$1:$A$1001,0),MATCH('Index&amp;Match'!M220,'Main Data'!$A220:$O220,0))</f>
        <v>170.85</v>
      </c>
      <c r="N221" s="2" t="str">
        <f>INDEX('Main Data'!$A$1:$O$1001,MATCH('Index&amp;Match'!$A221,'Main Data'!$A$1:$A$1001,0),MATCH('Index&amp;Match'!N220,'Main Data'!$A220:$O220,0))</f>
        <v>No</v>
      </c>
      <c r="O221" s="2">
        <f>INDEX('Main Data'!$A$1:$O$1001,MATCH('Index&amp;Match'!$A221,'Main Data'!$A$1:$A$1001,0),MATCH('Index&amp;Match'!O220,'Main Data'!$A220:$O220,0))</f>
        <v>23</v>
      </c>
    </row>
    <row r="222" spans="1:15" x14ac:dyDescent="0.3">
      <c r="A222" s="2" t="s">
        <v>279</v>
      </c>
      <c r="B222" s="1">
        <f>INDEX('Main Data'!$A$1:$O$1001,MATCH('Index&amp;Match'!$A222,'Main Data'!$A$1:$A$1001,0),MATCH('Index&amp;Match'!B221,'Main Data'!$A221:$O221,0))</f>
        <v>46025</v>
      </c>
      <c r="C222" s="2" t="str">
        <f>INDEX('Main Data'!$A$1:$O$1001,MATCH('Index&amp;Match'!$A222,'Main Data'!$A$1:$A$1001,0),MATCH('Index&amp;Match'!C221,'Main Data'!$A221:$O221,0))</f>
        <v>Taylor</v>
      </c>
      <c r="D222" s="2" t="str">
        <f>INDEX('Main Data'!$A$1:$O$1001,MATCH('Index&amp;Match'!$A222,'Main Data'!$A$1:$A$1001,0),MATCH('Index&amp;Match'!D221,'Main Data'!$A221:$O221,0))</f>
        <v>BR-001</v>
      </c>
      <c r="E222" s="2" t="str">
        <f>INDEX('Main Data'!$A$1:$O$1001,MATCH('Index&amp;Match'!$A222,'Main Data'!$A$1:$A$1001,0),MATCH('Index&amp;Match'!E221,'Main Data'!$A221:$O221,0))</f>
        <v>North</v>
      </c>
      <c r="F222" s="2" t="str">
        <f>INDEX('Main Data'!$A$1:$O$1001,MATCH('Index&amp;Match'!$A222,'Main Data'!$A$1:$A$1001,0),MATCH('Index&amp;Match'!F221,'Main Data'!$A221:$O221,0))</f>
        <v>Wealth Management</v>
      </c>
      <c r="G222" s="2" t="str">
        <f>INDEX('Main Data'!$A$1:$O$1001,MATCH('Index&amp;Match'!$A222,'Main Data'!$A$1:$A$1001,0),MATCH('Index&amp;Match'!G221,'Main Data'!$A221:$O221,0))</f>
        <v>Social Media</v>
      </c>
      <c r="H222" s="2" t="str">
        <f>INDEX('Main Data'!$A$1:$O$1001,MATCH('Index&amp;Match'!$A222,'Main Data'!$A$1:$A$1001,0),MATCH('Index&amp;Match'!H221,'Main Data'!$A221:$O221,0))</f>
        <v>High Net Worth</v>
      </c>
      <c r="I222" s="2">
        <f>INDEX('Main Data'!$A$1:$O$1001,MATCH('Index&amp;Match'!$A222,'Main Data'!$A$1:$A$1001,0),MATCH('Index&amp;Match'!I221,'Main Data'!$A221:$O221,0))</f>
        <v>63</v>
      </c>
      <c r="J222" s="2">
        <f>INDEX('Main Data'!$A$1:$O$1001,MATCH('Index&amp;Match'!$A222,'Main Data'!$A$1:$A$1001,0),MATCH('Index&amp;Match'!J221,'Main Data'!$A221:$O221,0))</f>
        <v>63</v>
      </c>
      <c r="K222" s="11">
        <f>INDEX('Main Data'!$A$1:$O$1001,MATCH('Index&amp;Match'!$A222,'Main Data'!$A$1:$A$1001,0),MATCH('Index&amp;Match'!K221,'Main Data'!$A221:$O221,0))</f>
        <v>24716.75</v>
      </c>
      <c r="L222" s="11">
        <f>INDEX('Main Data'!$A$1:$O$1001,MATCH('Index&amp;Match'!$A222,'Main Data'!$A$1:$A$1001,0),MATCH('Index&amp;Match'!L221,'Main Data'!$A221:$O221,0))</f>
        <v>97.18</v>
      </c>
      <c r="M222" s="11">
        <f>INDEX('Main Data'!$A$1:$O$1001,MATCH('Index&amp;Match'!$A222,'Main Data'!$A$1:$A$1001,0),MATCH('Index&amp;Match'!M221,'Main Data'!$A221:$O221,0))</f>
        <v>234.5</v>
      </c>
      <c r="N222" s="2" t="str">
        <f>INDEX('Main Data'!$A$1:$O$1001,MATCH('Index&amp;Match'!$A222,'Main Data'!$A$1:$A$1001,0),MATCH('Index&amp;Match'!N221,'Main Data'!$A221:$O221,0))</f>
        <v>Yes</v>
      </c>
      <c r="O222" s="2">
        <f>INDEX('Main Data'!$A$1:$O$1001,MATCH('Index&amp;Match'!$A222,'Main Data'!$A$1:$A$1001,0),MATCH('Index&amp;Match'!O221,'Main Data'!$A221:$O221,0))</f>
        <v>29</v>
      </c>
    </row>
    <row r="223" spans="1:15" x14ac:dyDescent="0.3">
      <c r="A223" s="2" t="s">
        <v>280</v>
      </c>
      <c r="B223" s="1">
        <f>INDEX('Main Data'!$A$1:$O$1001,MATCH('Index&amp;Match'!$A223,'Main Data'!$A$1:$A$1001,0),MATCH('Index&amp;Match'!B222,'Main Data'!$A222:$O222,0))</f>
        <v>45881</v>
      </c>
      <c r="C223" s="2" t="str">
        <f>INDEX('Main Data'!$A$1:$O$1001,MATCH('Index&amp;Match'!$A223,'Main Data'!$A$1:$A$1001,0),MATCH('Index&amp;Match'!C222,'Main Data'!$A222:$O222,0))</f>
        <v>Taylor</v>
      </c>
      <c r="D223" s="2" t="str">
        <f>INDEX('Main Data'!$A$1:$O$1001,MATCH('Index&amp;Match'!$A223,'Main Data'!$A$1:$A$1001,0),MATCH('Index&amp;Match'!D222,'Main Data'!$A222:$O222,0))</f>
        <v>BR-010</v>
      </c>
      <c r="E223" s="2" t="str">
        <f>INDEX('Main Data'!$A$1:$O$1001,MATCH('Index&amp;Match'!$A223,'Main Data'!$A$1:$A$1001,0),MATCH('Index&amp;Match'!E222,'Main Data'!$A222:$O222,0))</f>
        <v>South</v>
      </c>
      <c r="F223" s="2" t="str">
        <f>INDEX('Main Data'!$A$1:$O$1001,MATCH('Index&amp;Match'!$A223,'Main Data'!$A$1:$A$1001,0),MATCH('Index&amp;Match'!F222,'Main Data'!$A222:$O222,0))</f>
        <v>Auto Loan</v>
      </c>
      <c r="G223" s="2" t="str">
        <f>INDEX('Main Data'!$A$1:$O$1001,MATCH('Index&amp;Match'!$A223,'Main Data'!$A$1:$A$1001,0),MATCH('Index&amp;Match'!G222,'Main Data'!$A222:$O222,0))</f>
        <v>Website</v>
      </c>
      <c r="H223" s="2" t="str">
        <f>INDEX('Main Data'!$A$1:$O$1001,MATCH('Index&amp;Match'!$A223,'Main Data'!$A$1:$A$1001,0),MATCH('Index&amp;Match'!H222,'Main Data'!$A222:$O222,0))</f>
        <v>SME</v>
      </c>
      <c r="I223" s="2">
        <f>INDEX('Main Data'!$A$1:$O$1001,MATCH('Index&amp;Match'!$A223,'Main Data'!$A$1:$A$1001,0),MATCH('Index&amp;Match'!I222,'Main Data'!$A222:$O222,0))</f>
        <v>74</v>
      </c>
      <c r="J223" s="2">
        <f>INDEX('Main Data'!$A$1:$O$1001,MATCH('Index&amp;Match'!$A223,'Main Data'!$A$1:$A$1001,0),MATCH('Index&amp;Match'!J222,'Main Data'!$A222:$O222,0))</f>
        <v>74</v>
      </c>
      <c r="K223" s="11">
        <f>INDEX('Main Data'!$A$1:$O$1001,MATCH('Index&amp;Match'!$A223,'Main Data'!$A$1:$A$1001,0),MATCH('Index&amp;Match'!K222,'Main Data'!$A222:$O222,0))</f>
        <v>7100.55</v>
      </c>
      <c r="L223" s="11">
        <f>INDEX('Main Data'!$A$1:$O$1001,MATCH('Index&amp;Match'!$A223,'Main Data'!$A$1:$A$1001,0),MATCH('Index&amp;Match'!L222,'Main Data'!$A222:$O222,0))</f>
        <v>170.57</v>
      </c>
      <c r="M223" s="11">
        <f>INDEX('Main Data'!$A$1:$O$1001,MATCH('Index&amp;Match'!$A223,'Main Data'!$A$1:$A$1001,0),MATCH('Index&amp;Match'!M222,'Main Data'!$A222:$O222,0))</f>
        <v>20.7</v>
      </c>
      <c r="N223" s="2" t="str">
        <f>INDEX('Main Data'!$A$1:$O$1001,MATCH('Index&amp;Match'!$A223,'Main Data'!$A$1:$A$1001,0),MATCH('Index&amp;Match'!N222,'Main Data'!$A222:$O222,0))</f>
        <v>Yes</v>
      </c>
      <c r="O223" s="2">
        <f>INDEX('Main Data'!$A$1:$O$1001,MATCH('Index&amp;Match'!$A223,'Main Data'!$A$1:$A$1001,0),MATCH('Index&amp;Match'!O222,'Main Data'!$A222:$O222,0))</f>
        <v>78</v>
      </c>
    </row>
    <row r="224" spans="1:15" x14ac:dyDescent="0.3">
      <c r="A224" s="2" t="s">
        <v>281</v>
      </c>
      <c r="B224" s="1">
        <f>INDEX('Main Data'!$A$1:$O$1001,MATCH('Index&amp;Match'!$A224,'Main Data'!$A$1:$A$1001,0),MATCH('Index&amp;Match'!B223,'Main Data'!$A223:$O223,0))</f>
        <v>46214</v>
      </c>
      <c r="C224" s="2" t="str">
        <f>INDEX('Main Data'!$A$1:$O$1001,MATCH('Index&amp;Match'!$A224,'Main Data'!$A$1:$A$1001,0),MATCH('Index&amp;Match'!C223,'Main Data'!$A223:$O223,0))</f>
        <v>Sam</v>
      </c>
      <c r="D224" s="2" t="str">
        <f>INDEX('Main Data'!$A$1:$O$1001,MATCH('Index&amp;Match'!$A224,'Main Data'!$A$1:$A$1001,0),MATCH('Index&amp;Match'!D223,'Main Data'!$A223:$O223,0))</f>
        <v>BR-004</v>
      </c>
      <c r="E224" s="2" t="str">
        <f>INDEX('Main Data'!$A$1:$O$1001,MATCH('Index&amp;Match'!$A224,'Main Data'!$A$1:$A$1001,0),MATCH('Index&amp;Match'!E223,'Main Data'!$A223:$O223,0))</f>
        <v>North</v>
      </c>
      <c r="F224" s="2" t="str">
        <f>INDEX('Main Data'!$A$1:$O$1001,MATCH('Index&amp;Match'!$A224,'Main Data'!$A$1:$A$1001,0),MATCH('Index&amp;Match'!F223,'Main Data'!$A223:$O223,0))</f>
        <v>Personal Loan</v>
      </c>
      <c r="G224" s="2" t="str">
        <f>INDEX('Main Data'!$A$1:$O$1001,MATCH('Index&amp;Match'!$A224,'Main Data'!$A$1:$A$1001,0),MATCH('Index&amp;Match'!G223,'Main Data'!$A223:$O223,0))</f>
        <v>Social Media</v>
      </c>
      <c r="H224" s="2" t="str">
        <f>INDEX('Main Data'!$A$1:$O$1001,MATCH('Index&amp;Match'!$A224,'Main Data'!$A$1:$A$1001,0),MATCH('Index&amp;Match'!H223,'Main Data'!$A223:$O223,0))</f>
        <v>SME</v>
      </c>
      <c r="I224" s="2">
        <f>INDEX('Main Data'!$A$1:$O$1001,MATCH('Index&amp;Match'!$A224,'Main Data'!$A$1:$A$1001,0),MATCH('Index&amp;Match'!I223,'Main Data'!$A223:$O223,0))</f>
        <v>49</v>
      </c>
      <c r="J224" s="2">
        <f>INDEX('Main Data'!$A$1:$O$1001,MATCH('Index&amp;Match'!$A224,'Main Data'!$A$1:$A$1001,0),MATCH('Index&amp;Match'!J223,'Main Data'!$A223:$O223,0))</f>
        <v>49</v>
      </c>
      <c r="K224" s="11">
        <f>INDEX('Main Data'!$A$1:$O$1001,MATCH('Index&amp;Match'!$A224,'Main Data'!$A$1:$A$1001,0),MATCH('Index&amp;Match'!K223,'Main Data'!$A223:$O223,0))</f>
        <v>12505.94</v>
      </c>
      <c r="L224" s="11">
        <f>INDEX('Main Data'!$A$1:$O$1001,MATCH('Index&amp;Match'!$A224,'Main Data'!$A$1:$A$1001,0),MATCH('Index&amp;Match'!L223,'Main Data'!$A223:$O223,0))</f>
        <v>284.08999999999997</v>
      </c>
      <c r="M224" s="11">
        <f>INDEX('Main Data'!$A$1:$O$1001,MATCH('Index&amp;Match'!$A224,'Main Data'!$A$1:$A$1001,0),MATCH('Index&amp;Match'!M223,'Main Data'!$A223:$O223,0))</f>
        <v>21.48</v>
      </c>
      <c r="N224" s="2" t="str">
        <f>INDEX('Main Data'!$A$1:$O$1001,MATCH('Index&amp;Match'!$A224,'Main Data'!$A$1:$A$1001,0),MATCH('Index&amp;Match'!N223,'Main Data'!$A223:$O223,0))</f>
        <v>No</v>
      </c>
      <c r="O224" s="2">
        <f>INDEX('Main Data'!$A$1:$O$1001,MATCH('Index&amp;Match'!$A224,'Main Data'!$A$1:$A$1001,0),MATCH('Index&amp;Match'!O223,'Main Data'!$A223:$O223,0))</f>
        <v>90</v>
      </c>
    </row>
    <row r="225" spans="1:15" x14ac:dyDescent="0.3">
      <c r="A225" s="2" t="s">
        <v>282</v>
      </c>
      <c r="B225" s="1">
        <f>INDEX('Main Data'!$A$1:$O$1001,MATCH('Index&amp;Match'!$A225,'Main Data'!$A$1:$A$1001,0),MATCH('Index&amp;Match'!B224,'Main Data'!$A224:$O224,0))</f>
        <v>45955</v>
      </c>
      <c r="C225" s="2" t="str">
        <f>INDEX('Main Data'!$A$1:$O$1001,MATCH('Index&amp;Match'!$A225,'Main Data'!$A$1:$A$1001,0),MATCH('Index&amp;Match'!C224,'Main Data'!$A224:$O224,0))</f>
        <v>Morgan</v>
      </c>
      <c r="D225" s="2" t="str">
        <f>INDEX('Main Data'!$A$1:$O$1001,MATCH('Index&amp;Match'!$A225,'Main Data'!$A$1:$A$1001,0),MATCH('Index&amp;Match'!D224,'Main Data'!$A224:$O224,0))</f>
        <v>BR-001</v>
      </c>
      <c r="E225" s="2" t="str">
        <f>INDEX('Main Data'!$A$1:$O$1001,MATCH('Index&amp;Match'!$A225,'Main Data'!$A$1:$A$1001,0),MATCH('Index&amp;Match'!E224,'Main Data'!$A224:$O224,0))</f>
        <v>South</v>
      </c>
      <c r="F225" s="2" t="str">
        <f>INDEX('Main Data'!$A$1:$O$1001,MATCH('Index&amp;Match'!$A225,'Main Data'!$A$1:$A$1001,0),MATCH('Index&amp;Match'!F224,'Main Data'!$A224:$O224,0))</f>
        <v>Auto Loan</v>
      </c>
      <c r="G225" s="2" t="str">
        <f>INDEX('Main Data'!$A$1:$O$1001,MATCH('Index&amp;Match'!$A225,'Main Data'!$A$1:$A$1001,0),MATCH('Index&amp;Match'!G224,'Main Data'!$A224:$O224,0))</f>
        <v>Social Media</v>
      </c>
      <c r="H225" s="2" t="str">
        <f>INDEX('Main Data'!$A$1:$O$1001,MATCH('Index&amp;Match'!$A225,'Main Data'!$A$1:$A$1001,0),MATCH('Index&amp;Match'!H224,'Main Data'!$A224:$O224,0))</f>
        <v>Retail</v>
      </c>
      <c r="I225" s="2">
        <f>INDEX('Main Data'!$A$1:$O$1001,MATCH('Index&amp;Match'!$A225,'Main Data'!$A$1:$A$1001,0),MATCH('Index&amp;Match'!I224,'Main Data'!$A224:$O224,0))</f>
        <v>56</v>
      </c>
      <c r="J225" s="2">
        <f>INDEX('Main Data'!$A$1:$O$1001,MATCH('Index&amp;Match'!$A225,'Main Data'!$A$1:$A$1001,0),MATCH('Index&amp;Match'!J224,'Main Data'!$A224:$O224,0))</f>
        <v>56</v>
      </c>
      <c r="K225" s="11">
        <f>INDEX('Main Data'!$A$1:$O$1001,MATCH('Index&amp;Match'!$A225,'Main Data'!$A$1:$A$1001,0),MATCH('Index&amp;Match'!K224,'Main Data'!$A224:$O224,0))</f>
        <v>14938.83</v>
      </c>
      <c r="L225" s="11">
        <f>INDEX('Main Data'!$A$1:$O$1001,MATCH('Index&amp;Match'!$A225,'Main Data'!$A$1:$A$1001,0),MATCH('Index&amp;Match'!L224,'Main Data'!$A224:$O224,0))</f>
        <v>304.58</v>
      </c>
      <c r="M225" s="11">
        <f>INDEX('Main Data'!$A$1:$O$1001,MATCH('Index&amp;Match'!$A225,'Main Data'!$A$1:$A$1001,0),MATCH('Index&amp;Match'!M224,'Main Data'!$A224:$O224,0))</f>
        <v>20.23</v>
      </c>
      <c r="N225" s="2" t="str">
        <f>INDEX('Main Data'!$A$1:$O$1001,MATCH('Index&amp;Match'!$A225,'Main Data'!$A$1:$A$1001,0),MATCH('Index&amp;Match'!N224,'Main Data'!$A224:$O224,0))</f>
        <v>No</v>
      </c>
      <c r="O225" s="2">
        <f>INDEX('Main Data'!$A$1:$O$1001,MATCH('Index&amp;Match'!$A225,'Main Data'!$A$1:$A$1001,0),MATCH('Index&amp;Match'!O224,'Main Data'!$A224:$O224,0))</f>
        <v>51</v>
      </c>
    </row>
    <row r="226" spans="1:15" x14ac:dyDescent="0.3">
      <c r="A226" s="2" t="s">
        <v>283</v>
      </c>
      <c r="B226" s="1">
        <f>INDEX('Main Data'!$A$1:$O$1001,MATCH('Index&amp;Match'!$A226,'Main Data'!$A$1:$A$1001,0),MATCH('Index&amp;Match'!B225,'Main Data'!$A225:$O225,0))</f>
        <v>46207</v>
      </c>
      <c r="C226" s="2" t="str">
        <f>INDEX('Main Data'!$A$1:$O$1001,MATCH('Index&amp;Match'!$A226,'Main Data'!$A$1:$A$1001,0),MATCH('Index&amp;Match'!C225,'Main Data'!$A225:$O225,0))</f>
        <v>Jordan</v>
      </c>
      <c r="D226" s="2" t="str">
        <f>INDEX('Main Data'!$A$1:$O$1001,MATCH('Index&amp;Match'!$A226,'Main Data'!$A$1:$A$1001,0),MATCH('Index&amp;Match'!D225,'Main Data'!$A225:$O225,0))</f>
        <v>BR-008</v>
      </c>
      <c r="E226" s="2" t="str">
        <f>INDEX('Main Data'!$A$1:$O$1001,MATCH('Index&amp;Match'!$A226,'Main Data'!$A$1:$A$1001,0),MATCH('Index&amp;Match'!E225,'Main Data'!$A225:$O225,0))</f>
        <v>East</v>
      </c>
      <c r="F226" s="2" t="str">
        <f>INDEX('Main Data'!$A$1:$O$1001,MATCH('Index&amp;Match'!$A226,'Main Data'!$A$1:$A$1001,0),MATCH('Index&amp;Match'!F225,'Main Data'!$A225:$O225,0))</f>
        <v>Personal Loan</v>
      </c>
      <c r="G226" s="2" t="str">
        <f>INDEX('Main Data'!$A$1:$O$1001,MATCH('Index&amp;Match'!$A226,'Main Data'!$A$1:$A$1001,0),MATCH('Index&amp;Match'!G225,'Main Data'!$A225:$O225,0))</f>
        <v>Website</v>
      </c>
      <c r="H226" s="2" t="str">
        <f>INDEX('Main Data'!$A$1:$O$1001,MATCH('Index&amp;Match'!$A226,'Main Data'!$A$1:$A$1001,0),MATCH('Index&amp;Match'!H225,'Main Data'!$A225:$O225,0))</f>
        <v>High Net Worth</v>
      </c>
      <c r="I226" s="2">
        <f>INDEX('Main Data'!$A$1:$O$1001,MATCH('Index&amp;Match'!$A226,'Main Data'!$A$1:$A$1001,0),MATCH('Index&amp;Match'!I225,'Main Data'!$A225:$O225,0))</f>
        <v>42</v>
      </c>
      <c r="J226" s="2">
        <f>INDEX('Main Data'!$A$1:$O$1001,MATCH('Index&amp;Match'!$A226,'Main Data'!$A$1:$A$1001,0),MATCH('Index&amp;Match'!J225,'Main Data'!$A225:$O225,0))</f>
        <v>42</v>
      </c>
      <c r="K226" s="11">
        <f>INDEX('Main Data'!$A$1:$O$1001,MATCH('Index&amp;Match'!$A226,'Main Data'!$A$1:$A$1001,0),MATCH('Index&amp;Match'!K225,'Main Data'!$A225:$O225,0))</f>
        <v>46253.32</v>
      </c>
      <c r="L226" s="11">
        <f>INDEX('Main Data'!$A$1:$O$1001,MATCH('Index&amp;Match'!$A226,'Main Data'!$A$1:$A$1001,0),MATCH('Index&amp;Match'!L225,'Main Data'!$A225:$O225,0))</f>
        <v>56.89</v>
      </c>
      <c r="M226" s="11">
        <f>INDEX('Main Data'!$A$1:$O$1001,MATCH('Index&amp;Match'!$A226,'Main Data'!$A$1:$A$1001,0),MATCH('Index&amp;Match'!M225,'Main Data'!$A225:$O225,0))</f>
        <v>3.4</v>
      </c>
      <c r="N226" s="2" t="str">
        <f>INDEX('Main Data'!$A$1:$O$1001,MATCH('Index&amp;Match'!$A226,'Main Data'!$A$1:$A$1001,0),MATCH('Index&amp;Match'!N225,'Main Data'!$A225:$O225,0))</f>
        <v>No</v>
      </c>
      <c r="O226" s="2">
        <f>INDEX('Main Data'!$A$1:$O$1001,MATCH('Index&amp;Match'!$A226,'Main Data'!$A$1:$A$1001,0),MATCH('Index&amp;Match'!O225,'Main Data'!$A225:$O225,0))</f>
        <v>69</v>
      </c>
    </row>
    <row r="227" spans="1:15" x14ac:dyDescent="0.3">
      <c r="A227" s="2" t="s">
        <v>284</v>
      </c>
      <c r="B227" s="1">
        <f>INDEX('Main Data'!$A$1:$O$1001,MATCH('Index&amp;Match'!$A227,'Main Data'!$A$1:$A$1001,0),MATCH('Index&amp;Match'!B226,'Main Data'!$A226:$O226,0))</f>
        <v>46109</v>
      </c>
      <c r="C227" s="2" t="str">
        <f>INDEX('Main Data'!$A$1:$O$1001,MATCH('Index&amp;Match'!$A227,'Main Data'!$A$1:$A$1001,0),MATCH('Index&amp;Match'!C226,'Main Data'!$A226:$O226,0))</f>
        <v>Jordan</v>
      </c>
      <c r="D227" s="2" t="str">
        <f>INDEX('Main Data'!$A$1:$O$1001,MATCH('Index&amp;Match'!$A227,'Main Data'!$A$1:$A$1001,0),MATCH('Index&amp;Match'!D226,'Main Data'!$A226:$O226,0))</f>
        <v>BR-001</v>
      </c>
      <c r="E227" s="2" t="str">
        <f>INDEX('Main Data'!$A$1:$O$1001,MATCH('Index&amp;Match'!$A227,'Main Data'!$A$1:$A$1001,0),MATCH('Index&amp;Match'!E226,'Main Data'!$A226:$O226,0))</f>
        <v>South</v>
      </c>
      <c r="F227" s="2" t="str">
        <f>INDEX('Main Data'!$A$1:$O$1001,MATCH('Index&amp;Match'!$A227,'Main Data'!$A$1:$A$1001,0),MATCH('Index&amp;Match'!F226,'Main Data'!$A226:$O226,0))</f>
        <v>Mortgage</v>
      </c>
      <c r="G227" s="2" t="str">
        <f>INDEX('Main Data'!$A$1:$O$1001,MATCH('Index&amp;Match'!$A227,'Main Data'!$A$1:$A$1001,0),MATCH('Index&amp;Match'!G226,'Main Data'!$A226:$O226,0))</f>
        <v>Website</v>
      </c>
      <c r="H227" s="2" t="str">
        <f>INDEX('Main Data'!$A$1:$O$1001,MATCH('Index&amp;Match'!$A227,'Main Data'!$A$1:$A$1001,0),MATCH('Index&amp;Match'!H226,'Main Data'!$A226:$O226,0))</f>
        <v>High Net Worth</v>
      </c>
      <c r="I227" s="2">
        <f>INDEX('Main Data'!$A$1:$O$1001,MATCH('Index&amp;Match'!$A227,'Main Data'!$A$1:$A$1001,0),MATCH('Index&amp;Match'!I226,'Main Data'!$A226:$O226,0))</f>
        <v>72</v>
      </c>
      <c r="J227" s="2">
        <f>INDEX('Main Data'!$A$1:$O$1001,MATCH('Index&amp;Match'!$A227,'Main Data'!$A$1:$A$1001,0),MATCH('Index&amp;Match'!J226,'Main Data'!$A226:$O226,0))</f>
        <v>72</v>
      </c>
      <c r="K227" s="11">
        <f>INDEX('Main Data'!$A$1:$O$1001,MATCH('Index&amp;Match'!$A227,'Main Data'!$A$1:$A$1001,0),MATCH('Index&amp;Match'!K226,'Main Data'!$A226:$O226,0))</f>
        <v>11904.14</v>
      </c>
      <c r="L227" s="11">
        <f>INDEX('Main Data'!$A$1:$O$1001,MATCH('Index&amp;Match'!$A227,'Main Data'!$A$1:$A$1001,0),MATCH('Index&amp;Match'!L226,'Main Data'!$A226:$O226,0))</f>
        <v>401.26</v>
      </c>
      <c r="M227" s="11">
        <f>INDEX('Main Data'!$A$1:$O$1001,MATCH('Index&amp;Match'!$A227,'Main Data'!$A$1:$A$1001,0),MATCH('Index&amp;Match'!M226,'Main Data'!$A226:$O226,0))</f>
        <v>164.6</v>
      </c>
      <c r="N227" s="2" t="str">
        <f>INDEX('Main Data'!$A$1:$O$1001,MATCH('Index&amp;Match'!$A227,'Main Data'!$A$1:$A$1001,0),MATCH('Index&amp;Match'!N226,'Main Data'!$A226:$O226,0))</f>
        <v>No</v>
      </c>
      <c r="O227" s="2">
        <f>INDEX('Main Data'!$A$1:$O$1001,MATCH('Index&amp;Match'!$A227,'Main Data'!$A$1:$A$1001,0),MATCH('Index&amp;Match'!O226,'Main Data'!$A226:$O226,0))</f>
        <v>119</v>
      </c>
    </row>
    <row r="228" spans="1:15" x14ac:dyDescent="0.3">
      <c r="A228" s="2" t="s">
        <v>285</v>
      </c>
      <c r="B228" s="1">
        <f>INDEX('Main Data'!$A$1:$O$1001,MATCH('Index&amp;Match'!$A228,'Main Data'!$A$1:$A$1001,0),MATCH('Index&amp;Match'!B227,'Main Data'!$A227:$O227,0))</f>
        <v>46153</v>
      </c>
      <c r="C228" s="2" t="str">
        <f>INDEX('Main Data'!$A$1:$O$1001,MATCH('Index&amp;Match'!$A228,'Main Data'!$A$1:$A$1001,0),MATCH('Index&amp;Match'!C227,'Main Data'!$A227:$O227,0))</f>
        <v>Casey</v>
      </c>
      <c r="D228" s="2" t="str">
        <f>INDEX('Main Data'!$A$1:$O$1001,MATCH('Index&amp;Match'!$A228,'Main Data'!$A$1:$A$1001,0),MATCH('Index&amp;Match'!D227,'Main Data'!$A227:$O227,0))</f>
        <v>BR-003</v>
      </c>
      <c r="E228" s="2" t="str">
        <f>INDEX('Main Data'!$A$1:$O$1001,MATCH('Index&amp;Match'!$A228,'Main Data'!$A$1:$A$1001,0),MATCH('Index&amp;Match'!E227,'Main Data'!$A227:$O227,0))</f>
        <v>South</v>
      </c>
      <c r="F228" s="2" t="str">
        <f>INDEX('Main Data'!$A$1:$O$1001,MATCH('Index&amp;Match'!$A228,'Main Data'!$A$1:$A$1001,0),MATCH('Index&amp;Match'!F227,'Main Data'!$A227:$O227,0))</f>
        <v>Credit Card</v>
      </c>
      <c r="G228" s="2" t="str">
        <f>INDEX('Main Data'!$A$1:$O$1001,MATCH('Index&amp;Match'!$A228,'Main Data'!$A$1:$A$1001,0),MATCH('Index&amp;Match'!G227,'Main Data'!$A227:$O227,0))</f>
        <v>Social Media</v>
      </c>
      <c r="H228" s="2" t="str">
        <f>INDEX('Main Data'!$A$1:$O$1001,MATCH('Index&amp;Match'!$A228,'Main Data'!$A$1:$A$1001,0),MATCH('Index&amp;Match'!H227,'Main Data'!$A227:$O227,0))</f>
        <v>High Net Worth</v>
      </c>
      <c r="I228" s="2">
        <f>INDEX('Main Data'!$A$1:$O$1001,MATCH('Index&amp;Match'!$A228,'Main Data'!$A$1:$A$1001,0),MATCH('Index&amp;Match'!I227,'Main Data'!$A227:$O227,0))</f>
        <v>72</v>
      </c>
      <c r="J228" s="2">
        <f>INDEX('Main Data'!$A$1:$O$1001,MATCH('Index&amp;Match'!$A228,'Main Data'!$A$1:$A$1001,0),MATCH('Index&amp;Match'!J227,'Main Data'!$A227:$O227,0))</f>
        <v>72</v>
      </c>
      <c r="K228" s="11">
        <f>INDEX('Main Data'!$A$1:$O$1001,MATCH('Index&amp;Match'!$A228,'Main Data'!$A$1:$A$1001,0),MATCH('Index&amp;Match'!K227,'Main Data'!$A227:$O227,0))</f>
        <v>14817.57</v>
      </c>
      <c r="L228" s="11">
        <f>INDEX('Main Data'!$A$1:$O$1001,MATCH('Index&amp;Match'!$A228,'Main Data'!$A$1:$A$1001,0),MATCH('Index&amp;Match'!L227,'Main Data'!$A227:$O227,0))</f>
        <v>212.72</v>
      </c>
      <c r="M228" s="11">
        <f>INDEX('Main Data'!$A$1:$O$1001,MATCH('Index&amp;Match'!$A228,'Main Data'!$A$1:$A$1001,0),MATCH('Index&amp;Match'!M227,'Main Data'!$A227:$O227,0))</f>
        <v>292.02</v>
      </c>
      <c r="N228" s="2" t="str">
        <f>INDEX('Main Data'!$A$1:$O$1001,MATCH('Index&amp;Match'!$A228,'Main Data'!$A$1:$A$1001,0),MATCH('Index&amp;Match'!N227,'Main Data'!$A227:$O227,0))</f>
        <v>No</v>
      </c>
      <c r="O228" s="2">
        <f>INDEX('Main Data'!$A$1:$O$1001,MATCH('Index&amp;Match'!$A228,'Main Data'!$A$1:$A$1001,0),MATCH('Index&amp;Match'!O227,'Main Data'!$A227:$O227,0))</f>
        <v>95</v>
      </c>
    </row>
    <row r="229" spans="1:15" x14ac:dyDescent="0.3">
      <c r="A229" s="2" t="s">
        <v>286</v>
      </c>
      <c r="B229" s="1">
        <f>INDEX('Main Data'!$A$1:$O$1001,MATCH('Index&amp;Match'!$A229,'Main Data'!$A$1:$A$1001,0),MATCH('Index&amp;Match'!B228,'Main Data'!$A228:$O228,0))</f>
        <v>46090</v>
      </c>
      <c r="C229" s="2" t="str">
        <f>INDEX('Main Data'!$A$1:$O$1001,MATCH('Index&amp;Match'!$A229,'Main Data'!$A$1:$A$1001,0),MATCH('Index&amp;Match'!C228,'Main Data'!$A228:$O228,0))</f>
        <v>Sam</v>
      </c>
      <c r="D229" s="2" t="str">
        <f>INDEX('Main Data'!$A$1:$O$1001,MATCH('Index&amp;Match'!$A229,'Main Data'!$A$1:$A$1001,0),MATCH('Index&amp;Match'!D228,'Main Data'!$A228:$O228,0))</f>
        <v>BR-013</v>
      </c>
      <c r="E229" s="2" t="str">
        <f>INDEX('Main Data'!$A$1:$O$1001,MATCH('Index&amp;Match'!$A229,'Main Data'!$A$1:$A$1001,0),MATCH('Index&amp;Match'!E228,'Main Data'!$A228:$O228,0))</f>
        <v>Central</v>
      </c>
      <c r="F229" s="2" t="str">
        <f>INDEX('Main Data'!$A$1:$O$1001,MATCH('Index&amp;Match'!$A229,'Main Data'!$A$1:$A$1001,0),MATCH('Index&amp;Match'!F228,'Main Data'!$A228:$O228,0))</f>
        <v>Credit Card</v>
      </c>
      <c r="G229" s="2" t="str">
        <f>INDEX('Main Data'!$A$1:$O$1001,MATCH('Index&amp;Match'!$A229,'Main Data'!$A$1:$A$1001,0),MATCH('Index&amp;Match'!G228,'Main Data'!$A228:$O228,0))</f>
        <v>Referral</v>
      </c>
      <c r="H229" s="2" t="str">
        <f>INDEX('Main Data'!$A$1:$O$1001,MATCH('Index&amp;Match'!$A229,'Main Data'!$A$1:$A$1001,0),MATCH('Index&amp;Match'!H228,'Main Data'!$A228:$O228,0))</f>
        <v>Corporate</v>
      </c>
      <c r="I229" s="2">
        <f>INDEX('Main Data'!$A$1:$O$1001,MATCH('Index&amp;Match'!$A229,'Main Data'!$A$1:$A$1001,0),MATCH('Index&amp;Match'!I228,'Main Data'!$A228:$O228,0))</f>
        <v>67</v>
      </c>
      <c r="J229" s="2">
        <f>INDEX('Main Data'!$A$1:$O$1001,MATCH('Index&amp;Match'!$A229,'Main Data'!$A$1:$A$1001,0),MATCH('Index&amp;Match'!J228,'Main Data'!$A228:$O228,0))</f>
        <v>67</v>
      </c>
      <c r="K229" s="11">
        <f>INDEX('Main Data'!$A$1:$O$1001,MATCH('Index&amp;Match'!$A229,'Main Data'!$A$1:$A$1001,0),MATCH('Index&amp;Match'!K228,'Main Data'!$A228:$O228,0))</f>
        <v>18783.03</v>
      </c>
      <c r="L229" s="11">
        <f>INDEX('Main Data'!$A$1:$O$1001,MATCH('Index&amp;Match'!$A229,'Main Data'!$A$1:$A$1001,0),MATCH('Index&amp;Match'!L228,'Main Data'!$A228:$O228,0))</f>
        <v>232.89</v>
      </c>
      <c r="M229" s="11">
        <f>INDEX('Main Data'!$A$1:$O$1001,MATCH('Index&amp;Match'!$A229,'Main Data'!$A$1:$A$1001,0),MATCH('Index&amp;Match'!M228,'Main Data'!$A228:$O228,0))</f>
        <v>87.74</v>
      </c>
      <c r="N229" s="2" t="str">
        <f>INDEX('Main Data'!$A$1:$O$1001,MATCH('Index&amp;Match'!$A229,'Main Data'!$A$1:$A$1001,0),MATCH('Index&amp;Match'!N228,'Main Data'!$A228:$O228,0))</f>
        <v>Yes</v>
      </c>
      <c r="O229" s="2">
        <f>INDEX('Main Data'!$A$1:$O$1001,MATCH('Index&amp;Match'!$A229,'Main Data'!$A$1:$A$1001,0),MATCH('Index&amp;Match'!O228,'Main Data'!$A228:$O228,0))</f>
        <v>89</v>
      </c>
    </row>
    <row r="230" spans="1:15" x14ac:dyDescent="0.3">
      <c r="A230" s="2" t="s">
        <v>287</v>
      </c>
      <c r="B230" s="1">
        <f>INDEX('Main Data'!$A$1:$O$1001,MATCH('Index&amp;Match'!$A230,'Main Data'!$A$1:$A$1001,0),MATCH('Index&amp;Match'!B229,'Main Data'!$A229:$O229,0))</f>
        <v>46041</v>
      </c>
      <c r="C230" s="2" t="str">
        <f>INDEX('Main Data'!$A$1:$O$1001,MATCH('Index&amp;Match'!$A230,'Main Data'!$A$1:$A$1001,0),MATCH('Index&amp;Match'!C229,'Main Data'!$A229:$O229,0))</f>
        <v>Alex</v>
      </c>
      <c r="D230" s="2" t="str">
        <f>INDEX('Main Data'!$A$1:$O$1001,MATCH('Index&amp;Match'!$A230,'Main Data'!$A$1:$A$1001,0),MATCH('Index&amp;Match'!D229,'Main Data'!$A229:$O229,0))</f>
        <v>BR-004</v>
      </c>
      <c r="E230" s="2" t="str">
        <f>INDEX('Main Data'!$A$1:$O$1001,MATCH('Index&amp;Match'!$A230,'Main Data'!$A$1:$A$1001,0),MATCH('Index&amp;Match'!E229,'Main Data'!$A229:$O229,0))</f>
        <v>West</v>
      </c>
      <c r="F230" s="2" t="str">
        <f>INDEX('Main Data'!$A$1:$O$1001,MATCH('Index&amp;Match'!$A230,'Main Data'!$A$1:$A$1001,0),MATCH('Index&amp;Match'!F229,'Main Data'!$A229:$O229,0))</f>
        <v>Auto Loan</v>
      </c>
      <c r="G230" s="2" t="str">
        <f>INDEX('Main Data'!$A$1:$O$1001,MATCH('Index&amp;Match'!$A230,'Main Data'!$A$1:$A$1001,0),MATCH('Index&amp;Match'!G229,'Main Data'!$A229:$O229,0))</f>
        <v>Social Media</v>
      </c>
      <c r="H230" s="2" t="str">
        <f>INDEX('Main Data'!$A$1:$O$1001,MATCH('Index&amp;Match'!$A230,'Main Data'!$A$1:$A$1001,0),MATCH('Index&amp;Match'!H229,'Main Data'!$A229:$O229,0))</f>
        <v>High Net Worth</v>
      </c>
      <c r="I230" s="2">
        <f>INDEX('Main Data'!$A$1:$O$1001,MATCH('Index&amp;Match'!$A230,'Main Data'!$A$1:$A$1001,0),MATCH('Index&amp;Match'!I229,'Main Data'!$A229:$O229,0))</f>
        <v>56</v>
      </c>
      <c r="J230" s="2">
        <f>INDEX('Main Data'!$A$1:$O$1001,MATCH('Index&amp;Match'!$A230,'Main Data'!$A$1:$A$1001,0),MATCH('Index&amp;Match'!J229,'Main Data'!$A229:$O229,0))</f>
        <v>56</v>
      </c>
      <c r="K230" s="11">
        <f>INDEX('Main Data'!$A$1:$O$1001,MATCH('Index&amp;Match'!$A230,'Main Data'!$A$1:$A$1001,0),MATCH('Index&amp;Match'!K229,'Main Data'!$A229:$O229,0))</f>
        <v>33355.269999999997</v>
      </c>
      <c r="L230" s="11">
        <f>INDEX('Main Data'!$A$1:$O$1001,MATCH('Index&amp;Match'!$A230,'Main Data'!$A$1:$A$1001,0),MATCH('Index&amp;Match'!L229,'Main Data'!$A229:$O229,0))</f>
        <v>414.22</v>
      </c>
      <c r="M230" s="11">
        <f>INDEX('Main Data'!$A$1:$O$1001,MATCH('Index&amp;Match'!$A230,'Main Data'!$A$1:$A$1001,0),MATCH('Index&amp;Match'!M229,'Main Data'!$A229:$O229,0))</f>
        <v>162.22999999999999</v>
      </c>
      <c r="N230" s="2" t="str">
        <f>INDEX('Main Data'!$A$1:$O$1001,MATCH('Index&amp;Match'!$A230,'Main Data'!$A$1:$A$1001,0),MATCH('Index&amp;Match'!N229,'Main Data'!$A229:$O229,0))</f>
        <v>Yes</v>
      </c>
      <c r="O230" s="2">
        <f>INDEX('Main Data'!$A$1:$O$1001,MATCH('Index&amp;Match'!$A230,'Main Data'!$A$1:$A$1001,0),MATCH('Index&amp;Match'!O229,'Main Data'!$A229:$O229,0))</f>
        <v>31</v>
      </c>
    </row>
    <row r="231" spans="1:15" x14ac:dyDescent="0.3">
      <c r="A231" s="2" t="s">
        <v>288</v>
      </c>
      <c r="B231" s="1">
        <f>INDEX('Main Data'!$A$1:$O$1001,MATCH('Index&amp;Match'!$A231,'Main Data'!$A$1:$A$1001,0),MATCH('Index&amp;Match'!B230,'Main Data'!$A230:$O230,0))</f>
        <v>46101</v>
      </c>
      <c r="C231" s="2" t="str">
        <f>INDEX('Main Data'!$A$1:$O$1001,MATCH('Index&amp;Match'!$A231,'Main Data'!$A$1:$A$1001,0),MATCH('Index&amp;Match'!C230,'Main Data'!$A230:$O230,0))</f>
        <v>Casey</v>
      </c>
      <c r="D231" s="2" t="str">
        <f>INDEX('Main Data'!$A$1:$O$1001,MATCH('Index&amp;Match'!$A231,'Main Data'!$A$1:$A$1001,0),MATCH('Index&amp;Match'!D230,'Main Data'!$A230:$O230,0))</f>
        <v>BR-015</v>
      </c>
      <c r="E231" s="2" t="str">
        <f>INDEX('Main Data'!$A$1:$O$1001,MATCH('Index&amp;Match'!$A231,'Main Data'!$A$1:$A$1001,0),MATCH('Index&amp;Match'!E230,'Main Data'!$A230:$O230,0))</f>
        <v>West</v>
      </c>
      <c r="F231" s="2" t="str">
        <f>INDEX('Main Data'!$A$1:$O$1001,MATCH('Index&amp;Match'!$A231,'Main Data'!$A$1:$A$1001,0),MATCH('Index&amp;Match'!F230,'Main Data'!$A230:$O230,0))</f>
        <v>Credit Card</v>
      </c>
      <c r="G231" s="2" t="str">
        <f>INDEX('Main Data'!$A$1:$O$1001,MATCH('Index&amp;Match'!$A231,'Main Data'!$A$1:$A$1001,0),MATCH('Index&amp;Match'!G230,'Main Data'!$A230:$O230,0))</f>
        <v>Email Campaign</v>
      </c>
      <c r="H231" s="2" t="str">
        <f>INDEX('Main Data'!$A$1:$O$1001,MATCH('Index&amp;Match'!$A231,'Main Data'!$A$1:$A$1001,0),MATCH('Index&amp;Match'!H230,'Main Data'!$A230:$O230,0))</f>
        <v>SME</v>
      </c>
      <c r="I231" s="2">
        <f>INDEX('Main Data'!$A$1:$O$1001,MATCH('Index&amp;Match'!$A231,'Main Data'!$A$1:$A$1001,0),MATCH('Index&amp;Match'!I230,'Main Data'!$A230:$O230,0))</f>
        <v>29</v>
      </c>
      <c r="J231" s="2">
        <f>INDEX('Main Data'!$A$1:$O$1001,MATCH('Index&amp;Match'!$A231,'Main Data'!$A$1:$A$1001,0),MATCH('Index&amp;Match'!J230,'Main Data'!$A230:$O230,0))</f>
        <v>29</v>
      </c>
      <c r="K231" s="11">
        <f>INDEX('Main Data'!$A$1:$O$1001,MATCH('Index&amp;Match'!$A231,'Main Data'!$A$1:$A$1001,0),MATCH('Index&amp;Match'!K230,'Main Data'!$A230:$O230,0))</f>
        <v>6352.8</v>
      </c>
      <c r="L231" s="11">
        <f>INDEX('Main Data'!$A$1:$O$1001,MATCH('Index&amp;Match'!$A231,'Main Data'!$A$1:$A$1001,0),MATCH('Index&amp;Match'!L230,'Main Data'!$A230:$O230,0))</f>
        <v>220.68</v>
      </c>
      <c r="M231" s="11">
        <f>INDEX('Main Data'!$A$1:$O$1001,MATCH('Index&amp;Match'!$A231,'Main Data'!$A$1:$A$1001,0),MATCH('Index&amp;Match'!M230,'Main Data'!$A230:$O230,0))</f>
        <v>193.59</v>
      </c>
      <c r="N231" s="2" t="str">
        <f>INDEX('Main Data'!$A$1:$O$1001,MATCH('Index&amp;Match'!$A231,'Main Data'!$A$1:$A$1001,0),MATCH('Index&amp;Match'!N230,'Main Data'!$A230:$O230,0))</f>
        <v>Yes</v>
      </c>
      <c r="O231" s="2">
        <f>INDEX('Main Data'!$A$1:$O$1001,MATCH('Index&amp;Match'!$A231,'Main Data'!$A$1:$A$1001,0),MATCH('Index&amp;Match'!O230,'Main Data'!$A230:$O230,0))</f>
        <v>50</v>
      </c>
    </row>
    <row r="232" spans="1:15" x14ac:dyDescent="0.3">
      <c r="A232" s="2" t="s">
        <v>289</v>
      </c>
      <c r="B232" s="1">
        <f>INDEX('Main Data'!$A$1:$O$1001,MATCH('Index&amp;Match'!$A232,'Main Data'!$A$1:$A$1001,0),MATCH('Index&amp;Match'!B231,'Main Data'!$A231:$O231,0))</f>
        <v>46142</v>
      </c>
      <c r="C232" s="2" t="str">
        <f>INDEX('Main Data'!$A$1:$O$1001,MATCH('Index&amp;Match'!$A232,'Main Data'!$A$1:$A$1001,0),MATCH('Index&amp;Match'!C231,'Main Data'!$A231:$O231,0))</f>
        <v>Sam</v>
      </c>
      <c r="D232" s="2" t="str">
        <f>INDEX('Main Data'!$A$1:$O$1001,MATCH('Index&amp;Match'!$A232,'Main Data'!$A$1:$A$1001,0),MATCH('Index&amp;Match'!D231,'Main Data'!$A231:$O231,0))</f>
        <v>BR-015</v>
      </c>
      <c r="E232" s="2" t="str">
        <f>INDEX('Main Data'!$A$1:$O$1001,MATCH('Index&amp;Match'!$A232,'Main Data'!$A$1:$A$1001,0),MATCH('Index&amp;Match'!E231,'Main Data'!$A231:$O231,0))</f>
        <v>East</v>
      </c>
      <c r="F232" s="2" t="str">
        <f>INDEX('Main Data'!$A$1:$O$1001,MATCH('Index&amp;Match'!$A232,'Main Data'!$A$1:$A$1001,0),MATCH('Index&amp;Match'!F231,'Main Data'!$A231:$O231,0))</f>
        <v>Auto Loan</v>
      </c>
      <c r="G232" s="2" t="str">
        <f>INDEX('Main Data'!$A$1:$O$1001,MATCH('Index&amp;Match'!$A232,'Main Data'!$A$1:$A$1001,0),MATCH('Index&amp;Match'!G231,'Main Data'!$A231:$O231,0))</f>
        <v>Social Media</v>
      </c>
      <c r="H232" s="2" t="str">
        <f>INDEX('Main Data'!$A$1:$O$1001,MATCH('Index&amp;Match'!$A232,'Main Data'!$A$1:$A$1001,0),MATCH('Index&amp;Match'!H231,'Main Data'!$A231:$O231,0))</f>
        <v>SME</v>
      </c>
      <c r="I232" s="2">
        <f>INDEX('Main Data'!$A$1:$O$1001,MATCH('Index&amp;Match'!$A232,'Main Data'!$A$1:$A$1001,0),MATCH('Index&amp;Match'!I231,'Main Data'!$A231:$O231,0))</f>
        <v>59</v>
      </c>
      <c r="J232" s="2">
        <f>INDEX('Main Data'!$A$1:$O$1001,MATCH('Index&amp;Match'!$A232,'Main Data'!$A$1:$A$1001,0),MATCH('Index&amp;Match'!J231,'Main Data'!$A231:$O231,0))</f>
        <v>59</v>
      </c>
      <c r="K232" s="11">
        <f>INDEX('Main Data'!$A$1:$O$1001,MATCH('Index&amp;Match'!$A232,'Main Data'!$A$1:$A$1001,0),MATCH('Index&amp;Match'!K231,'Main Data'!$A231:$O231,0))</f>
        <v>47720.29</v>
      </c>
      <c r="L232" s="11">
        <f>INDEX('Main Data'!$A$1:$O$1001,MATCH('Index&amp;Match'!$A232,'Main Data'!$A$1:$A$1001,0),MATCH('Index&amp;Match'!L231,'Main Data'!$A231:$O231,0))</f>
        <v>71.25</v>
      </c>
      <c r="M232" s="11">
        <f>INDEX('Main Data'!$A$1:$O$1001,MATCH('Index&amp;Match'!$A232,'Main Data'!$A$1:$A$1001,0),MATCH('Index&amp;Match'!M231,'Main Data'!$A231:$O231,0))</f>
        <v>51.04</v>
      </c>
      <c r="N232" s="2" t="str">
        <f>INDEX('Main Data'!$A$1:$O$1001,MATCH('Index&amp;Match'!$A232,'Main Data'!$A$1:$A$1001,0),MATCH('Index&amp;Match'!N231,'Main Data'!$A231:$O231,0))</f>
        <v>Yes</v>
      </c>
      <c r="O232" s="2">
        <f>INDEX('Main Data'!$A$1:$O$1001,MATCH('Index&amp;Match'!$A232,'Main Data'!$A$1:$A$1001,0),MATCH('Index&amp;Match'!O231,'Main Data'!$A231:$O231,0))</f>
        <v>20</v>
      </c>
    </row>
    <row r="233" spans="1:15" x14ac:dyDescent="0.3">
      <c r="A233" s="2" t="s">
        <v>290</v>
      </c>
      <c r="B233" s="1">
        <f>INDEX('Main Data'!$A$1:$O$1001,MATCH('Index&amp;Match'!$A233,'Main Data'!$A$1:$A$1001,0),MATCH('Index&amp;Match'!B232,'Main Data'!$A232:$O232,0))</f>
        <v>45913</v>
      </c>
      <c r="C233" s="2" t="str">
        <f>INDEX('Main Data'!$A$1:$O$1001,MATCH('Index&amp;Match'!$A233,'Main Data'!$A$1:$A$1001,0),MATCH('Index&amp;Match'!C232,'Main Data'!$A232:$O232,0))</f>
        <v>Morgan</v>
      </c>
      <c r="D233" s="2" t="str">
        <f>INDEX('Main Data'!$A$1:$O$1001,MATCH('Index&amp;Match'!$A233,'Main Data'!$A$1:$A$1001,0),MATCH('Index&amp;Match'!D232,'Main Data'!$A232:$O232,0))</f>
        <v>BR-015</v>
      </c>
      <c r="E233" s="2" t="str">
        <f>INDEX('Main Data'!$A$1:$O$1001,MATCH('Index&amp;Match'!$A233,'Main Data'!$A$1:$A$1001,0),MATCH('Index&amp;Match'!E232,'Main Data'!$A232:$O232,0))</f>
        <v>East</v>
      </c>
      <c r="F233" s="2" t="str">
        <f>INDEX('Main Data'!$A$1:$O$1001,MATCH('Index&amp;Match'!$A233,'Main Data'!$A$1:$A$1001,0),MATCH('Index&amp;Match'!F232,'Main Data'!$A232:$O232,0))</f>
        <v>Auto Loan</v>
      </c>
      <c r="G233" s="2" t="str">
        <f>INDEX('Main Data'!$A$1:$O$1001,MATCH('Index&amp;Match'!$A233,'Main Data'!$A$1:$A$1001,0),MATCH('Index&amp;Match'!G232,'Main Data'!$A232:$O232,0))</f>
        <v>Referral</v>
      </c>
      <c r="H233" s="2" t="str">
        <f>INDEX('Main Data'!$A$1:$O$1001,MATCH('Index&amp;Match'!$A233,'Main Data'!$A$1:$A$1001,0),MATCH('Index&amp;Match'!H232,'Main Data'!$A232:$O232,0))</f>
        <v>Corporate</v>
      </c>
      <c r="I233" s="2">
        <f>INDEX('Main Data'!$A$1:$O$1001,MATCH('Index&amp;Match'!$A233,'Main Data'!$A$1:$A$1001,0),MATCH('Index&amp;Match'!I232,'Main Data'!$A232:$O232,0))</f>
        <v>71</v>
      </c>
      <c r="J233" s="2">
        <f>INDEX('Main Data'!$A$1:$O$1001,MATCH('Index&amp;Match'!$A233,'Main Data'!$A$1:$A$1001,0),MATCH('Index&amp;Match'!J232,'Main Data'!$A232:$O232,0))</f>
        <v>71</v>
      </c>
      <c r="K233" s="11">
        <f>INDEX('Main Data'!$A$1:$O$1001,MATCH('Index&amp;Match'!$A233,'Main Data'!$A$1:$A$1001,0),MATCH('Index&amp;Match'!K232,'Main Data'!$A232:$O232,0))</f>
        <v>43345.78</v>
      </c>
      <c r="L233" s="11">
        <f>INDEX('Main Data'!$A$1:$O$1001,MATCH('Index&amp;Match'!$A233,'Main Data'!$A$1:$A$1001,0),MATCH('Index&amp;Match'!L232,'Main Data'!$A232:$O232,0))</f>
        <v>129.4</v>
      </c>
      <c r="M233" s="11">
        <f>INDEX('Main Data'!$A$1:$O$1001,MATCH('Index&amp;Match'!$A233,'Main Data'!$A$1:$A$1001,0),MATCH('Index&amp;Match'!M232,'Main Data'!$A232:$O232,0))</f>
        <v>171.69</v>
      </c>
      <c r="N233" s="2" t="str">
        <f>INDEX('Main Data'!$A$1:$O$1001,MATCH('Index&amp;Match'!$A233,'Main Data'!$A$1:$A$1001,0),MATCH('Index&amp;Match'!N232,'Main Data'!$A232:$O232,0))</f>
        <v>Yes</v>
      </c>
      <c r="O233" s="2">
        <f>INDEX('Main Data'!$A$1:$O$1001,MATCH('Index&amp;Match'!$A233,'Main Data'!$A$1:$A$1001,0),MATCH('Index&amp;Match'!O232,'Main Data'!$A232:$O232,0))</f>
        <v>108</v>
      </c>
    </row>
    <row r="234" spans="1:15" x14ac:dyDescent="0.3">
      <c r="A234" s="2" t="s">
        <v>291</v>
      </c>
      <c r="B234" s="1">
        <f>INDEX('Main Data'!$A$1:$O$1001,MATCH('Index&amp;Match'!$A234,'Main Data'!$A$1:$A$1001,0),MATCH('Index&amp;Match'!B233,'Main Data'!$A233:$O233,0))</f>
        <v>46224</v>
      </c>
      <c r="C234" s="2" t="str">
        <f>INDEX('Main Data'!$A$1:$O$1001,MATCH('Index&amp;Match'!$A234,'Main Data'!$A$1:$A$1001,0),MATCH('Index&amp;Match'!C233,'Main Data'!$A233:$O233,0))</f>
        <v>Morgan</v>
      </c>
      <c r="D234" s="2" t="str">
        <f>INDEX('Main Data'!$A$1:$O$1001,MATCH('Index&amp;Match'!$A234,'Main Data'!$A$1:$A$1001,0),MATCH('Index&amp;Match'!D233,'Main Data'!$A233:$O233,0))</f>
        <v>BR-008</v>
      </c>
      <c r="E234" s="2" t="str">
        <f>INDEX('Main Data'!$A$1:$O$1001,MATCH('Index&amp;Match'!$A234,'Main Data'!$A$1:$A$1001,0),MATCH('Index&amp;Match'!E233,'Main Data'!$A233:$O233,0))</f>
        <v>West</v>
      </c>
      <c r="F234" s="2" t="str">
        <f>INDEX('Main Data'!$A$1:$O$1001,MATCH('Index&amp;Match'!$A234,'Main Data'!$A$1:$A$1001,0),MATCH('Index&amp;Match'!F233,'Main Data'!$A233:$O233,0))</f>
        <v>Auto Loan</v>
      </c>
      <c r="G234" s="2" t="str">
        <f>INDEX('Main Data'!$A$1:$O$1001,MATCH('Index&amp;Match'!$A234,'Main Data'!$A$1:$A$1001,0),MATCH('Index&amp;Match'!G233,'Main Data'!$A233:$O233,0))</f>
        <v>Email Campaign</v>
      </c>
      <c r="H234" s="2" t="str">
        <f>INDEX('Main Data'!$A$1:$O$1001,MATCH('Index&amp;Match'!$A234,'Main Data'!$A$1:$A$1001,0),MATCH('Index&amp;Match'!H233,'Main Data'!$A233:$O233,0))</f>
        <v>Corporate</v>
      </c>
      <c r="I234" s="2">
        <f>INDEX('Main Data'!$A$1:$O$1001,MATCH('Index&amp;Match'!$A234,'Main Data'!$A$1:$A$1001,0),MATCH('Index&amp;Match'!I233,'Main Data'!$A233:$O233,0))</f>
        <v>39</v>
      </c>
      <c r="J234" s="2">
        <f>INDEX('Main Data'!$A$1:$O$1001,MATCH('Index&amp;Match'!$A234,'Main Data'!$A$1:$A$1001,0),MATCH('Index&amp;Match'!J233,'Main Data'!$A233:$O233,0))</f>
        <v>39</v>
      </c>
      <c r="K234" s="11">
        <f>INDEX('Main Data'!$A$1:$O$1001,MATCH('Index&amp;Match'!$A234,'Main Data'!$A$1:$A$1001,0),MATCH('Index&amp;Match'!K233,'Main Data'!$A233:$O233,0))</f>
        <v>29072.2</v>
      </c>
      <c r="L234" s="11">
        <f>INDEX('Main Data'!$A$1:$O$1001,MATCH('Index&amp;Match'!$A234,'Main Data'!$A$1:$A$1001,0),MATCH('Index&amp;Match'!L233,'Main Data'!$A233:$O233,0))</f>
        <v>480.16</v>
      </c>
      <c r="M234" s="11">
        <f>INDEX('Main Data'!$A$1:$O$1001,MATCH('Index&amp;Match'!$A234,'Main Data'!$A$1:$A$1001,0),MATCH('Index&amp;Match'!M233,'Main Data'!$A233:$O233,0))</f>
        <v>109.28</v>
      </c>
      <c r="N234" s="2" t="str">
        <f>INDEX('Main Data'!$A$1:$O$1001,MATCH('Index&amp;Match'!$A234,'Main Data'!$A$1:$A$1001,0),MATCH('Index&amp;Match'!N233,'Main Data'!$A233:$O233,0))</f>
        <v>No</v>
      </c>
      <c r="O234" s="2">
        <f>INDEX('Main Data'!$A$1:$O$1001,MATCH('Index&amp;Match'!$A234,'Main Data'!$A$1:$A$1001,0),MATCH('Index&amp;Match'!O233,'Main Data'!$A233:$O233,0))</f>
        <v>55</v>
      </c>
    </row>
    <row r="235" spans="1:15" x14ac:dyDescent="0.3">
      <c r="A235" s="2" t="s">
        <v>292</v>
      </c>
      <c r="B235" s="1">
        <f>INDEX('Main Data'!$A$1:$O$1001,MATCH('Index&amp;Match'!$A235,'Main Data'!$A$1:$A$1001,0),MATCH('Index&amp;Match'!B234,'Main Data'!$A234:$O234,0))</f>
        <v>45994</v>
      </c>
      <c r="C235" s="2" t="str">
        <f>INDEX('Main Data'!$A$1:$O$1001,MATCH('Index&amp;Match'!$A235,'Main Data'!$A$1:$A$1001,0),MATCH('Index&amp;Match'!C234,'Main Data'!$A234:$O234,0))</f>
        <v>Morgan</v>
      </c>
      <c r="D235" s="2" t="str">
        <f>INDEX('Main Data'!$A$1:$O$1001,MATCH('Index&amp;Match'!$A235,'Main Data'!$A$1:$A$1001,0),MATCH('Index&amp;Match'!D234,'Main Data'!$A234:$O234,0))</f>
        <v>BR-006</v>
      </c>
      <c r="E235" s="2" t="str">
        <f>INDEX('Main Data'!$A$1:$O$1001,MATCH('Index&amp;Match'!$A235,'Main Data'!$A$1:$A$1001,0),MATCH('Index&amp;Match'!E234,'Main Data'!$A234:$O234,0))</f>
        <v>Central</v>
      </c>
      <c r="F235" s="2" t="str">
        <f>INDEX('Main Data'!$A$1:$O$1001,MATCH('Index&amp;Match'!$A235,'Main Data'!$A$1:$A$1001,0),MATCH('Index&amp;Match'!F234,'Main Data'!$A234:$O234,0))</f>
        <v>Credit Card</v>
      </c>
      <c r="G235" s="2" t="str">
        <f>INDEX('Main Data'!$A$1:$O$1001,MATCH('Index&amp;Match'!$A235,'Main Data'!$A$1:$A$1001,0),MATCH('Index&amp;Match'!G234,'Main Data'!$A234:$O234,0))</f>
        <v>Walk-in</v>
      </c>
      <c r="H235" s="2" t="str">
        <f>INDEX('Main Data'!$A$1:$O$1001,MATCH('Index&amp;Match'!$A235,'Main Data'!$A$1:$A$1001,0),MATCH('Index&amp;Match'!H234,'Main Data'!$A234:$O234,0))</f>
        <v>High Net Worth</v>
      </c>
      <c r="I235" s="2">
        <f>INDEX('Main Data'!$A$1:$O$1001,MATCH('Index&amp;Match'!$A235,'Main Data'!$A$1:$A$1001,0),MATCH('Index&amp;Match'!I234,'Main Data'!$A234:$O234,0))</f>
        <v>58</v>
      </c>
      <c r="J235" s="2">
        <f>INDEX('Main Data'!$A$1:$O$1001,MATCH('Index&amp;Match'!$A235,'Main Data'!$A$1:$A$1001,0),MATCH('Index&amp;Match'!J234,'Main Data'!$A234:$O234,0))</f>
        <v>58</v>
      </c>
      <c r="K235" s="11">
        <f>INDEX('Main Data'!$A$1:$O$1001,MATCH('Index&amp;Match'!$A235,'Main Data'!$A$1:$A$1001,0),MATCH('Index&amp;Match'!K234,'Main Data'!$A234:$O234,0))</f>
        <v>33864.870000000003</v>
      </c>
      <c r="L235" s="11">
        <f>INDEX('Main Data'!$A$1:$O$1001,MATCH('Index&amp;Match'!$A235,'Main Data'!$A$1:$A$1001,0),MATCH('Index&amp;Match'!L234,'Main Data'!$A234:$O234,0))</f>
        <v>81.680000000000007</v>
      </c>
      <c r="M235" s="11">
        <f>INDEX('Main Data'!$A$1:$O$1001,MATCH('Index&amp;Match'!$A235,'Main Data'!$A$1:$A$1001,0),MATCH('Index&amp;Match'!M234,'Main Data'!$A234:$O234,0))</f>
        <v>170.85</v>
      </c>
      <c r="N235" s="2" t="str">
        <f>INDEX('Main Data'!$A$1:$O$1001,MATCH('Index&amp;Match'!$A235,'Main Data'!$A$1:$A$1001,0),MATCH('Index&amp;Match'!N234,'Main Data'!$A234:$O234,0))</f>
        <v>No</v>
      </c>
      <c r="O235" s="2">
        <f>INDEX('Main Data'!$A$1:$O$1001,MATCH('Index&amp;Match'!$A235,'Main Data'!$A$1:$A$1001,0),MATCH('Index&amp;Match'!O234,'Main Data'!$A234:$O234,0))</f>
        <v>81</v>
      </c>
    </row>
    <row r="236" spans="1:15" x14ac:dyDescent="0.3">
      <c r="A236" s="2" t="s">
        <v>293</v>
      </c>
      <c r="B236" s="1">
        <f>INDEX('Main Data'!$A$1:$O$1001,MATCH('Index&amp;Match'!$A236,'Main Data'!$A$1:$A$1001,0),MATCH('Index&amp;Match'!B235,'Main Data'!$A235:$O235,0))</f>
        <v>46168</v>
      </c>
      <c r="C236" s="2" t="str">
        <f>INDEX('Main Data'!$A$1:$O$1001,MATCH('Index&amp;Match'!$A236,'Main Data'!$A$1:$A$1001,0),MATCH('Index&amp;Match'!C235,'Main Data'!$A235:$O235,0))</f>
        <v>Morgan</v>
      </c>
      <c r="D236" s="2" t="str">
        <f>INDEX('Main Data'!$A$1:$O$1001,MATCH('Index&amp;Match'!$A236,'Main Data'!$A$1:$A$1001,0),MATCH('Index&amp;Match'!D235,'Main Data'!$A235:$O235,0))</f>
        <v>BR-014</v>
      </c>
      <c r="E236" s="2" t="str">
        <f>INDEX('Main Data'!$A$1:$O$1001,MATCH('Index&amp;Match'!$A236,'Main Data'!$A$1:$A$1001,0),MATCH('Index&amp;Match'!E235,'Main Data'!$A235:$O235,0))</f>
        <v>West</v>
      </c>
      <c r="F236" s="2" t="str">
        <f>INDEX('Main Data'!$A$1:$O$1001,MATCH('Index&amp;Match'!$A236,'Main Data'!$A$1:$A$1001,0),MATCH('Index&amp;Match'!F235,'Main Data'!$A235:$O235,0))</f>
        <v>Auto Loan</v>
      </c>
      <c r="G236" s="2" t="str">
        <f>INDEX('Main Data'!$A$1:$O$1001,MATCH('Index&amp;Match'!$A236,'Main Data'!$A$1:$A$1001,0),MATCH('Index&amp;Match'!G235,'Main Data'!$A235:$O235,0))</f>
        <v>Walk-in</v>
      </c>
      <c r="H236" s="2" t="str">
        <f>INDEX('Main Data'!$A$1:$O$1001,MATCH('Index&amp;Match'!$A236,'Main Data'!$A$1:$A$1001,0),MATCH('Index&amp;Match'!H235,'Main Data'!$A235:$O235,0))</f>
        <v>Retail</v>
      </c>
      <c r="I236" s="2">
        <f>INDEX('Main Data'!$A$1:$O$1001,MATCH('Index&amp;Match'!$A236,'Main Data'!$A$1:$A$1001,0),MATCH('Index&amp;Match'!I235,'Main Data'!$A235:$O235,0))</f>
        <v>26</v>
      </c>
      <c r="J236" s="2">
        <f>INDEX('Main Data'!$A$1:$O$1001,MATCH('Index&amp;Match'!$A236,'Main Data'!$A$1:$A$1001,0),MATCH('Index&amp;Match'!J235,'Main Data'!$A235:$O235,0))</f>
        <v>26</v>
      </c>
      <c r="K236" s="11">
        <f>INDEX('Main Data'!$A$1:$O$1001,MATCH('Index&amp;Match'!$A236,'Main Data'!$A$1:$A$1001,0),MATCH('Index&amp;Match'!K235,'Main Data'!$A235:$O235,0))</f>
        <v>1324.69</v>
      </c>
      <c r="L236" s="11">
        <f>INDEX('Main Data'!$A$1:$O$1001,MATCH('Index&amp;Match'!$A236,'Main Data'!$A$1:$A$1001,0),MATCH('Index&amp;Match'!L235,'Main Data'!$A235:$O235,0))</f>
        <v>209.72</v>
      </c>
      <c r="M236" s="11">
        <f>INDEX('Main Data'!$A$1:$O$1001,MATCH('Index&amp;Match'!$A236,'Main Data'!$A$1:$A$1001,0),MATCH('Index&amp;Match'!M235,'Main Data'!$A235:$O235,0))</f>
        <v>68.63</v>
      </c>
      <c r="N236" s="2" t="str">
        <f>INDEX('Main Data'!$A$1:$O$1001,MATCH('Index&amp;Match'!$A236,'Main Data'!$A$1:$A$1001,0),MATCH('Index&amp;Match'!N235,'Main Data'!$A235:$O235,0))</f>
        <v>Yes</v>
      </c>
      <c r="O236" s="2">
        <f>INDEX('Main Data'!$A$1:$O$1001,MATCH('Index&amp;Match'!$A236,'Main Data'!$A$1:$A$1001,0),MATCH('Index&amp;Match'!O235,'Main Data'!$A235:$O235,0))</f>
        <v>109</v>
      </c>
    </row>
    <row r="237" spans="1:15" x14ac:dyDescent="0.3">
      <c r="A237" s="2" t="s">
        <v>294</v>
      </c>
      <c r="B237" s="1">
        <f>INDEX('Main Data'!$A$1:$O$1001,MATCH('Index&amp;Match'!$A237,'Main Data'!$A$1:$A$1001,0),MATCH('Index&amp;Match'!B236,'Main Data'!$A236:$O236,0))</f>
        <v>46125</v>
      </c>
      <c r="C237" s="2" t="str">
        <f>INDEX('Main Data'!$A$1:$O$1001,MATCH('Index&amp;Match'!$A237,'Main Data'!$A$1:$A$1001,0),MATCH('Index&amp;Match'!C236,'Main Data'!$A236:$O236,0))</f>
        <v>Morgan</v>
      </c>
      <c r="D237" s="2" t="str">
        <f>INDEX('Main Data'!$A$1:$O$1001,MATCH('Index&amp;Match'!$A237,'Main Data'!$A$1:$A$1001,0),MATCH('Index&amp;Match'!D236,'Main Data'!$A236:$O236,0))</f>
        <v>BR-010</v>
      </c>
      <c r="E237" s="2" t="str">
        <f>INDEX('Main Data'!$A$1:$O$1001,MATCH('Index&amp;Match'!$A237,'Main Data'!$A$1:$A$1001,0),MATCH('Index&amp;Match'!E236,'Main Data'!$A236:$O236,0))</f>
        <v>Central</v>
      </c>
      <c r="F237" s="2" t="str">
        <f>INDEX('Main Data'!$A$1:$O$1001,MATCH('Index&amp;Match'!$A237,'Main Data'!$A$1:$A$1001,0),MATCH('Index&amp;Match'!F236,'Main Data'!$A236:$O236,0))</f>
        <v>Credit Card</v>
      </c>
      <c r="G237" s="2" t="str">
        <f>INDEX('Main Data'!$A$1:$O$1001,MATCH('Index&amp;Match'!$A237,'Main Data'!$A$1:$A$1001,0),MATCH('Index&amp;Match'!G236,'Main Data'!$A236:$O236,0))</f>
        <v>Referral</v>
      </c>
      <c r="H237" s="2" t="str">
        <f>INDEX('Main Data'!$A$1:$O$1001,MATCH('Index&amp;Match'!$A237,'Main Data'!$A$1:$A$1001,0),MATCH('Index&amp;Match'!H236,'Main Data'!$A236:$O236,0))</f>
        <v>Corporate</v>
      </c>
      <c r="I237" s="2">
        <f>INDEX('Main Data'!$A$1:$O$1001,MATCH('Index&amp;Match'!$A237,'Main Data'!$A$1:$A$1001,0),MATCH('Index&amp;Match'!I236,'Main Data'!$A236:$O236,0))</f>
        <v>72</v>
      </c>
      <c r="J237" s="2">
        <f>INDEX('Main Data'!$A$1:$O$1001,MATCH('Index&amp;Match'!$A237,'Main Data'!$A$1:$A$1001,0),MATCH('Index&amp;Match'!J236,'Main Data'!$A236:$O236,0))</f>
        <v>72</v>
      </c>
      <c r="K237" s="11">
        <f>INDEX('Main Data'!$A$1:$O$1001,MATCH('Index&amp;Match'!$A237,'Main Data'!$A$1:$A$1001,0),MATCH('Index&amp;Match'!K236,'Main Data'!$A236:$O236,0))</f>
        <v>17277.77</v>
      </c>
      <c r="L237" s="11">
        <f>INDEX('Main Data'!$A$1:$O$1001,MATCH('Index&amp;Match'!$A237,'Main Data'!$A$1:$A$1001,0),MATCH('Index&amp;Match'!L236,'Main Data'!$A236:$O236,0))</f>
        <v>276.43</v>
      </c>
      <c r="M237" s="11">
        <f>INDEX('Main Data'!$A$1:$O$1001,MATCH('Index&amp;Match'!$A237,'Main Data'!$A$1:$A$1001,0),MATCH('Index&amp;Match'!M236,'Main Data'!$A236:$O236,0))</f>
        <v>112.32</v>
      </c>
      <c r="N237" s="2" t="str">
        <f>INDEX('Main Data'!$A$1:$O$1001,MATCH('Index&amp;Match'!$A237,'Main Data'!$A$1:$A$1001,0),MATCH('Index&amp;Match'!N236,'Main Data'!$A236:$O236,0))</f>
        <v>Yes</v>
      </c>
      <c r="O237" s="2">
        <f>INDEX('Main Data'!$A$1:$O$1001,MATCH('Index&amp;Match'!$A237,'Main Data'!$A$1:$A$1001,0),MATCH('Index&amp;Match'!O236,'Main Data'!$A236:$O236,0))</f>
        <v>2</v>
      </c>
    </row>
    <row r="238" spans="1:15" x14ac:dyDescent="0.3">
      <c r="A238" s="2" t="s">
        <v>295</v>
      </c>
      <c r="B238" s="1">
        <f>INDEX('Main Data'!$A$1:$O$1001,MATCH('Index&amp;Match'!$A238,'Main Data'!$A$1:$A$1001,0),MATCH('Index&amp;Match'!B237,'Main Data'!$A237:$O237,0))</f>
        <v>46042</v>
      </c>
      <c r="C238" s="2" t="str">
        <f>INDEX('Main Data'!$A$1:$O$1001,MATCH('Index&amp;Match'!$A238,'Main Data'!$A$1:$A$1001,0),MATCH('Index&amp;Match'!C237,'Main Data'!$A237:$O237,0))</f>
        <v>Sam</v>
      </c>
      <c r="D238" s="2" t="str">
        <f>INDEX('Main Data'!$A$1:$O$1001,MATCH('Index&amp;Match'!$A238,'Main Data'!$A$1:$A$1001,0),MATCH('Index&amp;Match'!D237,'Main Data'!$A237:$O237,0))</f>
        <v>BR-012</v>
      </c>
      <c r="E238" s="2" t="str">
        <f>INDEX('Main Data'!$A$1:$O$1001,MATCH('Index&amp;Match'!$A238,'Main Data'!$A$1:$A$1001,0),MATCH('Index&amp;Match'!E237,'Main Data'!$A237:$O237,0))</f>
        <v>East</v>
      </c>
      <c r="F238" s="2" t="str">
        <f>INDEX('Main Data'!$A$1:$O$1001,MATCH('Index&amp;Match'!$A238,'Main Data'!$A$1:$A$1001,0),MATCH('Index&amp;Match'!F237,'Main Data'!$A237:$O237,0))</f>
        <v>Auto Loan</v>
      </c>
      <c r="G238" s="2" t="str">
        <f>INDEX('Main Data'!$A$1:$O$1001,MATCH('Index&amp;Match'!$A238,'Main Data'!$A$1:$A$1001,0),MATCH('Index&amp;Match'!G237,'Main Data'!$A237:$O237,0))</f>
        <v>Social Media</v>
      </c>
      <c r="H238" s="2" t="str">
        <f>INDEX('Main Data'!$A$1:$O$1001,MATCH('Index&amp;Match'!$A238,'Main Data'!$A$1:$A$1001,0),MATCH('Index&amp;Match'!H237,'Main Data'!$A237:$O237,0))</f>
        <v>Corporate</v>
      </c>
      <c r="I238" s="2">
        <f>INDEX('Main Data'!$A$1:$O$1001,MATCH('Index&amp;Match'!$A238,'Main Data'!$A$1:$A$1001,0),MATCH('Index&amp;Match'!I237,'Main Data'!$A237:$O237,0))</f>
        <v>67</v>
      </c>
      <c r="J238" s="2">
        <f>INDEX('Main Data'!$A$1:$O$1001,MATCH('Index&amp;Match'!$A238,'Main Data'!$A$1:$A$1001,0),MATCH('Index&amp;Match'!J237,'Main Data'!$A237:$O237,0))</f>
        <v>67</v>
      </c>
      <c r="K238" s="11">
        <f>INDEX('Main Data'!$A$1:$O$1001,MATCH('Index&amp;Match'!$A238,'Main Data'!$A$1:$A$1001,0),MATCH('Index&amp;Match'!K237,'Main Data'!$A237:$O237,0))</f>
        <v>39885.18</v>
      </c>
      <c r="L238" s="11">
        <f>INDEX('Main Data'!$A$1:$O$1001,MATCH('Index&amp;Match'!$A238,'Main Data'!$A$1:$A$1001,0),MATCH('Index&amp;Match'!L237,'Main Data'!$A237:$O237,0))</f>
        <v>271.98</v>
      </c>
      <c r="M238" s="11">
        <f>INDEX('Main Data'!$A$1:$O$1001,MATCH('Index&amp;Match'!$A238,'Main Data'!$A$1:$A$1001,0),MATCH('Index&amp;Match'!M237,'Main Data'!$A237:$O237,0))</f>
        <v>14.63</v>
      </c>
      <c r="N238" s="2" t="str">
        <f>INDEX('Main Data'!$A$1:$O$1001,MATCH('Index&amp;Match'!$A238,'Main Data'!$A$1:$A$1001,0),MATCH('Index&amp;Match'!N237,'Main Data'!$A237:$O237,0))</f>
        <v>Yes</v>
      </c>
      <c r="O238" s="2">
        <f>INDEX('Main Data'!$A$1:$O$1001,MATCH('Index&amp;Match'!$A238,'Main Data'!$A$1:$A$1001,0),MATCH('Index&amp;Match'!O237,'Main Data'!$A237:$O237,0))</f>
        <v>25</v>
      </c>
    </row>
    <row r="239" spans="1:15" x14ac:dyDescent="0.3">
      <c r="A239" s="2" t="s">
        <v>296</v>
      </c>
      <c r="B239" s="1">
        <f>INDEX('Main Data'!$A$1:$O$1001,MATCH('Index&amp;Match'!$A239,'Main Data'!$A$1:$A$1001,0),MATCH('Index&amp;Match'!B238,'Main Data'!$A238:$O238,0))</f>
        <v>46021</v>
      </c>
      <c r="C239" s="2" t="str">
        <f>INDEX('Main Data'!$A$1:$O$1001,MATCH('Index&amp;Match'!$A239,'Main Data'!$A$1:$A$1001,0),MATCH('Index&amp;Match'!C238,'Main Data'!$A238:$O238,0))</f>
        <v>Sam</v>
      </c>
      <c r="D239" s="2" t="str">
        <f>INDEX('Main Data'!$A$1:$O$1001,MATCH('Index&amp;Match'!$A239,'Main Data'!$A$1:$A$1001,0),MATCH('Index&amp;Match'!D238,'Main Data'!$A238:$O238,0))</f>
        <v>BR-007</v>
      </c>
      <c r="E239" s="2" t="str">
        <f>INDEX('Main Data'!$A$1:$O$1001,MATCH('Index&amp;Match'!$A239,'Main Data'!$A$1:$A$1001,0),MATCH('Index&amp;Match'!E238,'Main Data'!$A238:$O238,0))</f>
        <v>North</v>
      </c>
      <c r="F239" s="2" t="str">
        <f>INDEX('Main Data'!$A$1:$O$1001,MATCH('Index&amp;Match'!$A239,'Main Data'!$A$1:$A$1001,0),MATCH('Index&amp;Match'!F238,'Main Data'!$A238:$O238,0))</f>
        <v>Wealth Management</v>
      </c>
      <c r="G239" s="2" t="str">
        <f>INDEX('Main Data'!$A$1:$O$1001,MATCH('Index&amp;Match'!$A239,'Main Data'!$A$1:$A$1001,0),MATCH('Index&amp;Match'!G238,'Main Data'!$A238:$O238,0))</f>
        <v>Website</v>
      </c>
      <c r="H239" s="2" t="str">
        <f>INDEX('Main Data'!$A$1:$O$1001,MATCH('Index&amp;Match'!$A239,'Main Data'!$A$1:$A$1001,0),MATCH('Index&amp;Match'!H238,'Main Data'!$A238:$O238,0))</f>
        <v>High Net Worth</v>
      </c>
      <c r="I239" s="2">
        <f>INDEX('Main Data'!$A$1:$O$1001,MATCH('Index&amp;Match'!$A239,'Main Data'!$A$1:$A$1001,0),MATCH('Index&amp;Match'!I238,'Main Data'!$A238:$O238,0))</f>
        <v>35</v>
      </c>
      <c r="J239" s="2">
        <f>INDEX('Main Data'!$A$1:$O$1001,MATCH('Index&amp;Match'!$A239,'Main Data'!$A$1:$A$1001,0),MATCH('Index&amp;Match'!J238,'Main Data'!$A238:$O238,0))</f>
        <v>35</v>
      </c>
      <c r="K239" s="11">
        <f>INDEX('Main Data'!$A$1:$O$1001,MATCH('Index&amp;Match'!$A239,'Main Data'!$A$1:$A$1001,0),MATCH('Index&amp;Match'!K238,'Main Data'!$A238:$O238,0))</f>
        <v>4335.41</v>
      </c>
      <c r="L239" s="11">
        <f>INDEX('Main Data'!$A$1:$O$1001,MATCH('Index&amp;Match'!$A239,'Main Data'!$A$1:$A$1001,0),MATCH('Index&amp;Match'!L238,'Main Data'!$A238:$O238,0))</f>
        <v>51.78</v>
      </c>
      <c r="M239" s="11">
        <f>INDEX('Main Data'!$A$1:$O$1001,MATCH('Index&amp;Match'!$A239,'Main Data'!$A$1:$A$1001,0),MATCH('Index&amp;Match'!M238,'Main Data'!$A238:$O238,0))</f>
        <v>229.4</v>
      </c>
      <c r="N239" s="2" t="str">
        <f>INDEX('Main Data'!$A$1:$O$1001,MATCH('Index&amp;Match'!$A239,'Main Data'!$A$1:$A$1001,0),MATCH('Index&amp;Match'!N238,'Main Data'!$A238:$O238,0))</f>
        <v>Yes</v>
      </c>
      <c r="O239" s="2">
        <f>INDEX('Main Data'!$A$1:$O$1001,MATCH('Index&amp;Match'!$A239,'Main Data'!$A$1:$A$1001,0),MATCH('Index&amp;Match'!O238,'Main Data'!$A238:$O238,0))</f>
        <v>13</v>
      </c>
    </row>
    <row r="240" spans="1:15" x14ac:dyDescent="0.3">
      <c r="A240" s="2" t="s">
        <v>297</v>
      </c>
      <c r="B240" s="1">
        <f>INDEX('Main Data'!$A$1:$O$1001,MATCH('Index&amp;Match'!$A240,'Main Data'!$A$1:$A$1001,0),MATCH('Index&amp;Match'!B239,'Main Data'!$A239:$O239,0))</f>
        <v>46101</v>
      </c>
      <c r="C240" s="2" t="str">
        <f>INDEX('Main Data'!$A$1:$O$1001,MATCH('Index&amp;Match'!$A240,'Main Data'!$A$1:$A$1001,0),MATCH('Index&amp;Match'!C239,'Main Data'!$A239:$O239,0))</f>
        <v>Taylor</v>
      </c>
      <c r="D240" s="2" t="str">
        <f>INDEX('Main Data'!$A$1:$O$1001,MATCH('Index&amp;Match'!$A240,'Main Data'!$A$1:$A$1001,0),MATCH('Index&amp;Match'!D239,'Main Data'!$A239:$O239,0))</f>
        <v>BR-014</v>
      </c>
      <c r="E240" s="2" t="str">
        <f>INDEX('Main Data'!$A$1:$O$1001,MATCH('Index&amp;Match'!$A240,'Main Data'!$A$1:$A$1001,0),MATCH('Index&amp;Match'!E239,'Main Data'!$A239:$O239,0))</f>
        <v>East</v>
      </c>
      <c r="F240" s="2" t="str">
        <f>INDEX('Main Data'!$A$1:$O$1001,MATCH('Index&amp;Match'!$A240,'Main Data'!$A$1:$A$1001,0),MATCH('Index&amp;Match'!F239,'Main Data'!$A239:$O239,0))</f>
        <v>Auto Loan</v>
      </c>
      <c r="G240" s="2" t="str">
        <f>INDEX('Main Data'!$A$1:$O$1001,MATCH('Index&amp;Match'!$A240,'Main Data'!$A$1:$A$1001,0),MATCH('Index&amp;Match'!G239,'Main Data'!$A239:$O239,0))</f>
        <v>Referral</v>
      </c>
      <c r="H240" s="2" t="str">
        <f>INDEX('Main Data'!$A$1:$O$1001,MATCH('Index&amp;Match'!$A240,'Main Data'!$A$1:$A$1001,0),MATCH('Index&amp;Match'!H239,'Main Data'!$A239:$O239,0))</f>
        <v>High Net Worth</v>
      </c>
      <c r="I240" s="2">
        <f>INDEX('Main Data'!$A$1:$O$1001,MATCH('Index&amp;Match'!$A240,'Main Data'!$A$1:$A$1001,0),MATCH('Index&amp;Match'!I239,'Main Data'!$A239:$O239,0))</f>
        <v>40</v>
      </c>
      <c r="J240" s="2">
        <f>INDEX('Main Data'!$A$1:$O$1001,MATCH('Index&amp;Match'!$A240,'Main Data'!$A$1:$A$1001,0),MATCH('Index&amp;Match'!J239,'Main Data'!$A239:$O239,0))</f>
        <v>40</v>
      </c>
      <c r="K240" s="11">
        <f>INDEX('Main Data'!$A$1:$O$1001,MATCH('Index&amp;Match'!$A240,'Main Data'!$A$1:$A$1001,0),MATCH('Index&amp;Match'!K239,'Main Data'!$A239:$O239,0))</f>
        <v>14474.53</v>
      </c>
      <c r="L240" s="11">
        <f>INDEX('Main Data'!$A$1:$O$1001,MATCH('Index&amp;Match'!$A240,'Main Data'!$A$1:$A$1001,0),MATCH('Index&amp;Match'!L239,'Main Data'!$A239:$O239,0))</f>
        <v>275.52</v>
      </c>
      <c r="M240" s="11">
        <f>INDEX('Main Data'!$A$1:$O$1001,MATCH('Index&amp;Match'!$A240,'Main Data'!$A$1:$A$1001,0),MATCH('Index&amp;Match'!M239,'Main Data'!$A239:$O239,0))</f>
        <v>85.41</v>
      </c>
      <c r="N240" s="2" t="str">
        <f>INDEX('Main Data'!$A$1:$O$1001,MATCH('Index&amp;Match'!$A240,'Main Data'!$A$1:$A$1001,0),MATCH('Index&amp;Match'!N239,'Main Data'!$A239:$O239,0))</f>
        <v>Yes</v>
      </c>
      <c r="O240" s="2">
        <f>INDEX('Main Data'!$A$1:$O$1001,MATCH('Index&amp;Match'!$A240,'Main Data'!$A$1:$A$1001,0),MATCH('Index&amp;Match'!O239,'Main Data'!$A239:$O239,0))</f>
        <v>103</v>
      </c>
    </row>
    <row r="241" spans="1:15" x14ac:dyDescent="0.3">
      <c r="A241" s="2" t="s">
        <v>298</v>
      </c>
      <c r="B241" s="1">
        <f>INDEX('Main Data'!$A$1:$O$1001,MATCH('Index&amp;Match'!$A241,'Main Data'!$A$1:$A$1001,0),MATCH('Index&amp;Match'!B240,'Main Data'!$A240:$O240,0))</f>
        <v>46116</v>
      </c>
      <c r="C241" s="2" t="str">
        <f>INDEX('Main Data'!$A$1:$O$1001,MATCH('Index&amp;Match'!$A241,'Main Data'!$A$1:$A$1001,0),MATCH('Index&amp;Match'!C240,'Main Data'!$A240:$O240,0))</f>
        <v>Drew</v>
      </c>
      <c r="D241" s="2" t="str">
        <f>INDEX('Main Data'!$A$1:$O$1001,MATCH('Index&amp;Match'!$A241,'Main Data'!$A$1:$A$1001,0),MATCH('Index&amp;Match'!D240,'Main Data'!$A240:$O240,0))</f>
        <v>BR-008</v>
      </c>
      <c r="E241" s="2" t="str">
        <f>INDEX('Main Data'!$A$1:$O$1001,MATCH('Index&amp;Match'!$A241,'Main Data'!$A$1:$A$1001,0),MATCH('Index&amp;Match'!E240,'Main Data'!$A240:$O240,0))</f>
        <v>East</v>
      </c>
      <c r="F241" s="2" t="str">
        <f>INDEX('Main Data'!$A$1:$O$1001,MATCH('Index&amp;Match'!$A241,'Main Data'!$A$1:$A$1001,0),MATCH('Index&amp;Match'!F240,'Main Data'!$A240:$O240,0))</f>
        <v>Personal Loan</v>
      </c>
      <c r="G241" s="2" t="str">
        <f>INDEX('Main Data'!$A$1:$O$1001,MATCH('Index&amp;Match'!$A241,'Main Data'!$A$1:$A$1001,0),MATCH('Index&amp;Match'!G240,'Main Data'!$A240:$O240,0))</f>
        <v>Email Campaign</v>
      </c>
      <c r="H241" s="2" t="str">
        <f>INDEX('Main Data'!$A$1:$O$1001,MATCH('Index&amp;Match'!$A241,'Main Data'!$A$1:$A$1001,0),MATCH('Index&amp;Match'!H240,'Main Data'!$A240:$O240,0))</f>
        <v>Corporate</v>
      </c>
      <c r="I241" s="2">
        <f>INDEX('Main Data'!$A$1:$O$1001,MATCH('Index&amp;Match'!$A241,'Main Data'!$A$1:$A$1001,0),MATCH('Index&amp;Match'!I240,'Main Data'!$A240:$O240,0))</f>
        <v>29</v>
      </c>
      <c r="J241" s="2">
        <f>INDEX('Main Data'!$A$1:$O$1001,MATCH('Index&amp;Match'!$A241,'Main Data'!$A$1:$A$1001,0),MATCH('Index&amp;Match'!J240,'Main Data'!$A240:$O240,0))</f>
        <v>29</v>
      </c>
      <c r="K241" s="11">
        <f>INDEX('Main Data'!$A$1:$O$1001,MATCH('Index&amp;Match'!$A241,'Main Data'!$A$1:$A$1001,0),MATCH('Index&amp;Match'!K240,'Main Data'!$A240:$O240,0))</f>
        <v>29472.19</v>
      </c>
      <c r="L241" s="11">
        <f>INDEX('Main Data'!$A$1:$O$1001,MATCH('Index&amp;Match'!$A241,'Main Data'!$A$1:$A$1001,0),MATCH('Index&amp;Match'!L240,'Main Data'!$A240:$O240,0))</f>
        <v>222.7</v>
      </c>
      <c r="M241" s="11">
        <f>INDEX('Main Data'!$A$1:$O$1001,MATCH('Index&amp;Match'!$A241,'Main Data'!$A$1:$A$1001,0),MATCH('Index&amp;Match'!M240,'Main Data'!$A240:$O240,0))</f>
        <v>177.52</v>
      </c>
      <c r="N241" s="2" t="str">
        <f>INDEX('Main Data'!$A$1:$O$1001,MATCH('Index&amp;Match'!$A241,'Main Data'!$A$1:$A$1001,0),MATCH('Index&amp;Match'!N240,'Main Data'!$A240:$O240,0))</f>
        <v>Yes</v>
      </c>
      <c r="O241" s="2">
        <f>INDEX('Main Data'!$A$1:$O$1001,MATCH('Index&amp;Match'!$A241,'Main Data'!$A$1:$A$1001,0),MATCH('Index&amp;Match'!O240,'Main Data'!$A240:$O240,0))</f>
        <v>92</v>
      </c>
    </row>
    <row r="242" spans="1:15" x14ac:dyDescent="0.3">
      <c r="A242" s="2" t="s">
        <v>299</v>
      </c>
      <c r="B242" s="1">
        <f>INDEX('Main Data'!$A$1:$O$1001,MATCH('Index&amp;Match'!$A242,'Main Data'!$A$1:$A$1001,0),MATCH('Index&amp;Match'!B241,'Main Data'!$A241:$O241,0))</f>
        <v>46211</v>
      </c>
      <c r="C242" s="2" t="str">
        <f>INDEX('Main Data'!$A$1:$O$1001,MATCH('Index&amp;Match'!$A242,'Main Data'!$A$1:$A$1001,0),MATCH('Index&amp;Match'!C241,'Main Data'!$A241:$O241,0))</f>
        <v>Jordan</v>
      </c>
      <c r="D242" s="2" t="str">
        <f>INDEX('Main Data'!$A$1:$O$1001,MATCH('Index&amp;Match'!$A242,'Main Data'!$A$1:$A$1001,0),MATCH('Index&amp;Match'!D241,'Main Data'!$A241:$O241,0))</f>
        <v>BR-002</v>
      </c>
      <c r="E242" s="2" t="str">
        <f>INDEX('Main Data'!$A$1:$O$1001,MATCH('Index&amp;Match'!$A242,'Main Data'!$A$1:$A$1001,0),MATCH('Index&amp;Match'!E241,'Main Data'!$A241:$O241,0))</f>
        <v>South</v>
      </c>
      <c r="F242" s="2" t="str">
        <f>INDEX('Main Data'!$A$1:$O$1001,MATCH('Index&amp;Match'!$A242,'Main Data'!$A$1:$A$1001,0),MATCH('Index&amp;Match'!F241,'Main Data'!$A241:$O241,0))</f>
        <v>Auto Loan</v>
      </c>
      <c r="G242" s="2" t="str">
        <f>INDEX('Main Data'!$A$1:$O$1001,MATCH('Index&amp;Match'!$A242,'Main Data'!$A$1:$A$1001,0),MATCH('Index&amp;Match'!G241,'Main Data'!$A241:$O241,0))</f>
        <v>Email Campaign</v>
      </c>
      <c r="H242" s="2" t="str">
        <f>INDEX('Main Data'!$A$1:$O$1001,MATCH('Index&amp;Match'!$A242,'Main Data'!$A$1:$A$1001,0),MATCH('Index&amp;Match'!H241,'Main Data'!$A241:$O241,0))</f>
        <v>Retail</v>
      </c>
      <c r="I242" s="2">
        <f>INDEX('Main Data'!$A$1:$O$1001,MATCH('Index&amp;Match'!$A242,'Main Data'!$A$1:$A$1001,0),MATCH('Index&amp;Match'!I241,'Main Data'!$A241:$O241,0))</f>
        <v>52</v>
      </c>
      <c r="J242" s="2">
        <f>INDEX('Main Data'!$A$1:$O$1001,MATCH('Index&amp;Match'!$A242,'Main Data'!$A$1:$A$1001,0),MATCH('Index&amp;Match'!J241,'Main Data'!$A241:$O241,0))</f>
        <v>52</v>
      </c>
      <c r="K242" s="11">
        <f>INDEX('Main Data'!$A$1:$O$1001,MATCH('Index&amp;Match'!$A242,'Main Data'!$A$1:$A$1001,0),MATCH('Index&amp;Match'!K241,'Main Data'!$A241:$O241,0))</f>
        <v>13192.44</v>
      </c>
      <c r="L242" s="11">
        <f>INDEX('Main Data'!$A$1:$O$1001,MATCH('Index&amp;Match'!$A242,'Main Data'!$A$1:$A$1001,0),MATCH('Index&amp;Match'!L241,'Main Data'!$A241:$O241,0))</f>
        <v>487.44</v>
      </c>
      <c r="M242" s="11">
        <f>INDEX('Main Data'!$A$1:$O$1001,MATCH('Index&amp;Match'!$A242,'Main Data'!$A$1:$A$1001,0),MATCH('Index&amp;Match'!M241,'Main Data'!$A241:$O241,0))</f>
        <v>73.569999999999993</v>
      </c>
      <c r="N242" s="2" t="str">
        <f>INDEX('Main Data'!$A$1:$O$1001,MATCH('Index&amp;Match'!$A242,'Main Data'!$A$1:$A$1001,0),MATCH('Index&amp;Match'!N241,'Main Data'!$A241:$O241,0))</f>
        <v>Yes</v>
      </c>
      <c r="O242" s="2">
        <f>INDEX('Main Data'!$A$1:$O$1001,MATCH('Index&amp;Match'!$A242,'Main Data'!$A$1:$A$1001,0),MATCH('Index&amp;Match'!O241,'Main Data'!$A241:$O241,0))</f>
        <v>106</v>
      </c>
    </row>
    <row r="243" spans="1:15" x14ac:dyDescent="0.3">
      <c r="A243" s="2" t="s">
        <v>300</v>
      </c>
      <c r="B243" s="1">
        <f>INDEX('Main Data'!$A$1:$O$1001,MATCH('Index&amp;Match'!$A243,'Main Data'!$A$1:$A$1001,0),MATCH('Index&amp;Match'!B242,'Main Data'!$A242:$O242,0))</f>
        <v>45925</v>
      </c>
      <c r="C243" s="2" t="str">
        <f>INDEX('Main Data'!$A$1:$O$1001,MATCH('Index&amp;Match'!$A243,'Main Data'!$A$1:$A$1001,0),MATCH('Index&amp;Match'!C242,'Main Data'!$A242:$O242,0))</f>
        <v>Jamie</v>
      </c>
      <c r="D243" s="2" t="str">
        <f>INDEX('Main Data'!$A$1:$O$1001,MATCH('Index&amp;Match'!$A243,'Main Data'!$A$1:$A$1001,0),MATCH('Index&amp;Match'!D242,'Main Data'!$A242:$O242,0))</f>
        <v>BR-013</v>
      </c>
      <c r="E243" s="2" t="str">
        <f>INDEX('Main Data'!$A$1:$O$1001,MATCH('Index&amp;Match'!$A243,'Main Data'!$A$1:$A$1001,0),MATCH('Index&amp;Match'!E242,'Main Data'!$A242:$O242,0))</f>
        <v>South</v>
      </c>
      <c r="F243" s="2" t="str">
        <f>INDEX('Main Data'!$A$1:$O$1001,MATCH('Index&amp;Match'!$A243,'Main Data'!$A$1:$A$1001,0),MATCH('Index&amp;Match'!F242,'Main Data'!$A242:$O242,0))</f>
        <v>Mortgage</v>
      </c>
      <c r="G243" s="2" t="str">
        <f>INDEX('Main Data'!$A$1:$O$1001,MATCH('Index&amp;Match'!$A243,'Main Data'!$A$1:$A$1001,0),MATCH('Index&amp;Match'!G242,'Main Data'!$A242:$O242,0))</f>
        <v>Walk-in</v>
      </c>
      <c r="H243" s="2" t="str">
        <f>INDEX('Main Data'!$A$1:$O$1001,MATCH('Index&amp;Match'!$A243,'Main Data'!$A$1:$A$1001,0),MATCH('Index&amp;Match'!H242,'Main Data'!$A242:$O242,0))</f>
        <v>Corporate</v>
      </c>
      <c r="I243" s="2">
        <f>INDEX('Main Data'!$A$1:$O$1001,MATCH('Index&amp;Match'!$A243,'Main Data'!$A$1:$A$1001,0),MATCH('Index&amp;Match'!I242,'Main Data'!$A242:$O242,0))</f>
        <v>24</v>
      </c>
      <c r="J243" s="2">
        <f>INDEX('Main Data'!$A$1:$O$1001,MATCH('Index&amp;Match'!$A243,'Main Data'!$A$1:$A$1001,0),MATCH('Index&amp;Match'!J242,'Main Data'!$A242:$O242,0))</f>
        <v>24</v>
      </c>
      <c r="K243" s="11">
        <f>INDEX('Main Data'!$A$1:$O$1001,MATCH('Index&amp;Match'!$A243,'Main Data'!$A$1:$A$1001,0),MATCH('Index&amp;Match'!K242,'Main Data'!$A242:$O242,0))</f>
        <v>46731.91</v>
      </c>
      <c r="L243" s="11">
        <f>INDEX('Main Data'!$A$1:$O$1001,MATCH('Index&amp;Match'!$A243,'Main Data'!$A$1:$A$1001,0),MATCH('Index&amp;Match'!L242,'Main Data'!$A242:$O242,0))</f>
        <v>121.62</v>
      </c>
      <c r="M243" s="11">
        <f>INDEX('Main Data'!$A$1:$O$1001,MATCH('Index&amp;Match'!$A243,'Main Data'!$A$1:$A$1001,0),MATCH('Index&amp;Match'!M242,'Main Data'!$A242:$O242,0))</f>
        <v>28.56</v>
      </c>
      <c r="N243" s="2" t="str">
        <f>INDEX('Main Data'!$A$1:$O$1001,MATCH('Index&amp;Match'!$A243,'Main Data'!$A$1:$A$1001,0),MATCH('Index&amp;Match'!N242,'Main Data'!$A242:$O242,0))</f>
        <v>Yes</v>
      </c>
      <c r="O243" s="2">
        <f>INDEX('Main Data'!$A$1:$O$1001,MATCH('Index&amp;Match'!$A243,'Main Data'!$A$1:$A$1001,0),MATCH('Index&amp;Match'!O242,'Main Data'!$A242:$O242,0))</f>
        <v>119</v>
      </c>
    </row>
    <row r="244" spans="1:15" x14ac:dyDescent="0.3">
      <c r="A244" s="2" t="s">
        <v>301</v>
      </c>
      <c r="B244" s="1">
        <f>INDEX('Main Data'!$A$1:$O$1001,MATCH('Index&amp;Match'!$A244,'Main Data'!$A$1:$A$1001,0),MATCH('Index&amp;Match'!B243,'Main Data'!$A243:$O243,0))</f>
        <v>46063</v>
      </c>
      <c r="C244" s="2" t="str">
        <f>INDEX('Main Data'!$A$1:$O$1001,MATCH('Index&amp;Match'!$A244,'Main Data'!$A$1:$A$1001,0),MATCH('Index&amp;Match'!C243,'Main Data'!$A243:$O243,0))</f>
        <v>Morgan</v>
      </c>
      <c r="D244" s="2" t="str">
        <f>INDEX('Main Data'!$A$1:$O$1001,MATCH('Index&amp;Match'!$A244,'Main Data'!$A$1:$A$1001,0),MATCH('Index&amp;Match'!D243,'Main Data'!$A243:$O243,0))</f>
        <v>BR-010</v>
      </c>
      <c r="E244" s="2" t="str">
        <f>INDEX('Main Data'!$A$1:$O$1001,MATCH('Index&amp;Match'!$A244,'Main Data'!$A$1:$A$1001,0),MATCH('Index&amp;Match'!E243,'Main Data'!$A243:$O243,0))</f>
        <v>South</v>
      </c>
      <c r="F244" s="2" t="str">
        <f>INDEX('Main Data'!$A$1:$O$1001,MATCH('Index&amp;Match'!$A244,'Main Data'!$A$1:$A$1001,0),MATCH('Index&amp;Match'!F243,'Main Data'!$A243:$O243,0))</f>
        <v>Auto Loan</v>
      </c>
      <c r="G244" s="2" t="str">
        <f>INDEX('Main Data'!$A$1:$O$1001,MATCH('Index&amp;Match'!$A244,'Main Data'!$A$1:$A$1001,0),MATCH('Index&amp;Match'!G243,'Main Data'!$A243:$O243,0))</f>
        <v>Email Campaign</v>
      </c>
      <c r="H244" s="2" t="str">
        <f>INDEX('Main Data'!$A$1:$O$1001,MATCH('Index&amp;Match'!$A244,'Main Data'!$A$1:$A$1001,0),MATCH('Index&amp;Match'!H243,'Main Data'!$A243:$O243,0))</f>
        <v>High Net Worth</v>
      </c>
      <c r="I244" s="2">
        <f>INDEX('Main Data'!$A$1:$O$1001,MATCH('Index&amp;Match'!$A244,'Main Data'!$A$1:$A$1001,0),MATCH('Index&amp;Match'!I243,'Main Data'!$A243:$O243,0))</f>
        <v>70</v>
      </c>
      <c r="J244" s="2">
        <f>INDEX('Main Data'!$A$1:$O$1001,MATCH('Index&amp;Match'!$A244,'Main Data'!$A$1:$A$1001,0),MATCH('Index&amp;Match'!J243,'Main Data'!$A243:$O243,0))</f>
        <v>70</v>
      </c>
      <c r="K244" s="11">
        <f>INDEX('Main Data'!$A$1:$O$1001,MATCH('Index&amp;Match'!$A244,'Main Data'!$A$1:$A$1001,0),MATCH('Index&amp;Match'!K243,'Main Data'!$A243:$O243,0))</f>
        <v>6987.4</v>
      </c>
      <c r="L244" s="11">
        <f>INDEX('Main Data'!$A$1:$O$1001,MATCH('Index&amp;Match'!$A244,'Main Data'!$A$1:$A$1001,0),MATCH('Index&amp;Match'!L243,'Main Data'!$A243:$O243,0))</f>
        <v>209.37</v>
      </c>
      <c r="M244" s="11">
        <f>INDEX('Main Data'!$A$1:$O$1001,MATCH('Index&amp;Match'!$A244,'Main Data'!$A$1:$A$1001,0),MATCH('Index&amp;Match'!M243,'Main Data'!$A243:$O243,0))</f>
        <v>208.77</v>
      </c>
      <c r="N244" s="2" t="str">
        <f>INDEX('Main Data'!$A$1:$O$1001,MATCH('Index&amp;Match'!$A244,'Main Data'!$A$1:$A$1001,0),MATCH('Index&amp;Match'!N243,'Main Data'!$A243:$O243,0))</f>
        <v>No</v>
      </c>
      <c r="O244" s="2">
        <f>INDEX('Main Data'!$A$1:$O$1001,MATCH('Index&amp;Match'!$A244,'Main Data'!$A$1:$A$1001,0),MATCH('Index&amp;Match'!O243,'Main Data'!$A243:$O243,0))</f>
        <v>70</v>
      </c>
    </row>
    <row r="245" spans="1:15" x14ac:dyDescent="0.3">
      <c r="A245" s="2" t="s">
        <v>302</v>
      </c>
      <c r="B245" s="1">
        <f>INDEX('Main Data'!$A$1:$O$1001,MATCH('Index&amp;Match'!$A245,'Main Data'!$A$1:$A$1001,0),MATCH('Index&amp;Match'!B244,'Main Data'!$A244:$O244,0))</f>
        <v>46161</v>
      </c>
      <c r="C245" s="2" t="str">
        <f>INDEX('Main Data'!$A$1:$O$1001,MATCH('Index&amp;Match'!$A245,'Main Data'!$A$1:$A$1001,0),MATCH('Index&amp;Match'!C244,'Main Data'!$A244:$O244,0))</f>
        <v>Alex</v>
      </c>
      <c r="D245" s="2" t="str">
        <f>INDEX('Main Data'!$A$1:$O$1001,MATCH('Index&amp;Match'!$A245,'Main Data'!$A$1:$A$1001,0),MATCH('Index&amp;Match'!D244,'Main Data'!$A244:$O244,0))</f>
        <v>BR-014</v>
      </c>
      <c r="E245" s="2" t="str">
        <f>INDEX('Main Data'!$A$1:$O$1001,MATCH('Index&amp;Match'!$A245,'Main Data'!$A$1:$A$1001,0),MATCH('Index&amp;Match'!E244,'Main Data'!$A244:$O244,0))</f>
        <v>South</v>
      </c>
      <c r="F245" s="2" t="str">
        <f>INDEX('Main Data'!$A$1:$O$1001,MATCH('Index&amp;Match'!$A245,'Main Data'!$A$1:$A$1001,0),MATCH('Index&amp;Match'!F244,'Main Data'!$A244:$O244,0))</f>
        <v>Personal Loan</v>
      </c>
      <c r="G245" s="2" t="str">
        <f>INDEX('Main Data'!$A$1:$O$1001,MATCH('Index&amp;Match'!$A245,'Main Data'!$A$1:$A$1001,0),MATCH('Index&amp;Match'!G244,'Main Data'!$A244:$O244,0))</f>
        <v>Referral</v>
      </c>
      <c r="H245" s="2" t="str">
        <f>INDEX('Main Data'!$A$1:$O$1001,MATCH('Index&amp;Match'!$A245,'Main Data'!$A$1:$A$1001,0),MATCH('Index&amp;Match'!H244,'Main Data'!$A244:$O244,0))</f>
        <v>High Net Worth</v>
      </c>
      <c r="I245" s="2">
        <f>INDEX('Main Data'!$A$1:$O$1001,MATCH('Index&amp;Match'!$A245,'Main Data'!$A$1:$A$1001,0),MATCH('Index&amp;Match'!I244,'Main Data'!$A244:$O244,0))</f>
        <v>38</v>
      </c>
      <c r="J245" s="2">
        <f>INDEX('Main Data'!$A$1:$O$1001,MATCH('Index&amp;Match'!$A245,'Main Data'!$A$1:$A$1001,0),MATCH('Index&amp;Match'!J244,'Main Data'!$A244:$O244,0))</f>
        <v>38</v>
      </c>
      <c r="K245" s="11">
        <f>INDEX('Main Data'!$A$1:$O$1001,MATCH('Index&amp;Match'!$A245,'Main Data'!$A$1:$A$1001,0),MATCH('Index&amp;Match'!K244,'Main Data'!$A244:$O244,0))</f>
        <v>39971.019999999997</v>
      </c>
      <c r="L245" s="11">
        <f>INDEX('Main Data'!$A$1:$O$1001,MATCH('Index&amp;Match'!$A245,'Main Data'!$A$1:$A$1001,0),MATCH('Index&amp;Match'!L244,'Main Data'!$A244:$O244,0))</f>
        <v>238.77</v>
      </c>
      <c r="M245" s="11">
        <f>INDEX('Main Data'!$A$1:$O$1001,MATCH('Index&amp;Match'!$A245,'Main Data'!$A$1:$A$1001,0),MATCH('Index&amp;Match'!M244,'Main Data'!$A244:$O244,0))</f>
        <v>49.38</v>
      </c>
      <c r="N245" s="2" t="str">
        <f>INDEX('Main Data'!$A$1:$O$1001,MATCH('Index&amp;Match'!$A245,'Main Data'!$A$1:$A$1001,0),MATCH('Index&amp;Match'!N244,'Main Data'!$A244:$O244,0))</f>
        <v>Yes</v>
      </c>
      <c r="O245" s="2">
        <f>INDEX('Main Data'!$A$1:$O$1001,MATCH('Index&amp;Match'!$A245,'Main Data'!$A$1:$A$1001,0),MATCH('Index&amp;Match'!O244,'Main Data'!$A244:$O244,0))</f>
        <v>38</v>
      </c>
    </row>
    <row r="246" spans="1:15" x14ac:dyDescent="0.3">
      <c r="A246" s="2" t="s">
        <v>303</v>
      </c>
      <c r="B246" s="1">
        <f>INDEX('Main Data'!$A$1:$O$1001,MATCH('Index&amp;Match'!$A246,'Main Data'!$A$1:$A$1001,0),MATCH('Index&amp;Match'!B245,'Main Data'!$A245:$O245,0))</f>
        <v>46188</v>
      </c>
      <c r="C246" s="2" t="str">
        <f>INDEX('Main Data'!$A$1:$O$1001,MATCH('Index&amp;Match'!$A246,'Main Data'!$A$1:$A$1001,0),MATCH('Index&amp;Match'!C245,'Main Data'!$A245:$O245,0))</f>
        <v>Jamie</v>
      </c>
      <c r="D246" s="2" t="str">
        <f>INDEX('Main Data'!$A$1:$O$1001,MATCH('Index&amp;Match'!$A246,'Main Data'!$A$1:$A$1001,0),MATCH('Index&amp;Match'!D245,'Main Data'!$A245:$O245,0))</f>
        <v>BR-011</v>
      </c>
      <c r="E246" s="2" t="str">
        <f>INDEX('Main Data'!$A$1:$O$1001,MATCH('Index&amp;Match'!$A246,'Main Data'!$A$1:$A$1001,0),MATCH('Index&amp;Match'!E245,'Main Data'!$A245:$O245,0))</f>
        <v>Central</v>
      </c>
      <c r="F246" s="2" t="str">
        <f>INDEX('Main Data'!$A$1:$O$1001,MATCH('Index&amp;Match'!$A246,'Main Data'!$A$1:$A$1001,0),MATCH('Index&amp;Match'!F245,'Main Data'!$A245:$O245,0))</f>
        <v>Personal Loan</v>
      </c>
      <c r="G246" s="2" t="str">
        <f>INDEX('Main Data'!$A$1:$O$1001,MATCH('Index&amp;Match'!$A246,'Main Data'!$A$1:$A$1001,0),MATCH('Index&amp;Match'!G245,'Main Data'!$A245:$O245,0))</f>
        <v>Email Campaign</v>
      </c>
      <c r="H246" s="2" t="str">
        <f>INDEX('Main Data'!$A$1:$O$1001,MATCH('Index&amp;Match'!$A246,'Main Data'!$A$1:$A$1001,0),MATCH('Index&amp;Match'!H245,'Main Data'!$A245:$O245,0))</f>
        <v>Corporate</v>
      </c>
      <c r="I246" s="2">
        <f>INDEX('Main Data'!$A$1:$O$1001,MATCH('Index&amp;Match'!$A246,'Main Data'!$A$1:$A$1001,0),MATCH('Index&amp;Match'!I245,'Main Data'!$A245:$O245,0))</f>
        <v>25</v>
      </c>
      <c r="J246" s="2">
        <f>INDEX('Main Data'!$A$1:$O$1001,MATCH('Index&amp;Match'!$A246,'Main Data'!$A$1:$A$1001,0),MATCH('Index&amp;Match'!J245,'Main Data'!$A245:$O245,0))</f>
        <v>25</v>
      </c>
      <c r="K246" s="11">
        <f>INDEX('Main Data'!$A$1:$O$1001,MATCH('Index&amp;Match'!$A246,'Main Data'!$A$1:$A$1001,0),MATCH('Index&amp;Match'!K245,'Main Data'!$A245:$O245,0))</f>
        <v>25643.46</v>
      </c>
      <c r="L246" s="11">
        <f>INDEX('Main Data'!$A$1:$O$1001,MATCH('Index&amp;Match'!$A246,'Main Data'!$A$1:$A$1001,0),MATCH('Index&amp;Match'!L245,'Main Data'!$A245:$O245,0))</f>
        <v>225.81</v>
      </c>
      <c r="M246" s="11">
        <f>INDEX('Main Data'!$A$1:$O$1001,MATCH('Index&amp;Match'!$A246,'Main Data'!$A$1:$A$1001,0),MATCH('Index&amp;Match'!M245,'Main Data'!$A245:$O245,0))</f>
        <v>150.74</v>
      </c>
      <c r="N246" s="2" t="str">
        <f>INDEX('Main Data'!$A$1:$O$1001,MATCH('Index&amp;Match'!$A246,'Main Data'!$A$1:$A$1001,0),MATCH('Index&amp;Match'!N245,'Main Data'!$A245:$O245,0))</f>
        <v>Yes</v>
      </c>
      <c r="O246" s="2">
        <f>INDEX('Main Data'!$A$1:$O$1001,MATCH('Index&amp;Match'!$A246,'Main Data'!$A$1:$A$1001,0),MATCH('Index&amp;Match'!O245,'Main Data'!$A245:$O245,0))</f>
        <v>25</v>
      </c>
    </row>
    <row r="247" spans="1:15" x14ac:dyDescent="0.3">
      <c r="A247" s="2" t="s">
        <v>304</v>
      </c>
      <c r="B247" s="1">
        <f>INDEX('Main Data'!$A$1:$O$1001,MATCH('Index&amp;Match'!$A247,'Main Data'!$A$1:$A$1001,0),MATCH('Index&amp;Match'!B246,'Main Data'!$A246:$O246,0))</f>
        <v>46011</v>
      </c>
      <c r="C247" s="2" t="str">
        <f>INDEX('Main Data'!$A$1:$O$1001,MATCH('Index&amp;Match'!$A247,'Main Data'!$A$1:$A$1001,0),MATCH('Index&amp;Match'!C246,'Main Data'!$A246:$O246,0))</f>
        <v>Sam</v>
      </c>
      <c r="D247" s="2" t="str">
        <f>INDEX('Main Data'!$A$1:$O$1001,MATCH('Index&amp;Match'!$A247,'Main Data'!$A$1:$A$1001,0),MATCH('Index&amp;Match'!D246,'Main Data'!$A246:$O246,0))</f>
        <v>BR-008</v>
      </c>
      <c r="E247" s="2" t="str">
        <f>INDEX('Main Data'!$A$1:$O$1001,MATCH('Index&amp;Match'!$A247,'Main Data'!$A$1:$A$1001,0),MATCH('Index&amp;Match'!E246,'Main Data'!$A246:$O246,0))</f>
        <v>West</v>
      </c>
      <c r="F247" s="2" t="str">
        <f>INDEX('Main Data'!$A$1:$O$1001,MATCH('Index&amp;Match'!$A247,'Main Data'!$A$1:$A$1001,0),MATCH('Index&amp;Match'!F246,'Main Data'!$A246:$O246,0))</f>
        <v>Credit Card</v>
      </c>
      <c r="G247" s="2" t="str">
        <f>INDEX('Main Data'!$A$1:$O$1001,MATCH('Index&amp;Match'!$A247,'Main Data'!$A$1:$A$1001,0),MATCH('Index&amp;Match'!G246,'Main Data'!$A246:$O246,0))</f>
        <v>Referral</v>
      </c>
      <c r="H247" s="2" t="str">
        <f>INDEX('Main Data'!$A$1:$O$1001,MATCH('Index&amp;Match'!$A247,'Main Data'!$A$1:$A$1001,0),MATCH('Index&amp;Match'!H246,'Main Data'!$A246:$O246,0))</f>
        <v>Retail</v>
      </c>
      <c r="I247" s="2">
        <f>INDEX('Main Data'!$A$1:$O$1001,MATCH('Index&amp;Match'!$A247,'Main Data'!$A$1:$A$1001,0),MATCH('Index&amp;Match'!I246,'Main Data'!$A246:$O246,0))</f>
        <v>40</v>
      </c>
      <c r="J247" s="2">
        <f>INDEX('Main Data'!$A$1:$O$1001,MATCH('Index&amp;Match'!$A247,'Main Data'!$A$1:$A$1001,0),MATCH('Index&amp;Match'!J246,'Main Data'!$A246:$O246,0))</f>
        <v>40</v>
      </c>
      <c r="K247" s="11">
        <f>INDEX('Main Data'!$A$1:$O$1001,MATCH('Index&amp;Match'!$A247,'Main Data'!$A$1:$A$1001,0),MATCH('Index&amp;Match'!K246,'Main Data'!$A246:$O246,0))</f>
        <v>37641.370000000003</v>
      </c>
      <c r="L247" s="11">
        <f>INDEX('Main Data'!$A$1:$O$1001,MATCH('Index&amp;Match'!$A247,'Main Data'!$A$1:$A$1001,0),MATCH('Index&amp;Match'!L246,'Main Data'!$A246:$O246,0))</f>
        <v>349.62</v>
      </c>
      <c r="M247" s="11">
        <f>INDEX('Main Data'!$A$1:$O$1001,MATCH('Index&amp;Match'!$A247,'Main Data'!$A$1:$A$1001,0),MATCH('Index&amp;Match'!M246,'Main Data'!$A246:$O246,0))</f>
        <v>193.62</v>
      </c>
      <c r="N247" s="2" t="str">
        <f>INDEX('Main Data'!$A$1:$O$1001,MATCH('Index&amp;Match'!$A247,'Main Data'!$A$1:$A$1001,0),MATCH('Index&amp;Match'!N246,'Main Data'!$A246:$O246,0))</f>
        <v>Yes</v>
      </c>
      <c r="O247" s="2">
        <f>INDEX('Main Data'!$A$1:$O$1001,MATCH('Index&amp;Match'!$A247,'Main Data'!$A$1:$A$1001,0),MATCH('Index&amp;Match'!O246,'Main Data'!$A246:$O246,0))</f>
        <v>40</v>
      </c>
    </row>
    <row r="248" spans="1:15" x14ac:dyDescent="0.3">
      <c r="A248" s="2" t="s">
        <v>305</v>
      </c>
      <c r="B248" s="1">
        <f>INDEX('Main Data'!$A$1:$O$1001,MATCH('Index&amp;Match'!$A248,'Main Data'!$A$1:$A$1001,0),MATCH('Index&amp;Match'!B247,'Main Data'!$A247:$O247,0))</f>
        <v>46182</v>
      </c>
      <c r="C248" s="2" t="str">
        <f>INDEX('Main Data'!$A$1:$O$1001,MATCH('Index&amp;Match'!$A248,'Main Data'!$A$1:$A$1001,0),MATCH('Index&amp;Match'!C247,'Main Data'!$A247:$O247,0))</f>
        <v>Alex</v>
      </c>
      <c r="D248" s="2" t="str">
        <f>INDEX('Main Data'!$A$1:$O$1001,MATCH('Index&amp;Match'!$A248,'Main Data'!$A$1:$A$1001,0),MATCH('Index&amp;Match'!D247,'Main Data'!$A247:$O247,0))</f>
        <v>BR-003</v>
      </c>
      <c r="E248" s="2" t="str">
        <f>INDEX('Main Data'!$A$1:$O$1001,MATCH('Index&amp;Match'!$A248,'Main Data'!$A$1:$A$1001,0),MATCH('Index&amp;Match'!E247,'Main Data'!$A247:$O247,0))</f>
        <v>North</v>
      </c>
      <c r="F248" s="2" t="str">
        <f>INDEX('Main Data'!$A$1:$O$1001,MATCH('Index&amp;Match'!$A248,'Main Data'!$A$1:$A$1001,0),MATCH('Index&amp;Match'!F247,'Main Data'!$A247:$O247,0))</f>
        <v>Wealth Management</v>
      </c>
      <c r="G248" s="2" t="str">
        <f>INDEX('Main Data'!$A$1:$O$1001,MATCH('Index&amp;Match'!$A248,'Main Data'!$A$1:$A$1001,0),MATCH('Index&amp;Match'!G247,'Main Data'!$A247:$O247,0))</f>
        <v>Website</v>
      </c>
      <c r="H248" s="2" t="str">
        <f>INDEX('Main Data'!$A$1:$O$1001,MATCH('Index&amp;Match'!$A248,'Main Data'!$A$1:$A$1001,0),MATCH('Index&amp;Match'!H247,'Main Data'!$A247:$O247,0))</f>
        <v>Corporate</v>
      </c>
      <c r="I248" s="2">
        <f>INDEX('Main Data'!$A$1:$O$1001,MATCH('Index&amp;Match'!$A248,'Main Data'!$A$1:$A$1001,0),MATCH('Index&amp;Match'!I247,'Main Data'!$A247:$O247,0))</f>
        <v>43</v>
      </c>
      <c r="J248" s="2">
        <f>INDEX('Main Data'!$A$1:$O$1001,MATCH('Index&amp;Match'!$A248,'Main Data'!$A$1:$A$1001,0),MATCH('Index&amp;Match'!J247,'Main Data'!$A247:$O247,0))</f>
        <v>43</v>
      </c>
      <c r="K248" s="11">
        <f>INDEX('Main Data'!$A$1:$O$1001,MATCH('Index&amp;Match'!$A248,'Main Data'!$A$1:$A$1001,0),MATCH('Index&amp;Match'!K247,'Main Data'!$A247:$O247,0))</f>
        <v>15880.41</v>
      </c>
      <c r="L248" s="11">
        <f>INDEX('Main Data'!$A$1:$O$1001,MATCH('Index&amp;Match'!$A248,'Main Data'!$A$1:$A$1001,0),MATCH('Index&amp;Match'!L247,'Main Data'!$A247:$O247,0))</f>
        <v>146.97999999999999</v>
      </c>
      <c r="M248" s="11">
        <f>INDEX('Main Data'!$A$1:$O$1001,MATCH('Index&amp;Match'!$A248,'Main Data'!$A$1:$A$1001,0),MATCH('Index&amp;Match'!M247,'Main Data'!$A247:$O247,0))</f>
        <v>155.91</v>
      </c>
      <c r="N248" s="2" t="str">
        <f>INDEX('Main Data'!$A$1:$O$1001,MATCH('Index&amp;Match'!$A248,'Main Data'!$A$1:$A$1001,0),MATCH('Index&amp;Match'!N247,'Main Data'!$A247:$O247,0))</f>
        <v>Yes</v>
      </c>
      <c r="O248" s="2">
        <f>INDEX('Main Data'!$A$1:$O$1001,MATCH('Index&amp;Match'!$A248,'Main Data'!$A$1:$A$1001,0),MATCH('Index&amp;Match'!O247,'Main Data'!$A247:$O247,0))</f>
        <v>43</v>
      </c>
    </row>
    <row r="249" spans="1:15" x14ac:dyDescent="0.3">
      <c r="A249" s="2" t="s">
        <v>306</v>
      </c>
      <c r="B249" s="1">
        <f>INDEX('Main Data'!$A$1:$O$1001,MATCH('Index&amp;Match'!$A249,'Main Data'!$A$1:$A$1001,0),MATCH('Index&amp;Match'!B248,'Main Data'!$A248:$O248,0))</f>
        <v>45936</v>
      </c>
      <c r="C249" s="2" t="str">
        <f>INDEX('Main Data'!$A$1:$O$1001,MATCH('Index&amp;Match'!$A249,'Main Data'!$A$1:$A$1001,0),MATCH('Index&amp;Match'!C248,'Main Data'!$A248:$O248,0))</f>
        <v>Alex</v>
      </c>
      <c r="D249" s="2" t="str">
        <f>INDEX('Main Data'!$A$1:$O$1001,MATCH('Index&amp;Match'!$A249,'Main Data'!$A$1:$A$1001,0),MATCH('Index&amp;Match'!D248,'Main Data'!$A248:$O248,0))</f>
        <v>BR-007</v>
      </c>
      <c r="E249" s="2" t="str">
        <f>INDEX('Main Data'!$A$1:$O$1001,MATCH('Index&amp;Match'!$A249,'Main Data'!$A$1:$A$1001,0),MATCH('Index&amp;Match'!E248,'Main Data'!$A248:$O248,0))</f>
        <v>East</v>
      </c>
      <c r="F249" s="2" t="str">
        <f>INDEX('Main Data'!$A$1:$O$1001,MATCH('Index&amp;Match'!$A249,'Main Data'!$A$1:$A$1001,0),MATCH('Index&amp;Match'!F248,'Main Data'!$A248:$O248,0))</f>
        <v>Auto Loan</v>
      </c>
      <c r="G249" s="2" t="str">
        <f>INDEX('Main Data'!$A$1:$O$1001,MATCH('Index&amp;Match'!$A249,'Main Data'!$A$1:$A$1001,0),MATCH('Index&amp;Match'!G248,'Main Data'!$A248:$O248,0))</f>
        <v>Walk-in</v>
      </c>
      <c r="H249" s="2" t="str">
        <f>INDEX('Main Data'!$A$1:$O$1001,MATCH('Index&amp;Match'!$A249,'Main Data'!$A$1:$A$1001,0),MATCH('Index&amp;Match'!H248,'Main Data'!$A248:$O248,0))</f>
        <v>Corporate</v>
      </c>
      <c r="I249" s="2">
        <f>INDEX('Main Data'!$A$1:$O$1001,MATCH('Index&amp;Match'!$A249,'Main Data'!$A$1:$A$1001,0),MATCH('Index&amp;Match'!I248,'Main Data'!$A248:$O248,0))</f>
        <v>31</v>
      </c>
      <c r="J249" s="2">
        <f>INDEX('Main Data'!$A$1:$O$1001,MATCH('Index&amp;Match'!$A249,'Main Data'!$A$1:$A$1001,0),MATCH('Index&amp;Match'!J248,'Main Data'!$A248:$O248,0))</f>
        <v>31</v>
      </c>
      <c r="K249" s="11">
        <f>INDEX('Main Data'!$A$1:$O$1001,MATCH('Index&amp;Match'!$A249,'Main Data'!$A$1:$A$1001,0),MATCH('Index&amp;Match'!K248,'Main Data'!$A248:$O248,0))</f>
        <v>25967.24</v>
      </c>
      <c r="L249" s="11">
        <f>INDEX('Main Data'!$A$1:$O$1001,MATCH('Index&amp;Match'!$A249,'Main Data'!$A$1:$A$1001,0),MATCH('Index&amp;Match'!L248,'Main Data'!$A248:$O248,0))</f>
        <v>149.47999999999999</v>
      </c>
      <c r="M249" s="11">
        <f>INDEX('Main Data'!$A$1:$O$1001,MATCH('Index&amp;Match'!$A249,'Main Data'!$A$1:$A$1001,0),MATCH('Index&amp;Match'!M248,'Main Data'!$A248:$O248,0))</f>
        <v>4.49</v>
      </c>
      <c r="N249" s="2" t="str">
        <f>INDEX('Main Data'!$A$1:$O$1001,MATCH('Index&amp;Match'!$A249,'Main Data'!$A$1:$A$1001,0),MATCH('Index&amp;Match'!N248,'Main Data'!$A248:$O248,0))</f>
        <v>No</v>
      </c>
      <c r="O249" s="2">
        <f>INDEX('Main Data'!$A$1:$O$1001,MATCH('Index&amp;Match'!$A249,'Main Data'!$A$1:$A$1001,0),MATCH('Index&amp;Match'!O248,'Main Data'!$A248:$O248,0))</f>
        <v>31</v>
      </c>
    </row>
    <row r="250" spans="1:15" x14ac:dyDescent="0.3">
      <c r="A250" s="2" t="s">
        <v>307</v>
      </c>
      <c r="B250" s="1">
        <f>INDEX('Main Data'!$A$1:$O$1001,MATCH('Index&amp;Match'!$A250,'Main Data'!$A$1:$A$1001,0),MATCH('Index&amp;Match'!B249,'Main Data'!$A249:$O249,0))</f>
        <v>46090</v>
      </c>
      <c r="C250" s="2" t="str">
        <f>INDEX('Main Data'!$A$1:$O$1001,MATCH('Index&amp;Match'!$A250,'Main Data'!$A$1:$A$1001,0),MATCH('Index&amp;Match'!C249,'Main Data'!$A249:$O249,0))</f>
        <v>Alex</v>
      </c>
      <c r="D250" s="2" t="str">
        <f>INDEX('Main Data'!$A$1:$O$1001,MATCH('Index&amp;Match'!$A250,'Main Data'!$A$1:$A$1001,0),MATCH('Index&amp;Match'!D249,'Main Data'!$A249:$O249,0))</f>
        <v>BR-003</v>
      </c>
      <c r="E250" s="2" t="str">
        <f>INDEX('Main Data'!$A$1:$O$1001,MATCH('Index&amp;Match'!$A250,'Main Data'!$A$1:$A$1001,0),MATCH('Index&amp;Match'!E249,'Main Data'!$A249:$O249,0))</f>
        <v>Central</v>
      </c>
      <c r="F250" s="2" t="str">
        <f>INDEX('Main Data'!$A$1:$O$1001,MATCH('Index&amp;Match'!$A250,'Main Data'!$A$1:$A$1001,0),MATCH('Index&amp;Match'!F249,'Main Data'!$A249:$O249,0))</f>
        <v>Credit Card</v>
      </c>
      <c r="G250" s="2" t="str">
        <f>INDEX('Main Data'!$A$1:$O$1001,MATCH('Index&amp;Match'!$A250,'Main Data'!$A$1:$A$1001,0),MATCH('Index&amp;Match'!G249,'Main Data'!$A249:$O249,0))</f>
        <v>Email Campaign</v>
      </c>
      <c r="H250" s="2" t="str">
        <f>INDEX('Main Data'!$A$1:$O$1001,MATCH('Index&amp;Match'!$A250,'Main Data'!$A$1:$A$1001,0),MATCH('Index&amp;Match'!H249,'Main Data'!$A249:$O249,0))</f>
        <v>High Net Worth</v>
      </c>
      <c r="I250" s="2">
        <f>INDEX('Main Data'!$A$1:$O$1001,MATCH('Index&amp;Match'!$A250,'Main Data'!$A$1:$A$1001,0),MATCH('Index&amp;Match'!I249,'Main Data'!$A249:$O249,0))</f>
        <v>57</v>
      </c>
      <c r="J250" s="2">
        <f>INDEX('Main Data'!$A$1:$O$1001,MATCH('Index&amp;Match'!$A250,'Main Data'!$A$1:$A$1001,0),MATCH('Index&amp;Match'!J249,'Main Data'!$A249:$O249,0))</f>
        <v>57</v>
      </c>
      <c r="K250" s="11">
        <f>INDEX('Main Data'!$A$1:$O$1001,MATCH('Index&amp;Match'!$A250,'Main Data'!$A$1:$A$1001,0),MATCH('Index&amp;Match'!K249,'Main Data'!$A249:$O249,0))</f>
        <v>42913.35</v>
      </c>
      <c r="L250" s="11">
        <f>INDEX('Main Data'!$A$1:$O$1001,MATCH('Index&amp;Match'!$A250,'Main Data'!$A$1:$A$1001,0),MATCH('Index&amp;Match'!L249,'Main Data'!$A249:$O249,0))</f>
        <v>378.14</v>
      </c>
      <c r="M250" s="11">
        <f>INDEX('Main Data'!$A$1:$O$1001,MATCH('Index&amp;Match'!$A250,'Main Data'!$A$1:$A$1001,0),MATCH('Index&amp;Match'!M249,'Main Data'!$A249:$O249,0))</f>
        <v>179.97</v>
      </c>
      <c r="N250" s="2" t="str">
        <f>INDEX('Main Data'!$A$1:$O$1001,MATCH('Index&amp;Match'!$A250,'Main Data'!$A$1:$A$1001,0),MATCH('Index&amp;Match'!N249,'Main Data'!$A249:$O249,0))</f>
        <v>No</v>
      </c>
      <c r="O250" s="2">
        <f>INDEX('Main Data'!$A$1:$O$1001,MATCH('Index&amp;Match'!$A250,'Main Data'!$A$1:$A$1001,0),MATCH('Index&amp;Match'!O249,'Main Data'!$A249:$O249,0))</f>
        <v>57</v>
      </c>
    </row>
    <row r="251" spans="1:15" x14ac:dyDescent="0.3">
      <c r="A251" s="2" t="s">
        <v>308</v>
      </c>
      <c r="B251" s="1">
        <f>INDEX('Main Data'!$A$1:$O$1001,MATCH('Index&amp;Match'!$A251,'Main Data'!$A$1:$A$1001,0),MATCH('Index&amp;Match'!B250,'Main Data'!$A250:$O250,0))</f>
        <v>45898</v>
      </c>
      <c r="C251" s="2" t="str">
        <f>INDEX('Main Data'!$A$1:$O$1001,MATCH('Index&amp;Match'!$A251,'Main Data'!$A$1:$A$1001,0),MATCH('Index&amp;Match'!C250,'Main Data'!$A250:$O250,0))</f>
        <v>Taylor</v>
      </c>
      <c r="D251" s="2" t="str">
        <f>INDEX('Main Data'!$A$1:$O$1001,MATCH('Index&amp;Match'!$A251,'Main Data'!$A$1:$A$1001,0),MATCH('Index&amp;Match'!D250,'Main Data'!$A250:$O250,0))</f>
        <v>BR-015</v>
      </c>
      <c r="E251" s="2" t="str">
        <f>INDEX('Main Data'!$A$1:$O$1001,MATCH('Index&amp;Match'!$A251,'Main Data'!$A$1:$A$1001,0),MATCH('Index&amp;Match'!E250,'Main Data'!$A250:$O250,0))</f>
        <v>North</v>
      </c>
      <c r="F251" s="2" t="str">
        <f>INDEX('Main Data'!$A$1:$O$1001,MATCH('Index&amp;Match'!$A251,'Main Data'!$A$1:$A$1001,0),MATCH('Index&amp;Match'!F250,'Main Data'!$A250:$O250,0))</f>
        <v>Wealth Management</v>
      </c>
      <c r="G251" s="2" t="str">
        <f>INDEX('Main Data'!$A$1:$O$1001,MATCH('Index&amp;Match'!$A251,'Main Data'!$A$1:$A$1001,0),MATCH('Index&amp;Match'!G250,'Main Data'!$A250:$O250,0))</f>
        <v>Referral</v>
      </c>
      <c r="H251" s="2" t="str">
        <f>INDEX('Main Data'!$A$1:$O$1001,MATCH('Index&amp;Match'!$A251,'Main Data'!$A$1:$A$1001,0),MATCH('Index&amp;Match'!H250,'Main Data'!$A250:$O250,0))</f>
        <v>Retail</v>
      </c>
      <c r="I251" s="2">
        <f>INDEX('Main Data'!$A$1:$O$1001,MATCH('Index&amp;Match'!$A251,'Main Data'!$A$1:$A$1001,0),MATCH('Index&amp;Match'!I250,'Main Data'!$A250:$O250,0))</f>
        <v>42</v>
      </c>
      <c r="J251" s="2">
        <f>INDEX('Main Data'!$A$1:$O$1001,MATCH('Index&amp;Match'!$A251,'Main Data'!$A$1:$A$1001,0),MATCH('Index&amp;Match'!J250,'Main Data'!$A250:$O250,0))</f>
        <v>42</v>
      </c>
      <c r="K251" s="11">
        <f>INDEX('Main Data'!$A$1:$O$1001,MATCH('Index&amp;Match'!$A251,'Main Data'!$A$1:$A$1001,0),MATCH('Index&amp;Match'!K250,'Main Data'!$A250:$O250,0))</f>
        <v>23610.47</v>
      </c>
      <c r="L251" s="11">
        <f>INDEX('Main Data'!$A$1:$O$1001,MATCH('Index&amp;Match'!$A251,'Main Data'!$A$1:$A$1001,0),MATCH('Index&amp;Match'!L250,'Main Data'!$A250:$O250,0))</f>
        <v>275.13</v>
      </c>
      <c r="M251" s="11">
        <f>INDEX('Main Data'!$A$1:$O$1001,MATCH('Index&amp;Match'!$A251,'Main Data'!$A$1:$A$1001,0),MATCH('Index&amp;Match'!M250,'Main Data'!$A250:$O250,0))</f>
        <v>139.08000000000001</v>
      </c>
      <c r="N251" s="2" t="str">
        <f>INDEX('Main Data'!$A$1:$O$1001,MATCH('Index&amp;Match'!$A251,'Main Data'!$A$1:$A$1001,0),MATCH('Index&amp;Match'!N250,'Main Data'!$A250:$O250,0))</f>
        <v>Yes</v>
      </c>
      <c r="O251" s="2">
        <f>INDEX('Main Data'!$A$1:$O$1001,MATCH('Index&amp;Match'!$A251,'Main Data'!$A$1:$A$1001,0),MATCH('Index&amp;Match'!O250,'Main Data'!$A250:$O250,0))</f>
        <v>42</v>
      </c>
    </row>
    <row r="252" spans="1:15" x14ac:dyDescent="0.3">
      <c r="A252" s="2" t="s">
        <v>309</v>
      </c>
      <c r="B252" s="1">
        <f>INDEX('Main Data'!$A$1:$O$1001,MATCH('Index&amp;Match'!$A252,'Main Data'!$A$1:$A$1001,0),MATCH('Index&amp;Match'!B251,'Main Data'!$A251:$O251,0))</f>
        <v>46118</v>
      </c>
      <c r="C252" s="2" t="str">
        <f>INDEX('Main Data'!$A$1:$O$1001,MATCH('Index&amp;Match'!$A252,'Main Data'!$A$1:$A$1001,0),MATCH('Index&amp;Match'!C251,'Main Data'!$A251:$O251,0))</f>
        <v>Sam</v>
      </c>
      <c r="D252" s="2" t="str">
        <f>INDEX('Main Data'!$A$1:$O$1001,MATCH('Index&amp;Match'!$A252,'Main Data'!$A$1:$A$1001,0),MATCH('Index&amp;Match'!D251,'Main Data'!$A251:$O251,0))</f>
        <v>BR-007</v>
      </c>
      <c r="E252" s="2" t="str">
        <f>INDEX('Main Data'!$A$1:$O$1001,MATCH('Index&amp;Match'!$A252,'Main Data'!$A$1:$A$1001,0),MATCH('Index&amp;Match'!E251,'Main Data'!$A251:$O251,0))</f>
        <v>Central</v>
      </c>
      <c r="F252" s="2" t="str">
        <f>INDEX('Main Data'!$A$1:$O$1001,MATCH('Index&amp;Match'!$A252,'Main Data'!$A$1:$A$1001,0),MATCH('Index&amp;Match'!F251,'Main Data'!$A251:$O251,0))</f>
        <v>Auto Loan</v>
      </c>
      <c r="G252" s="2" t="str">
        <f>INDEX('Main Data'!$A$1:$O$1001,MATCH('Index&amp;Match'!$A252,'Main Data'!$A$1:$A$1001,0),MATCH('Index&amp;Match'!G251,'Main Data'!$A251:$O251,0))</f>
        <v>Social Media</v>
      </c>
      <c r="H252" s="2" t="str">
        <f>INDEX('Main Data'!$A$1:$O$1001,MATCH('Index&amp;Match'!$A252,'Main Data'!$A$1:$A$1001,0),MATCH('Index&amp;Match'!H251,'Main Data'!$A251:$O251,0))</f>
        <v>SME</v>
      </c>
      <c r="I252" s="2">
        <f>INDEX('Main Data'!$A$1:$O$1001,MATCH('Index&amp;Match'!$A252,'Main Data'!$A$1:$A$1001,0),MATCH('Index&amp;Match'!I251,'Main Data'!$A251:$O251,0))</f>
        <v>24</v>
      </c>
      <c r="J252" s="2">
        <f>INDEX('Main Data'!$A$1:$O$1001,MATCH('Index&amp;Match'!$A252,'Main Data'!$A$1:$A$1001,0),MATCH('Index&amp;Match'!J251,'Main Data'!$A251:$O251,0))</f>
        <v>24</v>
      </c>
      <c r="K252" s="11">
        <f>INDEX('Main Data'!$A$1:$O$1001,MATCH('Index&amp;Match'!$A252,'Main Data'!$A$1:$A$1001,0),MATCH('Index&amp;Match'!K251,'Main Data'!$A251:$O251,0))</f>
        <v>18306.13</v>
      </c>
      <c r="L252" s="11">
        <f>INDEX('Main Data'!$A$1:$O$1001,MATCH('Index&amp;Match'!$A252,'Main Data'!$A$1:$A$1001,0),MATCH('Index&amp;Match'!L251,'Main Data'!$A251:$O251,0))</f>
        <v>236.82</v>
      </c>
      <c r="M252" s="11">
        <f>INDEX('Main Data'!$A$1:$O$1001,MATCH('Index&amp;Match'!$A252,'Main Data'!$A$1:$A$1001,0),MATCH('Index&amp;Match'!M251,'Main Data'!$A251:$O251,0))</f>
        <v>165.09</v>
      </c>
      <c r="N252" s="2" t="str">
        <f>INDEX('Main Data'!$A$1:$O$1001,MATCH('Index&amp;Match'!$A252,'Main Data'!$A$1:$A$1001,0),MATCH('Index&amp;Match'!N251,'Main Data'!$A251:$O251,0))</f>
        <v>No</v>
      </c>
      <c r="O252" s="2">
        <f>INDEX('Main Data'!$A$1:$O$1001,MATCH('Index&amp;Match'!$A252,'Main Data'!$A$1:$A$1001,0),MATCH('Index&amp;Match'!O251,'Main Data'!$A251:$O251,0))</f>
        <v>24</v>
      </c>
    </row>
    <row r="253" spans="1:15" x14ac:dyDescent="0.3">
      <c r="A253" s="2" t="s">
        <v>310</v>
      </c>
      <c r="B253" s="1">
        <f>INDEX('Main Data'!$A$1:$O$1001,MATCH('Index&amp;Match'!$A253,'Main Data'!$A$1:$A$1001,0),MATCH('Index&amp;Match'!B252,'Main Data'!$A252:$O252,0))</f>
        <v>46192</v>
      </c>
      <c r="C253" s="2" t="str">
        <f>INDEX('Main Data'!$A$1:$O$1001,MATCH('Index&amp;Match'!$A253,'Main Data'!$A$1:$A$1001,0),MATCH('Index&amp;Match'!C252,'Main Data'!$A252:$O252,0))</f>
        <v>Alex</v>
      </c>
      <c r="D253" s="2" t="str">
        <f>INDEX('Main Data'!$A$1:$O$1001,MATCH('Index&amp;Match'!$A253,'Main Data'!$A$1:$A$1001,0),MATCH('Index&amp;Match'!D252,'Main Data'!$A252:$O252,0))</f>
        <v>BR-014</v>
      </c>
      <c r="E253" s="2" t="str">
        <f>INDEX('Main Data'!$A$1:$O$1001,MATCH('Index&amp;Match'!$A253,'Main Data'!$A$1:$A$1001,0),MATCH('Index&amp;Match'!E252,'Main Data'!$A252:$O252,0))</f>
        <v>Central</v>
      </c>
      <c r="F253" s="2" t="str">
        <f>INDEX('Main Data'!$A$1:$O$1001,MATCH('Index&amp;Match'!$A253,'Main Data'!$A$1:$A$1001,0),MATCH('Index&amp;Match'!F252,'Main Data'!$A252:$O252,0))</f>
        <v>Mortgage</v>
      </c>
      <c r="G253" s="2" t="str">
        <f>INDEX('Main Data'!$A$1:$O$1001,MATCH('Index&amp;Match'!$A253,'Main Data'!$A$1:$A$1001,0),MATCH('Index&amp;Match'!G252,'Main Data'!$A252:$O252,0))</f>
        <v>Walk-in</v>
      </c>
      <c r="H253" s="2" t="str">
        <f>INDEX('Main Data'!$A$1:$O$1001,MATCH('Index&amp;Match'!$A253,'Main Data'!$A$1:$A$1001,0),MATCH('Index&amp;Match'!H252,'Main Data'!$A252:$O252,0))</f>
        <v>Retail</v>
      </c>
      <c r="I253" s="2">
        <f>INDEX('Main Data'!$A$1:$O$1001,MATCH('Index&amp;Match'!$A253,'Main Data'!$A$1:$A$1001,0),MATCH('Index&amp;Match'!I252,'Main Data'!$A252:$O252,0))</f>
        <v>49</v>
      </c>
      <c r="J253" s="2">
        <f>INDEX('Main Data'!$A$1:$O$1001,MATCH('Index&amp;Match'!$A253,'Main Data'!$A$1:$A$1001,0),MATCH('Index&amp;Match'!J252,'Main Data'!$A252:$O252,0))</f>
        <v>49</v>
      </c>
      <c r="K253" s="11">
        <f>INDEX('Main Data'!$A$1:$O$1001,MATCH('Index&amp;Match'!$A253,'Main Data'!$A$1:$A$1001,0),MATCH('Index&amp;Match'!K252,'Main Data'!$A252:$O252,0))</f>
        <v>27039.69</v>
      </c>
      <c r="L253" s="11">
        <f>INDEX('Main Data'!$A$1:$O$1001,MATCH('Index&amp;Match'!$A253,'Main Data'!$A$1:$A$1001,0),MATCH('Index&amp;Match'!L252,'Main Data'!$A252:$O252,0))</f>
        <v>126.14</v>
      </c>
      <c r="M253" s="11">
        <f>INDEX('Main Data'!$A$1:$O$1001,MATCH('Index&amp;Match'!$A253,'Main Data'!$A$1:$A$1001,0),MATCH('Index&amp;Match'!M252,'Main Data'!$A252:$O252,0))</f>
        <v>11.2</v>
      </c>
      <c r="N253" s="2" t="str">
        <f>INDEX('Main Data'!$A$1:$O$1001,MATCH('Index&amp;Match'!$A253,'Main Data'!$A$1:$A$1001,0),MATCH('Index&amp;Match'!N252,'Main Data'!$A252:$O252,0))</f>
        <v>Yes</v>
      </c>
      <c r="O253" s="2">
        <f>INDEX('Main Data'!$A$1:$O$1001,MATCH('Index&amp;Match'!$A253,'Main Data'!$A$1:$A$1001,0),MATCH('Index&amp;Match'!O252,'Main Data'!$A252:$O252,0))</f>
        <v>49</v>
      </c>
    </row>
    <row r="254" spans="1:15" x14ac:dyDescent="0.3">
      <c r="A254" s="2" t="s">
        <v>311</v>
      </c>
      <c r="B254" s="1">
        <f>INDEX('Main Data'!$A$1:$O$1001,MATCH('Index&amp;Match'!$A254,'Main Data'!$A$1:$A$1001,0),MATCH('Index&amp;Match'!B253,'Main Data'!$A253:$O253,0))</f>
        <v>46167</v>
      </c>
      <c r="C254" s="2" t="str">
        <f>INDEX('Main Data'!$A$1:$O$1001,MATCH('Index&amp;Match'!$A254,'Main Data'!$A$1:$A$1001,0),MATCH('Index&amp;Match'!C253,'Main Data'!$A253:$O253,0))</f>
        <v>Morgan</v>
      </c>
      <c r="D254" s="2" t="str">
        <f>INDEX('Main Data'!$A$1:$O$1001,MATCH('Index&amp;Match'!$A254,'Main Data'!$A$1:$A$1001,0),MATCH('Index&amp;Match'!D253,'Main Data'!$A253:$O253,0))</f>
        <v>BR-011</v>
      </c>
      <c r="E254" s="2" t="str">
        <f>INDEX('Main Data'!$A$1:$O$1001,MATCH('Index&amp;Match'!$A254,'Main Data'!$A$1:$A$1001,0),MATCH('Index&amp;Match'!E253,'Main Data'!$A253:$O253,0))</f>
        <v>East</v>
      </c>
      <c r="F254" s="2" t="str">
        <f>INDEX('Main Data'!$A$1:$O$1001,MATCH('Index&amp;Match'!$A254,'Main Data'!$A$1:$A$1001,0),MATCH('Index&amp;Match'!F253,'Main Data'!$A253:$O253,0))</f>
        <v>Auto Loan</v>
      </c>
      <c r="G254" s="2" t="str">
        <f>INDEX('Main Data'!$A$1:$O$1001,MATCH('Index&amp;Match'!$A254,'Main Data'!$A$1:$A$1001,0),MATCH('Index&amp;Match'!G253,'Main Data'!$A253:$O253,0))</f>
        <v>Website</v>
      </c>
      <c r="H254" s="2" t="str">
        <f>INDEX('Main Data'!$A$1:$O$1001,MATCH('Index&amp;Match'!$A254,'Main Data'!$A$1:$A$1001,0),MATCH('Index&amp;Match'!H253,'Main Data'!$A253:$O253,0))</f>
        <v>Corporate</v>
      </c>
      <c r="I254" s="2">
        <f>INDEX('Main Data'!$A$1:$O$1001,MATCH('Index&amp;Match'!$A254,'Main Data'!$A$1:$A$1001,0),MATCH('Index&amp;Match'!I253,'Main Data'!$A253:$O253,0))</f>
        <v>64</v>
      </c>
      <c r="J254" s="2">
        <f>INDEX('Main Data'!$A$1:$O$1001,MATCH('Index&amp;Match'!$A254,'Main Data'!$A$1:$A$1001,0),MATCH('Index&amp;Match'!J253,'Main Data'!$A253:$O253,0))</f>
        <v>64</v>
      </c>
      <c r="K254" s="11">
        <f>INDEX('Main Data'!$A$1:$O$1001,MATCH('Index&amp;Match'!$A254,'Main Data'!$A$1:$A$1001,0),MATCH('Index&amp;Match'!K253,'Main Data'!$A253:$O253,0))</f>
        <v>36009.46</v>
      </c>
      <c r="L254" s="11">
        <f>INDEX('Main Data'!$A$1:$O$1001,MATCH('Index&amp;Match'!$A254,'Main Data'!$A$1:$A$1001,0),MATCH('Index&amp;Match'!L253,'Main Data'!$A253:$O253,0))</f>
        <v>134.38999999999999</v>
      </c>
      <c r="M254" s="11">
        <f>INDEX('Main Data'!$A$1:$O$1001,MATCH('Index&amp;Match'!$A254,'Main Data'!$A$1:$A$1001,0),MATCH('Index&amp;Match'!M253,'Main Data'!$A253:$O253,0))</f>
        <v>96.02</v>
      </c>
      <c r="N254" s="2" t="str">
        <f>INDEX('Main Data'!$A$1:$O$1001,MATCH('Index&amp;Match'!$A254,'Main Data'!$A$1:$A$1001,0),MATCH('Index&amp;Match'!N253,'Main Data'!$A253:$O253,0))</f>
        <v>No</v>
      </c>
      <c r="O254" s="2">
        <f>INDEX('Main Data'!$A$1:$O$1001,MATCH('Index&amp;Match'!$A254,'Main Data'!$A$1:$A$1001,0),MATCH('Index&amp;Match'!O253,'Main Data'!$A253:$O253,0))</f>
        <v>64</v>
      </c>
    </row>
    <row r="255" spans="1:15" x14ac:dyDescent="0.3">
      <c r="A255" s="2" t="s">
        <v>312</v>
      </c>
      <c r="B255" s="1">
        <f>INDEX('Main Data'!$A$1:$O$1001,MATCH('Index&amp;Match'!$A255,'Main Data'!$A$1:$A$1001,0),MATCH('Index&amp;Match'!B254,'Main Data'!$A254:$O254,0))</f>
        <v>45931</v>
      </c>
      <c r="C255" s="2" t="str">
        <f>INDEX('Main Data'!$A$1:$O$1001,MATCH('Index&amp;Match'!$A255,'Main Data'!$A$1:$A$1001,0),MATCH('Index&amp;Match'!C254,'Main Data'!$A254:$O254,0))</f>
        <v>Casey</v>
      </c>
      <c r="D255" s="2" t="str">
        <f>INDEX('Main Data'!$A$1:$O$1001,MATCH('Index&amp;Match'!$A255,'Main Data'!$A$1:$A$1001,0),MATCH('Index&amp;Match'!D254,'Main Data'!$A254:$O254,0))</f>
        <v>BR-015</v>
      </c>
      <c r="E255" s="2" t="str">
        <f>INDEX('Main Data'!$A$1:$O$1001,MATCH('Index&amp;Match'!$A255,'Main Data'!$A$1:$A$1001,0),MATCH('Index&amp;Match'!E254,'Main Data'!$A254:$O254,0))</f>
        <v>West</v>
      </c>
      <c r="F255" s="2" t="str">
        <f>INDEX('Main Data'!$A$1:$O$1001,MATCH('Index&amp;Match'!$A255,'Main Data'!$A$1:$A$1001,0),MATCH('Index&amp;Match'!F254,'Main Data'!$A254:$O254,0))</f>
        <v>Personal Loan</v>
      </c>
      <c r="G255" s="2" t="str">
        <f>INDEX('Main Data'!$A$1:$O$1001,MATCH('Index&amp;Match'!$A255,'Main Data'!$A$1:$A$1001,0),MATCH('Index&amp;Match'!G254,'Main Data'!$A254:$O254,0))</f>
        <v>Referral</v>
      </c>
      <c r="H255" s="2" t="str">
        <f>INDEX('Main Data'!$A$1:$O$1001,MATCH('Index&amp;Match'!$A255,'Main Data'!$A$1:$A$1001,0),MATCH('Index&amp;Match'!H254,'Main Data'!$A254:$O254,0))</f>
        <v>Corporate</v>
      </c>
      <c r="I255" s="2">
        <f>INDEX('Main Data'!$A$1:$O$1001,MATCH('Index&amp;Match'!$A255,'Main Data'!$A$1:$A$1001,0),MATCH('Index&amp;Match'!I254,'Main Data'!$A254:$O254,0))</f>
        <v>54</v>
      </c>
      <c r="J255" s="2">
        <f>INDEX('Main Data'!$A$1:$O$1001,MATCH('Index&amp;Match'!$A255,'Main Data'!$A$1:$A$1001,0),MATCH('Index&amp;Match'!J254,'Main Data'!$A254:$O254,0))</f>
        <v>54</v>
      </c>
      <c r="K255" s="11">
        <f>INDEX('Main Data'!$A$1:$O$1001,MATCH('Index&amp;Match'!$A255,'Main Data'!$A$1:$A$1001,0),MATCH('Index&amp;Match'!K254,'Main Data'!$A254:$O254,0))</f>
        <v>22456.39</v>
      </c>
      <c r="L255" s="11">
        <f>INDEX('Main Data'!$A$1:$O$1001,MATCH('Index&amp;Match'!$A255,'Main Data'!$A$1:$A$1001,0),MATCH('Index&amp;Match'!L254,'Main Data'!$A254:$O254,0))</f>
        <v>54.75</v>
      </c>
      <c r="M255" s="11">
        <f>INDEX('Main Data'!$A$1:$O$1001,MATCH('Index&amp;Match'!$A255,'Main Data'!$A$1:$A$1001,0),MATCH('Index&amp;Match'!M254,'Main Data'!$A254:$O254,0))</f>
        <v>107.07</v>
      </c>
      <c r="N255" s="2" t="str">
        <f>INDEX('Main Data'!$A$1:$O$1001,MATCH('Index&amp;Match'!$A255,'Main Data'!$A$1:$A$1001,0),MATCH('Index&amp;Match'!N254,'Main Data'!$A254:$O254,0))</f>
        <v>Yes</v>
      </c>
      <c r="O255" s="2">
        <f>INDEX('Main Data'!$A$1:$O$1001,MATCH('Index&amp;Match'!$A255,'Main Data'!$A$1:$A$1001,0),MATCH('Index&amp;Match'!O254,'Main Data'!$A254:$O254,0))</f>
        <v>54</v>
      </c>
    </row>
    <row r="256" spans="1:15" x14ac:dyDescent="0.3">
      <c r="A256" s="2" t="s">
        <v>313</v>
      </c>
      <c r="B256" s="1">
        <f>INDEX('Main Data'!$A$1:$O$1001,MATCH('Index&amp;Match'!$A256,'Main Data'!$A$1:$A$1001,0),MATCH('Index&amp;Match'!B255,'Main Data'!$A255:$O255,0))</f>
        <v>45966</v>
      </c>
      <c r="C256" s="2" t="str">
        <f>INDEX('Main Data'!$A$1:$O$1001,MATCH('Index&amp;Match'!$A256,'Main Data'!$A$1:$A$1001,0),MATCH('Index&amp;Match'!C255,'Main Data'!$A255:$O255,0))</f>
        <v>Alex</v>
      </c>
      <c r="D256" s="2" t="str">
        <f>INDEX('Main Data'!$A$1:$O$1001,MATCH('Index&amp;Match'!$A256,'Main Data'!$A$1:$A$1001,0),MATCH('Index&amp;Match'!D255,'Main Data'!$A255:$O255,0))</f>
        <v>BR-012</v>
      </c>
      <c r="E256" s="2" t="str">
        <f>INDEX('Main Data'!$A$1:$O$1001,MATCH('Index&amp;Match'!$A256,'Main Data'!$A$1:$A$1001,0),MATCH('Index&amp;Match'!E255,'Main Data'!$A255:$O255,0))</f>
        <v>South</v>
      </c>
      <c r="F256" s="2" t="str">
        <f>INDEX('Main Data'!$A$1:$O$1001,MATCH('Index&amp;Match'!$A256,'Main Data'!$A$1:$A$1001,0),MATCH('Index&amp;Match'!F255,'Main Data'!$A255:$O255,0))</f>
        <v>Personal Loan</v>
      </c>
      <c r="G256" s="2" t="str">
        <f>INDEX('Main Data'!$A$1:$O$1001,MATCH('Index&amp;Match'!$A256,'Main Data'!$A$1:$A$1001,0),MATCH('Index&amp;Match'!G255,'Main Data'!$A255:$O255,0))</f>
        <v>Website</v>
      </c>
      <c r="H256" s="2" t="str">
        <f>INDEX('Main Data'!$A$1:$O$1001,MATCH('Index&amp;Match'!$A256,'Main Data'!$A$1:$A$1001,0),MATCH('Index&amp;Match'!H255,'Main Data'!$A255:$O255,0))</f>
        <v>Corporate</v>
      </c>
      <c r="I256" s="2">
        <f>INDEX('Main Data'!$A$1:$O$1001,MATCH('Index&amp;Match'!$A256,'Main Data'!$A$1:$A$1001,0),MATCH('Index&amp;Match'!I255,'Main Data'!$A255:$O255,0))</f>
        <v>33</v>
      </c>
      <c r="J256" s="2">
        <f>INDEX('Main Data'!$A$1:$O$1001,MATCH('Index&amp;Match'!$A256,'Main Data'!$A$1:$A$1001,0),MATCH('Index&amp;Match'!J255,'Main Data'!$A255:$O255,0))</f>
        <v>33</v>
      </c>
      <c r="K256" s="11">
        <f>INDEX('Main Data'!$A$1:$O$1001,MATCH('Index&amp;Match'!$A256,'Main Data'!$A$1:$A$1001,0),MATCH('Index&amp;Match'!K255,'Main Data'!$A255:$O255,0))</f>
        <v>46974.41</v>
      </c>
      <c r="L256" s="11">
        <f>INDEX('Main Data'!$A$1:$O$1001,MATCH('Index&amp;Match'!$A256,'Main Data'!$A$1:$A$1001,0),MATCH('Index&amp;Match'!L255,'Main Data'!$A255:$O255,0))</f>
        <v>91.14</v>
      </c>
      <c r="M256" s="11">
        <f>INDEX('Main Data'!$A$1:$O$1001,MATCH('Index&amp;Match'!$A256,'Main Data'!$A$1:$A$1001,0),MATCH('Index&amp;Match'!M255,'Main Data'!$A255:$O255,0))</f>
        <v>33.82</v>
      </c>
      <c r="N256" s="2" t="str">
        <f>INDEX('Main Data'!$A$1:$O$1001,MATCH('Index&amp;Match'!$A256,'Main Data'!$A$1:$A$1001,0),MATCH('Index&amp;Match'!N255,'Main Data'!$A255:$O255,0))</f>
        <v>Yes</v>
      </c>
      <c r="O256" s="2">
        <f>INDEX('Main Data'!$A$1:$O$1001,MATCH('Index&amp;Match'!$A256,'Main Data'!$A$1:$A$1001,0),MATCH('Index&amp;Match'!O255,'Main Data'!$A255:$O255,0))</f>
        <v>33</v>
      </c>
    </row>
    <row r="257" spans="1:15" x14ac:dyDescent="0.3">
      <c r="A257" s="2" t="s">
        <v>314</v>
      </c>
      <c r="B257" s="1">
        <f>INDEX('Main Data'!$A$1:$O$1001,MATCH('Index&amp;Match'!$A257,'Main Data'!$A$1:$A$1001,0),MATCH('Index&amp;Match'!B256,'Main Data'!$A256:$O256,0))</f>
        <v>46131</v>
      </c>
      <c r="C257" s="2" t="str">
        <f>INDEX('Main Data'!$A$1:$O$1001,MATCH('Index&amp;Match'!$A257,'Main Data'!$A$1:$A$1001,0),MATCH('Index&amp;Match'!C256,'Main Data'!$A256:$O256,0))</f>
        <v>Taylor</v>
      </c>
      <c r="D257" s="2" t="str">
        <f>INDEX('Main Data'!$A$1:$O$1001,MATCH('Index&amp;Match'!$A257,'Main Data'!$A$1:$A$1001,0),MATCH('Index&amp;Match'!D256,'Main Data'!$A256:$O256,0))</f>
        <v>BR-013</v>
      </c>
      <c r="E257" s="2" t="str">
        <f>INDEX('Main Data'!$A$1:$O$1001,MATCH('Index&amp;Match'!$A257,'Main Data'!$A$1:$A$1001,0),MATCH('Index&amp;Match'!E256,'Main Data'!$A256:$O256,0))</f>
        <v>West</v>
      </c>
      <c r="F257" s="2" t="str">
        <f>INDEX('Main Data'!$A$1:$O$1001,MATCH('Index&amp;Match'!$A257,'Main Data'!$A$1:$A$1001,0),MATCH('Index&amp;Match'!F256,'Main Data'!$A256:$O256,0))</f>
        <v>Mortgage</v>
      </c>
      <c r="G257" s="2" t="str">
        <f>INDEX('Main Data'!$A$1:$O$1001,MATCH('Index&amp;Match'!$A257,'Main Data'!$A$1:$A$1001,0),MATCH('Index&amp;Match'!G256,'Main Data'!$A256:$O256,0))</f>
        <v>Website</v>
      </c>
      <c r="H257" s="2" t="str">
        <f>INDEX('Main Data'!$A$1:$O$1001,MATCH('Index&amp;Match'!$A257,'Main Data'!$A$1:$A$1001,0),MATCH('Index&amp;Match'!H256,'Main Data'!$A256:$O256,0))</f>
        <v>Retail</v>
      </c>
      <c r="I257" s="2">
        <f>INDEX('Main Data'!$A$1:$O$1001,MATCH('Index&amp;Match'!$A257,'Main Data'!$A$1:$A$1001,0),MATCH('Index&amp;Match'!I256,'Main Data'!$A256:$O256,0))</f>
        <v>62</v>
      </c>
      <c r="J257" s="2">
        <f>INDEX('Main Data'!$A$1:$O$1001,MATCH('Index&amp;Match'!$A257,'Main Data'!$A$1:$A$1001,0),MATCH('Index&amp;Match'!J256,'Main Data'!$A256:$O256,0))</f>
        <v>62</v>
      </c>
      <c r="K257" s="11">
        <f>INDEX('Main Data'!$A$1:$O$1001,MATCH('Index&amp;Match'!$A257,'Main Data'!$A$1:$A$1001,0),MATCH('Index&amp;Match'!K256,'Main Data'!$A256:$O256,0))</f>
        <v>15099.82</v>
      </c>
      <c r="L257" s="11">
        <f>INDEX('Main Data'!$A$1:$O$1001,MATCH('Index&amp;Match'!$A257,'Main Data'!$A$1:$A$1001,0),MATCH('Index&amp;Match'!L256,'Main Data'!$A256:$O256,0))</f>
        <v>300.58</v>
      </c>
      <c r="M257" s="11">
        <f>INDEX('Main Data'!$A$1:$O$1001,MATCH('Index&amp;Match'!$A257,'Main Data'!$A$1:$A$1001,0),MATCH('Index&amp;Match'!M256,'Main Data'!$A256:$O256,0))</f>
        <v>64.489999999999995</v>
      </c>
      <c r="N257" s="2" t="str">
        <f>INDEX('Main Data'!$A$1:$O$1001,MATCH('Index&amp;Match'!$A257,'Main Data'!$A$1:$A$1001,0),MATCH('Index&amp;Match'!N256,'Main Data'!$A256:$O256,0))</f>
        <v>No</v>
      </c>
      <c r="O257" s="2">
        <f>INDEX('Main Data'!$A$1:$O$1001,MATCH('Index&amp;Match'!$A257,'Main Data'!$A$1:$A$1001,0),MATCH('Index&amp;Match'!O256,'Main Data'!$A256:$O256,0))</f>
        <v>62</v>
      </c>
    </row>
    <row r="258" spans="1:15" x14ac:dyDescent="0.3">
      <c r="A258" s="2" t="s">
        <v>315</v>
      </c>
      <c r="B258" s="1">
        <f>INDEX('Main Data'!$A$1:$O$1001,MATCH('Index&amp;Match'!$A258,'Main Data'!$A$1:$A$1001,0),MATCH('Index&amp;Match'!B257,'Main Data'!$A257:$O257,0))</f>
        <v>46172</v>
      </c>
      <c r="C258" s="2" t="str">
        <f>INDEX('Main Data'!$A$1:$O$1001,MATCH('Index&amp;Match'!$A258,'Main Data'!$A$1:$A$1001,0),MATCH('Index&amp;Match'!C257,'Main Data'!$A257:$O257,0))</f>
        <v>Jamie</v>
      </c>
      <c r="D258" s="2" t="str">
        <f>INDEX('Main Data'!$A$1:$O$1001,MATCH('Index&amp;Match'!$A258,'Main Data'!$A$1:$A$1001,0),MATCH('Index&amp;Match'!D257,'Main Data'!$A257:$O257,0))</f>
        <v>BR-002</v>
      </c>
      <c r="E258" s="2" t="str">
        <f>INDEX('Main Data'!$A$1:$O$1001,MATCH('Index&amp;Match'!$A258,'Main Data'!$A$1:$A$1001,0),MATCH('Index&amp;Match'!E257,'Main Data'!$A257:$O257,0))</f>
        <v>East</v>
      </c>
      <c r="F258" s="2" t="str">
        <f>INDEX('Main Data'!$A$1:$O$1001,MATCH('Index&amp;Match'!$A258,'Main Data'!$A$1:$A$1001,0),MATCH('Index&amp;Match'!F257,'Main Data'!$A257:$O257,0))</f>
        <v>Credit Card</v>
      </c>
      <c r="G258" s="2" t="str">
        <f>INDEX('Main Data'!$A$1:$O$1001,MATCH('Index&amp;Match'!$A258,'Main Data'!$A$1:$A$1001,0),MATCH('Index&amp;Match'!G257,'Main Data'!$A257:$O257,0))</f>
        <v>Email Campaign</v>
      </c>
      <c r="H258" s="2" t="str">
        <f>INDEX('Main Data'!$A$1:$O$1001,MATCH('Index&amp;Match'!$A258,'Main Data'!$A$1:$A$1001,0),MATCH('Index&amp;Match'!H257,'Main Data'!$A257:$O257,0))</f>
        <v>High Net Worth</v>
      </c>
      <c r="I258" s="2">
        <f>INDEX('Main Data'!$A$1:$O$1001,MATCH('Index&amp;Match'!$A258,'Main Data'!$A$1:$A$1001,0),MATCH('Index&amp;Match'!I257,'Main Data'!$A257:$O257,0))</f>
        <v>29</v>
      </c>
      <c r="J258" s="2">
        <f>INDEX('Main Data'!$A$1:$O$1001,MATCH('Index&amp;Match'!$A258,'Main Data'!$A$1:$A$1001,0),MATCH('Index&amp;Match'!J257,'Main Data'!$A257:$O257,0))</f>
        <v>29</v>
      </c>
      <c r="K258" s="11">
        <f>INDEX('Main Data'!$A$1:$O$1001,MATCH('Index&amp;Match'!$A258,'Main Data'!$A$1:$A$1001,0),MATCH('Index&amp;Match'!K257,'Main Data'!$A257:$O257,0))</f>
        <v>24035.45</v>
      </c>
      <c r="L258" s="11">
        <f>INDEX('Main Data'!$A$1:$O$1001,MATCH('Index&amp;Match'!$A258,'Main Data'!$A$1:$A$1001,0),MATCH('Index&amp;Match'!L257,'Main Data'!$A257:$O257,0))</f>
        <v>451.34</v>
      </c>
      <c r="M258" s="11">
        <f>INDEX('Main Data'!$A$1:$O$1001,MATCH('Index&amp;Match'!$A258,'Main Data'!$A$1:$A$1001,0),MATCH('Index&amp;Match'!M257,'Main Data'!$A257:$O257,0))</f>
        <v>132.06</v>
      </c>
      <c r="N258" s="2" t="str">
        <f>INDEX('Main Data'!$A$1:$O$1001,MATCH('Index&amp;Match'!$A258,'Main Data'!$A$1:$A$1001,0),MATCH('Index&amp;Match'!N257,'Main Data'!$A257:$O257,0))</f>
        <v>No</v>
      </c>
      <c r="O258" s="2">
        <f>INDEX('Main Data'!$A$1:$O$1001,MATCH('Index&amp;Match'!$A258,'Main Data'!$A$1:$A$1001,0),MATCH('Index&amp;Match'!O257,'Main Data'!$A257:$O257,0))</f>
        <v>29</v>
      </c>
    </row>
    <row r="259" spans="1:15" x14ac:dyDescent="0.3">
      <c r="A259" s="2" t="s">
        <v>316</v>
      </c>
      <c r="B259" s="1">
        <f>INDEX('Main Data'!$A$1:$O$1001,MATCH('Index&amp;Match'!$A259,'Main Data'!$A$1:$A$1001,0),MATCH('Index&amp;Match'!B258,'Main Data'!$A258:$O258,0))</f>
        <v>46122</v>
      </c>
      <c r="C259" s="2" t="str">
        <f>INDEX('Main Data'!$A$1:$O$1001,MATCH('Index&amp;Match'!$A259,'Main Data'!$A$1:$A$1001,0),MATCH('Index&amp;Match'!C258,'Main Data'!$A258:$O258,0))</f>
        <v>Sam</v>
      </c>
      <c r="D259" s="2" t="str">
        <f>INDEX('Main Data'!$A$1:$O$1001,MATCH('Index&amp;Match'!$A259,'Main Data'!$A$1:$A$1001,0),MATCH('Index&amp;Match'!D258,'Main Data'!$A258:$O258,0))</f>
        <v>BR-010</v>
      </c>
      <c r="E259" s="2" t="str">
        <f>INDEX('Main Data'!$A$1:$O$1001,MATCH('Index&amp;Match'!$A259,'Main Data'!$A$1:$A$1001,0),MATCH('Index&amp;Match'!E258,'Main Data'!$A258:$O258,0))</f>
        <v>East</v>
      </c>
      <c r="F259" s="2" t="str">
        <f>INDEX('Main Data'!$A$1:$O$1001,MATCH('Index&amp;Match'!$A259,'Main Data'!$A$1:$A$1001,0),MATCH('Index&amp;Match'!F258,'Main Data'!$A258:$O258,0))</f>
        <v>Wealth Management</v>
      </c>
      <c r="G259" s="2" t="str">
        <f>INDEX('Main Data'!$A$1:$O$1001,MATCH('Index&amp;Match'!$A259,'Main Data'!$A$1:$A$1001,0),MATCH('Index&amp;Match'!G258,'Main Data'!$A258:$O258,0))</f>
        <v>Email Campaign</v>
      </c>
      <c r="H259" s="2" t="str">
        <f>INDEX('Main Data'!$A$1:$O$1001,MATCH('Index&amp;Match'!$A259,'Main Data'!$A$1:$A$1001,0),MATCH('Index&amp;Match'!H258,'Main Data'!$A258:$O258,0))</f>
        <v>Corporate</v>
      </c>
      <c r="I259" s="2">
        <f>INDEX('Main Data'!$A$1:$O$1001,MATCH('Index&amp;Match'!$A259,'Main Data'!$A$1:$A$1001,0),MATCH('Index&amp;Match'!I258,'Main Data'!$A258:$O258,0))</f>
        <v>62</v>
      </c>
      <c r="J259" s="2">
        <f>INDEX('Main Data'!$A$1:$O$1001,MATCH('Index&amp;Match'!$A259,'Main Data'!$A$1:$A$1001,0),MATCH('Index&amp;Match'!J258,'Main Data'!$A258:$O258,0))</f>
        <v>62</v>
      </c>
      <c r="K259" s="11">
        <f>INDEX('Main Data'!$A$1:$O$1001,MATCH('Index&amp;Match'!$A259,'Main Data'!$A$1:$A$1001,0),MATCH('Index&amp;Match'!K258,'Main Data'!$A258:$O258,0))</f>
        <v>37967.919999999998</v>
      </c>
      <c r="L259" s="11">
        <f>INDEX('Main Data'!$A$1:$O$1001,MATCH('Index&amp;Match'!$A259,'Main Data'!$A$1:$A$1001,0),MATCH('Index&amp;Match'!L258,'Main Data'!$A258:$O258,0))</f>
        <v>179.22</v>
      </c>
      <c r="M259" s="11">
        <f>INDEX('Main Data'!$A$1:$O$1001,MATCH('Index&amp;Match'!$A259,'Main Data'!$A$1:$A$1001,0),MATCH('Index&amp;Match'!M258,'Main Data'!$A258:$O258,0))</f>
        <v>166.64</v>
      </c>
      <c r="N259" s="2" t="str">
        <f>INDEX('Main Data'!$A$1:$O$1001,MATCH('Index&amp;Match'!$A259,'Main Data'!$A$1:$A$1001,0),MATCH('Index&amp;Match'!N258,'Main Data'!$A258:$O258,0))</f>
        <v>No</v>
      </c>
      <c r="O259" s="2">
        <f>INDEX('Main Data'!$A$1:$O$1001,MATCH('Index&amp;Match'!$A259,'Main Data'!$A$1:$A$1001,0),MATCH('Index&amp;Match'!O258,'Main Data'!$A258:$O258,0))</f>
        <v>62</v>
      </c>
    </row>
    <row r="260" spans="1:15" x14ac:dyDescent="0.3">
      <c r="A260" s="2" t="s">
        <v>317</v>
      </c>
      <c r="B260" s="1">
        <f>INDEX('Main Data'!$A$1:$O$1001,MATCH('Index&amp;Match'!$A260,'Main Data'!$A$1:$A$1001,0),MATCH('Index&amp;Match'!B259,'Main Data'!$A259:$O259,0))</f>
        <v>46081</v>
      </c>
      <c r="C260" s="2" t="str">
        <f>INDEX('Main Data'!$A$1:$O$1001,MATCH('Index&amp;Match'!$A260,'Main Data'!$A$1:$A$1001,0),MATCH('Index&amp;Match'!C259,'Main Data'!$A259:$O259,0))</f>
        <v>Drew</v>
      </c>
      <c r="D260" s="2" t="str">
        <f>INDEX('Main Data'!$A$1:$O$1001,MATCH('Index&amp;Match'!$A260,'Main Data'!$A$1:$A$1001,0),MATCH('Index&amp;Match'!D259,'Main Data'!$A259:$O259,0))</f>
        <v>BR-006</v>
      </c>
      <c r="E260" s="2" t="str">
        <f>INDEX('Main Data'!$A$1:$O$1001,MATCH('Index&amp;Match'!$A260,'Main Data'!$A$1:$A$1001,0),MATCH('Index&amp;Match'!E259,'Main Data'!$A259:$O259,0))</f>
        <v>East</v>
      </c>
      <c r="F260" s="2" t="str">
        <f>INDEX('Main Data'!$A$1:$O$1001,MATCH('Index&amp;Match'!$A260,'Main Data'!$A$1:$A$1001,0),MATCH('Index&amp;Match'!F259,'Main Data'!$A259:$O259,0))</f>
        <v>Auto Loan</v>
      </c>
      <c r="G260" s="2" t="str">
        <f>INDEX('Main Data'!$A$1:$O$1001,MATCH('Index&amp;Match'!$A260,'Main Data'!$A$1:$A$1001,0),MATCH('Index&amp;Match'!G259,'Main Data'!$A259:$O259,0))</f>
        <v>Referral</v>
      </c>
      <c r="H260" s="2" t="str">
        <f>INDEX('Main Data'!$A$1:$O$1001,MATCH('Index&amp;Match'!$A260,'Main Data'!$A$1:$A$1001,0),MATCH('Index&amp;Match'!H259,'Main Data'!$A259:$O259,0))</f>
        <v>Corporate</v>
      </c>
      <c r="I260" s="2">
        <f>INDEX('Main Data'!$A$1:$O$1001,MATCH('Index&amp;Match'!$A260,'Main Data'!$A$1:$A$1001,0),MATCH('Index&amp;Match'!I259,'Main Data'!$A259:$O259,0))</f>
        <v>51</v>
      </c>
      <c r="J260" s="2">
        <f>INDEX('Main Data'!$A$1:$O$1001,MATCH('Index&amp;Match'!$A260,'Main Data'!$A$1:$A$1001,0),MATCH('Index&amp;Match'!J259,'Main Data'!$A259:$O259,0))</f>
        <v>51</v>
      </c>
      <c r="K260" s="11">
        <f>INDEX('Main Data'!$A$1:$O$1001,MATCH('Index&amp;Match'!$A260,'Main Data'!$A$1:$A$1001,0),MATCH('Index&amp;Match'!K259,'Main Data'!$A259:$O259,0))</f>
        <v>34611.49</v>
      </c>
      <c r="L260" s="11">
        <f>INDEX('Main Data'!$A$1:$O$1001,MATCH('Index&amp;Match'!$A260,'Main Data'!$A$1:$A$1001,0),MATCH('Index&amp;Match'!L259,'Main Data'!$A259:$O259,0))</f>
        <v>197.49</v>
      </c>
      <c r="M260" s="11">
        <f>INDEX('Main Data'!$A$1:$O$1001,MATCH('Index&amp;Match'!$A260,'Main Data'!$A$1:$A$1001,0),MATCH('Index&amp;Match'!M259,'Main Data'!$A259:$O259,0))</f>
        <v>185.88</v>
      </c>
      <c r="N260" s="2" t="str">
        <f>INDEX('Main Data'!$A$1:$O$1001,MATCH('Index&amp;Match'!$A260,'Main Data'!$A$1:$A$1001,0),MATCH('Index&amp;Match'!N259,'Main Data'!$A259:$O259,0))</f>
        <v>Yes</v>
      </c>
      <c r="O260" s="2">
        <f>INDEX('Main Data'!$A$1:$O$1001,MATCH('Index&amp;Match'!$A260,'Main Data'!$A$1:$A$1001,0),MATCH('Index&amp;Match'!O259,'Main Data'!$A259:$O259,0))</f>
        <v>51</v>
      </c>
    </row>
    <row r="261" spans="1:15" x14ac:dyDescent="0.3">
      <c r="A261" s="2" t="s">
        <v>318</v>
      </c>
      <c r="B261" s="1">
        <f>INDEX('Main Data'!$A$1:$O$1001,MATCH('Index&amp;Match'!$A261,'Main Data'!$A$1:$A$1001,0),MATCH('Index&amp;Match'!B260,'Main Data'!$A260:$O260,0))</f>
        <v>46200</v>
      </c>
      <c r="C261" s="2" t="str">
        <f>INDEX('Main Data'!$A$1:$O$1001,MATCH('Index&amp;Match'!$A261,'Main Data'!$A$1:$A$1001,0),MATCH('Index&amp;Match'!C260,'Main Data'!$A260:$O260,0))</f>
        <v>Taylor</v>
      </c>
      <c r="D261" s="2" t="str">
        <f>INDEX('Main Data'!$A$1:$O$1001,MATCH('Index&amp;Match'!$A261,'Main Data'!$A$1:$A$1001,0),MATCH('Index&amp;Match'!D260,'Main Data'!$A260:$O260,0))</f>
        <v>BR-003</v>
      </c>
      <c r="E261" s="2" t="str">
        <f>INDEX('Main Data'!$A$1:$O$1001,MATCH('Index&amp;Match'!$A261,'Main Data'!$A$1:$A$1001,0),MATCH('Index&amp;Match'!E260,'Main Data'!$A260:$O260,0))</f>
        <v>North</v>
      </c>
      <c r="F261" s="2" t="str">
        <f>INDEX('Main Data'!$A$1:$O$1001,MATCH('Index&amp;Match'!$A261,'Main Data'!$A$1:$A$1001,0),MATCH('Index&amp;Match'!F260,'Main Data'!$A260:$O260,0))</f>
        <v>Personal Loan</v>
      </c>
      <c r="G261" s="2" t="str">
        <f>INDEX('Main Data'!$A$1:$O$1001,MATCH('Index&amp;Match'!$A261,'Main Data'!$A$1:$A$1001,0),MATCH('Index&amp;Match'!G260,'Main Data'!$A260:$O260,0))</f>
        <v>Social Media</v>
      </c>
      <c r="H261" s="2" t="str">
        <f>INDEX('Main Data'!$A$1:$O$1001,MATCH('Index&amp;Match'!$A261,'Main Data'!$A$1:$A$1001,0),MATCH('Index&amp;Match'!H260,'Main Data'!$A260:$O260,0))</f>
        <v>Retail</v>
      </c>
      <c r="I261" s="2">
        <f>INDEX('Main Data'!$A$1:$O$1001,MATCH('Index&amp;Match'!$A261,'Main Data'!$A$1:$A$1001,0),MATCH('Index&amp;Match'!I260,'Main Data'!$A260:$O260,0))</f>
        <v>27</v>
      </c>
      <c r="J261" s="2">
        <f>INDEX('Main Data'!$A$1:$O$1001,MATCH('Index&amp;Match'!$A261,'Main Data'!$A$1:$A$1001,0),MATCH('Index&amp;Match'!J260,'Main Data'!$A260:$O260,0))</f>
        <v>27</v>
      </c>
      <c r="K261" s="11">
        <f>INDEX('Main Data'!$A$1:$O$1001,MATCH('Index&amp;Match'!$A261,'Main Data'!$A$1:$A$1001,0),MATCH('Index&amp;Match'!K260,'Main Data'!$A260:$O260,0))</f>
        <v>43250.23</v>
      </c>
      <c r="L261" s="11">
        <f>INDEX('Main Data'!$A$1:$O$1001,MATCH('Index&amp;Match'!$A261,'Main Data'!$A$1:$A$1001,0),MATCH('Index&amp;Match'!L260,'Main Data'!$A260:$O260,0))</f>
        <v>102.02</v>
      </c>
      <c r="M261" s="11">
        <f>INDEX('Main Data'!$A$1:$O$1001,MATCH('Index&amp;Match'!$A261,'Main Data'!$A$1:$A$1001,0),MATCH('Index&amp;Match'!M260,'Main Data'!$A260:$O260,0))</f>
        <v>125.68</v>
      </c>
      <c r="N261" s="2" t="str">
        <f>INDEX('Main Data'!$A$1:$O$1001,MATCH('Index&amp;Match'!$A261,'Main Data'!$A$1:$A$1001,0),MATCH('Index&amp;Match'!N260,'Main Data'!$A260:$O260,0))</f>
        <v>Yes</v>
      </c>
      <c r="O261" s="2">
        <f>INDEX('Main Data'!$A$1:$O$1001,MATCH('Index&amp;Match'!$A261,'Main Data'!$A$1:$A$1001,0),MATCH('Index&amp;Match'!O260,'Main Data'!$A260:$O260,0))</f>
        <v>27</v>
      </c>
    </row>
    <row r="262" spans="1:15" x14ac:dyDescent="0.3">
      <c r="A262" s="2" t="s">
        <v>319</v>
      </c>
      <c r="B262" s="1">
        <f>INDEX('Main Data'!$A$1:$O$1001,MATCH('Index&amp;Match'!$A262,'Main Data'!$A$1:$A$1001,0),MATCH('Index&amp;Match'!B261,'Main Data'!$A261:$O261,0))</f>
        <v>46112</v>
      </c>
      <c r="C262" s="2" t="str">
        <f>INDEX('Main Data'!$A$1:$O$1001,MATCH('Index&amp;Match'!$A262,'Main Data'!$A$1:$A$1001,0),MATCH('Index&amp;Match'!C261,'Main Data'!$A261:$O261,0))</f>
        <v>Alex</v>
      </c>
      <c r="D262" s="2" t="str">
        <f>INDEX('Main Data'!$A$1:$O$1001,MATCH('Index&amp;Match'!$A262,'Main Data'!$A$1:$A$1001,0),MATCH('Index&amp;Match'!D261,'Main Data'!$A261:$O261,0))</f>
        <v>BR-003</v>
      </c>
      <c r="E262" s="2" t="str">
        <f>INDEX('Main Data'!$A$1:$O$1001,MATCH('Index&amp;Match'!$A262,'Main Data'!$A$1:$A$1001,0),MATCH('Index&amp;Match'!E261,'Main Data'!$A261:$O261,0))</f>
        <v>West</v>
      </c>
      <c r="F262" s="2" t="str">
        <f>INDEX('Main Data'!$A$1:$O$1001,MATCH('Index&amp;Match'!$A262,'Main Data'!$A$1:$A$1001,0),MATCH('Index&amp;Match'!F261,'Main Data'!$A261:$O261,0))</f>
        <v>Credit Card</v>
      </c>
      <c r="G262" s="2" t="str">
        <f>INDEX('Main Data'!$A$1:$O$1001,MATCH('Index&amp;Match'!$A262,'Main Data'!$A$1:$A$1001,0),MATCH('Index&amp;Match'!G261,'Main Data'!$A261:$O261,0))</f>
        <v>Referral</v>
      </c>
      <c r="H262" s="2" t="str">
        <f>INDEX('Main Data'!$A$1:$O$1001,MATCH('Index&amp;Match'!$A262,'Main Data'!$A$1:$A$1001,0),MATCH('Index&amp;Match'!H261,'Main Data'!$A261:$O261,0))</f>
        <v>SME</v>
      </c>
      <c r="I262" s="2">
        <f>INDEX('Main Data'!$A$1:$O$1001,MATCH('Index&amp;Match'!$A262,'Main Data'!$A$1:$A$1001,0),MATCH('Index&amp;Match'!I261,'Main Data'!$A261:$O261,0))</f>
        <v>24</v>
      </c>
      <c r="J262" s="2">
        <f>INDEX('Main Data'!$A$1:$O$1001,MATCH('Index&amp;Match'!$A262,'Main Data'!$A$1:$A$1001,0),MATCH('Index&amp;Match'!J261,'Main Data'!$A261:$O261,0))</f>
        <v>24</v>
      </c>
      <c r="K262" s="11">
        <f>INDEX('Main Data'!$A$1:$O$1001,MATCH('Index&amp;Match'!$A262,'Main Data'!$A$1:$A$1001,0),MATCH('Index&amp;Match'!K261,'Main Data'!$A261:$O261,0))</f>
        <v>49842.05</v>
      </c>
      <c r="L262" s="11">
        <f>INDEX('Main Data'!$A$1:$O$1001,MATCH('Index&amp;Match'!$A262,'Main Data'!$A$1:$A$1001,0),MATCH('Index&amp;Match'!L261,'Main Data'!$A261:$O261,0))</f>
        <v>224.88</v>
      </c>
      <c r="M262" s="11">
        <f>INDEX('Main Data'!$A$1:$O$1001,MATCH('Index&amp;Match'!$A262,'Main Data'!$A$1:$A$1001,0),MATCH('Index&amp;Match'!M261,'Main Data'!$A261:$O261,0))</f>
        <v>78.989999999999995</v>
      </c>
      <c r="N262" s="2" t="str">
        <f>INDEX('Main Data'!$A$1:$O$1001,MATCH('Index&amp;Match'!$A262,'Main Data'!$A$1:$A$1001,0),MATCH('Index&amp;Match'!N261,'Main Data'!$A261:$O261,0))</f>
        <v>No</v>
      </c>
      <c r="O262" s="2">
        <f>INDEX('Main Data'!$A$1:$O$1001,MATCH('Index&amp;Match'!$A262,'Main Data'!$A$1:$A$1001,0),MATCH('Index&amp;Match'!O261,'Main Data'!$A261:$O261,0))</f>
        <v>24</v>
      </c>
    </row>
    <row r="263" spans="1:15" x14ac:dyDescent="0.3">
      <c r="A263" s="2" t="s">
        <v>320</v>
      </c>
      <c r="B263" s="1">
        <f>INDEX('Main Data'!$A$1:$O$1001,MATCH('Index&amp;Match'!$A263,'Main Data'!$A$1:$A$1001,0),MATCH('Index&amp;Match'!B262,'Main Data'!$A262:$O262,0))</f>
        <v>46041</v>
      </c>
      <c r="C263" s="2" t="str">
        <f>INDEX('Main Data'!$A$1:$O$1001,MATCH('Index&amp;Match'!$A263,'Main Data'!$A$1:$A$1001,0),MATCH('Index&amp;Match'!C262,'Main Data'!$A262:$O262,0))</f>
        <v>Sam</v>
      </c>
      <c r="D263" s="2" t="str">
        <f>INDEX('Main Data'!$A$1:$O$1001,MATCH('Index&amp;Match'!$A263,'Main Data'!$A$1:$A$1001,0),MATCH('Index&amp;Match'!D262,'Main Data'!$A262:$O262,0))</f>
        <v>BR-015</v>
      </c>
      <c r="E263" s="2" t="str">
        <f>INDEX('Main Data'!$A$1:$O$1001,MATCH('Index&amp;Match'!$A263,'Main Data'!$A$1:$A$1001,0),MATCH('Index&amp;Match'!E262,'Main Data'!$A262:$O262,0))</f>
        <v>West</v>
      </c>
      <c r="F263" s="2" t="str">
        <f>INDEX('Main Data'!$A$1:$O$1001,MATCH('Index&amp;Match'!$A263,'Main Data'!$A$1:$A$1001,0),MATCH('Index&amp;Match'!F262,'Main Data'!$A262:$O262,0))</f>
        <v>Mortgage</v>
      </c>
      <c r="G263" s="2" t="str">
        <f>INDEX('Main Data'!$A$1:$O$1001,MATCH('Index&amp;Match'!$A263,'Main Data'!$A$1:$A$1001,0),MATCH('Index&amp;Match'!G262,'Main Data'!$A262:$O262,0))</f>
        <v>Social Media</v>
      </c>
      <c r="H263" s="2" t="str">
        <f>INDEX('Main Data'!$A$1:$O$1001,MATCH('Index&amp;Match'!$A263,'Main Data'!$A$1:$A$1001,0),MATCH('Index&amp;Match'!H262,'Main Data'!$A262:$O262,0))</f>
        <v>SME</v>
      </c>
      <c r="I263" s="2">
        <f>INDEX('Main Data'!$A$1:$O$1001,MATCH('Index&amp;Match'!$A263,'Main Data'!$A$1:$A$1001,0),MATCH('Index&amp;Match'!I262,'Main Data'!$A262:$O262,0))</f>
        <v>39</v>
      </c>
      <c r="J263" s="2">
        <f>INDEX('Main Data'!$A$1:$O$1001,MATCH('Index&amp;Match'!$A263,'Main Data'!$A$1:$A$1001,0),MATCH('Index&amp;Match'!J262,'Main Data'!$A262:$O262,0))</f>
        <v>39</v>
      </c>
      <c r="K263" s="11">
        <f>INDEX('Main Data'!$A$1:$O$1001,MATCH('Index&amp;Match'!$A263,'Main Data'!$A$1:$A$1001,0),MATCH('Index&amp;Match'!K262,'Main Data'!$A262:$O262,0))</f>
        <v>21629.49</v>
      </c>
      <c r="L263" s="11">
        <f>INDEX('Main Data'!$A$1:$O$1001,MATCH('Index&amp;Match'!$A263,'Main Data'!$A$1:$A$1001,0),MATCH('Index&amp;Match'!L262,'Main Data'!$A262:$O262,0))</f>
        <v>66.75</v>
      </c>
      <c r="M263" s="11">
        <f>INDEX('Main Data'!$A$1:$O$1001,MATCH('Index&amp;Match'!$A263,'Main Data'!$A$1:$A$1001,0),MATCH('Index&amp;Match'!M262,'Main Data'!$A262:$O262,0))</f>
        <v>50.81</v>
      </c>
      <c r="N263" s="2" t="str">
        <f>INDEX('Main Data'!$A$1:$O$1001,MATCH('Index&amp;Match'!$A263,'Main Data'!$A$1:$A$1001,0),MATCH('Index&amp;Match'!N262,'Main Data'!$A262:$O262,0))</f>
        <v>Yes</v>
      </c>
      <c r="O263" s="2">
        <f>INDEX('Main Data'!$A$1:$O$1001,MATCH('Index&amp;Match'!$A263,'Main Data'!$A$1:$A$1001,0),MATCH('Index&amp;Match'!O262,'Main Data'!$A262:$O262,0))</f>
        <v>39</v>
      </c>
    </row>
    <row r="264" spans="1:15" x14ac:dyDescent="0.3">
      <c r="A264" s="2" t="s">
        <v>321</v>
      </c>
      <c r="B264" s="1">
        <f>INDEX('Main Data'!$A$1:$O$1001,MATCH('Index&amp;Match'!$A264,'Main Data'!$A$1:$A$1001,0),MATCH('Index&amp;Match'!B263,'Main Data'!$A263:$O263,0))</f>
        <v>46012</v>
      </c>
      <c r="C264" s="2" t="str">
        <f>INDEX('Main Data'!$A$1:$O$1001,MATCH('Index&amp;Match'!$A264,'Main Data'!$A$1:$A$1001,0),MATCH('Index&amp;Match'!C263,'Main Data'!$A263:$O263,0))</f>
        <v>Casey</v>
      </c>
      <c r="D264" s="2" t="str">
        <f>INDEX('Main Data'!$A$1:$O$1001,MATCH('Index&amp;Match'!$A264,'Main Data'!$A$1:$A$1001,0),MATCH('Index&amp;Match'!D263,'Main Data'!$A263:$O263,0))</f>
        <v>BR-009</v>
      </c>
      <c r="E264" s="2" t="str">
        <f>INDEX('Main Data'!$A$1:$O$1001,MATCH('Index&amp;Match'!$A264,'Main Data'!$A$1:$A$1001,0),MATCH('Index&amp;Match'!E263,'Main Data'!$A263:$O263,0))</f>
        <v>Central</v>
      </c>
      <c r="F264" s="2" t="str">
        <f>INDEX('Main Data'!$A$1:$O$1001,MATCH('Index&amp;Match'!$A264,'Main Data'!$A$1:$A$1001,0),MATCH('Index&amp;Match'!F263,'Main Data'!$A263:$O263,0))</f>
        <v>Personal Loan</v>
      </c>
      <c r="G264" s="2" t="str">
        <f>INDEX('Main Data'!$A$1:$O$1001,MATCH('Index&amp;Match'!$A264,'Main Data'!$A$1:$A$1001,0),MATCH('Index&amp;Match'!G263,'Main Data'!$A263:$O263,0))</f>
        <v>Website</v>
      </c>
      <c r="H264" s="2" t="str">
        <f>INDEX('Main Data'!$A$1:$O$1001,MATCH('Index&amp;Match'!$A264,'Main Data'!$A$1:$A$1001,0),MATCH('Index&amp;Match'!H263,'Main Data'!$A263:$O263,0))</f>
        <v>High Net Worth</v>
      </c>
      <c r="I264" s="2">
        <f>INDEX('Main Data'!$A$1:$O$1001,MATCH('Index&amp;Match'!$A264,'Main Data'!$A$1:$A$1001,0),MATCH('Index&amp;Match'!I263,'Main Data'!$A263:$O263,0))</f>
        <v>62</v>
      </c>
      <c r="J264" s="2">
        <f>INDEX('Main Data'!$A$1:$O$1001,MATCH('Index&amp;Match'!$A264,'Main Data'!$A$1:$A$1001,0),MATCH('Index&amp;Match'!J263,'Main Data'!$A263:$O263,0))</f>
        <v>62</v>
      </c>
      <c r="K264" s="11">
        <f>INDEX('Main Data'!$A$1:$O$1001,MATCH('Index&amp;Match'!$A264,'Main Data'!$A$1:$A$1001,0),MATCH('Index&amp;Match'!K263,'Main Data'!$A263:$O263,0))</f>
        <v>6001.97</v>
      </c>
      <c r="L264" s="11">
        <f>INDEX('Main Data'!$A$1:$O$1001,MATCH('Index&amp;Match'!$A264,'Main Data'!$A$1:$A$1001,0),MATCH('Index&amp;Match'!L263,'Main Data'!$A263:$O263,0))</f>
        <v>462.92</v>
      </c>
      <c r="M264" s="11">
        <f>INDEX('Main Data'!$A$1:$O$1001,MATCH('Index&amp;Match'!$A264,'Main Data'!$A$1:$A$1001,0),MATCH('Index&amp;Match'!M263,'Main Data'!$A263:$O263,0))</f>
        <v>294.64</v>
      </c>
      <c r="N264" s="2" t="str">
        <f>INDEX('Main Data'!$A$1:$O$1001,MATCH('Index&amp;Match'!$A264,'Main Data'!$A$1:$A$1001,0),MATCH('Index&amp;Match'!N263,'Main Data'!$A263:$O263,0))</f>
        <v>Yes</v>
      </c>
      <c r="O264" s="2">
        <f>INDEX('Main Data'!$A$1:$O$1001,MATCH('Index&amp;Match'!$A264,'Main Data'!$A$1:$A$1001,0),MATCH('Index&amp;Match'!O263,'Main Data'!$A263:$O263,0))</f>
        <v>62</v>
      </c>
    </row>
    <row r="265" spans="1:15" x14ac:dyDescent="0.3">
      <c r="A265" s="2" t="s">
        <v>322</v>
      </c>
      <c r="B265" s="1">
        <f>INDEX('Main Data'!$A$1:$O$1001,MATCH('Index&amp;Match'!$A265,'Main Data'!$A$1:$A$1001,0),MATCH('Index&amp;Match'!B264,'Main Data'!$A264:$O264,0))</f>
        <v>45937</v>
      </c>
      <c r="C265" s="2" t="str">
        <f>INDEX('Main Data'!$A$1:$O$1001,MATCH('Index&amp;Match'!$A265,'Main Data'!$A$1:$A$1001,0),MATCH('Index&amp;Match'!C264,'Main Data'!$A264:$O264,0))</f>
        <v>Alex</v>
      </c>
      <c r="D265" s="2" t="str">
        <f>INDEX('Main Data'!$A$1:$O$1001,MATCH('Index&amp;Match'!$A265,'Main Data'!$A$1:$A$1001,0),MATCH('Index&amp;Match'!D264,'Main Data'!$A264:$O264,0))</f>
        <v>BR-007</v>
      </c>
      <c r="E265" s="2" t="str">
        <f>INDEX('Main Data'!$A$1:$O$1001,MATCH('Index&amp;Match'!$A265,'Main Data'!$A$1:$A$1001,0),MATCH('Index&amp;Match'!E264,'Main Data'!$A264:$O264,0))</f>
        <v>Central</v>
      </c>
      <c r="F265" s="2" t="str">
        <f>INDEX('Main Data'!$A$1:$O$1001,MATCH('Index&amp;Match'!$A265,'Main Data'!$A$1:$A$1001,0),MATCH('Index&amp;Match'!F264,'Main Data'!$A264:$O264,0))</f>
        <v>Mortgage</v>
      </c>
      <c r="G265" s="2" t="str">
        <f>INDEX('Main Data'!$A$1:$O$1001,MATCH('Index&amp;Match'!$A265,'Main Data'!$A$1:$A$1001,0),MATCH('Index&amp;Match'!G264,'Main Data'!$A264:$O264,0))</f>
        <v>Walk-in</v>
      </c>
      <c r="H265" s="2" t="str">
        <f>INDEX('Main Data'!$A$1:$O$1001,MATCH('Index&amp;Match'!$A265,'Main Data'!$A$1:$A$1001,0),MATCH('Index&amp;Match'!H264,'Main Data'!$A264:$O264,0))</f>
        <v>High Net Worth</v>
      </c>
      <c r="I265" s="2">
        <f>INDEX('Main Data'!$A$1:$O$1001,MATCH('Index&amp;Match'!$A265,'Main Data'!$A$1:$A$1001,0),MATCH('Index&amp;Match'!I264,'Main Data'!$A264:$O264,0))</f>
        <v>50</v>
      </c>
      <c r="J265" s="2">
        <f>INDEX('Main Data'!$A$1:$O$1001,MATCH('Index&amp;Match'!$A265,'Main Data'!$A$1:$A$1001,0),MATCH('Index&amp;Match'!J264,'Main Data'!$A264:$O264,0))</f>
        <v>50</v>
      </c>
      <c r="K265" s="11">
        <f>INDEX('Main Data'!$A$1:$O$1001,MATCH('Index&amp;Match'!$A265,'Main Data'!$A$1:$A$1001,0),MATCH('Index&amp;Match'!K264,'Main Data'!$A264:$O264,0))</f>
        <v>2005.59</v>
      </c>
      <c r="L265" s="11">
        <f>INDEX('Main Data'!$A$1:$O$1001,MATCH('Index&amp;Match'!$A265,'Main Data'!$A$1:$A$1001,0),MATCH('Index&amp;Match'!L264,'Main Data'!$A264:$O264,0))</f>
        <v>352.9</v>
      </c>
      <c r="M265" s="11">
        <f>INDEX('Main Data'!$A$1:$O$1001,MATCH('Index&amp;Match'!$A265,'Main Data'!$A$1:$A$1001,0),MATCH('Index&amp;Match'!M264,'Main Data'!$A264:$O264,0))</f>
        <v>294.89999999999998</v>
      </c>
      <c r="N265" s="2" t="str">
        <f>INDEX('Main Data'!$A$1:$O$1001,MATCH('Index&amp;Match'!$A265,'Main Data'!$A$1:$A$1001,0),MATCH('Index&amp;Match'!N264,'Main Data'!$A264:$O264,0))</f>
        <v>Yes</v>
      </c>
      <c r="O265" s="2">
        <f>INDEX('Main Data'!$A$1:$O$1001,MATCH('Index&amp;Match'!$A265,'Main Data'!$A$1:$A$1001,0),MATCH('Index&amp;Match'!O264,'Main Data'!$A264:$O264,0))</f>
        <v>50</v>
      </c>
    </row>
    <row r="266" spans="1:15" x14ac:dyDescent="0.3">
      <c r="A266" s="2" t="s">
        <v>323</v>
      </c>
      <c r="B266" s="1">
        <f>INDEX('Main Data'!$A$1:$O$1001,MATCH('Index&amp;Match'!$A266,'Main Data'!$A$1:$A$1001,0),MATCH('Index&amp;Match'!B265,'Main Data'!$A265:$O265,0))</f>
        <v>45898</v>
      </c>
      <c r="C266" s="2" t="str">
        <f>INDEX('Main Data'!$A$1:$O$1001,MATCH('Index&amp;Match'!$A266,'Main Data'!$A$1:$A$1001,0),MATCH('Index&amp;Match'!C265,'Main Data'!$A265:$O265,0))</f>
        <v>Taylor</v>
      </c>
      <c r="D266" s="2" t="str">
        <f>INDEX('Main Data'!$A$1:$O$1001,MATCH('Index&amp;Match'!$A266,'Main Data'!$A$1:$A$1001,0),MATCH('Index&amp;Match'!D265,'Main Data'!$A265:$O265,0))</f>
        <v>BR-005</v>
      </c>
      <c r="E266" s="2" t="str">
        <f>INDEX('Main Data'!$A$1:$O$1001,MATCH('Index&amp;Match'!$A266,'Main Data'!$A$1:$A$1001,0),MATCH('Index&amp;Match'!E265,'Main Data'!$A265:$O265,0))</f>
        <v>Central</v>
      </c>
      <c r="F266" s="2" t="str">
        <f>INDEX('Main Data'!$A$1:$O$1001,MATCH('Index&amp;Match'!$A266,'Main Data'!$A$1:$A$1001,0),MATCH('Index&amp;Match'!F265,'Main Data'!$A265:$O265,0))</f>
        <v>Auto Loan</v>
      </c>
      <c r="G266" s="2" t="str">
        <f>INDEX('Main Data'!$A$1:$O$1001,MATCH('Index&amp;Match'!$A266,'Main Data'!$A$1:$A$1001,0),MATCH('Index&amp;Match'!G265,'Main Data'!$A265:$O265,0))</f>
        <v>Referral</v>
      </c>
      <c r="H266" s="2" t="str">
        <f>INDEX('Main Data'!$A$1:$O$1001,MATCH('Index&amp;Match'!$A266,'Main Data'!$A$1:$A$1001,0),MATCH('Index&amp;Match'!H265,'Main Data'!$A265:$O265,0))</f>
        <v>Corporate</v>
      </c>
      <c r="I266" s="2">
        <f>INDEX('Main Data'!$A$1:$O$1001,MATCH('Index&amp;Match'!$A266,'Main Data'!$A$1:$A$1001,0),MATCH('Index&amp;Match'!I265,'Main Data'!$A265:$O265,0))</f>
        <v>51</v>
      </c>
      <c r="J266" s="2">
        <f>INDEX('Main Data'!$A$1:$O$1001,MATCH('Index&amp;Match'!$A266,'Main Data'!$A$1:$A$1001,0),MATCH('Index&amp;Match'!J265,'Main Data'!$A265:$O265,0))</f>
        <v>51</v>
      </c>
      <c r="K266" s="11">
        <f>INDEX('Main Data'!$A$1:$O$1001,MATCH('Index&amp;Match'!$A266,'Main Data'!$A$1:$A$1001,0),MATCH('Index&amp;Match'!K265,'Main Data'!$A265:$O265,0))</f>
        <v>36480.410000000003</v>
      </c>
      <c r="L266" s="11">
        <f>INDEX('Main Data'!$A$1:$O$1001,MATCH('Index&amp;Match'!$A266,'Main Data'!$A$1:$A$1001,0),MATCH('Index&amp;Match'!L265,'Main Data'!$A265:$O265,0))</f>
        <v>495.84</v>
      </c>
      <c r="M266" s="11">
        <f>INDEX('Main Data'!$A$1:$O$1001,MATCH('Index&amp;Match'!$A266,'Main Data'!$A$1:$A$1001,0),MATCH('Index&amp;Match'!M265,'Main Data'!$A265:$O265,0))</f>
        <v>185</v>
      </c>
      <c r="N266" s="2" t="str">
        <f>INDEX('Main Data'!$A$1:$O$1001,MATCH('Index&amp;Match'!$A266,'Main Data'!$A$1:$A$1001,0),MATCH('Index&amp;Match'!N265,'Main Data'!$A265:$O265,0))</f>
        <v>Yes</v>
      </c>
      <c r="O266" s="2">
        <f>INDEX('Main Data'!$A$1:$O$1001,MATCH('Index&amp;Match'!$A266,'Main Data'!$A$1:$A$1001,0),MATCH('Index&amp;Match'!O265,'Main Data'!$A265:$O265,0))</f>
        <v>51</v>
      </c>
    </row>
    <row r="267" spans="1:15" x14ac:dyDescent="0.3">
      <c r="A267" s="2" t="s">
        <v>324</v>
      </c>
      <c r="B267" s="1">
        <f>INDEX('Main Data'!$A$1:$O$1001,MATCH('Index&amp;Match'!$A267,'Main Data'!$A$1:$A$1001,0),MATCH('Index&amp;Match'!B266,'Main Data'!$A266:$O266,0))</f>
        <v>45896</v>
      </c>
      <c r="C267" s="2" t="str">
        <f>INDEX('Main Data'!$A$1:$O$1001,MATCH('Index&amp;Match'!$A267,'Main Data'!$A$1:$A$1001,0),MATCH('Index&amp;Match'!C266,'Main Data'!$A266:$O266,0))</f>
        <v>Jordan</v>
      </c>
      <c r="D267" s="2" t="str">
        <f>INDEX('Main Data'!$A$1:$O$1001,MATCH('Index&amp;Match'!$A267,'Main Data'!$A$1:$A$1001,0),MATCH('Index&amp;Match'!D266,'Main Data'!$A266:$O266,0))</f>
        <v>BR-012</v>
      </c>
      <c r="E267" s="2" t="str">
        <f>INDEX('Main Data'!$A$1:$O$1001,MATCH('Index&amp;Match'!$A267,'Main Data'!$A$1:$A$1001,0),MATCH('Index&amp;Match'!E266,'Main Data'!$A266:$O266,0))</f>
        <v>East</v>
      </c>
      <c r="F267" s="2" t="str">
        <f>INDEX('Main Data'!$A$1:$O$1001,MATCH('Index&amp;Match'!$A267,'Main Data'!$A$1:$A$1001,0),MATCH('Index&amp;Match'!F266,'Main Data'!$A266:$O266,0))</f>
        <v>Wealth Management</v>
      </c>
      <c r="G267" s="2" t="str">
        <f>INDEX('Main Data'!$A$1:$O$1001,MATCH('Index&amp;Match'!$A267,'Main Data'!$A$1:$A$1001,0),MATCH('Index&amp;Match'!G266,'Main Data'!$A266:$O266,0))</f>
        <v>Referral</v>
      </c>
      <c r="H267" s="2" t="str">
        <f>INDEX('Main Data'!$A$1:$O$1001,MATCH('Index&amp;Match'!$A267,'Main Data'!$A$1:$A$1001,0),MATCH('Index&amp;Match'!H266,'Main Data'!$A266:$O266,0))</f>
        <v>Retail</v>
      </c>
      <c r="I267" s="2">
        <f>INDEX('Main Data'!$A$1:$O$1001,MATCH('Index&amp;Match'!$A267,'Main Data'!$A$1:$A$1001,0),MATCH('Index&amp;Match'!I266,'Main Data'!$A266:$O266,0))</f>
        <v>55</v>
      </c>
      <c r="J267" s="2">
        <f>INDEX('Main Data'!$A$1:$O$1001,MATCH('Index&amp;Match'!$A267,'Main Data'!$A$1:$A$1001,0),MATCH('Index&amp;Match'!J266,'Main Data'!$A266:$O266,0))</f>
        <v>55</v>
      </c>
      <c r="K267" s="11">
        <f>INDEX('Main Data'!$A$1:$O$1001,MATCH('Index&amp;Match'!$A267,'Main Data'!$A$1:$A$1001,0),MATCH('Index&amp;Match'!K266,'Main Data'!$A266:$O266,0))</f>
        <v>43763.68</v>
      </c>
      <c r="L267" s="11">
        <f>INDEX('Main Data'!$A$1:$O$1001,MATCH('Index&amp;Match'!$A267,'Main Data'!$A$1:$A$1001,0),MATCH('Index&amp;Match'!L266,'Main Data'!$A266:$O266,0))</f>
        <v>447.27</v>
      </c>
      <c r="M267" s="11">
        <f>INDEX('Main Data'!$A$1:$O$1001,MATCH('Index&amp;Match'!$A267,'Main Data'!$A$1:$A$1001,0),MATCH('Index&amp;Match'!M266,'Main Data'!$A266:$O266,0))</f>
        <v>157.13</v>
      </c>
      <c r="N267" s="2" t="str">
        <f>INDEX('Main Data'!$A$1:$O$1001,MATCH('Index&amp;Match'!$A267,'Main Data'!$A$1:$A$1001,0),MATCH('Index&amp;Match'!N266,'Main Data'!$A266:$O266,0))</f>
        <v>Yes</v>
      </c>
      <c r="O267" s="2">
        <f>INDEX('Main Data'!$A$1:$O$1001,MATCH('Index&amp;Match'!$A267,'Main Data'!$A$1:$A$1001,0),MATCH('Index&amp;Match'!O266,'Main Data'!$A266:$O266,0))</f>
        <v>55</v>
      </c>
    </row>
    <row r="268" spans="1:15" x14ac:dyDescent="0.3">
      <c r="A268" s="2" t="s">
        <v>325</v>
      </c>
      <c r="B268" s="1">
        <f>INDEX('Main Data'!$A$1:$O$1001,MATCH('Index&amp;Match'!$A268,'Main Data'!$A$1:$A$1001,0),MATCH('Index&amp;Match'!B267,'Main Data'!$A267:$O267,0))</f>
        <v>46026</v>
      </c>
      <c r="C268" s="2" t="str">
        <f>INDEX('Main Data'!$A$1:$O$1001,MATCH('Index&amp;Match'!$A268,'Main Data'!$A$1:$A$1001,0),MATCH('Index&amp;Match'!C267,'Main Data'!$A267:$O267,0))</f>
        <v>Morgan</v>
      </c>
      <c r="D268" s="2" t="str">
        <f>INDEX('Main Data'!$A$1:$O$1001,MATCH('Index&amp;Match'!$A268,'Main Data'!$A$1:$A$1001,0),MATCH('Index&amp;Match'!D267,'Main Data'!$A267:$O267,0))</f>
        <v>BR-010</v>
      </c>
      <c r="E268" s="2" t="str">
        <f>INDEX('Main Data'!$A$1:$O$1001,MATCH('Index&amp;Match'!$A268,'Main Data'!$A$1:$A$1001,0),MATCH('Index&amp;Match'!E267,'Main Data'!$A267:$O267,0))</f>
        <v>West</v>
      </c>
      <c r="F268" s="2" t="str">
        <f>INDEX('Main Data'!$A$1:$O$1001,MATCH('Index&amp;Match'!$A268,'Main Data'!$A$1:$A$1001,0),MATCH('Index&amp;Match'!F267,'Main Data'!$A267:$O267,0))</f>
        <v>Personal Loan</v>
      </c>
      <c r="G268" s="2" t="str">
        <f>INDEX('Main Data'!$A$1:$O$1001,MATCH('Index&amp;Match'!$A268,'Main Data'!$A$1:$A$1001,0),MATCH('Index&amp;Match'!G267,'Main Data'!$A267:$O267,0))</f>
        <v>Social Media</v>
      </c>
      <c r="H268" s="2" t="str">
        <f>INDEX('Main Data'!$A$1:$O$1001,MATCH('Index&amp;Match'!$A268,'Main Data'!$A$1:$A$1001,0),MATCH('Index&amp;Match'!H267,'Main Data'!$A267:$O267,0))</f>
        <v>Corporate</v>
      </c>
      <c r="I268" s="2">
        <f>INDEX('Main Data'!$A$1:$O$1001,MATCH('Index&amp;Match'!$A268,'Main Data'!$A$1:$A$1001,0),MATCH('Index&amp;Match'!I267,'Main Data'!$A267:$O267,0))</f>
        <v>41</v>
      </c>
      <c r="J268" s="2">
        <f>INDEX('Main Data'!$A$1:$O$1001,MATCH('Index&amp;Match'!$A268,'Main Data'!$A$1:$A$1001,0),MATCH('Index&amp;Match'!J267,'Main Data'!$A267:$O267,0))</f>
        <v>41</v>
      </c>
      <c r="K268" s="11">
        <f>INDEX('Main Data'!$A$1:$O$1001,MATCH('Index&amp;Match'!$A268,'Main Data'!$A$1:$A$1001,0),MATCH('Index&amp;Match'!K267,'Main Data'!$A267:$O267,0))</f>
        <v>11425.27</v>
      </c>
      <c r="L268" s="11">
        <f>INDEX('Main Data'!$A$1:$O$1001,MATCH('Index&amp;Match'!$A268,'Main Data'!$A$1:$A$1001,0),MATCH('Index&amp;Match'!L267,'Main Data'!$A267:$O267,0))</f>
        <v>262.85000000000002</v>
      </c>
      <c r="M268" s="11">
        <f>INDEX('Main Data'!$A$1:$O$1001,MATCH('Index&amp;Match'!$A268,'Main Data'!$A$1:$A$1001,0),MATCH('Index&amp;Match'!M267,'Main Data'!$A267:$O267,0))</f>
        <v>65.16</v>
      </c>
      <c r="N268" s="2" t="str">
        <f>INDEX('Main Data'!$A$1:$O$1001,MATCH('Index&amp;Match'!$A268,'Main Data'!$A$1:$A$1001,0),MATCH('Index&amp;Match'!N267,'Main Data'!$A267:$O267,0))</f>
        <v>Yes</v>
      </c>
      <c r="O268" s="2">
        <f>INDEX('Main Data'!$A$1:$O$1001,MATCH('Index&amp;Match'!$A268,'Main Data'!$A$1:$A$1001,0),MATCH('Index&amp;Match'!O267,'Main Data'!$A267:$O267,0))</f>
        <v>41</v>
      </c>
    </row>
    <row r="269" spans="1:15" x14ac:dyDescent="0.3">
      <c r="A269" s="2" t="s">
        <v>326</v>
      </c>
      <c r="B269" s="1">
        <f>INDEX('Main Data'!$A$1:$O$1001,MATCH('Index&amp;Match'!$A269,'Main Data'!$A$1:$A$1001,0),MATCH('Index&amp;Match'!B268,'Main Data'!$A268:$O268,0))</f>
        <v>45888</v>
      </c>
      <c r="C269" s="2" t="str">
        <f>INDEX('Main Data'!$A$1:$O$1001,MATCH('Index&amp;Match'!$A269,'Main Data'!$A$1:$A$1001,0),MATCH('Index&amp;Match'!C268,'Main Data'!$A268:$O268,0))</f>
        <v>Drew</v>
      </c>
      <c r="D269" s="2" t="str">
        <f>INDEX('Main Data'!$A$1:$O$1001,MATCH('Index&amp;Match'!$A269,'Main Data'!$A$1:$A$1001,0),MATCH('Index&amp;Match'!D268,'Main Data'!$A268:$O268,0))</f>
        <v>BR-007</v>
      </c>
      <c r="E269" s="2" t="str">
        <f>INDEX('Main Data'!$A$1:$O$1001,MATCH('Index&amp;Match'!$A269,'Main Data'!$A$1:$A$1001,0),MATCH('Index&amp;Match'!E268,'Main Data'!$A268:$O268,0))</f>
        <v>East</v>
      </c>
      <c r="F269" s="2" t="str">
        <f>INDEX('Main Data'!$A$1:$O$1001,MATCH('Index&amp;Match'!$A269,'Main Data'!$A$1:$A$1001,0),MATCH('Index&amp;Match'!F268,'Main Data'!$A268:$O268,0))</f>
        <v>Personal Loan</v>
      </c>
      <c r="G269" s="2" t="str">
        <f>INDEX('Main Data'!$A$1:$O$1001,MATCH('Index&amp;Match'!$A269,'Main Data'!$A$1:$A$1001,0),MATCH('Index&amp;Match'!G268,'Main Data'!$A268:$O268,0))</f>
        <v>Website</v>
      </c>
      <c r="H269" s="2" t="str">
        <f>INDEX('Main Data'!$A$1:$O$1001,MATCH('Index&amp;Match'!$A269,'Main Data'!$A$1:$A$1001,0),MATCH('Index&amp;Match'!H268,'Main Data'!$A268:$O268,0))</f>
        <v>High Net Worth</v>
      </c>
      <c r="I269" s="2">
        <f>INDEX('Main Data'!$A$1:$O$1001,MATCH('Index&amp;Match'!$A269,'Main Data'!$A$1:$A$1001,0),MATCH('Index&amp;Match'!I268,'Main Data'!$A268:$O268,0))</f>
        <v>51</v>
      </c>
      <c r="J269" s="2">
        <f>INDEX('Main Data'!$A$1:$O$1001,MATCH('Index&amp;Match'!$A269,'Main Data'!$A$1:$A$1001,0),MATCH('Index&amp;Match'!J268,'Main Data'!$A268:$O268,0))</f>
        <v>51</v>
      </c>
      <c r="K269" s="11">
        <f>INDEX('Main Data'!$A$1:$O$1001,MATCH('Index&amp;Match'!$A269,'Main Data'!$A$1:$A$1001,0),MATCH('Index&amp;Match'!K268,'Main Data'!$A268:$O268,0))</f>
        <v>8343.18</v>
      </c>
      <c r="L269" s="11">
        <f>INDEX('Main Data'!$A$1:$O$1001,MATCH('Index&amp;Match'!$A269,'Main Data'!$A$1:$A$1001,0),MATCH('Index&amp;Match'!L268,'Main Data'!$A268:$O268,0))</f>
        <v>283.86</v>
      </c>
      <c r="M269" s="11">
        <f>INDEX('Main Data'!$A$1:$O$1001,MATCH('Index&amp;Match'!$A269,'Main Data'!$A$1:$A$1001,0),MATCH('Index&amp;Match'!M268,'Main Data'!$A268:$O268,0))</f>
        <v>245.1</v>
      </c>
      <c r="N269" s="2" t="str">
        <f>INDEX('Main Data'!$A$1:$O$1001,MATCH('Index&amp;Match'!$A269,'Main Data'!$A$1:$A$1001,0),MATCH('Index&amp;Match'!N268,'Main Data'!$A268:$O268,0))</f>
        <v>Yes</v>
      </c>
      <c r="O269" s="2">
        <f>INDEX('Main Data'!$A$1:$O$1001,MATCH('Index&amp;Match'!$A269,'Main Data'!$A$1:$A$1001,0),MATCH('Index&amp;Match'!O268,'Main Data'!$A268:$O268,0))</f>
        <v>51</v>
      </c>
    </row>
    <row r="270" spans="1:15" x14ac:dyDescent="0.3">
      <c r="A270" s="2" t="s">
        <v>327</v>
      </c>
      <c r="B270" s="1">
        <f>INDEX('Main Data'!$A$1:$O$1001,MATCH('Index&amp;Match'!$A270,'Main Data'!$A$1:$A$1001,0),MATCH('Index&amp;Match'!B269,'Main Data'!$A269:$O269,0))</f>
        <v>46028</v>
      </c>
      <c r="C270" s="2" t="str">
        <f>INDEX('Main Data'!$A$1:$O$1001,MATCH('Index&amp;Match'!$A270,'Main Data'!$A$1:$A$1001,0),MATCH('Index&amp;Match'!C269,'Main Data'!$A269:$O269,0))</f>
        <v>Jamie</v>
      </c>
      <c r="D270" s="2" t="str">
        <f>INDEX('Main Data'!$A$1:$O$1001,MATCH('Index&amp;Match'!$A270,'Main Data'!$A$1:$A$1001,0),MATCH('Index&amp;Match'!D269,'Main Data'!$A269:$O269,0))</f>
        <v>BR-009</v>
      </c>
      <c r="E270" s="2" t="str">
        <f>INDEX('Main Data'!$A$1:$O$1001,MATCH('Index&amp;Match'!$A270,'Main Data'!$A$1:$A$1001,0),MATCH('Index&amp;Match'!E269,'Main Data'!$A269:$O269,0))</f>
        <v>North</v>
      </c>
      <c r="F270" s="2" t="str">
        <f>INDEX('Main Data'!$A$1:$O$1001,MATCH('Index&amp;Match'!$A270,'Main Data'!$A$1:$A$1001,0),MATCH('Index&amp;Match'!F269,'Main Data'!$A269:$O269,0))</f>
        <v>Auto Loan</v>
      </c>
      <c r="G270" s="2" t="str">
        <f>INDEX('Main Data'!$A$1:$O$1001,MATCH('Index&amp;Match'!$A270,'Main Data'!$A$1:$A$1001,0),MATCH('Index&amp;Match'!G269,'Main Data'!$A269:$O269,0))</f>
        <v>Website</v>
      </c>
      <c r="H270" s="2" t="str">
        <f>INDEX('Main Data'!$A$1:$O$1001,MATCH('Index&amp;Match'!$A270,'Main Data'!$A$1:$A$1001,0),MATCH('Index&amp;Match'!H269,'Main Data'!$A269:$O269,0))</f>
        <v>Retail</v>
      </c>
      <c r="I270" s="2">
        <f>INDEX('Main Data'!$A$1:$O$1001,MATCH('Index&amp;Match'!$A270,'Main Data'!$A$1:$A$1001,0),MATCH('Index&amp;Match'!I269,'Main Data'!$A269:$O269,0))</f>
        <v>39</v>
      </c>
      <c r="J270" s="2">
        <f>INDEX('Main Data'!$A$1:$O$1001,MATCH('Index&amp;Match'!$A270,'Main Data'!$A$1:$A$1001,0),MATCH('Index&amp;Match'!J269,'Main Data'!$A269:$O269,0))</f>
        <v>39</v>
      </c>
      <c r="K270" s="11">
        <f>INDEX('Main Data'!$A$1:$O$1001,MATCH('Index&amp;Match'!$A270,'Main Data'!$A$1:$A$1001,0),MATCH('Index&amp;Match'!K269,'Main Data'!$A269:$O269,0))</f>
        <v>3579.15</v>
      </c>
      <c r="L270" s="11">
        <f>INDEX('Main Data'!$A$1:$O$1001,MATCH('Index&amp;Match'!$A270,'Main Data'!$A$1:$A$1001,0),MATCH('Index&amp;Match'!L269,'Main Data'!$A269:$O269,0))</f>
        <v>135.76</v>
      </c>
      <c r="M270" s="11">
        <f>INDEX('Main Data'!$A$1:$O$1001,MATCH('Index&amp;Match'!$A270,'Main Data'!$A$1:$A$1001,0),MATCH('Index&amp;Match'!M269,'Main Data'!$A269:$O269,0))</f>
        <v>81.760000000000005</v>
      </c>
      <c r="N270" s="2" t="str">
        <f>INDEX('Main Data'!$A$1:$O$1001,MATCH('Index&amp;Match'!$A270,'Main Data'!$A$1:$A$1001,0),MATCH('Index&amp;Match'!N269,'Main Data'!$A269:$O269,0))</f>
        <v>No</v>
      </c>
      <c r="O270" s="2">
        <f>INDEX('Main Data'!$A$1:$O$1001,MATCH('Index&amp;Match'!$A270,'Main Data'!$A$1:$A$1001,0),MATCH('Index&amp;Match'!O269,'Main Data'!$A269:$O269,0))</f>
        <v>39</v>
      </c>
    </row>
    <row r="271" spans="1:15" x14ac:dyDescent="0.3">
      <c r="A271" s="2" t="s">
        <v>328</v>
      </c>
      <c r="B271" s="1">
        <f>INDEX('Main Data'!$A$1:$O$1001,MATCH('Index&amp;Match'!$A271,'Main Data'!$A$1:$A$1001,0),MATCH('Index&amp;Match'!B270,'Main Data'!$A270:$O270,0))</f>
        <v>45980</v>
      </c>
      <c r="C271" s="2" t="str">
        <f>INDEX('Main Data'!$A$1:$O$1001,MATCH('Index&amp;Match'!$A271,'Main Data'!$A$1:$A$1001,0),MATCH('Index&amp;Match'!C270,'Main Data'!$A270:$O270,0))</f>
        <v>Taylor</v>
      </c>
      <c r="D271" s="2" t="str">
        <f>INDEX('Main Data'!$A$1:$O$1001,MATCH('Index&amp;Match'!$A271,'Main Data'!$A$1:$A$1001,0),MATCH('Index&amp;Match'!D270,'Main Data'!$A270:$O270,0))</f>
        <v>BR-001</v>
      </c>
      <c r="E271" s="2" t="str">
        <f>INDEX('Main Data'!$A$1:$O$1001,MATCH('Index&amp;Match'!$A271,'Main Data'!$A$1:$A$1001,0),MATCH('Index&amp;Match'!E270,'Main Data'!$A270:$O270,0))</f>
        <v>Central</v>
      </c>
      <c r="F271" s="2" t="str">
        <f>INDEX('Main Data'!$A$1:$O$1001,MATCH('Index&amp;Match'!$A271,'Main Data'!$A$1:$A$1001,0),MATCH('Index&amp;Match'!F270,'Main Data'!$A270:$O270,0))</f>
        <v>Credit Card</v>
      </c>
      <c r="G271" s="2" t="str">
        <f>INDEX('Main Data'!$A$1:$O$1001,MATCH('Index&amp;Match'!$A271,'Main Data'!$A$1:$A$1001,0),MATCH('Index&amp;Match'!G270,'Main Data'!$A270:$O270,0))</f>
        <v>Social Media</v>
      </c>
      <c r="H271" s="2" t="str">
        <f>INDEX('Main Data'!$A$1:$O$1001,MATCH('Index&amp;Match'!$A271,'Main Data'!$A$1:$A$1001,0),MATCH('Index&amp;Match'!H270,'Main Data'!$A270:$O270,0))</f>
        <v>Retail</v>
      </c>
      <c r="I271" s="2">
        <f>INDEX('Main Data'!$A$1:$O$1001,MATCH('Index&amp;Match'!$A271,'Main Data'!$A$1:$A$1001,0),MATCH('Index&amp;Match'!I270,'Main Data'!$A270:$O270,0))</f>
        <v>51</v>
      </c>
      <c r="J271" s="2">
        <f>INDEX('Main Data'!$A$1:$O$1001,MATCH('Index&amp;Match'!$A271,'Main Data'!$A$1:$A$1001,0),MATCH('Index&amp;Match'!J270,'Main Data'!$A270:$O270,0))</f>
        <v>51</v>
      </c>
      <c r="K271" s="11">
        <f>INDEX('Main Data'!$A$1:$O$1001,MATCH('Index&amp;Match'!$A271,'Main Data'!$A$1:$A$1001,0),MATCH('Index&amp;Match'!K270,'Main Data'!$A270:$O270,0))</f>
        <v>41223.79</v>
      </c>
      <c r="L271" s="11">
        <f>INDEX('Main Data'!$A$1:$O$1001,MATCH('Index&amp;Match'!$A271,'Main Data'!$A$1:$A$1001,0),MATCH('Index&amp;Match'!L270,'Main Data'!$A270:$O270,0))</f>
        <v>257.92</v>
      </c>
      <c r="M271" s="11">
        <f>INDEX('Main Data'!$A$1:$O$1001,MATCH('Index&amp;Match'!$A271,'Main Data'!$A$1:$A$1001,0),MATCH('Index&amp;Match'!M270,'Main Data'!$A270:$O270,0))</f>
        <v>65.349999999999994</v>
      </c>
      <c r="N271" s="2" t="str">
        <f>INDEX('Main Data'!$A$1:$O$1001,MATCH('Index&amp;Match'!$A271,'Main Data'!$A$1:$A$1001,0),MATCH('Index&amp;Match'!N270,'Main Data'!$A270:$O270,0))</f>
        <v>Yes</v>
      </c>
      <c r="O271" s="2">
        <f>INDEX('Main Data'!$A$1:$O$1001,MATCH('Index&amp;Match'!$A271,'Main Data'!$A$1:$A$1001,0),MATCH('Index&amp;Match'!O270,'Main Data'!$A270:$O270,0))</f>
        <v>51</v>
      </c>
    </row>
    <row r="272" spans="1:15" x14ac:dyDescent="0.3">
      <c r="A272" s="2" t="s">
        <v>329</v>
      </c>
      <c r="B272" s="1">
        <f>INDEX('Main Data'!$A$1:$O$1001,MATCH('Index&amp;Match'!$A272,'Main Data'!$A$1:$A$1001,0),MATCH('Index&amp;Match'!B271,'Main Data'!$A271:$O271,0))</f>
        <v>45908</v>
      </c>
      <c r="C272" s="2" t="str">
        <f>INDEX('Main Data'!$A$1:$O$1001,MATCH('Index&amp;Match'!$A272,'Main Data'!$A$1:$A$1001,0),MATCH('Index&amp;Match'!C271,'Main Data'!$A271:$O271,0))</f>
        <v>Sam</v>
      </c>
      <c r="D272" s="2" t="str">
        <f>INDEX('Main Data'!$A$1:$O$1001,MATCH('Index&amp;Match'!$A272,'Main Data'!$A$1:$A$1001,0),MATCH('Index&amp;Match'!D271,'Main Data'!$A271:$O271,0))</f>
        <v>BR-007</v>
      </c>
      <c r="E272" s="2" t="str">
        <f>INDEX('Main Data'!$A$1:$O$1001,MATCH('Index&amp;Match'!$A272,'Main Data'!$A$1:$A$1001,0),MATCH('Index&amp;Match'!E271,'Main Data'!$A271:$O271,0))</f>
        <v>East</v>
      </c>
      <c r="F272" s="2" t="str">
        <f>INDEX('Main Data'!$A$1:$O$1001,MATCH('Index&amp;Match'!$A272,'Main Data'!$A$1:$A$1001,0),MATCH('Index&amp;Match'!F271,'Main Data'!$A271:$O271,0))</f>
        <v>Wealth Management</v>
      </c>
      <c r="G272" s="2" t="str">
        <f>INDEX('Main Data'!$A$1:$O$1001,MATCH('Index&amp;Match'!$A272,'Main Data'!$A$1:$A$1001,0),MATCH('Index&amp;Match'!G271,'Main Data'!$A271:$O271,0))</f>
        <v>Website</v>
      </c>
      <c r="H272" s="2" t="str">
        <f>INDEX('Main Data'!$A$1:$O$1001,MATCH('Index&amp;Match'!$A272,'Main Data'!$A$1:$A$1001,0),MATCH('Index&amp;Match'!H271,'Main Data'!$A271:$O271,0))</f>
        <v>High Net Worth</v>
      </c>
      <c r="I272" s="2">
        <f>INDEX('Main Data'!$A$1:$O$1001,MATCH('Index&amp;Match'!$A272,'Main Data'!$A$1:$A$1001,0),MATCH('Index&amp;Match'!I271,'Main Data'!$A271:$O271,0))</f>
        <v>73</v>
      </c>
      <c r="J272" s="2">
        <f>INDEX('Main Data'!$A$1:$O$1001,MATCH('Index&amp;Match'!$A272,'Main Data'!$A$1:$A$1001,0),MATCH('Index&amp;Match'!J271,'Main Data'!$A271:$O271,0))</f>
        <v>73</v>
      </c>
      <c r="K272" s="11">
        <f>INDEX('Main Data'!$A$1:$O$1001,MATCH('Index&amp;Match'!$A272,'Main Data'!$A$1:$A$1001,0),MATCH('Index&amp;Match'!K271,'Main Data'!$A271:$O271,0))</f>
        <v>15913.41</v>
      </c>
      <c r="L272" s="11">
        <f>INDEX('Main Data'!$A$1:$O$1001,MATCH('Index&amp;Match'!$A272,'Main Data'!$A$1:$A$1001,0),MATCH('Index&amp;Match'!L271,'Main Data'!$A271:$O271,0))</f>
        <v>456.36</v>
      </c>
      <c r="M272" s="11">
        <f>INDEX('Main Data'!$A$1:$O$1001,MATCH('Index&amp;Match'!$A272,'Main Data'!$A$1:$A$1001,0),MATCH('Index&amp;Match'!M271,'Main Data'!$A271:$O271,0))</f>
        <v>223.46</v>
      </c>
      <c r="N272" s="2" t="str">
        <f>INDEX('Main Data'!$A$1:$O$1001,MATCH('Index&amp;Match'!$A272,'Main Data'!$A$1:$A$1001,0),MATCH('Index&amp;Match'!N271,'Main Data'!$A271:$O271,0))</f>
        <v>Yes</v>
      </c>
      <c r="O272" s="2">
        <f>INDEX('Main Data'!$A$1:$O$1001,MATCH('Index&amp;Match'!$A272,'Main Data'!$A$1:$A$1001,0),MATCH('Index&amp;Match'!O271,'Main Data'!$A271:$O271,0))</f>
        <v>73</v>
      </c>
    </row>
    <row r="273" spans="1:15" x14ac:dyDescent="0.3">
      <c r="A273" s="2" t="s">
        <v>330</v>
      </c>
      <c r="B273" s="1">
        <f>INDEX('Main Data'!$A$1:$O$1001,MATCH('Index&amp;Match'!$A273,'Main Data'!$A$1:$A$1001,0),MATCH('Index&amp;Match'!B272,'Main Data'!$A272:$O272,0))</f>
        <v>46150</v>
      </c>
      <c r="C273" s="2" t="str">
        <f>INDEX('Main Data'!$A$1:$O$1001,MATCH('Index&amp;Match'!$A273,'Main Data'!$A$1:$A$1001,0),MATCH('Index&amp;Match'!C272,'Main Data'!$A272:$O272,0))</f>
        <v>Drew</v>
      </c>
      <c r="D273" s="2" t="str">
        <f>INDEX('Main Data'!$A$1:$O$1001,MATCH('Index&amp;Match'!$A273,'Main Data'!$A$1:$A$1001,0),MATCH('Index&amp;Match'!D272,'Main Data'!$A272:$O272,0))</f>
        <v>BR-006</v>
      </c>
      <c r="E273" s="2" t="str">
        <f>INDEX('Main Data'!$A$1:$O$1001,MATCH('Index&amp;Match'!$A273,'Main Data'!$A$1:$A$1001,0),MATCH('Index&amp;Match'!E272,'Main Data'!$A272:$O272,0))</f>
        <v>East</v>
      </c>
      <c r="F273" s="2" t="str">
        <f>INDEX('Main Data'!$A$1:$O$1001,MATCH('Index&amp;Match'!$A273,'Main Data'!$A$1:$A$1001,0),MATCH('Index&amp;Match'!F272,'Main Data'!$A272:$O272,0))</f>
        <v>Personal Loan</v>
      </c>
      <c r="G273" s="2" t="str">
        <f>INDEX('Main Data'!$A$1:$O$1001,MATCH('Index&amp;Match'!$A273,'Main Data'!$A$1:$A$1001,0),MATCH('Index&amp;Match'!G272,'Main Data'!$A272:$O272,0))</f>
        <v>Email Campaign</v>
      </c>
      <c r="H273" s="2" t="str">
        <f>INDEX('Main Data'!$A$1:$O$1001,MATCH('Index&amp;Match'!$A273,'Main Data'!$A$1:$A$1001,0),MATCH('Index&amp;Match'!H272,'Main Data'!$A272:$O272,0))</f>
        <v>SME</v>
      </c>
      <c r="I273" s="2">
        <f>INDEX('Main Data'!$A$1:$O$1001,MATCH('Index&amp;Match'!$A273,'Main Data'!$A$1:$A$1001,0),MATCH('Index&amp;Match'!I272,'Main Data'!$A272:$O272,0))</f>
        <v>52</v>
      </c>
      <c r="J273" s="2">
        <f>INDEX('Main Data'!$A$1:$O$1001,MATCH('Index&amp;Match'!$A273,'Main Data'!$A$1:$A$1001,0),MATCH('Index&amp;Match'!J272,'Main Data'!$A272:$O272,0))</f>
        <v>52</v>
      </c>
      <c r="K273" s="11">
        <f>INDEX('Main Data'!$A$1:$O$1001,MATCH('Index&amp;Match'!$A273,'Main Data'!$A$1:$A$1001,0),MATCH('Index&amp;Match'!K272,'Main Data'!$A272:$O272,0))</f>
        <v>20384</v>
      </c>
      <c r="L273" s="11">
        <f>INDEX('Main Data'!$A$1:$O$1001,MATCH('Index&amp;Match'!$A273,'Main Data'!$A$1:$A$1001,0),MATCH('Index&amp;Match'!L272,'Main Data'!$A272:$O272,0))</f>
        <v>72.88</v>
      </c>
      <c r="M273" s="11">
        <f>INDEX('Main Data'!$A$1:$O$1001,MATCH('Index&amp;Match'!$A273,'Main Data'!$A$1:$A$1001,0),MATCH('Index&amp;Match'!M272,'Main Data'!$A272:$O272,0))</f>
        <v>15.93</v>
      </c>
      <c r="N273" s="2" t="str">
        <f>INDEX('Main Data'!$A$1:$O$1001,MATCH('Index&amp;Match'!$A273,'Main Data'!$A$1:$A$1001,0),MATCH('Index&amp;Match'!N272,'Main Data'!$A272:$O272,0))</f>
        <v>Yes</v>
      </c>
      <c r="O273" s="2">
        <f>INDEX('Main Data'!$A$1:$O$1001,MATCH('Index&amp;Match'!$A273,'Main Data'!$A$1:$A$1001,0),MATCH('Index&amp;Match'!O272,'Main Data'!$A272:$O272,0))</f>
        <v>52</v>
      </c>
    </row>
    <row r="274" spans="1:15" x14ac:dyDescent="0.3">
      <c r="A274" s="2" t="s">
        <v>331</v>
      </c>
      <c r="B274" s="1">
        <f>INDEX('Main Data'!$A$1:$O$1001,MATCH('Index&amp;Match'!$A274,'Main Data'!$A$1:$A$1001,0),MATCH('Index&amp;Match'!B273,'Main Data'!$A273:$O273,0))</f>
        <v>45988</v>
      </c>
      <c r="C274" s="2" t="str">
        <f>INDEX('Main Data'!$A$1:$O$1001,MATCH('Index&amp;Match'!$A274,'Main Data'!$A$1:$A$1001,0),MATCH('Index&amp;Match'!C273,'Main Data'!$A273:$O273,0))</f>
        <v>Drew</v>
      </c>
      <c r="D274" s="2" t="str">
        <f>INDEX('Main Data'!$A$1:$O$1001,MATCH('Index&amp;Match'!$A274,'Main Data'!$A$1:$A$1001,0),MATCH('Index&amp;Match'!D273,'Main Data'!$A273:$O273,0))</f>
        <v>BR-010</v>
      </c>
      <c r="E274" s="2" t="str">
        <f>INDEX('Main Data'!$A$1:$O$1001,MATCH('Index&amp;Match'!$A274,'Main Data'!$A$1:$A$1001,0),MATCH('Index&amp;Match'!E273,'Main Data'!$A273:$O273,0))</f>
        <v>North</v>
      </c>
      <c r="F274" s="2" t="str">
        <f>INDEX('Main Data'!$A$1:$O$1001,MATCH('Index&amp;Match'!$A274,'Main Data'!$A$1:$A$1001,0),MATCH('Index&amp;Match'!F273,'Main Data'!$A273:$O273,0))</f>
        <v>Wealth Management</v>
      </c>
      <c r="G274" s="2" t="str">
        <f>INDEX('Main Data'!$A$1:$O$1001,MATCH('Index&amp;Match'!$A274,'Main Data'!$A$1:$A$1001,0),MATCH('Index&amp;Match'!G273,'Main Data'!$A273:$O273,0))</f>
        <v>Walk-in</v>
      </c>
      <c r="H274" s="2" t="str">
        <f>INDEX('Main Data'!$A$1:$O$1001,MATCH('Index&amp;Match'!$A274,'Main Data'!$A$1:$A$1001,0),MATCH('Index&amp;Match'!H273,'Main Data'!$A273:$O273,0))</f>
        <v>SME</v>
      </c>
      <c r="I274" s="2">
        <f>INDEX('Main Data'!$A$1:$O$1001,MATCH('Index&amp;Match'!$A274,'Main Data'!$A$1:$A$1001,0),MATCH('Index&amp;Match'!I273,'Main Data'!$A273:$O273,0))</f>
        <v>22</v>
      </c>
      <c r="J274" s="2">
        <f>INDEX('Main Data'!$A$1:$O$1001,MATCH('Index&amp;Match'!$A274,'Main Data'!$A$1:$A$1001,0),MATCH('Index&amp;Match'!J273,'Main Data'!$A273:$O273,0))</f>
        <v>22</v>
      </c>
      <c r="K274" s="11">
        <f>INDEX('Main Data'!$A$1:$O$1001,MATCH('Index&amp;Match'!$A274,'Main Data'!$A$1:$A$1001,0),MATCH('Index&amp;Match'!K273,'Main Data'!$A273:$O273,0))</f>
        <v>25386.13</v>
      </c>
      <c r="L274" s="11">
        <f>INDEX('Main Data'!$A$1:$O$1001,MATCH('Index&amp;Match'!$A274,'Main Data'!$A$1:$A$1001,0),MATCH('Index&amp;Match'!L273,'Main Data'!$A273:$O273,0))</f>
        <v>438.6</v>
      </c>
      <c r="M274" s="11">
        <f>INDEX('Main Data'!$A$1:$O$1001,MATCH('Index&amp;Match'!$A274,'Main Data'!$A$1:$A$1001,0),MATCH('Index&amp;Match'!M273,'Main Data'!$A273:$O273,0))</f>
        <v>9.7100000000000009</v>
      </c>
      <c r="N274" s="2" t="str">
        <f>INDEX('Main Data'!$A$1:$O$1001,MATCH('Index&amp;Match'!$A274,'Main Data'!$A$1:$A$1001,0),MATCH('Index&amp;Match'!N273,'Main Data'!$A273:$O273,0))</f>
        <v>Yes</v>
      </c>
      <c r="O274" s="2">
        <f>INDEX('Main Data'!$A$1:$O$1001,MATCH('Index&amp;Match'!$A274,'Main Data'!$A$1:$A$1001,0),MATCH('Index&amp;Match'!O273,'Main Data'!$A273:$O273,0))</f>
        <v>22</v>
      </c>
    </row>
    <row r="275" spans="1:15" x14ac:dyDescent="0.3">
      <c r="A275" s="2" t="s">
        <v>332</v>
      </c>
      <c r="B275" s="1">
        <f>INDEX('Main Data'!$A$1:$O$1001,MATCH('Index&amp;Match'!$A275,'Main Data'!$A$1:$A$1001,0),MATCH('Index&amp;Match'!B274,'Main Data'!$A274:$O274,0))</f>
        <v>46041</v>
      </c>
      <c r="C275" s="2" t="str">
        <f>INDEX('Main Data'!$A$1:$O$1001,MATCH('Index&amp;Match'!$A275,'Main Data'!$A$1:$A$1001,0),MATCH('Index&amp;Match'!C274,'Main Data'!$A274:$O274,0))</f>
        <v>Drew</v>
      </c>
      <c r="D275" s="2" t="str">
        <f>INDEX('Main Data'!$A$1:$O$1001,MATCH('Index&amp;Match'!$A275,'Main Data'!$A$1:$A$1001,0),MATCH('Index&amp;Match'!D274,'Main Data'!$A274:$O274,0))</f>
        <v>BR-014</v>
      </c>
      <c r="E275" s="2" t="str">
        <f>INDEX('Main Data'!$A$1:$O$1001,MATCH('Index&amp;Match'!$A275,'Main Data'!$A$1:$A$1001,0),MATCH('Index&amp;Match'!E274,'Main Data'!$A274:$O274,0))</f>
        <v>South</v>
      </c>
      <c r="F275" s="2" t="str">
        <f>INDEX('Main Data'!$A$1:$O$1001,MATCH('Index&amp;Match'!$A275,'Main Data'!$A$1:$A$1001,0),MATCH('Index&amp;Match'!F274,'Main Data'!$A274:$O274,0))</f>
        <v>Personal Loan</v>
      </c>
      <c r="G275" s="2" t="str">
        <f>INDEX('Main Data'!$A$1:$O$1001,MATCH('Index&amp;Match'!$A275,'Main Data'!$A$1:$A$1001,0),MATCH('Index&amp;Match'!G274,'Main Data'!$A274:$O274,0))</f>
        <v>Referral</v>
      </c>
      <c r="H275" s="2" t="str">
        <f>INDEX('Main Data'!$A$1:$O$1001,MATCH('Index&amp;Match'!$A275,'Main Data'!$A$1:$A$1001,0),MATCH('Index&amp;Match'!H274,'Main Data'!$A274:$O274,0))</f>
        <v>Retail</v>
      </c>
      <c r="I275" s="2">
        <f>INDEX('Main Data'!$A$1:$O$1001,MATCH('Index&amp;Match'!$A275,'Main Data'!$A$1:$A$1001,0),MATCH('Index&amp;Match'!I274,'Main Data'!$A274:$O274,0))</f>
        <v>72</v>
      </c>
      <c r="J275" s="2">
        <f>INDEX('Main Data'!$A$1:$O$1001,MATCH('Index&amp;Match'!$A275,'Main Data'!$A$1:$A$1001,0),MATCH('Index&amp;Match'!J274,'Main Data'!$A274:$O274,0))</f>
        <v>72</v>
      </c>
      <c r="K275" s="11">
        <f>INDEX('Main Data'!$A$1:$O$1001,MATCH('Index&amp;Match'!$A275,'Main Data'!$A$1:$A$1001,0),MATCH('Index&amp;Match'!K274,'Main Data'!$A274:$O274,0))</f>
        <v>42052.94</v>
      </c>
      <c r="L275" s="11">
        <f>INDEX('Main Data'!$A$1:$O$1001,MATCH('Index&amp;Match'!$A275,'Main Data'!$A$1:$A$1001,0),MATCH('Index&amp;Match'!L274,'Main Data'!$A274:$O274,0))</f>
        <v>203.43</v>
      </c>
      <c r="M275" s="11">
        <f>INDEX('Main Data'!$A$1:$O$1001,MATCH('Index&amp;Match'!$A275,'Main Data'!$A$1:$A$1001,0),MATCH('Index&amp;Match'!M274,'Main Data'!$A274:$O274,0))</f>
        <v>89.59</v>
      </c>
      <c r="N275" s="2" t="str">
        <f>INDEX('Main Data'!$A$1:$O$1001,MATCH('Index&amp;Match'!$A275,'Main Data'!$A$1:$A$1001,0),MATCH('Index&amp;Match'!N274,'Main Data'!$A274:$O274,0))</f>
        <v>Yes</v>
      </c>
      <c r="O275" s="2">
        <f>INDEX('Main Data'!$A$1:$O$1001,MATCH('Index&amp;Match'!$A275,'Main Data'!$A$1:$A$1001,0),MATCH('Index&amp;Match'!O274,'Main Data'!$A274:$O274,0))</f>
        <v>72</v>
      </c>
    </row>
    <row r="276" spans="1:15" x14ac:dyDescent="0.3">
      <c r="A276" s="2" t="s">
        <v>333</v>
      </c>
      <c r="B276" s="1">
        <f>INDEX('Main Data'!$A$1:$O$1001,MATCH('Index&amp;Match'!$A276,'Main Data'!$A$1:$A$1001,0),MATCH('Index&amp;Match'!B275,'Main Data'!$A275:$O275,0))</f>
        <v>46108</v>
      </c>
      <c r="C276" s="2" t="str">
        <f>INDEX('Main Data'!$A$1:$O$1001,MATCH('Index&amp;Match'!$A276,'Main Data'!$A$1:$A$1001,0),MATCH('Index&amp;Match'!C275,'Main Data'!$A275:$O275,0))</f>
        <v>Alex</v>
      </c>
      <c r="D276" s="2" t="str">
        <f>INDEX('Main Data'!$A$1:$O$1001,MATCH('Index&amp;Match'!$A276,'Main Data'!$A$1:$A$1001,0),MATCH('Index&amp;Match'!D275,'Main Data'!$A275:$O275,0))</f>
        <v>BR-012</v>
      </c>
      <c r="E276" s="2" t="str">
        <f>INDEX('Main Data'!$A$1:$O$1001,MATCH('Index&amp;Match'!$A276,'Main Data'!$A$1:$A$1001,0),MATCH('Index&amp;Match'!E275,'Main Data'!$A275:$O275,0))</f>
        <v>West</v>
      </c>
      <c r="F276" s="2" t="str">
        <f>INDEX('Main Data'!$A$1:$O$1001,MATCH('Index&amp;Match'!$A276,'Main Data'!$A$1:$A$1001,0),MATCH('Index&amp;Match'!F275,'Main Data'!$A275:$O275,0))</f>
        <v>Wealth Management</v>
      </c>
      <c r="G276" s="2" t="str">
        <f>INDEX('Main Data'!$A$1:$O$1001,MATCH('Index&amp;Match'!$A276,'Main Data'!$A$1:$A$1001,0),MATCH('Index&amp;Match'!G275,'Main Data'!$A275:$O275,0))</f>
        <v>Walk-in</v>
      </c>
      <c r="H276" s="2" t="str">
        <f>INDEX('Main Data'!$A$1:$O$1001,MATCH('Index&amp;Match'!$A276,'Main Data'!$A$1:$A$1001,0),MATCH('Index&amp;Match'!H275,'Main Data'!$A275:$O275,0))</f>
        <v>Corporate</v>
      </c>
      <c r="I276" s="2">
        <f>INDEX('Main Data'!$A$1:$O$1001,MATCH('Index&amp;Match'!$A276,'Main Data'!$A$1:$A$1001,0),MATCH('Index&amp;Match'!I275,'Main Data'!$A275:$O275,0))</f>
        <v>30</v>
      </c>
      <c r="J276" s="2">
        <f>INDEX('Main Data'!$A$1:$O$1001,MATCH('Index&amp;Match'!$A276,'Main Data'!$A$1:$A$1001,0),MATCH('Index&amp;Match'!J275,'Main Data'!$A275:$O275,0))</f>
        <v>30</v>
      </c>
      <c r="K276" s="11">
        <f>INDEX('Main Data'!$A$1:$O$1001,MATCH('Index&amp;Match'!$A276,'Main Data'!$A$1:$A$1001,0),MATCH('Index&amp;Match'!K275,'Main Data'!$A275:$O275,0))</f>
        <v>32716.240000000002</v>
      </c>
      <c r="L276" s="11">
        <f>INDEX('Main Data'!$A$1:$O$1001,MATCH('Index&amp;Match'!$A276,'Main Data'!$A$1:$A$1001,0),MATCH('Index&amp;Match'!L275,'Main Data'!$A275:$O275,0))</f>
        <v>454.78</v>
      </c>
      <c r="M276" s="11">
        <f>INDEX('Main Data'!$A$1:$O$1001,MATCH('Index&amp;Match'!$A276,'Main Data'!$A$1:$A$1001,0),MATCH('Index&amp;Match'!M275,'Main Data'!$A275:$O275,0))</f>
        <v>89.13</v>
      </c>
      <c r="N276" s="2" t="str">
        <f>INDEX('Main Data'!$A$1:$O$1001,MATCH('Index&amp;Match'!$A276,'Main Data'!$A$1:$A$1001,0),MATCH('Index&amp;Match'!N275,'Main Data'!$A275:$O275,0))</f>
        <v>No</v>
      </c>
      <c r="O276" s="2">
        <f>INDEX('Main Data'!$A$1:$O$1001,MATCH('Index&amp;Match'!$A276,'Main Data'!$A$1:$A$1001,0),MATCH('Index&amp;Match'!O275,'Main Data'!$A275:$O275,0))</f>
        <v>30</v>
      </c>
    </row>
    <row r="277" spans="1:15" x14ac:dyDescent="0.3">
      <c r="A277" s="2" t="s">
        <v>334</v>
      </c>
      <c r="B277" s="1">
        <f>INDEX('Main Data'!$A$1:$O$1001,MATCH('Index&amp;Match'!$A277,'Main Data'!$A$1:$A$1001,0),MATCH('Index&amp;Match'!B276,'Main Data'!$A276:$O276,0))</f>
        <v>46128</v>
      </c>
      <c r="C277" s="2" t="str">
        <f>INDEX('Main Data'!$A$1:$O$1001,MATCH('Index&amp;Match'!$A277,'Main Data'!$A$1:$A$1001,0),MATCH('Index&amp;Match'!C276,'Main Data'!$A276:$O276,0))</f>
        <v>Morgan</v>
      </c>
      <c r="D277" s="2" t="str">
        <f>INDEX('Main Data'!$A$1:$O$1001,MATCH('Index&amp;Match'!$A277,'Main Data'!$A$1:$A$1001,0),MATCH('Index&amp;Match'!D276,'Main Data'!$A276:$O276,0))</f>
        <v>BR-009</v>
      </c>
      <c r="E277" s="2" t="str">
        <f>INDEX('Main Data'!$A$1:$O$1001,MATCH('Index&amp;Match'!$A277,'Main Data'!$A$1:$A$1001,0),MATCH('Index&amp;Match'!E276,'Main Data'!$A276:$O276,0))</f>
        <v>South</v>
      </c>
      <c r="F277" s="2" t="str">
        <f>INDEX('Main Data'!$A$1:$O$1001,MATCH('Index&amp;Match'!$A277,'Main Data'!$A$1:$A$1001,0),MATCH('Index&amp;Match'!F276,'Main Data'!$A276:$O276,0))</f>
        <v>Mortgage</v>
      </c>
      <c r="G277" s="2" t="str">
        <f>INDEX('Main Data'!$A$1:$O$1001,MATCH('Index&amp;Match'!$A277,'Main Data'!$A$1:$A$1001,0),MATCH('Index&amp;Match'!G276,'Main Data'!$A276:$O276,0))</f>
        <v>Referral</v>
      </c>
      <c r="H277" s="2" t="str">
        <f>INDEX('Main Data'!$A$1:$O$1001,MATCH('Index&amp;Match'!$A277,'Main Data'!$A$1:$A$1001,0),MATCH('Index&amp;Match'!H276,'Main Data'!$A276:$O276,0))</f>
        <v>SME</v>
      </c>
      <c r="I277" s="2">
        <f>INDEX('Main Data'!$A$1:$O$1001,MATCH('Index&amp;Match'!$A277,'Main Data'!$A$1:$A$1001,0),MATCH('Index&amp;Match'!I276,'Main Data'!$A276:$O276,0))</f>
        <v>22</v>
      </c>
      <c r="J277" s="2">
        <f>INDEX('Main Data'!$A$1:$O$1001,MATCH('Index&amp;Match'!$A277,'Main Data'!$A$1:$A$1001,0),MATCH('Index&amp;Match'!J276,'Main Data'!$A276:$O276,0))</f>
        <v>22</v>
      </c>
      <c r="K277" s="11">
        <f>INDEX('Main Data'!$A$1:$O$1001,MATCH('Index&amp;Match'!$A277,'Main Data'!$A$1:$A$1001,0),MATCH('Index&amp;Match'!K276,'Main Data'!$A276:$O276,0))</f>
        <v>30945.7</v>
      </c>
      <c r="L277" s="11">
        <f>INDEX('Main Data'!$A$1:$O$1001,MATCH('Index&amp;Match'!$A277,'Main Data'!$A$1:$A$1001,0),MATCH('Index&amp;Match'!L276,'Main Data'!$A276:$O276,0))</f>
        <v>473.4</v>
      </c>
      <c r="M277" s="11">
        <f>INDEX('Main Data'!$A$1:$O$1001,MATCH('Index&amp;Match'!$A277,'Main Data'!$A$1:$A$1001,0),MATCH('Index&amp;Match'!M276,'Main Data'!$A276:$O276,0))</f>
        <v>179.13</v>
      </c>
      <c r="N277" s="2" t="str">
        <f>INDEX('Main Data'!$A$1:$O$1001,MATCH('Index&amp;Match'!$A277,'Main Data'!$A$1:$A$1001,0),MATCH('Index&amp;Match'!N276,'Main Data'!$A276:$O276,0))</f>
        <v>Yes</v>
      </c>
      <c r="O277" s="2">
        <f>INDEX('Main Data'!$A$1:$O$1001,MATCH('Index&amp;Match'!$A277,'Main Data'!$A$1:$A$1001,0),MATCH('Index&amp;Match'!O276,'Main Data'!$A276:$O276,0))</f>
        <v>22</v>
      </c>
    </row>
    <row r="278" spans="1:15" x14ac:dyDescent="0.3">
      <c r="A278" s="2" t="s">
        <v>335</v>
      </c>
      <c r="B278" s="1">
        <f>INDEX('Main Data'!$A$1:$O$1001,MATCH('Index&amp;Match'!$A278,'Main Data'!$A$1:$A$1001,0),MATCH('Index&amp;Match'!B277,'Main Data'!$A277:$O277,0))</f>
        <v>46111</v>
      </c>
      <c r="C278" s="2" t="str">
        <f>INDEX('Main Data'!$A$1:$O$1001,MATCH('Index&amp;Match'!$A278,'Main Data'!$A$1:$A$1001,0),MATCH('Index&amp;Match'!C277,'Main Data'!$A277:$O277,0))</f>
        <v>Alex</v>
      </c>
      <c r="D278" s="2" t="str">
        <f>INDEX('Main Data'!$A$1:$O$1001,MATCH('Index&amp;Match'!$A278,'Main Data'!$A$1:$A$1001,0),MATCH('Index&amp;Match'!D277,'Main Data'!$A277:$O277,0))</f>
        <v>BR-001</v>
      </c>
      <c r="E278" s="2" t="str">
        <f>INDEX('Main Data'!$A$1:$O$1001,MATCH('Index&amp;Match'!$A278,'Main Data'!$A$1:$A$1001,0),MATCH('Index&amp;Match'!E277,'Main Data'!$A277:$O277,0))</f>
        <v>Central</v>
      </c>
      <c r="F278" s="2" t="str">
        <f>INDEX('Main Data'!$A$1:$O$1001,MATCH('Index&amp;Match'!$A278,'Main Data'!$A$1:$A$1001,0),MATCH('Index&amp;Match'!F277,'Main Data'!$A277:$O277,0))</f>
        <v>Personal Loan</v>
      </c>
      <c r="G278" s="2" t="str">
        <f>INDEX('Main Data'!$A$1:$O$1001,MATCH('Index&amp;Match'!$A278,'Main Data'!$A$1:$A$1001,0),MATCH('Index&amp;Match'!G277,'Main Data'!$A277:$O277,0))</f>
        <v>Email Campaign</v>
      </c>
      <c r="H278" s="2" t="str">
        <f>INDEX('Main Data'!$A$1:$O$1001,MATCH('Index&amp;Match'!$A278,'Main Data'!$A$1:$A$1001,0),MATCH('Index&amp;Match'!H277,'Main Data'!$A277:$O277,0))</f>
        <v>Corporate</v>
      </c>
      <c r="I278" s="2">
        <f>INDEX('Main Data'!$A$1:$O$1001,MATCH('Index&amp;Match'!$A278,'Main Data'!$A$1:$A$1001,0),MATCH('Index&amp;Match'!I277,'Main Data'!$A277:$O277,0))</f>
        <v>22</v>
      </c>
      <c r="J278" s="2">
        <f>INDEX('Main Data'!$A$1:$O$1001,MATCH('Index&amp;Match'!$A278,'Main Data'!$A$1:$A$1001,0),MATCH('Index&amp;Match'!J277,'Main Data'!$A277:$O277,0))</f>
        <v>22</v>
      </c>
      <c r="K278" s="11">
        <f>INDEX('Main Data'!$A$1:$O$1001,MATCH('Index&amp;Match'!$A278,'Main Data'!$A$1:$A$1001,0),MATCH('Index&amp;Match'!K277,'Main Data'!$A277:$O277,0))</f>
        <v>9195.77</v>
      </c>
      <c r="L278" s="11">
        <f>INDEX('Main Data'!$A$1:$O$1001,MATCH('Index&amp;Match'!$A278,'Main Data'!$A$1:$A$1001,0),MATCH('Index&amp;Match'!L277,'Main Data'!$A277:$O277,0))</f>
        <v>351.89</v>
      </c>
      <c r="M278" s="11">
        <f>INDEX('Main Data'!$A$1:$O$1001,MATCH('Index&amp;Match'!$A278,'Main Data'!$A$1:$A$1001,0),MATCH('Index&amp;Match'!M277,'Main Data'!$A277:$O277,0))</f>
        <v>25.23</v>
      </c>
      <c r="N278" s="2" t="str">
        <f>INDEX('Main Data'!$A$1:$O$1001,MATCH('Index&amp;Match'!$A278,'Main Data'!$A$1:$A$1001,0),MATCH('Index&amp;Match'!N277,'Main Data'!$A277:$O277,0))</f>
        <v>No</v>
      </c>
      <c r="O278" s="2">
        <f>INDEX('Main Data'!$A$1:$O$1001,MATCH('Index&amp;Match'!$A278,'Main Data'!$A$1:$A$1001,0),MATCH('Index&amp;Match'!O277,'Main Data'!$A277:$O277,0))</f>
        <v>22</v>
      </c>
    </row>
    <row r="279" spans="1:15" x14ac:dyDescent="0.3">
      <c r="A279" s="2" t="s">
        <v>336</v>
      </c>
      <c r="B279" s="1">
        <f>INDEX('Main Data'!$A$1:$O$1001,MATCH('Index&amp;Match'!$A279,'Main Data'!$A$1:$A$1001,0),MATCH('Index&amp;Match'!B278,'Main Data'!$A278:$O278,0))</f>
        <v>45922</v>
      </c>
      <c r="C279" s="2" t="str">
        <f>INDEX('Main Data'!$A$1:$O$1001,MATCH('Index&amp;Match'!$A279,'Main Data'!$A$1:$A$1001,0),MATCH('Index&amp;Match'!C278,'Main Data'!$A278:$O278,0))</f>
        <v>Sam</v>
      </c>
      <c r="D279" s="2" t="str">
        <f>INDEX('Main Data'!$A$1:$O$1001,MATCH('Index&amp;Match'!$A279,'Main Data'!$A$1:$A$1001,0),MATCH('Index&amp;Match'!D278,'Main Data'!$A278:$O278,0))</f>
        <v>BR-013</v>
      </c>
      <c r="E279" s="2" t="str">
        <f>INDEX('Main Data'!$A$1:$O$1001,MATCH('Index&amp;Match'!$A279,'Main Data'!$A$1:$A$1001,0),MATCH('Index&amp;Match'!E278,'Main Data'!$A278:$O278,0))</f>
        <v>East</v>
      </c>
      <c r="F279" s="2" t="str">
        <f>INDEX('Main Data'!$A$1:$O$1001,MATCH('Index&amp;Match'!$A279,'Main Data'!$A$1:$A$1001,0),MATCH('Index&amp;Match'!F278,'Main Data'!$A278:$O278,0))</f>
        <v>Wealth Management</v>
      </c>
      <c r="G279" s="2" t="str">
        <f>INDEX('Main Data'!$A$1:$O$1001,MATCH('Index&amp;Match'!$A279,'Main Data'!$A$1:$A$1001,0),MATCH('Index&amp;Match'!G278,'Main Data'!$A278:$O278,0))</f>
        <v>Website</v>
      </c>
      <c r="H279" s="2" t="str">
        <f>INDEX('Main Data'!$A$1:$O$1001,MATCH('Index&amp;Match'!$A279,'Main Data'!$A$1:$A$1001,0),MATCH('Index&amp;Match'!H278,'Main Data'!$A278:$O278,0))</f>
        <v>SME</v>
      </c>
      <c r="I279" s="2">
        <f>INDEX('Main Data'!$A$1:$O$1001,MATCH('Index&amp;Match'!$A279,'Main Data'!$A$1:$A$1001,0),MATCH('Index&amp;Match'!I278,'Main Data'!$A278:$O278,0))</f>
        <v>44</v>
      </c>
      <c r="J279" s="2">
        <f>INDEX('Main Data'!$A$1:$O$1001,MATCH('Index&amp;Match'!$A279,'Main Data'!$A$1:$A$1001,0),MATCH('Index&amp;Match'!J278,'Main Data'!$A278:$O278,0))</f>
        <v>44</v>
      </c>
      <c r="K279" s="11">
        <f>INDEX('Main Data'!$A$1:$O$1001,MATCH('Index&amp;Match'!$A279,'Main Data'!$A$1:$A$1001,0),MATCH('Index&amp;Match'!K278,'Main Data'!$A278:$O278,0))</f>
        <v>25902.9</v>
      </c>
      <c r="L279" s="11">
        <f>INDEX('Main Data'!$A$1:$O$1001,MATCH('Index&amp;Match'!$A279,'Main Data'!$A$1:$A$1001,0),MATCH('Index&amp;Match'!L278,'Main Data'!$A278:$O278,0))</f>
        <v>348.99</v>
      </c>
      <c r="M279" s="11">
        <f>INDEX('Main Data'!$A$1:$O$1001,MATCH('Index&amp;Match'!$A279,'Main Data'!$A$1:$A$1001,0),MATCH('Index&amp;Match'!M278,'Main Data'!$A278:$O278,0))</f>
        <v>24.66</v>
      </c>
      <c r="N279" s="2" t="str">
        <f>INDEX('Main Data'!$A$1:$O$1001,MATCH('Index&amp;Match'!$A279,'Main Data'!$A$1:$A$1001,0),MATCH('Index&amp;Match'!N278,'Main Data'!$A278:$O278,0))</f>
        <v>Yes</v>
      </c>
      <c r="O279" s="2">
        <f>INDEX('Main Data'!$A$1:$O$1001,MATCH('Index&amp;Match'!$A279,'Main Data'!$A$1:$A$1001,0),MATCH('Index&amp;Match'!O278,'Main Data'!$A278:$O278,0))</f>
        <v>44</v>
      </c>
    </row>
    <row r="280" spans="1:15" x14ac:dyDescent="0.3">
      <c r="A280" s="2" t="s">
        <v>337</v>
      </c>
      <c r="B280" s="1">
        <f>INDEX('Main Data'!$A$1:$O$1001,MATCH('Index&amp;Match'!$A280,'Main Data'!$A$1:$A$1001,0),MATCH('Index&amp;Match'!B279,'Main Data'!$A279:$O279,0))</f>
        <v>46019</v>
      </c>
      <c r="C280" s="2" t="str">
        <f>INDEX('Main Data'!$A$1:$O$1001,MATCH('Index&amp;Match'!$A280,'Main Data'!$A$1:$A$1001,0),MATCH('Index&amp;Match'!C279,'Main Data'!$A279:$O279,0))</f>
        <v>Alex</v>
      </c>
      <c r="D280" s="2" t="str">
        <f>INDEX('Main Data'!$A$1:$O$1001,MATCH('Index&amp;Match'!$A280,'Main Data'!$A$1:$A$1001,0),MATCH('Index&amp;Match'!D279,'Main Data'!$A279:$O279,0))</f>
        <v>BR-004</v>
      </c>
      <c r="E280" s="2" t="str">
        <f>INDEX('Main Data'!$A$1:$O$1001,MATCH('Index&amp;Match'!$A280,'Main Data'!$A$1:$A$1001,0),MATCH('Index&amp;Match'!E279,'Main Data'!$A279:$O279,0))</f>
        <v>North</v>
      </c>
      <c r="F280" s="2" t="str">
        <f>INDEX('Main Data'!$A$1:$O$1001,MATCH('Index&amp;Match'!$A280,'Main Data'!$A$1:$A$1001,0),MATCH('Index&amp;Match'!F279,'Main Data'!$A279:$O279,0))</f>
        <v>Credit Card</v>
      </c>
      <c r="G280" s="2" t="str">
        <f>INDEX('Main Data'!$A$1:$O$1001,MATCH('Index&amp;Match'!$A280,'Main Data'!$A$1:$A$1001,0),MATCH('Index&amp;Match'!G279,'Main Data'!$A279:$O279,0))</f>
        <v>Social Media</v>
      </c>
      <c r="H280" s="2" t="str">
        <f>INDEX('Main Data'!$A$1:$O$1001,MATCH('Index&amp;Match'!$A280,'Main Data'!$A$1:$A$1001,0),MATCH('Index&amp;Match'!H279,'Main Data'!$A279:$O279,0))</f>
        <v>SME</v>
      </c>
      <c r="I280" s="2">
        <f>INDEX('Main Data'!$A$1:$O$1001,MATCH('Index&amp;Match'!$A280,'Main Data'!$A$1:$A$1001,0),MATCH('Index&amp;Match'!I279,'Main Data'!$A279:$O279,0))</f>
        <v>37</v>
      </c>
      <c r="J280" s="2">
        <f>INDEX('Main Data'!$A$1:$O$1001,MATCH('Index&amp;Match'!$A280,'Main Data'!$A$1:$A$1001,0),MATCH('Index&amp;Match'!J279,'Main Data'!$A279:$O279,0))</f>
        <v>37</v>
      </c>
      <c r="K280" s="11">
        <f>INDEX('Main Data'!$A$1:$O$1001,MATCH('Index&amp;Match'!$A280,'Main Data'!$A$1:$A$1001,0),MATCH('Index&amp;Match'!K279,'Main Data'!$A279:$O279,0))</f>
        <v>35911.360000000001</v>
      </c>
      <c r="L280" s="11">
        <f>INDEX('Main Data'!$A$1:$O$1001,MATCH('Index&amp;Match'!$A280,'Main Data'!$A$1:$A$1001,0),MATCH('Index&amp;Match'!L279,'Main Data'!$A279:$O279,0))</f>
        <v>253.74</v>
      </c>
      <c r="M280" s="11">
        <f>INDEX('Main Data'!$A$1:$O$1001,MATCH('Index&amp;Match'!$A280,'Main Data'!$A$1:$A$1001,0),MATCH('Index&amp;Match'!M279,'Main Data'!$A279:$O279,0))</f>
        <v>29.49</v>
      </c>
      <c r="N280" s="2" t="str">
        <f>INDEX('Main Data'!$A$1:$O$1001,MATCH('Index&amp;Match'!$A280,'Main Data'!$A$1:$A$1001,0),MATCH('Index&amp;Match'!N279,'Main Data'!$A279:$O279,0))</f>
        <v>Yes</v>
      </c>
      <c r="O280" s="2">
        <f>INDEX('Main Data'!$A$1:$O$1001,MATCH('Index&amp;Match'!$A280,'Main Data'!$A$1:$A$1001,0),MATCH('Index&amp;Match'!O279,'Main Data'!$A279:$O279,0))</f>
        <v>37</v>
      </c>
    </row>
    <row r="281" spans="1:15" x14ac:dyDescent="0.3">
      <c r="A281" s="2" t="s">
        <v>338</v>
      </c>
      <c r="B281" s="1">
        <f>INDEX('Main Data'!$A$1:$O$1001,MATCH('Index&amp;Match'!$A281,'Main Data'!$A$1:$A$1001,0),MATCH('Index&amp;Match'!B280,'Main Data'!$A280:$O280,0))</f>
        <v>45938</v>
      </c>
      <c r="C281" s="2" t="str">
        <f>INDEX('Main Data'!$A$1:$O$1001,MATCH('Index&amp;Match'!$A281,'Main Data'!$A$1:$A$1001,0),MATCH('Index&amp;Match'!C280,'Main Data'!$A280:$O280,0))</f>
        <v>Jordan</v>
      </c>
      <c r="D281" s="2" t="str">
        <f>INDEX('Main Data'!$A$1:$O$1001,MATCH('Index&amp;Match'!$A281,'Main Data'!$A$1:$A$1001,0),MATCH('Index&amp;Match'!D280,'Main Data'!$A280:$O280,0))</f>
        <v>BR-009</v>
      </c>
      <c r="E281" s="2" t="str">
        <f>INDEX('Main Data'!$A$1:$O$1001,MATCH('Index&amp;Match'!$A281,'Main Data'!$A$1:$A$1001,0),MATCH('Index&amp;Match'!E280,'Main Data'!$A280:$O280,0))</f>
        <v>North</v>
      </c>
      <c r="F281" s="2" t="str">
        <f>INDEX('Main Data'!$A$1:$O$1001,MATCH('Index&amp;Match'!$A281,'Main Data'!$A$1:$A$1001,0),MATCH('Index&amp;Match'!F280,'Main Data'!$A280:$O280,0))</f>
        <v>Mortgage</v>
      </c>
      <c r="G281" s="2" t="str">
        <f>INDEX('Main Data'!$A$1:$O$1001,MATCH('Index&amp;Match'!$A281,'Main Data'!$A$1:$A$1001,0),MATCH('Index&amp;Match'!G280,'Main Data'!$A280:$O280,0))</f>
        <v>Email Campaign</v>
      </c>
      <c r="H281" s="2" t="str">
        <f>INDEX('Main Data'!$A$1:$O$1001,MATCH('Index&amp;Match'!$A281,'Main Data'!$A$1:$A$1001,0),MATCH('Index&amp;Match'!H280,'Main Data'!$A280:$O280,0))</f>
        <v>Corporate</v>
      </c>
      <c r="I281" s="2">
        <f>INDEX('Main Data'!$A$1:$O$1001,MATCH('Index&amp;Match'!$A281,'Main Data'!$A$1:$A$1001,0),MATCH('Index&amp;Match'!I280,'Main Data'!$A280:$O280,0))</f>
        <v>52</v>
      </c>
      <c r="J281" s="2">
        <f>INDEX('Main Data'!$A$1:$O$1001,MATCH('Index&amp;Match'!$A281,'Main Data'!$A$1:$A$1001,0),MATCH('Index&amp;Match'!J280,'Main Data'!$A280:$O280,0))</f>
        <v>52</v>
      </c>
      <c r="K281" s="11">
        <f>INDEX('Main Data'!$A$1:$O$1001,MATCH('Index&amp;Match'!$A281,'Main Data'!$A$1:$A$1001,0),MATCH('Index&amp;Match'!K280,'Main Data'!$A280:$O280,0))</f>
        <v>48676.41</v>
      </c>
      <c r="L281" s="11">
        <f>INDEX('Main Data'!$A$1:$O$1001,MATCH('Index&amp;Match'!$A281,'Main Data'!$A$1:$A$1001,0),MATCH('Index&amp;Match'!L280,'Main Data'!$A280:$O280,0))</f>
        <v>425.99</v>
      </c>
      <c r="M281" s="11">
        <f>INDEX('Main Data'!$A$1:$O$1001,MATCH('Index&amp;Match'!$A281,'Main Data'!$A$1:$A$1001,0),MATCH('Index&amp;Match'!M280,'Main Data'!$A280:$O280,0))</f>
        <v>5.95</v>
      </c>
      <c r="N281" s="2" t="str">
        <f>INDEX('Main Data'!$A$1:$O$1001,MATCH('Index&amp;Match'!$A281,'Main Data'!$A$1:$A$1001,0),MATCH('Index&amp;Match'!N280,'Main Data'!$A280:$O280,0))</f>
        <v>No</v>
      </c>
      <c r="O281" s="2">
        <f>INDEX('Main Data'!$A$1:$O$1001,MATCH('Index&amp;Match'!$A281,'Main Data'!$A$1:$A$1001,0),MATCH('Index&amp;Match'!O280,'Main Data'!$A280:$O280,0))</f>
        <v>52</v>
      </c>
    </row>
    <row r="282" spans="1:15" x14ac:dyDescent="0.3">
      <c r="A282" s="2" t="s">
        <v>339</v>
      </c>
      <c r="B282" s="1">
        <f>INDEX('Main Data'!$A$1:$O$1001,MATCH('Index&amp;Match'!$A282,'Main Data'!$A$1:$A$1001,0),MATCH('Index&amp;Match'!B281,'Main Data'!$A281:$O281,0))</f>
        <v>45949</v>
      </c>
      <c r="C282" s="2" t="str">
        <f>INDEX('Main Data'!$A$1:$O$1001,MATCH('Index&amp;Match'!$A282,'Main Data'!$A$1:$A$1001,0),MATCH('Index&amp;Match'!C281,'Main Data'!$A281:$O281,0))</f>
        <v>Morgan</v>
      </c>
      <c r="D282" s="2" t="str">
        <f>INDEX('Main Data'!$A$1:$O$1001,MATCH('Index&amp;Match'!$A282,'Main Data'!$A$1:$A$1001,0),MATCH('Index&amp;Match'!D281,'Main Data'!$A281:$O281,0))</f>
        <v>BR-004</v>
      </c>
      <c r="E282" s="2" t="str">
        <f>INDEX('Main Data'!$A$1:$O$1001,MATCH('Index&amp;Match'!$A282,'Main Data'!$A$1:$A$1001,0),MATCH('Index&amp;Match'!E281,'Main Data'!$A281:$O281,0))</f>
        <v>West</v>
      </c>
      <c r="F282" s="2" t="str">
        <f>INDEX('Main Data'!$A$1:$O$1001,MATCH('Index&amp;Match'!$A282,'Main Data'!$A$1:$A$1001,0),MATCH('Index&amp;Match'!F281,'Main Data'!$A281:$O281,0))</f>
        <v>Mortgage</v>
      </c>
      <c r="G282" s="2" t="str">
        <f>INDEX('Main Data'!$A$1:$O$1001,MATCH('Index&amp;Match'!$A282,'Main Data'!$A$1:$A$1001,0),MATCH('Index&amp;Match'!G281,'Main Data'!$A281:$O281,0))</f>
        <v>Walk-in</v>
      </c>
      <c r="H282" s="2" t="str">
        <f>INDEX('Main Data'!$A$1:$O$1001,MATCH('Index&amp;Match'!$A282,'Main Data'!$A$1:$A$1001,0),MATCH('Index&amp;Match'!H281,'Main Data'!$A281:$O281,0))</f>
        <v>High Net Worth</v>
      </c>
      <c r="I282" s="2">
        <f>INDEX('Main Data'!$A$1:$O$1001,MATCH('Index&amp;Match'!$A282,'Main Data'!$A$1:$A$1001,0),MATCH('Index&amp;Match'!I281,'Main Data'!$A281:$O281,0))</f>
        <v>36</v>
      </c>
      <c r="J282" s="2">
        <f>INDEX('Main Data'!$A$1:$O$1001,MATCH('Index&amp;Match'!$A282,'Main Data'!$A$1:$A$1001,0),MATCH('Index&amp;Match'!J281,'Main Data'!$A281:$O281,0))</f>
        <v>36</v>
      </c>
      <c r="K282" s="11">
        <f>INDEX('Main Data'!$A$1:$O$1001,MATCH('Index&amp;Match'!$A282,'Main Data'!$A$1:$A$1001,0),MATCH('Index&amp;Match'!K281,'Main Data'!$A281:$O281,0))</f>
        <v>10469.61</v>
      </c>
      <c r="L282" s="11">
        <f>INDEX('Main Data'!$A$1:$O$1001,MATCH('Index&amp;Match'!$A282,'Main Data'!$A$1:$A$1001,0),MATCH('Index&amp;Match'!L281,'Main Data'!$A281:$O281,0))</f>
        <v>482.73</v>
      </c>
      <c r="M282" s="11">
        <f>INDEX('Main Data'!$A$1:$O$1001,MATCH('Index&amp;Match'!$A282,'Main Data'!$A$1:$A$1001,0),MATCH('Index&amp;Match'!M281,'Main Data'!$A281:$O281,0))</f>
        <v>21.52</v>
      </c>
      <c r="N282" s="2" t="str">
        <f>INDEX('Main Data'!$A$1:$O$1001,MATCH('Index&amp;Match'!$A282,'Main Data'!$A$1:$A$1001,0),MATCH('Index&amp;Match'!N281,'Main Data'!$A281:$O281,0))</f>
        <v>Yes</v>
      </c>
      <c r="O282" s="2">
        <f>INDEX('Main Data'!$A$1:$O$1001,MATCH('Index&amp;Match'!$A282,'Main Data'!$A$1:$A$1001,0),MATCH('Index&amp;Match'!O281,'Main Data'!$A281:$O281,0))</f>
        <v>36</v>
      </c>
    </row>
    <row r="283" spans="1:15" x14ac:dyDescent="0.3">
      <c r="A283" s="2" t="s">
        <v>340</v>
      </c>
      <c r="B283" s="1">
        <f>INDEX('Main Data'!$A$1:$O$1001,MATCH('Index&amp;Match'!$A283,'Main Data'!$A$1:$A$1001,0),MATCH('Index&amp;Match'!B282,'Main Data'!$A282:$O282,0))</f>
        <v>45932</v>
      </c>
      <c r="C283" s="2" t="str">
        <f>INDEX('Main Data'!$A$1:$O$1001,MATCH('Index&amp;Match'!$A283,'Main Data'!$A$1:$A$1001,0),MATCH('Index&amp;Match'!C282,'Main Data'!$A282:$O282,0))</f>
        <v>Morgan</v>
      </c>
      <c r="D283" s="2" t="str">
        <f>INDEX('Main Data'!$A$1:$O$1001,MATCH('Index&amp;Match'!$A283,'Main Data'!$A$1:$A$1001,0),MATCH('Index&amp;Match'!D282,'Main Data'!$A282:$O282,0))</f>
        <v>BR-010</v>
      </c>
      <c r="E283" s="2" t="str">
        <f>INDEX('Main Data'!$A$1:$O$1001,MATCH('Index&amp;Match'!$A283,'Main Data'!$A$1:$A$1001,0),MATCH('Index&amp;Match'!E282,'Main Data'!$A282:$O282,0))</f>
        <v>South</v>
      </c>
      <c r="F283" s="2" t="str">
        <f>INDEX('Main Data'!$A$1:$O$1001,MATCH('Index&amp;Match'!$A283,'Main Data'!$A$1:$A$1001,0),MATCH('Index&amp;Match'!F282,'Main Data'!$A282:$O282,0))</f>
        <v>Credit Card</v>
      </c>
      <c r="G283" s="2" t="str">
        <f>INDEX('Main Data'!$A$1:$O$1001,MATCH('Index&amp;Match'!$A283,'Main Data'!$A$1:$A$1001,0),MATCH('Index&amp;Match'!G282,'Main Data'!$A282:$O282,0))</f>
        <v>Social Media</v>
      </c>
      <c r="H283" s="2" t="str">
        <f>INDEX('Main Data'!$A$1:$O$1001,MATCH('Index&amp;Match'!$A283,'Main Data'!$A$1:$A$1001,0),MATCH('Index&amp;Match'!H282,'Main Data'!$A282:$O282,0))</f>
        <v>SME</v>
      </c>
      <c r="I283" s="2">
        <f>INDEX('Main Data'!$A$1:$O$1001,MATCH('Index&amp;Match'!$A283,'Main Data'!$A$1:$A$1001,0),MATCH('Index&amp;Match'!I282,'Main Data'!$A282:$O282,0))</f>
        <v>36</v>
      </c>
      <c r="J283" s="2">
        <f>INDEX('Main Data'!$A$1:$O$1001,MATCH('Index&amp;Match'!$A283,'Main Data'!$A$1:$A$1001,0),MATCH('Index&amp;Match'!J282,'Main Data'!$A282:$O282,0))</f>
        <v>36</v>
      </c>
      <c r="K283" s="11">
        <f>INDEX('Main Data'!$A$1:$O$1001,MATCH('Index&amp;Match'!$A283,'Main Data'!$A$1:$A$1001,0),MATCH('Index&amp;Match'!K282,'Main Data'!$A282:$O282,0))</f>
        <v>972.4</v>
      </c>
      <c r="L283" s="11">
        <f>INDEX('Main Data'!$A$1:$O$1001,MATCH('Index&amp;Match'!$A283,'Main Data'!$A$1:$A$1001,0),MATCH('Index&amp;Match'!L282,'Main Data'!$A282:$O282,0))</f>
        <v>398.79</v>
      </c>
      <c r="M283" s="11">
        <f>INDEX('Main Data'!$A$1:$O$1001,MATCH('Index&amp;Match'!$A283,'Main Data'!$A$1:$A$1001,0),MATCH('Index&amp;Match'!M282,'Main Data'!$A282:$O282,0))</f>
        <v>131.97</v>
      </c>
      <c r="N283" s="2" t="str">
        <f>INDEX('Main Data'!$A$1:$O$1001,MATCH('Index&amp;Match'!$A283,'Main Data'!$A$1:$A$1001,0),MATCH('Index&amp;Match'!N282,'Main Data'!$A282:$O282,0))</f>
        <v>Yes</v>
      </c>
      <c r="O283" s="2">
        <f>INDEX('Main Data'!$A$1:$O$1001,MATCH('Index&amp;Match'!$A283,'Main Data'!$A$1:$A$1001,0),MATCH('Index&amp;Match'!O282,'Main Data'!$A282:$O282,0))</f>
        <v>36</v>
      </c>
    </row>
    <row r="284" spans="1:15" x14ac:dyDescent="0.3">
      <c r="A284" s="2" t="s">
        <v>341</v>
      </c>
      <c r="B284" s="1">
        <f>INDEX('Main Data'!$A$1:$O$1001,MATCH('Index&amp;Match'!$A284,'Main Data'!$A$1:$A$1001,0),MATCH('Index&amp;Match'!B283,'Main Data'!$A283:$O283,0))</f>
        <v>46115</v>
      </c>
      <c r="C284" s="2" t="str">
        <f>INDEX('Main Data'!$A$1:$O$1001,MATCH('Index&amp;Match'!$A284,'Main Data'!$A$1:$A$1001,0),MATCH('Index&amp;Match'!C283,'Main Data'!$A283:$O283,0))</f>
        <v>Sam</v>
      </c>
      <c r="D284" s="2" t="str">
        <f>INDEX('Main Data'!$A$1:$O$1001,MATCH('Index&amp;Match'!$A284,'Main Data'!$A$1:$A$1001,0),MATCH('Index&amp;Match'!D283,'Main Data'!$A283:$O283,0))</f>
        <v>BR-003</v>
      </c>
      <c r="E284" s="2" t="str">
        <f>INDEX('Main Data'!$A$1:$O$1001,MATCH('Index&amp;Match'!$A284,'Main Data'!$A$1:$A$1001,0),MATCH('Index&amp;Match'!E283,'Main Data'!$A283:$O283,0))</f>
        <v>West</v>
      </c>
      <c r="F284" s="2" t="str">
        <f>INDEX('Main Data'!$A$1:$O$1001,MATCH('Index&amp;Match'!$A284,'Main Data'!$A$1:$A$1001,0),MATCH('Index&amp;Match'!F283,'Main Data'!$A283:$O283,0))</f>
        <v>Wealth Management</v>
      </c>
      <c r="G284" s="2" t="str">
        <f>INDEX('Main Data'!$A$1:$O$1001,MATCH('Index&amp;Match'!$A284,'Main Data'!$A$1:$A$1001,0),MATCH('Index&amp;Match'!G283,'Main Data'!$A283:$O283,0))</f>
        <v>Website</v>
      </c>
      <c r="H284" s="2" t="str">
        <f>INDEX('Main Data'!$A$1:$O$1001,MATCH('Index&amp;Match'!$A284,'Main Data'!$A$1:$A$1001,0),MATCH('Index&amp;Match'!H283,'Main Data'!$A283:$O283,0))</f>
        <v>SME</v>
      </c>
      <c r="I284" s="2">
        <f>INDEX('Main Data'!$A$1:$O$1001,MATCH('Index&amp;Match'!$A284,'Main Data'!$A$1:$A$1001,0),MATCH('Index&amp;Match'!I283,'Main Data'!$A283:$O283,0))</f>
        <v>66</v>
      </c>
      <c r="J284" s="2">
        <f>INDEX('Main Data'!$A$1:$O$1001,MATCH('Index&amp;Match'!$A284,'Main Data'!$A$1:$A$1001,0),MATCH('Index&amp;Match'!J283,'Main Data'!$A283:$O283,0))</f>
        <v>66</v>
      </c>
      <c r="K284" s="11">
        <f>INDEX('Main Data'!$A$1:$O$1001,MATCH('Index&amp;Match'!$A284,'Main Data'!$A$1:$A$1001,0),MATCH('Index&amp;Match'!K283,'Main Data'!$A283:$O283,0))</f>
        <v>4227.42</v>
      </c>
      <c r="L284" s="11">
        <f>INDEX('Main Data'!$A$1:$O$1001,MATCH('Index&amp;Match'!$A284,'Main Data'!$A$1:$A$1001,0),MATCH('Index&amp;Match'!L283,'Main Data'!$A283:$O283,0))</f>
        <v>329.87</v>
      </c>
      <c r="M284" s="11">
        <f>INDEX('Main Data'!$A$1:$O$1001,MATCH('Index&amp;Match'!$A284,'Main Data'!$A$1:$A$1001,0),MATCH('Index&amp;Match'!M283,'Main Data'!$A283:$O283,0))</f>
        <v>86.32</v>
      </c>
      <c r="N284" s="2" t="str">
        <f>INDEX('Main Data'!$A$1:$O$1001,MATCH('Index&amp;Match'!$A284,'Main Data'!$A$1:$A$1001,0),MATCH('Index&amp;Match'!N283,'Main Data'!$A283:$O283,0))</f>
        <v>Yes</v>
      </c>
      <c r="O284" s="2">
        <f>INDEX('Main Data'!$A$1:$O$1001,MATCH('Index&amp;Match'!$A284,'Main Data'!$A$1:$A$1001,0),MATCH('Index&amp;Match'!O283,'Main Data'!$A283:$O283,0))</f>
        <v>66</v>
      </c>
    </row>
    <row r="285" spans="1:15" x14ac:dyDescent="0.3">
      <c r="A285" s="2" t="s">
        <v>342</v>
      </c>
      <c r="B285" s="1">
        <f>INDEX('Main Data'!$A$1:$O$1001,MATCH('Index&amp;Match'!$A285,'Main Data'!$A$1:$A$1001,0),MATCH('Index&amp;Match'!B284,'Main Data'!$A284:$O284,0))</f>
        <v>45900</v>
      </c>
      <c r="C285" s="2" t="str">
        <f>INDEX('Main Data'!$A$1:$O$1001,MATCH('Index&amp;Match'!$A285,'Main Data'!$A$1:$A$1001,0),MATCH('Index&amp;Match'!C284,'Main Data'!$A284:$O284,0))</f>
        <v>Jamie</v>
      </c>
      <c r="D285" s="2" t="str">
        <f>INDEX('Main Data'!$A$1:$O$1001,MATCH('Index&amp;Match'!$A285,'Main Data'!$A$1:$A$1001,0),MATCH('Index&amp;Match'!D284,'Main Data'!$A284:$O284,0))</f>
        <v>BR-009</v>
      </c>
      <c r="E285" s="2" t="str">
        <f>INDEX('Main Data'!$A$1:$O$1001,MATCH('Index&amp;Match'!$A285,'Main Data'!$A$1:$A$1001,0),MATCH('Index&amp;Match'!E284,'Main Data'!$A284:$O284,0))</f>
        <v>East</v>
      </c>
      <c r="F285" s="2" t="str">
        <f>INDEX('Main Data'!$A$1:$O$1001,MATCH('Index&amp;Match'!$A285,'Main Data'!$A$1:$A$1001,0),MATCH('Index&amp;Match'!F284,'Main Data'!$A284:$O284,0))</f>
        <v>Auto Loan</v>
      </c>
      <c r="G285" s="2" t="str">
        <f>INDEX('Main Data'!$A$1:$O$1001,MATCH('Index&amp;Match'!$A285,'Main Data'!$A$1:$A$1001,0),MATCH('Index&amp;Match'!G284,'Main Data'!$A284:$O284,0))</f>
        <v>Email Campaign</v>
      </c>
      <c r="H285" s="2" t="str">
        <f>INDEX('Main Data'!$A$1:$O$1001,MATCH('Index&amp;Match'!$A285,'Main Data'!$A$1:$A$1001,0),MATCH('Index&amp;Match'!H284,'Main Data'!$A284:$O284,0))</f>
        <v>Corporate</v>
      </c>
      <c r="I285" s="2">
        <f>INDEX('Main Data'!$A$1:$O$1001,MATCH('Index&amp;Match'!$A285,'Main Data'!$A$1:$A$1001,0),MATCH('Index&amp;Match'!I284,'Main Data'!$A284:$O284,0))</f>
        <v>59</v>
      </c>
      <c r="J285" s="2">
        <f>INDEX('Main Data'!$A$1:$O$1001,MATCH('Index&amp;Match'!$A285,'Main Data'!$A$1:$A$1001,0),MATCH('Index&amp;Match'!J284,'Main Data'!$A284:$O284,0))</f>
        <v>59</v>
      </c>
      <c r="K285" s="11">
        <f>INDEX('Main Data'!$A$1:$O$1001,MATCH('Index&amp;Match'!$A285,'Main Data'!$A$1:$A$1001,0),MATCH('Index&amp;Match'!K284,'Main Data'!$A284:$O284,0))</f>
        <v>19104.7</v>
      </c>
      <c r="L285" s="11">
        <f>INDEX('Main Data'!$A$1:$O$1001,MATCH('Index&amp;Match'!$A285,'Main Data'!$A$1:$A$1001,0),MATCH('Index&amp;Match'!L284,'Main Data'!$A284:$O284,0))</f>
        <v>323.06</v>
      </c>
      <c r="M285" s="11">
        <f>INDEX('Main Data'!$A$1:$O$1001,MATCH('Index&amp;Match'!$A285,'Main Data'!$A$1:$A$1001,0),MATCH('Index&amp;Match'!M284,'Main Data'!$A284:$O284,0))</f>
        <v>152.72</v>
      </c>
      <c r="N285" s="2" t="str">
        <f>INDEX('Main Data'!$A$1:$O$1001,MATCH('Index&amp;Match'!$A285,'Main Data'!$A$1:$A$1001,0),MATCH('Index&amp;Match'!N284,'Main Data'!$A284:$O284,0))</f>
        <v>Yes</v>
      </c>
      <c r="O285" s="2">
        <f>INDEX('Main Data'!$A$1:$O$1001,MATCH('Index&amp;Match'!$A285,'Main Data'!$A$1:$A$1001,0),MATCH('Index&amp;Match'!O284,'Main Data'!$A284:$O284,0))</f>
        <v>59</v>
      </c>
    </row>
    <row r="286" spans="1:15" x14ac:dyDescent="0.3">
      <c r="A286" s="2" t="s">
        <v>343</v>
      </c>
      <c r="B286" s="1">
        <f>INDEX('Main Data'!$A$1:$O$1001,MATCH('Index&amp;Match'!$A286,'Main Data'!$A$1:$A$1001,0),MATCH('Index&amp;Match'!B285,'Main Data'!$A285:$O285,0))</f>
        <v>46228</v>
      </c>
      <c r="C286" s="2" t="str">
        <f>INDEX('Main Data'!$A$1:$O$1001,MATCH('Index&amp;Match'!$A286,'Main Data'!$A$1:$A$1001,0),MATCH('Index&amp;Match'!C285,'Main Data'!$A285:$O285,0))</f>
        <v>Jordan</v>
      </c>
      <c r="D286" s="2" t="str">
        <f>INDEX('Main Data'!$A$1:$O$1001,MATCH('Index&amp;Match'!$A286,'Main Data'!$A$1:$A$1001,0),MATCH('Index&amp;Match'!D285,'Main Data'!$A285:$O285,0))</f>
        <v>BR-013</v>
      </c>
      <c r="E286" s="2" t="str">
        <f>INDEX('Main Data'!$A$1:$O$1001,MATCH('Index&amp;Match'!$A286,'Main Data'!$A$1:$A$1001,0),MATCH('Index&amp;Match'!E285,'Main Data'!$A285:$O285,0))</f>
        <v>West</v>
      </c>
      <c r="F286" s="2" t="str">
        <f>INDEX('Main Data'!$A$1:$O$1001,MATCH('Index&amp;Match'!$A286,'Main Data'!$A$1:$A$1001,0),MATCH('Index&amp;Match'!F285,'Main Data'!$A285:$O285,0))</f>
        <v>Credit Card</v>
      </c>
      <c r="G286" s="2" t="str">
        <f>INDEX('Main Data'!$A$1:$O$1001,MATCH('Index&amp;Match'!$A286,'Main Data'!$A$1:$A$1001,0),MATCH('Index&amp;Match'!G285,'Main Data'!$A285:$O285,0))</f>
        <v>Social Media</v>
      </c>
      <c r="H286" s="2" t="str">
        <f>INDEX('Main Data'!$A$1:$O$1001,MATCH('Index&amp;Match'!$A286,'Main Data'!$A$1:$A$1001,0),MATCH('Index&amp;Match'!H285,'Main Data'!$A285:$O285,0))</f>
        <v>High Net Worth</v>
      </c>
      <c r="I286" s="2">
        <f>INDEX('Main Data'!$A$1:$O$1001,MATCH('Index&amp;Match'!$A286,'Main Data'!$A$1:$A$1001,0),MATCH('Index&amp;Match'!I285,'Main Data'!$A285:$O285,0))</f>
        <v>73</v>
      </c>
      <c r="J286" s="2">
        <f>INDEX('Main Data'!$A$1:$O$1001,MATCH('Index&amp;Match'!$A286,'Main Data'!$A$1:$A$1001,0),MATCH('Index&amp;Match'!J285,'Main Data'!$A285:$O285,0))</f>
        <v>73</v>
      </c>
      <c r="K286" s="11">
        <f>INDEX('Main Data'!$A$1:$O$1001,MATCH('Index&amp;Match'!$A286,'Main Data'!$A$1:$A$1001,0),MATCH('Index&amp;Match'!K285,'Main Data'!$A285:$O285,0))</f>
        <v>41116.959999999999</v>
      </c>
      <c r="L286" s="11">
        <f>INDEX('Main Data'!$A$1:$O$1001,MATCH('Index&amp;Match'!$A286,'Main Data'!$A$1:$A$1001,0),MATCH('Index&amp;Match'!L285,'Main Data'!$A285:$O285,0))</f>
        <v>432.26</v>
      </c>
      <c r="M286" s="11">
        <f>INDEX('Main Data'!$A$1:$O$1001,MATCH('Index&amp;Match'!$A286,'Main Data'!$A$1:$A$1001,0),MATCH('Index&amp;Match'!M285,'Main Data'!$A285:$O285,0))</f>
        <v>297.77999999999997</v>
      </c>
      <c r="N286" s="2" t="str">
        <f>INDEX('Main Data'!$A$1:$O$1001,MATCH('Index&amp;Match'!$A286,'Main Data'!$A$1:$A$1001,0),MATCH('Index&amp;Match'!N285,'Main Data'!$A285:$O285,0))</f>
        <v>Yes</v>
      </c>
      <c r="O286" s="2">
        <f>INDEX('Main Data'!$A$1:$O$1001,MATCH('Index&amp;Match'!$A286,'Main Data'!$A$1:$A$1001,0),MATCH('Index&amp;Match'!O285,'Main Data'!$A285:$O285,0))</f>
        <v>73</v>
      </c>
    </row>
    <row r="287" spans="1:15" x14ac:dyDescent="0.3">
      <c r="A287" s="2" t="s">
        <v>344</v>
      </c>
      <c r="B287" s="1">
        <f>INDEX('Main Data'!$A$1:$O$1001,MATCH('Index&amp;Match'!$A287,'Main Data'!$A$1:$A$1001,0),MATCH('Index&amp;Match'!B286,'Main Data'!$A286:$O286,0))</f>
        <v>46097</v>
      </c>
      <c r="C287" s="2" t="str">
        <f>INDEX('Main Data'!$A$1:$O$1001,MATCH('Index&amp;Match'!$A287,'Main Data'!$A$1:$A$1001,0),MATCH('Index&amp;Match'!C286,'Main Data'!$A286:$O286,0))</f>
        <v>Taylor</v>
      </c>
      <c r="D287" s="2" t="str">
        <f>INDEX('Main Data'!$A$1:$O$1001,MATCH('Index&amp;Match'!$A287,'Main Data'!$A$1:$A$1001,0),MATCH('Index&amp;Match'!D286,'Main Data'!$A286:$O286,0))</f>
        <v>BR-002</v>
      </c>
      <c r="E287" s="2" t="str">
        <f>INDEX('Main Data'!$A$1:$O$1001,MATCH('Index&amp;Match'!$A287,'Main Data'!$A$1:$A$1001,0),MATCH('Index&amp;Match'!E286,'Main Data'!$A286:$O286,0))</f>
        <v>North</v>
      </c>
      <c r="F287" s="2" t="str">
        <f>INDEX('Main Data'!$A$1:$O$1001,MATCH('Index&amp;Match'!$A287,'Main Data'!$A$1:$A$1001,0),MATCH('Index&amp;Match'!F286,'Main Data'!$A286:$O286,0))</f>
        <v>Wealth Management</v>
      </c>
      <c r="G287" s="2" t="str">
        <f>INDEX('Main Data'!$A$1:$O$1001,MATCH('Index&amp;Match'!$A287,'Main Data'!$A$1:$A$1001,0),MATCH('Index&amp;Match'!G286,'Main Data'!$A286:$O286,0))</f>
        <v>Email Campaign</v>
      </c>
      <c r="H287" s="2" t="str">
        <f>INDEX('Main Data'!$A$1:$O$1001,MATCH('Index&amp;Match'!$A287,'Main Data'!$A$1:$A$1001,0),MATCH('Index&amp;Match'!H286,'Main Data'!$A286:$O286,0))</f>
        <v>SME</v>
      </c>
      <c r="I287" s="2">
        <f>INDEX('Main Data'!$A$1:$O$1001,MATCH('Index&amp;Match'!$A287,'Main Data'!$A$1:$A$1001,0),MATCH('Index&amp;Match'!I286,'Main Data'!$A286:$O286,0))</f>
        <v>51</v>
      </c>
      <c r="J287" s="2">
        <f>INDEX('Main Data'!$A$1:$O$1001,MATCH('Index&amp;Match'!$A287,'Main Data'!$A$1:$A$1001,0),MATCH('Index&amp;Match'!J286,'Main Data'!$A286:$O286,0))</f>
        <v>51</v>
      </c>
      <c r="K287" s="11">
        <f>INDEX('Main Data'!$A$1:$O$1001,MATCH('Index&amp;Match'!$A287,'Main Data'!$A$1:$A$1001,0),MATCH('Index&amp;Match'!K286,'Main Data'!$A286:$O286,0))</f>
        <v>853.53</v>
      </c>
      <c r="L287" s="11">
        <f>INDEX('Main Data'!$A$1:$O$1001,MATCH('Index&amp;Match'!$A287,'Main Data'!$A$1:$A$1001,0),MATCH('Index&amp;Match'!L286,'Main Data'!$A286:$O286,0))</f>
        <v>293.54000000000002</v>
      </c>
      <c r="M287" s="11">
        <f>INDEX('Main Data'!$A$1:$O$1001,MATCH('Index&amp;Match'!$A287,'Main Data'!$A$1:$A$1001,0),MATCH('Index&amp;Match'!M286,'Main Data'!$A286:$O286,0))</f>
        <v>131.81</v>
      </c>
      <c r="N287" s="2" t="str">
        <f>INDEX('Main Data'!$A$1:$O$1001,MATCH('Index&amp;Match'!$A287,'Main Data'!$A$1:$A$1001,0),MATCH('Index&amp;Match'!N286,'Main Data'!$A286:$O286,0))</f>
        <v>Yes</v>
      </c>
      <c r="O287" s="2">
        <f>INDEX('Main Data'!$A$1:$O$1001,MATCH('Index&amp;Match'!$A287,'Main Data'!$A$1:$A$1001,0),MATCH('Index&amp;Match'!O286,'Main Data'!$A286:$O286,0))</f>
        <v>51</v>
      </c>
    </row>
    <row r="288" spans="1:15" x14ac:dyDescent="0.3">
      <c r="A288" s="2" t="s">
        <v>345</v>
      </c>
      <c r="B288" s="1">
        <f>INDEX('Main Data'!$A$1:$O$1001,MATCH('Index&amp;Match'!$A288,'Main Data'!$A$1:$A$1001,0),MATCH('Index&amp;Match'!B287,'Main Data'!$A287:$O287,0))</f>
        <v>46098</v>
      </c>
      <c r="C288" s="2" t="str">
        <f>INDEX('Main Data'!$A$1:$O$1001,MATCH('Index&amp;Match'!$A288,'Main Data'!$A$1:$A$1001,0),MATCH('Index&amp;Match'!C287,'Main Data'!$A287:$O287,0))</f>
        <v>Alex</v>
      </c>
      <c r="D288" s="2" t="str">
        <f>INDEX('Main Data'!$A$1:$O$1001,MATCH('Index&amp;Match'!$A288,'Main Data'!$A$1:$A$1001,0),MATCH('Index&amp;Match'!D287,'Main Data'!$A287:$O287,0))</f>
        <v>BR-015</v>
      </c>
      <c r="E288" s="2" t="str">
        <f>INDEX('Main Data'!$A$1:$O$1001,MATCH('Index&amp;Match'!$A288,'Main Data'!$A$1:$A$1001,0),MATCH('Index&amp;Match'!E287,'Main Data'!$A287:$O287,0))</f>
        <v>North</v>
      </c>
      <c r="F288" s="2" t="str">
        <f>INDEX('Main Data'!$A$1:$O$1001,MATCH('Index&amp;Match'!$A288,'Main Data'!$A$1:$A$1001,0),MATCH('Index&amp;Match'!F287,'Main Data'!$A287:$O287,0))</f>
        <v>Credit Card</v>
      </c>
      <c r="G288" s="2" t="str">
        <f>INDEX('Main Data'!$A$1:$O$1001,MATCH('Index&amp;Match'!$A288,'Main Data'!$A$1:$A$1001,0),MATCH('Index&amp;Match'!G287,'Main Data'!$A287:$O287,0))</f>
        <v>Email Campaign</v>
      </c>
      <c r="H288" s="2" t="str">
        <f>INDEX('Main Data'!$A$1:$O$1001,MATCH('Index&amp;Match'!$A288,'Main Data'!$A$1:$A$1001,0),MATCH('Index&amp;Match'!H287,'Main Data'!$A287:$O287,0))</f>
        <v>SME</v>
      </c>
      <c r="I288" s="2">
        <f>INDEX('Main Data'!$A$1:$O$1001,MATCH('Index&amp;Match'!$A288,'Main Data'!$A$1:$A$1001,0),MATCH('Index&amp;Match'!I287,'Main Data'!$A287:$O287,0))</f>
        <v>63</v>
      </c>
      <c r="J288" s="2">
        <f>INDEX('Main Data'!$A$1:$O$1001,MATCH('Index&amp;Match'!$A288,'Main Data'!$A$1:$A$1001,0),MATCH('Index&amp;Match'!J287,'Main Data'!$A287:$O287,0))</f>
        <v>63</v>
      </c>
      <c r="K288" s="11">
        <f>INDEX('Main Data'!$A$1:$O$1001,MATCH('Index&amp;Match'!$A288,'Main Data'!$A$1:$A$1001,0),MATCH('Index&amp;Match'!K287,'Main Data'!$A287:$O287,0))</f>
        <v>23108.16</v>
      </c>
      <c r="L288" s="11">
        <f>INDEX('Main Data'!$A$1:$O$1001,MATCH('Index&amp;Match'!$A288,'Main Data'!$A$1:$A$1001,0),MATCH('Index&amp;Match'!L287,'Main Data'!$A287:$O287,0))</f>
        <v>411.74</v>
      </c>
      <c r="M288" s="11">
        <f>INDEX('Main Data'!$A$1:$O$1001,MATCH('Index&amp;Match'!$A288,'Main Data'!$A$1:$A$1001,0),MATCH('Index&amp;Match'!M287,'Main Data'!$A287:$O287,0))</f>
        <v>10.09</v>
      </c>
      <c r="N288" s="2" t="str">
        <f>INDEX('Main Data'!$A$1:$O$1001,MATCH('Index&amp;Match'!$A288,'Main Data'!$A$1:$A$1001,0),MATCH('Index&amp;Match'!N287,'Main Data'!$A287:$O287,0))</f>
        <v>Yes</v>
      </c>
      <c r="O288" s="2">
        <f>INDEX('Main Data'!$A$1:$O$1001,MATCH('Index&amp;Match'!$A288,'Main Data'!$A$1:$A$1001,0),MATCH('Index&amp;Match'!O287,'Main Data'!$A287:$O287,0))</f>
        <v>63</v>
      </c>
    </row>
    <row r="289" spans="1:15" x14ac:dyDescent="0.3">
      <c r="A289" s="2" t="s">
        <v>346</v>
      </c>
      <c r="B289" s="1">
        <f>INDEX('Main Data'!$A$1:$O$1001,MATCH('Index&amp;Match'!$A289,'Main Data'!$A$1:$A$1001,0),MATCH('Index&amp;Match'!B288,'Main Data'!$A288:$O288,0))</f>
        <v>45944</v>
      </c>
      <c r="C289" s="2" t="str">
        <f>INDEX('Main Data'!$A$1:$O$1001,MATCH('Index&amp;Match'!$A289,'Main Data'!$A$1:$A$1001,0),MATCH('Index&amp;Match'!C288,'Main Data'!$A288:$O288,0))</f>
        <v>Casey</v>
      </c>
      <c r="D289" s="2" t="str">
        <f>INDEX('Main Data'!$A$1:$O$1001,MATCH('Index&amp;Match'!$A289,'Main Data'!$A$1:$A$1001,0),MATCH('Index&amp;Match'!D288,'Main Data'!$A288:$O288,0))</f>
        <v>BR-004</v>
      </c>
      <c r="E289" s="2" t="str">
        <f>INDEX('Main Data'!$A$1:$O$1001,MATCH('Index&amp;Match'!$A289,'Main Data'!$A$1:$A$1001,0),MATCH('Index&amp;Match'!E288,'Main Data'!$A288:$O288,0))</f>
        <v>Central</v>
      </c>
      <c r="F289" s="2" t="str">
        <f>INDEX('Main Data'!$A$1:$O$1001,MATCH('Index&amp;Match'!$A289,'Main Data'!$A$1:$A$1001,0),MATCH('Index&amp;Match'!F288,'Main Data'!$A288:$O288,0))</f>
        <v>Credit Card</v>
      </c>
      <c r="G289" s="2" t="str">
        <f>INDEX('Main Data'!$A$1:$O$1001,MATCH('Index&amp;Match'!$A289,'Main Data'!$A$1:$A$1001,0),MATCH('Index&amp;Match'!G288,'Main Data'!$A288:$O288,0))</f>
        <v>Website</v>
      </c>
      <c r="H289" s="2" t="str">
        <f>INDEX('Main Data'!$A$1:$O$1001,MATCH('Index&amp;Match'!$A289,'Main Data'!$A$1:$A$1001,0),MATCH('Index&amp;Match'!H288,'Main Data'!$A288:$O288,0))</f>
        <v>High Net Worth</v>
      </c>
      <c r="I289" s="2">
        <f>INDEX('Main Data'!$A$1:$O$1001,MATCH('Index&amp;Match'!$A289,'Main Data'!$A$1:$A$1001,0),MATCH('Index&amp;Match'!I288,'Main Data'!$A288:$O288,0))</f>
        <v>44</v>
      </c>
      <c r="J289" s="2">
        <f>INDEX('Main Data'!$A$1:$O$1001,MATCH('Index&amp;Match'!$A289,'Main Data'!$A$1:$A$1001,0),MATCH('Index&amp;Match'!J288,'Main Data'!$A288:$O288,0))</f>
        <v>44</v>
      </c>
      <c r="K289" s="11">
        <f>INDEX('Main Data'!$A$1:$O$1001,MATCH('Index&amp;Match'!$A289,'Main Data'!$A$1:$A$1001,0),MATCH('Index&amp;Match'!K288,'Main Data'!$A288:$O288,0))</f>
        <v>16796.919999999998</v>
      </c>
      <c r="L289" s="11">
        <f>INDEX('Main Data'!$A$1:$O$1001,MATCH('Index&amp;Match'!$A289,'Main Data'!$A$1:$A$1001,0),MATCH('Index&amp;Match'!L288,'Main Data'!$A288:$O288,0))</f>
        <v>279</v>
      </c>
      <c r="M289" s="11">
        <f>INDEX('Main Data'!$A$1:$O$1001,MATCH('Index&amp;Match'!$A289,'Main Data'!$A$1:$A$1001,0),MATCH('Index&amp;Match'!M288,'Main Data'!$A288:$O288,0))</f>
        <v>31.36</v>
      </c>
      <c r="N289" s="2" t="str">
        <f>INDEX('Main Data'!$A$1:$O$1001,MATCH('Index&amp;Match'!$A289,'Main Data'!$A$1:$A$1001,0),MATCH('Index&amp;Match'!N288,'Main Data'!$A288:$O288,0))</f>
        <v>Yes</v>
      </c>
      <c r="O289" s="2">
        <f>INDEX('Main Data'!$A$1:$O$1001,MATCH('Index&amp;Match'!$A289,'Main Data'!$A$1:$A$1001,0),MATCH('Index&amp;Match'!O288,'Main Data'!$A288:$O288,0))</f>
        <v>44</v>
      </c>
    </row>
    <row r="290" spans="1:15" x14ac:dyDescent="0.3">
      <c r="A290" s="2" t="s">
        <v>347</v>
      </c>
      <c r="B290" s="1">
        <f>INDEX('Main Data'!$A$1:$O$1001,MATCH('Index&amp;Match'!$A290,'Main Data'!$A$1:$A$1001,0),MATCH('Index&amp;Match'!B289,'Main Data'!$A289:$O289,0))</f>
        <v>46227</v>
      </c>
      <c r="C290" s="2" t="str">
        <f>INDEX('Main Data'!$A$1:$O$1001,MATCH('Index&amp;Match'!$A290,'Main Data'!$A$1:$A$1001,0),MATCH('Index&amp;Match'!C289,'Main Data'!$A289:$O289,0))</f>
        <v>Alex</v>
      </c>
      <c r="D290" s="2" t="str">
        <f>INDEX('Main Data'!$A$1:$O$1001,MATCH('Index&amp;Match'!$A290,'Main Data'!$A$1:$A$1001,0),MATCH('Index&amp;Match'!D289,'Main Data'!$A289:$O289,0))</f>
        <v>BR-015</v>
      </c>
      <c r="E290" s="2" t="str">
        <f>INDEX('Main Data'!$A$1:$O$1001,MATCH('Index&amp;Match'!$A290,'Main Data'!$A$1:$A$1001,0),MATCH('Index&amp;Match'!E289,'Main Data'!$A289:$O289,0))</f>
        <v>Central</v>
      </c>
      <c r="F290" s="2" t="str">
        <f>INDEX('Main Data'!$A$1:$O$1001,MATCH('Index&amp;Match'!$A290,'Main Data'!$A$1:$A$1001,0),MATCH('Index&amp;Match'!F289,'Main Data'!$A289:$O289,0))</f>
        <v>Personal Loan</v>
      </c>
      <c r="G290" s="2" t="str">
        <f>INDEX('Main Data'!$A$1:$O$1001,MATCH('Index&amp;Match'!$A290,'Main Data'!$A$1:$A$1001,0),MATCH('Index&amp;Match'!G289,'Main Data'!$A289:$O289,0))</f>
        <v>Referral</v>
      </c>
      <c r="H290" s="2" t="str">
        <f>INDEX('Main Data'!$A$1:$O$1001,MATCH('Index&amp;Match'!$A290,'Main Data'!$A$1:$A$1001,0),MATCH('Index&amp;Match'!H289,'Main Data'!$A289:$O289,0))</f>
        <v>SME</v>
      </c>
      <c r="I290" s="2">
        <f>INDEX('Main Data'!$A$1:$O$1001,MATCH('Index&amp;Match'!$A290,'Main Data'!$A$1:$A$1001,0),MATCH('Index&amp;Match'!I289,'Main Data'!$A289:$O289,0))</f>
        <v>21</v>
      </c>
      <c r="J290" s="2">
        <f>INDEX('Main Data'!$A$1:$O$1001,MATCH('Index&amp;Match'!$A290,'Main Data'!$A$1:$A$1001,0),MATCH('Index&amp;Match'!J289,'Main Data'!$A289:$O289,0))</f>
        <v>21</v>
      </c>
      <c r="K290" s="11">
        <f>INDEX('Main Data'!$A$1:$O$1001,MATCH('Index&amp;Match'!$A290,'Main Data'!$A$1:$A$1001,0),MATCH('Index&amp;Match'!K289,'Main Data'!$A289:$O289,0))</f>
        <v>3097.84</v>
      </c>
      <c r="L290" s="11">
        <f>INDEX('Main Data'!$A$1:$O$1001,MATCH('Index&amp;Match'!$A290,'Main Data'!$A$1:$A$1001,0),MATCH('Index&amp;Match'!L289,'Main Data'!$A289:$O289,0))</f>
        <v>78.099999999999994</v>
      </c>
      <c r="M290" s="11">
        <f>INDEX('Main Data'!$A$1:$O$1001,MATCH('Index&amp;Match'!$A290,'Main Data'!$A$1:$A$1001,0),MATCH('Index&amp;Match'!M289,'Main Data'!$A289:$O289,0))</f>
        <v>176.2</v>
      </c>
      <c r="N290" s="2" t="str">
        <f>INDEX('Main Data'!$A$1:$O$1001,MATCH('Index&amp;Match'!$A290,'Main Data'!$A$1:$A$1001,0),MATCH('Index&amp;Match'!N289,'Main Data'!$A289:$O289,0))</f>
        <v>No</v>
      </c>
      <c r="O290" s="2">
        <f>INDEX('Main Data'!$A$1:$O$1001,MATCH('Index&amp;Match'!$A290,'Main Data'!$A$1:$A$1001,0),MATCH('Index&amp;Match'!O289,'Main Data'!$A289:$O289,0))</f>
        <v>21</v>
      </c>
    </row>
    <row r="291" spans="1:15" x14ac:dyDescent="0.3">
      <c r="A291" s="2" t="s">
        <v>348</v>
      </c>
      <c r="B291" s="1">
        <f>INDEX('Main Data'!$A$1:$O$1001,MATCH('Index&amp;Match'!$A291,'Main Data'!$A$1:$A$1001,0),MATCH('Index&amp;Match'!B290,'Main Data'!$A290:$O290,0))</f>
        <v>45927</v>
      </c>
      <c r="C291" s="2" t="str">
        <f>INDEX('Main Data'!$A$1:$O$1001,MATCH('Index&amp;Match'!$A291,'Main Data'!$A$1:$A$1001,0),MATCH('Index&amp;Match'!C290,'Main Data'!$A290:$O290,0))</f>
        <v>Drew</v>
      </c>
      <c r="D291" s="2" t="str">
        <f>INDEX('Main Data'!$A$1:$O$1001,MATCH('Index&amp;Match'!$A291,'Main Data'!$A$1:$A$1001,0),MATCH('Index&amp;Match'!D290,'Main Data'!$A290:$O290,0))</f>
        <v>BR-006</v>
      </c>
      <c r="E291" s="2" t="str">
        <f>INDEX('Main Data'!$A$1:$O$1001,MATCH('Index&amp;Match'!$A291,'Main Data'!$A$1:$A$1001,0),MATCH('Index&amp;Match'!E290,'Main Data'!$A290:$O290,0))</f>
        <v>East</v>
      </c>
      <c r="F291" s="2" t="str">
        <f>INDEX('Main Data'!$A$1:$O$1001,MATCH('Index&amp;Match'!$A291,'Main Data'!$A$1:$A$1001,0),MATCH('Index&amp;Match'!F290,'Main Data'!$A290:$O290,0))</f>
        <v>Wealth Management</v>
      </c>
      <c r="G291" s="2" t="str">
        <f>INDEX('Main Data'!$A$1:$O$1001,MATCH('Index&amp;Match'!$A291,'Main Data'!$A$1:$A$1001,0),MATCH('Index&amp;Match'!G290,'Main Data'!$A290:$O290,0))</f>
        <v>Social Media</v>
      </c>
      <c r="H291" s="2" t="str">
        <f>INDEX('Main Data'!$A$1:$O$1001,MATCH('Index&amp;Match'!$A291,'Main Data'!$A$1:$A$1001,0),MATCH('Index&amp;Match'!H290,'Main Data'!$A290:$O290,0))</f>
        <v>High Net Worth</v>
      </c>
      <c r="I291" s="2">
        <f>INDEX('Main Data'!$A$1:$O$1001,MATCH('Index&amp;Match'!$A291,'Main Data'!$A$1:$A$1001,0),MATCH('Index&amp;Match'!I290,'Main Data'!$A290:$O290,0))</f>
        <v>31</v>
      </c>
      <c r="J291" s="2">
        <f>INDEX('Main Data'!$A$1:$O$1001,MATCH('Index&amp;Match'!$A291,'Main Data'!$A$1:$A$1001,0),MATCH('Index&amp;Match'!J290,'Main Data'!$A290:$O290,0))</f>
        <v>31</v>
      </c>
      <c r="K291" s="11">
        <f>INDEX('Main Data'!$A$1:$O$1001,MATCH('Index&amp;Match'!$A291,'Main Data'!$A$1:$A$1001,0),MATCH('Index&amp;Match'!K290,'Main Data'!$A290:$O290,0))</f>
        <v>22786.7</v>
      </c>
      <c r="L291" s="11">
        <f>INDEX('Main Data'!$A$1:$O$1001,MATCH('Index&amp;Match'!$A291,'Main Data'!$A$1:$A$1001,0),MATCH('Index&amp;Match'!L290,'Main Data'!$A290:$O290,0))</f>
        <v>222.78</v>
      </c>
      <c r="M291" s="11">
        <f>INDEX('Main Data'!$A$1:$O$1001,MATCH('Index&amp;Match'!$A291,'Main Data'!$A$1:$A$1001,0),MATCH('Index&amp;Match'!M290,'Main Data'!$A290:$O290,0))</f>
        <v>158.25</v>
      </c>
      <c r="N291" s="2" t="str">
        <f>INDEX('Main Data'!$A$1:$O$1001,MATCH('Index&amp;Match'!$A291,'Main Data'!$A$1:$A$1001,0),MATCH('Index&amp;Match'!N290,'Main Data'!$A290:$O290,0))</f>
        <v>No</v>
      </c>
      <c r="O291" s="2">
        <f>INDEX('Main Data'!$A$1:$O$1001,MATCH('Index&amp;Match'!$A291,'Main Data'!$A$1:$A$1001,0),MATCH('Index&amp;Match'!O290,'Main Data'!$A290:$O290,0))</f>
        <v>31</v>
      </c>
    </row>
    <row r="292" spans="1:15" x14ac:dyDescent="0.3">
      <c r="A292" s="2" t="s">
        <v>349</v>
      </c>
      <c r="B292" s="1">
        <f>INDEX('Main Data'!$A$1:$O$1001,MATCH('Index&amp;Match'!$A292,'Main Data'!$A$1:$A$1001,0),MATCH('Index&amp;Match'!B291,'Main Data'!$A291:$O291,0))</f>
        <v>46048</v>
      </c>
      <c r="C292" s="2" t="str">
        <f>INDEX('Main Data'!$A$1:$O$1001,MATCH('Index&amp;Match'!$A292,'Main Data'!$A$1:$A$1001,0),MATCH('Index&amp;Match'!C291,'Main Data'!$A291:$O291,0))</f>
        <v>Alex</v>
      </c>
      <c r="D292" s="2" t="str">
        <f>INDEX('Main Data'!$A$1:$O$1001,MATCH('Index&amp;Match'!$A292,'Main Data'!$A$1:$A$1001,0),MATCH('Index&amp;Match'!D291,'Main Data'!$A291:$O291,0))</f>
        <v>BR-002</v>
      </c>
      <c r="E292" s="2" t="str">
        <f>INDEX('Main Data'!$A$1:$O$1001,MATCH('Index&amp;Match'!$A292,'Main Data'!$A$1:$A$1001,0),MATCH('Index&amp;Match'!E291,'Main Data'!$A291:$O291,0))</f>
        <v>South</v>
      </c>
      <c r="F292" s="2" t="str">
        <f>INDEX('Main Data'!$A$1:$O$1001,MATCH('Index&amp;Match'!$A292,'Main Data'!$A$1:$A$1001,0),MATCH('Index&amp;Match'!F291,'Main Data'!$A291:$O291,0))</f>
        <v>Auto Loan</v>
      </c>
      <c r="G292" s="2" t="str">
        <f>INDEX('Main Data'!$A$1:$O$1001,MATCH('Index&amp;Match'!$A292,'Main Data'!$A$1:$A$1001,0),MATCH('Index&amp;Match'!G291,'Main Data'!$A291:$O291,0))</f>
        <v>Website</v>
      </c>
      <c r="H292" s="2" t="str">
        <f>INDEX('Main Data'!$A$1:$O$1001,MATCH('Index&amp;Match'!$A292,'Main Data'!$A$1:$A$1001,0),MATCH('Index&amp;Match'!H291,'Main Data'!$A291:$O291,0))</f>
        <v>High Net Worth</v>
      </c>
      <c r="I292" s="2">
        <f>INDEX('Main Data'!$A$1:$O$1001,MATCH('Index&amp;Match'!$A292,'Main Data'!$A$1:$A$1001,0),MATCH('Index&amp;Match'!I291,'Main Data'!$A291:$O291,0))</f>
        <v>41</v>
      </c>
      <c r="J292" s="2">
        <f>INDEX('Main Data'!$A$1:$O$1001,MATCH('Index&amp;Match'!$A292,'Main Data'!$A$1:$A$1001,0),MATCH('Index&amp;Match'!J291,'Main Data'!$A291:$O291,0))</f>
        <v>41</v>
      </c>
      <c r="K292" s="11">
        <f>INDEX('Main Data'!$A$1:$O$1001,MATCH('Index&amp;Match'!$A292,'Main Data'!$A$1:$A$1001,0),MATCH('Index&amp;Match'!K291,'Main Data'!$A291:$O291,0))</f>
        <v>13110.06</v>
      </c>
      <c r="L292" s="11">
        <f>INDEX('Main Data'!$A$1:$O$1001,MATCH('Index&amp;Match'!$A292,'Main Data'!$A$1:$A$1001,0),MATCH('Index&amp;Match'!L291,'Main Data'!$A291:$O291,0))</f>
        <v>250</v>
      </c>
      <c r="M292" s="11">
        <f>INDEX('Main Data'!$A$1:$O$1001,MATCH('Index&amp;Match'!$A292,'Main Data'!$A$1:$A$1001,0),MATCH('Index&amp;Match'!M291,'Main Data'!$A291:$O291,0))</f>
        <v>247.46</v>
      </c>
      <c r="N292" s="2" t="str">
        <f>INDEX('Main Data'!$A$1:$O$1001,MATCH('Index&amp;Match'!$A292,'Main Data'!$A$1:$A$1001,0),MATCH('Index&amp;Match'!N291,'Main Data'!$A291:$O291,0))</f>
        <v>No</v>
      </c>
      <c r="O292" s="2">
        <f>INDEX('Main Data'!$A$1:$O$1001,MATCH('Index&amp;Match'!$A292,'Main Data'!$A$1:$A$1001,0),MATCH('Index&amp;Match'!O291,'Main Data'!$A291:$O291,0))</f>
        <v>41</v>
      </c>
    </row>
    <row r="293" spans="1:15" x14ac:dyDescent="0.3">
      <c r="A293" s="2" t="s">
        <v>350</v>
      </c>
      <c r="B293" s="1">
        <f>INDEX('Main Data'!$A$1:$O$1001,MATCH('Index&amp;Match'!$A293,'Main Data'!$A$1:$A$1001,0),MATCH('Index&amp;Match'!B292,'Main Data'!$A292:$O292,0))</f>
        <v>46063</v>
      </c>
      <c r="C293" s="2" t="str">
        <f>INDEX('Main Data'!$A$1:$O$1001,MATCH('Index&amp;Match'!$A293,'Main Data'!$A$1:$A$1001,0),MATCH('Index&amp;Match'!C292,'Main Data'!$A292:$O292,0))</f>
        <v>Taylor</v>
      </c>
      <c r="D293" s="2" t="str">
        <f>INDEX('Main Data'!$A$1:$O$1001,MATCH('Index&amp;Match'!$A293,'Main Data'!$A$1:$A$1001,0),MATCH('Index&amp;Match'!D292,'Main Data'!$A292:$O292,0))</f>
        <v>BR-015</v>
      </c>
      <c r="E293" s="2" t="str">
        <f>INDEX('Main Data'!$A$1:$O$1001,MATCH('Index&amp;Match'!$A293,'Main Data'!$A$1:$A$1001,0),MATCH('Index&amp;Match'!E292,'Main Data'!$A292:$O292,0))</f>
        <v>West</v>
      </c>
      <c r="F293" s="2" t="str">
        <f>INDEX('Main Data'!$A$1:$O$1001,MATCH('Index&amp;Match'!$A293,'Main Data'!$A$1:$A$1001,0),MATCH('Index&amp;Match'!F292,'Main Data'!$A292:$O292,0))</f>
        <v>Personal Loan</v>
      </c>
      <c r="G293" s="2" t="str">
        <f>INDEX('Main Data'!$A$1:$O$1001,MATCH('Index&amp;Match'!$A293,'Main Data'!$A$1:$A$1001,0),MATCH('Index&amp;Match'!G292,'Main Data'!$A292:$O292,0))</f>
        <v>Email Campaign</v>
      </c>
      <c r="H293" s="2" t="str">
        <f>INDEX('Main Data'!$A$1:$O$1001,MATCH('Index&amp;Match'!$A293,'Main Data'!$A$1:$A$1001,0),MATCH('Index&amp;Match'!H292,'Main Data'!$A292:$O292,0))</f>
        <v>Corporate</v>
      </c>
      <c r="I293" s="2">
        <f>INDEX('Main Data'!$A$1:$O$1001,MATCH('Index&amp;Match'!$A293,'Main Data'!$A$1:$A$1001,0),MATCH('Index&amp;Match'!I292,'Main Data'!$A292:$O292,0))</f>
        <v>24</v>
      </c>
      <c r="J293" s="2">
        <f>INDEX('Main Data'!$A$1:$O$1001,MATCH('Index&amp;Match'!$A293,'Main Data'!$A$1:$A$1001,0),MATCH('Index&amp;Match'!J292,'Main Data'!$A292:$O292,0))</f>
        <v>24</v>
      </c>
      <c r="K293" s="11">
        <f>INDEX('Main Data'!$A$1:$O$1001,MATCH('Index&amp;Match'!$A293,'Main Data'!$A$1:$A$1001,0),MATCH('Index&amp;Match'!K292,'Main Data'!$A292:$O292,0))</f>
        <v>17918.3</v>
      </c>
      <c r="L293" s="11">
        <f>INDEX('Main Data'!$A$1:$O$1001,MATCH('Index&amp;Match'!$A293,'Main Data'!$A$1:$A$1001,0),MATCH('Index&amp;Match'!L292,'Main Data'!$A292:$O292,0))</f>
        <v>113.73</v>
      </c>
      <c r="M293" s="11">
        <f>INDEX('Main Data'!$A$1:$O$1001,MATCH('Index&amp;Match'!$A293,'Main Data'!$A$1:$A$1001,0),MATCH('Index&amp;Match'!M292,'Main Data'!$A292:$O292,0))</f>
        <v>171.32</v>
      </c>
      <c r="N293" s="2" t="str">
        <f>INDEX('Main Data'!$A$1:$O$1001,MATCH('Index&amp;Match'!$A293,'Main Data'!$A$1:$A$1001,0),MATCH('Index&amp;Match'!N292,'Main Data'!$A292:$O292,0))</f>
        <v>Yes</v>
      </c>
      <c r="O293" s="2">
        <f>INDEX('Main Data'!$A$1:$O$1001,MATCH('Index&amp;Match'!$A293,'Main Data'!$A$1:$A$1001,0),MATCH('Index&amp;Match'!O292,'Main Data'!$A292:$O292,0))</f>
        <v>24</v>
      </c>
    </row>
    <row r="294" spans="1:15" x14ac:dyDescent="0.3">
      <c r="A294" s="2" t="s">
        <v>351</v>
      </c>
      <c r="B294" s="1">
        <f>INDEX('Main Data'!$A$1:$O$1001,MATCH('Index&amp;Match'!$A294,'Main Data'!$A$1:$A$1001,0),MATCH('Index&amp;Match'!B293,'Main Data'!$A293:$O293,0))</f>
        <v>46160</v>
      </c>
      <c r="C294" s="2" t="str">
        <f>INDEX('Main Data'!$A$1:$O$1001,MATCH('Index&amp;Match'!$A294,'Main Data'!$A$1:$A$1001,0),MATCH('Index&amp;Match'!C293,'Main Data'!$A293:$O293,0))</f>
        <v>Alex</v>
      </c>
      <c r="D294" s="2" t="str">
        <f>INDEX('Main Data'!$A$1:$O$1001,MATCH('Index&amp;Match'!$A294,'Main Data'!$A$1:$A$1001,0),MATCH('Index&amp;Match'!D293,'Main Data'!$A293:$O293,0))</f>
        <v>BR-008</v>
      </c>
      <c r="E294" s="2" t="str">
        <f>INDEX('Main Data'!$A$1:$O$1001,MATCH('Index&amp;Match'!$A294,'Main Data'!$A$1:$A$1001,0),MATCH('Index&amp;Match'!E293,'Main Data'!$A293:$O293,0))</f>
        <v>East</v>
      </c>
      <c r="F294" s="2" t="str">
        <f>INDEX('Main Data'!$A$1:$O$1001,MATCH('Index&amp;Match'!$A294,'Main Data'!$A$1:$A$1001,0),MATCH('Index&amp;Match'!F293,'Main Data'!$A293:$O293,0))</f>
        <v>Credit Card</v>
      </c>
      <c r="G294" s="2" t="str">
        <f>INDEX('Main Data'!$A$1:$O$1001,MATCH('Index&amp;Match'!$A294,'Main Data'!$A$1:$A$1001,0),MATCH('Index&amp;Match'!G293,'Main Data'!$A293:$O293,0))</f>
        <v>Website</v>
      </c>
      <c r="H294" s="2" t="str">
        <f>INDEX('Main Data'!$A$1:$O$1001,MATCH('Index&amp;Match'!$A294,'Main Data'!$A$1:$A$1001,0),MATCH('Index&amp;Match'!H293,'Main Data'!$A293:$O293,0))</f>
        <v>Retail</v>
      </c>
      <c r="I294" s="2">
        <f>INDEX('Main Data'!$A$1:$O$1001,MATCH('Index&amp;Match'!$A294,'Main Data'!$A$1:$A$1001,0),MATCH('Index&amp;Match'!I293,'Main Data'!$A293:$O293,0))</f>
        <v>27</v>
      </c>
      <c r="J294" s="2">
        <f>INDEX('Main Data'!$A$1:$O$1001,MATCH('Index&amp;Match'!$A294,'Main Data'!$A$1:$A$1001,0),MATCH('Index&amp;Match'!J293,'Main Data'!$A293:$O293,0))</f>
        <v>27</v>
      </c>
      <c r="K294" s="11">
        <f>INDEX('Main Data'!$A$1:$O$1001,MATCH('Index&amp;Match'!$A294,'Main Data'!$A$1:$A$1001,0),MATCH('Index&amp;Match'!K293,'Main Data'!$A293:$O293,0))</f>
        <v>35427.96</v>
      </c>
      <c r="L294" s="11">
        <f>INDEX('Main Data'!$A$1:$O$1001,MATCH('Index&amp;Match'!$A294,'Main Data'!$A$1:$A$1001,0),MATCH('Index&amp;Match'!L293,'Main Data'!$A293:$O293,0))</f>
        <v>96.12</v>
      </c>
      <c r="M294" s="11">
        <f>INDEX('Main Data'!$A$1:$O$1001,MATCH('Index&amp;Match'!$A294,'Main Data'!$A$1:$A$1001,0),MATCH('Index&amp;Match'!M293,'Main Data'!$A293:$O293,0))</f>
        <v>185.53</v>
      </c>
      <c r="N294" s="2" t="str">
        <f>INDEX('Main Data'!$A$1:$O$1001,MATCH('Index&amp;Match'!$A294,'Main Data'!$A$1:$A$1001,0),MATCH('Index&amp;Match'!N293,'Main Data'!$A293:$O293,0))</f>
        <v>No</v>
      </c>
      <c r="O294" s="2">
        <f>INDEX('Main Data'!$A$1:$O$1001,MATCH('Index&amp;Match'!$A294,'Main Data'!$A$1:$A$1001,0),MATCH('Index&amp;Match'!O293,'Main Data'!$A293:$O293,0))</f>
        <v>27</v>
      </c>
    </row>
    <row r="295" spans="1:15" x14ac:dyDescent="0.3">
      <c r="A295" s="2" t="s">
        <v>352</v>
      </c>
      <c r="B295" s="1">
        <f>INDEX('Main Data'!$A$1:$O$1001,MATCH('Index&amp;Match'!$A295,'Main Data'!$A$1:$A$1001,0),MATCH('Index&amp;Match'!B294,'Main Data'!$A294:$O294,0))</f>
        <v>46107</v>
      </c>
      <c r="C295" s="2" t="str">
        <f>INDEX('Main Data'!$A$1:$O$1001,MATCH('Index&amp;Match'!$A295,'Main Data'!$A$1:$A$1001,0),MATCH('Index&amp;Match'!C294,'Main Data'!$A294:$O294,0))</f>
        <v>Jordan</v>
      </c>
      <c r="D295" s="2" t="str">
        <f>INDEX('Main Data'!$A$1:$O$1001,MATCH('Index&amp;Match'!$A295,'Main Data'!$A$1:$A$1001,0),MATCH('Index&amp;Match'!D294,'Main Data'!$A294:$O294,0))</f>
        <v>BR-008</v>
      </c>
      <c r="E295" s="2" t="str">
        <f>INDEX('Main Data'!$A$1:$O$1001,MATCH('Index&amp;Match'!$A295,'Main Data'!$A$1:$A$1001,0),MATCH('Index&amp;Match'!E294,'Main Data'!$A294:$O294,0))</f>
        <v>Central</v>
      </c>
      <c r="F295" s="2" t="str">
        <f>INDEX('Main Data'!$A$1:$O$1001,MATCH('Index&amp;Match'!$A295,'Main Data'!$A$1:$A$1001,0),MATCH('Index&amp;Match'!F294,'Main Data'!$A294:$O294,0))</f>
        <v>Credit Card</v>
      </c>
      <c r="G295" s="2" t="str">
        <f>INDEX('Main Data'!$A$1:$O$1001,MATCH('Index&amp;Match'!$A295,'Main Data'!$A$1:$A$1001,0),MATCH('Index&amp;Match'!G294,'Main Data'!$A294:$O294,0))</f>
        <v>Referral</v>
      </c>
      <c r="H295" s="2" t="str">
        <f>INDEX('Main Data'!$A$1:$O$1001,MATCH('Index&amp;Match'!$A295,'Main Data'!$A$1:$A$1001,0),MATCH('Index&amp;Match'!H294,'Main Data'!$A294:$O294,0))</f>
        <v>High Net Worth</v>
      </c>
      <c r="I295" s="2">
        <f>INDEX('Main Data'!$A$1:$O$1001,MATCH('Index&amp;Match'!$A295,'Main Data'!$A$1:$A$1001,0),MATCH('Index&amp;Match'!I294,'Main Data'!$A294:$O294,0))</f>
        <v>46</v>
      </c>
      <c r="J295" s="2">
        <f>INDEX('Main Data'!$A$1:$O$1001,MATCH('Index&amp;Match'!$A295,'Main Data'!$A$1:$A$1001,0),MATCH('Index&amp;Match'!J294,'Main Data'!$A294:$O294,0))</f>
        <v>46</v>
      </c>
      <c r="K295" s="11">
        <f>INDEX('Main Data'!$A$1:$O$1001,MATCH('Index&amp;Match'!$A295,'Main Data'!$A$1:$A$1001,0),MATCH('Index&amp;Match'!K294,'Main Data'!$A294:$O294,0))</f>
        <v>26316.77</v>
      </c>
      <c r="L295" s="11">
        <f>INDEX('Main Data'!$A$1:$O$1001,MATCH('Index&amp;Match'!$A295,'Main Data'!$A$1:$A$1001,0),MATCH('Index&amp;Match'!L294,'Main Data'!$A294:$O294,0))</f>
        <v>290.95999999999998</v>
      </c>
      <c r="M295" s="11">
        <f>INDEX('Main Data'!$A$1:$O$1001,MATCH('Index&amp;Match'!$A295,'Main Data'!$A$1:$A$1001,0),MATCH('Index&amp;Match'!M294,'Main Data'!$A294:$O294,0))</f>
        <v>284.95999999999998</v>
      </c>
      <c r="N295" s="2" t="str">
        <f>INDEX('Main Data'!$A$1:$O$1001,MATCH('Index&amp;Match'!$A295,'Main Data'!$A$1:$A$1001,0),MATCH('Index&amp;Match'!N294,'Main Data'!$A294:$O294,0))</f>
        <v>No</v>
      </c>
      <c r="O295" s="2">
        <f>INDEX('Main Data'!$A$1:$O$1001,MATCH('Index&amp;Match'!$A295,'Main Data'!$A$1:$A$1001,0),MATCH('Index&amp;Match'!O294,'Main Data'!$A294:$O294,0))</f>
        <v>46</v>
      </c>
    </row>
    <row r="296" spans="1:15" x14ac:dyDescent="0.3">
      <c r="A296" s="2" t="s">
        <v>353</v>
      </c>
      <c r="B296" s="1">
        <f>INDEX('Main Data'!$A$1:$O$1001,MATCH('Index&amp;Match'!$A296,'Main Data'!$A$1:$A$1001,0),MATCH('Index&amp;Match'!B295,'Main Data'!$A295:$O295,0))</f>
        <v>45957</v>
      </c>
      <c r="C296" s="2" t="str">
        <f>INDEX('Main Data'!$A$1:$O$1001,MATCH('Index&amp;Match'!$A296,'Main Data'!$A$1:$A$1001,0),MATCH('Index&amp;Match'!C295,'Main Data'!$A295:$O295,0))</f>
        <v>Jordan</v>
      </c>
      <c r="D296" s="2" t="str">
        <f>INDEX('Main Data'!$A$1:$O$1001,MATCH('Index&amp;Match'!$A296,'Main Data'!$A$1:$A$1001,0),MATCH('Index&amp;Match'!D295,'Main Data'!$A295:$O295,0))</f>
        <v>BR-001</v>
      </c>
      <c r="E296" s="2" t="str">
        <f>INDEX('Main Data'!$A$1:$O$1001,MATCH('Index&amp;Match'!$A296,'Main Data'!$A$1:$A$1001,0),MATCH('Index&amp;Match'!E295,'Main Data'!$A295:$O295,0))</f>
        <v>West</v>
      </c>
      <c r="F296" s="2" t="str">
        <f>INDEX('Main Data'!$A$1:$O$1001,MATCH('Index&amp;Match'!$A296,'Main Data'!$A$1:$A$1001,0),MATCH('Index&amp;Match'!F295,'Main Data'!$A295:$O295,0))</f>
        <v>Credit Card</v>
      </c>
      <c r="G296" s="2" t="str">
        <f>INDEX('Main Data'!$A$1:$O$1001,MATCH('Index&amp;Match'!$A296,'Main Data'!$A$1:$A$1001,0),MATCH('Index&amp;Match'!G295,'Main Data'!$A295:$O295,0))</f>
        <v>Social Media</v>
      </c>
      <c r="H296" s="2" t="str">
        <f>INDEX('Main Data'!$A$1:$O$1001,MATCH('Index&amp;Match'!$A296,'Main Data'!$A$1:$A$1001,0),MATCH('Index&amp;Match'!H295,'Main Data'!$A295:$O295,0))</f>
        <v>Corporate</v>
      </c>
      <c r="I296" s="2">
        <f>INDEX('Main Data'!$A$1:$O$1001,MATCH('Index&amp;Match'!$A296,'Main Data'!$A$1:$A$1001,0),MATCH('Index&amp;Match'!I295,'Main Data'!$A295:$O295,0))</f>
        <v>67</v>
      </c>
      <c r="J296" s="2">
        <f>INDEX('Main Data'!$A$1:$O$1001,MATCH('Index&amp;Match'!$A296,'Main Data'!$A$1:$A$1001,0),MATCH('Index&amp;Match'!J295,'Main Data'!$A295:$O295,0))</f>
        <v>67</v>
      </c>
      <c r="K296" s="11">
        <f>INDEX('Main Data'!$A$1:$O$1001,MATCH('Index&amp;Match'!$A296,'Main Data'!$A$1:$A$1001,0),MATCH('Index&amp;Match'!K295,'Main Data'!$A295:$O295,0))</f>
        <v>6670.05</v>
      </c>
      <c r="L296" s="11">
        <f>INDEX('Main Data'!$A$1:$O$1001,MATCH('Index&amp;Match'!$A296,'Main Data'!$A$1:$A$1001,0),MATCH('Index&amp;Match'!L295,'Main Data'!$A295:$O295,0))</f>
        <v>88.31</v>
      </c>
      <c r="M296" s="11">
        <f>INDEX('Main Data'!$A$1:$O$1001,MATCH('Index&amp;Match'!$A296,'Main Data'!$A$1:$A$1001,0),MATCH('Index&amp;Match'!M295,'Main Data'!$A295:$O295,0))</f>
        <v>110.97</v>
      </c>
      <c r="N296" s="2" t="str">
        <f>INDEX('Main Data'!$A$1:$O$1001,MATCH('Index&amp;Match'!$A296,'Main Data'!$A$1:$A$1001,0),MATCH('Index&amp;Match'!N295,'Main Data'!$A295:$O295,0))</f>
        <v>No</v>
      </c>
      <c r="O296" s="2">
        <f>INDEX('Main Data'!$A$1:$O$1001,MATCH('Index&amp;Match'!$A296,'Main Data'!$A$1:$A$1001,0),MATCH('Index&amp;Match'!O295,'Main Data'!$A295:$O295,0))</f>
        <v>67</v>
      </c>
    </row>
    <row r="297" spans="1:15" x14ac:dyDescent="0.3">
      <c r="A297" s="2" t="s">
        <v>354</v>
      </c>
      <c r="B297" s="1">
        <f>INDEX('Main Data'!$A$1:$O$1001,MATCH('Index&amp;Match'!$A297,'Main Data'!$A$1:$A$1001,0),MATCH('Index&amp;Match'!B296,'Main Data'!$A296:$O296,0))</f>
        <v>45901</v>
      </c>
      <c r="C297" s="2" t="str">
        <f>INDEX('Main Data'!$A$1:$O$1001,MATCH('Index&amp;Match'!$A297,'Main Data'!$A$1:$A$1001,0),MATCH('Index&amp;Match'!C296,'Main Data'!$A296:$O296,0))</f>
        <v>Morgan</v>
      </c>
      <c r="D297" s="2" t="str">
        <f>INDEX('Main Data'!$A$1:$O$1001,MATCH('Index&amp;Match'!$A297,'Main Data'!$A$1:$A$1001,0),MATCH('Index&amp;Match'!D296,'Main Data'!$A296:$O296,0))</f>
        <v>BR-012</v>
      </c>
      <c r="E297" s="2" t="str">
        <f>INDEX('Main Data'!$A$1:$O$1001,MATCH('Index&amp;Match'!$A297,'Main Data'!$A$1:$A$1001,0),MATCH('Index&amp;Match'!E296,'Main Data'!$A296:$O296,0))</f>
        <v>Central</v>
      </c>
      <c r="F297" s="2" t="str">
        <f>INDEX('Main Data'!$A$1:$O$1001,MATCH('Index&amp;Match'!$A297,'Main Data'!$A$1:$A$1001,0),MATCH('Index&amp;Match'!F296,'Main Data'!$A296:$O296,0))</f>
        <v>Wealth Management</v>
      </c>
      <c r="G297" s="2" t="str">
        <f>INDEX('Main Data'!$A$1:$O$1001,MATCH('Index&amp;Match'!$A297,'Main Data'!$A$1:$A$1001,0),MATCH('Index&amp;Match'!G296,'Main Data'!$A296:$O296,0))</f>
        <v>Referral</v>
      </c>
      <c r="H297" s="2" t="str">
        <f>INDEX('Main Data'!$A$1:$O$1001,MATCH('Index&amp;Match'!$A297,'Main Data'!$A$1:$A$1001,0),MATCH('Index&amp;Match'!H296,'Main Data'!$A296:$O296,0))</f>
        <v>Retail</v>
      </c>
      <c r="I297" s="2">
        <f>INDEX('Main Data'!$A$1:$O$1001,MATCH('Index&amp;Match'!$A297,'Main Data'!$A$1:$A$1001,0),MATCH('Index&amp;Match'!I296,'Main Data'!$A296:$O296,0))</f>
        <v>70</v>
      </c>
      <c r="J297" s="2">
        <f>INDEX('Main Data'!$A$1:$O$1001,MATCH('Index&amp;Match'!$A297,'Main Data'!$A$1:$A$1001,0),MATCH('Index&amp;Match'!J296,'Main Data'!$A296:$O296,0))</f>
        <v>70</v>
      </c>
      <c r="K297" s="11">
        <f>INDEX('Main Data'!$A$1:$O$1001,MATCH('Index&amp;Match'!$A297,'Main Data'!$A$1:$A$1001,0),MATCH('Index&amp;Match'!K296,'Main Data'!$A296:$O296,0))</f>
        <v>48090.02</v>
      </c>
      <c r="L297" s="11">
        <f>INDEX('Main Data'!$A$1:$O$1001,MATCH('Index&amp;Match'!$A297,'Main Data'!$A$1:$A$1001,0),MATCH('Index&amp;Match'!L296,'Main Data'!$A296:$O296,0))</f>
        <v>186.33</v>
      </c>
      <c r="M297" s="11">
        <f>INDEX('Main Data'!$A$1:$O$1001,MATCH('Index&amp;Match'!$A297,'Main Data'!$A$1:$A$1001,0),MATCH('Index&amp;Match'!M296,'Main Data'!$A296:$O296,0))</f>
        <v>68.2</v>
      </c>
      <c r="N297" s="2" t="str">
        <f>INDEX('Main Data'!$A$1:$O$1001,MATCH('Index&amp;Match'!$A297,'Main Data'!$A$1:$A$1001,0),MATCH('Index&amp;Match'!N296,'Main Data'!$A296:$O296,0))</f>
        <v>Yes</v>
      </c>
      <c r="O297" s="2">
        <f>INDEX('Main Data'!$A$1:$O$1001,MATCH('Index&amp;Match'!$A297,'Main Data'!$A$1:$A$1001,0),MATCH('Index&amp;Match'!O296,'Main Data'!$A296:$O296,0))</f>
        <v>70</v>
      </c>
    </row>
    <row r="298" spans="1:15" x14ac:dyDescent="0.3">
      <c r="A298" s="2" t="s">
        <v>355</v>
      </c>
      <c r="B298" s="1">
        <f>INDEX('Main Data'!$A$1:$O$1001,MATCH('Index&amp;Match'!$A298,'Main Data'!$A$1:$A$1001,0),MATCH('Index&amp;Match'!B297,'Main Data'!$A297:$O297,0))</f>
        <v>46000</v>
      </c>
      <c r="C298" s="2" t="str">
        <f>INDEX('Main Data'!$A$1:$O$1001,MATCH('Index&amp;Match'!$A298,'Main Data'!$A$1:$A$1001,0),MATCH('Index&amp;Match'!C297,'Main Data'!$A297:$O297,0))</f>
        <v>Sam</v>
      </c>
      <c r="D298" s="2" t="str">
        <f>INDEX('Main Data'!$A$1:$O$1001,MATCH('Index&amp;Match'!$A298,'Main Data'!$A$1:$A$1001,0),MATCH('Index&amp;Match'!D297,'Main Data'!$A297:$O297,0))</f>
        <v>BR-003</v>
      </c>
      <c r="E298" s="2" t="str">
        <f>INDEX('Main Data'!$A$1:$O$1001,MATCH('Index&amp;Match'!$A298,'Main Data'!$A$1:$A$1001,0),MATCH('Index&amp;Match'!E297,'Main Data'!$A297:$O297,0))</f>
        <v>West</v>
      </c>
      <c r="F298" s="2" t="str">
        <f>INDEX('Main Data'!$A$1:$O$1001,MATCH('Index&amp;Match'!$A298,'Main Data'!$A$1:$A$1001,0),MATCH('Index&amp;Match'!F297,'Main Data'!$A297:$O297,0))</f>
        <v>Wealth Management</v>
      </c>
      <c r="G298" s="2" t="str">
        <f>INDEX('Main Data'!$A$1:$O$1001,MATCH('Index&amp;Match'!$A298,'Main Data'!$A$1:$A$1001,0),MATCH('Index&amp;Match'!G297,'Main Data'!$A297:$O297,0))</f>
        <v>Walk-in</v>
      </c>
      <c r="H298" s="2" t="str">
        <f>INDEX('Main Data'!$A$1:$O$1001,MATCH('Index&amp;Match'!$A298,'Main Data'!$A$1:$A$1001,0),MATCH('Index&amp;Match'!H297,'Main Data'!$A297:$O297,0))</f>
        <v>SME</v>
      </c>
      <c r="I298" s="2">
        <f>INDEX('Main Data'!$A$1:$O$1001,MATCH('Index&amp;Match'!$A298,'Main Data'!$A$1:$A$1001,0),MATCH('Index&amp;Match'!I297,'Main Data'!$A297:$O297,0))</f>
        <v>32</v>
      </c>
      <c r="J298" s="2">
        <f>INDEX('Main Data'!$A$1:$O$1001,MATCH('Index&amp;Match'!$A298,'Main Data'!$A$1:$A$1001,0),MATCH('Index&amp;Match'!J297,'Main Data'!$A297:$O297,0))</f>
        <v>32</v>
      </c>
      <c r="K298" s="11">
        <f>INDEX('Main Data'!$A$1:$O$1001,MATCH('Index&amp;Match'!$A298,'Main Data'!$A$1:$A$1001,0),MATCH('Index&amp;Match'!K297,'Main Data'!$A297:$O297,0))</f>
        <v>31977.58</v>
      </c>
      <c r="L298" s="11">
        <f>INDEX('Main Data'!$A$1:$O$1001,MATCH('Index&amp;Match'!$A298,'Main Data'!$A$1:$A$1001,0),MATCH('Index&amp;Match'!L297,'Main Data'!$A297:$O297,0))</f>
        <v>385.07</v>
      </c>
      <c r="M298" s="11">
        <f>INDEX('Main Data'!$A$1:$O$1001,MATCH('Index&amp;Match'!$A298,'Main Data'!$A$1:$A$1001,0),MATCH('Index&amp;Match'!M297,'Main Data'!$A297:$O297,0))</f>
        <v>192.37</v>
      </c>
      <c r="N298" s="2" t="str">
        <f>INDEX('Main Data'!$A$1:$O$1001,MATCH('Index&amp;Match'!$A298,'Main Data'!$A$1:$A$1001,0),MATCH('Index&amp;Match'!N297,'Main Data'!$A297:$O297,0))</f>
        <v>Yes</v>
      </c>
      <c r="O298" s="2">
        <f>INDEX('Main Data'!$A$1:$O$1001,MATCH('Index&amp;Match'!$A298,'Main Data'!$A$1:$A$1001,0),MATCH('Index&amp;Match'!O297,'Main Data'!$A297:$O297,0))</f>
        <v>32</v>
      </c>
    </row>
    <row r="299" spans="1:15" x14ac:dyDescent="0.3">
      <c r="A299" s="2" t="s">
        <v>356</v>
      </c>
      <c r="B299" s="1">
        <f>INDEX('Main Data'!$A$1:$O$1001,MATCH('Index&amp;Match'!$A299,'Main Data'!$A$1:$A$1001,0),MATCH('Index&amp;Match'!B298,'Main Data'!$A298:$O298,0))</f>
        <v>45963</v>
      </c>
      <c r="C299" s="2" t="str">
        <f>INDEX('Main Data'!$A$1:$O$1001,MATCH('Index&amp;Match'!$A299,'Main Data'!$A$1:$A$1001,0),MATCH('Index&amp;Match'!C298,'Main Data'!$A298:$O298,0))</f>
        <v>Jamie</v>
      </c>
      <c r="D299" s="2" t="str">
        <f>INDEX('Main Data'!$A$1:$O$1001,MATCH('Index&amp;Match'!$A299,'Main Data'!$A$1:$A$1001,0),MATCH('Index&amp;Match'!D298,'Main Data'!$A298:$O298,0))</f>
        <v>BR-010</v>
      </c>
      <c r="E299" s="2" t="str">
        <f>INDEX('Main Data'!$A$1:$O$1001,MATCH('Index&amp;Match'!$A299,'Main Data'!$A$1:$A$1001,0),MATCH('Index&amp;Match'!E298,'Main Data'!$A298:$O298,0))</f>
        <v>South</v>
      </c>
      <c r="F299" s="2" t="str">
        <f>INDEX('Main Data'!$A$1:$O$1001,MATCH('Index&amp;Match'!$A299,'Main Data'!$A$1:$A$1001,0),MATCH('Index&amp;Match'!F298,'Main Data'!$A298:$O298,0))</f>
        <v>Personal Loan</v>
      </c>
      <c r="G299" s="2" t="str">
        <f>INDEX('Main Data'!$A$1:$O$1001,MATCH('Index&amp;Match'!$A299,'Main Data'!$A$1:$A$1001,0),MATCH('Index&amp;Match'!G298,'Main Data'!$A298:$O298,0))</f>
        <v>Social Media</v>
      </c>
      <c r="H299" s="2" t="str">
        <f>INDEX('Main Data'!$A$1:$O$1001,MATCH('Index&amp;Match'!$A299,'Main Data'!$A$1:$A$1001,0),MATCH('Index&amp;Match'!H298,'Main Data'!$A298:$O298,0))</f>
        <v>Retail</v>
      </c>
      <c r="I299" s="2">
        <f>INDEX('Main Data'!$A$1:$O$1001,MATCH('Index&amp;Match'!$A299,'Main Data'!$A$1:$A$1001,0),MATCH('Index&amp;Match'!I298,'Main Data'!$A298:$O298,0))</f>
        <v>51</v>
      </c>
      <c r="J299" s="2">
        <f>INDEX('Main Data'!$A$1:$O$1001,MATCH('Index&amp;Match'!$A299,'Main Data'!$A$1:$A$1001,0),MATCH('Index&amp;Match'!J298,'Main Data'!$A298:$O298,0))</f>
        <v>51</v>
      </c>
      <c r="K299" s="11">
        <f>INDEX('Main Data'!$A$1:$O$1001,MATCH('Index&amp;Match'!$A299,'Main Data'!$A$1:$A$1001,0),MATCH('Index&amp;Match'!K298,'Main Data'!$A298:$O298,0))</f>
        <v>38410.49</v>
      </c>
      <c r="L299" s="11">
        <f>INDEX('Main Data'!$A$1:$O$1001,MATCH('Index&amp;Match'!$A299,'Main Data'!$A$1:$A$1001,0),MATCH('Index&amp;Match'!L298,'Main Data'!$A298:$O298,0))</f>
        <v>483.99</v>
      </c>
      <c r="M299" s="11">
        <f>INDEX('Main Data'!$A$1:$O$1001,MATCH('Index&amp;Match'!$A299,'Main Data'!$A$1:$A$1001,0),MATCH('Index&amp;Match'!M298,'Main Data'!$A298:$O298,0))</f>
        <v>109.48</v>
      </c>
      <c r="N299" s="2" t="str">
        <f>INDEX('Main Data'!$A$1:$O$1001,MATCH('Index&amp;Match'!$A299,'Main Data'!$A$1:$A$1001,0),MATCH('Index&amp;Match'!N298,'Main Data'!$A298:$O298,0))</f>
        <v>No</v>
      </c>
      <c r="O299" s="2">
        <f>INDEX('Main Data'!$A$1:$O$1001,MATCH('Index&amp;Match'!$A299,'Main Data'!$A$1:$A$1001,0),MATCH('Index&amp;Match'!O298,'Main Data'!$A298:$O298,0))</f>
        <v>51</v>
      </c>
    </row>
    <row r="300" spans="1:15" x14ac:dyDescent="0.3">
      <c r="A300" s="2" t="s">
        <v>357</v>
      </c>
      <c r="B300" s="1">
        <f>INDEX('Main Data'!$A$1:$O$1001,MATCH('Index&amp;Match'!$A300,'Main Data'!$A$1:$A$1001,0),MATCH('Index&amp;Match'!B299,'Main Data'!$A299:$O299,0))</f>
        <v>46001</v>
      </c>
      <c r="C300" s="2" t="str">
        <f>INDEX('Main Data'!$A$1:$O$1001,MATCH('Index&amp;Match'!$A300,'Main Data'!$A$1:$A$1001,0),MATCH('Index&amp;Match'!C299,'Main Data'!$A299:$O299,0))</f>
        <v>Casey</v>
      </c>
      <c r="D300" s="2" t="str">
        <f>INDEX('Main Data'!$A$1:$O$1001,MATCH('Index&amp;Match'!$A300,'Main Data'!$A$1:$A$1001,0),MATCH('Index&amp;Match'!D299,'Main Data'!$A299:$O299,0))</f>
        <v>BR-009</v>
      </c>
      <c r="E300" s="2" t="str">
        <f>INDEX('Main Data'!$A$1:$O$1001,MATCH('Index&amp;Match'!$A300,'Main Data'!$A$1:$A$1001,0),MATCH('Index&amp;Match'!E299,'Main Data'!$A299:$O299,0))</f>
        <v>East</v>
      </c>
      <c r="F300" s="2" t="str">
        <f>INDEX('Main Data'!$A$1:$O$1001,MATCH('Index&amp;Match'!$A300,'Main Data'!$A$1:$A$1001,0),MATCH('Index&amp;Match'!F299,'Main Data'!$A299:$O299,0))</f>
        <v>Auto Loan</v>
      </c>
      <c r="G300" s="2" t="str">
        <f>INDEX('Main Data'!$A$1:$O$1001,MATCH('Index&amp;Match'!$A300,'Main Data'!$A$1:$A$1001,0),MATCH('Index&amp;Match'!G299,'Main Data'!$A299:$O299,0))</f>
        <v>Referral</v>
      </c>
      <c r="H300" s="2" t="str">
        <f>INDEX('Main Data'!$A$1:$O$1001,MATCH('Index&amp;Match'!$A300,'Main Data'!$A$1:$A$1001,0),MATCH('Index&amp;Match'!H299,'Main Data'!$A299:$O299,0))</f>
        <v>High Net Worth</v>
      </c>
      <c r="I300" s="2">
        <f>INDEX('Main Data'!$A$1:$O$1001,MATCH('Index&amp;Match'!$A300,'Main Data'!$A$1:$A$1001,0),MATCH('Index&amp;Match'!I299,'Main Data'!$A299:$O299,0))</f>
        <v>37</v>
      </c>
      <c r="J300" s="2">
        <f>INDEX('Main Data'!$A$1:$O$1001,MATCH('Index&amp;Match'!$A300,'Main Data'!$A$1:$A$1001,0),MATCH('Index&amp;Match'!J299,'Main Data'!$A299:$O299,0))</f>
        <v>37</v>
      </c>
      <c r="K300" s="11">
        <f>INDEX('Main Data'!$A$1:$O$1001,MATCH('Index&amp;Match'!$A300,'Main Data'!$A$1:$A$1001,0),MATCH('Index&amp;Match'!K299,'Main Data'!$A299:$O299,0))</f>
        <v>4421.05</v>
      </c>
      <c r="L300" s="11">
        <f>INDEX('Main Data'!$A$1:$O$1001,MATCH('Index&amp;Match'!$A300,'Main Data'!$A$1:$A$1001,0),MATCH('Index&amp;Match'!L299,'Main Data'!$A299:$O299,0))</f>
        <v>373.04</v>
      </c>
      <c r="M300" s="11">
        <f>INDEX('Main Data'!$A$1:$O$1001,MATCH('Index&amp;Match'!$A300,'Main Data'!$A$1:$A$1001,0),MATCH('Index&amp;Match'!M299,'Main Data'!$A299:$O299,0))</f>
        <v>19.27</v>
      </c>
      <c r="N300" s="2" t="str">
        <f>INDEX('Main Data'!$A$1:$O$1001,MATCH('Index&amp;Match'!$A300,'Main Data'!$A$1:$A$1001,0),MATCH('Index&amp;Match'!N299,'Main Data'!$A299:$O299,0))</f>
        <v>Yes</v>
      </c>
      <c r="O300" s="2">
        <f>INDEX('Main Data'!$A$1:$O$1001,MATCH('Index&amp;Match'!$A300,'Main Data'!$A$1:$A$1001,0),MATCH('Index&amp;Match'!O299,'Main Data'!$A299:$O299,0))</f>
        <v>37</v>
      </c>
    </row>
    <row r="301" spans="1:15" x14ac:dyDescent="0.3">
      <c r="A301" s="2" t="s">
        <v>358</v>
      </c>
      <c r="B301" s="1">
        <f>INDEX('Main Data'!$A$1:$O$1001,MATCH('Index&amp;Match'!$A301,'Main Data'!$A$1:$A$1001,0),MATCH('Index&amp;Match'!B300,'Main Data'!$A300:$O300,0))</f>
        <v>46088</v>
      </c>
      <c r="C301" s="2" t="str">
        <f>INDEX('Main Data'!$A$1:$O$1001,MATCH('Index&amp;Match'!$A301,'Main Data'!$A$1:$A$1001,0),MATCH('Index&amp;Match'!C300,'Main Data'!$A300:$O300,0))</f>
        <v>Drew</v>
      </c>
      <c r="D301" s="2" t="str">
        <f>INDEX('Main Data'!$A$1:$O$1001,MATCH('Index&amp;Match'!$A301,'Main Data'!$A$1:$A$1001,0),MATCH('Index&amp;Match'!D300,'Main Data'!$A300:$O300,0))</f>
        <v>BR-005</v>
      </c>
      <c r="E301" s="2" t="str">
        <f>INDEX('Main Data'!$A$1:$O$1001,MATCH('Index&amp;Match'!$A301,'Main Data'!$A$1:$A$1001,0),MATCH('Index&amp;Match'!E300,'Main Data'!$A300:$O300,0))</f>
        <v>West</v>
      </c>
      <c r="F301" s="2" t="str">
        <f>INDEX('Main Data'!$A$1:$O$1001,MATCH('Index&amp;Match'!$A301,'Main Data'!$A$1:$A$1001,0),MATCH('Index&amp;Match'!F300,'Main Data'!$A300:$O300,0))</f>
        <v>Personal Loan</v>
      </c>
      <c r="G301" s="2" t="str">
        <f>INDEX('Main Data'!$A$1:$O$1001,MATCH('Index&amp;Match'!$A301,'Main Data'!$A$1:$A$1001,0),MATCH('Index&amp;Match'!G300,'Main Data'!$A300:$O300,0))</f>
        <v>Email Campaign</v>
      </c>
      <c r="H301" s="2" t="str">
        <f>INDEX('Main Data'!$A$1:$O$1001,MATCH('Index&amp;Match'!$A301,'Main Data'!$A$1:$A$1001,0),MATCH('Index&amp;Match'!H300,'Main Data'!$A300:$O300,0))</f>
        <v>High Net Worth</v>
      </c>
      <c r="I301" s="2">
        <f>INDEX('Main Data'!$A$1:$O$1001,MATCH('Index&amp;Match'!$A301,'Main Data'!$A$1:$A$1001,0),MATCH('Index&amp;Match'!I300,'Main Data'!$A300:$O300,0))</f>
        <v>53</v>
      </c>
      <c r="J301" s="2">
        <f>INDEX('Main Data'!$A$1:$O$1001,MATCH('Index&amp;Match'!$A301,'Main Data'!$A$1:$A$1001,0),MATCH('Index&amp;Match'!J300,'Main Data'!$A300:$O300,0))</f>
        <v>53</v>
      </c>
      <c r="K301" s="11">
        <f>INDEX('Main Data'!$A$1:$O$1001,MATCH('Index&amp;Match'!$A301,'Main Data'!$A$1:$A$1001,0),MATCH('Index&amp;Match'!K300,'Main Data'!$A300:$O300,0))</f>
        <v>2829.39</v>
      </c>
      <c r="L301" s="11">
        <f>INDEX('Main Data'!$A$1:$O$1001,MATCH('Index&amp;Match'!$A301,'Main Data'!$A$1:$A$1001,0),MATCH('Index&amp;Match'!L300,'Main Data'!$A300:$O300,0))</f>
        <v>496.68</v>
      </c>
      <c r="M301" s="11">
        <f>INDEX('Main Data'!$A$1:$O$1001,MATCH('Index&amp;Match'!$A301,'Main Data'!$A$1:$A$1001,0),MATCH('Index&amp;Match'!M300,'Main Data'!$A300:$O300,0))</f>
        <v>192.84</v>
      </c>
      <c r="N301" s="2" t="str">
        <f>INDEX('Main Data'!$A$1:$O$1001,MATCH('Index&amp;Match'!$A301,'Main Data'!$A$1:$A$1001,0),MATCH('Index&amp;Match'!N300,'Main Data'!$A300:$O300,0))</f>
        <v>Yes</v>
      </c>
      <c r="O301" s="2">
        <f>INDEX('Main Data'!$A$1:$O$1001,MATCH('Index&amp;Match'!$A301,'Main Data'!$A$1:$A$1001,0),MATCH('Index&amp;Match'!O300,'Main Data'!$A300:$O300,0))</f>
        <v>53</v>
      </c>
    </row>
    <row r="302" spans="1:15" x14ac:dyDescent="0.3">
      <c r="A302" s="2" t="s">
        <v>359</v>
      </c>
      <c r="B302" s="1">
        <f>INDEX('Main Data'!$A$1:$O$1001,MATCH('Index&amp;Match'!$A302,'Main Data'!$A$1:$A$1001,0),MATCH('Index&amp;Match'!B301,'Main Data'!$A301:$O301,0))</f>
        <v>46215</v>
      </c>
      <c r="C302" s="2" t="str">
        <f>INDEX('Main Data'!$A$1:$O$1001,MATCH('Index&amp;Match'!$A302,'Main Data'!$A$1:$A$1001,0),MATCH('Index&amp;Match'!C301,'Main Data'!$A301:$O301,0))</f>
        <v>Alex</v>
      </c>
      <c r="D302" s="2" t="str">
        <f>INDEX('Main Data'!$A$1:$O$1001,MATCH('Index&amp;Match'!$A302,'Main Data'!$A$1:$A$1001,0),MATCH('Index&amp;Match'!D301,'Main Data'!$A301:$O301,0))</f>
        <v>BR-006</v>
      </c>
      <c r="E302" s="2" t="str">
        <f>INDEX('Main Data'!$A$1:$O$1001,MATCH('Index&amp;Match'!$A302,'Main Data'!$A$1:$A$1001,0),MATCH('Index&amp;Match'!E301,'Main Data'!$A301:$O301,0))</f>
        <v>North</v>
      </c>
      <c r="F302" s="2" t="str">
        <f>INDEX('Main Data'!$A$1:$O$1001,MATCH('Index&amp;Match'!$A302,'Main Data'!$A$1:$A$1001,0),MATCH('Index&amp;Match'!F301,'Main Data'!$A301:$O301,0))</f>
        <v>Mortgage</v>
      </c>
      <c r="G302" s="2" t="str">
        <f>INDEX('Main Data'!$A$1:$O$1001,MATCH('Index&amp;Match'!$A302,'Main Data'!$A$1:$A$1001,0),MATCH('Index&amp;Match'!G301,'Main Data'!$A301:$O301,0))</f>
        <v>Social Media</v>
      </c>
      <c r="H302" s="2" t="str">
        <f>INDEX('Main Data'!$A$1:$O$1001,MATCH('Index&amp;Match'!$A302,'Main Data'!$A$1:$A$1001,0),MATCH('Index&amp;Match'!H301,'Main Data'!$A301:$O301,0))</f>
        <v>High Net Worth</v>
      </c>
      <c r="I302" s="2">
        <f>INDEX('Main Data'!$A$1:$O$1001,MATCH('Index&amp;Match'!$A302,'Main Data'!$A$1:$A$1001,0),MATCH('Index&amp;Match'!I301,'Main Data'!$A301:$O301,0))</f>
        <v>31</v>
      </c>
      <c r="J302" s="2">
        <f>INDEX('Main Data'!$A$1:$O$1001,MATCH('Index&amp;Match'!$A302,'Main Data'!$A$1:$A$1001,0),MATCH('Index&amp;Match'!J301,'Main Data'!$A301:$O301,0))</f>
        <v>31</v>
      </c>
      <c r="K302" s="11">
        <f>INDEX('Main Data'!$A$1:$O$1001,MATCH('Index&amp;Match'!$A302,'Main Data'!$A$1:$A$1001,0),MATCH('Index&amp;Match'!K301,'Main Data'!$A301:$O301,0))</f>
        <v>1462.68</v>
      </c>
      <c r="L302" s="11">
        <f>INDEX('Main Data'!$A$1:$O$1001,MATCH('Index&amp;Match'!$A302,'Main Data'!$A$1:$A$1001,0),MATCH('Index&amp;Match'!L301,'Main Data'!$A301:$O301,0))</f>
        <v>364.25</v>
      </c>
      <c r="M302" s="11">
        <f>INDEX('Main Data'!$A$1:$O$1001,MATCH('Index&amp;Match'!$A302,'Main Data'!$A$1:$A$1001,0),MATCH('Index&amp;Match'!M301,'Main Data'!$A301:$O301,0))</f>
        <v>176.31</v>
      </c>
      <c r="N302" s="2" t="str">
        <f>INDEX('Main Data'!$A$1:$O$1001,MATCH('Index&amp;Match'!$A302,'Main Data'!$A$1:$A$1001,0),MATCH('Index&amp;Match'!N301,'Main Data'!$A301:$O301,0))</f>
        <v>No</v>
      </c>
      <c r="O302" s="2">
        <f>INDEX('Main Data'!$A$1:$O$1001,MATCH('Index&amp;Match'!$A302,'Main Data'!$A$1:$A$1001,0),MATCH('Index&amp;Match'!O301,'Main Data'!$A301:$O301,0))</f>
        <v>31</v>
      </c>
    </row>
    <row r="303" spans="1:15" x14ac:dyDescent="0.3">
      <c r="A303" s="2" t="s">
        <v>360</v>
      </c>
      <c r="B303" s="1">
        <f>INDEX('Main Data'!$A$1:$O$1001,MATCH('Index&amp;Match'!$A303,'Main Data'!$A$1:$A$1001,0),MATCH('Index&amp;Match'!B302,'Main Data'!$A302:$O302,0))</f>
        <v>45890</v>
      </c>
      <c r="C303" s="2" t="str">
        <f>INDEX('Main Data'!$A$1:$O$1001,MATCH('Index&amp;Match'!$A303,'Main Data'!$A$1:$A$1001,0),MATCH('Index&amp;Match'!C302,'Main Data'!$A302:$O302,0))</f>
        <v>Alex</v>
      </c>
      <c r="D303" s="2" t="str">
        <f>INDEX('Main Data'!$A$1:$O$1001,MATCH('Index&amp;Match'!$A303,'Main Data'!$A$1:$A$1001,0),MATCH('Index&amp;Match'!D302,'Main Data'!$A302:$O302,0))</f>
        <v>BR-004</v>
      </c>
      <c r="E303" s="2" t="str">
        <f>INDEX('Main Data'!$A$1:$O$1001,MATCH('Index&amp;Match'!$A303,'Main Data'!$A$1:$A$1001,0),MATCH('Index&amp;Match'!E302,'Main Data'!$A302:$O302,0))</f>
        <v>North</v>
      </c>
      <c r="F303" s="2" t="str">
        <f>INDEX('Main Data'!$A$1:$O$1001,MATCH('Index&amp;Match'!$A303,'Main Data'!$A$1:$A$1001,0),MATCH('Index&amp;Match'!F302,'Main Data'!$A302:$O302,0))</f>
        <v>Credit Card</v>
      </c>
      <c r="G303" s="2" t="str">
        <f>INDEX('Main Data'!$A$1:$O$1001,MATCH('Index&amp;Match'!$A303,'Main Data'!$A$1:$A$1001,0),MATCH('Index&amp;Match'!G302,'Main Data'!$A302:$O302,0))</f>
        <v>Social Media</v>
      </c>
      <c r="H303" s="2" t="str">
        <f>INDEX('Main Data'!$A$1:$O$1001,MATCH('Index&amp;Match'!$A303,'Main Data'!$A$1:$A$1001,0),MATCH('Index&amp;Match'!H302,'Main Data'!$A302:$O302,0))</f>
        <v>High Net Worth</v>
      </c>
      <c r="I303" s="2">
        <f>INDEX('Main Data'!$A$1:$O$1001,MATCH('Index&amp;Match'!$A303,'Main Data'!$A$1:$A$1001,0),MATCH('Index&amp;Match'!I302,'Main Data'!$A302:$O302,0))</f>
        <v>48</v>
      </c>
      <c r="J303" s="2">
        <f>INDEX('Main Data'!$A$1:$O$1001,MATCH('Index&amp;Match'!$A303,'Main Data'!$A$1:$A$1001,0),MATCH('Index&amp;Match'!J302,'Main Data'!$A302:$O302,0))</f>
        <v>48</v>
      </c>
      <c r="K303" s="11">
        <f>INDEX('Main Data'!$A$1:$O$1001,MATCH('Index&amp;Match'!$A303,'Main Data'!$A$1:$A$1001,0),MATCH('Index&amp;Match'!K302,'Main Data'!$A302:$O302,0))</f>
        <v>9845.2999999999993</v>
      </c>
      <c r="L303" s="11">
        <f>INDEX('Main Data'!$A$1:$O$1001,MATCH('Index&amp;Match'!$A303,'Main Data'!$A$1:$A$1001,0),MATCH('Index&amp;Match'!L302,'Main Data'!$A302:$O302,0))</f>
        <v>182.21</v>
      </c>
      <c r="M303" s="11">
        <f>INDEX('Main Data'!$A$1:$O$1001,MATCH('Index&amp;Match'!$A303,'Main Data'!$A$1:$A$1001,0),MATCH('Index&amp;Match'!M302,'Main Data'!$A302:$O302,0))</f>
        <v>268.74</v>
      </c>
      <c r="N303" s="2" t="str">
        <f>INDEX('Main Data'!$A$1:$O$1001,MATCH('Index&amp;Match'!$A303,'Main Data'!$A$1:$A$1001,0),MATCH('Index&amp;Match'!N302,'Main Data'!$A302:$O302,0))</f>
        <v>No</v>
      </c>
      <c r="O303" s="2">
        <f>INDEX('Main Data'!$A$1:$O$1001,MATCH('Index&amp;Match'!$A303,'Main Data'!$A$1:$A$1001,0),MATCH('Index&amp;Match'!O302,'Main Data'!$A302:$O302,0))</f>
        <v>48</v>
      </c>
    </row>
    <row r="304" spans="1:15" x14ac:dyDescent="0.3">
      <c r="A304" s="2" t="s">
        <v>361</v>
      </c>
      <c r="B304" s="1">
        <f>INDEX('Main Data'!$A$1:$O$1001,MATCH('Index&amp;Match'!$A304,'Main Data'!$A$1:$A$1001,0),MATCH('Index&amp;Match'!B303,'Main Data'!$A303:$O303,0))</f>
        <v>46031</v>
      </c>
      <c r="C304" s="2" t="str">
        <f>INDEX('Main Data'!$A$1:$O$1001,MATCH('Index&amp;Match'!$A304,'Main Data'!$A$1:$A$1001,0),MATCH('Index&amp;Match'!C303,'Main Data'!$A303:$O303,0))</f>
        <v>Taylor</v>
      </c>
      <c r="D304" s="2" t="str">
        <f>INDEX('Main Data'!$A$1:$O$1001,MATCH('Index&amp;Match'!$A304,'Main Data'!$A$1:$A$1001,0),MATCH('Index&amp;Match'!D303,'Main Data'!$A303:$O303,0))</f>
        <v>BR-010</v>
      </c>
      <c r="E304" s="2" t="str">
        <f>INDEX('Main Data'!$A$1:$O$1001,MATCH('Index&amp;Match'!$A304,'Main Data'!$A$1:$A$1001,0),MATCH('Index&amp;Match'!E303,'Main Data'!$A303:$O303,0))</f>
        <v>West</v>
      </c>
      <c r="F304" s="2" t="str">
        <f>INDEX('Main Data'!$A$1:$O$1001,MATCH('Index&amp;Match'!$A304,'Main Data'!$A$1:$A$1001,0),MATCH('Index&amp;Match'!F303,'Main Data'!$A303:$O303,0))</f>
        <v>Credit Card</v>
      </c>
      <c r="G304" s="2" t="str">
        <f>INDEX('Main Data'!$A$1:$O$1001,MATCH('Index&amp;Match'!$A304,'Main Data'!$A$1:$A$1001,0),MATCH('Index&amp;Match'!G303,'Main Data'!$A303:$O303,0))</f>
        <v>Website</v>
      </c>
      <c r="H304" s="2" t="str">
        <f>INDEX('Main Data'!$A$1:$O$1001,MATCH('Index&amp;Match'!$A304,'Main Data'!$A$1:$A$1001,0),MATCH('Index&amp;Match'!H303,'Main Data'!$A303:$O303,0))</f>
        <v>High Net Worth</v>
      </c>
      <c r="I304" s="2">
        <f>INDEX('Main Data'!$A$1:$O$1001,MATCH('Index&amp;Match'!$A304,'Main Data'!$A$1:$A$1001,0),MATCH('Index&amp;Match'!I303,'Main Data'!$A303:$O303,0))</f>
        <v>52</v>
      </c>
      <c r="J304" s="2">
        <f>INDEX('Main Data'!$A$1:$O$1001,MATCH('Index&amp;Match'!$A304,'Main Data'!$A$1:$A$1001,0),MATCH('Index&amp;Match'!J303,'Main Data'!$A303:$O303,0))</f>
        <v>52</v>
      </c>
      <c r="K304" s="11">
        <f>INDEX('Main Data'!$A$1:$O$1001,MATCH('Index&amp;Match'!$A304,'Main Data'!$A$1:$A$1001,0),MATCH('Index&amp;Match'!K303,'Main Data'!$A303:$O303,0))</f>
        <v>21013.22</v>
      </c>
      <c r="L304" s="11">
        <f>INDEX('Main Data'!$A$1:$O$1001,MATCH('Index&amp;Match'!$A304,'Main Data'!$A$1:$A$1001,0),MATCH('Index&amp;Match'!L303,'Main Data'!$A303:$O303,0))</f>
        <v>352.42</v>
      </c>
      <c r="M304" s="11">
        <f>INDEX('Main Data'!$A$1:$O$1001,MATCH('Index&amp;Match'!$A304,'Main Data'!$A$1:$A$1001,0),MATCH('Index&amp;Match'!M303,'Main Data'!$A303:$O303,0))</f>
        <v>195.96</v>
      </c>
      <c r="N304" s="2" t="str">
        <f>INDEX('Main Data'!$A$1:$O$1001,MATCH('Index&amp;Match'!$A304,'Main Data'!$A$1:$A$1001,0),MATCH('Index&amp;Match'!N303,'Main Data'!$A303:$O303,0))</f>
        <v>No</v>
      </c>
      <c r="O304" s="2">
        <f>INDEX('Main Data'!$A$1:$O$1001,MATCH('Index&amp;Match'!$A304,'Main Data'!$A$1:$A$1001,0),MATCH('Index&amp;Match'!O303,'Main Data'!$A303:$O303,0))</f>
        <v>52</v>
      </c>
    </row>
    <row r="305" spans="1:15" x14ac:dyDescent="0.3">
      <c r="A305" s="2" t="s">
        <v>362</v>
      </c>
      <c r="B305" s="1">
        <f>INDEX('Main Data'!$A$1:$O$1001,MATCH('Index&amp;Match'!$A305,'Main Data'!$A$1:$A$1001,0),MATCH('Index&amp;Match'!B304,'Main Data'!$A304:$O304,0))</f>
        <v>45983</v>
      </c>
      <c r="C305" s="2" t="str">
        <f>INDEX('Main Data'!$A$1:$O$1001,MATCH('Index&amp;Match'!$A305,'Main Data'!$A$1:$A$1001,0),MATCH('Index&amp;Match'!C304,'Main Data'!$A304:$O304,0))</f>
        <v>Sam</v>
      </c>
      <c r="D305" s="2" t="str">
        <f>INDEX('Main Data'!$A$1:$O$1001,MATCH('Index&amp;Match'!$A305,'Main Data'!$A$1:$A$1001,0),MATCH('Index&amp;Match'!D304,'Main Data'!$A304:$O304,0))</f>
        <v>BR-002</v>
      </c>
      <c r="E305" s="2" t="str">
        <f>INDEX('Main Data'!$A$1:$O$1001,MATCH('Index&amp;Match'!$A305,'Main Data'!$A$1:$A$1001,0),MATCH('Index&amp;Match'!E304,'Main Data'!$A304:$O304,0))</f>
        <v>West</v>
      </c>
      <c r="F305" s="2" t="str">
        <f>INDEX('Main Data'!$A$1:$O$1001,MATCH('Index&amp;Match'!$A305,'Main Data'!$A$1:$A$1001,0),MATCH('Index&amp;Match'!F304,'Main Data'!$A304:$O304,0))</f>
        <v>Credit Card</v>
      </c>
      <c r="G305" s="2" t="str">
        <f>INDEX('Main Data'!$A$1:$O$1001,MATCH('Index&amp;Match'!$A305,'Main Data'!$A$1:$A$1001,0),MATCH('Index&amp;Match'!G304,'Main Data'!$A304:$O304,0))</f>
        <v>Email Campaign</v>
      </c>
      <c r="H305" s="2" t="str">
        <f>INDEX('Main Data'!$A$1:$O$1001,MATCH('Index&amp;Match'!$A305,'Main Data'!$A$1:$A$1001,0),MATCH('Index&amp;Match'!H304,'Main Data'!$A304:$O304,0))</f>
        <v>Corporate</v>
      </c>
      <c r="I305" s="2">
        <f>INDEX('Main Data'!$A$1:$O$1001,MATCH('Index&amp;Match'!$A305,'Main Data'!$A$1:$A$1001,0),MATCH('Index&amp;Match'!I304,'Main Data'!$A304:$O304,0))</f>
        <v>21</v>
      </c>
      <c r="J305" s="2">
        <f>INDEX('Main Data'!$A$1:$O$1001,MATCH('Index&amp;Match'!$A305,'Main Data'!$A$1:$A$1001,0),MATCH('Index&amp;Match'!J304,'Main Data'!$A304:$O304,0))</f>
        <v>21</v>
      </c>
      <c r="K305" s="11">
        <f>INDEX('Main Data'!$A$1:$O$1001,MATCH('Index&amp;Match'!$A305,'Main Data'!$A$1:$A$1001,0),MATCH('Index&amp;Match'!K304,'Main Data'!$A304:$O304,0))</f>
        <v>46823.39</v>
      </c>
      <c r="L305" s="11">
        <f>INDEX('Main Data'!$A$1:$O$1001,MATCH('Index&amp;Match'!$A305,'Main Data'!$A$1:$A$1001,0),MATCH('Index&amp;Match'!L304,'Main Data'!$A304:$O304,0))</f>
        <v>365.97</v>
      </c>
      <c r="M305" s="11">
        <f>INDEX('Main Data'!$A$1:$O$1001,MATCH('Index&amp;Match'!$A305,'Main Data'!$A$1:$A$1001,0),MATCH('Index&amp;Match'!M304,'Main Data'!$A304:$O304,0))</f>
        <v>69.81</v>
      </c>
      <c r="N305" s="2" t="str">
        <f>INDEX('Main Data'!$A$1:$O$1001,MATCH('Index&amp;Match'!$A305,'Main Data'!$A$1:$A$1001,0),MATCH('Index&amp;Match'!N304,'Main Data'!$A304:$O304,0))</f>
        <v>No</v>
      </c>
      <c r="O305" s="2">
        <f>INDEX('Main Data'!$A$1:$O$1001,MATCH('Index&amp;Match'!$A305,'Main Data'!$A$1:$A$1001,0),MATCH('Index&amp;Match'!O304,'Main Data'!$A304:$O304,0))</f>
        <v>21</v>
      </c>
    </row>
    <row r="306" spans="1:15" x14ac:dyDescent="0.3">
      <c r="A306" s="2" t="s">
        <v>363</v>
      </c>
      <c r="B306" s="1">
        <f>INDEX('Main Data'!$A$1:$O$1001,MATCH('Index&amp;Match'!$A306,'Main Data'!$A$1:$A$1001,0),MATCH('Index&amp;Match'!B305,'Main Data'!$A305:$O305,0))</f>
        <v>46130</v>
      </c>
      <c r="C306" s="2" t="str">
        <f>INDEX('Main Data'!$A$1:$O$1001,MATCH('Index&amp;Match'!$A306,'Main Data'!$A$1:$A$1001,0),MATCH('Index&amp;Match'!C305,'Main Data'!$A305:$O305,0))</f>
        <v>Jordan</v>
      </c>
      <c r="D306" s="2" t="str">
        <f>INDEX('Main Data'!$A$1:$O$1001,MATCH('Index&amp;Match'!$A306,'Main Data'!$A$1:$A$1001,0),MATCH('Index&amp;Match'!D305,'Main Data'!$A305:$O305,0))</f>
        <v>BR-011</v>
      </c>
      <c r="E306" s="2" t="str">
        <f>INDEX('Main Data'!$A$1:$O$1001,MATCH('Index&amp;Match'!$A306,'Main Data'!$A$1:$A$1001,0),MATCH('Index&amp;Match'!E305,'Main Data'!$A305:$O305,0))</f>
        <v>West</v>
      </c>
      <c r="F306" s="2" t="str">
        <f>INDEX('Main Data'!$A$1:$O$1001,MATCH('Index&amp;Match'!$A306,'Main Data'!$A$1:$A$1001,0),MATCH('Index&amp;Match'!F305,'Main Data'!$A305:$O305,0))</f>
        <v>Personal Loan</v>
      </c>
      <c r="G306" s="2" t="str">
        <f>INDEX('Main Data'!$A$1:$O$1001,MATCH('Index&amp;Match'!$A306,'Main Data'!$A$1:$A$1001,0),MATCH('Index&amp;Match'!G305,'Main Data'!$A305:$O305,0))</f>
        <v>Walk-in</v>
      </c>
      <c r="H306" s="2" t="str">
        <f>INDEX('Main Data'!$A$1:$O$1001,MATCH('Index&amp;Match'!$A306,'Main Data'!$A$1:$A$1001,0),MATCH('Index&amp;Match'!H305,'Main Data'!$A305:$O305,0))</f>
        <v>High Net Worth</v>
      </c>
      <c r="I306" s="2">
        <f>INDEX('Main Data'!$A$1:$O$1001,MATCH('Index&amp;Match'!$A306,'Main Data'!$A$1:$A$1001,0),MATCH('Index&amp;Match'!I305,'Main Data'!$A305:$O305,0))</f>
        <v>67</v>
      </c>
      <c r="J306" s="2">
        <f>INDEX('Main Data'!$A$1:$O$1001,MATCH('Index&amp;Match'!$A306,'Main Data'!$A$1:$A$1001,0),MATCH('Index&amp;Match'!J305,'Main Data'!$A305:$O305,0))</f>
        <v>67</v>
      </c>
      <c r="K306" s="11">
        <f>INDEX('Main Data'!$A$1:$O$1001,MATCH('Index&amp;Match'!$A306,'Main Data'!$A$1:$A$1001,0),MATCH('Index&amp;Match'!K305,'Main Data'!$A305:$O305,0))</f>
        <v>23124.45</v>
      </c>
      <c r="L306" s="11">
        <f>INDEX('Main Data'!$A$1:$O$1001,MATCH('Index&amp;Match'!$A306,'Main Data'!$A$1:$A$1001,0),MATCH('Index&amp;Match'!L305,'Main Data'!$A305:$O305,0))</f>
        <v>217.28</v>
      </c>
      <c r="M306" s="11">
        <f>INDEX('Main Data'!$A$1:$O$1001,MATCH('Index&amp;Match'!$A306,'Main Data'!$A$1:$A$1001,0),MATCH('Index&amp;Match'!M305,'Main Data'!$A305:$O305,0))</f>
        <v>289.88</v>
      </c>
      <c r="N306" s="2" t="str">
        <f>INDEX('Main Data'!$A$1:$O$1001,MATCH('Index&amp;Match'!$A306,'Main Data'!$A$1:$A$1001,0),MATCH('Index&amp;Match'!N305,'Main Data'!$A305:$O305,0))</f>
        <v>Yes</v>
      </c>
      <c r="O306" s="2">
        <f>INDEX('Main Data'!$A$1:$O$1001,MATCH('Index&amp;Match'!$A306,'Main Data'!$A$1:$A$1001,0),MATCH('Index&amp;Match'!O305,'Main Data'!$A305:$O305,0))</f>
        <v>67</v>
      </c>
    </row>
    <row r="307" spans="1:15" x14ac:dyDescent="0.3">
      <c r="A307" s="2" t="s">
        <v>364</v>
      </c>
      <c r="B307" s="1">
        <f>INDEX('Main Data'!$A$1:$O$1001,MATCH('Index&amp;Match'!$A307,'Main Data'!$A$1:$A$1001,0),MATCH('Index&amp;Match'!B306,'Main Data'!$A306:$O306,0))</f>
        <v>45876</v>
      </c>
      <c r="C307" s="2" t="str">
        <f>INDEX('Main Data'!$A$1:$O$1001,MATCH('Index&amp;Match'!$A307,'Main Data'!$A$1:$A$1001,0),MATCH('Index&amp;Match'!C306,'Main Data'!$A306:$O306,0))</f>
        <v>Casey</v>
      </c>
      <c r="D307" s="2" t="str">
        <f>INDEX('Main Data'!$A$1:$O$1001,MATCH('Index&amp;Match'!$A307,'Main Data'!$A$1:$A$1001,0),MATCH('Index&amp;Match'!D306,'Main Data'!$A306:$O306,0))</f>
        <v>BR-008</v>
      </c>
      <c r="E307" s="2" t="str">
        <f>INDEX('Main Data'!$A$1:$O$1001,MATCH('Index&amp;Match'!$A307,'Main Data'!$A$1:$A$1001,0),MATCH('Index&amp;Match'!E306,'Main Data'!$A306:$O306,0))</f>
        <v>North</v>
      </c>
      <c r="F307" s="2" t="str">
        <f>INDEX('Main Data'!$A$1:$O$1001,MATCH('Index&amp;Match'!$A307,'Main Data'!$A$1:$A$1001,0),MATCH('Index&amp;Match'!F306,'Main Data'!$A306:$O306,0))</f>
        <v>Personal Loan</v>
      </c>
      <c r="G307" s="2" t="str">
        <f>INDEX('Main Data'!$A$1:$O$1001,MATCH('Index&amp;Match'!$A307,'Main Data'!$A$1:$A$1001,0),MATCH('Index&amp;Match'!G306,'Main Data'!$A306:$O306,0))</f>
        <v>Referral</v>
      </c>
      <c r="H307" s="2" t="str">
        <f>INDEX('Main Data'!$A$1:$O$1001,MATCH('Index&amp;Match'!$A307,'Main Data'!$A$1:$A$1001,0),MATCH('Index&amp;Match'!H306,'Main Data'!$A306:$O306,0))</f>
        <v>Corporate</v>
      </c>
      <c r="I307" s="2">
        <f>INDEX('Main Data'!$A$1:$O$1001,MATCH('Index&amp;Match'!$A307,'Main Data'!$A$1:$A$1001,0),MATCH('Index&amp;Match'!I306,'Main Data'!$A306:$O306,0))</f>
        <v>48</v>
      </c>
      <c r="J307" s="2">
        <f>INDEX('Main Data'!$A$1:$O$1001,MATCH('Index&amp;Match'!$A307,'Main Data'!$A$1:$A$1001,0),MATCH('Index&amp;Match'!J306,'Main Data'!$A306:$O306,0))</f>
        <v>48</v>
      </c>
      <c r="K307" s="11">
        <f>INDEX('Main Data'!$A$1:$O$1001,MATCH('Index&amp;Match'!$A307,'Main Data'!$A$1:$A$1001,0),MATCH('Index&amp;Match'!K306,'Main Data'!$A306:$O306,0))</f>
        <v>14867.63</v>
      </c>
      <c r="L307" s="11">
        <f>INDEX('Main Data'!$A$1:$O$1001,MATCH('Index&amp;Match'!$A307,'Main Data'!$A$1:$A$1001,0),MATCH('Index&amp;Match'!L306,'Main Data'!$A306:$O306,0))</f>
        <v>57.97</v>
      </c>
      <c r="M307" s="11">
        <f>INDEX('Main Data'!$A$1:$O$1001,MATCH('Index&amp;Match'!$A307,'Main Data'!$A$1:$A$1001,0),MATCH('Index&amp;Match'!M306,'Main Data'!$A306:$O306,0))</f>
        <v>160.32</v>
      </c>
      <c r="N307" s="2" t="str">
        <f>INDEX('Main Data'!$A$1:$O$1001,MATCH('Index&amp;Match'!$A307,'Main Data'!$A$1:$A$1001,0),MATCH('Index&amp;Match'!N306,'Main Data'!$A306:$O306,0))</f>
        <v>Yes</v>
      </c>
      <c r="O307" s="2">
        <f>INDEX('Main Data'!$A$1:$O$1001,MATCH('Index&amp;Match'!$A307,'Main Data'!$A$1:$A$1001,0),MATCH('Index&amp;Match'!O306,'Main Data'!$A306:$O306,0))</f>
        <v>48</v>
      </c>
    </row>
    <row r="308" spans="1:15" x14ac:dyDescent="0.3">
      <c r="A308" s="2" t="s">
        <v>365</v>
      </c>
      <c r="B308" s="1">
        <f>INDEX('Main Data'!$A$1:$O$1001,MATCH('Index&amp;Match'!$A308,'Main Data'!$A$1:$A$1001,0),MATCH('Index&amp;Match'!B307,'Main Data'!$A307:$O307,0))</f>
        <v>45946</v>
      </c>
      <c r="C308" s="2" t="str">
        <f>INDEX('Main Data'!$A$1:$O$1001,MATCH('Index&amp;Match'!$A308,'Main Data'!$A$1:$A$1001,0),MATCH('Index&amp;Match'!C307,'Main Data'!$A307:$O307,0))</f>
        <v>Morgan</v>
      </c>
      <c r="D308" s="2" t="str">
        <f>INDEX('Main Data'!$A$1:$O$1001,MATCH('Index&amp;Match'!$A308,'Main Data'!$A$1:$A$1001,0),MATCH('Index&amp;Match'!D307,'Main Data'!$A307:$O307,0))</f>
        <v>BR-011</v>
      </c>
      <c r="E308" s="2" t="str">
        <f>INDEX('Main Data'!$A$1:$O$1001,MATCH('Index&amp;Match'!$A308,'Main Data'!$A$1:$A$1001,0),MATCH('Index&amp;Match'!E307,'Main Data'!$A307:$O307,0))</f>
        <v>North</v>
      </c>
      <c r="F308" s="2" t="str">
        <f>INDEX('Main Data'!$A$1:$O$1001,MATCH('Index&amp;Match'!$A308,'Main Data'!$A$1:$A$1001,0),MATCH('Index&amp;Match'!F307,'Main Data'!$A307:$O307,0))</f>
        <v>Credit Card</v>
      </c>
      <c r="G308" s="2" t="str">
        <f>INDEX('Main Data'!$A$1:$O$1001,MATCH('Index&amp;Match'!$A308,'Main Data'!$A$1:$A$1001,0),MATCH('Index&amp;Match'!G307,'Main Data'!$A307:$O307,0))</f>
        <v>Website</v>
      </c>
      <c r="H308" s="2" t="str">
        <f>INDEX('Main Data'!$A$1:$O$1001,MATCH('Index&amp;Match'!$A308,'Main Data'!$A$1:$A$1001,0),MATCH('Index&amp;Match'!H307,'Main Data'!$A307:$O307,0))</f>
        <v>SME</v>
      </c>
      <c r="I308" s="2">
        <f>INDEX('Main Data'!$A$1:$O$1001,MATCH('Index&amp;Match'!$A308,'Main Data'!$A$1:$A$1001,0),MATCH('Index&amp;Match'!I307,'Main Data'!$A307:$O307,0))</f>
        <v>73</v>
      </c>
      <c r="J308" s="2">
        <f>INDEX('Main Data'!$A$1:$O$1001,MATCH('Index&amp;Match'!$A308,'Main Data'!$A$1:$A$1001,0),MATCH('Index&amp;Match'!J307,'Main Data'!$A307:$O307,0))</f>
        <v>73</v>
      </c>
      <c r="K308" s="11">
        <f>INDEX('Main Data'!$A$1:$O$1001,MATCH('Index&amp;Match'!$A308,'Main Data'!$A$1:$A$1001,0),MATCH('Index&amp;Match'!K307,'Main Data'!$A307:$O307,0))</f>
        <v>28315.8</v>
      </c>
      <c r="L308" s="11">
        <f>INDEX('Main Data'!$A$1:$O$1001,MATCH('Index&amp;Match'!$A308,'Main Data'!$A$1:$A$1001,0),MATCH('Index&amp;Match'!L307,'Main Data'!$A307:$O307,0))</f>
        <v>366.44</v>
      </c>
      <c r="M308" s="11">
        <f>INDEX('Main Data'!$A$1:$O$1001,MATCH('Index&amp;Match'!$A308,'Main Data'!$A$1:$A$1001,0),MATCH('Index&amp;Match'!M307,'Main Data'!$A307:$O307,0))</f>
        <v>126.08</v>
      </c>
      <c r="N308" s="2" t="str">
        <f>INDEX('Main Data'!$A$1:$O$1001,MATCH('Index&amp;Match'!$A308,'Main Data'!$A$1:$A$1001,0),MATCH('Index&amp;Match'!N307,'Main Data'!$A307:$O307,0))</f>
        <v>Yes</v>
      </c>
      <c r="O308" s="2">
        <f>INDEX('Main Data'!$A$1:$O$1001,MATCH('Index&amp;Match'!$A308,'Main Data'!$A$1:$A$1001,0),MATCH('Index&amp;Match'!O307,'Main Data'!$A307:$O307,0))</f>
        <v>73</v>
      </c>
    </row>
    <row r="309" spans="1:15" x14ac:dyDescent="0.3">
      <c r="A309" s="2" t="s">
        <v>366</v>
      </c>
      <c r="B309" s="1">
        <f>INDEX('Main Data'!$A$1:$O$1001,MATCH('Index&amp;Match'!$A309,'Main Data'!$A$1:$A$1001,0),MATCH('Index&amp;Match'!B308,'Main Data'!$A308:$O308,0))</f>
        <v>46024</v>
      </c>
      <c r="C309" s="2" t="str">
        <f>INDEX('Main Data'!$A$1:$O$1001,MATCH('Index&amp;Match'!$A309,'Main Data'!$A$1:$A$1001,0),MATCH('Index&amp;Match'!C308,'Main Data'!$A308:$O308,0))</f>
        <v>Jordan</v>
      </c>
      <c r="D309" s="2" t="str">
        <f>INDEX('Main Data'!$A$1:$O$1001,MATCH('Index&amp;Match'!$A309,'Main Data'!$A$1:$A$1001,0),MATCH('Index&amp;Match'!D308,'Main Data'!$A308:$O308,0))</f>
        <v>BR-013</v>
      </c>
      <c r="E309" s="2" t="str">
        <f>INDEX('Main Data'!$A$1:$O$1001,MATCH('Index&amp;Match'!$A309,'Main Data'!$A$1:$A$1001,0),MATCH('Index&amp;Match'!E308,'Main Data'!$A308:$O308,0))</f>
        <v>West</v>
      </c>
      <c r="F309" s="2" t="str">
        <f>INDEX('Main Data'!$A$1:$O$1001,MATCH('Index&amp;Match'!$A309,'Main Data'!$A$1:$A$1001,0),MATCH('Index&amp;Match'!F308,'Main Data'!$A308:$O308,0))</f>
        <v>Personal Loan</v>
      </c>
      <c r="G309" s="2" t="str">
        <f>INDEX('Main Data'!$A$1:$O$1001,MATCH('Index&amp;Match'!$A309,'Main Data'!$A$1:$A$1001,0),MATCH('Index&amp;Match'!G308,'Main Data'!$A308:$O308,0))</f>
        <v>Referral</v>
      </c>
      <c r="H309" s="2" t="str">
        <f>INDEX('Main Data'!$A$1:$O$1001,MATCH('Index&amp;Match'!$A309,'Main Data'!$A$1:$A$1001,0),MATCH('Index&amp;Match'!H308,'Main Data'!$A308:$O308,0))</f>
        <v>High Net Worth</v>
      </c>
      <c r="I309" s="2">
        <f>INDEX('Main Data'!$A$1:$O$1001,MATCH('Index&amp;Match'!$A309,'Main Data'!$A$1:$A$1001,0),MATCH('Index&amp;Match'!I308,'Main Data'!$A308:$O308,0))</f>
        <v>62</v>
      </c>
      <c r="J309" s="2">
        <f>INDEX('Main Data'!$A$1:$O$1001,MATCH('Index&amp;Match'!$A309,'Main Data'!$A$1:$A$1001,0),MATCH('Index&amp;Match'!J308,'Main Data'!$A308:$O308,0))</f>
        <v>62</v>
      </c>
      <c r="K309" s="11">
        <f>INDEX('Main Data'!$A$1:$O$1001,MATCH('Index&amp;Match'!$A309,'Main Data'!$A$1:$A$1001,0),MATCH('Index&amp;Match'!K308,'Main Data'!$A308:$O308,0))</f>
        <v>6040.76</v>
      </c>
      <c r="L309" s="11">
        <f>INDEX('Main Data'!$A$1:$O$1001,MATCH('Index&amp;Match'!$A309,'Main Data'!$A$1:$A$1001,0),MATCH('Index&amp;Match'!L308,'Main Data'!$A308:$O308,0))</f>
        <v>59.77</v>
      </c>
      <c r="M309" s="11">
        <f>INDEX('Main Data'!$A$1:$O$1001,MATCH('Index&amp;Match'!$A309,'Main Data'!$A$1:$A$1001,0),MATCH('Index&amp;Match'!M308,'Main Data'!$A308:$O308,0))</f>
        <v>87.88</v>
      </c>
      <c r="N309" s="2" t="str">
        <f>INDEX('Main Data'!$A$1:$O$1001,MATCH('Index&amp;Match'!$A309,'Main Data'!$A$1:$A$1001,0),MATCH('Index&amp;Match'!N308,'Main Data'!$A308:$O308,0))</f>
        <v>Yes</v>
      </c>
      <c r="O309" s="2">
        <f>INDEX('Main Data'!$A$1:$O$1001,MATCH('Index&amp;Match'!$A309,'Main Data'!$A$1:$A$1001,0),MATCH('Index&amp;Match'!O308,'Main Data'!$A308:$O308,0))</f>
        <v>62</v>
      </c>
    </row>
    <row r="310" spans="1:15" x14ac:dyDescent="0.3">
      <c r="A310" s="2" t="s">
        <v>367</v>
      </c>
      <c r="B310" s="1">
        <f>INDEX('Main Data'!$A$1:$O$1001,MATCH('Index&amp;Match'!$A310,'Main Data'!$A$1:$A$1001,0),MATCH('Index&amp;Match'!B309,'Main Data'!$A309:$O309,0))</f>
        <v>46119</v>
      </c>
      <c r="C310" s="2" t="str">
        <f>INDEX('Main Data'!$A$1:$O$1001,MATCH('Index&amp;Match'!$A310,'Main Data'!$A$1:$A$1001,0),MATCH('Index&amp;Match'!C309,'Main Data'!$A309:$O309,0))</f>
        <v>Drew</v>
      </c>
      <c r="D310" s="2" t="str">
        <f>INDEX('Main Data'!$A$1:$O$1001,MATCH('Index&amp;Match'!$A310,'Main Data'!$A$1:$A$1001,0),MATCH('Index&amp;Match'!D309,'Main Data'!$A309:$O309,0))</f>
        <v>BR-006</v>
      </c>
      <c r="E310" s="2" t="str">
        <f>INDEX('Main Data'!$A$1:$O$1001,MATCH('Index&amp;Match'!$A310,'Main Data'!$A$1:$A$1001,0),MATCH('Index&amp;Match'!E309,'Main Data'!$A309:$O309,0))</f>
        <v>Central</v>
      </c>
      <c r="F310" s="2" t="str">
        <f>INDEX('Main Data'!$A$1:$O$1001,MATCH('Index&amp;Match'!$A310,'Main Data'!$A$1:$A$1001,0),MATCH('Index&amp;Match'!F309,'Main Data'!$A309:$O309,0))</f>
        <v>Wealth Management</v>
      </c>
      <c r="G310" s="2" t="str">
        <f>INDEX('Main Data'!$A$1:$O$1001,MATCH('Index&amp;Match'!$A310,'Main Data'!$A$1:$A$1001,0),MATCH('Index&amp;Match'!G309,'Main Data'!$A309:$O309,0))</f>
        <v>Walk-in</v>
      </c>
      <c r="H310" s="2" t="str">
        <f>INDEX('Main Data'!$A$1:$O$1001,MATCH('Index&amp;Match'!$A310,'Main Data'!$A$1:$A$1001,0),MATCH('Index&amp;Match'!H309,'Main Data'!$A309:$O309,0))</f>
        <v>High Net Worth</v>
      </c>
      <c r="I310" s="2">
        <f>INDEX('Main Data'!$A$1:$O$1001,MATCH('Index&amp;Match'!$A310,'Main Data'!$A$1:$A$1001,0),MATCH('Index&amp;Match'!I309,'Main Data'!$A309:$O309,0))</f>
        <v>27</v>
      </c>
      <c r="J310" s="2">
        <f>INDEX('Main Data'!$A$1:$O$1001,MATCH('Index&amp;Match'!$A310,'Main Data'!$A$1:$A$1001,0),MATCH('Index&amp;Match'!J309,'Main Data'!$A309:$O309,0))</f>
        <v>27</v>
      </c>
      <c r="K310" s="11">
        <f>INDEX('Main Data'!$A$1:$O$1001,MATCH('Index&amp;Match'!$A310,'Main Data'!$A$1:$A$1001,0),MATCH('Index&amp;Match'!K309,'Main Data'!$A309:$O309,0))</f>
        <v>30670.54</v>
      </c>
      <c r="L310" s="11">
        <f>INDEX('Main Data'!$A$1:$O$1001,MATCH('Index&amp;Match'!$A310,'Main Data'!$A$1:$A$1001,0),MATCH('Index&amp;Match'!L309,'Main Data'!$A309:$O309,0))</f>
        <v>334.03</v>
      </c>
      <c r="M310" s="11">
        <f>INDEX('Main Data'!$A$1:$O$1001,MATCH('Index&amp;Match'!$A310,'Main Data'!$A$1:$A$1001,0),MATCH('Index&amp;Match'!M309,'Main Data'!$A309:$O309,0))</f>
        <v>112.06</v>
      </c>
      <c r="N310" s="2" t="str">
        <f>INDEX('Main Data'!$A$1:$O$1001,MATCH('Index&amp;Match'!$A310,'Main Data'!$A$1:$A$1001,0),MATCH('Index&amp;Match'!N309,'Main Data'!$A309:$O309,0))</f>
        <v>Yes</v>
      </c>
      <c r="O310" s="2">
        <f>INDEX('Main Data'!$A$1:$O$1001,MATCH('Index&amp;Match'!$A310,'Main Data'!$A$1:$A$1001,0),MATCH('Index&amp;Match'!O309,'Main Data'!$A309:$O309,0))</f>
        <v>27</v>
      </c>
    </row>
    <row r="311" spans="1:15" x14ac:dyDescent="0.3">
      <c r="A311" s="2" t="s">
        <v>368</v>
      </c>
      <c r="B311" s="1">
        <f>INDEX('Main Data'!$A$1:$O$1001,MATCH('Index&amp;Match'!$A311,'Main Data'!$A$1:$A$1001,0),MATCH('Index&amp;Match'!B310,'Main Data'!$A310:$O310,0))</f>
        <v>46226</v>
      </c>
      <c r="C311" s="2" t="str">
        <f>INDEX('Main Data'!$A$1:$O$1001,MATCH('Index&amp;Match'!$A311,'Main Data'!$A$1:$A$1001,0),MATCH('Index&amp;Match'!C310,'Main Data'!$A310:$O310,0))</f>
        <v>Sam</v>
      </c>
      <c r="D311" s="2" t="str">
        <f>INDEX('Main Data'!$A$1:$O$1001,MATCH('Index&amp;Match'!$A311,'Main Data'!$A$1:$A$1001,0),MATCH('Index&amp;Match'!D310,'Main Data'!$A310:$O310,0))</f>
        <v>BR-005</v>
      </c>
      <c r="E311" s="2" t="str">
        <f>INDEX('Main Data'!$A$1:$O$1001,MATCH('Index&amp;Match'!$A311,'Main Data'!$A$1:$A$1001,0),MATCH('Index&amp;Match'!E310,'Main Data'!$A310:$O310,0))</f>
        <v>Central</v>
      </c>
      <c r="F311" s="2" t="str">
        <f>INDEX('Main Data'!$A$1:$O$1001,MATCH('Index&amp;Match'!$A311,'Main Data'!$A$1:$A$1001,0),MATCH('Index&amp;Match'!F310,'Main Data'!$A310:$O310,0))</f>
        <v>Wealth Management</v>
      </c>
      <c r="G311" s="2" t="str">
        <f>INDEX('Main Data'!$A$1:$O$1001,MATCH('Index&amp;Match'!$A311,'Main Data'!$A$1:$A$1001,0),MATCH('Index&amp;Match'!G310,'Main Data'!$A310:$O310,0))</f>
        <v>Walk-in</v>
      </c>
      <c r="H311" s="2" t="str">
        <f>INDEX('Main Data'!$A$1:$O$1001,MATCH('Index&amp;Match'!$A311,'Main Data'!$A$1:$A$1001,0),MATCH('Index&amp;Match'!H310,'Main Data'!$A310:$O310,0))</f>
        <v>Retail</v>
      </c>
      <c r="I311" s="2">
        <f>INDEX('Main Data'!$A$1:$O$1001,MATCH('Index&amp;Match'!$A311,'Main Data'!$A$1:$A$1001,0),MATCH('Index&amp;Match'!I310,'Main Data'!$A310:$O310,0))</f>
        <v>22</v>
      </c>
      <c r="J311" s="2">
        <f>INDEX('Main Data'!$A$1:$O$1001,MATCH('Index&amp;Match'!$A311,'Main Data'!$A$1:$A$1001,0),MATCH('Index&amp;Match'!J310,'Main Data'!$A310:$O310,0))</f>
        <v>22</v>
      </c>
      <c r="K311" s="11">
        <f>INDEX('Main Data'!$A$1:$O$1001,MATCH('Index&amp;Match'!$A311,'Main Data'!$A$1:$A$1001,0),MATCH('Index&amp;Match'!K310,'Main Data'!$A310:$O310,0))</f>
        <v>28637.38</v>
      </c>
      <c r="L311" s="11">
        <f>INDEX('Main Data'!$A$1:$O$1001,MATCH('Index&amp;Match'!$A311,'Main Data'!$A$1:$A$1001,0),MATCH('Index&amp;Match'!L310,'Main Data'!$A310:$O310,0))</f>
        <v>123.63</v>
      </c>
      <c r="M311" s="11">
        <f>INDEX('Main Data'!$A$1:$O$1001,MATCH('Index&amp;Match'!$A311,'Main Data'!$A$1:$A$1001,0),MATCH('Index&amp;Match'!M310,'Main Data'!$A310:$O310,0))</f>
        <v>133.99</v>
      </c>
      <c r="N311" s="2" t="str">
        <f>INDEX('Main Data'!$A$1:$O$1001,MATCH('Index&amp;Match'!$A311,'Main Data'!$A$1:$A$1001,0),MATCH('Index&amp;Match'!N310,'Main Data'!$A310:$O310,0))</f>
        <v>Yes</v>
      </c>
      <c r="O311" s="2">
        <f>INDEX('Main Data'!$A$1:$O$1001,MATCH('Index&amp;Match'!$A311,'Main Data'!$A$1:$A$1001,0),MATCH('Index&amp;Match'!O310,'Main Data'!$A310:$O310,0))</f>
        <v>22</v>
      </c>
    </row>
    <row r="312" spans="1:15" x14ac:dyDescent="0.3">
      <c r="A312" s="2" t="s">
        <v>369</v>
      </c>
      <c r="B312" s="1">
        <f>INDEX('Main Data'!$A$1:$O$1001,MATCH('Index&amp;Match'!$A312,'Main Data'!$A$1:$A$1001,0),MATCH('Index&amp;Match'!B311,'Main Data'!$A311:$O311,0))</f>
        <v>46230</v>
      </c>
      <c r="C312" s="2" t="str">
        <f>INDEX('Main Data'!$A$1:$O$1001,MATCH('Index&amp;Match'!$A312,'Main Data'!$A$1:$A$1001,0),MATCH('Index&amp;Match'!C311,'Main Data'!$A311:$O311,0))</f>
        <v>Drew</v>
      </c>
      <c r="D312" s="2" t="str">
        <f>INDEX('Main Data'!$A$1:$O$1001,MATCH('Index&amp;Match'!$A312,'Main Data'!$A$1:$A$1001,0),MATCH('Index&amp;Match'!D311,'Main Data'!$A311:$O311,0))</f>
        <v>BR-009</v>
      </c>
      <c r="E312" s="2" t="str">
        <f>INDEX('Main Data'!$A$1:$O$1001,MATCH('Index&amp;Match'!$A312,'Main Data'!$A$1:$A$1001,0),MATCH('Index&amp;Match'!E311,'Main Data'!$A311:$O311,0))</f>
        <v>South</v>
      </c>
      <c r="F312" s="2" t="str">
        <f>INDEX('Main Data'!$A$1:$O$1001,MATCH('Index&amp;Match'!$A312,'Main Data'!$A$1:$A$1001,0),MATCH('Index&amp;Match'!F311,'Main Data'!$A311:$O311,0))</f>
        <v>Personal Loan</v>
      </c>
      <c r="G312" s="2" t="str">
        <f>INDEX('Main Data'!$A$1:$O$1001,MATCH('Index&amp;Match'!$A312,'Main Data'!$A$1:$A$1001,0),MATCH('Index&amp;Match'!G311,'Main Data'!$A311:$O311,0))</f>
        <v>Social Media</v>
      </c>
      <c r="H312" s="2" t="str">
        <f>INDEX('Main Data'!$A$1:$O$1001,MATCH('Index&amp;Match'!$A312,'Main Data'!$A$1:$A$1001,0),MATCH('Index&amp;Match'!H311,'Main Data'!$A311:$O311,0))</f>
        <v>SME</v>
      </c>
      <c r="I312" s="2">
        <f>INDEX('Main Data'!$A$1:$O$1001,MATCH('Index&amp;Match'!$A312,'Main Data'!$A$1:$A$1001,0),MATCH('Index&amp;Match'!I311,'Main Data'!$A311:$O311,0))</f>
        <v>62</v>
      </c>
      <c r="J312" s="2">
        <f>INDEX('Main Data'!$A$1:$O$1001,MATCH('Index&amp;Match'!$A312,'Main Data'!$A$1:$A$1001,0),MATCH('Index&amp;Match'!J311,'Main Data'!$A311:$O311,0))</f>
        <v>62</v>
      </c>
      <c r="K312" s="11">
        <f>INDEX('Main Data'!$A$1:$O$1001,MATCH('Index&amp;Match'!$A312,'Main Data'!$A$1:$A$1001,0),MATCH('Index&amp;Match'!K311,'Main Data'!$A311:$O311,0))</f>
        <v>39703.660000000003</v>
      </c>
      <c r="L312" s="11">
        <f>INDEX('Main Data'!$A$1:$O$1001,MATCH('Index&amp;Match'!$A312,'Main Data'!$A$1:$A$1001,0),MATCH('Index&amp;Match'!L311,'Main Data'!$A311:$O311,0))</f>
        <v>304.52</v>
      </c>
      <c r="M312" s="11">
        <f>INDEX('Main Data'!$A$1:$O$1001,MATCH('Index&amp;Match'!$A312,'Main Data'!$A$1:$A$1001,0),MATCH('Index&amp;Match'!M311,'Main Data'!$A311:$O311,0))</f>
        <v>14.4</v>
      </c>
      <c r="N312" s="2" t="str">
        <f>INDEX('Main Data'!$A$1:$O$1001,MATCH('Index&amp;Match'!$A312,'Main Data'!$A$1:$A$1001,0),MATCH('Index&amp;Match'!N311,'Main Data'!$A311:$O311,0))</f>
        <v>Yes</v>
      </c>
      <c r="O312" s="2">
        <f>INDEX('Main Data'!$A$1:$O$1001,MATCH('Index&amp;Match'!$A312,'Main Data'!$A$1:$A$1001,0),MATCH('Index&amp;Match'!O311,'Main Data'!$A311:$O311,0))</f>
        <v>62</v>
      </c>
    </row>
    <row r="313" spans="1:15" x14ac:dyDescent="0.3">
      <c r="A313" s="2" t="s">
        <v>370</v>
      </c>
      <c r="B313" s="1">
        <f>INDEX('Main Data'!$A$1:$O$1001,MATCH('Index&amp;Match'!$A313,'Main Data'!$A$1:$A$1001,0),MATCH('Index&amp;Match'!B312,'Main Data'!$A312:$O312,0))</f>
        <v>46007</v>
      </c>
      <c r="C313" s="2" t="str">
        <f>INDEX('Main Data'!$A$1:$O$1001,MATCH('Index&amp;Match'!$A313,'Main Data'!$A$1:$A$1001,0),MATCH('Index&amp;Match'!C312,'Main Data'!$A312:$O312,0))</f>
        <v>Jamie</v>
      </c>
      <c r="D313" s="2" t="str">
        <f>INDEX('Main Data'!$A$1:$O$1001,MATCH('Index&amp;Match'!$A313,'Main Data'!$A$1:$A$1001,0),MATCH('Index&amp;Match'!D312,'Main Data'!$A312:$O312,0))</f>
        <v>BR-001</v>
      </c>
      <c r="E313" s="2" t="str">
        <f>INDEX('Main Data'!$A$1:$O$1001,MATCH('Index&amp;Match'!$A313,'Main Data'!$A$1:$A$1001,0),MATCH('Index&amp;Match'!E312,'Main Data'!$A312:$O312,0))</f>
        <v>East</v>
      </c>
      <c r="F313" s="2" t="str">
        <f>INDEX('Main Data'!$A$1:$O$1001,MATCH('Index&amp;Match'!$A313,'Main Data'!$A$1:$A$1001,0),MATCH('Index&amp;Match'!F312,'Main Data'!$A312:$O312,0))</f>
        <v>Credit Card</v>
      </c>
      <c r="G313" s="2" t="str">
        <f>INDEX('Main Data'!$A$1:$O$1001,MATCH('Index&amp;Match'!$A313,'Main Data'!$A$1:$A$1001,0),MATCH('Index&amp;Match'!G312,'Main Data'!$A312:$O312,0))</f>
        <v>Walk-in</v>
      </c>
      <c r="H313" s="2" t="str">
        <f>INDEX('Main Data'!$A$1:$O$1001,MATCH('Index&amp;Match'!$A313,'Main Data'!$A$1:$A$1001,0),MATCH('Index&amp;Match'!H312,'Main Data'!$A312:$O312,0))</f>
        <v>High Net Worth</v>
      </c>
      <c r="I313" s="2">
        <f>INDEX('Main Data'!$A$1:$O$1001,MATCH('Index&amp;Match'!$A313,'Main Data'!$A$1:$A$1001,0),MATCH('Index&amp;Match'!I312,'Main Data'!$A312:$O312,0))</f>
        <v>44</v>
      </c>
      <c r="J313" s="2">
        <f>INDEX('Main Data'!$A$1:$O$1001,MATCH('Index&amp;Match'!$A313,'Main Data'!$A$1:$A$1001,0),MATCH('Index&amp;Match'!J312,'Main Data'!$A312:$O312,0))</f>
        <v>44</v>
      </c>
      <c r="K313" s="11">
        <f>INDEX('Main Data'!$A$1:$O$1001,MATCH('Index&amp;Match'!$A313,'Main Data'!$A$1:$A$1001,0),MATCH('Index&amp;Match'!K312,'Main Data'!$A312:$O312,0))</f>
        <v>49341.04</v>
      </c>
      <c r="L313" s="11">
        <f>INDEX('Main Data'!$A$1:$O$1001,MATCH('Index&amp;Match'!$A313,'Main Data'!$A$1:$A$1001,0),MATCH('Index&amp;Match'!L312,'Main Data'!$A312:$O312,0))</f>
        <v>276.76</v>
      </c>
      <c r="M313" s="11">
        <f>INDEX('Main Data'!$A$1:$O$1001,MATCH('Index&amp;Match'!$A313,'Main Data'!$A$1:$A$1001,0),MATCH('Index&amp;Match'!M312,'Main Data'!$A312:$O312,0))</f>
        <v>77.010000000000005</v>
      </c>
      <c r="N313" s="2" t="str">
        <f>INDEX('Main Data'!$A$1:$O$1001,MATCH('Index&amp;Match'!$A313,'Main Data'!$A$1:$A$1001,0),MATCH('Index&amp;Match'!N312,'Main Data'!$A312:$O312,0))</f>
        <v>No</v>
      </c>
      <c r="O313" s="2">
        <f>INDEX('Main Data'!$A$1:$O$1001,MATCH('Index&amp;Match'!$A313,'Main Data'!$A$1:$A$1001,0),MATCH('Index&amp;Match'!O312,'Main Data'!$A312:$O312,0))</f>
        <v>44</v>
      </c>
    </row>
    <row r="314" spans="1:15" x14ac:dyDescent="0.3">
      <c r="A314" s="2" t="s">
        <v>371</v>
      </c>
      <c r="B314" s="1">
        <f>INDEX('Main Data'!$A$1:$O$1001,MATCH('Index&amp;Match'!$A314,'Main Data'!$A$1:$A$1001,0),MATCH('Index&amp;Match'!B313,'Main Data'!$A313:$O313,0))</f>
        <v>45963</v>
      </c>
      <c r="C314" s="2" t="str">
        <f>INDEX('Main Data'!$A$1:$O$1001,MATCH('Index&amp;Match'!$A314,'Main Data'!$A$1:$A$1001,0),MATCH('Index&amp;Match'!C313,'Main Data'!$A313:$O313,0))</f>
        <v>Morgan</v>
      </c>
      <c r="D314" s="2" t="str">
        <f>INDEX('Main Data'!$A$1:$O$1001,MATCH('Index&amp;Match'!$A314,'Main Data'!$A$1:$A$1001,0),MATCH('Index&amp;Match'!D313,'Main Data'!$A313:$O313,0))</f>
        <v>BR-005</v>
      </c>
      <c r="E314" s="2" t="str">
        <f>INDEX('Main Data'!$A$1:$O$1001,MATCH('Index&amp;Match'!$A314,'Main Data'!$A$1:$A$1001,0),MATCH('Index&amp;Match'!E313,'Main Data'!$A313:$O313,0))</f>
        <v>Central</v>
      </c>
      <c r="F314" s="2" t="str">
        <f>INDEX('Main Data'!$A$1:$O$1001,MATCH('Index&amp;Match'!$A314,'Main Data'!$A$1:$A$1001,0),MATCH('Index&amp;Match'!F313,'Main Data'!$A313:$O313,0))</f>
        <v>Personal Loan</v>
      </c>
      <c r="G314" s="2" t="str">
        <f>INDEX('Main Data'!$A$1:$O$1001,MATCH('Index&amp;Match'!$A314,'Main Data'!$A$1:$A$1001,0),MATCH('Index&amp;Match'!G313,'Main Data'!$A313:$O313,0))</f>
        <v>Referral</v>
      </c>
      <c r="H314" s="2" t="str">
        <f>INDEX('Main Data'!$A$1:$O$1001,MATCH('Index&amp;Match'!$A314,'Main Data'!$A$1:$A$1001,0),MATCH('Index&amp;Match'!H313,'Main Data'!$A313:$O313,0))</f>
        <v>High Net Worth</v>
      </c>
      <c r="I314" s="2">
        <f>INDEX('Main Data'!$A$1:$O$1001,MATCH('Index&amp;Match'!$A314,'Main Data'!$A$1:$A$1001,0),MATCH('Index&amp;Match'!I313,'Main Data'!$A313:$O313,0))</f>
        <v>24</v>
      </c>
      <c r="J314" s="2">
        <f>INDEX('Main Data'!$A$1:$O$1001,MATCH('Index&amp;Match'!$A314,'Main Data'!$A$1:$A$1001,0),MATCH('Index&amp;Match'!J313,'Main Data'!$A313:$O313,0))</f>
        <v>24</v>
      </c>
      <c r="K314" s="11">
        <f>INDEX('Main Data'!$A$1:$O$1001,MATCH('Index&amp;Match'!$A314,'Main Data'!$A$1:$A$1001,0),MATCH('Index&amp;Match'!K313,'Main Data'!$A313:$O313,0))</f>
        <v>12918.24</v>
      </c>
      <c r="L314" s="11">
        <f>INDEX('Main Data'!$A$1:$O$1001,MATCH('Index&amp;Match'!$A314,'Main Data'!$A$1:$A$1001,0),MATCH('Index&amp;Match'!L313,'Main Data'!$A313:$O313,0))</f>
        <v>56.08</v>
      </c>
      <c r="M314" s="11">
        <f>INDEX('Main Data'!$A$1:$O$1001,MATCH('Index&amp;Match'!$A314,'Main Data'!$A$1:$A$1001,0),MATCH('Index&amp;Match'!M313,'Main Data'!$A313:$O313,0))</f>
        <v>214.17</v>
      </c>
      <c r="N314" s="2" t="str">
        <f>INDEX('Main Data'!$A$1:$O$1001,MATCH('Index&amp;Match'!$A314,'Main Data'!$A$1:$A$1001,0),MATCH('Index&amp;Match'!N313,'Main Data'!$A313:$O313,0))</f>
        <v>No</v>
      </c>
      <c r="O314" s="2">
        <f>INDEX('Main Data'!$A$1:$O$1001,MATCH('Index&amp;Match'!$A314,'Main Data'!$A$1:$A$1001,0),MATCH('Index&amp;Match'!O313,'Main Data'!$A313:$O313,0))</f>
        <v>24</v>
      </c>
    </row>
    <row r="315" spans="1:15" x14ac:dyDescent="0.3">
      <c r="A315" s="2" t="s">
        <v>372</v>
      </c>
      <c r="B315" s="1">
        <f>INDEX('Main Data'!$A$1:$O$1001,MATCH('Index&amp;Match'!$A315,'Main Data'!$A$1:$A$1001,0),MATCH('Index&amp;Match'!B314,'Main Data'!$A314:$O314,0))</f>
        <v>46090</v>
      </c>
      <c r="C315" s="2" t="str">
        <f>INDEX('Main Data'!$A$1:$O$1001,MATCH('Index&amp;Match'!$A315,'Main Data'!$A$1:$A$1001,0),MATCH('Index&amp;Match'!C314,'Main Data'!$A314:$O314,0))</f>
        <v>Jamie</v>
      </c>
      <c r="D315" s="2" t="str">
        <f>INDEX('Main Data'!$A$1:$O$1001,MATCH('Index&amp;Match'!$A315,'Main Data'!$A$1:$A$1001,0),MATCH('Index&amp;Match'!D314,'Main Data'!$A314:$O314,0))</f>
        <v>BR-006</v>
      </c>
      <c r="E315" s="2" t="str">
        <f>INDEX('Main Data'!$A$1:$O$1001,MATCH('Index&amp;Match'!$A315,'Main Data'!$A$1:$A$1001,0),MATCH('Index&amp;Match'!E314,'Main Data'!$A314:$O314,0))</f>
        <v>North</v>
      </c>
      <c r="F315" s="2" t="str">
        <f>INDEX('Main Data'!$A$1:$O$1001,MATCH('Index&amp;Match'!$A315,'Main Data'!$A$1:$A$1001,0),MATCH('Index&amp;Match'!F314,'Main Data'!$A314:$O314,0))</f>
        <v>Personal Loan</v>
      </c>
      <c r="G315" s="2" t="str">
        <f>INDEX('Main Data'!$A$1:$O$1001,MATCH('Index&amp;Match'!$A315,'Main Data'!$A$1:$A$1001,0),MATCH('Index&amp;Match'!G314,'Main Data'!$A314:$O314,0))</f>
        <v>Email Campaign</v>
      </c>
      <c r="H315" s="2" t="str">
        <f>INDEX('Main Data'!$A$1:$O$1001,MATCH('Index&amp;Match'!$A315,'Main Data'!$A$1:$A$1001,0),MATCH('Index&amp;Match'!H314,'Main Data'!$A314:$O314,0))</f>
        <v>SME</v>
      </c>
      <c r="I315" s="2">
        <f>INDEX('Main Data'!$A$1:$O$1001,MATCH('Index&amp;Match'!$A315,'Main Data'!$A$1:$A$1001,0),MATCH('Index&amp;Match'!I314,'Main Data'!$A314:$O314,0))</f>
        <v>64</v>
      </c>
      <c r="J315" s="2">
        <f>INDEX('Main Data'!$A$1:$O$1001,MATCH('Index&amp;Match'!$A315,'Main Data'!$A$1:$A$1001,0),MATCH('Index&amp;Match'!J314,'Main Data'!$A314:$O314,0))</f>
        <v>64</v>
      </c>
      <c r="K315" s="11">
        <f>INDEX('Main Data'!$A$1:$O$1001,MATCH('Index&amp;Match'!$A315,'Main Data'!$A$1:$A$1001,0),MATCH('Index&amp;Match'!K314,'Main Data'!$A314:$O314,0))</f>
        <v>25727.99</v>
      </c>
      <c r="L315" s="11">
        <f>INDEX('Main Data'!$A$1:$O$1001,MATCH('Index&amp;Match'!$A315,'Main Data'!$A$1:$A$1001,0),MATCH('Index&amp;Match'!L314,'Main Data'!$A314:$O314,0))</f>
        <v>213.29</v>
      </c>
      <c r="M315" s="11">
        <f>INDEX('Main Data'!$A$1:$O$1001,MATCH('Index&amp;Match'!$A315,'Main Data'!$A$1:$A$1001,0),MATCH('Index&amp;Match'!M314,'Main Data'!$A314:$O314,0))</f>
        <v>96</v>
      </c>
      <c r="N315" s="2" t="str">
        <f>INDEX('Main Data'!$A$1:$O$1001,MATCH('Index&amp;Match'!$A315,'Main Data'!$A$1:$A$1001,0),MATCH('Index&amp;Match'!N314,'Main Data'!$A314:$O314,0))</f>
        <v>No</v>
      </c>
      <c r="O315" s="2">
        <f>INDEX('Main Data'!$A$1:$O$1001,MATCH('Index&amp;Match'!$A315,'Main Data'!$A$1:$A$1001,0),MATCH('Index&amp;Match'!O314,'Main Data'!$A314:$O314,0))</f>
        <v>64</v>
      </c>
    </row>
    <row r="316" spans="1:15" x14ac:dyDescent="0.3">
      <c r="A316" s="2" t="s">
        <v>373</v>
      </c>
      <c r="B316" s="1">
        <f>INDEX('Main Data'!$A$1:$O$1001,MATCH('Index&amp;Match'!$A316,'Main Data'!$A$1:$A$1001,0),MATCH('Index&amp;Match'!B315,'Main Data'!$A315:$O315,0))</f>
        <v>45950</v>
      </c>
      <c r="C316" s="2" t="str">
        <f>INDEX('Main Data'!$A$1:$O$1001,MATCH('Index&amp;Match'!$A316,'Main Data'!$A$1:$A$1001,0),MATCH('Index&amp;Match'!C315,'Main Data'!$A315:$O315,0))</f>
        <v>Taylor</v>
      </c>
      <c r="D316" s="2" t="str">
        <f>INDEX('Main Data'!$A$1:$O$1001,MATCH('Index&amp;Match'!$A316,'Main Data'!$A$1:$A$1001,0),MATCH('Index&amp;Match'!D315,'Main Data'!$A315:$O315,0))</f>
        <v>BR-005</v>
      </c>
      <c r="E316" s="2" t="str">
        <f>INDEX('Main Data'!$A$1:$O$1001,MATCH('Index&amp;Match'!$A316,'Main Data'!$A$1:$A$1001,0),MATCH('Index&amp;Match'!E315,'Main Data'!$A315:$O315,0))</f>
        <v>Central</v>
      </c>
      <c r="F316" s="2" t="str">
        <f>INDEX('Main Data'!$A$1:$O$1001,MATCH('Index&amp;Match'!$A316,'Main Data'!$A$1:$A$1001,0),MATCH('Index&amp;Match'!F315,'Main Data'!$A315:$O315,0))</f>
        <v>Personal Loan</v>
      </c>
      <c r="G316" s="2" t="str">
        <f>INDEX('Main Data'!$A$1:$O$1001,MATCH('Index&amp;Match'!$A316,'Main Data'!$A$1:$A$1001,0),MATCH('Index&amp;Match'!G315,'Main Data'!$A315:$O315,0))</f>
        <v>Email Campaign</v>
      </c>
      <c r="H316" s="2" t="str">
        <f>INDEX('Main Data'!$A$1:$O$1001,MATCH('Index&amp;Match'!$A316,'Main Data'!$A$1:$A$1001,0),MATCH('Index&amp;Match'!H315,'Main Data'!$A315:$O315,0))</f>
        <v>Corporate</v>
      </c>
      <c r="I316" s="2">
        <f>INDEX('Main Data'!$A$1:$O$1001,MATCH('Index&amp;Match'!$A316,'Main Data'!$A$1:$A$1001,0),MATCH('Index&amp;Match'!I315,'Main Data'!$A315:$O315,0))</f>
        <v>39</v>
      </c>
      <c r="J316" s="2">
        <f>INDEX('Main Data'!$A$1:$O$1001,MATCH('Index&amp;Match'!$A316,'Main Data'!$A$1:$A$1001,0),MATCH('Index&amp;Match'!J315,'Main Data'!$A315:$O315,0))</f>
        <v>39</v>
      </c>
      <c r="K316" s="11">
        <f>INDEX('Main Data'!$A$1:$O$1001,MATCH('Index&amp;Match'!$A316,'Main Data'!$A$1:$A$1001,0),MATCH('Index&amp;Match'!K315,'Main Data'!$A315:$O315,0))</f>
        <v>45488.84</v>
      </c>
      <c r="L316" s="11">
        <f>INDEX('Main Data'!$A$1:$O$1001,MATCH('Index&amp;Match'!$A316,'Main Data'!$A$1:$A$1001,0),MATCH('Index&amp;Match'!L315,'Main Data'!$A315:$O315,0))</f>
        <v>320.49</v>
      </c>
      <c r="M316" s="11">
        <f>INDEX('Main Data'!$A$1:$O$1001,MATCH('Index&amp;Match'!$A316,'Main Data'!$A$1:$A$1001,0),MATCH('Index&amp;Match'!M315,'Main Data'!$A315:$O315,0))</f>
        <v>80.48</v>
      </c>
      <c r="N316" s="2" t="str">
        <f>INDEX('Main Data'!$A$1:$O$1001,MATCH('Index&amp;Match'!$A316,'Main Data'!$A$1:$A$1001,0),MATCH('Index&amp;Match'!N315,'Main Data'!$A315:$O315,0))</f>
        <v>No</v>
      </c>
      <c r="O316" s="2">
        <f>INDEX('Main Data'!$A$1:$O$1001,MATCH('Index&amp;Match'!$A316,'Main Data'!$A$1:$A$1001,0),MATCH('Index&amp;Match'!O315,'Main Data'!$A315:$O315,0))</f>
        <v>39</v>
      </c>
    </row>
    <row r="317" spans="1:15" x14ac:dyDescent="0.3">
      <c r="A317" s="2" t="s">
        <v>374</v>
      </c>
      <c r="B317" s="1">
        <f>INDEX('Main Data'!$A$1:$O$1001,MATCH('Index&amp;Match'!$A317,'Main Data'!$A$1:$A$1001,0),MATCH('Index&amp;Match'!B316,'Main Data'!$A316:$O316,0))</f>
        <v>46063</v>
      </c>
      <c r="C317" s="2" t="str">
        <f>INDEX('Main Data'!$A$1:$O$1001,MATCH('Index&amp;Match'!$A317,'Main Data'!$A$1:$A$1001,0),MATCH('Index&amp;Match'!C316,'Main Data'!$A316:$O316,0))</f>
        <v>Drew</v>
      </c>
      <c r="D317" s="2" t="str">
        <f>INDEX('Main Data'!$A$1:$O$1001,MATCH('Index&amp;Match'!$A317,'Main Data'!$A$1:$A$1001,0),MATCH('Index&amp;Match'!D316,'Main Data'!$A316:$O316,0))</f>
        <v>BR-006</v>
      </c>
      <c r="E317" s="2" t="str">
        <f>INDEX('Main Data'!$A$1:$O$1001,MATCH('Index&amp;Match'!$A317,'Main Data'!$A$1:$A$1001,0),MATCH('Index&amp;Match'!E316,'Main Data'!$A316:$O316,0))</f>
        <v>South</v>
      </c>
      <c r="F317" s="2" t="str">
        <f>INDEX('Main Data'!$A$1:$O$1001,MATCH('Index&amp;Match'!$A317,'Main Data'!$A$1:$A$1001,0),MATCH('Index&amp;Match'!F316,'Main Data'!$A316:$O316,0))</f>
        <v>Mortgage</v>
      </c>
      <c r="G317" s="2" t="str">
        <f>INDEX('Main Data'!$A$1:$O$1001,MATCH('Index&amp;Match'!$A317,'Main Data'!$A$1:$A$1001,0),MATCH('Index&amp;Match'!G316,'Main Data'!$A316:$O316,0))</f>
        <v>Social Media</v>
      </c>
      <c r="H317" s="2" t="str">
        <f>INDEX('Main Data'!$A$1:$O$1001,MATCH('Index&amp;Match'!$A317,'Main Data'!$A$1:$A$1001,0),MATCH('Index&amp;Match'!H316,'Main Data'!$A316:$O316,0))</f>
        <v>High Net Worth</v>
      </c>
      <c r="I317" s="2">
        <f>INDEX('Main Data'!$A$1:$O$1001,MATCH('Index&amp;Match'!$A317,'Main Data'!$A$1:$A$1001,0),MATCH('Index&amp;Match'!I316,'Main Data'!$A316:$O316,0))</f>
        <v>46</v>
      </c>
      <c r="J317" s="2">
        <f>INDEX('Main Data'!$A$1:$O$1001,MATCH('Index&amp;Match'!$A317,'Main Data'!$A$1:$A$1001,0),MATCH('Index&amp;Match'!J316,'Main Data'!$A316:$O316,0))</f>
        <v>46</v>
      </c>
      <c r="K317" s="11">
        <f>INDEX('Main Data'!$A$1:$O$1001,MATCH('Index&amp;Match'!$A317,'Main Data'!$A$1:$A$1001,0),MATCH('Index&amp;Match'!K316,'Main Data'!$A316:$O316,0))</f>
        <v>39366.9</v>
      </c>
      <c r="L317" s="11">
        <f>INDEX('Main Data'!$A$1:$O$1001,MATCH('Index&amp;Match'!$A317,'Main Data'!$A$1:$A$1001,0),MATCH('Index&amp;Match'!L316,'Main Data'!$A316:$O316,0))</f>
        <v>431.87</v>
      </c>
      <c r="M317" s="11">
        <f>INDEX('Main Data'!$A$1:$O$1001,MATCH('Index&amp;Match'!$A317,'Main Data'!$A$1:$A$1001,0),MATCH('Index&amp;Match'!M316,'Main Data'!$A316:$O316,0))</f>
        <v>45.44</v>
      </c>
      <c r="N317" s="2" t="str">
        <f>INDEX('Main Data'!$A$1:$O$1001,MATCH('Index&amp;Match'!$A317,'Main Data'!$A$1:$A$1001,0),MATCH('Index&amp;Match'!N316,'Main Data'!$A316:$O316,0))</f>
        <v>Yes</v>
      </c>
      <c r="O317" s="2">
        <f>INDEX('Main Data'!$A$1:$O$1001,MATCH('Index&amp;Match'!$A317,'Main Data'!$A$1:$A$1001,0),MATCH('Index&amp;Match'!O316,'Main Data'!$A316:$O316,0))</f>
        <v>46</v>
      </c>
    </row>
    <row r="318" spans="1:15" x14ac:dyDescent="0.3">
      <c r="A318" s="2" t="s">
        <v>375</v>
      </c>
      <c r="B318" s="1">
        <f>INDEX('Main Data'!$A$1:$O$1001,MATCH('Index&amp;Match'!$A318,'Main Data'!$A$1:$A$1001,0),MATCH('Index&amp;Match'!B317,'Main Data'!$A317:$O317,0))</f>
        <v>46026</v>
      </c>
      <c r="C318" s="2" t="str">
        <f>INDEX('Main Data'!$A$1:$O$1001,MATCH('Index&amp;Match'!$A318,'Main Data'!$A$1:$A$1001,0),MATCH('Index&amp;Match'!C317,'Main Data'!$A317:$O317,0))</f>
        <v>Taylor</v>
      </c>
      <c r="D318" s="2" t="str">
        <f>INDEX('Main Data'!$A$1:$O$1001,MATCH('Index&amp;Match'!$A318,'Main Data'!$A$1:$A$1001,0),MATCH('Index&amp;Match'!D317,'Main Data'!$A317:$O317,0))</f>
        <v>BR-006</v>
      </c>
      <c r="E318" s="2" t="str">
        <f>INDEX('Main Data'!$A$1:$O$1001,MATCH('Index&amp;Match'!$A318,'Main Data'!$A$1:$A$1001,0),MATCH('Index&amp;Match'!E317,'Main Data'!$A317:$O317,0))</f>
        <v>South</v>
      </c>
      <c r="F318" s="2" t="str">
        <f>INDEX('Main Data'!$A$1:$O$1001,MATCH('Index&amp;Match'!$A318,'Main Data'!$A$1:$A$1001,0),MATCH('Index&amp;Match'!F317,'Main Data'!$A317:$O317,0))</f>
        <v>Wealth Management</v>
      </c>
      <c r="G318" s="2" t="str">
        <f>INDEX('Main Data'!$A$1:$O$1001,MATCH('Index&amp;Match'!$A318,'Main Data'!$A$1:$A$1001,0),MATCH('Index&amp;Match'!G317,'Main Data'!$A317:$O317,0))</f>
        <v>Referral</v>
      </c>
      <c r="H318" s="2" t="str">
        <f>INDEX('Main Data'!$A$1:$O$1001,MATCH('Index&amp;Match'!$A318,'Main Data'!$A$1:$A$1001,0),MATCH('Index&amp;Match'!H317,'Main Data'!$A317:$O317,0))</f>
        <v>Retail</v>
      </c>
      <c r="I318" s="2">
        <f>INDEX('Main Data'!$A$1:$O$1001,MATCH('Index&amp;Match'!$A318,'Main Data'!$A$1:$A$1001,0),MATCH('Index&amp;Match'!I317,'Main Data'!$A317:$O317,0))</f>
        <v>31</v>
      </c>
      <c r="J318" s="2">
        <f>INDEX('Main Data'!$A$1:$O$1001,MATCH('Index&amp;Match'!$A318,'Main Data'!$A$1:$A$1001,0),MATCH('Index&amp;Match'!J317,'Main Data'!$A317:$O317,0))</f>
        <v>31</v>
      </c>
      <c r="K318" s="11">
        <f>INDEX('Main Data'!$A$1:$O$1001,MATCH('Index&amp;Match'!$A318,'Main Data'!$A$1:$A$1001,0),MATCH('Index&amp;Match'!K317,'Main Data'!$A317:$O317,0))</f>
        <v>24626.61</v>
      </c>
      <c r="L318" s="11">
        <f>INDEX('Main Data'!$A$1:$O$1001,MATCH('Index&amp;Match'!$A318,'Main Data'!$A$1:$A$1001,0),MATCH('Index&amp;Match'!L317,'Main Data'!$A317:$O317,0))</f>
        <v>449.89</v>
      </c>
      <c r="M318" s="11">
        <f>INDEX('Main Data'!$A$1:$O$1001,MATCH('Index&amp;Match'!$A318,'Main Data'!$A$1:$A$1001,0),MATCH('Index&amp;Match'!M317,'Main Data'!$A317:$O317,0))</f>
        <v>88.37</v>
      </c>
      <c r="N318" s="2" t="str">
        <f>INDEX('Main Data'!$A$1:$O$1001,MATCH('Index&amp;Match'!$A318,'Main Data'!$A$1:$A$1001,0),MATCH('Index&amp;Match'!N317,'Main Data'!$A317:$O317,0))</f>
        <v>No</v>
      </c>
      <c r="O318" s="2">
        <f>INDEX('Main Data'!$A$1:$O$1001,MATCH('Index&amp;Match'!$A318,'Main Data'!$A$1:$A$1001,0),MATCH('Index&amp;Match'!O317,'Main Data'!$A317:$O317,0))</f>
        <v>31</v>
      </c>
    </row>
    <row r="319" spans="1:15" x14ac:dyDescent="0.3">
      <c r="A319" s="2" t="s">
        <v>376</v>
      </c>
      <c r="B319" s="1">
        <f>INDEX('Main Data'!$A$1:$O$1001,MATCH('Index&amp;Match'!$A319,'Main Data'!$A$1:$A$1001,0),MATCH('Index&amp;Match'!B318,'Main Data'!$A318:$O318,0))</f>
        <v>45930</v>
      </c>
      <c r="C319" s="2" t="str">
        <f>INDEX('Main Data'!$A$1:$O$1001,MATCH('Index&amp;Match'!$A319,'Main Data'!$A$1:$A$1001,0),MATCH('Index&amp;Match'!C318,'Main Data'!$A318:$O318,0))</f>
        <v>Alex</v>
      </c>
      <c r="D319" s="2" t="str">
        <f>INDEX('Main Data'!$A$1:$O$1001,MATCH('Index&amp;Match'!$A319,'Main Data'!$A$1:$A$1001,0),MATCH('Index&amp;Match'!D318,'Main Data'!$A318:$O318,0))</f>
        <v>BR-007</v>
      </c>
      <c r="E319" s="2" t="str">
        <f>INDEX('Main Data'!$A$1:$O$1001,MATCH('Index&amp;Match'!$A319,'Main Data'!$A$1:$A$1001,0),MATCH('Index&amp;Match'!E318,'Main Data'!$A318:$O318,0))</f>
        <v>East</v>
      </c>
      <c r="F319" s="2" t="str">
        <f>INDEX('Main Data'!$A$1:$O$1001,MATCH('Index&amp;Match'!$A319,'Main Data'!$A$1:$A$1001,0),MATCH('Index&amp;Match'!F318,'Main Data'!$A318:$O318,0))</f>
        <v>Auto Loan</v>
      </c>
      <c r="G319" s="2" t="str">
        <f>INDEX('Main Data'!$A$1:$O$1001,MATCH('Index&amp;Match'!$A319,'Main Data'!$A$1:$A$1001,0),MATCH('Index&amp;Match'!G318,'Main Data'!$A318:$O318,0))</f>
        <v>Referral</v>
      </c>
      <c r="H319" s="2" t="str">
        <f>INDEX('Main Data'!$A$1:$O$1001,MATCH('Index&amp;Match'!$A319,'Main Data'!$A$1:$A$1001,0),MATCH('Index&amp;Match'!H318,'Main Data'!$A318:$O318,0))</f>
        <v>High Net Worth</v>
      </c>
      <c r="I319" s="2">
        <f>INDEX('Main Data'!$A$1:$O$1001,MATCH('Index&amp;Match'!$A319,'Main Data'!$A$1:$A$1001,0),MATCH('Index&amp;Match'!I318,'Main Data'!$A318:$O318,0))</f>
        <v>60</v>
      </c>
      <c r="J319" s="2">
        <f>INDEX('Main Data'!$A$1:$O$1001,MATCH('Index&amp;Match'!$A319,'Main Data'!$A$1:$A$1001,0),MATCH('Index&amp;Match'!J318,'Main Data'!$A318:$O318,0))</f>
        <v>60</v>
      </c>
      <c r="K319" s="11">
        <f>INDEX('Main Data'!$A$1:$O$1001,MATCH('Index&amp;Match'!$A319,'Main Data'!$A$1:$A$1001,0),MATCH('Index&amp;Match'!K318,'Main Data'!$A318:$O318,0))</f>
        <v>47295.9</v>
      </c>
      <c r="L319" s="11">
        <f>INDEX('Main Data'!$A$1:$O$1001,MATCH('Index&amp;Match'!$A319,'Main Data'!$A$1:$A$1001,0),MATCH('Index&amp;Match'!L318,'Main Data'!$A318:$O318,0))</f>
        <v>267.73</v>
      </c>
      <c r="M319" s="11">
        <f>INDEX('Main Data'!$A$1:$O$1001,MATCH('Index&amp;Match'!$A319,'Main Data'!$A$1:$A$1001,0),MATCH('Index&amp;Match'!M318,'Main Data'!$A318:$O318,0))</f>
        <v>231.21</v>
      </c>
      <c r="N319" s="2" t="str">
        <f>INDEX('Main Data'!$A$1:$O$1001,MATCH('Index&amp;Match'!$A319,'Main Data'!$A$1:$A$1001,0),MATCH('Index&amp;Match'!N318,'Main Data'!$A318:$O318,0))</f>
        <v>Yes</v>
      </c>
      <c r="O319" s="2">
        <f>INDEX('Main Data'!$A$1:$O$1001,MATCH('Index&amp;Match'!$A319,'Main Data'!$A$1:$A$1001,0),MATCH('Index&amp;Match'!O318,'Main Data'!$A318:$O318,0))</f>
        <v>60</v>
      </c>
    </row>
    <row r="320" spans="1:15" x14ac:dyDescent="0.3">
      <c r="A320" s="2" t="s">
        <v>377</v>
      </c>
      <c r="B320" s="1">
        <f>INDEX('Main Data'!$A$1:$O$1001,MATCH('Index&amp;Match'!$A320,'Main Data'!$A$1:$A$1001,0),MATCH('Index&amp;Match'!B319,'Main Data'!$A319:$O319,0))</f>
        <v>46151</v>
      </c>
      <c r="C320" s="2" t="str">
        <f>INDEX('Main Data'!$A$1:$O$1001,MATCH('Index&amp;Match'!$A320,'Main Data'!$A$1:$A$1001,0),MATCH('Index&amp;Match'!C319,'Main Data'!$A319:$O319,0))</f>
        <v>Jamie</v>
      </c>
      <c r="D320" s="2" t="str">
        <f>INDEX('Main Data'!$A$1:$O$1001,MATCH('Index&amp;Match'!$A320,'Main Data'!$A$1:$A$1001,0),MATCH('Index&amp;Match'!D319,'Main Data'!$A319:$O319,0))</f>
        <v>BR-004</v>
      </c>
      <c r="E320" s="2" t="str">
        <f>INDEX('Main Data'!$A$1:$O$1001,MATCH('Index&amp;Match'!$A320,'Main Data'!$A$1:$A$1001,0),MATCH('Index&amp;Match'!E319,'Main Data'!$A319:$O319,0))</f>
        <v>Central</v>
      </c>
      <c r="F320" s="2" t="str">
        <f>INDEX('Main Data'!$A$1:$O$1001,MATCH('Index&amp;Match'!$A320,'Main Data'!$A$1:$A$1001,0),MATCH('Index&amp;Match'!F319,'Main Data'!$A319:$O319,0))</f>
        <v>Auto Loan</v>
      </c>
      <c r="G320" s="2" t="str">
        <f>INDEX('Main Data'!$A$1:$O$1001,MATCH('Index&amp;Match'!$A320,'Main Data'!$A$1:$A$1001,0),MATCH('Index&amp;Match'!G319,'Main Data'!$A319:$O319,0))</f>
        <v>Walk-in</v>
      </c>
      <c r="H320" s="2" t="str">
        <f>INDEX('Main Data'!$A$1:$O$1001,MATCH('Index&amp;Match'!$A320,'Main Data'!$A$1:$A$1001,0),MATCH('Index&amp;Match'!H319,'Main Data'!$A319:$O319,0))</f>
        <v>Retail</v>
      </c>
      <c r="I320" s="2">
        <f>INDEX('Main Data'!$A$1:$O$1001,MATCH('Index&amp;Match'!$A320,'Main Data'!$A$1:$A$1001,0),MATCH('Index&amp;Match'!I319,'Main Data'!$A319:$O319,0))</f>
        <v>70</v>
      </c>
      <c r="J320" s="2">
        <f>INDEX('Main Data'!$A$1:$O$1001,MATCH('Index&amp;Match'!$A320,'Main Data'!$A$1:$A$1001,0),MATCH('Index&amp;Match'!J319,'Main Data'!$A319:$O319,0))</f>
        <v>70</v>
      </c>
      <c r="K320" s="11">
        <f>INDEX('Main Data'!$A$1:$O$1001,MATCH('Index&amp;Match'!$A320,'Main Data'!$A$1:$A$1001,0),MATCH('Index&amp;Match'!K319,'Main Data'!$A319:$O319,0))</f>
        <v>3333.22</v>
      </c>
      <c r="L320" s="11">
        <f>INDEX('Main Data'!$A$1:$O$1001,MATCH('Index&amp;Match'!$A320,'Main Data'!$A$1:$A$1001,0),MATCH('Index&amp;Match'!L319,'Main Data'!$A319:$O319,0))</f>
        <v>377.79</v>
      </c>
      <c r="M320" s="11">
        <f>INDEX('Main Data'!$A$1:$O$1001,MATCH('Index&amp;Match'!$A320,'Main Data'!$A$1:$A$1001,0),MATCH('Index&amp;Match'!M319,'Main Data'!$A319:$O319,0))</f>
        <v>52.8</v>
      </c>
      <c r="N320" s="2" t="str">
        <f>INDEX('Main Data'!$A$1:$O$1001,MATCH('Index&amp;Match'!$A320,'Main Data'!$A$1:$A$1001,0),MATCH('Index&amp;Match'!N319,'Main Data'!$A319:$O319,0))</f>
        <v>No</v>
      </c>
      <c r="O320" s="2">
        <f>INDEX('Main Data'!$A$1:$O$1001,MATCH('Index&amp;Match'!$A320,'Main Data'!$A$1:$A$1001,0),MATCH('Index&amp;Match'!O319,'Main Data'!$A319:$O319,0))</f>
        <v>70</v>
      </c>
    </row>
    <row r="321" spans="1:15" x14ac:dyDescent="0.3">
      <c r="A321" s="2" t="s">
        <v>378</v>
      </c>
      <c r="B321" s="1">
        <f>INDEX('Main Data'!$A$1:$O$1001,MATCH('Index&amp;Match'!$A321,'Main Data'!$A$1:$A$1001,0),MATCH('Index&amp;Match'!B320,'Main Data'!$A320:$O320,0))</f>
        <v>45925</v>
      </c>
      <c r="C321" s="2" t="str">
        <f>INDEX('Main Data'!$A$1:$O$1001,MATCH('Index&amp;Match'!$A321,'Main Data'!$A$1:$A$1001,0),MATCH('Index&amp;Match'!C320,'Main Data'!$A320:$O320,0))</f>
        <v>Sam</v>
      </c>
      <c r="D321" s="2" t="str">
        <f>INDEX('Main Data'!$A$1:$O$1001,MATCH('Index&amp;Match'!$A321,'Main Data'!$A$1:$A$1001,0),MATCH('Index&amp;Match'!D320,'Main Data'!$A320:$O320,0))</f>
        <v>BR-014</v>
      </c>
      <c r="E321" s="2" t="str">
        <f>INDEX('Main Data'!$A$1:$O$1001,MATCH('Index&amp;Match'!$A321,'Main Data'!$A$1:$A$1001,0),MATCH('Index&amp;Match'!E320,'Main Data'!$A320:$O320,0))</f>
        <v>North</v>
      </c>
      <c r="F321" s="2" t="str">
        <f>INDEX('Main Data'!$A$1:$O$1001,MATCH('Index&amp;Match'!$A321,'Main Data'!$A$1:$A$1001,0),MATCH('Index&amp;Match'!F320,'Main Data'!$A320:$O320,0))</f>
        <v>Mortgage</v>
      </c>
      <c r="G321" s="2" t="str">
        <f>INDEX('Main Data'!$A$1:$O$1001,MATCH('Index&amp;Match'!$A321,'Main Data'!$A$1:$A$1001,0),MATCH('Index&amp;Match'!G320,'Main Data'!$A320:$O320,0))</f>
        <v>Referral</v>
      </c>
      <c r="H321" s="2" t="str">
        <f>INDEX('Main Data'!$A$1:$O$1001,MATCH('Index&amp;Match'!$A321,'Main Data'!$A$1:$A$1001,0),MATCH('Index&amp;Match'!H320,'Main Data'!$A320:$O320,0))</f>
        <v>Retail</v>
      </c>
      <c r="I321" s="2">
        <f>INDEX('Main Data'!$A$1:$O$1001,MATCH('Index&amp;Match'!$A321,'Main Data'!$A$1:$A$1001,0),MATCH('Index&amp;Match'!I320,'Main Data'!$A320:$O320,0))</f>
        <v>63</v>
      </c>
      <c r="J321" s="2">
        <f>INDEX('Main Data'!$A$1:$O$1001,MATCH('Index&amp;Match'!$A321,'Main Data'!$A$1:$A$1001,0),MATCH('Index&amp;Match'!J320,'Main Data'!$A320:$O320,0))</f>
        <v>63</v>
      </c>
      <c r="K321" s="11">
        <f>INDEX('Main Data'!$A$1:$O$1001,MATCH('Index&amp;Match'!$A321,'Main Data'!$A$1:$A$1001,0),MATCH('Index&amp;Match'!K320,'Main Data'!$A320:$O320,0))</f>
        <v>46584.43</v>
      </c>
      <c r="L321" s="11">
        <f>INDEX('Main Data'!$A$1:$O$1001,MATCH('Index&amp;Match'!$A321,'Main Data'!$A$1:$A$1001,0),MATCH('Index&amp;Match'!L320,'Main Data'!$A320:$O320,0))</f>
        <v>192.4</v>
      </c>
      <c r="M321" s="11">
        <f>INDEX('Main Data'!$A$1:$O$1001,MATCH('Index&amp;Match'!$A321,'Main Data'!$A$1:$A$1001,0),MATCH('Index&amp;Match'!M320,'Main Data'!$A320:$O320,0))</f>
        <v>1.08</v>
      </c>
      <c r="N321" s="2" t="str">
        <f>INDEX('Main Data'!$A$1:$O$1001,MATCH('Index&amp;Match'!$A321,'Main Data'!$A$1:$A$1001,0),MATCH('Index&amp;Match'!N320,'Main Data'!$A320:$O320,0))</f>
        <v>No</v>
      </c>
      <c r="O321" s="2">
        <f>INDEX('Main Data'!$A$1:$O$1001,MATCH('Index&amp;Match'!$A321,'Main Data'!$A$1:$A$1001,0),MATCH('Index&amp;Match'!O320,'Main Data'!$A320:$O320,0))</f>
        <v>63</v>
      </c>
    </row>
    <row r="322" spans="1:15" x14ac:dyDescent="0.3">
      <c r="A322" s="2" t="s">
        <v>379</v>
      </c>
      <c r="B322" s="1">
        <f>INDEX('Main Data'!$A$1:$O$1001,MATCH('Index&amp;Match'!$A322,'Main Data'!$A$1:$A$1001,0),MATCH('Index&amp;Match'!B321,'Main Data'!$A321:$O321,0))</f>
        <v>46045</v>
      </c>
      <c r="C322" s="2" t="str">
        <f>INDEX('Main Data'!$A$1:$O$1001,MATCH('Index&amp;Match'!$A322,'Main Data'!$A$1:$A$1001,0),MATCH('Index&amp;Match'!C321,'Main Data'!$A321:$O321,0))</f>
        <v>Drew</v>
      </c>
      <c r="D322" s="2" t="str">
        <f>INDEX('Main Data'!$A$1:$O$1001,MATCH('Index&amp;Match'!$A322,'Main Data'!$A$1:$A$1001,0),MATCH('Index&amp;Match'!D321,'Main Data'!$A321:$O321,0))</f>
        <v>BR-011</v>
      </c>
      <c r="E322" s="2" t="str">
        <f>INDEX('Main Data'!$A$1:$O$1001,MATCH('Index&amp;Match'!$A322,'Main Data'!$A$1:$A$1001,0),MATCH('Index&amp;Match'!E321,'Main Data'!$A321:$O321,0))</f>
        <v>North</v>
      </c>
      <c r="F322" s="2" t="str">
        <f>INDEX('Main Data'!$A$1:$O$1001,MATCH('Index&amp;Match'!$A322,'Main Data'!$A$1:$A$1001,0),MATCH('Index&amp;Match'!F321,'Main Data'!$A321:$O321,0))</f>
        <v>Personal Loan</v>
      </c>
      <c r="G322" s="2" t="str">
        <f>INDEX('Main Data'!$A$1:$O$1001,MATCH('Index&amp;Match'!$A322,'Main Data'!$A$1:$A$1001,0),MATCH('Index&amp;Match'!G321,'Main Data'!$A321:$O321,0))</f>
        <v>Website</v>
      </c>
      <c r="H322" s="2" t="str">
        <f>INDEX('Main Data'!$A$1:$O$1001,MATCH('Index&amp;Match'!$A322,'Main Data'!$A$1:$A$1001,0),MATCH('Index&amp;Match'!H321,'Main Data'!$A321:$O321,0))</f>
        <v>High Net Worth</v>
      </c>
      <c r="I322" s="2">
        <f>INDEX('Main Data'!$A$1:$O$1001,MATCH('Index&amp;Match'!$A322,'Main Data'!$A$1:$A$1001,0),MATCH('Index&amp;Match'!I321,'Main Data'!$A321:$O321,0))</f>
        <v>31</v>
      </c>
      <c r="J322" s="2">
        <f>INDEX('Main Data'!$A$1:$O$1001,MATCH('Index&amp;Match'!$A322,'Main Data'!$A$1:$A$1001,0),MATCH('Index&amp;Match'!J321,'Main Data'!$A321:$O321,0))</f>
        <v>31</v>
      </c>
      <c r="K322" s="11">
        <f>INDEX('Main Data'!$A$1:$O$1001,MATCH('Index&amp;Match'!$A322,'Main Data'!$A$1:$A$1001,0),MATCH('Index&amp;Match'!K321,'Main Data'!$A321:$O321,0))</f>
        <v>3000.12</v>
      </c>
      <c r="L322" s="11">
        <f>INDEX('Main Data'!$A$1:$O$1001,MATCH('Index&amp;Match'!$A322,'Main Data'!$A$1:$A$1001,0),MATCH('Index&amp;Match'!L321,'Main Data'!$A321:$O321,0))</f>
        <v>203.98</v>
      </c>
      <c r="M322" s="11">
        <f>INDEX('Main Data'!$A$1:$O$1001,MATCH('Index&amp;Match'!$A322,'Main Data'!$A$1:$A$1001,0),MATCH('Index&amp;Match'!M321,'Main Data'!$A321:$O321,0))</f>
        <v>200.55</v>
      </c>
      <c r="N322" s="2" t="str">
        <f>INDEX('Main Data'!$A$1:$O$1001,MATCH('Index&amp;Match'!$A322,'Main Data'!$A$1:$A$1001,0),MATCH('Index&amp;Match'!N321,'Main Data'!$A321:$O321,0))</f>
        <v>No</v>
      </c>
      <c r="O322" s="2">
        <f>INDEX('Main Data'!$A$1:$O$1001,MATCH('Index&amp;Match'!$A322,'Main Data'!$A$1:$A$1001,0),MATCH('Index&amp;Match'!O321,'Main Data'!$A321:$O321,0))</f>
        <v>31</v>
      </c>
    </row>
    <row r="323" spans="1:15" x14ac:dyDescent="0.3">
      <c r="A323" s="2" t="s">
        <v>380</v>
      </c>
      <c r="B323" s="1">
        <f>INDEX('Main Data'!$A$1:$O$1001,MATCH('Index&amp;Match'!$A323,'Main Data'!$A$1:$A$1001,0),MATCH('Index&amp;Match'!B322,'Main Data'!$A322:$O322,0))</f>
        <v>45970</v>
      </c>
      <c r="C323" s="2" t="str">
        <f>INDEX('Main Data'!$A$1:$O$1001,MATCH('Index&amp;Match'!$A323,'Main Data'!$A$1:$A$1001,0),MATCH('Index&amp;Match'!C322,'Main Data'!$A322:$O322,0))</f>
        <v>Casey</v>
      </c>
      <c r="D323" s="2" t="str">
        <f>INDEX('Main Data'!$A$1:$O$1001,MATCH('Index&amp;Match'!$A323,'Main Data'!$A$1:$A$1001,0),MATCH('Index&amp;Match'!D322,'Main Data'!$A322:$O322,0))</f>
        <v>BR-014</v>
      </c>
      <c r="E323" s="2" t="str">
        <f>INDEX('Main Data'!$A$1:$O$1001,MATCH('Index&amp;Match'!$A323,'Main Data'!$A$1:$A$1001,0),MATCH('Index&amp;Match'!E322,'Main Data'!$A322:$O322,0))</f>
        <v>West</v>
      </c>
      <c r="F323" s="2" t="str">
        <f>INDEX('Main Data'!$A$1:$O$1001,MATCH('Index&amp;Match'!$A323,'Main Data'!$A$1:$A$1001,0),MATCH('Index&amp;Match'!F322,'Main Data'!$A322:$O322,0))</f>
        <v>Mortgage</v>
      </c>
      <c r="G323" s="2" t="str">
        <f>INDEX('Main Data'!$A$1:$O$1001,MATCH('Index&amp;Match'!$A323,'Main Data'!$A$1:$A$1001,0),MATCH('Index&amp;Match'!G322,'Main Data'!$A322:$O322,0))</f>
        <v>Walk-in</v>
      </c>
      <c r="H323" s="2" t="str">
        <f>INDEX('Main Data'!$A$1:$O$1001,MATCH('Index&amp;Match'!$A323,'Main Data'!$A$1:$A$1001,0),MATCH('Index&amp;Match'!H322,'Main Data'!$A322:$O322,0))</f>
        <v>High Net Worth</v>
      </c>
      <c r="I323" s="2">
        <f>INDEX('Main Data'!$A$1:$O$1001,MATCH('Index&amp;Match'!$A323,'Main Data'!$A$1:$A$1001,0),MATCH('Index&amp;Match'!I322,'Main Data'!$A322:$O322,0))</f>
        <v>65</v>
      </c>
      <c r="J323" s="2">
        <f>INDEX('Main Data'!$A$1:$O$1001,MATCH('Index&amp;Match'!$A323,'Main Data'!$A$1:$A$1001,0),MATCH('Index&amp;Match'!J322,'Main Data'!$A322:$O322,0))</f>
        <v>65</v>
      </c>
      <c r="K323" s="11">
        <f>INDEX('Main Data'!$A$1:$O$1001,MATCH('Index&amp;Match'!$A323,'Main Data'!$A$1:$A$1001,0),MATCH('Index&amp;Match'!K322,'Main Data'!$A322:$O322,0))</f>
        <v>27591.58</v>
      </c>
      <c r="L323" s="11">
        <f>INDEX('Main Data'!$A$1:$O$1001,MATCH('Index&amp;Match'!$A323,'Main Data'!$A$1:$A$1001,0),MATCH('Index&amp;Match'!L322,'Main Data'!$A322:$O322,0))</f>
        <v>137.51</v>
      </c>
      <c r="M323" s="11">
        <f>INDEX('Main Data'!$A$1:$O$1001,MATCH('Index&amp;Match'!$A323,'Main Data'!$A$1:$A$1001,0),MATCH('Index&amp;Match'!M322,'Main Data'!$A322:$O322,0))</f>
        <v>291.8</v>
      </c>
      <c r="N323" s="2" t="str">
        <f>INDEX('Main Data'!$A$1:$O$1001,MATCH('Index&amp;Match'!$A323,'Main Data'!$A$1:$A$1001,0),MATCH('Index&amp;Match'!N322,'Main Data'!$A322:$O322,0))</f>
        <v>Yes</v>
      </c>
      <c r="O323" s="2">
        <f>INDEX('Main Data'!$A$1:$O$1001,MATCH('Index&amp;Match'!$A323,'Main Data'!$A$1:$A$1001,0),MATCH('Index&amp;Match'!O322,'Main Data'!$A322:$O322,0))</f>
        <v>65</v>
      </c>
    </row>
    <row r="324" spans="1:15" x14ac:dyDescent="0.3">
      <c r="A324" s="2" t="s">
        <v>381</v>
      </c>
      <c r="B324" s="1">
        <f>INDEX('Main Data'!$A$1:$O$1001,MATCH('Index&amp;Match'!$A324,'Main Data'!$A$1:$A$1001,0),MATCH('Index&amp;Match'!B323,'Main Data'!$A323:$O323,0))</f>
        <v>46140</v>
      </c>
      <c r="C324" s="2" t="str">
        <f>INDEX('Main Data'!$A$1:$O$1001,MATCH('Index&amp;Match'!$A324,'Main Data'!$A$1:$A$1001,0),MATCH('Index&amp;Match'!C323,'Main Data'!$A323:$O323,0))</f>
        <v>Morgan</v>
      </c>
      <c r="D324" s="2" t="str">
        <f>INDEX('Main Data'!$A$1:$O$1001,MATCH('Index&amp;Match'!$A324,'Main Data'!$A$1:$A$1001,0),MATCH('Index&amp;Match'!D323,'Main Data'!$A323:$O323,0))</f>
        <v>BR-014</v>
      </c>
      <c r="E324" s="2" t="str">
        <f>INDEX('Main Data'!$A$1:$O$1001,MATCH('Index&amp;Match'!$A324,'Main Data'!$A$1:$A$1001,0),MATCH('Index&amp;Match'!E323,'Main Data'!$A323:$O323,0))</f>
        <v>North</v>
      </c>
      <c r="F324" s="2" t="str">
        <f>INDEX('Main Data'!$A$1:$O$1001,MATCH('Index&amp;Match'!$A324,'Main Data'!$A$1:$A$1001,0),MATCH('Index&amp;Match'!F323,'Main Data'!$A323:$O323,0))</f>
        <v>Mortgage</v>
      </c>
      <c r="G324" s="2" t="str">
        <f>INDEX('Main Data'!$A$1:$O$1001,MATCH('Index&amp;Match'!$A324,'Main Data'!$A$1:$A$1001,0),MATCH('Index&amp;Match'!G323,'Main Data'!$A323:$O323,0))</f>
        <v>Website</v>
      </c>
      <c r="H324" s="2" t="str">
        <f>INDEX('Main Data'!$A$1:$O$1001,MATCH('Index&amp;Match'!$A324,'Main Data'!$A$1:$A$1001,0),MATCH('Index&amp;Match'!H323,'Main Data'!$A323:$O323,0))</f>
        <v>Retail</v>
      </c>
      <c r="I324" s="2">
        <f>INDEX('Main Data'!$A$1:$O$1001,MATCH('Index&amp;Match'!$A324,'Main Data'!$A$1:$A$1001,0),MATCH('Index&amp;Match'!I323,'Main Data'!$A323:$O323,0))</f>
        <v>23</v>
      </c>
      <c r="J324" s="2">
        <f>INDEX('Main Data'!$A$1:$O$1001,MATCH('Index&amp;Match'!$A324,'Main Data'!$A$1:$A$1001,0),MATCH('Index&amp;Match'!J323,'Main Data'!$A323:$O323,0))</f>
        <v>23</v>
      </c>
      <c r="K324" s="11">
        <f>INDEX('Main Data'!$A$1:$O$1001,MATCH('Index&amp;Match'!$A324,'Main Data'!$A$1:$A$1001,0),MATCH('Index&amp;Match'!K323,'Main Data'!$A323:$O323,0))</f>
        <v>44576.83</v>
      </c>
      <c r="L324" s="11">
        <f>INDEX('Main Data'!$A$1:$O$1001,MATCH('Index&amp;Match'!$A324,'Main Data'!$A$1:$A$1001,0),MATCH('Index&amp;Match'!L323,'Main Data'!$A323:$O323,0))</f>
        <v>302.88</v>
      </c>
      <c r="M324" s="11">
        <f>INDEX('Main Data'!$A$1:$O$1001,MATCH('Index&amp;Match'!$A324,'Main Data'!$A$1:$A$1001,0),MATCH('Index&amp;Match'!M323,'Main Data'!$A323:$O323,0))</f>
        <v>121.37</v>
      </c>
      <c r="N324" s="2" t="str">
        <f>INDEX('Main Data'!$A$1:$O$1001,MATCH('Index&amp;Match'!$A324,'Main Data'!$A$1:$A$1001,0),MATCH('Index&amp;Match'!N323,'Main Data'!$A323:$O323,0))</f>
        <v>Yes</v>
      </c>
      <c r="O324" s="2">
        <f>INDEX('Main Data'!$A$1:$O$1001,MATCH('Index&amp;Match'!$A324,'Main Data'!$A$1:$A$1001,0),MATCH('Index&amp;Match'!O323,'Main Data'!$A323:$O323,0))</f>
        <v>23</v>
      </c>
    </row>
    <row r="325" spans="1:15" x14ac:dyDescent="0.3">
      <c r="A325" s="2" t="s">
        <v>382</v>
      </c>
      <c r="B325" s="1">
        <f>INDEX('Main Data'!$A$1:$O$1001,MATCH('Index&amp;Match'!$A325,'Main Data'!$A$1:$A$1001,0),MATCH('Index&amp;Match'!B324,'Main Data'!$A324:$O324,0))</f>
        <v>46135</v>
      </c>
      <c r="C325" s="2" t="str">
        <f>INDEX('Main Data'!$A$1:$O$1001,MATCH('Index&amp;Match'!$A325,'Main Data'!$A$1:$A$1001,0),MATCH('Index&amp;Match'!C324,'Main Data'!$A324:$O324,0))</f>
        <v>Jordan</v>
      </c>
      <c r="D325" s="2" t="str">
        <f>INDEX('Main Data'!$A$1:$O$1001,MATCH('Index&amp;Match'!$A325,'Main Data'!$A$1:$A$1001,0),MATCH('Index&amp;Match'!D324,'Main Data'!$A324:$O324,0))</f>
        <v>BR-014</v>
      </c>
      <c r="E325" s="2" t="str">
        <f>INDEX('Main Data'!$A$1:$O$1001,MATCH('Index&amp;Match'!$A325,'Main Data'!$A$1:$A$1001,0),MATCH('Index&amp;Match'!E324,'Main Data'!$A324:$O324,0))</f>
        <v>East</v>
      </c>
      <c r="F325" s="2" t="str">
        <f>INDEX('Main Data'!$A$1:$O$1001,MATCH('Index&amp;Match'!$A325,'Main Data'!$A$1:$A$1001,0),MATCH('Index&amp;Match'!F324,'Main Data'!$A324:$O324,0))</f>
        <v>Credit Card</v>
      </c>
      <c r="G325" s="2" t="str">
        <f>INDEX('Main Data'!$A$1:$O$1001,MATCH('Index&amp;Match'!$A325,'Main Data'!$A$1:$A$1001,0),MATCH('Index&amp;Match'!G324,'Main Data'!$A324:$O324,0))</f>
        <v>Social Media</v>
      </c>
      <c r="H325" s="2" t="str">
        <f>INDEX('Main Data'!$A$1:$O$1001,MATCH('Index&amp;Match'!$A325,'Main Data'!$A$1:$A$1001,0),MATCH('Index&amp;Match'!H324,'Main Data'!$A324:$O324,0))</f>
        <v>SME</v>
      </c>
      <c r="I325" s="2">
        <f>INDEX('Main Data'!$A$1:$O$1001,MATCH('Index&amp;Match'!$A325,'Main Data'!$A$1:$A$1001,0),MATCH('Index&amp;Match'!I324,'Main Data'!$A324:$O324,0))</f>
        <v>32</v>
      </c>
      <c r="J325" s="2">
        <f>INDEX('Main Data'!$A$1:$O$1001,MATCH('Index&amp;Match'!$A325,'Main Data'!$A$1:$A$1001,0),MATCH('Index&amp;Match'!J324,'Main Data'!$A324:$O324,0))</f>
        <v>32</v>
      </c>
      <c r="K325" s="11">
        <f>INDEX('Main Data'!$A$1:$O$1001,MATCH('Index&amp;Match'!$A325,'Main Data'!$A$1:$A$1001,0),MATCH('Index&amp;Match'!K324,'Main Data'!$A324:$O324,0))</f>
        <v>13504.69</v>
      </c>
      <c r="L325" s="11">
        <f>INDEX('Main Data'!$A$1:$O$1001,MATCH('Index&amp;Match'!$A325,'Main Data'!$A$1:$A$1001,0),MATCH('Index&amp;Match'!L324,'Main Data'!$A324:$O324,0))</f>
        <v>191.55</v>
      </c>
      <c r="M325" s="11">
        <f>INDEX('Main Data'!$A$1:$O$1001,MATCH('Index&amp;Match'!$A325,'Main Data'!$A$1:$A$1001,0),MATCH('Index&amp;Match'!M324,'Main Data'!$A324:$O324,0))</f>
        <v>23.98</v>
      </c>
      <c r="N325" s="2" t="str">
        <f>INDEX('Main Data'!$A$1:$O$1001,MATCH('Index&amp;Match'!$A325,'Main Data'!$A$1:$A$1001,0),MATCH('Index&amp;Match'!N324,'Main Data'!$A324:$O324,0))</f>
        <v>Yes</v>
      </c>
      <c r="O325" s="2">
        <f>INDEX('Main Data'!$A$1:$O$1001,MATCH('Index&amp;Match'!$A325,'Main Data'!$A$1:$A$1001,0),MATCH('Index&amp;Match'!O324,'Main Data'!$A324:$O324,0))</f>
        <v>32</v>
      </c>
    </row>
    <row r="326" spans="1:15" x14ac:dyDescent="0.3">
      <c r="A326" s="2" t="s">
        <v>383</v>
      </c>
      <c r="B326" s="1">
        <f>INDEX('Main Data'!$A$1:$O$1001,MATCH('Index&amp;Match'!$A326,'Main Data'!$A$1:$A$1001,0),MATCH('Index&amp;Match'!B325,'Main Data'!$A325:$O325,0))</f>
        <v>46141</v>
      </c>
      <c r="C326" s="2" t="str">
        <f>INDEX('Main Data'!$A$1:$O$1001,MATCH('Index&amp;Match'!$A326,'Main Data'!$A$1:$A$1001,0),MATCH('Index&amp;Match'!C325,'Main Data'!$A325:$O325,0))</f>
        <v>Sam</v>
      </c>
      <c r="D326" s="2" t="str">
        <f>INDEX('Main Data'!$A$1:$O$1001,MATCH('Index&amp;Match'!$A326,'Main Data'!$A$1:$A$1001,0),MATCH('Index&amp;Match'!D325,'Main Data'!$A325:$O325,0))</f>
        <v>BR-015</v>
      </c>
      <c r="E326" s="2" t="str">
        <f>INDEX('Main Data'!$A$1:$O$1001,MATCH('Index&amp;Match'!$A326,'Main Data'!$A$1:$A$1001,0),MATCH('Index&amp;Match'!E325,'Main Data'!$A325:$O325,0))</f>
        <v>East</v>
      </c>
      <c r="F326" s="2" t="str">
        <f>INDEX('Main Data'!$A$1:$O$1001,MATCH('Index&amp;Match'!$A326,'Main Data'!$A$1:$A$1001,0),MATCH('Index&amp;Match'!F325,'Main Data'!$A325:$O325,0))</f>
        <v>Wealth Management</v>
      </c>
      <c r="G326" s="2" t="str">
        <f>INDEX('Main Data'!$A$1:$O$1001,MATCH('Index&amp;Match'!$A326,'Main Data'!$A$1:$A$1001,0),MATCH('Index&amp;Match'!G325,'Main Data'!$A325:$O325,0))</f>
        <v>Email Campaign</v>
      </c>
      <c r="H326" s="2" t="str">
        <f>INDEX('Main Data'!$A$1:$O$1001,MATCH('Index&amp;Match'!$A326,'Main Data'!$A$1:$A$1001,0),MATCH('Index&amp;Match'!H325,'Main Data'!$A325:$O325,0))</f>
        <v>SME</v>
      </c>
      <c r="I326" s="2">
        <f>INDEX('Main Data'!$A$1:$O$1001,MATCH('Index&amp;Match'!$A326,'Main Data'!$A$1:$A$1001,0),MATCH('Index&amp;Match'!I325,'Main Data'!$A325:$O325,0))</f>
        <v>23</v>
      </c>
      <c r="J326" s="2">
        <f>INDEX('Main Data'!$A$1:$O$1001,MATCH('Index&amp;Match'!$A326,'Main Data'!$A$1:$A$1001,0),MATCH('Index&amp;Match'!J325,'Main Data'!$A325:$O325,0))</f>
        <v>23</v>
      </c>
      <c r="K326" s="11">
        <f>INDEX('Main Data'!$A$1:$O$1001,MATCH('Index&amp;Match'!$A326,'Main Data'!$A$1:$A$1001,0),MATCH('Index&amp;Match'!K325,'Main Data'!$A325:$O325,0))</f>
        <v>23876.3</v>
      </c>
      <c r="L326" s="11">
        <f>INDEX('Main Data'!$A$1:$O$1001,MATCH('Index&amp;Match'!$A326,'Main Data'!$A$1:$A$1001,0),MATCH('Index&amp;Match'!L325,'Main Data'!$A325:$O325,0))</f>
        <v>87.97</v>
      </c>
      <c r="M326" s="11">
        <f>INDEX('Main Data'!$A$1:$O$1001,MATCH('Index&amp;Match'!$A326,'Main Data'!$A$1:$A$1001,0),MATCH('Index&amp;Match'!M325,'Main Data'!$A325:$O325,0))</f>
        <v>64.150000000000006</v>
      </c>
      <c r="N326" s="2" t="str">
        <f>INDEX('Main Data'!$A$1:$O$1001,MATCH('Index&amp;Match'!$A326,'Main Data'!$A$1:$A$1001,0),MATCH('Index&amp;Match'!N325,'Main Data'!$A325:$O325,0))</f>
        <v>Yes</v>
      </c>
      <c r="O326" s="2">
        <f>INDEX('Main Data'!$A$1:$O$1001,MATCH('Index&amp;Match'!$A326,'Main Data'!$A$1:$A$1001,0),MATCH('Index&amp;Match'!O325,'Main Data'!$A325:$O325,0))</f>
        <v>23</v>
      </c>
    </row>
    <row r="327" spans="1:15" x14ac:dyDescent="0.3">
      <c r="A327" s="2" t="s">
        <v>384</v>
      </c>
      <c r="B327" s="1">
        <f>INDEX('Main Data'!$A$1:$O$1001,MATCH('Index&amp;Match'!$A327,'Main Data'!$A$1:$A$1001,0),MATCH('Index&amp;Match'!B326,'Main Data'!$A326:$O326,0))</f>
        <v>46166</v>
      </c>
      <c r="C327" s="2" t="str">
        <f>INDEX('Main Data'!$A$1:$O$1001,MATCH('Index&amp;Match'!$A327,'Main Data'!$A$1:$A$1001,0),MATCH('Index&amp;Match'!C326,'Main Data'!$A326:$O326,0))</f>
        <v>Sam</v>
      </c>
      <c r="D327" s="2" t="str">
        <f>INDEX('Main Data'!$A$1:$O$1001,MATCH('Index&amp;Match'!$A327,'Main Data'!$A$1:$A$1001,0),MATCH('Index&amp;Match'!D326,'Main Data'!$A326:$O326,0))</f>
        <v>BR-008</v>
      </c>
      <c r="E327" s="2" t="str">
        <f>INDEX('Main Data'!$A$1:$O$1001,MATCH('Index&amp;Match'!$A327,'Main Data'!$A$1:$A$1001,0),MATCH('Index&amp;Match'!E326,'Main Data'!$A326:$O326,0))</f>
        <v>North</v>
      </c>
      <c r="F327" s="2" t="str">
        <f>INDEX('Main Data'!$A$1:$O$1001,MATCH('Index&amp;Match'!$A327,'Main Data'!$A$1:$A$1001,0),MATCH('Index&amp;Match'!F326,'Main Data'!$A326:$O326,0))</f>
        <v>Auto Loan</v>
      </c>
      <c r="G327" s="2" t="str">
        <f>INDEX('Main Data'!$A$1:$O$1001,MATCH('Index&amp;Match'!$A327,'Main Data'!$A$1:$A$1001,0),MATCH('Index&amp;Match'!G326,'Main Data'!$A326:$O326,0))</f>
        <v>Social Media</v>
      </c>
      <c r="H327" s="2" t="str">
        <f>INDEX('Main Data'!$A$1:$O$1001,MATCH('Index&amp;Match'!$A327,'Main Data'!$A$1:$A$1001,0),MATCH('Index&amp;Match'!H326,'Main Data'!$A326:$O326,0))</f>
        <v>High Net Worth</v>
      </c>
      <c r="I327" s="2">
        <f>INDEX('Main Data'!$A$1:$O$1001,MATCH('Index&amp;Match'!$A327,'Main Data'!$A$1:$A$1001,0),MATCH('Index&amp;Match'!I326,'Main Data'!$A326:$O326,0))</f>
        <v>62</v>
      </c>
      <c r="J327" s="2">
        <f>INDEX('Main Data'!$A$1:$O$1001,MATCH('Index&amp;Match'!$A327,'Main Data'!$A$1:$A$1001,0),MATCH('Index&amp;Match'!J326,'Main Data'!$A326:$O326,0))</f>
        <v>62</v>
      </c>
      <c r="K327" s="11">
        <f>INDEX('Main Data'!$A$1:$O$1001,MATCH('Index&amp;Match'!$A327,'Main Data'!$A$1:$A$1001,0),MATCH('Index&amp;Match'!K326,'Main Data'!$A326:$O326,0))</f>
        <v>16554.28</v>
      </c>
      <c r="L327" s="11">
        <f>INDEX('Main Data'!$A$1:$O$1001,MATCH('Index&amp;Match'!$A327,'Main Data'!$A$1:$A$1001,0),MATCH('Index&amp;Match'!L326,'Main Data'!$A326:$O326,0))</f>
        <v>358.25</v>
      </c>
      <c r="M327" s="11">
        <f>INDEX('Main Data'!$A$1:$O$1001,MATCH('Index&amp;Match'!$A327,'Main Data'!$A$1:$A$1001,0),MATCH('Index&amp;Match'!M326,'Main Data'!$A326:$O326,0))</f>
        <v>260.3</v>
      </c>
      <c r="N327" s="2" t="str">
        <f>INDEX('Main Data'!$A$1:$O$1001,MATCH('Index&amp;Match'!$A327,'Main Data'!$A$1:$A$1001,0),MATCH('Index&amp;Match'!N326,'Main Data'!$A326:$O326,0))</f>
        <v>Yes</v>
      </c>
      <c r="O327" s="2">
        <f>INDEX('Main Data'!$A$1:$O$1001,MATCH('Index&amp;Match'!$A327,'Main Data'!$A$1:$A$1001,0),MATCH('Index&amp;Match'!O326,'Main Data'!$A326:$O326,0))</f>
        <v>62</v>
      </c>
    </row>
    <row r="328" spans="1:15" x14ac:dyDescent="0.3">
      <c r="A328" s="2" t="s">
        <v>385</v>
      </c>
      <c r="B328" s="1">
        <f>INDEX('Main Data'!$A$1:$O$1001,MATCH('Index&amp;Match'!$A328,'Main Data'!$A$1:$A$1001,0),MATCH('Index&amp;Match'!B327,'Main Data'!$A327:$O327,0))</f>
        <v>46061</v>
      </c>
      <c r="C328" s="2" t="str">
        <f>INDEX('Main Data'!$A$1:$O$1001,MATCH('Index&amp;Match'!$A328,'Main Data'!$A$1:$A$1001,0),MATCH('Index&amp;Match'!C327,'Main Data'!$A327:$O327,0))</f>
        <v>Taylor</v>
      </c>
      <c r="D328" s="2" t="str">
        <f>INDEX('Main Data'!$A$1:$O$1001,MATCH('Index&amp;Match'!$A328,'Main Data'!$A$1:$A$1001,0),MATCH('Index&amp;Match'!D327,'Main Data'!$A327:$O327,0))</f>
        <v>BR-007</v>
      </c>
      <c r="E328" s="2" t="str">
        <f>INDEX('Main Data'!$A$1:$O$1001,MATCH('Index&amp;Match'!$A328,'Main Data'!$A$1:$A$1001,0),MATCH('Index&amp;Match'!E327,'Main Data'!$A327:$O327,0))</f>
        <v>North</v>
      </c>
      <c r="F328" s="2" t="str">
        <f>INDEX('Main Data'!$A$1:$O$1001,MATCH('Index&amp;Match'!$A328,'Main Data'!$A$1:$A$1001,0),MATCH('Index&amp;Match'!F327,'Main Data'!$A327:$O327,0))</f>
        <v>Personal Loan</v>
      </c>
      <c r="G328" s="2" t="str">
        <f>INDEX('Main Data'!$A$1:$O$1001,MATCH('Index&amp;Match'!$A328,'Main Data'!$A$1:$A$1001,0),MATCH('Index&amp;Match'!G327,'Main Data'!$A327:$O327,0))</f>
        <v>Email Campaign</v>
      </c>
      <c r="H328" s="2" t="str">
        <f>INDEX('Main Data'!$A$1:$O$1001,MATCH('Index&amp;Match'!$A328,'Main Data'!$A$1:$A$1001,0),MATCH('Index&amp;Match'!H327,'Main Data'!$A327:$O327,0))</f>
        <v>Corporate</v>
      </c>
      <c r="I328" s="2">
        <f>INDEX('Main Data'!$A$1:$O$1001,MATCH('Index&amp;Match'!$A328,'Main Data'!$A$1:$A$1001,0),MATCH('Index&amp;Match'!I327,'Main Data'!$A327:$O327,0))</f>
        <v>47</v>
      </c>
      <c r="J328" s="2">
        <f>INDEX('Main Data'!$A$1:$O$1001,MATCH('Index&amp;Match'!$A328,'Main Data'!$A$1:$A$1001,0),MATCH('Index&amp;Match'!J327,'Main Data'!$A327:$O327,0))</f>
        <v>47</v>
      </c>
      <c r="K328" s="11">
        <f>INDEX('Main Data'!$A$1:$O$1001,MATCH('Index&amp;Match'!$A328,'Main Data'!$A$1:$A$1001,0),MATCH('Index&amp;Match'!K327,'Main Data'!$A327:$O327,0))</f>
        <v>47631.12</v>
      </c>
      <c r="L328" s="11">
        <f>INDEX('Main Data'!$A$1:$O$1001,MATCH('Index&amp;Match'!$A328,'Main Data'!$A$1:$A$1001,0),MATCH('Index&amp;Match'!L327,'Main Data'!$A327:$O327,0))</f>
        <v>368.49</v>
      </c>
      <c r="M328" s="11">
        <f>INDEX('Main Data'!$A$1:$O$1001,MATCH('Index&amp;Match'!$A328,'Main Data'!$A$1:$A$1001,0),MATCH('Index&amp;Match'!M327,'Main Data'!$A327:$O327,0))</f>
        <v>46.51</v>
      </c>
      <c r="N328" s="2" t="str">
        <f>INDEX('Main Data'!$A$1:$O$1001,MATCH('Index&amp;Match'!$A328,'Main Data'!$A$1:$A$1001,0),MATCH('Index&amp;Match'!N327,'Main Data'!$A327:$O327,0))</f>
        <v>Yes</v>
      </c>
      <c r="O328" s="2">
        <f>INDEX('Main Data'!$A$1:$O$1001,MATCH('Index&amp;Match'!$A328,'Main Data'!$A$1:$A$1001,0),MATCH('Index&amp;Match'!O327,'Main Data'!$A327:$O327,0))</f>
        <v>47</v>
      </c>
    </row>
    <row r="329" spans="1:15" x14ac:dyDescent="0.3">
      <c r="A329" s="2" t="s">
        <v>386</v>
      </c>
      <c r="B329" s="1">
        <f>INDEX('Main Data'!$A$1:$O$1001,MATCH('Index&amp;Match'!$A329,'Main Data'!$A$1:$A$1001,0),MATCH('Index&amp;Match'!B328,'Main Data'!$A328:$O328,0))</f>
        <v>46161</v>
      </c>
      <c r="C329" s="2" t="str">
        <f>INDEX('Main Data'!$A$1:$O$1001,MATCH('Index&amp;Match'!$A329,'Main Data'!$A$1:$A$1001,0),MATCH('Index&amp;Match'!C328,'Main Data'!$A328:$O328,0))</f>
        <v>Jamie</v>
      </c>
      <c r="D329" s="2" t="str">
        <f>INDEX('Main Data'!$A$1:$O$1001,MATCH('Index&amp;Match'!$A329,'Main Data'!$A$1:$A$1001,0),MATCH('Index&amp;Match'!D328,'Main Data'!$A328:$O328,0))</f>
        <v>BR-009</v>
      </c>
      <c r="E329" s="2" t="str">
        <f>INDEX('Main Data'!$A$1:$O$1001,MATCH('Index&amp;Match'!$A329,'Main Data'!$A$1:$A$1001,0),MATCH('Index&amp;Match'!E328,'Main Data'!$A328:$O328,0))</f>
        <v>West</v>
      </c>
      <c r="F329" s="2" t="str">
        <f>INDEX('Main Data'!$A$1:$O$1001,MATCH('Index&amp;Match'!$A329,'Main Data'!$A$1:$A$1001,0),MATCH('Index&amp;Match'!F328,'Main Data'!$A328:$O328,0))</f>
        <v>Auto Loan</v>
      </c>
      <c r="G329" s="2" t="str">
        <f>INDEX('Main Data'!$A$1:$O$1001,MATCH('Index&amp;Match'!$A329,'Main Data'!$A$1:$A$1001,0),MATCH('Index&amp;Match'!G328,'Main Data'!$A328:$O328,0))</f>
        <v>Social Media</v>
      </c>
      <c r="H329" s="2" t="str">
        <f>INDEX('Main Data'!$A$1:$O$1001,MATCH('Index&amp;Match'!$A329,'Main Data'!$A$1:$A$1001,0),MATCH('Index&amp;Match'!H328,'Main Data'!$A328:$O328,0))</f>
        <v>SME</v>
      </c>
      <c r="I329" s="2">
        <f>INDEX('Main Data'!$A$1:$O$1001,MATCH('Index&amp;Match'!$A329,'Main Data'!$A$1:$A$1001,0),MATCH('Index&amp;Match'!I328,'Main Data'!$A328:$O328,0))</f>
        <v>69</v>
      </c>
      <c r="J329" s="2">
        <f>INDEX('Main Data'!$A$1:$O$1001,MATCH('Index&amp;Match'!$A329,'Main Data'!$A$1:$A$1001,0),MATCH('Index&amp;Match'!J328,'Main Data'!$A328:$O328,0))</f>
        <v>69</v>
      </c>
      <c r="K329" s="11">
        <f>INDEX('Main Data'!$A$1:$O$1001,MATCH('Index&amp;Match'!$A329,'Main Data'!$A$1:$A$1001,0),MATCH('Index&amp;Match'!K328,'Main Data'!$A328:$O328,0))</f>
        <v>41270.46</v>
      </c>
      <c r="L329" s="11">
        <f>INDEX('Main Data'!$A$1:$O$1001,MATCH('Index&amp;Match'!$A329,'Main Data'!$A$1:$A$1001,0),MATCH('Index&amp;Match'!L328,'Main Data'!$A328:$O328,0))</f>
        <v>212</v>
      </c>
      <c r="M329" s="11">
        <f>INDEX('Main Data'!$A$1:$O$1001,MATCH('Index&amp;Match'!$A329,'Main Data'!$A$1:$A$1001,0),MATCH('Index&amp;Match'!M328,'Main Data'!$A328:$O328,0))</f>
        <v>121.54</v>
      </c>
      <c r="N329" s="2" t="str">
        <f>INDEX('Main Data'!$A$1:$O$1001,MATCH('Index&amp;Match'!$A329,'Main Data'!$A$1:$A$1001,0),MATCH('Index&amp;Match'!N328,'Main Data'!$A328:$O328,0))</f>
        <v>Yes</v>
      </c>
      <c r="O329" s="2">
        <f>INDEX('Main Data'!$A$1:$O$1001,MATCH('Index&amp;Match'!$A329,'Main Data'!$A$1:$A$1001,0),MATCH('Index&amp;Match'!O328,'Main Data'!$A328:$O328,0))</f>
        <v>69</v>
      </c>
    </row>
    <row r="330" spans="1:15" x14ac:dyDescent="0.3">
      <c r="A330" s="2" t="s">
        <v>387</v>
      </c>
      <c r="B330" s="1">
        <f>INDEX('Main Data'!$A$1:$O$1001,MATCH('Index&amp;Match'!$A330,'Main Data'!$A$1:$A$1001,0),MATCH('Index&amp;Match'!B329,'Main Data'!$A329:$O329,0))</f>
        <v>46089</v>
      </c>
      <c r="C330" s="2" t="str">
        <f>INDEX('Main Data'!$A$1:$O$1001,MATCH('Index&amp;Match'!$A330,'Main Data'!$A$1:$A$1001,0),MATCH('Index&amp;Match'!C329,'Main Data'!$A329:$O329,0))</f>
        <v>Drew</v>
      </c>
      <c r="D330" s="2" t="str">
        <f>INDEX('Main Data'!$A$1:$O$1001,MATCH('Index&amp;Match'!$A330,'Main Data'!$A$1:$A$1001,0),MATCH('Index&amp;Match'!D329,'Main Data'!$A329:$O329,0))</f>
        <v>BR-007</v>
      </c>
      <c r="E330" s="2" t="str">
        <f>INDEX('Main Data'!$A$1:$O$1001,MATCH('Index&amp;Match'!$A330,'Main Data'!$A$1:$A$1001,0),MATCH('Index&amp;Match'!E329,'Main Data'!$A329:$O329,0))</f>
        <v>North</v>
      </c>
      <c r="F330" s="2" t="str">
        <f>INDEX('Main Data'!$A$1:$O$1001,MATCH('Index&amp;Match'!$A330,'Main Data'!$A$1:$A$1001,0),MATCH('Index&amp;Match'!F329,'Main Data'!$A329:$O329,0))</f>
        <v>Auto Loan</v>
      </c>
      <c r="G330" s="2" t="str">
        <f>INDEX('Main Data'!$A$1:$O$1001,MATCH('Index&amp;Match'!$A330,'Main Data'!$A$1:$A$1001,0),MATCH('Index&amp;Match'!G329,'Main Data'!$A329:$O329,0))</f>
        <v>Referral</v>
      </c>
      <c r="H330" s="2" t="str">
        <f>INDEX('Main Data'!$A$1:$O$1001,MATCH('Index&amp;Match'!$A330,'Main Data'!$A$1:$A$1001,0),MATCH('Index&amp;Match'!H329,'Main Data'!$A329:$O329,0))</f>
        <v>High Net Worth</v>
      </c>
      <c r="I330" s="2">
        <f>INDEX('Main Data'!$A$1:$O$1001,MATCH('Index&amp;Match'!$A330,'Main Data'!$A$1:$A$1001,0),MATCH('Index&amp;Match'!I329,'Main Data'!$A329:$O329,0))</f>
        <v>74</v>
      </c>
      <c r="J330" s="2">
        <f>INDEX('Main Data'!$A$1:$O$1001,MATCH('Index&amp;Match'!$A330,'Main Data'!$A$1:$A$1001,0),MATCH('Index&amp;Match'!J329,'Main Data'!$A329:$O329,0))</f>
        <v>74</v>
      </c>
      <c r="K330" s="11">
        <f>INDEX('Main Data'!$A$1:$O$1001,MATCH('Index&amp;Match'!$A330,'Main Data'!$A$1:$A$1001,0),MATCH('Index&amp;Match'!K329,'Main Data'!$A329:$O329,0))</f>
        <v>35595.57</v>
      </c>
      <c r="L330" s="11">
        <f>INDEX('Main Data'!$A$1:$O$1001,MATCH('Index&amp;Match'!$A330,'Main Data'!$A$1:$A$1001,0),MATCH('Index&amp;Match'!L329,'Main Data'!$A329:$O329,0))</f>
        <v>84.53</v>
      </c>
      <c r="M330" s="11">
        <f>INDEX('Main Data'!$A$1:$O$1001,MATCH('Index&amp;Match'!$A330,'Main Data'!$A$1:$A$1001,0),MATCH('Index&amp;Match'!M329,'Main Data'!$A329:$O329,0))</f>
        <v>120.8</v>
      </c>
      <c r="N330" s="2" t="str">
        <f>INDEX('Main Data'!$A$1:$O$1001,MATCH('Index&amp;Match'!$A330,'Main Data'!$A$1:$A$1001,0),MATCH('Index&amp;Match'!N329,'Main Data'!$A329:$O329,0))</f>
        <v>Yes</v>
      </c>
      <c r="O330" s="2">
        <f>INDEX('Main Data'!$A$1:$O$1001,MATCH('Index&amp;Match'!$A330,'Main Data'!$A$1:$A$1001,0),MATCH('Index&amp;Match'!O329,'Main Data'!$A329:$O329,0))</f>
        <v>74</v>
      </c>
    </row>
    <row r="331" spans="1:15" x14ac:dyDescent="0.3">
      <c r="A331" s="2" t="s">
        <v>388</v>
      </c>
      <c r="B331" s="1">
        <f>INDEX('Main Data'!$A$1:$O$1001,MATCH('Index&amp;Match'!$A331,'Main Data'!$A$1:$A$1001,0),MATCH('Index&amp;Match'!B330,'Main Data'!$A330:$O330,0))</f>
        <v>46050</v>
      </c>
      <c r="C331" s="2" t="str">
        <f>INDEX('Main Data'!$A$1:$O$1001,MATCH('Index&amp;Match'!$A331,'Main Data'!$A$1:$A$1001,0),MATCH('Index&amp;Match'!C330,'Main Data'!$A330:$O330,0))</f>
        <v>Drew</v>
      </c>
      <c r="D331" s="2" t="str">
        <f>INDEX('Main Data'!$A$1:$O$1001,MATCH('Index&amp;Match'!$A331,'Main Data'!$A$1:$A$1001,0),MATCH('Index&amp;Match'!D330,'Main Data'!$A330:$O330,0))</f>
        <v>BR-003</v>
      </c>
      <c r="E331" s="2" t="str">
        <f>INDEX('Main Data'!$A$1:$O$1001,MATCH('Index&amp;Match'!$A331,'Main Data'!$A$1:$A$1001,0),MATCH('Index&amp;Match'!E330,'Main Data'!$A330:$O330,0))</f>
        <v>West</v>
      </c>
      <c r="F331" s="2" t="str">
        <f>INDEX('Main Data'!$A$1:$O$1001,MATCH('Index&amp;Match'!$A331,'Main Data'!$A$1:$A$1001,0),MATCH('Index&amp;Match'!F330,'Main Data'!$A330:$O330,0))</f>
        <v>Wealth Management</v>
      </c>
      <c r="G331" s="2" t="str">
        <f>INDEX('Main Data'!$A$1:$O$1001,MATCH('Index&amp;Match'!$A331,'Main Data'!$A$1:$A$1001,0),MATCH('Index&amp;Match'!G330,'Main Data'!$A330:$O330,0))</f>
        <v>Website</v>
      </c>
      <c r="H331" s="2" t="str">
        <f>INDEX('Main Data'!$A$1:$O$1001,MATCH('Index&amp;Match'!$A331,'Main Data'!$A$1:$A$1001,0),MATCH('Index&amp;Match'!H330,'Main Data'!$A330:$O330,0))</f>
        <v>SME</v>
      </c>
      <c r="I331" s="2">
        <f>INDEX('Main Data'!$A$1:$O$1001,MATCH('Index&amp;Match'!$A331,'Main Data'!$A$1:$A$1001,0),MATCH('Index&amp;Match'!I330,'Main Data'!$A330:$O330,0))</f>
        <v>22</v>
      </c>
      <c r="J331" s="2">
        <f>INDEX('Main Data'!$A$1:$O$1001,MATCH('Index&amp;Match'!$A331,'Main Data'!$A$1:$A$1001,0),MATCH('Index&amp;Match'!J330,'Main Data'!$A330:$O330,0))</f>
        <v>22</v>
      </c>
      <c r="K331" s="11">
        <f>INDEX('Main Data'!$A$1:$O$1001,MATCH('Index&amp;Match'!$A331,'Main Data'!$A$1:$A$1001,0),MATCH('Index&amp;Match'!K330,'Main Data'!$A330:$O330,0))</f>
        <v>29587.54</v>
      </c>
      <c r="L331" s="11">
        <f>INDEX('Main Data'!$A$1:$O$1001,MATCH('Index&amp;Match'!$A331,'Main Data'!$A$1:$A$1001,0),MATCH('Index&amp;Match'!L330,'Main Data'!$A330:$O330,0))</f>
        <v>241.83</v>
      </c>
      <c r="M331" s="11">
        <f>INDEX('Main Data'!$A$1:$O$1001,MATCH('Index&amp;Match'!$A331,'Main Data'!$A$1:$A$1001,0),MATCH('Index&amp;Match'!M330,'Main Data'!$A330:$O330,0))</f>
        <v>41.57</v>
      </c>
      <c r="N331" s="2" t="str">
        <f>INDEX('Main Data'!$A$1:$O$1001,MATCH('Index&amp;Match'!$A331,'Main Data'!$A$1:$A$1001,0),MATCH('Index&amp;Match'!N330,'Main Data'!$A330:$O330,0))</f>
        <v>No</v>
      </c>
      <c r="O331" s="2">
        <f>INDEX('Main Data'!$A$1:$O$1001,MATCH('Index&amp;Match'!$A331,'Main Data'!$A$1:$A$1001,0),MATCH('Index&amp;Match'!O330,'Main Data'!$A330:$O330,0))</f>
        <v>22</v>
      </c>
    </row>
    <row r="332" spans="1:15" x14ac:dyDescent="0.3">
      <c r="A332" s="2" t="s">
        <v>389</v>
      </c>
      <c r="B332" s="1">
        <f>INDEX('Main Data'!$A$1:$O$1001,MATCH('Index&amp;Match'!$A332,'Main Data'!$A$1:$A$1001,0),MATCH('Index&amp;Match'!B331,'Main Data'!$A331:$O331,0))</f>
        <v>46124</v>
      </c>
      <c r="C332" s="2" t="str">
        <f>INDEX('Main Data'!$A$1:$O$1001,MATCH('Index&amp;Match'!$A332,'Main Data'!$A$1:$A$1001,0),MATCH('Index&amp;Match'!C331,'Main Data'!$A331:$O331,0))</f>
        <v>Alex</v>
      </c>
      <c r="D332" s="2" t="str">
        <f>INDEX('Main Data'!$A$1:$O$1001,MATCH('Index&amp;Match'!$A332,'Main Data'!$A$1:$A$1001,0),MATCH('Index&amp;Match'!D331,'Main Data'!$A331:$O331,0))</f>
        <v>BR-003</v>
      </c>
      <c r="E332" s="2" t="str">
        <f>INDEX('Main Data'!$A$1:$O$1001,MATCH('Index&amp;Match'!$A332,'Main Data'!$A$1:$A$1001,0),MATCH('Index&amp;Match'!E331,'Main Data'!$A331:$O331,0))</f>
        <v>West</v>
      </c>
      <c r="F332" s="2" t="str">
        <f>INDEX('Main Data'!$A$1:$O$1001,MATCH('Index&amp;Match'!$A332,'Main Data'!$A$1:$A$1001,0),MATCH('Index&amp;Match'!F331,'Main Data'!$A331:$O331,0))</f>
        <v>Auto Loan</v>
      </c>
      <c r="G332" s="2" t="str">
        <f>INDEX('Main Data'!$A$1:$O$1001,MATCH('Index&amp;Match'!$A332,'Main Data'!$A$1:$A$1001,0),MATCH('Index&amp;Match'!G331,'Main Data'!$A331:$O331,0))</f>
        <v>Email Campaign</v>
      </c>
      <c r="H332" s="2" t="str">
        <f>INDEX('Main Data'!$A$1:$O$1001,MATCH('Index&amp;Match'!$A332,'Main Data'!$A$1:$A$1001,0),MATCH('Index&amp;Match'!H331,'Main Data'!$A331:$O331,0))</f>
        <v>Corporate</v>
      </c>
      <c r="I332" s="2">
        <f>INDEX('Main Data'!$A$1:$O$1001,MATCH('Index&amp;Match'!$A332,'Main Data'!$A$1:$A$1001,0),MATCH('Index&amp;Match'!I331,'Main Data'!$A331:$O331,0))</f>
        <v>69</v>
      </c>
      <c r="J332" s="2">
        <f>INDEX('Main Data'!$A$1:$O$1001,MATCH('Index&amp;Match'!$A332,'Main Data'!$A$1:$A$1001,0),MATCH('Index&amp;Match'!J331,'Main Data'!$A331:$O331,0))</f>
        <v>69</v>
      </c>
      <c r="K332" s="11">
        <f>INDEX('Main Data'!$A$1:$O$1001,MATCH('Index&amp;Match'!$A332,'Main Data'!$A$1:$A$1001,0),MATCH('Index&amp;Match'!K331,'Main Data'!$A331:$O331,0))</f>
        <v>41119.29</v>
      </c>
      <c r="L332" s="11">
        <f>INDEX('Main Data'!$A$1:$O$1001,MATCH('Index&amp;Match'!$A332,'Main Data'!$A$1:$A$1001,0),MATCH('Index&amp;Match'!L331,'Main Data'!$A331:$O331,0))</f>
        <v>249.05</v>
      </c>
      <c r="M332" s="11">
        <f>INDEX('Main Data'!$A$1:$O$1001,MATCH('Index&amp;Match'!$A332,'Main Data'!$A$1:$A$1001,0),MATCH('Index&amp;Match'!M331,'Main Data'!$A331:$O331,0))</f>
        <v>162.68</v>
      </c>
      <c r="N332" s="2" t="str">
        <f>INDEX('Main Data'!$A$1:$O$1001,MATCH('Index&amp;Match'!$A332,'Main Data'!$A$1:$A$1001,0),MATCH('Index&amp;Match'!N331,'Main Data'!$A331:$O331,0))</f>
        <v>Yes</v>
      </c>
      <c r="O332" s="2">
        <f>INDEX('Main Data'!$A$1:$O$1001,MATCH('Index&amp;Match'!$A332,'Main Data'!$A$1:$A$1001,0),MATCH('Index&amp;Match'!O331,'Main Data'!$A331:$O331,0))</f>
        <v>69</v>
      </c>
    </row>
    <row r="333" spans="1:15" x14ac:dyDescent="0.3">
      <c r="A333" s="2" t="s">
        <v>390</v>
      </c>
      <c r="B333" s="1">
        <f>INDEX('Main Data'!$A$1:$O$1001,MATCH('Index&amp;Match'!$A333,'Main Data'!$A$1:$A$1001,0),MATCH('Index&amp;Match'!B332,'Main Data'!$A332:$O332,0))</f>
        <v>45901</v>
      </c>
      <c r="C333" s="2" t="str">
        <f>INDEX('Main Data'!$A$1:$O$1001,MATCH('Index&amp;Match'!$A333,'Main Data'!$A$1:$A$1001,0),MATCH('Index&amp;Match'!C332,'Main Data'!$A332:$O332,0))</f>
        <v>Alex</v>
      </c>
      <c r="D333" s="2" t="str">
        <f>INDEX('Main Data'!$A$1:$O$1001,MATCH('Index&amp;Match'!$A333,'Main Data'!$A$1:$A$1001,0),MATCH('Index&amp;Match'!D332,'Main Data'!$A332:$O332,0))</f>
        <v>BR-015</v>
      </c>
      <c r="E333" s="2" t="str">
        <f>INDEX('Main Data'!$A$1:$O$1001,MATCH('Index&amp;Match'!$A333,'Main Data'!$A$1:$A$1001,0),MATCH('Index&amp;Match'!E332,'Main Data'!$A332:$O332,0))</f>
        <v>North</v>
      </c>
      <c r="F333" s="2" t="str">
        <f>INDEX('Main Data'!$A$1:$O$1001,MATCH('Index&amp;Match'!$A333,'Main Data'!$A$1:$A$1001,0),MATCH('Index&amp;Match'!F332,'Main Data'!$A332:$O332,0))</f>
        <v>Auto Loan</v>
      </c>
      <c r="G333" s="2" t="str">
        <f>INDEX('Main Data'!$A$1:$O$1001,MATCH('Index&amp;Match'!$A333,'Main Data'!$A$1:$A$1001,0),MATCH('Index&amp;Match'!G332,'Main Data'!$A332:$O332,0))</f>
        <v>Walk-in</v>
      </c>
      <c r="H333" s="2" t="str">
        <f>INDEX('Main Data'!$A$1:$O$1001,MATCH('Index&amp;Match'!$A333,'Main Data'!$A$1:$A$1001,0),MATCH('Index&amp;Match'!H332,'Main Data'!$A332:$O332,0))</f>
        <v>High Net Worth</v>
      </c>
      <c r="I333" s="2">
        <f>INDEX('Main Data'!$A$1:$O$1001,MATCH('Index&amp;Match'!$A333,'Main Data'!$A$1:$A$1001,0),MATCH('Index&amp;Match'!I332,'Main Data'!$A332:$O332,0))</f>
        <v>36</v>
      </c>
      <c r="J333" s="2">
        <f>INDEX('Main Data'!$A$1:$O$1001,MATCH('Index&amp;Match'!$A333,'Main Data'!$A$1:$A$1001,0),MATCH('Index&amp;Match'!J332,'Main Data'!$A332:$O332,0))</f>
        <v>36</v>
      </c>
      <c r="K333" s="11">
        <f>INDEX('Main Data'!$A$1:$O$1001,MATCH('Index&amp;Match'!$A333,'Main Data'!$A$1:$A$1001,0),MATCH('Index&amp;Match'!K332,'Main Data'!$A332:$O332,0))</f>
        <v>19917.22</v>
      </c>
      <c r="L333" s="11">
        <f>INDEX('Main Data'!$A$1:$O$1001,MATCH('Index&amp;Match'!$A333,'Main Data'!$A$1:$A$1001,0),MATCH('Index&amp;Match'!L332,'Main Data'!$A332:$O332,0))</f>
        <v>350.9</v>
      </c>
      <c r="M333" s="11">
        <f>INDEX('Main Data'!$A$1:$O$1001,MATCH('Index&amp;Match'!$A333,'Main Data'!$A$1:$A$1001,0),MATCH('Index&amp;Match'!M332,'Main Data'!$A332:$O332,0))</f>
        <v>222.86</v>
      </c>
      <c r="N333" s="2" t="str">
        <f>INDEX('Main Data'!$A$1:$O$1001,MATCH('Index&amp;Match'!$A333,'Main Data'!$A$1:$A$1001,0),MATCH('Index&amp;Match'!N332,'Main Data'!$A332:$O332,0))</f>
        <v>No</v>
      </c>
      <c r="O333" s="2">
        <f>INDEX('Main Data'!$A$1:$O$1001,MATCH('Index&amp;Match'!$A333,'Main Data'!$A$1:$A$1001,0),MATCH('Index&amp;Match'!O332,'Main Data'!$A332:$O332,0))</f>
        <v>36</v>
      </c>
    </row>
    <row r="334" spans="1:15" x14ac:dyDescent="0.3">
      <c r="A334" s="2" t="s">
        <v>391</v>
      </c>
      <c r="B334" s="1">
        <f>INDEX('Main Data'!$A$1:$O$1001,MATCH('Index&amp;Match'!$A334,'Main Data'!$A$1:$A$1001,0),MATCH('Index&amp;Match'!B333,'Main Data'!$A333:$O333,0))</f>
        <v>45917</v>
      </c>
      <c r="C334" s="2" t="str">
        <f>INDEX('Main Data'!$A$1:$O$1001,MATCH('Index&amp;Match'!$A334,'Main Data'!$A$1:$A$1001,0),MATCH('Index&amp;Match'!C333,'Main Data'!$A333:$O333,0))</f>
        <v>Morgan</v>
      </c>
      <c r="D334" s="2" t="str">
        <f>INDEX('Main Data'!$A$1:$O$1001,MATCH('Index&amp;Match'!$A334,'Main Data'!$A$1:$A$1001,0),MATCH('Index&amp;Match'!D333,'Main Data'!$A333:$O333,0))</f>
        <v>BR-008</v>
      </c>
      <c r="E334" s="2" t="str">
        <f>INDEX('Main Data'!$A$1:$O$1001,MATCH('Index&amp;Match'!$A334,'Main Data'!$A$1:$A$1001,0),MATCH('Index&amp;Match'!E333,'Main Data'!$A333:$O333,0))</f>
        <v>South</v>
      </c>
      <c r="F334" s="2" t="str">
        <f>INDEX('Main Data'!$A$1:$O$1001,MATCH('Index&amp;Match'!$A334,'Main Data'!$A$1:$A$1001,0),MATCH('Index&amp;Match'!F333,'Main Data'!$A333:$O333,0))</f>
        <v>Mortgage</v>
      </c>
      <c r="G334" s="2" t="str">
        <f>INDEX('Main Data'!$A$1:$O$1001,MATCH('Index&amp;Match'!$A334,'Main Data'!$A$1:$A$1001,0),MATCH('Index&amp;Match'!G333,'Main Data'!$A333:$O333,0))</f>
        <v>Website</v>
      </c>
      <c r="H334" s="2" t="str">
        <f>INDEX('Main Data'!$A$1:$O$1001,MATCH('Index&amp;Match'!$A334,'Main Data'!$A$1:$A$1001,0),MATCH('Index&amp;Match'!H333,'Main Data'!$A333:$O333,0))</f>
        <v>Corporate</v>
      </c>
      <c r="I334" s="2">
        <f>INDEX('Main Data'!$A$1:$O$1001,MATCH('Index&amp;Match'!$A334,'Main Data'!$A$1:$A$1001,0),MATCH('Index&amp;Match'!I333,'Main Data'!$A333:$O333,0))</f>
        <v>22</v>
      </c>
      <c r="J334" s="2">
        <f>INDEX('Main Data'!$A$1:$O$1001,MATCH('Index&amp;Match'!$A334,'Main Data'!$A$1:$A$1001,0),MATCH('Index&amp;Match'!J333,'Main Data'!$A333:$O333,0))</f>
        <v>22</v>
      </c>
      <c r="K334" s="11">
        <f>INDEX('Main Data'!$A$1:$O$1001,MATCH('Index&amp;Match'!$A334,'Main Data'!$A$1:$A$1001,0),MATCH('Index&amp;Match'!K333,'Main Data'!$A333:$O333,0))</f>
        <v>22653.82</v>
      </c>
      <c r="L334" s="11">
        <f>INDEX('Main Data'!$A$1:$O$1001,MATCH('Index&amp;Match'!$A334,'Main Data'!$A$1:$A$1001,0),MATCH('Index&amp;Match'!L333,'Main Data'!$A333:$O333,0))</f>
        <v>191.94</v>
      </c>
      <c r="M334" s="11">
        <f>INDEX('Main Data'!$A$1:$O$1001,MATCH('Index&amp;Match'!$A334,'Main Data'!$A$1:$A$1001,0),MATCH('Index&amp;Match'!M333,'Main Data'!$A333:$O333,0))</f>
        <v>132.32</v>
      </c>
      <c r="N334" s="2" t="str">
        <f>INDEX('Main Data'!$A$1:$O$1001,MATCH('Index&amp;Match'!$A334,'Main Data'!$A$1:$A$1001,0),MATCH('Index&amp;Match'!N333,'Main Data'!$A333:$O333,0))</f>
        <v>No</v>
      </c>
      <c r="O334" s="2">
        <f>INDEX('Main Data'!$A$1:$O$1001,MATCH('Index&amp;Match'!$A334,'Main Data'!$A$1:$A$1001,0),MATCH('Index&amp;Match'!O333,'Main Data'!$A333:$O333,0))</f>
        <v>22</v>
      </c>
    </row>
    <row r="335" spans="1:15" x14ac:dyDescent="0.3">
      <c r="A335" s="2" t="s">
        <v>392</v>
      </c>
      <c r="B335" s="1">
        <f>INDEX('Main Data'!$A$1:$O$1001,MATCH('Index&amp;Match'!$A335,'Main Data'!$A$1:$A$1001,0),MATCH('Index&amp;Match'!B334,'Main Data'!$A334:$O334,0))</f>
        <v>46045</v>
      </c>
      <c r="C335" s="2" t="str">
        <f>INDEX('Main Data'!$A$1:$O$1001,MATCH('Index&amp;Match'!$A335,'Main Data'!$A$1:$A$1001,0),MATCH('Index&amp;Match'!C334,'Main Data'!$A334:$O334,0))</f>
        <v>Taylor</v>
      </c>
      <c r="D335" s="2" t="str">
        <f>INDEX('Main Data'!$A$1:$O$1001,MATCH('Index&amp;Match'!$A335,'Main Data'!$A$1:$A$1001,0),MATCH('Index&amp;Match'!D334,'Main Data'!$A334:$O334,0))</f>
        <v>BR-005</v>
      </c>
      <c r="E335" s="2" t="str">
        <f>INDEX('Main Data'!$A$1:$O$1001,MATCH('Index&amp;Match'!$A335,'Main Data'!$A$1:$A$1001,0),MATCH('Index&amp;Match'!E334,'Main Data'!$A334:$O334,0))</f>
        <v>South</v>
      </c>
      <c r="F335" s="2" t="str">
        <f>INDEX('Main Data'!$A$1:$O$1001,MATCH('Index&amp;Match'!$A335,'Main Data'!$A$1:$A$1001,0),MATCH('Index&amp;Match'!F334,'Main Data'!$A334:$O334,0))</f>
        <v>Wealth Management</v>
      </c>
      <c r="G335" s="2" t="str">
        <f>INDEX('Main Data'!$A$1:$O$1001,MATCH('Index&amp;Match'!$A335,'Main Data'!$A$1:$A$1001,0),MATCH('Index&amp;Match'!G334,'Main Data'!$A334:$O334,0))</f>
        <v>Walk-in</v>
      </c>
      <c r="H335" s="2" t="str">
        <f>INDEX('Main Data'!$A$1:$O$1001,MATCH('Index&amp;Match'!$A335,'Main Data'!$A$1:$A$1001,0),MATCH('Index&amp;Match'!H334,'Main Data'!$A334:$O334,0))</f>
        <v>High Net Worth</v>
      </c>
      <c r="I335" s="2">
        <f>INDEX('Main Data'!$A$1:$O$1001,MATCH('Index&amp;Match'!$A335,'Main Data'!$A$1:$A$1001,0),MATCH('Index&amp;Match'!I334,'Main Data'!$A334:$O334,0))</f>
        <v>74</v>
      </c>
      <c r="J335" s="2">
        <f>INDEX('Main Data'!$A$1:$O$1001,MATCH('Index&amp;Match'!$A335,'Main Data'!$A$1:$A$1001,0),MATCH('Index&amp;Match'!J334,'Main Data'!$A334:$O334,0))</f>
        <v>74</v>
      </c>
      <c r="K335" s="11">
        <f>INDEX('Main Data'!$A$1:$O$1001,MATCH('Index&amp;Match'!$A335,'Main Data'!$A$1:$A$1001,0),MATCH('Index&amp;Match'!K334,'Main Data'!$A334:$O334,0))</f>
        <v>36635.089999999997</v>
      </c>
      <c r="L335" s="11">
        <f>INDEX('Main Data'!$A$1:$O$1001,MATCH('Index&amp;Match'!$A335,'Main Data'!$A$1:$A$1001,0),MATCH('Index&amp;Match'!L334,'Main Data'!$A334:$O334,0))</f>
        <v>357.17</v>
      </c>
      <c r="M335" s="11">
        <f>INDEX('Main Data'!$A$1:$O$1001,MATCH('Index&amp;Match'!$A335,'Main Data'!$A$1:$A$1001,0),MATCH('Index&amp;Match'!M334,'Main Data'!$A334:$O334,0))</f>
        <v>70.900000000000006</v>
      </c>
      <c r="N335" s="2" t="str">
        <f>INDEX('Main Data'!$A$1:$O$1001,MATCH('Index&amp;Match'!$A335,'Main Data'!$A$1:$A$1001,0),MATCH('Index&amp;Match'!N334,'Main Data'!$A334:$O334,0))</f>
        <v>Yes</v>
      </c>
      <c r="O335" s="2">
        <f>INDEX('Main Data'!$A$1:$O$1001,MATCH('Index&amp;Match'!$A335,'Main Data'!$A$1:$A$1001,0),MATCH('Index&amp;Match'!O334,'Main Data'!$A334:$O334,0))</f>
        <v>74</v>
      </c>
    </row>
    <row r="336" spans="1:15" x14ac:dyDescent="0.3">
      <c r="A336" s="2" t="s">
        <v>393</v>
      </c>
      <c r="B336" s="1">
        <f>INDEX('Main Data'!$A$1:$O$1001,MATCH('Index&amp;Match'!$A336,'Main Data'!$A$1:$A$1001,0),MATCH('Index&amp;Match'!B335,'Main Data'!$A335:$O335,0))</f>
        <v>45905</v>
      </c>
      <c r="C336" s="2" t="str">
        <f>INDEX('Main Data'!$A$1:$O$1001,MATCH('Index&amp;Match'!$A336,'Main Data'!$A$1:$A$1001,0),MATCH('Index&amp;Match'!C335,'Main Data'!$A335:$O335,0))</f>
        <v>Sam</v>
      </c>
      <c r="D336" s="2" t="str">
        <f>INDEX('Main Data'!$A$1:$O$1001,MATCH('Index&amp;Match'!$A336,'Main Data'!$A$1:$A$1001,0),MATCH('Index&amp;Match'!D335,'Main Data'!$A335:$O335,0))</f>
        <v>BR-004</v>
      </c>
      <c r="E336" s="2" t="str">
        <f>INDEX('Main Data'!$A$1:$O$1001,MATCH('Index&amp;Match'!$A336,'Main Data'!$A$1:$A$1001,0),MATCH('Index&amp;Match'!E335,'Main Data'!$A335:$O335,0))</f>
        <v>West</v>
      </c>
      <c r="F336" s="2" t="str">
        <f>INDEX('Main Data'!$A$1:$O$1001,MATCH('Index&amp;Match'!$A336,'Main Data'!$A$1:$A$1001,0),MATCH('Index&amp;Match'!F335,'Main Data'!$A335:$O335,0))</f>
        <v>Credit Card</v>
      </c>
      <c r="G336" s="2" t="str">
        <f>INDEX('Main Data'!$A$1:$O$1001,MATCH('Index&amp;Match'!$A336,'Main Data'!$A$1:$A$1001,0),MATCH('Index&amp;Match'!G335,'Main Data'!$A335:$O335,0))</f>
        <v>Website</v>
      </c>
      <c r="H336" s="2" t="str">
        <f>INDEX('Main Data'!$A$1:$O$1001,MATCH('Index&amp;Match'!$A336,'Main Data'!$A$1:$A$1001,0),MATCH('Index&amp;Match'!H335,'Main Data'!$A335:$O335,0))</f>
        <v>Corporate</v>
      </c>
      <c r="I336" s="2">
        <f>INDEX('Main Data'!$A$1:$O$1001,MATCH('Index&amp;Match'!$A336,'Main Data'!$A$1:$A$1001,0),MATCH('Index&amp;Match'!I335,'Main Data'!$A335:$O335,0))</f>
        <v>50</v>
      </c>
      <c r="J336" s="2">
        <f>INDEX('Main Data'!$A$1:$O$1001,MATCH('Index&amp;Match'!$A336,'Main Data'!$A$1:$A$1001,0),MATCH('Index&amp;Match'!J335,'Main Data'!$A335:$O335,0))</f>
        <v>50</v>
      </c>
      <c r="K336" s="11">
        <f>INDEX('Main Data'!$A$1:$O$1001,MATCH('Index&amp;Match'!$A336,'Main Data'!$A$1:$A$1001,0),MATCH('Index&amp;Match'!K335,'Main Data'!$A335:$O335,0))</f>
        <v>18208.86</v>
      </c>
      <c r="L336" s="11">
        <f>INDEX('Main Data'!$A$1:$O$1001,MATCH('Index&amp;Match'!$A336,'Main Data'!$A$1:$A$1001,0),MATCH('Index&amp;Match'!L335,'Main Data'!$A335:$O335,0))</f>
        <v>442.17</v>
      </c>
      <c r="M336" s="11">
        <f>INDEX('Main Data'!$A$1:$O$1001,MATCH('Index&amp;Match'!$A336,'Main Data'!$A$1:$A$1001,0),MATCH('Index&amp;Match'!M335,'Main Data'!$A335:$O335,0))</f>
        <v>19.57</v>
      </c>
      <c r="N336" s="2" t="str">
        <f>INDEX('Main Data'!$A$1:$O$1001,MATCH('Index&amp;Match'!$A336,'Main Data'!$A$1:$A$1001,0),MATCH('Index&amp;Match'!N335,'Main Data'!$A335:$O335,0))</f>
        <v>No</v>
      </c>
      <c r="O336" s="2">
        <f>INDEX('Main Data'!$A$1:$O$1001,MATCH('Index&amp;Match'!$A336,'Main Data'!$A$1:$A$1001,0),MATCH('Index&amp;Match'!O335,'Main Data'!$A335:$O335,0))</f>
        <v>50</v>
      </c>
    </row>
    <row r="337" spans="1:15" x14ac:dyDescent="0.3">
      <c r="A337" s="2" t="s">
        <v>394</v>
      </c>
      <c r="B337" s="1">
        <f>INDEX('Main Data'!$A$1:$O$1001,MATCH('Index&amp;Match'!$A337,'Main Data'!$A$1:$A$1001,0),MATCH('Index&amp;Match'!B336,'Main Data'!$A336:$O336,0))</f>
        <v>46106</v>
      </c>
      <c r="C337" s="2" t="str">
        <f>INDEX('Main Data'!$A$1:$O$1001,MATCH('Index&amp;Match'!$A337,'Main Data'!$A$1:$A$1001,0),MATCH('Index&amp;Match'!C336,'Main Data'!$A336:$O336,0))</f>
        <v>Drew</v>
      </c>
      <c r="D337" s="2" t="str">
        <f>INDEX('Main Data'!$A$1:$O$1001,MATCH('Index&amp;Match'!$A337,'Main Data'!$A$1:$A$1001,0),MATCH('Index&amp;Match'!D336,'Main Data'!$A336:$O336,0))</f>
        <v>BR-008</v>
      </c>
      <c r="E337" s="2" t="str">
        <f>INDEX('Main Data'!$A$1:$O$1001,MATCH('Index&amp;Match'!$A337,'Main Data'!$A$1:$A$1001,0),MATCH('Index&amp;Match'!E336,'Main Data'!$A336:$O336,0))</f>
        <v>North</v>
      </c>
      <c r="F337" s="2" t="str">
        <f>INDEX('Main Data'!$A$1:$O$1001,MATCH('Index&amp;Match'!$A337,'Main Data'!$A$1:$A$1001,0),MATCH('Index&amp;Match'!F336,'Main Data'!$A336:$O336,0))</f>
        <v>Personal Loan</v>
      </c>
      <c r="G337" s="2" t="str">
        <f>INDEX('Main Data'!$A$1:$O$1001,MATCH('Index&amp;Match'!$A337,'Main Data'!$A$1:$A$1001,0),MATCH('Index&amp;Match'!G336,'Main Data'!$A336:$O336,0))</f>
        <v>Website</v>
      </c>
      <c r="H337" s="2" t="str">
        <f>INDEX('Main Data'!$A$1:$O$1001,MATCH('Index&amp;Match'!$A337,'Main Data'!$A$1:$A$1001,0),MATCH('Index&amp;Match'!H336,'Main Data'!$A336:$O336,0))</f>
        <v>SME</v>
      </c>
      <c r="I337" s="2">
        <f>INDEX('Main Data'!$A$1:$O$1001,MATCH('Index&amp;Match'!$A337,'Main Data'!$A$1:$A$1001,0),MATCH('Index&amp;Match'!I336,'Main Data'!$A336:$O336,0))</f>
        <v>40</v>
      </c>
      <c r="J337" s="2">
        <f>INDEX('Main Data'!$A$1:$O$1001,MATCH('Index&amp;Match'!$A337,'Main Data'!$A$1:$A$1001,0),MATCH('Index&amp;Match'!J336,'Main Data'!$A336:$O336,0))</f>
        <v>40</v>
      </c>
      <c r="K337" s="11">
        <f>INDEX('Main Data'!$A$1:$O$1001,MATCH('Index&amp;Match'!$A337,'Main Data'!$A$1:$A$1001,0),MATCH('Index&amp;Match'!K336,'Main Data'!$A336:$O336,0))</f>
        <v>3663.1</v>
      </c>
      <c r="L337" s="11">
        <f>INDEX('Main Data'!$A$1:$O$1001,MATCH('Index&amp;Match'!$A337,'Main Data'!$A$1:$A$1001,0),MATCH('Index&amp;Match'!L336,'Main Data'!$A336:$O336,0))</f>
        <v>156.87</v>
      </c>
      <c r="M337" s="11">
        <f>INDEX('Main Data'!$A$1:$O$1001,MATCH('Index&amp;Match'!$A337,'Main Data'!$A$1:$A$1001,0),MATCH('Index&amp;Match'!M336,'Main Data'!$A336:$O336,0))</f>
        <v>115.23</v>
      </c>
      <c r="N337" s="2" t="str">
        <f>INDEX('Main Data'!$A$1:$O$1001,MATCH('Index&amp;Match'!$A337,'Main Data'!$A$1:$A$1001,0),MATCH('Index&amp;Match'!N336,'Main Data'!$A336:$O336,0))</f>
        <v>Yes</v>
      </c>
      <c r="O337" s="2">
        <f>INDEX('Main Data'!$A$1:$O$1001,MATCH('Index&amp;Match'!$A337,'Main Data'!$A$1:$A$1001,0),MATCH('Index&amp;Match'!O336,'Main Data'!$A336:$O336,0))</f>
        <v>40</v>
      </c>
    </row>
    <row r="338" spans="1:15" x14ac:dyDescent="0.3">
      <c r="A338" s="2" t="s">
        <v>395</v>
      </c>
      <c r="B338" s="1">
        <f>INDEX('Main Data'!$A$1:$O$1001,MATCH('Index&amp;Match'!$A338,'Main Data'!$A$1:$A$1001,0),MATCH('Index&amp;Match'!B337,'Main Data'!$A337:$O337,0))</f>
        <v>46177</v>
      </c>
      <c r="C338" s="2" t="str">
        <f>INDEX('Main Data'!$A$1:$O$1001,MATCH('Index&amp;Match'!$A338,'Main Data'!$A$1:$A$1001,0),MATCH('Index&amp;Match'!C337,'Main Data'!$A337:$O337,0))</f>
        <v>Casey</v>
      </c>
      <c r="D338" s="2" t="str">
        <f>INDEX('Main Data'!$A$1:$O$1001,MATCH('Index&amp;Match'!$A338,'Main Data'!$A$1:$A$1001,0),MATCH('Index&amp;Match'!D337,'Main Data'!$A337:$O337,0))</f>
        <v>BR-015</v>
      </c>
      <c r="E338" s="2" t="str">
        <f>INDEX('Main Data'!$A$1:$O$1001,MATCH('Index&amp;Match'!$A338,'Main Data'!$A$1:$A$1001,0),MATCH('Index&amp;Match'!E337,'Main Data'!$A337:$O337,0))</f>
        <v>South</v>
      </c>
      <c r="F338" s="2" t="str">
        <f>INDEX('Main Data'!$A$1:$O$1001,MATCH('Index&amp;Match'!$A338,'Main Data'!$A$1:$A$1001,0),MATCH('Index&amp;Match'!F337,'Main Data'!$A337:$O337,0))</f>
        <v>Auto Loan</v>
      </c>
      <c r="G338" s="2" t="str">
        <f>INDEX('Main Data'!$A$1:$O$1001,MATCH('Index&amp;Match'!$A338,'Main Data'!$A$1:$A$1001,0),MATCH('Index&amp;Match'!G337,'Main Data'!$A337:$O337,0))</f>
        <v>Social Media</v>
      </c>
      <c r="H338" s="2" t="str">
        <f>INDEX('Main Data'!$A$1:$O$1001,MATCH('Index&amp;Match'!$A338,'Main Data'!$A$1:$A$1001,0),MATCH('Index&amp;Match'!H337,'Main Data'!$A337:$O337,0))</f>
        <v>SME</v>
      </c>
      <c r="I338" s="2">
        <f>INDEX('Main Data'!$A$1:$O$1001,MATCH('Index&amp;Match'!$A338,'Main Data'!$A$1:$A$1001,0),MATCH('Index&amp;Match'!I337,'Main Data'!$A337:$O337,0))</f>
        <v>58</v>
      </c>
      <c r="J338" s="2">
        <f>INDEX('Main Data'!$A$1:$O$1001,MATCH('Index&amp;Match'!$A338,'Main Data'!$A$1:$A$1001,0),MATCH('Index&amp;Match'!J337,'Main Data'!$A337:$O337,0))</f>
        <v>58</v>
      </c>
      <c r="K338" s="11">
        <f>INDEX('Main Data'!$A$1:$O$1001,MATCH('Index&amp;Match'!$A338,'Main Data'!$A$1:$A$1001,0),MATCH('Index&amp;Match'!K337,'Main Data'!$A337:$O337,0))</f>
        <v>4179.5600000000004</v>
      </c>
      <c r="L338" s="11">
        <f>INDEX('Main Data'!$A$1:$O$1001,MATCH('Index&amp;Match'!$A338,'Main Data'!$A$1:$A$1001,0),MATCH('Index&amp;Match'!L337,'Main Data'!$A337:$O337,0))</f>
        <v>490.51</v>
      </c>
      <c r="M338" s="11">
        <f>INDEX('Main Data'!$A$1:$O$1001,MATCH('Index&amp;Match'!$A338,'Main Data'!$A$1:$A$1001,0),MATCH('Index&amp;Match'!M337,'Main Data'!$A337:$O337,0))</f>
        <v>110.74</v>
      </c>
      <c r="N338" s="2" t="str">
        <f>INDEX('Main Data'!$A$1:$O$1001,MATCH('Index&amp;Match'!$A338,'Main Data'!$A$1:$A$1001,0),MATCH('Index&amp;Match'!N337,'Main Data'!$A337:$O337,0))</f>
        <v>Yes</v>
      </c>
      <c r="O338" s="2">
        <f>INDEX('Main Data'!$A$1:$O$1001,MATCH('Index&amp;Match'!$A338,'Main Data'!$A$1:$A$1001,0),MATCH('Index&amp;Match'!O337,'Main Data'!$A337:$O337,0))</f>
        <v>58</v>
      </c>
    </row>
    <row r="339" spans="1:15" x14ac:dyDescent="0.3">
      <c r="A339" s="2" t="s">
        <v>396</v>
      </c>
      <c r="B339" s="1">
        <f>INDEX('Main Data'!$A$1:$O$1001,MATCH('Index&amp;Match'!$A339,'Main Data'!$A$1:$A$1001,0),MATCH('Index&amp;Match'!B338,'Main Data'!$A338:$O338,0))</f>
        <v>46140</v>
      </c>
      <c r="C339" s="2" t="str">
        <f>INDEX('Main Data'!$A$1:$O$1001,MATCH('Index&amp;Match'!$A339,'Main Data'!$A$1:$A$1001,0),MATCH('Index&amp;Match'!C338,'Main Data'!$A338:$O338,0))</f>
        <v>Taylor</v>
      </c>
      <c r="D339" s="2" t="str">
        <f>INDEX('Main Data'!$A$1:$O$1001,MATCH('Index&amp;Match'!$A339,'Main Data'!$A$1:$A$1001,0),MATCH('Index&amp;Match'!D338,'Main Data'!$A338:$O338,0))</f>
        <v>BR-006</v>
      </c>
      <c r="E339" s="2" t="str">
        <f>INDEX('Main Data'!$A$1:$O$1001,MATCH('Index&amp;Match'!$A339,'Main Data'!$A$1:$A$1001,0),MATCH('Index&amp;Match'!E338,'Main Data'!$A338:$O338,0))</f>
        <v>North</v>
      </c>
      <c r="F339" s="2" t="str">
        <f>INDEX('Main Data'!$A$1:$O$1001,MATCH('Index&amp;Match'!$A339,'Main Data'!$A$1:$A$1001,0),MATCH('Index&amp;Match'!F338,'Main Data'!$A338:$O338,0))</f>
        <v>Personal Loan</v>
      </c>
      <c r="G339" s="2" t="str">
        <f>INDEX('Main Data'!$A$1:$O$1001,MATCH('Index&amp;Match'!$A339,'Main Data'!$A$1:$A$1001,0),MATCH('Index&amp;Match'!G338,'Main Data'!$A338:$O338,0))</f>
        <v>Email Campaign</v>
      </c>
      <c r="H339" s="2" t="str">
        <f>INDEX('Main Data'!$A$1:$O$1001,MATCH('Index&amp;Match'!$A339,'Main Data'!$A$1:$A$1001,0),MATCH('Index&amp;Match'!H338,'Main Data'!$A338:$O338,0))</f>
        <v>Corporate</v>
      </c>
      <c r="I339" s="2">
        <f>INDEX('Main Data'!$A$1:$O$1001,MATCH('Index&amp;Match'!$A339,'Main Data'!$A$1:$A$1001,0),MATCH('Index&amp;Match'!I338,'Main Data'!$A338:$O338,0))</f>
        <v>48</v>
      </c>
      <c r="J339" s="2">
        <f>INDEX('Main Data'!$A$1:$O$1001,MATCH('Index&amp;Match'!$A339,'Main Data'!$A$1:$A$1001,0),MATCH('Index&amp;Match'!J338,'Main Data'!$A338:$O338,0))</f>
        <v>48</v>
      </c>
      <c r="K339" s="11">
        <f>INDEX('Main Data'!$A$1:$O$1001,MATCH('Index&amp;Match'!$A339,'Main Data'!$A$1:$A$1001,0),MATCH('Index&amp;Match'!K338,'Main Data'!$A338:$O338,0))</f>
        <v>6210.46</v>
      </c>
      <c r="L339" s="11">
        <f>INDEX('Main Data'!$A$1:$O$1001,MATCH('Index&amp;Match'!$A339,'Main Data'!$A$1:$A$1001,0),MATCH('Index&amp;Match'!L338,'Main Data'!$A338:$O338,0))</f>
        <v>223.87</v>
      </c>
      <c r="M339" s="11">
        <f>INDEX('Main Data'!$A$1:$O$1001,MATCH('Index&amp;Match'!$A339,'Main Data'!$A$1:$A$1001,0),MATCH('Index&amp;Match'!M338,'Main Data'!$A338:$O338,0))</f>
        <v>37.68</v>
      </c>
      <c r="N339" s="2" t="str">
        <f>INDEX('Main Data'!$A$1:$O$1001,MATCH('Index&amp;Match'!$A339,'Main Data'!$A$1:$A$1001,0),MATCH('Index&amp;Match'!N338,'Main Data'!$A338:$O338,0))</f>
        <v>Yes</v>
      </c>
      <c r="O339" s="2">
        <f>INDEX('Main Data'!$A$1:$O$1001,MATCH('Index&amp;Match'!$A339,'Main Data'!$A$1:$A$1001,0),MATCH('Index&amp;Match'!O338,'Main Data'!$A338:$O338,0))</f>
        <v>48</v>
      </c>
    </row>
    <row r="340" spans="1:15" x14ac:dyDescent="0.3">
      <c r="A340" s="2" t="s">
        <v>397</v>
      </c>
      <c r="B340" s="1">
        <f>INDEX('Main Data'!$A$1:$O$1001,MATCH('Index&amp;Match'!$A340,'Main Data'!$A$1:$A$1001,0),MATCH('Index&amp;Match'!B339,'Main Data'!$A339:$O339,0))</f>
        <v>45920</v>
      </c>
      <c r="C340" s="2" t="str">
        <f>INDEX('Main Data'!$A$1:$O$1001,MATCH('Index&amp;Match'!$A340,'Main Data'!$A$1:$A$1001,0),MATCH('Index&amp;Match'!C339,'Main Data'!$A339:$O339,0))</f>
        <v>Morgan</v>
      </c>
      <c r="D340" s="2" t="str">
        <f>INDEX('Main Data'!$A$1:$O$1001,MATCH('Index&amp;Match'!$A340,'Main Data'!$A$1:$A$1001,0),MATCH('Index&amp;Match'!D339,'Main Data'!$A339:$O339,0))</f>
        <v>BR-002</v>
      </c>
      <c r="E340" s="2" t="str">
        <f>INDEX('Main Data'!$A$1:$O$1001,MATCH('Index&amp;Match'!$A340,'Main Data'!$A$1:$A$1001,0),MATCH('Index&amp;Match'!E339,'Main Data'!$A339:$O339,0))</f>
        <v>North</v>
      </c>
      <c r="F340" s="2" t="str">
        <f>INDEX('Main Data'!$A$1:$O$1001,MATCH('Index&amp;Match'!$A340,'Main Data'!$A$1:$A$1001,0),MATCH('Index&amp;Match'!F339,'Main Data'!$A339:$O339,0))</f>
        <v>Credit Card</v>
      </c>
      <c r="G340" s="2" t="str">
        <f>INDEX('Main Data'!$A$1:$O$1001,MATCH('Index&amp;Match'!$A340,'Main Data'!$A$1:$A$1001,0),MATCH('Index&amp;Match'!G339,'Main Data'!$A339:$O339,0))</f>
        <v>Email Campaign</v>
      </c>
      <c r="H340" s="2" t="str">
        <f>INDEX('Main Data'!$A$1:$O$1001,MATCH('Index&amp;Match'!$A340,'Main Data'!$A$1:$A$1001,0),MATCH('Index&amp;Match'!H339,'Main Data'!$A339:$O339,0))</f>
        <v>Corporate</v>
      </c>
      <c r="I340" s="2">
        <f>INDEX('Main Data'!$A$1:$O$1001,MATCH('Index&amp;Match'!$A340,'Main Data'!$A$1:$A$1001,0),MATCH('Index&amp;Match'!I339,'Main Data'!$A339:$O339,0))</f>
        <v>45</v>
      </c>
      <c r="J340" s="2">
        <f>INDEX('Main Data'!$A$1:$O$1001,MATCH('Index&amp;Match'!$A340,'Main Data'!$A$1:$A$1001,0),MATCH('Index&amp;Match'!J339,'Main Data'!$A339:$O339,0))</f>
        <v>45</v>
      </c>
      <c r="K340" s="11">
        <f>INDEX('Main Data'!$A$1:$O$1001,MATCH('Index&amp;Match'!$A340,'Main Data'!$A$1:$A$1001,0),MATCH('Index&amp;Match'!K339,'Main Data'!$A339:$O339,0))</f>
        <v>43549.23</v>
      </c>
      <c r="L340" s="11">
        <f>INDEX('Main Data'!$A$1:$O$1001,MATCH('Index&amp;Match'!$A340,'Main Data'!$A$1:$A$1001,0),MATCH('Index&amp;Match'!L339,'Main Data'!$A339:$O339,0))</f>
        <v>170.27</v>
      </c>
      <c r="M340" s="11">
        <f>INDEX('Main Data'!$A$1:$O$1001,MATCH('Index&amp;Match'!$A340,'Main Data'!$A$1:$A$1001,0),MATCH('Index&amp;Match'!M339,'Main Data'!$A339:$O339,0))</f>
        <v>11.25</v>
      </c>
      <c r="N340" s="2" t="str">
        <f>INDEX('Main Data'!$A$1:$O$1001,MATCH('Index&amp;Match'!$A340,'Main Data'!$A$1:$A$1001,0),MATCH('Index&amp;Match'!N339,'Main Data'!$A339:$O339,0))</f>
        <v>Yes</v>
      </c>
      <c r="O340" s="2">
        <f>INDEX('Main Data'!$A$1:$O$1001,MATCH('Index&amp;Match'!$A340,'Main Data'!$A$1:$A$1001,0),MATCH('Index&amp;Match'!O339,'Main Data'!$A339:$O339,0))</f>
        <v>45</v>
      </c>
    </row>
    <row r="341" spans="1:15" x14ac:dyDescent="0.3">
      <c r="A341" s="2" t="s">
        <v>398</v>
      </c>
      <c r="B341" s="1">
        <f>INDEX('Main Data'!$A$1:$O$1001,MATCH('Index&amp;Match'!$A341,'Main Data'!$A$1:$A$1001,0),MATCH('Index&amp;Match'!B340,'Main Data'!$A340:$O340,0))</f>
        <v>46212</v>
      </c>
      <c r="C341" s="2" t="str">
        <f>INDEX('Main Data'!$A$1:$O$1001,MATCH('Index&amp;Match'!$A341,'Main Data'!$A$1:$A$1001,0),MATCH('Index&amp;Match'!C340,'Main Data'!$A340:$O340,0))</f>
        <v>Morgan</v>
      </c>
      <c r="D341" s="2" t="str">
        <f>INDEX('Main Data'!$A$1:$O$1001,MATCH('Index&amp;Match'!$A341,'Main Data'!$A$1:$A$1001,0),MATCH('Index&amp;Match'!D340,'Main Data'!$A340:$O340,0))</f>
        <v>BR-004</v>
      </c>
      <c r="E341" s="2" t="str">
        <f>INDEX('Main Data'!$A$1:$O$1001,MATCH('Index&amp;Match'!$A341,'Main Data'!$A$1:$A$1001,0),MATCH('Index&amp;Match'!E340,'Main Data'!$A340:$O340,0))</f>
        <v>North</v>
      </c>
      <c r="F341" s="2" t="str">
        <f>INDEX('Main Data'!$A$1:$O$1001,MATCH('Index&amp;Match'!$A341,'Main Data'!$A$1:$A$1001,0),MATCH('Index&amp;Match'!F340,'Main Data'!$A340:$O340,0))</f>
        <v>Personal Loan</v>
      </c>
      <c r="G341" s="2" t="str">
        <f>INDEX('Main Data'!$A$1:$O$1001,MATCH('Index&amp;Match'!$A341,'Main Data'!$A$1:$A$1001,0),MATCH('Index&amp;Match'!G340,'Main Data'!$A340:$O340,0))</f>
        <v>Website</v>
      </c>
      <c r="H341" s="2" t="str">
        <f>INDEX('Main Data'!$A$1:$O$1001,MATCH('Index&amp;Match'!$A341,'Main Data'!$A$1:$A$1001,0),MATCH('Index&amp;Match'!H340,'Main Data'!$A340:$O340,0))</f>
        <v>Corporate</v>
      </c>
      <c r="I341" s="2">
        <f>INDEX('Main Data'!$A$1:$O$1001,MATCH('Index&amp;Match'!$A341,'Main Data'!$A$1:$A$1001,0),MATCH('Index&amp;Match'!I340,'Main Data'!$A340:$O340,0))</f>
        <v>52</v>
      </c>
      <c r="J341" s="2">
        <f>INDEX('Main Data'!$A$1:$O$1001,MATCH('Index&amp;Match'!$A341,'Main Data'!$A$1:$A$1001,0),MATCH('Index&amp;Match'!J340,'Main Data'!$A340:$O340,0))</f>
        <v>52</v>
      </c>
      <c r="K341" s="11">
        <f>INDEX('Main Data'!$A$1:$O$1001,MATCH('Index&amp;Match'!$A341,'Main Data'!$A$1:$A$1001,0),MATCH('Index&amp;Match'!K340,'Main Data'!$A340:$O340,0))</f>
        <v>23875.21</v>
      </c>
      <c r="L341" s="11">
        <f>INDEX('Main Data'!$A$1:$O$1001,MATCH('Index&amp;Match'!$A341,'Main Data'!$A$1:$A$1001,0),MATCH('Index&amp;Match'!L340,'Main Data'!$A340:$O340,0))</f>
        <v>239.68</v>
      </c>
      <c r="M341" s="11">
        <f>INDEX('Main Data'!$A$1:$O$1001,MATCH('Index&amp;Match'!$A341,'Main Data'!$A$1:$A$1001,0),MATCH('Index&amp;Match'!M340,'Main Data'!$A340:$O340,0))</f>
        <v>16.14</v>
      </c>
      <c r="N341" s="2" t="str">
        <f>INDEX('Main Data'!$A$1:$O$1001,MATCH('Index&amp;Match'!$A341,'Main Data'!$A$1:$A$1001,0),MATCH('Index&amp;Match'!N340,'Main Data'!$A340:$O340,0))</f>
        <v>Yes</v>
      </c>
      <c r="O341" s="2">
        <f>INDEX('Main Data'!$A$1:$O$1001,MATCH('Index&amp;Match'!$A341,'Main Data'!$A$1:$A$1001,0),MATCH('Index&amp;Match'!O340,'Main Data'!$A340:$O340,0))</f>
        <v>52</v>
      </c>
    </row>
    <row r="342" spans="1:15" x14ac:dyDescent="0.3">
      <c r="A342" s="2" t="s">
        <v>399</v>
      </c>
      <c r="B342" s="1">
        <f>INDEX('Main Data'!$A$1:$O$1001,MATCH('Index&amp;Match'!$A342,'Main Data'!$A$1:$A$1001,0),MATCH('Index&amp;Match'!B341,'Main Data'!$A341:$O341,0))</f>
        <v>46064</v>
      </c>
      <c r="C342" s="2" t="str">
        <f>INDEX('Main Data'!$A$1:$O$1001,MATCH('Index&amp;Match'!$A342,'Main Data'!$A$1:$A$1001,0),MATCH('Index&amp;Match'!C341,'Main Data'!$A341:$O341,0))</f>
        <v>Taylor</v>
      </c>
      <c r="D342" s="2" t="str">
        <f>INDEX('Main Data'!$A$1:$O$1001,MATCH('Index&amp;Match'!$A342,'Main Data'!$A$1:$A$1001,0),MATCH('Index&amp;Match'!D341,'Main Data'!$A341:$O341,0))</f>
        <v>BR-012</v>
      </c>
      <c r="E342" s="2" t="str">
        <f>INDEX('Main Data'!$A$1:$O$1001,MATCH('Index&amp;Match'!$A342,'Main Data'!$A$1:$A$1001,0),MATCH('Index&amp;Match'!E341,'Main Data'!$A341:$O341,0))</f>
        <v>Central</v>
      </c>
      <c r="F342" s="2" t="str">
        <f>INDEX('Main Data'!$A$1:$O$1001,MATCH('Index&amp;Match'!$A342,'Main Data'!$A$1:$A$1001,0),MATCH('Index&amp;Match'!F341,'Main Data'!$A341:$O341,0))</f>
        <v>Credit Card</v>
      </c>
      <c r="G342" s="2" t="str">
        <f>INDEX('Main Data'!$A$1:$O$1001,MATCH('Index&amp;Match'!$A342,'Main Data'!$A$1:$A$1001,0),MATCH('Index&amp;Match'!G341,'Main Data'!$A341:$O341,0))</f>
        <v>Referral</v>
      </c>
      <c r="H342" s="2" t="str">
        <f>INDEX('Main Data'!$A$1:$O$1001,MATCH('Index&amp;Match'!$A342,'Main Data'!$A$1:$A$1001,0),MATCH('Index&amp;Match'!H341,'Main Data'!$A341:$O341,0))</f>
        <v>High Net Worth</v>
      </c>
      <c r="I342" s="2">
        <f>INDEX('Main Data'!$A$1:$O$1001,MATCH('Index&amp;Match'!$A342,'Main Data'!$A$1:$A$1001,0),MATCH('Index&amp;Match'!I341,'Main Data'!$A341:$O341,0))</f>
        <v>30</v>
      </c>
      <c r="J342" s="2">
        <f>INDEX('Main Data'!$A$1:$O$1001,MATCH('Index&amp;Match'!$A342,'Main Data'!$A$1:$A$1001,0),MATCH('Index&amp;Match'!J341,'Main Data'!$A341:$O341,0))</f>
        <v>30</v>
      </c>
      <c r="K342" s="11">
        <f>INDEX('Main Data'!$A$1:$O$1001,MATCH('Index&amp;Match'!$A342,'Main Data'!$A$1:$A$1001,0),MATCH('Index&amp;Match'!K341,'Main Data'!$A341:$O341,0))</f>
        <v>35787.68</v>
      </c>
      <c r="L342" s="11">
        <f>INDEX('Main Data'!$A$1:$O$1001,MATCH('Index&amp;Match'!$A342,'Main Data'!$A$1:$A$1001,0),MATCH('Index&amp;Match'!L341,'Main Data'!$A341:$O341,0))</f>
        <v>92.48</v>
      </c>
      <c r="M342" s="11">
        <f>INDEX('Main Data'!$A$1:$O$1001,MATCH('Index&amp;Match'!$A342,'Main Data'!$A$1:$A$1001,0),MATCH('Index&amp;Match'!M341,'Main Data'!$A341:$O341,0))</f>
        <v>297.83</v>
      </c>
      <c r="N342" s="2" t="str">
        <f>INDEX('Main Data'!$A$1:$O$1001,MATCH('Index&amp;Match'!$A342,'Main Data'!$A$1:$A$1001,0),MATCH('Index&amp;Match'!N341,'Main Data'!$A341:$O341,0))</f>
        <v>Yes</v>
      </c>
      <c r="O342" s="2">
        <f>INDEX('Main Data'!$A$1:$O$1001,MATCH('Index&amp;Match'!$A342,'Main Data'!$A$1:$A$1001,0),MATCH('Index&amp;Match'!O341,'Main Data'!$A341:$O341,0))</f>
        <v>30</v>
      </c>
    </row>
    <row r="343" spans="1:15" x14ac:dyDescent="0.3">
      <c r="A343" s="2" t="s">
        <v>400</v>
      </c>
      <c r="B343" s="1">
        <f>INDEX('Main Data'!$A$1:$O$1001,MATCH('Index&amp;Match'!$A343,'Main Data'!$A$1:$A$1001,0),MATCH('Index&amp;Match'!B342,'Main Data'!$A342:$O342,0))</f>
        <v>45913</v>
      </c>
      <c r="C343" s="2" t="str">
        <f>INDEX('Main Data'!$A$1:$O$1001,MATCH('Index&amp;Match'!$A343,'Main Data'!$A$1:$A$1001,0),MATCH('Index&amp;Match'!C342,'Main Data'!$A342:$O342,0))</f>
        <v>Morgan</v>
      </c>
      <c r="D343" s="2" t="str">
        <f>INDEX('Main Data'!$A$1:$O$1001,MATCH('Index&amp;Match'!$A343,'Main Data'!$A$1:$A$1001,0),MATCH('Index&amp;Match'!D342,'Main Data'!$A342:$O342,0))</f>
        <v>BR-011</v>
      </c>
      <c r="E343" s="2" t="str">
        <f>INDEX('Main Data'!$A$1:$O$1001,MATCH('Index&amp;Match'!$A343,'Main Data'!$A$1:$A$1001,0),MATCH('Index&amp;Match'!E342,'Main Data'!$A342:$O342,0))</f>
        <v>North</v>
      </c>
      <c r="F343" s="2" t="str">
        <f>INDEX('Main Data'!$A$1:$O$1001,MATCH('Index&amp;Match'!$A343,'Main Data'!$A$1:$A$1001,0),MATCH('Index&amp;Match'!F342,'Main Data'!$A342:$O342,0))</f>
        <v>Mortgage</v>
      </c>
      <c r="G343" s="2" t="str">
        <f>INDEX('Main Data'!$A$1:$O$1001,MATCH('Index&amp;Match'!$A343,'Main Data'!$A$1:$A$1001,0),MATCH('Index&amp;Match'!G342,'Main Data'!$A342:$O342,0))</f>
        <v>Referral</v>
      </c>
      <c r="H343" s="2" t="str">
        <f>INDEX('Main Data'!$A$1:$O$1001,MATCH('Index&amp;Match'!$A343,'Main Data'!$A$1:$A$1001,0),MATCH('Index&amp;Match'!H342,'Main Data'!$A342:$O342,0))</f>
        <v>SME</v>
      </c>
      <c r="I343" s="2">
        <f>INDEX('Main Data'!$A$1:$O$1001,MATCH('Index&amp;Match'!$A343,'Main Data'!$A$1:$A$1001,0),MATCH('Index&amp;Match'!I342,'Main Data'!$A342:$O342,0))</f>
        <v>62</v>
      </c>
      <c r="J343" s="2">
        <f>INDEX('Main Data'!$A$1:$O$1001,MATCH('Index&amp;Match'!$A343,'Main Data'!$A$1:$A$1001,0),MATCH('Index&amp;Match'!J342,'Main Data'!$A342:$O342,0))</f>
        <v>62</v>
      </c>
      <c r="K343" s="11">
        <f>INDEX('Main Data'!$A$1:$O$1001,MATCH('Index&amp;Match'!$A343,'Main Data'!$A$1:$A$1001,0),MATCH('Index&amp;Match'!K342,'Main Data'!$A342:$O342,0))</f>
        <v>19949.009999999998</v>
      </c>
      <c r="L343" s="11">
        <f>INDEX('Main Data'!$A$1:$O$1001,MATCH('Index&amp;Match'!$A343,'Main Data'!$A$1:$A$1001,0),MATCH('Index&amp;Match'!L342,'Main Data'!$A342:$O342,0))</f>
        <v>106.57</v>
      </c>
      <c r="M343" s="11">
        <f>INDEX('Main Data'!$A$1:$O$1001,MATCH('Index&amp;Match'!$A343,'Main Data'!$A$1:$A$1001,0),MATCH('Index&amp;Match'!M342,'Main Data'!$A342:$O342,0))</f>
        <v>156.72</v>
      </c>
      <c r="N343" s="2" t="str">
        <f>INDEX('Main Data'!$A$1:$O$1001,MATCH('Index&amp;Match'!$A343,'Main Data'!$A$1:$A$1001,0),MATCH('Index&amp;Match'!N342,'Main Data'!$A342:$O342,0))</f>
        <v>Yes</v>
      </c>
      <c r="O343" s="2">
        <f>INDEX('Main Data'!$A$1:$O$1001,MATCH('Index&amp;Match'!$A343,'Main Data'!$A$1:$A$1001,0),MATCH('Index&amp;Match'!O342,'Main Data'!$A342:$O342,0))</f>
        <v>62</v>
      </c>
    </row>
    <row r="344" spans="1:15" x14ac:dyDescent="0.3">
      <c r="A344" s="2" t="s">
        <v>401</v>
      </c>
      <c r="B344" s="1">
        <f>INDEX('Main Data'!$A$1:$O$1001,MATCH('Index&amp;Match'!$A344,'Main Data'!$A$1:$A$1001,0),MATCH('Index&amp;Match'!B343,'Main Data'!$A343:$O343,0))</f>
        <v>45935</v>
      </c>
      <c r="C344" s="2" t="str">
        <f>INDEX('Main Data'!$A$1:$O$1001,MATCH('Index&amp;Match'!$A344,'Main Data'!$A$1:$A$1001,0),MATCH('Index&amp;Match'!C343,'Main Data'!$A343:$O343,0))</f>
        <v>Taylor</v>
      </c>
      <c r="D344" s="2" t="str">
        <f>INDEX('Main Data'!$A$1:$O$1001,MATCH('Index&amp;Match'!$A344,'Main Data'!$A$1:$A$1001,0),MATCH('Index&amp;Match'!D343,'Main Data'!$A343:$O343,0))</f>
        <v>BR-004</v>
      </c>
      <c r="E344" s="2" t="str">
        <f>INDEX('Main Data'!$A$1:$O$1001,MATCH('Index&amp;Match'!$A344,'Main Data'!$A$1:$A$1001,0),MATCH('Index&amp;Match'!E343,'Main Data'!$A343:$O343,0))</f>
        <v>Central</v>
      </c>
      <c r="F344" s="2" t="str">
        <f>INDEX('Main Data'!$A$1:$O$1001,MATCH('Index&amp;Match'!$A344,'Main Data'!$A$1:$A$1001,0),MATCH('Index&amp;Match'!F343,'Main Data'!$A343:$O343,0))</f>
        <v>Auto Loan</v>
      </c>
      <c r="G344" s="2" t="str">
        <f>INDEX('Main Data'!$A$1:$O$1001,MATCH('Index&amp;Match'!$A344,'Main Data'!$A$1:$A$1001,0),MATCH('Index&amp;Match'!G343,'Main Data'!$A343:$O343,0))</f>
        <v>Walk-in</v>
      </c>
      <c r="H344" s="2" t="str">
        <f>INDEX('Main Data'!$A$1:$O$1001,MATCH('Index&amp;Match'!$A344,'Main Data'!$A$1:$A$1001,0),MATCH('Index&amp;Match'!H343,'Main Data'!$A343:$O343,0))</f>
        <v>High Net Worth</v>
      </c>
      <c r="I344" s="2">
        <f>INDEX('Main Data'!$A$1:$O$1001,MATCH('Index&amp;Match'!$A344,'Main Data'!$A$1:$A$1001,0),MATCH('Index&amp;Match'!I343,'Main Data'!$A343:$O343,0))</f>
        <v>60</v>
      </c>
      <c r="J344" s="2">
        <f>INDEX('Main Data'!$A$1:$O$1001,MATCH('Index&amp;Match'!$A344,'Main Data'!$A$1:$A$1001,0),MATCH('Index&amp;Match'!J343,'Main Data'!$A343:$O343,0))</f>
        <v>60</v>
      </c>
      <c r="K344" s="11">
        <f>INDEX('Main Data'!$A$1:$O$1001,MATCH('Index&amp;Match'!$A344,'Main Data'!$A$1:$A$1001,0),MATCH('Index&amp;Match'!K343,'Main Data'!$A343:$O343,0))</f>
        <v>13306.19</v>
      </c>
      <c r="L344" s="11">
        <f>INDEX('Main Data'!$A$1:$O$1001,MATCH('Index&amp;Match'!$A344,'Main Data'!$A$1:$A$1001,0),MATCH('Index&amp;Match'!L343,'Main Data'!$A343:$O343,0))</f>
        <v>236.5</v>
      </c>
      <c r="M344" s="11">
        <f>INDEX('Main Data'!$A$1:$O$1001,MATCH('Index&amp;Match'!$A344,'Main Data'!$A$1:$A$1001,0),MATCH('Index&amp;Match'!M343,'Main Data'!$A343:$O343,0))</f>
        <v>276.60000000000002</v>
      </c>
      <c r="N344" s="2" t="str">
        <f>INDEX('Main Data'!$A$1:$O$1001,MATCH('Index&amp;Match'!$A344,'Main Data'!$A$1:$A$1001,0),MATCH('Index&amp;Match'!N343,'Main Data'!$A343:$O343,0))</f>
        <v>Yes</v>
      </c>
      <c r="O344" s="2">
        <f>INDEX('Main Data'!$A$1:$O$1001,MATCH('Index&amp;Match'!$A344,'Main Data'!$A$1:$A$1001,0),MATCH('Index&amp;Match'!O343,'Main Data'!$A343:$O343,0))</f>
        <v>60</v>
      </c>
    </row>
    <row r="345" spans="1:15" x14ac:dyDescent="0.3">
      <c r="A345" s="2" t="s">
        <v>402</v>
      </c>
      <c r="B345" s="1">
        <f>INDEX('Main Data'!$A$1:$O$1001,MATCH('Index&amp;Match'!$A345,'Main Data'!$A$1:$A$1001,0),MATCH('Index&amp;Match'!B344,'Main Data'!$A344:$O344,0))</f>
        <v>46206</v>
      </c>
      <c r="C345" s="2" t="str">
        <f>INDEX('Main Data'!$A$1:$O$1001,MATCH('Index&amp;Match'!$A345,'Main Data'!$A$1:$A$1001,0),MATCH('Index&amp;Match'!C344,'Main Data'!$A344:$O344,0))</f>
        <v>Jordan</v>
      </c>
      <c r="D345" s="2" t="str">
        <f>INDEX('Main Data'!$A$1:$O$1001,MATCH('Index&amp;Match'!$A345,'Main Data'!$A$1:$A$1001,0),MATCH('Index&amp;Match'!D344,'Main Data'!$A344:$O344,0))</f>
        <v>BR-015</v>
      </c>
      <c r="E345" s="2" t="str">
        <f>INDEX('Main Data'!$A$1:$O$1001,MATCH('Index&amp;Match'!$A345,'Main Data'!$A$1:$A$1001,0),MATCH('Index&amp;Match'!E344,'Main Data'!$A344:$O344,0))</f>
        <v>West</v>
      </c>
      <c r="F345" s="2" t="str">
        <f>INDEX('Main Data'!$A$1:$O$1001,MATCH('Index&amp;Match'!$A345,'Main Data'!$A$1:$A$1001,0),MATCH('Index&amp;Match'!F344,'Main Data'!$A344:$O344,0))</f>
        <v>Credit Card</v>
      </c>
      <c r="G345" s="2" t="str">
        <f>INDEX('Main Data'!$A$1:$O$1001,MATCH('Index&amp;Match'!$A345,'Main Data'!$A$1:$A$1001,0),MATCH('Index&amp;Match'!G344,'Main Data'!$A344:$O344,0))</f>
        <v>Walk-in</v>
      </c>
      <c r="H345" s="2" t="str">
        <f>INDEX('Main Data'!$A$1:$O$1001,MATCH('Index&amp;Match'!$A345,'Main Data'!$A$1:$A$1001,0),MATCH('Index&amp;Match'!H344,'Main Data'!$A344:$O344,0))</f>
        <v>SME</v>
      </c>
      <c r="I345" s="2">
        <f>INDEX('Main Data'!$A$1:$O$1001,MATCH('Index&amp;Match'!$A345,'Main Data'!$A$1:$A$1001,0),MATCH('Index&amp;Match'!I344,'Main Data'!$A344:$O344,0))</f>
        <v>53</v>
      </c>
      <c r="J345" s="2">
        <f>INDEX('Main Data'!$A$1:$O$1001,MATCH('Index&amp;Match'!$A345,'Main Data'!$A$1:$A$1001,0),MATCH('Index&amp;Match'!J344,'Main Data'!$A344:$O344,0))</f>
        <v>53</v>
      </c>
      <c r="K345" s="11">
        <f>INDEX('Main Data'!$A$1:$O$1001,MATCH('Index&amp;Match'!$A345,'Main Data'!$A$1:$A$1001,0),MATCH('Index&amp;Match'!K344,'Main Data'!$A344:$O344,0))</f>
        <v>17686.009999999998</v>
      </c>
      <c r="L345" s="11">
        <f>INDEX('Main Data'!$A$1:$O$1001,MATCH('Index&amp;Match'!$A345,'Main Data'!$A$1:$A$1001,0),MATCH('Index&amp;Match'!L344,'Main Data'!$A344:$O344,0))</f>
        <v>393.1</v>
      </c>
      <c r="M345" s="11">
        <f>INDEX('Main Data'!$A$1:$O$1001,MATCH('Index&amp;Match'!$A345,'Main Data'!$A$1:$A$1001,0),MATCH('Index&amp;Match'!M344,'Main Data'!$A344:$O344,0))</f>
        <v>39.01</v>
      </c>
      <c r="N345" s="2" t="str">
        <f>INDEX('Main Data'!$A$1:$O$1001,MATCH('Index&amp;Match'!$A345,'Main Data'!$A$1:$A$1001,0),MATCH('Index&amp;Match'!N344,'Main Data'!$A344:$O344,0))</f>
        <v>Yes</v>
      </c>
      <c r="O345" s="2">
        <f>INDEX('Main Data'!$A$1:$O$1001,MATCH('Index&amp;Match'!$A345,'Main Data'!$A$1:$A$1001,0),MATCH('Index&amp;Match'!O344,'Main Data'!$A344:$O344,0))</f>
        <v>53</v>
      </c>
    </row>
    <row r="346" spans="1:15" x14ac:dyDescent="0.3">
      <c r="A346" s="2" t="s">
        <v>403</v>
      </c>
      <c r="B346" s="1">
        <f>INDEX('Main Data'!$A$1:$O$1001,MATCH('Index&amp;Match'!$A346,'Main Data'!$A$1:$A$1001,0),MATCH('Index&amp;Match'!B345,'Main Data'!$A345:$O345,0))</f>
        <v>45882</v>
      </c>
      <c r="C346" s="2" t="str">
        <f>INDEX('Main Data'!$A$1:$O$1001,MATCH('Index&amp;Match'!$A346,'Main Data'!$A$1:$A$1001,0),MATCH('Index&amp;Match'!C345,'Main Data'!$A345:$O345,0))</f>
        <v>Taylor</v>
      </c>
      <c r="D346" s="2" t="str">
        <f>INDEX('Main Data'!$A$1:$O$1001,MATCH('Index&amp;Match'!$A346,'Main Data'!$A$1:$A$1001,0),MATCH('Index&amp;Match'!D345,'Main Data'!$A345:$O345,0))</f>
        <v>BR-006</v>
      </c>
      <c r="E346" s="2" t="str">
        <f>INDEX('Main Data'!$A$1:$O$1001,MATCH('Index&amp;Match'!$A346,'Main Data'!$A$1:$A$1001,0),MATCH('Index&amp;Match'!E345,'Main Data'!$A345:$O345,0))</f>
        <v>South</v>
      </c>
      <c r="F346" s="2" t="str">
        <f>INDEX('Main Data'!$A$1:$O$1001,MATCH('Index&amp;Match'!$A346,'Main Data'!$A$1:$A$1001,0),MATCH('Index&amp;Match'!F345,'Main Data'!$A345:$O345,0))</f>
        <v>Personal Loan</v>
      </c>
      <c r="G346" s="2" t="str">
        <f>INDEX('Main Data'!$A$1:$O$1001,MATCH('Index&amp;Match'!$A346,'Main Data'!$A$1:$A$1001,0),MATCH('Index&amp;Match'!G345,'Main Data'!$A345:$O345,0))</f>
        <v>Social Media</v>
      </c>
      <c r="H346" s="2" t="str">
        <f>INDEX('Main Data'!$A$1:$O$1001,MATCH('Index&amp;Match'!$A346,'Main Data'!$A$1:$A$1001,0),MATCH('Index&amp;Match'!H345,'Main Data'!$A345:$O345,0))</f>
        <v>Retail</v>
      </c>
      <c r="I346" s="2">
        <f>INDEX('Main Data'!$A$1:$O$1001,MATCH('Index&amp;Match'!$A346,'Main Data'!$A$1:$A$1001,0),MATCH('Index&amp;Match'!I345,'Main Data'!$A345:$O345,0))</f>
        <v>33</v>
      </c>
      <c r="J346" s="2">
        <f>INDEX('Main Data'!$A$1:$O$1001,MATCH('Index&amp;Match'!$A346,'Main Data'!$A$1:$A$1001,0),MATCH('Index&amp;Match'!J345,'Main Data'!$A345:$O345,0))</f>
        <v>33</v>
      </c>
      <c r="K346" s="11">
        <f>INDEX('Main Data'!$A$1:$O$1001,MATCH('Index&amp;Match'!$A346,'Main Data'!$A$1:$A$1001,0),MATCH('Index&amp;Match'!K345,'Main Data'!$A345:$O345,0))</f>
        <v>39812.03</v>
      </c>
      <c r="L346" s="11">
        <f>INDEX('Main Data'!$A$1:$O$1001,MATCH('Index&amp;Match'!$A346,'Main Data'!$A$1:$A$1001,0),MATCH('Index&amp;Match'!L345,'Main Data'!$A345:$O345,0))</f>
        <v>455.14</v>
      </c>
      <c r="M346" s="11">
        <f>INDEX('Main Data'!$A$1:$O$1001,MATCH('Index&amp;Match'!$A346,'Main Data'!$A$1:$A$1001,0),MATCH('Index&amp;Match'!M345,'Main Data'!$A345:$O345,0))</f>
        <v>192.11</v>
      </c>
      <c r="N346" s="2" t="str">
        <f>INDEX('Main Data'!$A$1:$O$1001,MATCH('Index&amp;Match'!$A346,'Main Data'!$A$1:$A$1001,0),MATCH('Index&amp;Match'!N345,'Main Data'!$A345:$O345,0))</f>
        <v>Yes</v>
      </c>
      <c r="O346" s="2">
        <f>INDEX('Main Data'!$A$1:$O$1001,MATCH('Index&amp;Match'!$A346,'Main Data'!$A$1:$A$1001,0),MATCH('Index&amp;Match'!O345,'Main Data'!$A345:$O345,0))</f>
        <v>33</v>
      </c>
    </row>
    <row r="347" spans="1:15" x14ac:dyDescent="0.3">
      <c r="A347" s="2" t="s">
        <v>404</v>
      </c>
      <c r="B347" s="1">
        <f>INDEX('Main Data'!$A$1:$O$1001,MATCH('Index&amp;Match'!$A347,'Main Data'!$A$1:$A$1001,0),MATCH('Index&amp;Match'!B346,'Main Data'!$A346:$O346,0))</f>
        <v>45999</v>
      </c>
      <c r="C347" s="2" t="str">
        <f>INDEX('Main Data'!$A$1:$O$1001,MATCH('Index&amp;Match'!$A347,'Main Data'!$A$1:$A$1001,0),MATCH('Index&amp;Match'!C346,'Main Data'!$A346:$O346,0))</f>
        <v>Jamie</v>
      </c>
      <c r="D347" s="2" t="str">
        <f>INDEX('Main Data'!$A$1:$O$1001,MATCH('Index&amp;Match'!$A347,'Main Data'!$A$1:$A$1001,0),MATCH('Index&amp;Match'!D346,'Main Data'!$A346:$O346,0))</f>
        <v>BR-006</v>
      </c>
      <c r="E347" s="2" t="str">
        <f>INDEX('Main Data'!$A$1:$O$1001,MATCH('Index&amp;Match'!$A347,'Main Data'!$A$1:$A$1001,0),MATCH('Index&amp;Match'!E346,'Main Data'!$A346:$O346,0))</f>
        <v>South</v>
      </c>
      <c r="F347" s="2" t="str">
        <f>INDEX('Main Data'!$A$1:$O$1001,MATCH('Index&amp;Match'!$A347,'Main Data'!$A$1:$A$1001,0),MATCH('Index&amp;Match'!F346,'Main Data'!$A346:$O346,0))</f>
        <v>Auto Loan</v>
      </c>
      <c r="G347" s="2" t="str">
        <f>INDEX('Main Data'!$A$1:$O$1001,MATCH('Index&amp;Match'!$A347,'Main Data'!$A$1:$A$1001,0),MATCH('Index&amp;Match'!G346,'Main Data'!$A346:$O346,0))</f>
        <v>Website</v>
      </c>
      <c r="H347" s="2" t="str">
        <f>INDEX('Main Data'!$A$1:$O$1001,MATCH('Index&amp;Match'!$A347,'Main Data'!$A$1:$A$1001,0),MATCH('Index&amp;Match'!H346,'Main Data'!$A346:$O346,0))</f>
        <v>High Net Worth</v>
      </c>
      <c r="I347" s="2">
        <f>INDEX('Main Data'!$A$1:$O$1001,MATCH('Index&amp;Match'!$A347,'Main Data'!$A$1:$A$1001,0),MATCH('Index&amp;Match'!I346,'Main Data'!$A346:$O346,0))</f>
        <v>61</v>
      </c>
      <c r="J347" s="2">
        <f>INDEX('Main Data'!$A$1:$O$1001,MATCH('Index&amp;Match'!$A347,'Main Data'!$A$1:$A$1001,0),MATCH('Index&amp;Match'!J346,'Main Data'!$A346:$O346,0))</f>
        <v>61</v>
      </c>
      <c r="K347" s="11">
        <f>INDEX('Main Data'!$A$1:$O$1001,MATCH('Index&amp;Match'!$A347,'Main Data'!$A$1:$A$1001,0),MATCH('Index&amp;Match'!K346,'Main Data'!$A346:$O346,0))</f>
        <v>31448.2</v>
      </c>
      <c r="L347" s="11">
        <f>INDEX('Main Data'!$A$1:$O$1001,MATCH('Index&amp;Match'!$A347,'Main Data'!$A$1:$A$1001,0),MATCH('Index&amp;Match'!L346,'Main Data'!$A346:$O346,0))</f>
        <v>349.17</v>
      </c>
      <c r="M347" s="11">
        <f>INDEX('Main Data'!$A$1:$O$1001,MATCH('Index&amp;Match'!$A347,'Main Data'!$A$1:$A$1001,0),MATCH('Index&amp;Match'!M346,'Main Data'!$A346:$O346,0))</f>
        <v>42.8</v>
      </c>
      <c r="N347" s="2" t="str">
        <f>INDEX('Main Data'!$A$1:$O$1001,MATCH('Index&amp;Match'!$A347,'Main Data'!$A$1:$A$1001,0),MATCH('Index&amp;Match'!N346,'Main Data'!$A346:$O346,0))</f>
        <v>Yes</v>
      </c>
      <c r="O347" s="2">
        <f>INDEX('Main Data'!$A$1:$O$1001,MATCH('Index&amp;Match'!$A347,'Main Data'!$A$1:$A$1001,0),MATCH('Index&amp;Match'!O346,'Main Data'!$A346:$O346,0))</f>
        <v>61</v>
      </c>
    </row>
    <row r="348" spans="1:15" x14ac:dyDescent="0.3">
      <c r="A348" s="2" t="s">
        <v>405</v>
      </c>
      <c r="B348" s="1">
        <f>INDEX('Main Data'!$A$1:$O$1001,MATCH('Index&amp;Match'!$A348,'Main Data'!$A$1:$A$1001,0),MATCH('Index&amp;Match'!B347,'Main Data'!$A347:$O347,0))</f>
        <v>46010</v>
      </c>
      <c r="C348" s="2" t="str">
        <f>INDEX('Main Data'!$A$1:$O$1001,MATCH('Index&amp;Match'!$A348,'Main Data'!$A$1:$A$1001,0),MATCH('Index&amp;Match'!C347,'Main Data'!$A347:$O347,0))</f>
        <v>Taylor</v>
      </c>
      <c r="D348" s="2" t="str">
        <f>INDEX('Main Data'!$A$1:$O$1001,MATCH('Index&amp;Match'!$A348,'Main Data'!$A$1:$A$1001,0),MATCH('Index&amp;Match'!D347,'Main Data'!$A347:$O347,0))</f>
        <v>BR-001</v>
      </c>
      <c r="E348" s="2" t="str">
        <f>INDEX('Main Data'!$A$1:$O$1001,MATCH('Index&amp;Match'!$A348,'Main Data'!$A$1:$A$1001,0),MATCH('Index&amp;Match'!E347,'Main Data'!$A347:$O347,0))</f>
        <v>South</v>
      </c>
      <c r="F348" s="2" t="str">
        <f>INDEX('Main Data'!$A$1:$O$1001,MATCH('Index&amp;Match'!$A348,'Main Data'!$A$1:$A$1001,0),MATCH('Index&amp;Match'!F347,'Main Data'!$A347:$O347,0))</f>
        <v>Mortgage</v>
      </c>
      <c r="G348" s="2" t="str">
        <f>INDEX('Main Data'!$A$1:$O$1001,MATCH('Index&amp;Match'!$A348,'Main Data'!$A$1:$A$1001,0),MATCH('Index&amp;Match'!G347,'Main Data'!$A347:$O347,0))</f>
        <v>Walk-in</v>
      </c>
      <c r="H348" s="2" t="str">
        <f>INDEX('Main Data'!$A$1:$O$1001,MATCH('Index&amp;Match'!$A348,'Main Data'!$A$1:$A$1001,0),MATCH('Index&amp;Match'!H347,'Main Data'!$A347:$O347,0))</f>
        <v>SME</v>
      </c>
      <c r="I348" s="2">
        <f>INDEX('Main Data'!$A$1:$O$1001,MATCH('Index&amp;Match'!$A348,'Main Data'!$A$1:$A$1001,0),MATCH('Index&amp;Match'!I347,'Main Data'!$A347:$O347,0))</f>
        <v>74</v>
      </c>
      <c r="J348" s="2">
        <f>INDEX('Main Data'!$A$1:$O$1001,MATCH('Index&amp;Match'!$A348,'Main Data'!$A$1:$A$1001,0),MATCH('Index&amp;Match'!J347,'Main Data'!$A347:$O347,0))</f>
        <v>74</v>
      </c>
      <c r="K348" s="11">
        <f>INDEX('Main Data'!$A$1:$O$1001,MATCH('Index&amp;Match'!$A348,'Main Data'!$A$1:$A$1001,0),MATCH('Index&amp;Match'!K347,'Main Data'!$A347:$O347,0))</f>
        <v>46913.17</v>
      </c>
      <c r="L348" s="11">
        <f>INDEX('Main Data'!$A$1:$O$1001,MATCH('Index&amp;Match'!$A348,'Main Data'!$A$1:$A$1001,0),MATCH('Index&amp;Match'!L347,'Main Data'!$A347:$O347,0))</f>
        <v>97.35</v>
      </c>
      <c r="M348" s="11">
        <f>INDEX('Main Data'!$A$1:$O$1001,MATCH('Index&amp;Match'!$A348,'Main Data'!$A$1:$A$1001,0),MATCH('Index&amp;Match'!M347,'Main Data'!$A347:$O347,0))</f>
        <v>101.82</v>
      </c>
      <c r="N348" s="2" t="str">
        <f>INDEX('Main Data'!$A$1:$O$1001,MATCH('Index&amp;Match'!$A348,'Main Data'!$A$1:$A$1001,0),MATCH('Index&amp;Match'!N347,'Main Data'!$A347:$O347,0))</f>
        <v>Yes</v>
      </c>
      <c r="O348" s="2">
        <f>INDEX('Main Data'!$A$1:$O$1001,MATCH('Index&amp;Match'!$A348,'Main Data'!$A$1:$A$1001,0),MATCH('Index&amp;Match'!O347,'Main Data'!$A347:$O347,0))</f>
        <v>74</v>
      </c>
    </row>
    <row r="349" spans="1:15" x14ac:dyDescent="0.3">
      <c r="A349" s="2" t="s">
        <v>406</v>
      </c>
      <c r="B349" s="1">
        <f>INDEX('Main Data'!$A$1:$O$1001,MATCH('Index&amp;Match'!$A349,'Main Data'!$A$1:$A$1001,0),MATCH('Index&amp;Match'!B348,'Main Data'!$A348:$O348,0))</f>
        <v>45887</v>
      </c>
      <c r="C349" s="2" t="str">
        <f>INDEX('Main Data'!$A$1:$O$1001,MATCH('Index&amp;Match'!$A349,'Main Data'!$A$1:$A$1001,0),MATCH('Index&amp;Match'!C348,'Main Data'!$A348:$O348,0))</f>
        <v>Morgan</v>
      </c>
      <c r="D349" s="2" t="str">
        <f>INDEX('Main Data'!$A$1:$O$1001,MATCH('Index&amp;Match'!$A349,'Main Data'!$A$1:$A$1001,0),MATCH('Index&amp;Match'!D348,'Main Data'!$A348:$O348,0))</f>
        <v>BR-014</v>
      </c>
      <c r="E349" s="2" t="str">
        <f>INDEX('Main Data'!$A$1:$O$1001,MATCH('Index&amp;Match'!$A349,'Main Data'!$A$1:$A$1001,0),MATCH('Index&amp;Match'!E348,'Main Data'!$A348:$O348,0))</f>
        <v>South</v>
      </c>
      <c r="F349" s="2" t="str">
        <f>INDEX('Main Data'!$A$1:$O$1001,MATCH('Index&amp;Match'!$A349,'Main Data'!$A$1:$A$1001,0),MATCH('Index&amp;Match'!F348,'Main Data'!$A348:$O348,0))</f>
        <v>Auto Loan</v>
      </c>
      <c r="G349" s="2" t="str">
        <f>INDEX('Main Data'!$A$1:$O$1001,MATCH('Index&amp;Match'!$A349,'Main Data'!$A$1:$A$1001,0),MATCH('Index&amp;Match'!G348,'Main Data'!$A348:$O348,0))</f>
        <v>Walk-in</v>
      </c>
      <c r="H349" s="2" t="str">
        <f>INDEX('Main Data'!$A$1:$O$1001,MATCH('Index&amp;Match'!$A349,'Main Data'!$A$1:$A$1001,0),MATCH('Index&amp;Match'!H348,'Main Data'!$A348:$O348,0))</f>
        <v>SME</v>
      </c>
      <c r="I349" s="2">
        <f>INDEX('Main Data'!$A$1:$O$1001,MATCH('Index&amp;Match'!$A349,'Main Data'!$A$1:$A$1001,0),MATCH('Index&amp;Match'!I348,'Main Data'!$A348:$O348,0))</f>
        <v>62</v>
      </c>
      <c r="J349" s="2">
        <f>INDEX('Main Data'!$A$1:$O$1001,MATCH('Index&amp;Match'!$A349,'Main Data'!$A$1:$A$1001,0),MATCH('Index&amp;Match'!J348,'Main Data'!$A348:$O348,0))</f>
        <v>62</v>
      </c>
      <c r="K349" s="11">
        <f>INDEX('Main Data'!$A$1:$O$1001,MATCH('Index&amp;Match'!$A349,'Main Data'!$A$1:$A$1001,0),MATCH('Index&amp;Match'!K348,'Main Data'!$A348:$O348,0))</f>
        <v>34145.39</v>
      </c>
      <c r="L349" s="11">
        <f>INDEX('Main Data'!$A$1:$O$1001,MATCH('Index&amp;Match'!$A349,'Main Data'!$A$1:$A$1001,0),MATCH('Index&amp;Match'!L348,'Main Data'!$A348:$O348,0))</f>
        <v>352.41</v>
      </c>
      <c r="M349" s="11">
        <f>INDEX('Main Data'!$A$1:$O$1001,MATCH('Index&amp;Match'!$A349,'Main Data'!$A$1:$A$1001,0),MATCH('Index&amp;Match'!M348,'Main Data'!$A348:$O348,0))</f>
        <v>165.94</v>
      </c>
      <c r="N349" s="2" t="str">
        <f>INDEX('Main Data'!$A$1:$O$1001,MATCH('Index&amp;Match'!$A349,'Main Data'!$A$1:$A$1001,0),MATCH('Index&amp;Match'!N348,'Main Data'!$A348:$O348,0))</f>
        <v>Yes</v>
      </c>
      <c r="O349" s="2">
        <f>INDEX('Main Data'!$A$1:$O$1001,MATCH('Index&amp;Match'!$A349,'Main Data'!$A$1:$A$1001,0),MATCH('Index&amp;Match'!O348,'Main Data'!$A348:$O348,0))</f>
        <v>62</v>
      </c>
    </row>
    <row r="350" spans="1:15" x14ac:dyDescent="0.3">
      <c r="A350" s="2" t="s">
        <v>407</v>
      </c>
      <c r="B350" s="1">
        <f>INDEX('Main Data'!$A$1:$O$1001,MATCH('Index&amp;Match'!$A350,'Main Data'!$A$1:$A$1001,0),MATCH('Index&amp;Match'!B349,'Main Data'!$A349:$O349,0))</f>
        <v>46203</v>
      </c>
      <c r="C350" s="2" t="str">
        <f>INDEX('Main Data'!$A$1:$O$1001,MATCH('Index&amp;Match'!$A350,'Main Data'!$A$1:$A$1001,0),MATCH('Index&amp;Match'!C349,'Main Data'!$A349:$O349,0))</f>
        <v>Drew</v>
      </c>
      <c r="D350" s="2" t="str">
        <f>INDEX('Main Data'!$A$1:$O$1001,MATCH('Index&amp;Match'!$A350,'Main Data'!$A$1:$A$1001,0),MATCH('Index&amp;Match'!D349,'Main Data'!$A349:$O349,0))</f>
        <v>BR-008</v>
      </c>
      <c r="E350" s="2" t="str">
        <f>INDEX('Main Data'!$A$1:$O$1001,MATCH('Index&amp;Match'!$A350,'Main Data'!$A$1:$A$1001,0),MATCH('Index&amp;Match'!E349,'Main Data'!$A349:$O349,0))</f>
        <v>South</v>
      </c>
      <c r="F350" s="2" t="str">
        <f>INDEX('Main Data'!$A$1:$O$1001,MATCH('Index&amp;Match'!$A350,'Main Data'!$A$1:$A$1001,0),MATCH('Index&amp;Match'!F349,'Main Data'!$A349:$O349,0))</f>
        <v>Credit Card</v>
      </c>
      <c r="G350" s="2" t="str">
        <f>INDEX('Main Data'!$A$1:$O$1001,MATCH('Index&amp;Match'!$A350,'Main Data'!$A$1:$A$1001,0),MATCH('Index&amp;Match'!G349,'Main Data'!$A349:$O349,0))</f>
        <v>Website</v>
      </c>
      <c r="H350" s="2" t="str">
        <f>INDEX('Main Data'!$A$1:$O$1001,MATCH('Index&amp;Match'!$A350,'Main Data'!$A$1:$A$1001,0),MATCH('Index&amp;Match'!H349,'Main Data'!$A349:$O349,0))</f>
        <v>High Net Worth</v>
      </c>
      <c r="I350" s="2">
        <f>INDEX('Main Data'!$A$1:$O$1001,MATCH('Index&amp;Match'!$A350,'Main Data'!$A$1:$A$1001,0),MATCH('Index&amp;Match'!I349,'Main Data'!$A349:$O349,0))</f>
        <v>67</v>
      </c>
      <c r="J350" s="2">
        <f>INDEX('Main Data'!$A$1:$O$1001,MATCH('Index&amp;Match'!$A350,'Main Data'!$A$1:$A$1001,0),MATCH('Index&amp;Match'!J349,'Main Data'!$A349:$O349,0))</f>
        <v>67</v>
      </c>
      <c r="K350" s="11">
        <f>INDEX('Main Data'!$A$1:$O$1001,MATCH('Index&amp;Match'!$A350,'Main Data'!$A$1:$A$1001,0),MATCH('Index&amp;Match'!K349,'Main Data'!$A349:$O349,0))</f>
        <v>28723.99</v>
      </c>
      <c r="L350" s="11">
        <f>INDEX('Main Data'!$A$1:$O$1001,MATCH('Index&amp;Match'!$A350,'Main Data'!$A$1:$A$1001,0),MATCH('Index&amp;Match'!L349,'Main Data'!$A349:$O349,0))</f>
        <v>335.94</v>
      </c>
      <c r="M350" s="11">
        <f>INDEX('Main Data'!$A$1:$O$1001,MATCH('Index&amp;Match'!$A350,'Main Data'!$A$1:$A$1001,0),MATCH('Index&amp;Match'!M349,'Main Data'!$A349:$O349,0))</f>
        <v>104.94</v>
      </c>
      <c r="N350" s="2" t="str">
        <f>INDEX('Main Data'!$A$1:$O$1001,MATCH('Index&amp;Match'!$A350,'Main Data'!$A$1:$A$1001,0),MATCH('Index&amp;Match'!N349,'Main Data'!$A349:$O349,0))</f>
        <v>Yes</v>
      </c>
      <c r="O350" s="2">
        <f>INDEX('Main Data'!$A$1:$O$1001,MATCH('Index&amp;Match'!$A350,'Main Data'!$A$1:$A$1001,0),MATCH('Index&amp;Match'!O349,'Main Data'!$A349:$O349,0))</f>
        <v>67</v>
      </c>
    </row>
    <row r="351" spans="1:15" x14ac:dyDescent="0.3">
      <c r="A351" s="2" t="s">
        <v>408</v>
      </c>
      <c r="B351" s="1">
        <f>INDEX('Main Data'!$A$1:$O$1001,MATCH('Index&amp;Match'!$A351,'Main Data'!$A$1:$A$1001,0),MATCH('Index&amp;Match'!B350,'Main Data'!$A350:$O350,0))</f>
        <v>46019</v>
      </c>
      <c r="C351" s="2" t="str">
        <f>INDEX('Main Data'!$A$1:$O$1001,MATCH('Index&amp;Match'!$A351,'Main Data'!$A$1:$A$1001,0),MATCH('Index&amp;Match'!C350,'Main Data'!$A350:$O350,0))</f>
        <v>Jamie</v>
      </c>
      <c r="D351" s="2" t="str">
        <f>INDEX('Main Data'!$A$1:$O$1001,MATCH('Index&amp;Match'!$A351,'Main Data'!$A$1:$A$1001,0),MATCH('Index&amp;Match'!D350,'Main Data'!$A350:$O350,0))</f>
        <v>BR-006</v>
      </c>
      <c r="E351" s="2" t="str">
        <f>INDEX('Main Data'!$A$1:$O$1001,MATCH('Index&amp;Match'!$A351,'Main Data'!$A$1:$A$1001,0),MATCH('Index&amp;Match'!E350,'Main Data'!$A350:$O350,0))</f>
        <v>South</v>
      </c>
      <c r="F351" s="2" t="str">
        <f>INDEX('Main Data'!$A$1:$O$1001,MATCH('Index&amp;Match'!$A351,'Main Data'!$A$1:$A$1001,0),MATCH('Index&amp;Match'!F350,'Main Data'!$A350:$O350,0))</f>
        <v>Mortgage</v>
      </c>
      <c r="G351" s="2" t="str">
        <f>INDEX('Main Data'!$A$1:$O$1001,MATCH('Index&amp;Match'!$A351,'Main Data'!$A$1:$A$1001,0),MATCH('Index&amp;Match'!G350,'Main Data'!$A350:$O350,0))</f>
        <v>Social Media</v>
      </c>
      <c r="H351" s="2" t="str">
        <f>INDEX('Main Data'!$A$1:$O$1001,MATCH('Index&amp;Match'!$A351,'Main Data'!$A$1:$A$1001,0),MATCH('Index&amp;Match'!H350,'Main Data'!$A350:$O350,0))</f>
        <v>High Net Worth</v>
      </c>
      <c r="I351" s="2">
        <f>INDEX('Main Data'!$A$1:$O$1001,MATCH('Index&amp;Match'!$A351,'Main Data'!$A$1:$A$1001,0),MATCH('Index&amp;Match'!I350,'Main Data'!$A350:$O350,0))</f>
        <v>57</v>
      </c>
      <c r="J351" s="2">
        <f>INDEX('Main Data'!$A$1:$O$1001,MATCH('Index&amp;Match'!$A351,'Main Data'!$A$1:$A$1001,0),MATCH('Index&amp;Match'!J350,'Main Data'!$A350:$O350,0))</f>
        <v>57</v>
      </c>
      <c r="K351" s="11">
        <f>INDEX('Main Data'!$A$1:$O$1001,MATCH('Index&amp;Match'!$A351,'Main Data'!$A$1:$A$1001,0),MATCH('Index&amp;Match'!K350,'Main Data'!$A350:$O350,0))</f>
        <v>30704.7</v>
      </c>
      <c r="L351" s="11">
        <f>INDEX('Main Data'!$A$1:$O$1001,MATCH('Index&amp;Match'!$A351,'Main Data'!$A$1:$A$1001,0),MATCH('Index&amp;Match'!L350,'Main Data'!$A350:$O350,0))</f>
        <v>412.59</v>
      </c>
      <c r="M351" s="11">
        <f>INDEX('Main Data'!$A$1:$O$1001,MATCH('Index&amp;Match'!$A351,'Main Data'!$A$1:$A$1001,0),MATCH('Index&amp;Match'!M350,'Main Data'!$A350:$O350,0))</f>
        <v>127.46</v>
      </c>
      <c r="N351" s="2" t="str">
        <f>INDEX('Main Data'!$A$1:$O$1001,MATCH('Index&amp;Match'!$A351,'Main Data'!$A$1:$A$1001,0),MATCH('Index&amp;Match'!N350,'Main Data'!$A350:$O350,0))</f>
        <v>Yes</v>
      </c>
      <c r="O351" s="2">
        <f>INDEX('Main Data'!$A$1:$O$1001,MATCH('Index&amp;Match'!$A351,'Main Data'!$A$1:$A$1001,0),MATCH('Index&amp;Match'!O350,'Main Data'!$A350:$O350,0))</f>
        <v>57</v>
      </c>
    </row>
    <row r="352" spans="1:15" x14ac:dyDescent="0.3">
      <c r="A352" s="2" t="s">
        <v>409</v>
      </c>
      <c r="B352" s="1">
        <f>INDEX('Main Data'!$A$1:$O$1001,MATCH('Index&amp;Match'!$A352,'Main Data'!$A$1:$A$1001,0),MATCH('Index&amp;Match'!B351,'Main Data'!$A351:$O351,0))</f>
        <v>45931</v>
      </c>
      <c r="C352" s="2" t="str">
        <f>INDEX('Main Data'!$A$1:$O$1001,MATCH('Index&amp;Match'!$A352,'Main Data'!$A$1:$A$1001,0),MATCH('Index&amp;Match'!C351,'Main Data'!$A351:$O351,0))</f>
        <v>Morgan</v>
      </c>
      <c r="D352" s="2" t="str">
        <f>INDEX('Main Data'!$A$1:$O$1001,MATCH('Index&amp;Match'!$A352,'Main Data'!$A$1:$A$1001,0),MATCH('Index&amp;Match'!D351,'Main Data'!$A351:$O351,0))</f>
        <v>BR-003</v>
      </c>
      <c r="E352" s="2" t="str">
        <f>INDEX('Main Data'!$A$1:$O$1001,MATCH('Index&amp;Match'!$A352,'Main Data'!$A$1:$A$1001,0),MATCH('Index&amp;Match'!E351,'Main Data'!$A351:$O351,0))</f>
        <v>South</v>
      </c>
      <c r="F352" s="2" t="str">
        <f>INDEX('Main Data'!$A$1:$O$1001,MATCH('Index&amp;Match'!$A352,'Main Data'!$A$1:$A$1001,0),MATCH('Index&amp;Match'!F351,'Main Data'!$A351:$O351,0))</f>
        <v>Personal Loan</v>
      </c>
      <c r="G352" s="2" t="str">
        <f>INDEX('Main Data'!$A$1:$O$1001,MATCH('Index&amp;Match'!$A352,'Main Data'!$A$1:$A$1001,0),MATCH('Index&amp;Match'!G351,'Main Data'!$A351:$O351,0))</f>
        <v>Walk-in</v>
      </c>
      <c r="H352" s="2" t="str">
        <f>INDEX('Main Data'!$A$1:$O$1001,MATCH('Index&amp;Match'!$A352,'Main Data'!$A$1:$A$1001,0),MATCH('Index&amp;Match'!H351,'Main Data'!$A351:$O351,0))</f>
        <v>SME</v>
      </c>
      <c r="I352" s="2">
        <f>INDEX('Main Data'!$A$1:$O$1001,MATCH('Index&amp;Match'!$A352,'Main Data'!$A$1:$A$1001,0),MATCH('Index&amp;Match'!I351,'Main Data'!$A351:$O351,0))</f>
        <v>74</v>
      </c>
      <c r="J352" s="2">
        <f>INDEX('Main Data'!$A$1:$O$1001,MATCH('Index&amp;Match'!$A352,'Main Data'!$A$1:$A$1001,0),MATCH('Index&amp;Match'!J351,'Main Data'!$A351:$O351,0))</f>
        <v>74</v>
      </c>
      <c r="K352" s="11">
        <f>INDEX('Main Data'!$A$1:$O$1001,MATCH('Index&amp;Match'!$A352,'Main Data'!$A$1:$A$1001,0),MATCH('Index&amp;Match'!K351,'Main Data'!$A351:$O351,0))</f>
        <v>47147.39</v>
      </c>
      <c r="L352" s="11">
        <f>INDEX('Main Data'!$A$1:$O$1001,MATCH('Index&amp;Match'!$A352,'Main Data'!$A$1:$A$1001,0),MATCH('Index&amp;Match'!L351,'Main Data'!$A351:$O351,0))</f>
        <v>421.36</v>
      </c>
      <c r="M352" s="11">
        <f>INDEX('Main Data'!$A$1:$O$1001,MATCH('Index&amp;Match'!$A352,'Main Data'!$A$1:$A$1001,0),MATCH('Index&amp;Match'!M351,'Main Data'!$A351:$O351,0))</f>
        <v>25.64</v>
      </c>
      <c r="N352" s="2" t="str">
        <f>INDEX('Main Data'!$A$1:$O$1001,MATCH('Index&amp;Match'!$A352,'Main Data'!$A$1:$A$1001,0),MATCH('Index&amp;Match'!N351,'Main Data'!$A351:$O351,0))</f>
        <v>No</v>
      </c>
      <c r="O352" s="2">
        <f>INDEX('Main Data'!$A$1:$O$1001,MATCH('Index&amp;Match'!$A352,'Main Data'!$A$1:$A$1001,0),MATCH('Index&amp;Match'!O351,'Main Data'!$A351:$O351,0))</f>
        <v>74</v>
      </c>
    </row>
    <row r="353" spans="1:15" x14ac:dyDescent="0.3">
      <c r="A353" s="2" t="s">
        <v>410</v>
      </c>
      <c r="B353" s="1">
        <f>INDEX('Main Data'!$A$1:$O$1001,MATCH('Index&amp;Match'!$A353,'Main Data'!$A$1:$A$1001,0),MATCH('Index&amp;Match'!B352,'Main Data'!$A352:$O352,0))</f>
        <v>45996</v>
      </c>
      <c r="C353" s="2" t="str">
        <f>INDEX('Main Data'!$A$1:$O$1001,MATCH('Index&amp;Match'!$A353,'Main Data'!$A$1:$A$1001,0),MATCH('Index&amp;Match'!C352,'Main Data'!$A352:$O352,0))</f>
        <v>Alex</v>
      </c>
      <c r="D353" s="2" t="str">
        <f>INDEX('Main Data'!$A$1:$O$1001,MATCH('Index&amp;Match'!$A353,'Main Data'!$A$1:$A$1001,0),MATCH('Index&amp;Match'!D352,'Main Data'!$A352:$O352,0))</f>
        <v>BR-014</v>
      </c>
      <c r="E353" s="2" t="str">
        <f>INDEX('Main Data'!$A$1:$O$1001,MATCH('Index&amp;Match'!$A353,'Main Data'!$A$1:$A$1001,0),MATCH('Index&amp;Match'!E352,'Main Data'!$A352:$O352,0))</f>
        <v>West</v>
      </c>
      <c r="F353" s="2" t="str">
        <f>INDEX('Main Data'!$A$1:$O$1001,MATCH('Index&amp;Match'!$A353,'Main Data'!$A$1:$A$1001,0),MATCH('Index&amp;Match'!F352,'Main Data'!$A352:$O352,0))</f>
        <v>Mortgage</v>
      </c>
      <c r="G353" s="2" t="str">
        <f>INDEX('Main Data'!$A$1:$O$1001,MATCH('Index&amp;Match'!$A353,'Main Data'!$A$1:$A$1001,0),MATCH('Index&amp;Match'!G352,'Main Data'!$A352:$O352,0))</f>
        <v>Social Media</v>
      </c>
      <c r="H353" s="2" t="str">
        <f>INDEX('Main Data'!$A$1:$O$1001,MATCH('Index&amp;Match'!$A353,'Main Data'!$A$1:$A$1001,0),MATCH('Index&amp;Match'!H352,'Main Data'!$A352:$O352,0))</f>
        <v>High Net Worth</v>
      </c>
      <c r="I353" s="2">
        <f>INDEX('Main Data'!$A$1:$O$1001,MATCH('Index&amp;Match'!$A353,'Main Data'!$A$1:$A$1001,0),MATCH('Index&amp;Match'!I352,'Main Data'!$A352:$O352,0))</f>
        <v>36</v>
      </c>
      <c r="J353" s="2">
        <f>INDEX('Main Data'!$A$1:$O$1001,MATCH('Index&amp;Match'!$A353,'Main Data'!$A$1:$A$1001,0),MATCH('Index&amp;Match'!J352,'Main Data'!$A352:$O352,0))</f>
        <v>36</v>
      </c>
      <c r="K353" s="11">
        <f>INDEX('Main Data'!$A$1:$O$1001,MATCH('Index&amp;Match'!$A353,'Main Data'!$A$1:$A$1001,0),MATCH('Index&amp;Match'!K352,'Main Data'!$A352:$O352,0))</f>
        <v>39515.949999999997</v>
      </c>
      <c r="L353" s="11">
        <f>INDEX('Main Data'!$A$1:$O$1001,MATCH('Index&amp;Match'!$A353,'Main Data'!$A$1:$A$1001,0),MATCH('Index&amp;Match'!L352,'Main Data'!$A352:$O352,0))</f>
        <v>440.69</v>
      </c>
      <c r="M353" s="11">
        <f>INDEX('Main Data'!$A$1:$O$1001,MATCH('Index&amp;Match'!$A353,'Main Data'!$A$1:$A$1001,0),MATCH('Index&amp;Match'!M352,'Main Data'!$A352:$O352,0))</f>
        <v>36.869999999999997</v>
      </c>
      <c r="N353" s="2" t="str">
        <f>INDEX('Main Data'!$A$1:$O$1001,MATCH('Index&amp;Match'!$A353,'Main Data'!$A$1:$A$1001,0),MATCH('Index&amp;Match'!N352,'Main Data'!$A352:$O352,0))</f>
        <v>Yes</v>
      </c>
      <c r="O353" s="2">
        <f>INDEX('Main Data'!$A$1:$O$1001,MATCH('Index&amp;Match'!$A353,'Main Data'!$A$1:$A$1001,0),MATCH('Index&amp;Match'!O352,'Main Data'!$A352:$O352,0))</f>
        <v>36</v>
      </c>
    </row>
    <row r="354" spans="1:15" x14ac:dyDescent="0.3">
      <c r="A354" s="2" t="s">
        <v>411</v>
      </c>
      <c r="B354" s="1">
        <f>INDEX('Main Data'!$A$1:$O$1001,MATCH('Index&amp;Match'!$A354,'Main Data'!$A$1:$A$1001,0),MATCH('Index&amp;Match'!B353,'Main Data'!$A353:$O353,0))</f>
        <v>46139</v>
      </c>
      <c r="C354" s="2" t="str">
        <f>INDEX('Main Data'!$A$1:$O$1001,MATCH('Index&amp;Match'!$A354,'Main Data'!$A$1:$A$1001,0),MATCH('Index&amp;Match'!C353,'Main Data'!$A353:$O353,0))</f>
        <v>Alex</v>
      </c>
      <c r="D354" s="2" t="str">
        <f>INDEX('Main Data'!$A$1:$O$1001,MATCH('Index&amp;Match'!$A354,'Main Data'!$A$1:$A$1001,0),MATCH('Index&amp;Match'!D353,'Main Data'!$A353:$O353,0))</f>
        <v>BR-009</v>
      </c>
      <c r="E354" s="2" t="str">
        <f>INDEX('Main Data'!$A$1:$O$1001,MATCH('Index&amp;Match'!$A354,'Main Data'!$A$1:$A$1001,0),MATCH('Index&amp;Match'!E353,'Main Data'!$A353:$O353,0))</f>
        <v>North</v>
      </c>
      <c r="F354" s="2" t="str">
        <f>INDEX('Main Data'!$A$1:$O$1001,MATCH('Index&amp;Match'!$A354,'Main Data'!$A$1:$A$1001,0),MATCH('Index&amp;Match'!F353,'Main Data'!$A353:$O353,0))</f>
        <v>Mortgage</v>
      </c>
      <c r="G354" s="2" t="str">
        <f>INDEX('Main Data'!$A$1:$O$1001,MATCH('Index&amp;Match'!$A354,'Main Data'!$A$1:$A$1001,0),MATCH('Index&amp;Match'!G353,'Main Data'!$A353:$O353,0))</f>
        <v>Email Campaign</v>
      </c>
      <c r="H354" s="2" t="str">
        <f>INDEX('Main Data'!$A$1:$O$1001,MATCH('Index&amp;Match'!$A354,'Main Data'!$A$1:$A$1001,0),MATCH('Index&amp;Match'!H353,'Main Data'!$A353:$O353,0))</f>
        <v>Corporate</v>
      </c>
      <c r="I354" s="2">
        <f>INDEX('Main Data'!$A$1:$O$1001,MATCH('Index&amp;Match'!$A354,'Main Data'!$A$1:$A$1001,0),MATCH('Index&amp;Match'!I353,'Main Data'!$A353:$O353,0))</f>
        <v>65</v>
      </c>
      <c r="J354" s="2">
        <f>INDEX('Main Data'!$A$1:$O$1001,MATCH('Index&amp;Match'!$A354,'Main Data'!$A$1:$A$1001,0),MATCH('Index&amp;Match'!J353,'Main Data'!$A353:$O353,0))</f>
        <v>65</v>
      </c>
      <c r="K354" s="11">
        <f>INDEX('Main Data'!$A$1:$O$1001,MATCH('Index&amp;Match'!$A354,'Main Data'!$A$1:$A$1001,0),MATCH('Index&amp;Match'!K353,'Main Data'!$A353:$O353,0))</f>
        <v>1690.04</v>
      </c>
      <c r="L354" s="11">
        <f>INDEX('Main Data'!$A$1:$O$1001,MATCH('Index&amp;Match'!$A354,'Main Data'!$A$1:$A$1001,0),MATCH('Index&amp;Match'!L353,'Main Data'!$A353:$O353,0))</f>
        <v>236.36</v>
      </c>
      <c r="M354" s="11">
        <f>INDEX('Main Data'!$A$1:$O$1001,MATCH('Index&amp;Match'!$A354,'Main Data'!$A$1:$A$1001,0),MATCH('Index&amp;Match'!M353,'Main Data'!$A353:$O353,0))</f>
        <v>123.91</v>
      </c>
      <c r="N354" s="2" t="str">
        <f>INDEX('Main Data'!$A$1:$O$1001,MATCH('Index&amp;Match'!$A354,'Main Data'!$A$1:$A$1001,0),MATCH('Index&amp;Match'!N353,'Main Data'!$A353:$O353,0))</f>
        <v>No</v>
      </c>
      <c r="O354" s="2">
        <f>INDEX('Main Data'!$A$1:$O$1001,MATCH('Index&amp;Match'!$A354,'Main Data'!$A$1:$A$1001,0),MATCH('Index&amp;Match'!O353,'Main Data'!$A353:$O353,0))</f>
        <v>65</v>
      </c>
    </row>
    <row r="355" spans="1:15" x14ac:dyDescent="0.3">
      <c r="A355" s="2" t="s">
        <v>412</v>
      </c>
      <c r="B355" s="1">
        <f>INDEX('Main Data'!$A$1:$O$1001,MATCH('Index&amp;Match'!$A355,'Main Data'!$A$1:$A$1001,0),MATCH('Index&amp;Match'!B354,'Main Data'!$A354:$O354,0))</f>
        <v>46144</v>
      </c>
      <c r="C355" s="2" t="str">
        <f>INDEX('Main Data'!$A$1:$O$1001,MATCH('Index&amp;Match'!$A355,'Main Data'!$A$1:$A$1001,0),MATCH('Index&amp;Match'!C354,'Main Data'!$A354:$O354,0))</f>
        <v>Drew</v>
      </c>
      <c r="D355" s="2" t="str">
        <f>INDEX('Main Data'!$A$1:$O$1001,MATCH('Index&amp;Match'!$A355,'Main Data'!$A$1:$A$1001,0),MATCH('Index&amp;Match'!D354,'Main Data'!$A354:$O354,0))</f>
        <v>BR-002</v>
      </c>
      <c r="E355" s="2" t="str">
        <f>INDEX('Main Data'!$A$1:$O$1001,MATCH('Index&amp;Match'!$A355,'Main Data'!$A$1:$A$1001,0),MATCH('Index&amp;Match'!E354,'Main Data'!$A354:$O354,0))</f>
        <v>East</v>
      </c>
      <c r="F355" s="2" t="str">
        <f>INDEX('Main Data'!$A$1:$O$1001,MATCH('Index&amp;Match'!$A355,'Main Data'!$A$1:$A$1001,0),MATCH('Index&amp;Match'!F354,'Main Data'!$A354:$O354,0))</f>
        <v>Wealth Management</v>
      </c>
      <c r="G355" s="2" t="str">
        <f>INDEX('Main Data'!$A$1:$O$1001,MATCH('Index&amp;Match'!$A355,'Main Data'!$A$1:$A$1001,0),MATCH('Index&amp;Match'!G354,'Main Data'!$A354:$O354,0))</f>
        <v>Social Media</v>
      </c>
      <c r="H355" s="2" t="str">
        <f>INDEX('Main Data'!$A$1:$O$1001,MATCH('Index&amp;Match'!$A355,'Main Data'!$A$1:$A$1001,0),MATCH('Index&amp;Match'!H354,'Main Data'!$A354:$O354,0))</f>
        <v>High Net Worth</v>
      </c>
      <c r="I355" s="2">
        <f>INDEX('Main Data'!$A$1:$O$1001,MATCH('Index&amp;Match'!$A355,'Main Data'!$A$1:$A$1001,0),MATCH('Index&amp;Match'!I354,'Main Data'!$A354:$O354,0))</f>
        <v>42</v>
      </c>
      <c r="J355" s="2">
        <f>INDEX('Main Data'!$A$1:$O$1001,MATCH('Index&amp;Match'!$A355,'Main Data'!$A$1:$A$1001,0),MATCH('Index&amp;Match'!J354,'Main Data'!$A354:$O354,0))</f>
        <v>42</v>
      </c>
      <c r="K355" s="11">
        <f>INDEX('Main Data'!$A$1:$O$1001,MATCH('Index&amp;Match'!$A355,'Main Data'!$A$1:$A$1001,0),MATCH('Index&amp;Match'!K354,'Main Data'!$A354:$O354,0))</f>
        <v>26939.91</v>
      </c>
      <c r="L355" s="11">
        <f>INDEX('Main Data'!$A$1:$O$1001,MATCH('Index&amp;Match'!$A355,'Main Data'!$A$1:$A$1001,0),MATCH('Index&amp;Match'!L354,'Main Data'!$A354:$O354,0))</f>
        <v>364.04</v>
      </c>
      <c r="M355" s="11">
        <f>INDEX('Main Data'!$A$1:$O$1001,MATCH('Index&amp;Match'!$A355,'Main Data'!$A$1:$A$1001,0),MATCH('Index&amp;Match'!M354,'Main Data'!$A354:$O354,0))</f>
        <v>202.67</v>
      </c>
      <c r="N355" s="2" t="str">
        <f>INDEX('Main Data'!$A$1:$O$1001,MATCH('Index&amp;Match'!$A355,'Main Data'!$A$1:$A$1001,0),MATCH('Index&amp;Match'!N354,'Main Data'!$A354:$O354,0))</f>
        <v>No</v>
      </c>
      <c r="O355" s="2">
        <f>INDEX('Main Data'!$A$1:$O$1001,MATCH('Index&amp;Match'!$A355,'Main Data'!$A$1:$A$1001,0),MATCH('Index&amp;Match'!O354,'Main Data'!$A354:$O354,0))</f>
        <v>42</v>
      </c>
    </row>
    <row r="356" spans="1:15" x14ac:dyDescent="0.3">
      <c r="A356" s="2" t="s">
        <v>413</v>
      </c>
      <c r="B356" s="1">
        <f>INDEX('Main Data'!$A$1:$O$1001,MATCH('Index&amp;Match'!$A356,'Main Data'!$A$1:$A$1001,0),MATCH('Index&amp;Match'!B355,'Main Data'!$A355:$O355,0))</f>
        <v>46173</v>
      </c>
      <c r="C356" s="2" t="str">
        <f>INDEX('Main Data'!$A$1:$O$1001,MATCH('Index&amp;Match'!$A356,'Main Data'!$A$1:$A$1001,0),MATCH('Index&amp;Match'!C355,'Main Data'!$A355:$O355,0))</f>
        <v>Drew</v>
      </c>
      <c r="D356" s="2" t="str">
        <f>INDEX('Main Data'!$A$1:$O$1001,MATCH('Index&amp;Match'!$A356,'Main Data'!$A$1:$A$1001,0),MATCH('Index&amp;Match'!D355,'Main Data'!$A355:$O355,0))</f>
        <v>BR-015</v>
      </c>
      <c r="E356" s="2" t="str">
        <f>INDEX('Main Data'!$A$1:$O$1001,MATCH('Index&amp;Match'!$A356,'Main Data'!$A$1:$A$1001,0),MATCH('Index&amp;Match'!E355,'Main Data'!$A355:$O355,0))</f>
        <v>Central</v>
      </c>
      <c r="F356" s="2" t="str">
        <f>INDEX('Main Data'!$A$1:$O$1001,MATCH('Index&amp;Match'!$A356,'Main Data'!$A$1:$A$1001,0),MATCH('Index&amp;Match'!F355,'Main Data'!$A355:$O355,0))</f>
        <v>Mortgage</v>
      </c>
      <c r="G356" s="2" t="str">
        <f>INDEX('Main Data'!$A$1:$O$1001,MATCH('Index&amp;Match'!$A356,'Main Data'!$A$1:$A$1001,0),MATCH('Index&amp;Match'!G355,'Main Data'!$A355:$O355,0))</f>
        <v>Referral</v>
      </c>
      <c r="H356" s="2" t="str">
        <f>INDEX('Main Data'!$A$1:$O$1001,MATCH('Index&amp;Match'!$A356,'Main Data'!$A$1:$A$1001,0),MATCH('Index&amp;Match'!H355,'Main Data'!$A355:$O355,0))</f>
        <v>High Net Worth</v>
      </c>
      <c r="I356" s="2">
        <f>INDEX('Main Data'!$A$1:$O$1001,MATCH('Index&amp;Match'!$A356,'Main Data'!$A$1:$A$1001,0),MATCH('Index&amp;Match'!I355,'Main Data'!$A355:$O355,0))</f>
        <v>40</v>
      </c>
      <c r="J356" s="2">
        <f>INDEX('Main Data'!$A$1:$O$1001,MATCH('Index&amp;Match'!$A356,'Main Data'!$A$1:$A$1001,0),MATCH('Index&amp;Match'!J355,'Main Data'!$A355:$O355,0))</f>
        <v>40</v>
      </c>
      <c r="K356" s="11">
        <f>INDEX('Main Data'!$A$1:$O$1001,MATCH('Index&amp;Match'!$A356,'Main Data'!$A$1:$A$1001,0),MATCH('Index&amp;Match'!K355,'Main Data'!$A355:$O355,0))</f>
        <v>34572.75</v>
      </c>
      <c r="L356" s="11">
        <f>INDEX('Main Data'!$A$1:$O$1001,MATCH('Index&amp;Match'!$A356,'Main Data'!$A$1:$A$1001,0),MATCH('Index&amp;Match'!L355,'Main Data'!$A355:$O355,0))</f>
        <v>170.71</v>
      </c>
      <c r="M356" s="11">
        <f>INDEX('Main Data'!$A$1:$O$1001,MATCH('Index&amp;Match'!$A356,'Main Data'!$A$1:$A$1001,0),MATCH('Index&amp;Match'!M355,'Main Data'!$A355:$O355,0))</f>
        <v>233.2</v>
      </c>
      <c r="N356" s="2" t="str">
        <f>INDEX('Main Data'!$A$1:$O$1001,MATCH('Index&amp;Match'!$A356,'Main Data'!$A$1:$A$1001,0),MATCH('Index&amp;Match'!N355,'Main Data'!$A355:$O355,0))</f>
        <v>Yes</v>
      </c>
      <c r="O356" s="2">
        <f>INDEX('Main Data'!$A$1:$O$1001,MATCH('Index&amp;Match'!$A356,'Main Data'!$A$1:$A$1001,0),MATCH('Index&amp;Match'!O355,'Main Data'!$A355:$O355,0))</f>
        <v>40</v>
      </c>
    </row>
    <row r="357" spans="1:15" x14ac:dyDescent="0.3">
      <c r="A357" s="2" t="s">
        <v>414</v>
      </c>
      <c r="B357" s="1">
        <f>INDEX('Main Data'!$A$1:$O$1001,MATCH('Index&amp;Match'!$A357,'Main Data'!$A$1:$A$1001,0),MATCH('Index&amp;Match'!B356,'Main Data'!$A356:$O356,0))</f>
        <v>45914</v>
      </c>
      <c r="C357" s="2" t="str">
        <f>INDEX('Main Data'!$A$1:$O$1001,MATCH('Index&amp;Match'!$A357,'Main Data'!$A$1:$A$1001,0),MATCH('Index&amp;Match'!C356,'Main Data'!$A356:$O356,0))</f>
        <v>Jamie</v>
      </c>
      <c r="D357" s="2" t="str">
        <f>INDEX('Main Data'!$A$1:$O$1001,MATCH('Index&amp;Match'!$A357,'Main Data'!$A$1:$A$1001,0),MATCH('Index&amp;Match'!D356,'Main Data'!$A356:$O356,0))</f>
        <v>BR-011</v>
      </c>
      <c r="E357" s="2" t="str">
        <f>INDEX('Main Data'!$A$1:$O$1001,MATCH('Index&amp;Match'!$A357,'Main Data'!$A$1:$A$1001,0),MATCH('Index&amp;Match'!E356,'Main Data'!$A356:$O356,0))</f>
        <v>East</v>
      </c>
      <c r="F357" s="2" t="str">
        <f>INDEX('Main Data'!$A$1:$O$1001,MATCH('Index&amp;Match'!$A357,'Main Data'!$A$1:$A$1001,0),MATCH('Index&amp;Match'!F356,'Main Data'!$A356:$O356,0))</f>
        <v>Mortgage</v>
      </c>
      <c r="G357" s="2" t="str">
        <f>INDEX('Main Data'!$A$1:$O$1001,MATCH('Index&amp;Match'!$A357,'Main Data'!$A$1:$A$1001,0),MATCH('Index&amp;Match'!G356,'Main Data'!$A356:$O356,0))</f>
        <v>Referral</v>
      </c>
      <c r="H357" s="2" t="str">
        <f>INDEX('Main Data'!$A$1:$O$1001,MATCH('Index&amp;Match'!$A357,'Main Data'!$A$1:$A$1001,0),MATCH('Index&amp;Match'!H356,'Main Data'!$A356:$O356,0))</f>
        <v>High Net Worth</v>
      </c>
      <c r="I357" s="2">
        <f>INDEX('Main Data'!$A$1:$O$1001,MATCH('Index&amp;Match'!$A357,'Main Data'!$A$1:$A$1001,0),MATCH('Index&amp;Match'!I356,'Main Data'!$A356:$O356,0))</f>
        <v>70</v>
      </c>
      <c r="J357" s="2">
        <f>INDEX('Main Data'!$A$1:$O$1001,MATCH('Index&amp;Match'!$A357,'Main Data'!$A$1:$A$1001,0),MATCH('Index&amp;Match'!J356,'Main Data'!$A356:$O356,0))</f>
        <v>70</v>
      </c>
      <c r="K357" s="11">
        <f>INDEX('Main Data'!$A$1:$O$1001,MATCH('Index&amp;Match'!$A357,'Main Data'!$A$1:$A$1001,0),MATCH('Index&amp;Match'!K356,'Main Data'!$A356:$O356,0))</f>
        <v>37560.57</v>
      </c>
      <c r="L357" s="11">
        <f>INDEX('Main Data'!$A$1:$O$1001,MATCH('Index&amp;Match'!$A357,'Main Data'!$A$1:$A$1001,0),MATCH('Index&amp;Match'!L356,'Main Data'!$A356:$O356,0))</f>
        <v>499.7</v>
      </c>
      <c r="M357" s="11">
        <f>INDEX('Main Data'!$A$1:$O$1001,MATCH('Index&amp;Match'!$A357,'Main Data'!$A$1:$A$1001,0),MATCH('Index&amp;Match'!M356,'Main Data'!$A356:$O356,0))</f>
        <v>167.01</v>
      </c>
      <c r="N357" s="2" t="str">
        <f>INDEX('Main Data'!$A$1:$O$1001,MATCH('Index&amp;Match'!$A357,'Main Data'!$A$1:$A$1001,0),MATCH('Index&amp;Match'!N356,'Main Data'!$A356:$O356,0))</f>
        <v>Yes</v>
      </c>
      <c r="O357" s="2">
        <f>INDEX('Main Data'!$A$1:$O$1001,MATCH('Index&amp;Match'!$A357,'Main Data'!$A$1:$A$1001,0),MATCH('Index&amp;Match'!O356,'Main Data'!$A356:$O356,0))</f>
        <v>70</v>
      </c>
    </row>
    <row r="358" spans="1:15" x14ac:dyDescent="0.3">
      <c r="A358" s="2" t="s">
        <v>415</v>
      </c>
      <c r="B358" s="1">
        <f>INDEX('Main Data'!$A$1:$O$1001,MATCH('Index&amp;Match'!$A358,'Main Data'!$A$1:$A$1001,0),MATCH('Index&amp;Match'!B357,'Main Data'!$A357:$O357,0))</f>
        <v>46076</v>
      </c>
      <c r="C358" s="2" t="str">
        <f>INDEX('Main Data'!$A$1:$O$1001,MATCH('Index&amp;Match'!$A358,'Main Data'!$A$1:$A$1001,0),MATCH('Index&amp;Match'!C357,'Main Data'!$A357:$O357,0))</f>
        <v>Jordan</v>
      </c>
      <c r="D358" s="2" t="str">
        <f>INDEX('Main Data'!$A$1:$O$1001,MATCH('Index&amp;Match'!$A358,'Main Data'!$A$1:$A$1001,0),MATCH('Index&amp;Match'!D357,'Main Data'!$A357:$O357,0))</f>
        <v>BR-008</v>
      </c>
      <c r="E358" s="2" t="str">
        <f>INDEX('Main Data'!$A$1:$O$1001,MATCH('Index&amp;Match'!$A358,'Main Data'!$A$1:$A$1001,0),MATCH('Index&amp;Match'!E357,'Main Data'!$A357:$O357,0))</f>
        <v>East</v>
      </c>
      <c r="F358" s="2" t="str">
        <f>INDEX('Main Data'!$A$1:$O$1001,MATCH('Index&amp;Match'!$A358,'Main Data'!$A$1:$A$1001,0),MATCH('Index&amp;Match'!F357,'Main Data'!$A357:$O357,0))</f>
        <v>Auto Loan</v>
      </c>
      <c r="G358" s="2" t="str">
        <f>INDEX('Main Data'!$A$1:$O$1001,MATCH('Index&amp;Match'!$A358,'Main Data'!$A$1:$A$1001,0),MATCH('Index&amp;Match'!G357,'Main Data'!$A357:$O357,0))</f>
        <v>Social Media</v>
      </c>
      <c r="H358" s="2" t="str">
        <f>INDEX('Main Data'!$A$1:$O$1001,MATCH('Index&amp;Match'!$A358,'Main Data'!$A$1:$A$1001,0),MATCH('Index&amp;Match'!H357,'Main Data'!$A357:$O357,0))</f>
        <v>SME</v>
      </c>
      <c r="I358" s="2">
        <f>INDEX('Main Data'!$A$1:$O$1001,MATCH('Index&amp;Match'!$A358,'Main Data'!$A$1:$A$1001,0),MATCH('Index&amp;Match'!I357,'Main Data'!$A357:$O357,0))</f>
        <v>63</v>
      </c>
      <c r="J358" s="2">
        <f>INDEX('Main Data'!$A$1:$O$1001,MATCH('Index&amp;Match'!$A358,'Main Data'!$A$1:$A$1001,0),MATCH('Index&amp;Match'!J357,'Main Data'!$A357:$O357,0))</f>
        <v>63</v>
      </c>
      <c r="K358" s="11">
        <f>INDEX('Main Data'!$A$1:$O$1001,MATCH('Index&amp;Match'!$A358,'Main Data'!$A$1:$A$1001,0),MATCH('Index&amp;Match'!K357,'Main Data'!$A357:$O357,0))</f>
        <v>11050.53</v>
      </c>
      <c r="L358" s="11">
        <f>INDEX('Main Data'!$A$1:$O$1001,MATCH('Index&amp;Match'!$A358,'Main Data'!$A$1:$A$1001,0),MATCH('Index&amp;Match'!L357,'Main Data'!$A357:$O357,0))</f>
        <v>128.9</v>
      </c>
      <c r="M358" s="11">
        <f>INDEX('Main Data'!$A$1:$O$1001,MATCH('Index&amp;Match'!$A358,'Main Data'!$A$1:$A$1001,0),MATCH('Index&amp;Match'!M357,'Main Data'!$A357:$O357,0))</f>
        <v>129.15</v>
      </c>
      <c r="N358" s="2" t="str">
        <f>INDEX('Main Data'!$A$1:$O$1001,MATCH('Index&amp;Match'!$A358,'Main Data'!$A$1:$A$1001,0),MATCH('Index&amp;Match'!N357,'Main Data'!$A357:$O357,0))</f>
        <v>No</v>
      </c>
      <c r="O358" s="2">
        <f>INDEX('Main Data'!$A$1:$O$1001,MATCH('Index&amp;Match'!$A358,'Main Data'!$A$1:$A$1001,0),MATCH('Index&amp;Match'!O357,'Main Data'!$A357:$O357,0))</f>
        <v>63</v>
      </c>
    </row>
    <row r="359" spans="1:15" x14ac:dyDescent="0.3">
      <c r="A359" s="2" t="s">
        <v>416</v>
      </c>
      <c r="B359" s="1">
        <f>INDEX('Main Data'!$A$1:$O$1001,MATCH('Index&amp;Match'!$A359,'Main Data'!$A$1:$A$1001,0),MATCH('Index&amp;Match'!B358,'Main Data'!$A358:$O358,0))</f>
        <v>45979</v>
      </c>
      <c r="C359" s="2" t="str">
        <f>INDEX('Main Data'!$A$1:$O$1001,MATCH('Index&amp;Match'!$A359,'Main Data'!$A$1:$A$1001,0),MATCH('Index&amp;Match'!C358,'Main Data'!$A358:$O358,0))</f>
        <v>Drew</v>
      </c>
      <c r="D359" s="2" t="str">
        <f>INDEX('Main Data'!$A$1:$O$1001,MATCH('Index&amp;Match'!$A359,'Main Data'!$A$1:$A$1001,0),MATCH('Index&amp;Match'!D358,'Main Data'!$A358:$O358,0))</f>
        <v>BR-010</v>
      </c>
      <c r="E359" s="2" t="str">
        <f>INDEX('Main Data'!$A$1:$O$1001,MATCH('Index&amp;Match'!$A359,'Main Data'!$A$1:$A$1001,0),MATCH('Index&amp;Match'!E358,'Main Data'!$A358:$O358,0))</f>
        <v>North</v>
      </c>
      <c r="F359" s="2" t="str">
        <f>INDEX('Main Data'!$A$1:$O$1001,MATCH('Index&amp;Match'!$A359,'Main Data'!$A$1:$A$1001,0),MATCH('Index&amp;Match'!F358,'Main Data'!$A358:$O358,0))</f>
        <v>Personal Loan</v>
      </c>
      <c r="G359" s="2" t="str">
        <f>INDEX('Main Data'!$A$1:$O$1001,MATCH('Index&amp;Match'!$A359,'Main Data'!$A$1:$A$1001,0),MATCH('Index&amp;Match'!G358,'Main Data'!$A358:$O358,0))</f>
        <v>Referral</v>
      </c>
      <c r="H359" s="2" t="str">
        <f>INDEX('Main Data'!$A$1:$O$1001,MATCH('Index&amp;Match'!$A359,'Main Data'!$A$1:$A$1001,0),MATCH('Index&amp;Match'!H358,'Main Data'!$A358:$O358,0))</f>
        <v>Corporate</v>
      </c>
      <c r="I359" s="2">
        <f>INDEX('Main Data'!$A$1:$O$1001,MATCH('Index&amp;Match'!$A359,'Main Data'!$A$1:$A$1001,0),MATCH('Index&amp;Match'!I358,'Main Data'!$A358:$O358,0))</f>
        <v>47</v>
      </c>
      <c r="J359" s="2">
        <f>INDEX('Main Data'!$A$1:$O$1001,MATCH('Index&amp;Match'!$A359,'Main Data'!$A$1:$A$1001,0),MATCH('Index&amp;Match'!J358,'Main Data'!$A358:$O358,0))</f>
        <v>47</v>
      </c>
      <c r="K359" s="11">
        <f>INDEX('Main Data'!$A$1:$O$1001,MATCH('Index&amp;Match'!$A359,'Main Data'!$A$1:$A$1001,0),MATCH('Index&amp;Match'!K358,'Main Data'!$A358:$O358,0))</f>
        <v>43425.279999999999</v>
      </c>
      <c r="L359" s="11">
        <f>INDEX('Main Data'!$A$1:$O$1001,MATCH('Index&amp;Match'!$A359,'Main Data'!$A$1:$A$1001,0),MATCH('Index&amp;Match'!L358,'Main Data'!$A358:$O358,0))</f>
        <v>54.55</v>
      </c>
      <c r="M359" s="11">
        <f>INDEX('Main Data'!$A$1:$O$1001,MATCH('Index&amp;Match'!$A359,'Main Data'!$A$1:$A$1001,0),MATCH('Index&amp;Match'!M358,'Main Data'!$A358:$O358,0))</f>
        <v>2.7</v>
      </c>
      <c r="N359" s="2" t="str">
        <f>INDEX('Main Data'!$A$1:$O$1001,MATCH('Index&amp;Match'!$A359,'Main Data'!$A$1:$A$1001,0),MATCH('Index&amp;Match'!N358,'Main Data'!$A358:$O358,0))</f>
        <v>No</v>
      </c>
      <c r="O359" s="2">
        <f>INDEX('Main Data'!$A$1:$O$1001,MATCH('Index&amp;Match'!$A359,'Main Data'!$A$1:$A$1001,0),MATCH('Index&amp;Match'!O358,'Main Data'!$A358:$O358,0))</f>
        <v>47</v>
      </c>
    </row>
    <row r="360" spans="1:15" x14ac:dyDescent="0.3">
      <c r="A360" s="2" t="s">
        <v>417</v>
      </c>
      <c r="B360" s="1">
        <f>INDEX('Main Data'!$A$1:$O$1001,MATCH('Index&amp;Match'!$A360,'Main Data'!$A$1:$A$1001,0),MATCH('Index&amp;Match'!B359,'Main Data'!$A359:$O359,0))</f>
        <v>45938</v>
      </c>
      <c r="C360" s="2" t="str">
        <f>INDEX('Main Data'!$A$1:$O$1001,MATCH('Index&amp;Match'!$A360,'Main Data'!$A$1:$A$1001,0),MATCH('Index&amp;Match'!C359,'Main Data'!$A359:$O359,0))</f>
        <v>Alex</v>
      </c>
      <c r="D360" s="2" t="str">
        <f>INDEX('Main Data'!$A$1:$O$1001,MATCH('Index&amp;Match'!$A360,'Main Data'!$A$1:$A$1001,0),MATCH('Index&amp;Match'!D359,'Main Data'!$A359:$O359,0))</f>
        <v>BR-003</v>
      </c>
      <c r="E360" s="2" t="str">
        <f>INDEX('Main Data'!$A$1:$O$1001,MATCH('Index&amp;Match'!$A360,'Main Data'!$A$1:$A$1001,0),MATCH('Index&amp;Match'!E359,'Main Data'!$A359:$O359,0))</f>
        <v>North</v>
      </c>
      <c r="F360" s="2" t="str">
        <f>INDEX('Main Data'!$A$1:$O$1001,MATCH('Index&amp;Match'!$A360,'Main Data'!$A$1:$A$1001,0),MATCH('Index&amp;Match'!F359,'Main Data'!$A359:$O359,0))</f>
        <v>Auto Loan</v>
      </c>
      <c r="G360" s="2" t="str">
        <f>INDEX('Main Data'!$A$1:$O$1001,MATCH('Index&amp;Match'!$A360,'Main Data'!$A$1:$A$1001,0),MATCH('Index&amp;Match'!G359,'Main Data'!$A359:$O359,0))</f>
        <v>Email Campaign</v>
      </c>
      <c r="H360" s="2" t="str">
        <f>INDEX('Main Data'!$A$1:$O$1001,MATCH('Index&amp;Match'!$A360,'Main Data'!$A$1:$A$1001,0),MATCH('Index&amp;Match'!H359,'Main Data'!$A359:$O359,0))</f>
        <v>Retail</v>
      </c>
      <c r="I360" s="2">
        <f>INDEX('Main Data'!$A$1:$O$1001,MATCH('Index&amp;Match'!$A360,'Main Data'!$A$1:$A$1001,0),MATCH('Index&amp;Match'!I359,'Main Data'!$A359:$O359,0))</f>
        <v>61</v>
      </c>
      <c r="J360" s="2">
        <f>INDEX('Main Data'!$A$1:$O$1001,MATCH('Index&amp;Match'!$A360,'Main Data'!$A$1:$A$1001,0),MATCH('Index&amp;Match'!J359,'Main Data'!$A359:$O359,0))</f>
        <v>61</v>
      </c>
      <c r="K360" s="11">
        <f>INDEX('Main Data'!$A$1:$O$1001,MATCH('Index&amp;Match'!$A360,'Main Data'!$A$1:$A$1001,0),MATCH('Index&amp;Match'!K359,'Main Data'!$A359:$O359,0))</f>
        <v>47814.239999999998</v>
      </c>
      <c r="L360" s="11">
        <f>INDEX('Main Data'!$A$1:$O$1001,MATCH('Index&amp;Match'!$A360,'Main Data'!$A$1:$A$1001,0),MATCH('Index&amp;Match'!L359,'Main Data'!$A359:$O359,0))</f>
        <v>116.96</v>
      </c>
      <c r="M360" s="11">
        <f>INDEX('Main Data'!$A$1:$O$1001,MATCH('Index&amp;Match'!$A360,'Main Data'!$A$1:$A$1001,0),MATCH('Index&amp;Match'!M359,'Main Data'!$A359:$O359,0))</f>
        <v>32.43</v>
      </c>
      <c r="N360" s="2" t="str">
        <f>INDEX('Main Data'!$A$1:$O$1001,MATCH('Index&amp;Match'!$A360,'Main Data'!$A$1:$A$1001,0),MATCH('Index&amp;Match'!N359,'Main Data'!$A359:$O359,0))</f>
        <v>Yes</v>
      </c>
      <c r="O360" s="2">
        <f>INDEX('Main Data'!$A$1:$O$1001,MATCH('Index&amp;Match'!$A360,'Main Data'!$A$1:$A$1001,0),MATCH('Index&amp;Match'!O359,'Main Data'!$A359:$O359,0))</f>
        <v>61</v>
      </c>
    </row>
    <row r="361" spans="1:15" x14ac:dyDescent="0.3">
      <c r="A361" s="2" t="s">
        <v>418</v>
      </c>
      <c r="B361" s="1">
        <f>INDEX('Main Data'!$A$1:$O$1001,MATCH('Index&amp;Match'!$A361,'Main Data'!$A$1:$A$1001,0),MATCH('Index&amp;Match'!B360,'Main Data'!$A360:$O360,0))</f>
        <v>45981</v>
      </c>
      <c r="C361" s="2" t="str">
        <f>INDEX('Main Data'!$A$1:$O$1001,MATCH('Index&amp;Match'!$A361,'Main Data'!$A$1:$A$1001,0),MATCH('Index&amp;Match'!C360,'Main Data'!$A360:$O360,0))</f>
        <v>Taylor</v>
      </c>
      <c r="D361" s="2" t="str">
        <f>INDEX('Main Data'!$A$1:$O$1001,MATCH('Index&amp;Match'!$A361,'Main Data'!$A$1:$A$1001,0),MATCH('Index&amp;Match'!D360,'Main Data'!$A360:$O360,0))</f>
        <v>BR-013</v>
      </c>
      <c r="E361" s="2" t="str">
        <f>INDEX('Main Data'!$A$1:$O$1001,MATCH('Index&amp;Match'!$A361,'Main Data'!$A$1:$A$1001,0),MATCH('Index&amp;Match'!E360,'Main Data'!$A360:$O360,0))</f>
        <v>North</v>
      </c>
      <c r="F361" s="2" t="str">
        <f>INDEX('Main Data'!$A$1:$O$1001,MATCH('Index&amp;Match'!$A361,'Main Data'!$A$1:$A$1001,0),MATCH('Index&amp;Match'!F360,'Main Data'!$A360:$O360,0))</f>
        <v>Auto Loan</v>
      </c>
      <c r="G361" s="2" t="str">
        <f>INDEX('Main Data'!$A$1:$O$1001,MATCH('Index&amp;Match'!$A361,'Main Data'!$A$1:$A$1001,0),MATCH('Index&amp;Match'!G360,'Main Data'!$A360:$O360,0))</f>
        <v>Website</v>
      </c>
      <c r="H361" s="2" t="str">
        <f>INDEX('Main Data'!$A$1:$O$1001,MATCH('Index&amp;Match'!$A361,'Main Data'!$A$1:$A$1001,0),MATCH('Index&amp;Match'!H360,'Main Data'!$A360:$O360,0))</f>
        <v>Retail</v>
      </c>
      <c r="I361" s="2">
        <f>INDEX('Main Data'!$A$1:$O$1001,MATCH('Index&amp;Match'!$A361,'Main Data'!$A$1:$A$1001,0),MATCH('Index&amp;Match'!I360,'Main Data'!$A360:$O360,0))</f>
        <v>36</v>
      </c>
      <c r="J361" s="2">
        <f>INDEX('Main Data'!$A$1:$O$1001,MATCH('Index&amp;Match'!$A361,'Main Data'!$A$1:$A$1001,0),MATCH('Index&amp;Match'!J360,'Main Data'!$A360:$O360,0))</f>
        <v>36</v>
      </c>
      <c r="K361" s="11">
        <f>INDEX('Main Data'!$A$1:$O$1001,MATCH('Index&amp;Match'!$A361,'Main Data'!$A$1:$A$1001,0),MATCH('Index&amp;Match'!K360,'Main Data'!$A360:$O360,0))</f>
        <v>12217.41</v>
      </c>
      <c r="L361" s="11">
        <f>INDEX('Main Data'!$A$1:$O$1001,MATCH('Index&amp;Match'!$A361,'Main Data'!$A$1:$A$1001,0),MATCH('Index&amp;Match'!L360,'Main Data'!$A360:$O360,0))</f>
        <v>399.14</v>
      </c>
      <c r="M361" s="11">
        <f>INDEX('Main Data'!$A$1:$O$1001,MATCH('Index&amp;Match'!$A361,'Main Data'!$A$1:$A$1001,0),MATCH('Index&amp;Match'!M360,'Main Data'!$A360:$O360,0))</f>
        <v>196.98</v>
      </c>
      <c r="N361" s="2" t="str">
        <f>INDEX('Main Data'!$A$1:$O$1001,MATCH('Index&amp;Match'!$A361,'Main Data'!$A$1:$A$1001,0),MATCH('Index&amp;Match'!N360,'Main Data'!$A360:$O360,0))</f>
        <v>No</v>
      </c>
      <c r="O361" s="2">
        <f>INDEX('Main Data'!$A$1:$O$1001,MATCH('Index&amp;Match'!$A361,'Main Data'!$A$1:$A$1001,0),MATCH('Index&amp;Match'!O360,'Main Data'!$A360:$O360,0))</f>
        <v>36</v>
      </c>
    </row>
    <row r="362" spans="1:15" x14ac:dyDescent="0.3">
      <c r="A362" s="2" t="s">
        <v>419</v>
      </c>
      <c r="B362" s="1">
        <f>INDEX('Main Data'!$A$1:$O$1001,MATCH('Index&amp;Match'!$A362,'Main Data'!$A$1:$A$1001,0),MATCH('Index&amp;Match'!B361,'Main Data'!$A361:$O361,0))</f>
        <v>45903</v>
      </c>
      <c r="C362" s="2" t="str">
        <f>INDEX('Main Data'!$A$1:$O$1001,MATCH('Index&amp;Match'!$A362,'Main Data'!$A$1:$A$1001,0),MATCH('Index&amp;Match'!C361,'Main Data'!$A361:$O361,0))</f>
        <v>Morgan</v>
      </c>
      <c r="D362" s="2" t="str">
        <f>INDEX('Main Data'!$A$1:$O$1001,MATCH('Index&amp;Match'!$A362,'Main Data'!$A$1:$A$1001,0),MATCH('Index&amp;Match'!D361,'Main Data'!$A361:$O361,0))</f>
        <v>BR-012</v>
      </c>
      <c r="E362" s="2" t="str">
        <f>INDEX('Main Data'!$A$1:$O$1001,MATCH('Index&amp;Match'!$A362,'Main Data'!$A$1:$A$1001,0),MATCH('Index&amp;Match'!E361,'Main Data'!$A361:$O361,0))</f>
        <v>South</v>
      </c>
      <c r="F362" s="2" t="str">
        <f>INDEX('Main Data'!$A$1:$O$1001,MATCH('Index&amp;Match'!$A362,'Main Data'!$A$1:$A$1001,0),MATCH('Index&amp;Match'!F361,'Main Data'!$A361:$O361,0))</f>
        <v>Credit Card</v>
      </c>
      <c r="G362" s="2" t="str">
        <f>INDEX('Main Data'!$A$1:$O$1001,MATCH('Index&amp;Match'!$A362,'Main Data'!$A$1:$A$1001,0),MATCH('Index&amp;Match'!G361,'Main Data'!$A361:$O361,0))</f>
        <v>Referral</v>
      </c>
      <c r="H362" s="2" t="str">
        <f>INDEX('Main Data'!$A$1:$O$1001,MATCH('Index&amp;Match'!$A362,'Main Data'!$A$1:$A$1001,0),MATCH('Index&amp;Match'!H361,'Main Data'!$A361:$O361,0))</f>
        <v>Corporate</v>
      </c>
      <c r="I362" s="2">
        <f>INDEX('Main Data'!$A$1:$O$1001,MATCH('Index&amp;Match'!$A362,'Main Data'!$A$1:$A$1001,0),MATCH('Index&amp;Match'!I361,'Main Data'!$A361:$O361,0))</f>
        <v>54</v>
      </c>
      <c r="J362" s="2">
        <f>INDEX('Main Data'!$A$1:$O$1001,MATCH('Index&amp;Match'!$A362,'Main Data'!$A$1:$A$1001,0),MATCH('Index&amp;Match'!J361,'Main Data'!$A361:$O361,0))</f>
        <v>54</v>
      </c>
      <c r="K362" s="11">
        <f>INDEX('Main Data'!$A$1:$O$1001,MATCH('Index&amp;Match'!$A362,'Main Data'!$A$1:$A$1001,0),MATCH('Index&amp;Match'!K361,'Main Data'!$A361:$O361,0))</f>
        <v>44189.47</v>
      </c>
      <c r="L362" s="11">
        <f>INDEX('Main Data'!$A$1:$O$1001,MATCH('Index&amp;Match'!$A362,'Main Data'!$A$1:$A$1001,0),MATCH('Index&amp;Match'!L361,'Main Data'!$A361:$O361,0))</f>
        <v>251.05</v>
      </c>
      <c r="M362" s="11">
        <f>INDEX('Main Data'!$A$1:$O$1001,MATCH('Index&amp;Match'!$A362,'Main Data'!$A$1:$A$1001,0),MATCH('Index&amp;Match'!M361,'Main Data'!$A361:$O361,0))</f>
        <v>15.2</v>
      </c>
      <c r="N362" s="2" t="str">
        <f>INDEX('Main Data'!$A$1:$O$1001,MATCH('Index&amp;Match'!$A362,'Main Data'!$A$1:$A$1001,0),MATCH('Index&amp;Match'!N361,'Main Data'!$A361:$O361,0))</f>
        <v>No</v>
      </c>
      <c r="O362" s="2">
        <f>INDEX('Main Data'!$A$1:$O$1001,MATCH('Index&amp;Match'!$A362,'Main Data'!$A$1:$A$1001,0),MATCH('Index&amp;Match'!O361,'Main Data'!$A361:$O361,0))</f>
        <v>54</v>
      </c>
    </row>
    <row r="363" spans="1:15" x14ac:dyDescent="0.3">
      <c r="A363" s="2" t="s">
        <v>420</v>
      </c>
      <c r="B363" s="1">
        <f>INDEX('Main Data'!$A$1:$O$1001,MATCH('Index&amp;Match'!$A363,'Main Data'!$A$1:$A$1001,0),MATCH('Index&amp;Match'!B362,'Main Data'!$A362:$O362,0))</f>
        <v>46145</v>
      </c>
      <c r="C363" s="2" t="str">
        <f>INDEX('Main Data'!$A$1:$O$1001,MATCH('Index&amp;Match'!$A363,'Main Data'!$A$1:$A$1001,0),MATCH('Index&amp;Match'!C362,'Main Data'!$A362:$O362,0))</f>
        <v>Alex</v>
      </c>
      <c r="D363" s="2" t="str">
        <f>INDEX('Main Data'!$A$1:$O$1001,MATCH('Index&amp;Match'!$A363,'Main Data'!$A$1:$A$1001,0),MATCH('Index&amp;Match'!D362,'Main Data'!$A362:$O362,0))</f>
        <v>BR-005</v>
      </c>
      <c r="E363" s="2" t="str">
        <f>INDEX('Main Data'!$A$1:$O$1001,MATCH('Index&amp;Match'!$A363,'Main Data'!$A$1:$A$1001,0),MATCH('Index&amp;Match'!E362,'Main Data'!$A362:$O362,0))</f>
        <v>West</v>
      </c>
      <c r="F363" s="2" t="str">
        <f>INDEX('Main Data'!$A$1:$O$1001,MATCH('Index&amp;Match'!$A363,'Main Data'!$A$1:$A$1001,0),MATCH('Index&amp;Match'!F362,'Main Data'!$A362:$O362,0))</f>
        <v>Auto Loan</v>
      </c>
      <c r="G363" s="2" t="str">
        <f>INDEX('Main Data'!$A$1:$O$1001,MATCH('Index&amp;Match'!$A363,'Main Data'!$A$1:$A$1001,0),MATCH('Index&amp;Match'!G362,'Main Data'!$A362:$O362,0))</f>
        <v>Referral</v>
      </c>
      <c r="H363" s="2" t="str">
        <f>INDEX('Main Data'!$A$1:$O$1001,MATCH('Index&amp;Match'!$A363,'Main Data'!$A$1:$A$1001,0),MATCH('Index&amp;Match'!H362,'Main Data'!$A362:$O362,0))</f>
        <v>Corporate</v>
      </c>
      <c r="I363" s="2">
        <f>INDEX('Main Data'!$A$1:$O$1001,MATCH('Index&amp;Match'!$A363,'Main Data'!$A$1:$A$1001,0),MATCH('Index&amp;Match'!I362,'Main Data'!$A362:$O362,0))</f>
        <v>52</v>
      </c>
      <c r="J363" s="2">
        <f>INDEX('Main Data'!$A$1:$O$1001,MATCH('Index&amp;Match'!$A363,'Main Data'!$A$1:$A$1001,0),MATCH('Index&amp;Match'!J362,'Main Data'!$A362:$O362,0))</f>
        <v>52</v>
      </c>
      <c r="K363" s="11">
        <f>INDEX('Main Data'!$A$1:$O$1001,MATCH('Index&amp;Match'!$A363,'Main Data'!$A$1:$A$1001,0),MATCH('Index&amp;Match'!K362,'Main Data'!$A362:$O362,0))</f>
        <v>5300.45</v>
      </c>
      <c r="L363" s="11">
        <f>INDEX('Main Data'!$A$1:$O$1001,MATCH('Index&amp;Match'!$A363,'Main Data'!$A$1:$A$1001,0),MATCH('Index&amp;Match'!L362,'Main Data'!$A362:$O362,0))</f>
        <v>251.38</v>
      </c>
      <c r="M363" s="11">
        <f>INDEX('Main Data'!$A$1:$O$1001,MATCH('Index&amp;Match'!$A363,'Main Data'!$A$1:$A$1001,0),MATCH('Index&amp;Match'!M362,'Main Data'!$A362:$O362,0))</f>
        <v>135.76</v>
      </c>
      <c r="N363" s="2" t="str">
        <f>INDEX('Main Data'!$A$1:$O$1001,MATCH('Index&amp;Match'!$A363,'Main Data'!$A$1:$A$1001,0),MATCH('Index&amp;Match'!N362,'Main Data'!$A362:$O362,0))</f>
        <v>Yes</v>
      </c>
      <c r="O363" s="2">
        <f>INDEX('Main Data'!$A$1:$O$1001,MATCH('Index&amp;Match'!$A363,'Main Data'!$A$1:$A$1001,0),MATCH('Index&amp;Match'!O362,'Main Data'!$A362:$O362,0))</f>
        <v>52</v>
      </c>
    </row>
    <row r="364" spans="1:15" x14ac:dyDescent="0.3">
      <c r="A364" s="2" t="s">
        <v>421</v>
      </c>
      <c r="B364" s="1">
        <f>INDEX('Main Data'!$A$1:$O$1001,MATCH('Index&amp;Match'!$A364,'Main Data'!$A$1:$A$1001,0),MATCH('Index&amp;Match'!B363,'Main Data'!$A363:$O363,0))</f>
        <v>46109</v>
      </c>
      <c r="C364" s="2" t="str">
        <f>INDEX('Main Data'!$A$1:$O$1001,MATCH('Index&amp;Match'!$A364,'Main Data'!$A$1:$A$1001,0),MATCH('Index&amp;Match'!C363,'Main Data'!$A363:$O363,0))</f>
        <v>Alex</v>
      </c>
      <c r="D364" s="2" t="str">
        <f>INDEX('Main Data'!$A$1:$O$1001,MATCH('Index&amp;Match'!$A364,'Main Data'!$A$1:$A$1001,0),MATCH('Index&amp;Match'!D363,'Main Data'!$A363:$O363,0))</f>
        <v>BR-006</v>
      </c>
      <c r="E364" s="2" t="str">
        <f>INDEX('Main Data'!$A$1:$O$1001,MATCH('Index&amp;Match'!$A364,'Main Data'!$A$1:$A$1001,0),MATCH('Index&amp;Match'!E363,'Main Data'!$A363:$O363,0))</f>
        <v>South</v>
      </c>
      <c r="F364" s="2" t="str">
        <f>INDEX('Main Data'!$A$1:$O$1001,MATCH('Index&amp;Match'!$A364,'Main Data'!$A$1:$A$1001,0),MATCH('Index&amp;Match'!F363,'Main Data'!$A363:$O363,0))</f>
        <v>Wealth Management</v>
      </c>
      <c r="G364" s="2" t="str">
        <f>INDEX('Main Data'!$A$1:$O$1001,MATCH('Index&amp;Match'!$A364,'Main Data'!$A$1:$A$1001,0),MATCH('Index&amp;Match'!G363,'Main Data'!$A363:$O363,0))</f>
        <v>Social Media</v>
      </c>
      <c r="H364" s="2" t="str">
        <f>INDEX('Main Data'!$A$1:$O$1001,MATCH('Index&amp;Match'!$A364,'Main Data'!$A$1:$A$1001,0),MATCH('Index&amp;Match'!H363,'Main Data'!$A363:$O363,0))</f>
        <v>Corporate</v>
      </c>
      <c r="I364" s="2">
        <f>INDEX('Main Data'!$A$1:$O$1001,MATCH('Index&amp;Match'!$A364,'Main Data'!$A$1:$A$1001,0),MATCH('Index&amp;Match'!I363,'Main Data'!$A363:$O363,0))</f>
        <v>46</v>
      </c>
      <c r="J364" s="2">
        <f>INDEX('Main Data'!$A$1:$O$1001,MATCH('Index&amp;Match'!$A364,'Main Data'!$A$1:$A$1001,0),MATCH('Index&amp;Match'!J363,'Main Data'!$A363:$O363,0))</f>
        <v>46</v>
      </c>
      <c r="K364" s="11">
        <f>INDEX('Main Data'!$A$1:$O$1001,MATCH('Index&amp;Match'!$A364,'Main Data'!$A$1:$A$1001,0),MATCH('Index&amp;Match'!K363,'Main Data'!$A363:$O363,0))</f>
        <v>3257.49</v>
      </c>
      <c r="L364" s="11">
        <f>INDEX('Main Data'!$A$1:$O$1001,MATCH('Index&amp;Match'!$A364,'Main Data'!$A$1:$A$1001,0),MATCH('Index&amp;Match'!L363,'Main Data'!$A363:$O363,0))</f>
        <v>479.76</v>
      </c>
      <c r="M364" s="11">
        <f>INDEX('Main Data'!$A$1:$O$1001,MATCH('Index&amp;Match'!$A364,'Main Data'!$A$1:$A$1001,0),MATCH('Index&amp;Match'!M363,'Main Data'!$A363:$O363,0))</f>
        <v>35.22</v>
      </c>
      <c r="N364" s="2" t="str">
        <f>INDEX('Main Data'!$A$1:$O$1001,MATCH('Index&amp;Match'!$A364,'Main Data'!$A$1:$A$1001,0),MATCH('Index&amp;Match'!N363,'Main Data'!$A363:$O363,0))</f>
        <v>No</v>
      </c>
      <c r="O364" s="2">
        <f>INDEX('Main Data'!$A$1:$O$1001,MATCH('Index&amp;Match'!$A364,'Main Data'!$A$1:$A$1001,0),MATCH('Index&amp;Match'!O363,'Main Data'!$A363:$O363,0))</f>
        <v>46</v>
      </c>
    </row>
    <row r="365" spans="1:15" x14ac:dyDescent="0.3">
      <c r="A365" s="2" t="s">
        <v>422</v>
      </c>
      <c r="B365" s="1">
        <f>INDEX('Main Data'!$A$1:$O$1001,MATCH('Index&amp;Match'!$A365,'Main Data'!$A$1:$A$1001,0),MATCH('Index&amp;Match'!B364,'Main Data'!$A364:$O364,0))</f>
        <v>46170</v>
      </c>
      <c r="C365" s="2" t="str">
        <f>INDEX('Main Data'!$A$1:$O$1001,MATCH('Index&amp;Match'!$A365,'Main Data'!$A$1:$A$1001,0),MATCH('Index&amp;Match'!C364,'Main Data'!$A364:$O364,0))</f>
        <v>Jordan</v>
      </c>
      <c r="D365" s="2" t="str">
        <f>INDEX('Main Data'!$A$1:$O$1001,MATCH('Index&amp;Match'!$A365,'Main Data'!$A$1:$A$1001,0),MATCH('Index&amp;Match'!D364,'Main Data'!$A364:$O364,0))</f>
        <v>BR-010</v>
      </c>
      <c r="E365" s="2" t="str">
        <f>INDEX('Main Data'!$A$1:$O$1001,MATCH('Index&amp;Match'!$A365,'Main Data'!$A$1:$A$1001,0),MATCH('Index&amp;Match'!E364,'Main Data'!$A364:$O364,0))</f>
        <v>West</v>
      </c>
      <c r="F365" s="2" t="str">
        <f>INDEX('Main Data'!$A$1:$O$1001,MATCH('Index&amp;Match'!$A365,'Main Data'!$A$1:$A$1001,0),MATCH('Index&amp;Match'!F364,'Main Data'!$A364:$O364,0))</f>
        <v>Wealth Management</v>
      </c>
      <c r="G365" s="2" t="str">
        <f>INDEX('Main Data'!$A$1:$O$1001,MATCH('Index&amp;Match'!$A365,'Main Data'!$A$1:$A$1001,0),MATCH('Index&amp;Match'!G364,'Main Data'!$A364:$O364,0))</f>
        <v>Email Campaign</v>
      </c>
      <c r="H365" s="2" t="str">
        <f>INDEX('Main Data'!$A$1:$O$1001,MATCH('Index&amp;Match'!$A365,'Main Data'!$A$1:$A$1001,0),MATCH('Index&amp;Match'!H364,'Main Data'!$A364:$O364,0))</f>
        <v>SME</v>
      </c>
      <c r="I365" s="2">
        <f>INDEX('Main Data'!$A$1:$O$1001,MATCH('Index&amp;Match'!$A365,'Main Data'!$A$1:$A$1001,0),MATCH('Index&amp;Match'!I364,'Main Data'!$A364:$O364,0))</f>
        <v>45</v>
      </c>
      <c r="J365" s="2">
        <f>INDEX('Main Data'!$A$1:$O$1001,MATCH('Index&amp;Match'!$A365,'Main Data'!$A$1:$A$1001,0),MATCH('Index&amp;Match'!J364,'Main Data'!$A364:$O364,0))</f>
        <v>45</v>
      </c>
      <c r="K365" s="11">
        <f>INDEX('Main Data'!$A$1:$O$1001,MATCH('Index&amp;Match'!$A365,'Main Data'!$A$1:$A$1001,0),MATCH('Index&amp;Match'!K364,'Main Data'!$A364:$O364,0))</f>
        <v>6896.58</v>
      </c>
      <c r="L365" s="11">
        <f>INDEX('Main Data'!$A$1:$O$1001,MATCH('Index&amp;Match'!$A365,'Main Data'!$A$1:$A$1001,0),MATCH('Index&amp;Match'!L364,'Main Data'!$A364:$O364,0))</f>
        <v>463.84</v>
      </c>
      <c r="M365" s="11">
        <f>INDEX('Main Data'!$A$1:$O$1001,MATCH('Index&amp;Match'!$A365,'Main Data'!$A$1:$A$1001,0),MATCH('Index&amp;Match'!M364,'Main Data'!$A364:$O364,0))</f>
        <v>143.34</v>
      </c>
      <c r="N365" s="2" t="str">
        <f>INDEX('Main Data'!$A$1:$O$1001,MATCH('Index&amp;Match'!$A365,'Main Data'!$A$1:$A$1001,0),MATCH('Index&amp;Match'!N364,'Main Data'!$A364:$O364,0))</f>
        <v>Yes</v>
      </c>
      <c r="O365" s="2">
        <f>INDEX('Main Data'!$A$1:$O$1001,MATCH('Index&amp;Match'!$A365,'Main Data'!$A$1:$A$1001,0),MATCH('Index&amp;Match'!O364,'Main Data'!$A364:$O364,0))</f>
        <v>45</v>
      </c>
    </row>
    <row r="366" spans="1:15" x14ac:dyDescent="0.3">
      <c r="A366" s="2" t="s">
        <v>423</v>
      </c>
      <c r="B366" s="1">
        <f>INDEX('Main Data'!$A$1:$O$1001,MATCH('Index&amp;Match'!$A366,'Main Data'!$A$1:$A$1001,0),MATCH('Index&amp;Match'!B365,'Main Data'!$A365:$O365,0))</f>
        <v>46068</v>
      </c>
      <c r="C366" s="2" t="str">
        <f>INDEX('Main Data'!$A$1:$O$1001,MATCH('Index&amp;Match'!$A366,'Main Data'!$A$1:$A$1001,0),MATCH('Index&amp;Match'!C365,'Main Data'!$A365:$O365,0))</f>
        <v>Jamie</v>
      </c>
      <c r="D366" s="2" t="str">
        <f>INDEX('Main Data'!$A$1:$O$1001,MATCH('Index&amp;Match'!$A366,'Main Data'!$A$1:$A$1001,0),MATCH('Index&amp;Match'!D365,'Main Data'!$A365:$O365,0))</f>
        <v>BR-006</v>
      </c>
      <c r="E366" s="2" t="str">
        <f>INDEX('Main Data'!$A$1:$O$1001,MATCH('Index&amp;Match'!$A366,'Main Data'!$A$1:$A$1001,0),MATCH('Index&amp;Match'!E365,'Main Data'!$A365:$O365,0))</f>
        <v>West</v>
      </c>
      <c r="F366" s="2" t="str">
        <f>INDEX('Main Data'!$A$1:$O$1001,MATCH('Index&amp;Match'!$A366,'Main Data'!$A$1:$A$1001,0),MATCH('Index&amp;Match'!F365,'Main Data'!$A365:$O365,0))</f>
        <v>Credit Card</v>
      </c>
      <c r="G366" s="2" t="str">
        <f>INDEX('Main Data'!$A$1:$O$1001,MATCH('Index&amp;Match'!$A366,'Main Data'!$A$1:$A$1001,0),MATCH('Index&amp;Match'!G365,'Main Data'!$A365:$O365,0))</f>
        <v>Website</v>
      </c>
      <c r="H366" s="2" t="str">
        <f>INDEX('Main Data'!$A$1:$O$1001,MATCH('Index&amp;Match'!$A366,'Main Data'!$A$1:$A$1001,0),MATCH('Index&amp;Match'!H365,'Main Data'!$A365:$O365,0))</f>
        <v>Retail</v>
      </c>
      <c r="I366" s="2">
        <f>INDEX('Main Data'!$A$1:$O$1001,MATCH('Index&amp;Match'!$A366,'Main Data'!$A$1:$A$1001,0),MATCH('Index&amp;Match'!I365,'Main Data'!$A365:$O365,0))</f>
        <v>22</v>
      </c>
      <c r="J366" s="2">
        <f>INDEX('Main Data'!$A$1:$O$1001,MATCH('Index&amp;Match'!$A366,'Main Data'!$A$1:$A$1001,0),MATCH('Index&amp;Match'!J365,'Main Data'!$A365:$O365,0))</f>
        <v>22</v>
      </c>
      <c r="K366" s="11">
        <f>INDEX('Main Data'!$A$1:$O$1001,MATCH('Index&amp;Match'!$A366,'Main Data'!$A$1:$A$1001,0),MATCH('Index&amp;Match'!K365,'Main Data'!$A365:$O365,0))</f>
        <v>3358.18</v>
      </c>
      <c r="L366" s="11">
        <f>INDEX('Main Data'!$A$1:$O$1001,MATCH('Index&amp;Match'!$A366,'Main Data'!$A$1:$A$1001,0),MATCH('Index&amp;Match'!L365,'Main Data'!$A365:$O365,0))</f>
        <v>190.04</v>
      </c>
      <c r="M366" s="11">
        <f>INDEX('Main Data'!$A$1:$O$1001,MATCH('Index&amp;Match'!$A366,'Main Data'!$A$1:$A$1001,0),MATCH('Index&amp;Match'!M365,'Main Data'!$A365:$O365,0))</f>
        <v>141.19999999999999</v>
      </c>
      <c r="N366" s="2" t="str">
        <f>INDEX('Main Data'!$A$1:$O$1001,MATCH('Index&amp;Match'!$A366,'Main Data'!$A$1:$A$1001,0),MATCH('Index&amp;Match'!N365,'Main Data'!$A365:$O365,0))</f>
        <v>Yes</v>
      </c>
      <c r="O366" s="2">
        <f>INDEX('Main Data'!$A$1:$O$1001,MATCH('Index&amp;Match'!$A366,'Main Data'!$A$1:$A$1001,0),MATCH('Index&amp;Match'!O365,'Main Data'!$A365:$O365,0))</f>
        <v>22</v>
      </c>
    </row>
    <row r="367" spans="1:15" x14ac:dyDescent="0.3">
      <c r="A367" s="2" t="s">
        <v>424</v>
      </c>
      <c r="B367" s="1">
        <f>INDEX('Main Data'!$A$1:$O$1001,MATCH('Index&amp;Match'!$A367,'Main Data'!$A$1:$A$1001,0),MATCH('Index&amp;Match'!B366,'Main Data'!$A366:$O366,0))</f>
        <v>46083</v>
      </c>
      <c r="C367" s="2" t="str">
        <f>INDEX('Main Data'!$A$1:$O$1001,MATCH('Index&amp;Match'!$A367,'Main Data'!$A$1:$A$1001,0),MATCH('Index&amp;Match'!C366,'Main Data'!$A366:$O366,0))</f>
        <v>Jamie</v>
      </c>
      <c r="D367" s="2" t="str">
        <f>INDEX('Main Data'!$A$1:$O$1001,MATCH('Index&amp;Match'!$A367,'Main Data'!$A$1:$A$1001,0),MATCH('Index&amp;Match'!D366,'Main Data'!$A366:$O366,0))</f>
        <v>BR-004</v>
      </c>
      <c r="E367" s="2" t="str">
        <f>INDEX('Main Data'!$A$1:$O$1001,MATCH('Index&amp;Match'!$A367,'Main Data'!$A$1:$A$1001,0),MATCH('Index&amp;Match'!E366,'Main Data'!$A366:$O366,0))</f>
        <v>East</v>
      </c>
      <c r="F367" s="2" t="str">
        <f>INDEX('Main Data'!$A$1:$O$1001,MATCH('Index&amp;Match'!$A367,'Main Data'!$A$1:$A$1001,0),MATCH('Index&amp;Match'!F366,'Main Data'!$A366:$O366,0))</f>
        <v>Personal Loan</v>
      </c>
      <c r="G367" s="2" t="str">
        <f>INDEX('Main Data'!$A$1:$O$1001,MATCH('Index&amp;Match'!$A367,'Main Data'!$A$1:$A$1001,0),MATCH('Index&amp;Match'!G366,'Main Data'!$A366:$O366,0))</f>
        <v>Social Media</v>
      </c>
      <c r="H367" s="2" t="str">
        <f>INDEX('Main Data'!$A$1:$O$1001,MATCH('Index&amp;Match'!$A367,'Main Data'!$A$1:$A$1001,0),MATCH('Index&amp;Match'!H366,'Main Data'!$A366:$O366,0))</f>
        <v>Corporate</v>
      </c>
      <c r="I367" s="2">
        <f>INDEX('Main Data'!$A$1:$O$1001,MATCH('Index&amp;Match'!$A367,'Main Data'!$A$1:$A$1001,0),MATCH('Index&amp;Match'!I366,'Main Data'!$A366:$O366,0))</f>
        <v>32</v>
      </c>
      <c r="J367" s="2">
        <f>INDEX('Main Data'!$A$1:$O$1001,MATCH('Index&amp;Match'!$A367,'Main Data'!$A$1:$A$1001,0),MATCH('Index&amp;Match'!J366,'Main Data'!$A366:$O366,0))</f>
        <v>32</v>
      </c>
      <c r="K367" s="11">
        <f>INDEX('Main Data'!$A$1:$O$1001,MATCH('Index&amp;Match'!$A367,'Main Data'!$A$1:$A$1001,0),MATCH('Index&amp;Match'!K366,'Main Data'!$A366:$O366,0))</f>
        <v>42328.11</v>
      </c>
      <c r="L367" s="11">
        <f>INDEX('Main Data'!$A$1:$O$1001,MATCH('Index&amp;Match'!$A367,'Main Data'!$A$1:$A$1001,0),MATCH('Index&amp;Match'!L366,'Main Data'!$A366:$O366,0))</f>
        <v>144.08000000000001</v>
      </c>
      <c r="M367" s="11">
        <f>INDEX('Main Data'!$A$1:$O$1001,MATCH('Index&amp;Match'!$A367,'Main Data'!$A$1:$A$1001,0),MATCH('Index&amp;Match'!M366,'Main Data'!$A366:$O366,0))</f>
        <v>46.84</v>
      </c>
      <c r="N367" s="2" t="str">
        <f>INDEX('Main Data'!$A$1:$O$1001,MATCH('Index&amp;Match'!$A367,'Main Data'!$A$1:$A$1001,0),MATCH('Index&amp;Match'!N366,'Main Data'!$A366:$O366,0))</f>
        <v>No</v>
      </c>
      <c r="O367" s="2">
        <f>INDEX('Main Data'!$A$1:$O$1001,MATCH('Index&amp;Match'!$A367,'Main Data'!$A$1:$A$1001,0),MATCH('Index&amp;Match'!O366,'Main Data'!$A366:$O366,0))</f>
        <v>32</v>
      </c>
    </row>
    <row r="368" spans="1:15" x14ac:dyDescent="0.3">
      <c r="A368" s="2" t="s">
        <v>425</v>
      </c>
      <c r="B368" s="1">
        <f>INDEX('Main Data'!$A$1:$O$1001,MATCH('Index&amp;Match'!$A368,'Main Data'!$A$1:$A$1001,0),MATCH('Index&amp;Match'!B367,'Main Data'!$A367:$O367,0))</f>
        <v>46161</v>
      </c>
      <c r="C368" s="2" t="str">
        <f>INDEX('Main Data'!$A$1:$O$1001,MATCH('Index&amp;Match'!$A368,'Main Data'!$A$1:$A$1001,0),MATCH('Index&amp;Match'!C367,'Main Data'!$A367:$O367,0))</f>
        <v>Sam</v>
      </c>
      <c r="D368" s="2" t="str">
        <f>INDEX('Main Data'!$A$1:$O$1001,MATCH('Index&amp;Match'!$A368,'Main Data'!$A$1:$A$1001,0),MATCH('Index&amp;Match'!D367,'Main Data'!$A367:$O367,0))</f>
        <v>BR-003</v>
      </c>
      <c r="E368" s="2" t="str">
        <f>INDEX('Main Data'!$A$1:$O$1001,MATCH('Index&amp;Match'!$A368,'Main Data'!$A$1:$A$1001,0),MATCH('Index&amp;Match'!E367,'Main Data'!$A367:$O367,0))</f>
        <v>East</v>
      </c>
      <c r="F368" s="2" t="str">
        <f>INDEX('Main Data'!$A$1:$O$1001,MATCH('Index&amp;Match'!$A368,'Main Data'!$A$1:$A$1001,0),MATCH('Index&amp;Match'!F367,'Main Data'!$A367:$O367,0))</f>
        <v>Personal Loan</v>
      </c>
      <c r="G368" s="2" t="str">
        <f>INDEX('Main Data'!$A$1:$O$1001,MATCH('Index&amp;Match'!$A368,'Main Data'!$A$1:$A$1001,0),MATCH('Index&amp;Match'!G367,'Main Data'!$A367:$O367,0))</f>
        <v>Social Media</v>
      </c>
      <c r="H368" s="2" t="str">
        <f>INDEX('Main Data'!$A$1:$O$1001,MATCH('Index&amp;Match'!$A368,'Main Data'!$A$1:$A$1001,0),MATCH('Index&amp;Match'!H367,'Main Data'!$A367:$O367,0))</f>
        <v>SME</v>
      </c>
      <c r="I368" s="2">
        <f>INDEX('Main Data'!$A$1:$O$1001,MATCH('Index&amp;Match'!$A368,'Main Data'!$A$1:$A$1001,0),MATCH('Index&amp;Match'!I367,'Main Data'!$A367:$O367,0))</f>
        <v>60</v>
      </c>
      <c r="J368" s="2">
        <f>INDEX('Main Data'!$A$1:$O$1001,MATCH('Index&amp;Match'!$A368,'Main Data'!$A$1:$A$1001,0),MATCH('Index&amp;Match'!J367,'Main Data'!$A367:$O367,0))</f>
        <v>60</v>
      </c>
      <c r="K368" s="11">
        <f>INDEX('Main Data'!$A$1:$O$1001,MATCH('Index&amp;Match'!$A368,'Main Data'!$A$1:$A$1001,0),MATCH('Index&amp;Match'!K367,'Main Data'!$A367:$O367,0))</f>
        <v>3422.98</v>
      </c>
      <c r="L368" s="11">
        <f>INDEX('Main Data'!$A$1:$O$1001,MATCH('Index&amp;Match'!$A368,'Main Data'!$A$1:$A$1001,0),MATCH('Index&amp;Match'!L367,'Main Data'!$A367:$O367,0))</f>
        <v>431.82</v>
      </c>
      <c r="M368" s="11">
        <f>INDEX('Main Data'!$A$1:$O$1001,MATCH('Index&amp;Match'!$A368,'Main Data'!$A$1:$A$1001,0),MATCH('Index&amp;Match'!M367,'Main Data'!$A367:$O367,0))</f>
        <v>53.93</v>
      </c>
      <c r="N368" s="2" t="str">
        <f>INDEX('Main Data'!$A$1:$O$1001,MATCH('Index&amp;Match'!$A368,'Main Data'!$A$1:$A$1001,0),MATCH('Index&amp;Match'!N367,'Main Data'!$A367:$O367,0))</f>
        <v>No</v>
      </c>
      <c r="O368" s="2">
        <f>INDEX('Main Data'!$A$1:$O$1001,MATCH('Index&amp;Match'!$A368,'Main Data'!$A$1:$A$1001,0),MATCH('Index&amp;Match'!O367,'Main Data'!$A367:$O367,0))</f>
        <v>60</v>
      </c>
    </row>
    <row r="369" spans="1:15" x14ac:dyDescent="0.3">
      <c r="A369" s="2" t="s">
        <v>426</v>
      </c>
      <c r="B369" s="1">
        <f>INDEX('Main Data'!$A$1:$O$1001,MATCH('Index&amp;Match'!$A369,'Main Data'!$A$1:$A$1001,0),MATCH('Index&amp;Match'!B368,'Main Data'!$A368:$O368,0))</f>
        <v>45915</v>
      </c>
      <c r="C369" s="2" t="str">
        <f>INDEX('Main Data'!$A$1:$O$1001,MATCH('Index&amp;Match'!$A369,'Main Data'!$A$1:$A$1001,0),MATCH('Index&amp;Match'!C368,'Main Data'!$A368:$O368,0))</f>
        <v>Jordan</v>
      </c>
      <c r="D369" s="2" t="str">
        <f>INDEX('Main Data'!$A$1:$O$1001,MATCH('Index&amp;Match'!$A369,'Main Data'!$A$1:$A$1001,0),MATCH('Index&amp;Match'!D368,'Main Data'!$A368:$O368,0))</f>
        <v>BR-004</v>
      </c>
      <c r="E369" s="2" t="str">
        <f>INDEX('Main Data'!$A$1:$O$1001,MATCH('Index&amp;Match'!$A369,'Main Data'!$A$1:$A$1001,0),MATCH('Index&amp;Match'!E368,'Main Data'!$A368:$O368,0))</f>
        <v>West</v>
      </c>
      <c r="F369" s="2" t="str">
        <f>INDEX('Main Data'!$A$1:$O$1001,MATCH('Index&amp;Match'!$A369,'Main Data'!$A$1:$A$1001,0),MATCH('Index&amp;Match'!F368,'Main Data'!$A368:$O368,0))</f>
        <v>Auto Loan</v>
      </c>
      <c r="G369" s="2" t="str">
        <f>INDEX('Main Data'!$A$1:$O$1001,MATCH('Index&amp;Match'!$A369,'Main Data'!$A$1:$A$1001,0),MATCH('Index&amp;Match'!G368,'Main Data'!$A368:$O368,0))</f>
        <v>Email Campaign</v>
      </c>
      <c r="H369" s="2" t="str">
        <f>INDEX('Main Data'!$A$1:$O$1001,MATCH('Index&amp;Match'!$A369,'Main Data'!$A$1:$A$1001,0),MATCH('Index&amp;Match'!H368,'Main Data'!$A368:$O368,0))</f>
        <v>Retail</v>
      </c>
      <c r="I369" s="2">
        <f>INDEX('Main Data'!$A$1:$O$1001,MATCH('Index&amp;Match'!$A369,'Main Data'!$A$1:$A$1001,0),MATCH('Index&amp;Match'!I368,'Main Data'!$A368:$O368,0))</f>
        <v>29</v>
      </c>
      <c r="J369" s="2">
        <f>INDEX('Main Data'!$A$1:$O$1001,MATCH('Index&amp;Match'!$A369,'Main Data'!$A$1:$A$1001,0),MATCH('Index&amp;Match'!J368,'Main Data'!$A368:$O368,0))</f>
        <v>29</v>
      </c>
      <c r="K369" s="11">
        <f>INDEX('Main Data'!$A$1:$O$1001,MATCH('Index&amp;Match'!$A369,'Main Data'!$A$1:$A$1001,0),MATCH('Index&amp;Match'!K368,'Main Data'!$A368:$O368,0))</f>
        <v>13947.38</v>
      </c>
      <c r="L369" s="11">
        <f>INDEX('Main Data'!$A$1:$O$1001,MATCH('Index&amp;Match'!$A369,'Main Data'!$A$1:$A$1001,0),MATCH('Index&amp;Match'!L368,'Main Data'!$A368:$O368,0))</f>
        <v>457.71</v>
      </c>
      <c r="M369" s="11">
        <f>INDEX('Main Data'!$A$1:$O$1001,MATCH('Index&amp;Match'!$A369,'Main Data'!$A$1:$A$1001,0),MATCH('Index&amp;Match'!M368,'Main Data'!$A368:$O368,0))</f>
        <v>130.94999999999999</v>
      </c>
      <c r="N369" s="2" t="str">
        <f>INDEX('Main Data'!$A$1:$O$1001,MATCH('Index&amp;Match'!$A369,'Main Data'!$A$1:$A$1001,0),MATCH('Index&amp;Match'!N368,'Main Data'!$A368:$O368,0))</f>
        <v>Yes</v>
      </c>
      <c r="O369" s="2">
        <f>INDEX('Main Data'!$A$1:$O$1001,MATCH('Index&amp;Match'!$A369,'Main Data'!$A$1:$A$1001,0),MATCH('Index&amp;Match'!O368,'Main Data'!$A368:$O368,0))</f>
        <v>29</v>
      </c>
    </row>
    <row r="370" spans="1:15" x14ac:dyDescent="0.3">
      <c r="A370" s="2" t="s">
        <v>427</v>
      </c>
      <c r="B370" s="1">
        <f>INDEX('Main Data'!$A$1:$O$1001,MATCH('Index&amp;Match'!$A370,'Main Data'!$A$1:$A$1001,0),MATCH('Index&amp;Match'!B369,'Main Data'!$A369:$O369,0))</f>
        <v>45954</v>
      </c>
      <c r="C370" s="2" t="str">
        <f>INDEX('Main Data'!$A$1:$O$1001,MATCH('Index&amp;Match'!$A370,'Main Data'!$A$1:$A$1001,0),MATCH('Index&amp;Match'!C369,'Main Data'!$A369:$O369,0))</f>
        <v>Taylor</v>
      </c>
      <c r="D370" s="2" t="str">
        <f>INDEX('Main Data'!$A$1:$O$1001,MATCH('Index&amp;Match'!$A370,'Main Data'!$A$1:$A$1001,0),MATCH('Index&amp;Match'!D369,'Main Data'!$A369:$O369,0))</f>
        <v>BR-001</v>
      </c>
      <c r="E370" s="2" t="str">
        <f>INDEX('Main Data'!$A$1:$O$1001,MATCH('Index&amp;Match'!$A370,'Main Data'!$A$1:$A$1001,0),MATCH('Index&amp;Match'!E369,'Main Data'!$A369:$O369,0))</f>
        <v>West</v>
      </c>
      <c r="F370" s="2" t="str">
        <f>INDEX('Main Data'!$A$1:$O$1001,MATCH('Index&amp;Match'!$A370,'Main Data'!$A$1:$A$1001,0),MATCH('Index&amp;Match'!F369,'Main Data'!$A369:$O369,0))</f>
        <v>Auto Loan</v>
      </c>
      <c r="G370" s="2" t="str">
        <f>INDEX('Main Data'!$A$1:$O$1001,MATCH('Index&amp;Match'!$A370,'Main Data'!$A$1:$A$1001,0),MATCH('Index&amp;Match'!G369,'Main Data'!$A369:$O369,0))</f>
        <v>Website</v>
      </c>
      <c r="H370" s="2" t="str">
        <f>INDEX('Main Data'!$A$1:$O$1001,MATCH('Index&amp;Match'!$A370,'Main Data'!$A$1:$A$1001,0),MATCH('Index&amp;Match'!H369,'Main Data'!$A369:$O369,0))</f>
        <v>High Net Worth</v>
      </c>
      <c r="I370" s="2">
        <f>INDEX('Main Data'!$A$1:$O$1001,MATCH('Index&amp;Match'!$A370,'Main Data'!$A$1:$A$1001,0),MATCH('Index&amp;Match'!I369,'Main Data'!$A369:$O369,0))</f>
        <v>32</v>
      </c>
      <c r="J370" s="2">
        <f>INDEX('Main Data'!$A$1:$O$1001,MATCH('Index&amp;Match'!$A370,'Main Data'!$A$1:$A$1001,0),MATCH('Index&amp;Match'!J369,'Main Data'!$A369:$O369,0))</f>
        <v>32</v>
      </c>
      <c r="K370" s="11">
        <f>INDEX('Main Data'!$A$1:$O$1001,MATCH('Index&amp;Match'!$A370,'Main Data'!$A$1:$A$1001,0),MATCH('Index&amp;Match'!K369,'Main Data'!$A369:$O369,0))</f>
        <v>5635.94</v>
      </c>
      <c r="L370" s="11">
        <f>INDEX('Main Data'!$A$1:$O$1001,MATCH('Index&amp;Match'!$A370,'Main Data'!$A$1:$A$1001,0),MATCH('Index&amp;Match'!L369,'Main Data'!$A369:$O369,0))</f>
        <v>293.72000000000003</v>
      </c>
      <c r="M370" s="11">
        <f>INDEX('Main Data'!$A$1:$O$1001,MATCH('Index&amp;Match'!$A370,'Main Data'!$A$1:$A$1001,0),MATCH('Index&amp;Match'!M369,'Main Data'!$A369:$O369,0))</f>
        <v>117.03</v>
      </c>
      <c r="N370" s="2" t="str">
        <f>INDEX('Main Data'!$A$1:$O$1001,MATCH('Index&amp;Match'!$A370,'Main Data'!$A$1:$A$1001,0),MATCH('Index&amp;Match'!N369,'Main Data'!$A369:$O369,0))</f>
        <v>Yes</v>
      </c>
      <c r="O370" s="2">
        <f>INDEX('Main Data'!$A$1:$O$1001,MATCH('Index&amp;Match'!$A370,'Main Data'!$A$1:$A$1001,0),MATCH('Index&amp;Match'!O369,'Main Data'!$A369:$O369,0))</f>
        <v>32</v>
      </c>
    </row>
    <row r="371" spans="1:15" x14ac:dyDescent="0.3">
      <c r="A371" s="2" t="s">
        <v>428</v>
      </c>
      <c r="B371" s="1">
        <f>INDEX('Main Data'!$A$1:$O$1001,MATCH('Index&amp;Match'!$A371,'Main Data'!$A$1:$A$1001,0),MATCH('Index&amp;Match'!B370,'Main Data'!$A370:$O370,0))</f>
        <v>46185</v>
      </c>
      <c r="C371" s="2" t="str">
        <f>INDEX('Main Data'!$A$1:$O$1001,MATCH('Index&amp;Match'!$A371,'Main Data'!$A$1:$A$1001,0),MATCH('Index&amp;Match'!C370,'Main Data'!$A370:$O370,0))</f>
        <v>Jamie</v>
      </c>
      <c r="D371" s="2" t="str">
        <f>INDEX('Main Data'!$A$1:$O$1001,MATCH('Index&amp;Match'!$A371,'Main Data'!$A$1:$A$1001,0),MATCH('Index&amp;Match'!D370,'Main Data'!$A370:$O370,0))</f>
        <v>BR-004</v>
      </c>
      <c r="E371" s="2" t="str">
        <f>INDEX('Main Data'!$A$1:$O$1001,MATCH('Index&amp;Match'!$A371,'Main Data'!$A$1:$A$1001,0),MATCH('Index&amp;Match'!E370,'Main Data'!$A370:$O370,0))</f>
        <v>South</v>
      </c>
      <c r="F371" s="2" t="str">
        <f>INDEX('Main Data'!$A$1:$O$1001,MATCH('Index&amp;Match'!$A371,'Main Data'!$A$1:$A$1001,0),MATCH('Index&amp;Match'!F370,'Main Data'!$A370:$O370,0))</f>
        <v>Auto Loan</v>
      </c>
      <c r="G371" s="2" t="str">
        <f>INDEX('Main Data'!$A$1:$O$1001,MATCH('Index&amp;Match'!$A371,'Main Data'!$A$1:$A$1001,0),MATCH('Index&amp;Match'!G370,'Main Data'!$A370:$O370,0))</f>
        <v>Email Campaign</v>
      </c>
      <c r="H371" s="2" t="str">
        <f>INDEX('Main Data'!$A$1:$O$1001,MATCH('Index&amp;Match'!$A371,'Main Data'!$A$1:$A$1001,0),MATCH('Index&amp;Match'!H370,'Main Data'!$A370:$O370,0))</f>
        <v>SME</v>
      </c>
      <c r="I371" s="2">
        <f>INDEX('Main Data'!$A$1:$O$1001,MATCH('Index&amp;Match'!$A371,'Main Data'!$A$1:$A$1001,0),MATCH('Index&amp;Match'!I370,'Main Data'!$A370:$O370,0))</f>
        <v>46</v>
      </c>
      <c r="J371" s="2">
        <f>INDEX('Main Data'!$A$1:$O$1001,MATCH('Index&amp;Match'!$A371,'Main Data'!$A$1:$A$1001,0),MATCH('Index&amp;Match'!J370,'Main Data'!$A370:$O370,0))</f>
        <v>46</v>
      </c>
      <c r="K371" s="11">
        <f>INDEX('Main Data'!$A$1:$O$1001,MATCH('Index&amp;Match'!$A371,'Main Data'!$A$1:$A$1001,0),MATCH('Index&amp;Match'!K370,'Main Data'!$A370:$O370,0))</f>
        <v>15123.39</v>
      </c>
      <c r="L371" s="11">
        <f>INDEX('Main Data'!$A$1:$O$1001,MATCH('Index&amp;Match'!$A371,'Main Data'!$A$1:$A$1001,0),MATCH('Index&amp;Match'!L370,'Main Data'!$A370:$O370,0))</f>
        <v>333.24</v>
      </c>
      <c r="M371" s="11">
        <f>INDEX('Main Data'!$A$1:$O$1001,MATCH('Index&amp;Match'!$A371,'Main Data'!$A$1:$A$1001,0),MATCH('Index&amp;Match'!M370,'Main Data'!$A370:$O370,0))</f>
        <v>38.909999999999997</v>
      </c>
      <c r="N371" s="2" t="str">
        <f>INDEX('Main Data'!$A$1:$O$1001,MATCH('Index&amp;Match'!$A371,'Main Data'!$A$1:$A$1001,0),MATCH('Index&amp;Match'!N370,'Main Data'!$A370:$O370,0))</f>
        <v>Yes</v>
      </c>
      <c r="O371" s="2">
        <f>INDEX('Main Data'!$A$1:$O$1001,MATCH('Index&amp;Match'!$A371,'Main Data'!$A$1:$A$1001,0),MATCH('Index&amp;Match'!O370,'Main Data'!$A370:$O370,0))</f>
        <v>46</v>
      </c>
    </row>
    <row r="372" spans="1:15" x14ac:dyDescent="0.3">
      <c r="A372" s="2" t="s">
        <v>429</v>
      </c>
      <c r="B372" s="1">
        <f>INDEX('Main Data'!$A$1:$O$1001,MATCH('Index&amp;Match'!$A372,'Main Data'!$A$1:$A$1001,0),MATCH('Index&amp;Match'!B371,'Main Data'!$A371:$O371,0))</f>
        <v>46055</v>
      </c>
      <c r="C372" s="2" t="str">
        <f>INDEX('Main Data'!$A$1:$O$1001,MATCH('Index&amp;Match'!$A372,'Main Data'!$A$1:$A$1001,0),MATCH('Index&amp;Match'!C371,'Main Data'!$A371:$O371,0))</f>
        <v>Morgan</v>
      </c>
      <c r="D372" s="2" t="str">
        <f>INDEX('Main Data'!$A$1:$O$1001,MATCH('Index&amp;Match'!$A372,'Main Data'!$A$1:$A$1001,0),MATCH('Index&amp;Match'!D371,'Main Data'!$A371:$O371,0))</f>
        <v>BR-001</v>
      </c>
      <c r="E372" s="2" t="str">
        <f>INDEX('Main Data'!$A$1:$O$1001,MATCH('Index&amp;Match'!$A372,'Main Data'!$A$1:$A$1001,0),MATCH('Index&amp;Match'!E371,'Main Data'!$A371:$O371,0))</f>
        <v>South</v>
      </c>
      <c r="F372" s="2" t="str">
        <f>INDEX('Main Data'!$A$1:$O$1001,MATCH('Index&amp;Match'!$A372,'Main Data'!$A$1:$A$1001,0),MATCH('Index&amp;Match'!F371,'Main Data'!$A371:$O371,0))</f>
        <v>Personal Loan</v>
      </c>
      <c r="G372" s="2" t="str">
        <f>INDEX('Main Data'!$A$1:$O$1001,MATCH('Index&amp;Match'!$A372,'Main Data'!$A$1:$A$1001,0),MATCH('Index&amp;Match'!G371,'Main Data'!$A371:$O371,0))</f>
        <v>Website</v>
      </c>
      <c r="H372" s="2" t="str">
        <f>INDEX('Main Data'!$A$1:$O$1001,MATCH('Index&amp;Match'!$A372,'Main Data'!$A$1:$A$1001,0),MATCH('Index&amp;Match'!H371,'Main Data'!$A371:$O371,0))</f>
        <v>Retail</v>
      </c>
      <c r="I372" s="2">
        <f>INDEX('Main Data'!$A$1:$O$1001,MATCH('Index&amp;Match'!$A372,'Main Data'!$A$1:$A$1001,0),MATCH('Index&amp;Match'!I371,'Main Data'!$A371:$O371,0))</f>
        <v>29</v>
      </c>
      <c r="J372" s="2">
        <f>INDEX('Main Data'!$A$1:$O$1001,MATCH('Index&amp;Match'!$A372,'Main Data'!$A$1:$A$1001,0),MATCH('Index&amp;Match'!J371,'Main Data'!$A371:$O371,0))</f>
        <v>29</v>
      </c>
      <c r="K372" s="11">
        <f>INDEX('Main Data'!$A$1:$O$1001,MATCH('Index&amp;Match'!$A372,'Main Data'!$A$1:$A$1001,0),MATCH('Index&amp;Match'!K371,'Main Data'!$A371:$O371,0))</f>
        <v>4982.6899999999996</v>
      </c>
      <c r="L372" s="11">
        <f>INDEX('Main Data'!$A$1:$O$1001,MATCH('Index&amp;Match'!$A372,'Main Data'!$A$1:$A$1001,0),MATCH('Index&amp;Match'!L371,'Main Data'!$A371:$O371,0))</f>
        <v>165.61</v>
      </c>
      <c r="M372" s="11">
        <f>INDEX('Main Data'!$A$1:$O$1001,MATCH('Index&amp;Match'!$A372,'Main Data'!$A$1:$A$1001,0),MATCH('Index&amp;Match'!M371,'Main Data'!$A371:$O371,0))</f>
        <v>146.34</v>
      </c>
      <c r="N372" s="2" t="str">
        <f>INDEX('Main Data'!$A$1:$O$1001,MATCH('Index&amp;Match'!$A372,'Main Data'!$A$1:$A$1001,0),MATCH('Index&amp;Match'!N371,'Main Data'!$A371:$O371,0))</f>
        <v>No</v>
      </c>
      <c r="O372" s="2">
        <f>INDEX('Main Data'!$A$1:$O$1001,MATCH('Index&amp;Match'!$A372,'Main Data'!$A$1:$A$1001,0),MATCH('Index&amp;Match'!O371,'Main Data'!$A371:$O371,0))</f>
        <v>29</v>
      </c>
    </row>
    <row r="373" spans="1:15" x14ac:dyDescent="0.3">
      <c r="A373" s="2" t="s">
        <v>430</v>
      </c>
      <c r="B373" s="1">
        <f>INDEX('Main Data'!$A$1:$O$1001,MATCH('Index&amp;Match'!$A373,'Main Data'!$A$1:$A$1001,0),MATCH('Index&amp;Match'!B372,'Main Data'!$A372:$O372,0))</f>
        <v>46061</v>
      </c>
      <c r="C373" s="2" t="str">
        <f>INDEX('Main Data'!$A$1:$O$1001,MATCH('Index&amp;Match'!$A373,'Main Data'!$A$1:$A$1001,0),MATCH('Index&amp;Match'!C372,'Main Data'!$A372:$O372,0))</f>
        <v>Drew</v>
      </c>
      <c r="D373" s="2" t="str">
        <f>INDEX('Main Data'!$A$1:$O$1001,MATCH('Index&amp;Match'!$A373,'Main Data'!$A$1:$A$1001,0),MATCH('Index&amp;Match'!D372,'Main Data'!$A372:$O372,0))</f>
        <v>BR-012</v>
      </c>
      <c r="E373" s="2" t="str">
        <f>INDEX('Main Data'!$A$1:$O$1001,MATCH('Index&amp;Match'!$A373,'Main Data'!$A$1:$A$1001,0),MATCH('Index&amp;Match'!E372,'Main Data'!$A372:$O372,0))</f>
        <v>East</v>
      </c>
      <c r="F373" s="2" t="str">
        <f>INDEX('Main Data'!$A$1:$O$1001,MATCH('Index&amp;Match'!$A373,'Main Data'!$A$1:$A$1001,0),MATCH('Index&amp;Match'!F372,'Main Data'!$A372:$O372,0))</f>
        <v>Mortgage</v>
      </c>
      <c r="G373" s="2" t="str">
        <f>INDEX('Main Data'!$A$1:$O$1001,MATCH('Index&amp;Match'!$A373,'Main Data'!$A$1:$A$1001,0),MATCH('Index&amp;Match'!G372,'Main Data'!$A372:$O372,0))</f>
        <v>Email Campaign</v>
      </c>
      <c r="H373" s="2" t="str">
        <f>INDEX('Main Data'!$A$1:$O$1001,MATCH('Index&amp;Match'!$A373,'Main Data'!$A$1:$A$1001,0),MATCH('Index&amp;Match'!H372,'Main Data'!$A372:$O372,0))</f>
        <v>SME</v>
      </c>
      <c r="I373" s="2">
        <f>INDEX('Main Data'!$A$1:$O$1001,MATCH('Index&amp;Match'!$A373,'Main Data'!$A$1:$A$1001,0),MATCH('Index&amp;Match'!I372,'Main Data'!$A372:$O372,0))</f>
        <v>30</v>
      </c>
      <c r="J373" s="2">
        <f>INDEX('Main Data'!$A$1:$O$1001,MATCH('Index&amp;Match'!$A373,'Main Data'!$A$1:$A$1001,0),MATCH('Index&amp;Match'!J372,'Main Data'!$A372:$O372,0))</f>
        <v>30</v>
      </c>
      <c r="K373" s="11">
        <f>INDEX('Main Data'!$A$1:$O$1001,MATCH('Index&amp;Match'!$A373,'Main Data'!$A$1:$A$1001,0),MATCH('Index&amp;Match'!K372,'Main Data'!$A372:$O372,0))</f>
        <v>33566.160000000003</v>
      </c>
      <c r="L373" s="11">
        <f>INDEX('Main Data'!$A$1:$O$1001,MATCH('Index&amp;Match'!$A373,'Main Data'!$A$1:$A$1001,0),MATCH('Index&amp;Match'!L372,'Main Data'!$A372:$O372,0))</f>
        <v>410.36</v>
      </c>
      <c r="M373" s="11">
        <f>INDEX('Main Data'!$A$1:$O$1001,MATCH('Index&amp;Match'!$A373,'Main Data'!$A$1:$A$1001,0),MATCH('Index&amp;Match'!M372,'Main Data'!$A372:$O372,0))</f>
        <v>30.83</v>
      </c>
      <c r="N373" s="2" t="str">
        <f>INDEX('Main Data'!$A$1:$O$1001,MATCH('Index&amp;Match'!$A373,'Main Data'!$A$1:$A$1001,0),MATCH('Index&amp;Match'!N372,'Main Data'!$A372:$O372,0))</f>
        <v>No</v>
      </c>
      <c r="O373" s="2">
        <f>INDEX('Main Data'!$A$1:$O$1001,MATCH('Index&amp;Match'!$A373,'Main Data'!$A$1:$A$1001,0),MATCH('Index&amp;Match'!O372,'Main Data'!$A372:$O372,0))</f>
        <v>30</v>
      </c>
    </row>
    <row r="374" spans="1:15" x14ac:dyDescent="0.3">
      <c r="A374" s="2" t="s">
        <v>431</v>
      </c>
      <c r="B374" s="1">
        <f>INDEX('Main Data'!$A$1:$O$1001,MATCH('Index&amp;Match'!$A374,'Main Data'!$A$1:$A$1001,0),MATCH('Index&amp;Match'!B373,'Main Data'!$A373:$O373,0))</f>
        <v>45982</v>
      </c>
      <c r="C374" s="2" t="str">
        <f>INDEX('Main Data'!$A$1:$O$1001,MATCH('Index&amp;Match'!$A374,'Main Data'!$A$1:$A$1001,0),MATCH('Index&amp;Match'!C373,'Main Data'!$A373:$O373,0))</f>
        <v>Jordan</v>
      </c>
      <c r="D374" s="2" t="str">
        <f>INDEX('Main Data'!$A$1:$O$1001,MATCH('Index&amp;Match'!$A374,'Main Data'!$A$1:$A$1001,0),MATCH('Index&amp;Match'!D373,'Main Data'!$A373:$O373,0))</f>
        <v>BR-015</v>
      </c>
      <c r="E374" s="2" t="str">
        <f>INDEX('Main Data'!$A$1:$O$1001,MATCH('Index&amp;Match'!$A374,'Main Data'!$A$1:$A$1001,0),MATCH('Index&amp;Match'!E373,'Main Data'!$A373:$O373,0))</f>
        <v>North</v>
      </c>
      <c r="F374" s="2" t="str">
        <f>INDEX('Main Data'!$A$1:$O$1001,MATCH('Index&amp;Match'!$A374,'Main Data'!$A$1:$A$1001,0),MATCH('Index&amp;Match'!F373,'Main Data'!$A373:$O373,0))</f>
        <v>Wealth Management</v>
      </c>
      <c r="G374" s="2" t="str">
        <f>INDEX('Main Data'!$A$1:$O$1001,MATCH('Index&amp;Match'!$A374,'Main Data'!$A$1:$A$1001,0),MATCH('Index&amp;Match'!G373,'Main Data'!$A373:$O373,0))</f>
        <v>Social Media</v>
      </c>
      <c r="H374" s="2" t="str">
        <f>INDEX('Main Data'!$A$1:$O$1001,MATCH('Index&amp;Match'!$A374,'Main Data'!$A$1:$A$1001,0),MATCH('Index&amp;Match'!H373,'Main Data'!$A373:$O373,0))</f>
        <v>Retail</v>
      </c>
      <c r="I374" s="2">
        <f>INDEX('Main Data'!$A$1:$O$1001,MATCH('Index&amp;Match'!$A374,'Main Data'!$A$1:$A$1001,0),MATCH('Index&amp;Match'!I373,'Main Data'!$A373:$O373,0))</f>
        <v>52</v>
      </c>
      <c r="J374" s="2">
        <f>INDEX('Main Data'!$A$1:$O$1001,MATCH('Index&amp;Match'!$A374,'Main Data'!$A$1:$A$1001,0),MATCH('Index&amp;Match'!J373,'Main Data'!$A373:$O373,0))</f>
        <v>52</v>
      </c>
      <c r="K374" s="11">
        <f>INDEX('Main Data'!$A$1:$O$1001,MATCH('Index&amp;Match'!$A374,'Main Data'!$A$1:$A$1001,0),MATCH('Index&amp;Match'!K373,'Main Data'!$A373:$O373,0))</f>
        <v>7099.68</v>
      </c>
      <c r="L374" s="11">
        <f>INDEX('Main Data'!$A$1:$O$1001,MATCH('Index&amp;Match'!$A374,'Main Data'!$A$1:$A$1001,0),MATCH('Index&amp;Match'!L373,'Main Data'!$A373:$O373,0))</f>
        <v>334.46</v>
      </c>
      <c r="M374" s="11">
        <f>INDEX('Main Data'!$A$1:$O$1001,MATCH('Index&amp;Match'!$A374,'Main Data'!$A$1:$A$1001,0),MATCH('Index&amp;Match'!M373,'Main Data'!$A373:$O373,0))</f>
        <v>171.13</v>
      </c>
      <c r="N374" s="2" t="str">
        <f>INDEX('Main Data'!$A$1:$O$1001,MATCH('Index&amp;Match'!$A374,'Main Data'!$A$1:$A$1001,0),MATCH('Index&amp;Match'!N373,'Main Data'!$A373:$O373,0))</f>
        <v>No</v>
      </c>
      <c r="O374" s="2">
        <f>INDEX('Main Data'!$A$1:$O$1001,MATCH('Index&amp;Match'!$A374,'Main Data'!$A$1:$A$1001,0),MATCH('Index&amp;Match'!O373,'Main Data'!$A373:$O373,0))</f>
        <v>52</v>
      </c>
    </row>
    <row r="375" spans="1:15" x14ac:dyDescent="0.3">
      <c r="A375" s="2" t="s">
        <v>432</v>
      </c>
      <c r="B375" s="1">
        <f>INDEX('Main Data'!$A$1:$O$1001,MATCH('Index&amp;Match'!$A375,'Main Data'!$A$1:$A$1001,0),MATCH('Index&amp;Match'!B374,'Main Data'!$A374:$O374,0))</f>
        <v>46121</v>
      </c>
      <c r="C375" s="2" t="str">
        <f>INDEX('Main Data'!$A$1:$O$1001,MATCH('Index&amp;Match'!$A375,'Main Data'!$A$1:$A$1001,0),MATCH('Index&amp;Match'!C374,'Main Data'!$A374:$O374,0))</f>
        <v>Drew</v>
      </c>
      <c r="D375" s="2" t="str">
        <f>INDEX('Main Data'!$A$1:$O$1001,MATCH('Index&amp;Match'!$A375,'Main Data'!$A$1:$A$1001,0),MATCH('Index&amp;Match'!D374,'Main Data'!$A374:$O374,0))</f>
        <v>BR-001</v>
      </c>
      <c r="E375" s="2" t="str">
        <f>INDEX('Main Data'!$A$1:$O$1001,MATCH('Index&amp;Match'!$A375,'Main Data'!$A$1:$A$1001,0),MATCH('Index&amp;Match'!E374,'Main Data'!$A374:$O374,0))</f>
        <v>West</v>
      </c>
      <c r="F375" s="2" t="str">
        <f>INDEX('Main Data'!$A$1:$O$1001,MATCH('Index&amp;Match'!$A375,'Main Data'!$A$1:$A$1001,0),MATCH('Index&amp;Match'!F374,'Main Data'!$A374:$O374,0))</f>
        <v>Mortgage</v>
      </c>
      <c r="G375" s="2" t="str">
        <f>INDEX('Main Data'!$A$1:$O$1001,MATCH('Index&amp;Match'!$A375,'Main Data'!$A$1:$A$1001,0),MATCH('Index&amp;Match'!G374,'Main Data'!$A374:$O374,0))</f>
        <v>Social Media</v>
      </c>
      <c r="H375" s="2" t="str">
        <f>INDEX('Main Data'!$A$1:$O$1001,MATCH('Index&amp;Match'!$A375,'Main Data'!$A$1:$A$1001,0),MATCH('Index&amp;Match'!H374,'Main Data'!$A374:$O374,0))</f>
        <v>Retail</v>
      </c>
      <c r="I375" s="2">
        <f>INDEX('Main Data'!$A$1:$O$1001,MATCH('Index&amp;Match'!$A375,'Main Data'!$A$1:$A$1001,0),MATCH('Index&amp;Match'!I374,'Main Data'!$A374:$O374,0))</f>
        <v>54</v>
      </c>
      <c r="J375" s="2">
        <f>INDEX('Main Data'!$A$1:$O$1001,MATCH('Index&amp;Match'!$A375,'Main Data'!$A$1:$A$1001,0),MATCH('Index&amp;Match'!J374,'Main Data'!$A374:$O374,0))</f>
        <v>54</v>
      </c>
      <c r="K375" s="11">
        <f>INDEX('Main Data'!$A$1:$O$1001,MATCH('Index&amp;Match'!$A375,'Main Data'!$A$1:$A$1001,0),MATCH('Index&amp;Match'!K374,'Main Data'!$A374:$O374,0))</f>
        <v>42666.37</v>
      </c>
      <c r="L375" s="11">
        <f>INDEX('Main Data'!$A$1:$O$1001,MATCH('Index&amp;Match'!$A375,'Main Data'!$A$1:$A$1001,0),MATCH('Index&amp;Match'!L374,'Main Data'!$A374:$O374,0))</f>
        <v>276.58</v>
      </c>
      <c r="M375" s="11">
        <f>INDEX('Main Data'!$A$1:$O$1001,MATCH('Index&amp;Match'!$A375,'Main Data'!$A$1:$A$1001,0),MATCH('Index&amp;Match'!M374,'Main Data'!$A374:$O374,0))</f>
        <v>102.93</v>
      </c>
      <c r="N375" s="2" t="str">
        <f>INDEX('Main Data'!$A$1:$O$1001,MATCH('Index&amp;Match'!$A375,'Main Data'!$A$1:$A$1001,0),MATCH('Index&amp;Match'!N374,'Main Data'!$A374:$O374,0))</f>
        <v>No</v>
      </c>
      <c r="O375" s="2">
        <f>INDEX('Main Data'!$A$1:$O$1001,MATCH('Index&amp;Match'!$A375,'Main Data'!$A$1:$A$1001,0),MATCH('Index&amp;Match'!O374,'Main Data'!$A374:$O374,0))</f>
        <v>54</v>
      </c>
    </row>
    <row r="376" spans="1:15" x14ac:dyDescent="0.3">
      <c r="A376" s="2" t="s">
        <v>433</v>
      </c>
      <c r="B376" s="1">
        <f>INDEX('Main Data'!$A$1:$O$1001,MATCH('Index&amp;Match'!$A376,'Main Data'!$A$1:$A$1001,0),MATCH('Index&amp;Match'!B375,'Main Data'!$A375:$O375,0))</f>
        <v>45955</v>
      </c>
      <c r="C376" s="2" t="str">
        <f>INDEX('Main Data'!$A$1:$O$1001,MATCH('Index&amp;Match'!$A376,'Main Data'!$A$1:$A$1001,0),MATCH('Index&amp;Match'!C375,'Main Data'!$A375:$O375,0))</f>
        <v>Alex</v>
      </c>
      <c r="D376" s="2" t="str">
        <f>INDEX('Main Data'!$A$1:$O$1001,MATCH('Index&amp;Match'!$A376,'Main Data'!$A$1:$A$1001,0),MATCH('Index&amp;Match'!D375,'Main Data'!$A375:$O375,0))</f>
        <v>BR-010</v>
      </c>
      <c r="E376" s="2" t="str">
        <f>INDEX('Main Data'!$A$1:$O$1001,MATCH('Index&amp;Match'!$A376,'Main Data'!$A$1:$A$1001,0),MATCH('Index&amp;Match'!E375,'Main Data'!$A375:$O375,0))</f>
        <v>South</v>
      </c>
      <c r="F376" s="2" t="str">
        <f>INDEX('Main Data'!$A$1:$O$1001,MATCH('Index&amp;Match'!$A376,'Main Data'!$A$1:$A$1001,0),MATCH('Index&amp;Match'!F375,'Main Data'!$A375:$O375,0))</f>
        <v>Mortgage</v>
      </c>
      <c r="G376" s="2" t="str">
        <f>INDEX('Main Data'!$A$1:$O$1001,MATCH('Index&amp;Match'!$A376,'Main Data'!$A$1:$A$1001,0),MATCH('Index&amp;Match'!G375,'Main Data'!$A375:$O375,0))</f>
        <v>Walk-in</v>
      </c>
      <c r="H376" s="2" t="str">
        <f>INDEX('Main Data'!$A$1:$O$1001,MATCH('Index&amp;Match'!$A376,'Main Data'!$A$1:$A$1001,0),MATCH('Index&amp;Match'!H375,'Main Data'!$A375:$O375,0))</f>
        <v>High Net Worth</v>
      </c>
      <c r="I376" s="2">
        <f>INDEX('Main Data'!$A$1:$O$1001,MATCH('Index&amp;Match'!$A376,'Main Data'!$A$1:$A$1001,0),MATCH('Index&amp;Match'!I375,'Main Data'!$A375:$O375,0))</f>
        <v>68</v>
      </c>
      <c r="J376" s="2">
        <f>INDEX('Main Data'!$A$1:$O$1001,MATCH('Index&amp;Match'!$A376,'Main Data'!$A$1:$A$1001,0),MATCH('Index&amp;Match'!J375,'Main Data'!$A375:$O375,0))</f>
        <v>68</v>
      </c>
      <c r="K376" s="11">
        <f>INDEX('Main Data'!$A$1:$O$1001,MATCH('Index&amp;Match'!$A376,'Main Data'!$A$1:$A$1001,0),MATCH('Index&amp;Match'!K375,'Main Data'!$A375:$O375,0))</f>
        <v>40950.959999999999</v>
      </c>
      <c r="L376" s="11">
        <f>INDEX('Main Data'!$A$1:$O$1001,MATCH('Index&amp;Match'!$A376,'Main Data'!$A$1:$A$1001,0),MATCH('Index&amp;Match'!L375,'Main Data'!$A375:$O375,0))</f>
        <v>77.05</v>
      </c>
      <c r="M376" s="11">
        <f>INDEX('Main Data'!$A$1:$O$1001,MATCH('Index&amp;Match'!$A376,'Main Data'!$A$1:$A$1001,0),MATCH('Index&amp;Match'!M375,'Main Data'!$A375:$O375,0))</f>
        <v>31.71</v>
      </c>
      <c r="N376" s="2" t="str">
        <f>INDEX('Main Data'!$A$1:$O$1001,MATCH('Index&amp;Match'!$A376,'Main Data'!$A$1:$A$1001,0),MATCH('Index&amp;Match'!N375,'Main Data'!$A375:$O375,0))</f>
        <v>Yes</v>
      </c>
      <c r="O376" s="2">
        <f>INDEX('Main Data'!$A$1:$O$1001,MATCH('Index&amp;Match'!$A376,'Main Data'!$A$1:$A$1001,0),MATCH('Index&amp;Match'!O375,'Main Data'!$A375:$O375,0))</f>
        <v>68</v>
      </c>
    </row>
    <row r="377" spans="1:15" x14ac:dyDescent="0.3">
      <c r="A377" s="2" t="s">
        <v>434</v>
      </c>
      <c r="B377" s="1">
        <f>INDEX('Main Data'!$A$1:$O$1001,MATCH('Index&amp;Match'!$A377,'Main Data'!$A$1:$A$1001,0),MATCH('Index&amp;Match'!B376,'Main Data'!$A376:$O376,0))</f>
        <v>46110</v>
      </c>
      <c r="C377" s="2" t="str">
        <f>INDEX('Main Data'!$A$1:$O$1001,MATCH('Index&amp;Match'!$A377,'Main Data'!$A$1:$A$1001,0),MATCH('Index&amp;Match'!C376,'Main Data'!$A376:$O376,0))</f>
        <v>Morgan</v>
      </c>
      <c r="D377" s="2" t="str">
        <f>INDEX('Main Data'!$A$1:$O$1001,MATCH('Index&amp;Match'!$A377,'Main Data'!$A$1:$A$1001,0),MATCH('Index&amp;Match'!D376,'Main Data'!$A376:$O376,0))</f>
        <v>BR-014</v>
      </c>
      <c r="E377" s="2" t="str">
        <f>INDEX('Main Data'!$A$1:$O$1001,MATCH('Index&amp;Match'!$A377,'Main Data'!$A$1:$A$1001,0),MATCH('Index&amp;Match'!E376,'Main Data'!$A376:$O376,0))</f>
        <v>East</v>
      </c>
      <c r="F377" s="2" t="str">
        <f>INDEX('Main Data'!$A$1:$O$1001,MATCH('Index&amp;Match'!$A377,'Main Data'!$A$1:$A$1001,0),MATCH('Index&amp;Match'!F376,'Main Data'!$A376:$O376,0))</f>
        <v>Personal Loan</v>
      </c>
      <c r="G377" s="2" t="str">
        <f>INDEX('Main Data'!$A$1:$O$1001,MATCH('Index&amp;Match'!$A377,'Main Data'!$A$1:$A$1001,0),MATCH('Index&amp;Match'!G376,'Main Data'!$A376:$O376,0))</f>
        <v>Referral</v>
      </c>
      <c r="H377" s="2" t="str">
        <f>INDEX('Main Data'!$A$1:$O$1001,MATCH('Index&amp;Match'!$A377,'Main Data'!$A$1:$A$1001,0),MATCH('Index&amp;Match'!H376,'Main Data'!$A376:$O376,0))</f>
        <v>SME</v>
      </c>
      <c r="I377" s="2">
        <f>INDEX('Main Data'!$A$1:$O$1001,MATCH('Index&amp;Match'!$A377,'Main Data'!$A$1:$A$1001,0),MATCH('Index&amp;Match'!I376,'Main Data'!$A376:$O376,0))</f>
        <v>40</v>
      </c>
      <c r="J377" s="2">
        <f>INDEX('Main Data'!$A$1:$O$1001,MATCH('Index&amp;Match'!$A377,'Main Data'!$A$1:$A$1001,0),MATCH('Index&amp;Match'!J376,'Main Data'!$A376:$O376,0))</f>
        <v>40</v>
      </c>
      <c r="K377" s="11">
        <f>INDEX('Main Data'!$A$1:$O$1001,MATCH('Index&amp;Match'!$A377,'Main Data'!$A$1:$A$1001,0),MATCH('Index&amp;Match'!K376,'Main Data'!$A376:$O376,0))</f>
        <v>1176.25</v>
      </c>
      <c r="L377" s="11">
        <f>INDEX('Main Data'!$A$1:$O$1001,MATCH('Index&amp;Match'!$A377,'Main Data'!$A$1:$A$1001,0),MATCH('Index&amp;Match'!L376,'Main Data'!$A376:$O376,0))</f>
        <v>462.17</v>
      </c>
      <c r="M377" s="11">
        <f>INDEX('Main Data'!$A$1:$O$1001,MATCH('Index&amp;Match'!$A377,'Main Data'!$A$1:$A$1001,0),MATCH('Index&amp;Match'!M376,'Main Data'!$A376:$O376,0))</f>
        <v>138.81</v>
      </c>
      <c r="N377" s="2" t="str">
        <f>INDEX('Main Data'!$A$1:$O$1001,MATCH('Index&amp;Match'!$A377,'Main Data'!$A$1:$A$1001,0),MATCH('Index&amp;Match'!N376,'Main Data'!$A376:$O376,0))</f>
        <v>Yes</v>
      </c>
      <c r="O377" s="2">
        <f>INDEX('Main Data'!$A$1:$O$1001,MATCH('Index&amp;Match'!$A377,'Main Data'!$A$1:$A$1001,0),MATCH('Index&amp;Match'!O376,'Main Data'!$A376:$O376,0))</f>
        <v>40</v>
      </c>
    </row>
    <row r="378" spans="1:15" x14ac:dyDescent="0.3">
      <c r="A378" s="2" t="s">
        <v>435</v>
      </c>
      <c r="B378" s="1">
        <f>INDEX('Main Data'!$A$1:$O$1001,MATCH('Index&amp;Match'!$A378,'Main Data'!$A$1:$A$1001,0),MATCH('Index&amp;Match'!B377,'Main Data'!$A377:$O377,0))</f>
        <v>46034</v>
      </c>
      <c r="C378" s="2" t="str">
        <f>INDEX('Main Data'!$A$1:$O$1001,MATCH('Index&amp;Match'!$A378,'Main Data'!$A$1:$A$1001,0),MATCH('Index&amp;Match'!C377,'Main Data'!$A377:$O377,0))</f>
        <v>Morgan</v>
      </c>
      <c r="D378" s="2" t="str">
        <f>INDEX('Main Data'!$A$1:$O$1001,MATCH('Index&amp;Match'!$A378,'Main Data'!$A$1:$A$1001,0),MATCH('Index&amp;Match'!D377,'Main Data'!$A377:$O377,0))</f>
        <v>BR-006</v>
      </c>
      <c r="E378" s="2" t="str">
        <f>INDEX('Main Data'!$A$1:$O$1001,MATCH('Index&amp;Match'!$A378,'Main Data'!$A$1:$A$1001,0),MATCH('Index&amp;Match'!E377,'Main Data'!$A377:$O377,0))</f>
        <v>South</v>
      </c>
      <c r="F378" s="2" t="str">
        <f>INDEX('Main Data'!$A$1:$O$1001,MATCH('Index&amp;Match'!$A378,'Main Data'!$A$1:$A$1001,0),MATCH('Index&amp;Match'!F377,'Main Data'!$A377:$O377,0))</f>
        <v>Mortgage</v>
      </c>
      <c r="G378" s="2" t="str">
        <f>INDEX('Main Data'!$A$1:$O$1001,MATCH('Index&amp;Match'!$A378,'Main Data'!$A$1:$A$1001,0),MATCH('Index&amp;Match'!G377,'Main Data'!$A377:$O377,0))</f>
        <v>Email Campaign</v>
      </c>
      <c r="H378" s="2" t="str">
        <f>INDEX('Main Data'!$A$1:$O$1001,MATCH('Index&amp;Match'!$A378,'Main Data'!$A$1:$A$1001,0),MATCH('Index&amp;Match'!H377,'Main Data'!$A377:$O377,0))</f>
        <v>Corporate</v>
      </c>
      <c r="I378" s="2">
        <f>INDEX('Main Data'!$A$1:$O$1001,MATCH('Index&amp;Match'!$A378,'Main Data'!$A$1:$A$1001,0),MATCH('Index&amp;Match'!I377,'Main Data'!$A377:$O377,0))</f>
        <v>59</v>
      </c>
      <c r="J378" s="2">
        <f>INDEX('Main Data'!$A$1:$O$1001,MATCH('Index&amp;Match'!$A378,'Main Data'!$A$1:$A$1001,0),MATCH('Index&amp;Match'!J377,'Main Data'!$A377:$O377,0))</f>
        <v>59</v>
      </c>
      <c r="K378" s="11">
        <f>INDEX('Main Data'!$A$1:$O$1001,MATCH('Index&amp;Match'!$A378,'Main Data'!$A$1:$A$1001,0),MATCH('Index&amp;Match'!K377,'Main Data'!$A377:$O377,0))</f>
        <v>44838.45</v>
      </c>
      <c r="L378" s="11">
        <f>INDEX('Main Data'!$A$1:$O$1001,MATCH('Index&amp;Match'!$A378,'Main Data'!$A$1:$A$1001,0),MATCH('Index&amp;Match'!L377,'Main Data'!$A377:$O377,0))</f>
        <v>326.95</v>
      </c>
      <c r="M378" s="11">
        <f>INDEX('Main Data'!$A$1:$O$1001,MATCH('Index&amp;Match'!$A378,'Main Data'!$A$1:$A$1001,0),MATCH('Index&amp;Match'!M377,'Main Data'!$A377:$O377,0))</f>
        <v>103.83</v>
      </c>
      <c r="N378" s="2" t="str">
        <f>INDEX('Main Data'!$A$1:$O$1001,MATCH('Index&amp;Match'!$A378,'Main Data'!$A$1:$A$1001,0),MATCH('Index&amp;Match'!N377,'Main Data'!$A377:$O377,0))</f>
        <v>Yes</v>
      </c>
      <c r="O378" s="2">
        <f>INDEX('Main Data'!$A$1:$O$1001,MATCH('Index&amp;Match'!$A378,'Main Data'!$A$1:$A$1001,0),MATCH('Index&amp;Match'!O377,'Main Data'!$A377:$O377,0))</f>
        <v>59</v>
      </c>
    </row>
    <row r="379" spans="1:15" x14ac:dyDescent="0.3">
      <c r="A379" s="2" t="s">
        <v>436</v>
      </c>
      <c r="B379" s="1">
        <f>INDEX('Main Data'!$A$1:$O$1001,MATCH('Index&amp;Match'!$A379,'Main Data'!$A$1:$A$1001,0),MATCH('Index&amp;Match'!B378,'Main Data'!$A378:$O378,0))</f>
        <v>46025</v>
      </c>
      <c r="C379" s="2" t="str">
        <f>INDEX('Main Data'!$A$1:$O$1001,MATCH('Index&amp;Match'!$A379,'Main Data'!$A$1:$A$1001,0),MATCH('Index&amp;Match'!C378,'Main Data'!$A378:$O378,0))</f>
        <v>Alex</v>
      </c>
      <c r="D379" s="2" t="str">
        <f>INDEX('Main Data'!$A$1:$O$1001,MATCH('Index&amp;Match'!$A379,'Main Data'!$A$1:$A$1001,0),MATCH('Index&amp;Match'!D378,'Main Data'!$A378:$O378,0))</f>
        <v>BR-005</v>
      </c>
      <c r="E379" s="2" t="str">
        <f>INDEX('Main Data'!$A$1:$O$1001,MATCH('Index&amp;Match'!$A379,'Main Data'!$A$1:$A$1001,0),MATCH('Index&amp;Match'!E378,'Main Data'!$A378:$O378,0))</f>
        <v>West</v>
      </c>
      <c r="F379" s="2" t="str">
        <f>INDEX('Main Data'!$A$1:$O$1001,MATCH('Index&amp;Match'!$A379,'Main Data'!$A$1:$A$1001,0),MATCH('Index&amp;Match'!F378,'Main Data'!$A378:$O378,0))</f>
        <v>Credit Card</v>
      </c>
      <c r="G379" s="2" t="str">
        <f>INDEX('Main Data'!$A$1:$O$1001,MATCH('Index&amp;Match'!$A379,'Main Data'!$A$1:$A$1001,0),MATCH('Index&amp;Match'!G378,'Main Data'!$A378:$O378,0))</f>
        <v>Walk-in</v>
      </c>
      <c r="H379" s="2" t="str">
        <f>INDEX('Main Data'!$A$1:$O$1001,MATCH('Index&amp;Match'!$A379,'Main Data'!$A$1:$A$1001,0),MATCH('Index&amp;Match'!H378,'Main Data'!$A378:$O378,0))</f>
        <v>High Net Worth</v>
      </c>
      <c r="I379" s="2">
        <f>INDEX('Main Data'!$A$1:$O$1001,MATCH('Index&amp;Match'!$A379,'Main Data'!$A$1:$A$1001,0),MATCH('Index&amp;Match'!I378,'Main Data'!$A378:$O378,0))</f>
        <v>22</v>
      </c>
      <c r="J379" s="2">
        <f>INDEX('Main Data'!$A$1:$O$1001,MATCH('Index&amp;Match'!$A379,'Main Data'!$A$1:$A$1001,0),MATCH('Index&amp;Match'!J378,'Main Data'!$A378:$O378,0))</f>
        <v>22</v>
      </c>
      <c r="K379" s="11">
        <f>INDEX('Main Data'!$A$1:$O$1001,MATCH('Index&amp;Match'!$A379,'Main Data'!$A$1:$A$1001,0),MATCH('Index&amp;Match'!K378,'Main Data'!$A378:$O378,0))</f>
        <v>1932.74</v>
      </c>
      <c r="L379" s="11">
        <f>INDEX('Main Data'!$A$1:$O$1001,MATCH('Index&amp;Match'!$A379,'Main Data'!$A$1:$A$1001,0),MATCH('Index&amp;Match'!L378,'Main Data'!$A378:$O378,0))</f>
        <v>136.71</v>
      </c>
      <c r="M379" s="11">
        <f>INDEX('Main Data'!$A$1:$O$1001,MATCH('Index&amp;Match'!$A379,'Main Data'!$A$1:$A$1001,0),MATCH('Index&amp;Match'!M378,'Main Data'!$A378:$O378,0))</f>
        <v>89.42</v>
      </c>
      <c r="N379" s="2" t="str">
        <f>INDEX('Main Data'!$A$1:$O$1001,MATCH('Index&amp;Match'!$A379,'Main Data'!$A$1:$A$1001,0),MATCH('Index&amp;Match'!N378,'Main Data'!$A378:$O378,0))</f>
        <v>No</v>
      </c>
      <c r="O379" s="2">
        <f>INDEX('Main Data'!$A$1:$O$1001,MATCH('Index&amp;Match'!$A379,'Main Data'!$A$1:$A$1001,0),MATCH('Index&amp;Match'!O378,'Main Data'!$A378:$O378,0))</f>
        <v>22</v>
      </c>
    </row>
    <row r="380" spans="1:15" x14ac:dyDescent="0.3">
      <c r="A380" s="2" t="s">
        <v>437</v>
      </c>
      <c r="B380" s="1">
        <f>INDEX('Main Data'!$A$1:$O$1001,MATCH('Index&amp;Match'!$A380,'Main Data'!$A$1:$A$1001,0),MATCH('Index&amp;Match'!B379,'Main Data'!$A379:$O379,0))</f>
        <v>46086</v>
      </c>
      <c r="C380" s="2" t="str">
        <f>INDEX('Main Data'!$A$1:$O$1001,MATCH('Index&amp;Match'!$A380,'Main Data'!$A$1:$A$1001,0),MATCH('Index&amp;Match'!C379,'Main Data'!$A379:$O379,0))</f>
        <v>Jordan</v>
      </c>
      <c r="D380" s="2" t="str">
        <f>INDEX('Main Data'!$A$1:$O$1001,MATCH('Index&amp;Match'!$A380,'Main Data'!$A$1:$A$1001,0),MATCH('Index&amp;Match'!D379,'Main Data'!$A379:$O379,0))</f>
        <v>BR-014</v>
      </c>
      <c r="E380" s="2" t="str">
        <f>INDEX('Main Data'!$A$1:$O$1001,MATCH('Index&amp;Match'!$A380,'Main Data'!$A$1:$A$1001,0),MATCH('Index&amp;Match'!E379,'Main Data'!$A379:$O379,0))</f>
        <v>West</v>
      </c>
      <c r="F380" s="2" t="str">
        <f>INDEX('Main Data'!$A$1:$O$1001,MATCH('Index&amp;Match'!$A380,'Main Data'!$A$1:$A$1001,0),MATCH('Index&amp;Match'!F379,'Main Data'!$A379:$O379,0))</f>
        <v>Auto Loan</v>
      </c>
      <c r="G380" s="2" t="str">
        <f>INDEX('Main Data'!$A$1:$O$1001,MATCH('Index&amp;Match'!$A380,'Main Data'!$A$1:$A$1001,0),MATCH('Index&amp;Match'!G379,'Main Data'!$A379:$O379,0))</f>
        <v>Referral</v>
      </c>
      <c r="H380" s="2" t="str">
        <f>INDEX('Main Data'!$A$1:$O$1001,MATCH('Index&amp;Match'!$A380,'Main Data'!$A$1:$A$1001,0),MATCH('Index&amp;Match'!H379,'Main Data'!$A379:$O379,0))</f>
        <v>High Net Worth</v>
      </c>
      <c r="I380" s="2">
        <f>INDEX('Main Data'!$A$1:$O$1001,MATCH('Index&amp;Match'!$A380,'Main Data'!$A$1:$A$1001,0),MATCH('Index&amp;Match'!I379,'Main Data'!$A379:$O379,0))</f>
        <v>21</v>
      </c>
      <c r="J380" s="2">
        <f>INDEX('Main Data'!$A$1:$O$1001,MATCH('Index&amp;Match'!$A380,'Main Data'!$A$1:$A$1001,0),MATCH('Index&amp;Match'!J379,'Main Data'!$A379:$O379,0))</f>
        <v>21</v>
      </c>
      <c r="K380" s="11">
        <f>INDEX('Main Data'!$A$1:$O$1001,MATCH('Index&amp;Match'!$A380,'Main Data'!$A$1:$A$1001,0),MATCH('Index&amp;Match'!K379,'Main Data'!$A379:$O379,0))</f>
        <v>12362.47</v>
      </c>
      <c r="L380" s="11">
        <f>INDEX('Main Data'!$A$1:$O$1001,MATCH('Index&amp;Match'!$A380,'Main Data'!$A$1:$A$1001,0),MATCH('Index&amp;Match'!L379,'Main Data'!$A379:$O379,0))</f>
        <v>322.87</v>
      </c>
      <c r="M380" s="11">
        <f>INDEX('Main Data'!$A$1:$O$1001,MATCH('Index&amp;Match'!$A380,'Main Data'!$A$1:$A$1001,0),MATCH('Index&amp;Match'!M379,'Main Data'!$A379:$O379,0))</f>
        <v>126.77</v>
      </c>
      <c r="N380" s="2" t="str">
        <f>INDEX('Main Data'!$A$1:$O$1001,MATCH('Index&amp;Match'!$A380,'Main Data'!$A$1:$A$1001,0),MATCH('Index&amp;Match'!N379,'Main Data'!$A379:$O379,0))</f>
        <v>Yes</v>
      </c>
      <c r="O380" s="2">
        <f>INDEX('Main Data'!$A$1:$O$1001,MATCH('Index&amp;Match'!$A380,'Main Data'!$A$1:$A$1001,0),MATCH('Index&amp;Match'!O379,'Main Data'!$A379:$O379,0))</f>
        <v>21</v>
      </c>
    </row>
    <row r="381" spans="1:15" x14ac:dyDescent="0.3">
      <c r="A381" s="2" t="s">
        <v>438</v>
      </c>
      <c r="B381" s="1">
        <f>INDEX('Main Data'!$A$1:$O$1001,MATCH('Index&amp;Match'!$A381,'Main Data'!$A$1:$A$1001,0),MATCH('Index&amp;Match'!B380,'Main Data'!$A380:$O380,0))</f>
        <v>46206</v>
      </c>
      <c r="C381" s="2" t="str">
        <f>INDEX('Main Data'!$A$1:$O$1001,MATCH('Index&amp;Match'!$A381,'Main Data'!$A$1:$A$1001,0),MATCH('Index&amp;Match'!C380,'Main Data'!$A380:$O380,0))</f>
        <v>Alex</v>
      </c>
      <c r="D381" s="2" t="str">
        <f>INDEX('Main Data'!$A$1:$O$1001,MATCH('Index&amp;Match'!$A381,'Main Data'!$A$1:$A$1001,0),MATCH('Index&amp;Match'!D380,'Main Data'!$A380:$O380,0))</f>
        <v>BR-011</v>
      </c>
      <c r="E381" s="2" t="str">
        <f>INDEX('Main Data'!$A$1:$O$1001,MATCH('Index&amp;Match'!$A381,'Main Data'!$A$1:$A$1001,0),MATCH('Index&amp;Match'!E380,'Main Data'!$A380:$O380,0))</f>
        <v>Central</v>
      </c>
      <c r="F381" s="2" t="str">
        <f>INDEX('Main Data'!$A$1:$O$1001,MATCH('Index&amp;Match'!$A381,'Main Data'!$A$1:$A$1001,0),MATCH('Index&amp;Match'!F380,'Main Data'!$A380:$O380,0))</f>
        <v>Credit Card</v>
      </c>
      <c r="G381" s="2" t="str">
        <f>INDEX('Main Data'!$A$1:$O$1001,MATCH('Index&amp;Match'!$A381,'Main Data'!$A$1:$A$1001,0),MATCH('Index&amp;Match'!G380,'Main Data'!$A380:$O380,0))</f>
        <v>Email Campaign</v>
      </c>
      <c r="H381" s="2" t="str">
        <f>INDEX('Main Data'!$A$1:$O$1001,MATCH('Index&amp;Match'!$A381,'Main Data'!$A$1:$A$1001,0),MATCH('Index&amp;Match'!H380,'Main Data'!$A380:$O380,0))</f>
        <v>Retail</v>
      </c>
      <c r="I381" s="2">
        <f>INDEX('Main Data'!$A$1:$O$1001,MATCH('Index&amp;Match'!$A381,'Main Data'!$A$1:$A$1001,0),MATCH('Index&amp;Match'!I380,'Main Data'!$A380:$O380,0))</f>
        <v>71</v>
      </c>
      <c r="J381" s="2">
        <f>INDEX('Main Data'!$A$1:$O$1001,MATCH('Index&amp;Match'!$A381,'Main Data'!$A$1:$A$1001,0),MATCH('Index&amp;Match'!J380,'Main Data'!$A380:$O380,0))</f>
        <v>71</v>
      </c>
      <c r="K381" s="11">
        <f>INDEX('Main Data'!$A$1:$O$1001,MATCH('Index&amp;Match'!$A381,'Main Data'!$A$1:$A$1001,0),MATCH('Index&amp;Match'!K380,'Main Data'!$A380:$O380,0))</f>
        <v>2103.2600000000002</v>
      </c>
      <c r="L381" s="11">
        <f>INDEX('Main Data'!$A$1:$O$1001,MATCH('Index&amp;Match'!$A381,'Main Data'!$A$1:$A$1001,0),MATCH('Index&amp;Match'!L380,'Main Data'!$A380:$O380,0))</f>
        <v>354.86</v>
      </c>
      <c r="M381" s="11">
        <f>INDEX('Main Data'!$A$1:$O$1001,MATCH('Index&amp;Match'!$A381,'Main Data'!$A$1:$A$1001,0),MATCH('Index&amp;Match'!M380,'Main Data'!$A380:$O380,0))</f>
        <v>59.67</v>
      </c>
      <c r="N381" s="2" t="str">
        <f>INDEX('Main Data'!$A$1:$O$1001,MATCH('Index&amp;Match'!$A381,'Main Data'!$A$1:$A$1001,0),MATCH('Index&amp;Match'!N380,'Main Data'!$A380:$O380,0))</f>
        <v>Yes</v>
      </c>
      <c r="O381" s="2">
        <f>INDEX('Main Data'!$A$1:$O$1001,MATCH('Index&amp;Match'!$A381,'Main Data'!$A$1:$A$1001,0),MATCH('Index&amp;Match'!O380,'Main Data'!$A380:$O380,0))</f>
        <v>71</v>
      </c>
    </row>
    <row r="382" spans="1:15" x14ac:dyDescent="0.3">
      <c r="A382" s="2" t="s">
        <v>439</v>
      </c>
      <c r="B382" s="1">
        <f>INDEX('Main Data'!$A$1:$O$1001,MATCH('Index&amp;Match'!$A382,'Main Data'!$A$1:$A$1001,0),MATCH('Index&amp;Match'!B381,'Main Data'!$A381:$O381,0))</f>
        <v>46082</v>
      </c>
      <c r="C382" s="2" t="str">
        <f>INDEX('Main Data'!$A$1:$O$1001,MATCH('Index&amp;Match'!$A382,'Main Data'!$A$1:$A$1001,0),MATCH('Index&amp;Match'!C381,'Main Data'!$A381:$O381,0))</f>
        <v>Drew</v>
      </c>
      <c r="D382" s="2" t="str">
        <f>INDEX('Main Data'!$A$1:$O$1001,MATCH('Index&amp;Match'!$A382,'Main Data'!$A$1:$A$1001,0),MATCH('Index&amp;Match'!D381,'Main Data'!$A381:$O381,0))</f>
        <v>BR-015</v>
      </c>
      <c r="E382" s="2" t="str">
        <f>INDEX('Main Data'!$A$1:$O$1001,MATCH('Index&amp;Match'!$A382,'Main Data'!$A$1:$A$1001,0),MATCH('Index&amp;Match'!E381,'Main Data'!$A381:$O381,0))</f>
        <v>North</v>
      </c>
      <c r="F382" s="2" t="str">
        <f>INDEX('Main Data'!$A$1:$O$1001,MATCH('Index&amp;Match'!$A382,'Main Data'!$A$1:$A$1001,0),MATCH('Index&amp;Match'!F381,'Main Data'!$A381:$O381,0))</f>
        <v>Wealth Management</v>
      </c>
      <c r="G382" s="2" t="str">
        <f>INDEX('Main Data'!$A$1:$O$1001,MATCH('Index&amp;Match'!$A382,'Main Data'!$A$1:$A$1001,0),MATCH('Index&amp;Match'!G381,'Main Data'!$A381:$O381,0))</f>
        <v>Website</v>
      </c>
      <c r="H382" s="2" t="str">
        <f>INDEX('Main Data'!$A$1:$O$1001,MATCH('Index&amp;Match'!$A382,'Main Data'!$A$1:$A$1001,0),MATCH('Index&amp;Match'!H381,'Main Data'!$A381:$O381,0))</f>
        <v>Corporate</v>
      </c>
      <c r="I382" s="2">
        <f>INDEX('Main Data'!$A$1:$O$1001,MATCH('Index&amp;Match'!$A382,'Main Data'!$A$1:$A$1001,0),MATCH('Index&amp;Match'!I381,'Main Data'!$A381:$O381,0))</f>
        <v>56</v>
      </c>
      <c r="J382" s="2">
        <f>INDEX('Main Data'!$A$1:$O$1001,MATCH('Index&amp;Match'!$A382,'Main Data'!$A$1:$A$1001,0),MATCH('Index&amp;Match'!J381,'Main Data'!$A381:$O381,0))</f>
        <v>56</v>
      </c>
      <c r="K382" s="11">
        <f>INDEX('Main Data'!$A$1:$O$1001,MATCH('Index&amp;Match'!$A382,'Main Data'!$A$1:$A$1001,0),MATCH('Index&amp;Match'!K381,'Main Data'!$A381:$O381,0))</f>
        <v>17124.25</v>
      </c>
      <c r="L382" s="11">
        <f>INDEX('Main Data'!$A$1:$O$1001,MATCH('Index&amp;Match'!$A382,'Main Data'!$A$1:$A$1001,0),MATCH('Index&amp;Match'!L381,'Main Data'!$A381:$O381,0))</f>
        <v>286.60000000000002</v>
      </c>
      <c r="M382" s="11">
        <f>INDEX('Main Data'!$A$1:$O$1001,MATCH('Index&amp;Match'!$A382,'Main Data'!$A$1:$A$1001,0),MATCH('Index&amp;Match'!M381,'Main Data'!$A381:$O381,0))</f>
        <v>52.61</v>
      </c>
      <c r="N382" s="2" t="str">
        <f>INDEX('Main Data'!$A$1:$O$1001,MATCH('Index&amp;Match'!$A382,'Main Data'!$A$1:$A$1001,0),MATCH('Index&amp;Match'!N381,'Main Data'!$A381:$O381,0))</f>
        <v>Yes</v>
      </c>
      <c r="O382" s="2">
        <f>INDEX('Main Data'!$A$1:$O$1001,MATCH('Index&amp;Match'!$A382,'Main Data'!$A$1:$A$1001,0),MATCH('Index&amp;Match'!O381,'Main Data'!$A381:$O381,0))</f>
        <v>56</v>
      </c>
    </row>
    <row r="383" spans="1:15" x14ac:dyDescent="0.3">
      <c r="A383" s="2" t="s">
        <v>440</v>
      </c>
      <c r="B383" s="1">
        <f>INDEX('Main Data'!$A$1:$O$1001,MATCH('Index&amp;Match'!$A383,'Main Data'!$A$1:$A$1001,0),MATCH('Index&amp;Match'!B382,'Main Data'!$A382:$O382,0))</f>
        <v>46077</v>
      </c>
      <c r="C383" s="2" t="str">
        <f>INDEX('Main Data'!$A$1:$O$1001,MATCH('Index&amp;Match'!$A383,'Main Data'!$A$1:$A$1001,0),MATCH('Index&amp;Match'!C382,'Main Data'!$A382:$O382,0))</f>
        <v>Sam</v>
      </c>
      <c r="D383" s="2" t="str">
        <f>INDEX('Main Data'!$A$1:$O$1001,MATCH('Index&amp;Match'!$A383,'Main Data'!$A$1:$A$1001,0),MATCH('Index&amp;Match'!D382,'Main Data'!$A382:$O382,0))</f>
        <v>BR-004</v>
      </c>
      <c r="E383" s="2" t="str">
        <f>INDEX('Main Data'!$A$1:$O$1001,MATCH('Index&amp;Match'!$A383,'Main Data'!$A$1:$A$1001,0),MATCH('Index&amp;Match'!E382,'Main Data'!$A382:$O382,0))</f>
        <v>Central</v>
      </c>
      <c r="F383" s="2" t="str">
        <f>INDEX('Main Data'!$A$1:$O$1001,MATCH('Index&amp;Match'!$A383,'Main Data'!$A$1:$A$1001,0),MATCH('Index&amp;Match'!F382,'Main Data'!$A382:$O382,0))</f>
        <v>Auto Loan</v>
      </c>
      <c r="G383" s="2" t="str">
        <f>INDEX('Main Data'!$A$1:$O$1001,MATCH('Index&amp;Match'!$A383,'Main Data'!$A$1:$A$1001,0),MATCH('Index&amp;Match'!G382,'Main Data'!$A382:$O382,0))</f>
        <v>Referral</v>
      </c>
      <c r="H383" s="2" t="str">
        <f>INDEX('Main Data'!$A$1:$O$1001,MATCH('Index&amp;Match'!$A383,'Main Data'!$A$1:$A$1001,0),MATCH('Index&amp;Match'!H382,'Main Data'!$A382:$O382,0))</f>
        <v>SME</v>
      </c>
      <c r="I383" s="2">
        <f>INDEX('Main Data'!$A$1:$O$1001,MATCH('Index&amp;Match'!$A383,'Main Data'!$A$1:$A$1001,0),MATCH('Index&amp;Match'!I382,'Main Data'!$A382:$O382,0))</f>
        <v>44</v>
      </c>
      <c r="J383" s="2">
        <f>INDEX('Main Data'!$A$1:$O$1001,MATCH('Index&amp;Match'!$A383,'Main Data'!$A$1:$A$1001,0),MATCH('Index&amp;Match'!J382,'Main Data'!$A382:$O382,0))</f>
        <v>44</v>
      </c>
      <c r="K383" s="11">
        <f>INDEX('Main Data'!$A$1:$O$1001,MATCH('Index&amp;Match'!$A383,'Main Data'!$A$1:$A$1001,0),MATCH('Index&amp;Match'!K382,'Main Data'!$A382:$O382,0))</f>
        <v>25936.39</v>
      </c>
      <c r="L383" s="11">
        <f>INDEX('Main Data'!$A$1:$O$1001,MATCH('Index&amp;Match'!$A383,'Main Data'!$A$1:$A$1001,0),MATCH('Index&amp;Match'!L382,'Main Data'!$A382:$O382,0))</f>
        <v>373.15</v>
      </c>
      <c r="M383" s="11">
        <f>INDEX('Main Data'!$A$1:$O$1001,MATCH('Index&amp;Match'!$A383,'Main Data'!$A$1:$A$1001,0),MATCH('Index&amp;Match'!M382,'Main Data'!$A382:$O382,0))</f>
        <v>32.72</v>
      </c>
      <c r="N383" s="2" t="str">
        <f>INDEX('Main Data'!$A$1:$O$1001,MATCH('Index&amp;Match'!$A383,'Main Data'!$A$1:$A$1001,0),MATCH('Index&amp;Match'!N382,'Main Data'!$A382:$O382,0))</f>
        <v>Yes</v>
      </c>
      <c r="O383" s="2">
        <f>INDEX('Main Data'!$A$1:$O$1001,MATCH('Index&amp;Match'!$A383,'Main Data'!$A$1:$A$1001,0),MATCH('Index&amp;Match'!O382,'Main Data'!$A382:$O382,0))</f>
        <v>44</v>
      </c>
    </row>
    <row r="384" spans="1:15" x14ac:dyDescent="0.3">
      <c r="A384" s="2" t="s">
        <v>441</v>
      </c>
      <c r="B384" s="1">
        <f>INDEX('Main Data'!$A$1:$O$1001,MATCH('Index&amp;Match'!$A384,'Main Data'!$A$1:$A$1001,0),MATCH('Index&amp;Match'!B383,'Main Data'!$A383:$O383,0))</f>
        <v>45929</v>
      </c>
      <c r="C384" s="2" t="str">
        <f>INDEX('Main Data'!$A$1:$O$1001,MATCH('Index&amp;Match'!$A384,'Main Data'!$A$1:$A$1001,0),MATCH('Index&amp;Match'!C383,'Main Data'!$A383:$O383,0))</f>
        <v>Morgan</v>
      </c>
      <c r="D384" s="2" t="str">
        <f>INDEX('Main Data'!$A$1:$O$1001,MATCH('Index&amp;Match'!$A384,'Main Data'!$A$1:$A$1001,0),MATCH('Index&amp;Match'!D383,'Main Data'!$A383:$O383,0))</f>
        <v>BR-013</v>
      </c>
      <c r="E384" s="2" t="str">
        <f>INDEX('Main Data'!$A$1:$O$1001,MATCH('Index&amp;Match'!$A384,'Main Data'!$A$1:$A$1001,0),MATCH('Index&amp;Match'!E383,'Main Data'!$A383:$O383,0))</f>
        <v>East</v>
      </c>
      <c r="F384" s="2" t="str">
        <f>INDEX('Main Data'!$A$1:$O$1001,MATCH('Index&amp;Match'!$A384,'Main Data'!$A$1:$A$1001,0),MATCH('Index&amp;Match'!F383,'Main Data'!$A383:$O383,0))</f>
        <v>Mortgage</v>
      </c>
      <c r="G384" s="2" t="str">
        <f>INDEX('Main Data'!$A$1:$O$1001,MATCH('Index&amp;Match'!$A384,'Main Data'!$A$1:$A$1001,0),MATCH('Index&amp;Match'!G383,'Main Data'!$A383:$O383,0))</f>
        <v>Social Media</v>
      </c>
      <c r="H384" s="2" t="str">
        <f>INDEX('Main Data'!$A$1:$O$1001,MATCH('Index&amp;Match'!$A384,'Main Data'!$A$1:$A$1001,0),MATCH('Index&amp;Match'!H383,'Main Data'!$A383:$O383,0))</f>
        <v>Corporate</v>
      </c>
      <c r="I384" s="2">
        <f>INDEX('Main Data'!$A$1:$O$1001,MATCH('Index&amp;Match'!$A384,'Main Data'!$A$1:$A$1001,0),MATCH('Index&amp;Match'!I383,'Main Data'!$A383:$O383,0))</f>
        <v>74</v>
      </c>
      <c r="J384" s="2">
        <f>INDEX('Main Data'!$A$1:$O$1001,MATCH('Index&amp;Match'!$A384,'Main Data'!$A$1:$A$1001,0),MATCH('Index&amp;Match'!J383,'Main Data'!$A383:$O383,0))</f>
        <v>74</v>
      </c>
      <c r="K384" s="11">
        <f>INDEX('Main Data'!$A$1:$O$1001,MATCH('Index&amp;Match'!$A384,'Main Data'!$A$1:$A$1001,0),MATCH('Index&amp;Match'!K383,'Main Data'!$A383:$O383,0))</f>
        <v>39933.919999999998</v>
      </c>
      <c r="L384" s="11">
        <f>INDEX('Main Data'!$A$1:$O$1001,MATCH('Index&amp;Match'!$A384,'Main Data'!$A$1:$A$1001,0),MATCH('Index&amp;Match'!L383,'Main Data'!$A383:$O383,0))</f>
        <v>311.64999999999998</v>
      </c>
      <c r="M384" s="11">
        <f>INDEX('Main Data'!$A$1:$O$1001,MATCH('Index&amp;Match'!$A384,'Main Data'!$A$1:$A$1001,0),MATCH('Index&amp;Match'!M383,'Main Data'!$A383:$O383,0))</f>
        <v>72.55</v>
      </c>
      <c r="N384" s="2" t="str">
        <f>INDEX('Main Data'!$A$1:$O$1001,MATCH('Index&amp;Match'!$A384,'Main Data'!$A$1:$A$1001,0),MATCH('Index&amp;Match'!N383,'Main Data'!$A383:$O383,0))</f>
        <v>Yes</v>
      </c>
      <c r="O384" s="2">
        <f>INDEX('Main Data'!$A$1:$O$1001,MATCH('Index&amp;Match'!$A384,'Main Data'!$A$1:$A$1001,0),MATCH('Index&amp;Match'!O383,'Main Data'!$A383:$O383,0))</f>
        <v>74</v>
      </c>
    </row>
    <row r="385" spans="1:15" x14ac:dyDescent="0.3">
      <c r="A385" s="2" t="s">
        <v>442</v>
      </c>
      <c r="B385" s="1">
        <f>INDEX('Main Data'!$A$1:$O$1001,MATCH('Index&amp;Match'!$A385,'Main Data'!$A$1:$A$1001,0),MATCH('Index&amp;Match'!B384,'Main Data'!$A384:$O384,0))</f>
        <v>46064</v>
      </c>
      <c r="C385" s="2" t="str">
        <f>INDEX('Main Data'!$A$1:$O$1001,MATCH('Index&amp;Match'!$A385,'Main Data'!$A$1:$A$1001,0),MATCH('Index&amp;Match'!C384,'Main Data'!$A384:$O384,0))</f>
        <v>Casey</v>
      </c>
      <c r="D385" s="2" t="str">
        <f>INDEX('Main Data'!$A$1:$O$1001,MATCH('Index&amp;Match'!$A385,'Main Data'!$A$1:$A$1001,0),MATCH('Index&amp;Match'!D384,'Main Data'!$A384:$O384,0))</f>
        <v>BR-011</v>
      </c>
      <c r="E385" s="2" t="str">
        <f>INDEX('Main Data'!$A$1:$O$1001,MATCH('Index&amp;Match'!$A385,'Main Data'!$A$1:$A$1001,0),MATCH('Index&amp;Match'!E384,'Main Data'!$A384:$O384,0))</f>
        <v>South</v>
      </c>
      <c r="F385" s="2" t="str">
        <f>INDEX('Main Data'!$A$1:$O$1001,MATCH('Index&amp;Match'!$A385,'Main Data'!$A$1:$A$1001,0),MATCH('Index&amp;Match'!F384,'Main Data'!$A384:$O384,0))</f>
        <v>Wealth Management</v>
      </c>
      <c r="G385" s="2" t="str">
        <f>INDEX('Main Data'!$A$1:$O$1001,MATCH('Index&amp;Match'!$A385,'Main Data'!$A$1:$A$1001,0),MATCH('Index&amp;Match'!G384,'Main Data'!$A384:$O384,0))</f>
        <v>Walk-in</v>
      </c>
      <c r="H385" s="2" t="str">
        <f>INDEX('Main Data'!$A$1:$O$1001,MATCH('Index&amp;Match'!$A385,'Main Data'!$A$1:$A$1001,0),MATCH('Index&amp;Match'!H384,'Main Data'!$A384:$O384,0))</f>
        <v>Corporate</v>
      </c>
      <c r="I385" s="2">
        <f>INDEX('Main Data'!$A$1:$O$1001,MATCH('Index&amp;Match'!$A385,'Main Data'!$A$1:$A$1001,0),MATCH('Index&amp;Match'!I384,'Main Data'!$A384:$O384,0))</f>
        <v>47</v>
      </c>
      <c r="J385" s="2">
        <f>INDEX('Main Data'!$A$1:$O$1001,MATCH('Index&amp;Match'!$A385,'Main Data'!$A$1:$A$1001,0),MATCH('Index&amp;Match'!J384,'Main Data'!$A384:$O384,0))</f>
        <v>47</v>
      </c>
      <c r="K385" s="11">
        <f>INDEX('Main Data'!$A$1:$O$1001,MATCH('Index&amp;Match'!$A385,'Main Data'!$A$1:$A$1001,0),MATCH('Index&amp;Match'!K384,'Main Data'!$A384:$O384,0))</f>
        <v>17230.09</v>
      </c>
      <c r="L385" s="11">
        <f>INDEX('Main Data'!$A$1:$O$1001,MATCH('Index&amp;Match'!$A385,'Main Data'!$A$1:$A$1001,0),MATCH('Index&amp;Match'!L384,'Main Data'!$A384:$O384,0))</f>
        <v>476.5</v>
      </c>
      <c r="M385" s="11">
        <f>INDEX('Main Data'!$A$1:$O$1001,MATCH('Index&amp;Match'!$A385,'Main Data'!$A$1:$A$1001,0),MATCH('Index&amp;Match'!M384,'Main Data'!$A384:$O384,0))</f>
        <v>50.2</v>
      </c>
      <c r="N385" s="2" t="str">
        <f>INDEX('Main Data'!$A$1:$O$1001,MATCH('Index&amp;Match'!$A385,'Main Data'!$A$1:$A$1001,0),MATCH('Index&amp;Match'!N384,'Main Data'!$A384:$O384,0))</f>
        <v>Yes</v>
      </c>
      <c r="O385" s="2">
        <f>INDEX('Main Data'!$A$1:$O$1001,MATCH('Index&amp;Match'!$A385,'Main Data'!$A$1:$A$1001,0),MATCH('Index&amp;Match'!O384,'Main Data'!$A384:$O384,0))</f>
        <v>47</v>
      </c>
    </row>
    <row r="386" spans="1:15" x14ac:dyDescent="0.3">
      <c r="A386" s="2" t="s">
        <v>443</v>
      </c>
      <c r="B386" s="1">
        <f>INDEX('Main Data'!$A$1:$O$1001,MATCH('Index&amp;Match'!$A386,'Main Data'!$A$1:$A$1001,0),MATCH('Index&amp;Match'!B385,'Main Data'!$A385:$O385,0))</f>
        <v>46200</v>
      </c>
      <c r="C386" s="2" t="str">
        <f>INDEX('Main Data'!$A$1:$O$1001,MATCH('Index&amp;Match'!$A386,'Main Data'!$A$1:$A$1001,0),MATCH('Index&amp;Match'!C385,'Main Data'!$A385:$O385,0))</f>
        <v>Casey</v>
      </c>
      <c r="D386" s="2" t="str">
        <f>INDEX('Main Data'!$A$1:$O$1001,MATCH('Index&amp;Match'!$A386,'Main Data'!$A$1:$A$1001,0),MATCH('Index&amp;Match'!D385,'Main Data'!$A385:$O385,0))</f>
        <v>BR-003</v>
      </c>
      <c r="E386" s="2" t="str">
        <f>INDEX('Main Data'!$A$1:$O$1001,MATCH('Index&amp;Match'!$A386,'Main Data'!$A$1:$A$1001,0),MATCH('Index&amp;Match'!E385,'Main Data'!$A385:$O385,0))</f>
        <v>East</v>
      </c>
      <c r="F386" s="2" t="str">
        <f>INDEX('Main Data'!$A$1:$O$1001,MATCH('Index&amp;Match'!$A386,'Main Data'!$A$1:$A$1001,0),MATCH('Index&amp;Match'!F385,'Main Data'!$A385:$O385,0))</f>
        <v>Auto Loan</v>
      </c>
      <c r="G386" s="2" t="str">
        <f>INDEX('Main Data'!$A$1:$O$1001,MATCH('Index&amp;Match'!$A386,'Main Data'!$A$1:$A$1001,0),MATCH('Index&amp;Match'!G385,'Main Data'!$A385:$O385,0))</f>
        <v>Referral</v>
      </c>
      <c r="H386" s="2" t="str">
        <f>INDEX('Main Data'!$A$1:$O$1001,MATCH('Index&amp;Match'!$A386,'Main Data'!$A$1:$A$1001,0),MATCH('Index&amp;Match'!H385,'Main Data'!$A385:$O385,0))</f>
        <v>Corporate</v>
      </c>
      <c r="I386" s="2">
        <f>INDEX('Main Data'!$A$1:$O$1001,MATCH('Index&amp;Match'!$A386,'Main Data'!$A$1:$A$1001,0),MATCH('Index&amp;Match'!I385,'Main Data'!$A385:$O385,0))</f>
        <v>22</v>
      </c>
      <c r="J386" s="2">
        <f>INDEX('Main Data'!$A$1:$O$1001,MATCH('Index&amp;Match'!$A386,'Main Data'!$A$1:$A$1001,0),MATCH('Index&amp;Match'!J385,'Main Data'!$A385:$O385,0))</f>
        <v>22</v>
      </c>
      <c r="K386" s="11">
        <f>INDEX('Main Data'!$A$1:$O$1001,MATCH('Index&amp;Match'!$A386,'Main Data'!$A$1:$A$1001,0),MATCH('Index&amp;Match'!K385,'Main Data'!$A385:$O385,0))</f>
        <v>35421.760000000002</v>
      </c>
      <c r="L386" s="11">
        <f>INDEX('Main Data'!$A$1:$O$1001,MATCH('Index&amp;Match'!$A386,'Main Data'!$A$1:$A$1001,0),MATCH('Index&amp;Match'!L385,'Main Data'!$A385:$O385,0))</f>
        <v>74.16</v>
      </c>
      <c r="M386" s="11">
        <f>INDEX('Main Data'!$A$1:$O$1001,MATCH('Index&amp;Match'!$A386,'Main Data'!$A$1:$A$1001,0),MATCH('Index&amp;Match'!M385,'Main Data'!$A385:$O385,0))</f>
        <v>136.69</v>
      </c>
      <c r="N386" s="2" t="str">
        <f>INDEX('Main Data'!$A$1:$O$1001,MATCH('Index&amp;Match'!$A386,'Main Data'!$A$1:$A$1001,0),MATCH('Index&amp;Match'!N385,'Main Data'!$A385:$O385,0))</f>
        <v>Yes</v>
      </c>
      <c r="O386" s="2">
        <f>INDEX('Main Data'!$A$1:$O$1001,MATCH('Index&amp;Match'!$A386,'Main Data'!$A$1:$A$1001,0),MATCH('Index&amp;Match'!O385,'Main Data'!$A385:$O385,0))</f>
        <v>22</v>
      </c>
    </row>
    <row r="387" spans="1:15" x14ac:dyDescent="0.3">
      <c r="A387" s="2" t="s">
        <v>444</v>
      </c>
      <c r="B387" s="1">
        <f>INDEX('Main Data'!$A$1:$O$1001,MATCH('Index&amp;Match'!$A387,'Main Data'!$A$1:$A$1001,0),MATCH('Index&amp;Match'!B386,'Main Data'!$A386:$O386,0))</f>
        <v>46023</v>
      </c>
      <c r="C387" s="2" t="str">
        <f>INDEX('Main Data'!$A$1:$O$1001,MATCH('Index&amp;Match'!$A387,'Main Data'!$A$1:$A$1001,0),MATCH('Index&amp;Match'!C386,'Main Data'!$A386:$O386,0))</f>
        <v>Drew</v>
      </c>
      <c r="D387" s="2" t="str">
        <f>INDEX('Main Data'!$A$1:$O$1001,MATCH('Index&amp;Match'!$A387,'Main Data'!$A$1:$A$1001,0),MATCH('Index&amp;Match'!D386,'Main Data'!$A386:$O386,0))</f>
        <v>BR-001</v>
      </c>
      <c r="E387" s="2" t="str">
        <f>INDEX('Main Data'!$A$1:$O$1001,MATCH('Index&amp;Match'!$A387,'Main Data'!$A$1:$A$1001,0),MATCH('Index&amp;Match'!E386,'Main Data'!$A386:$O386,0))</f>
        <v>West</v>
      </c>
      <c r="F387" s="2" t="str">
        <f>INDEX('Main Data'!$A$1:$O$1001,MATCH('Index&amp;Match'!$A387,'Main Data'!$A$1:$A$1001,0),MATCH('Index&amp;Match'!F386,'Main Data'!$A386:$O386,0))</f>
        <v>Mortgage</v>
      </c>
      <c r="G387" s="2" t="str">
        <f>INDEX('Main Data'!$A$1:$O$1001,MATCH('Index&amp;Match'!$A387,'Main Data'!$A$1:$A$1001,0),MATCH('Index&amp;Match'!G386,'Main Data'!$A386:$O386,0))</f>
        <v>Referral</v>
      </c>
      <c r="H387" s="2" t="str">
        <f>INDEX('Main Data'!$A$1:$O$1001,MATCH('Index&amp;Match'!$A387,'Main Data'!$A$1:$A$1001,0),MATCH('Index&amp;Match'!H386,'Main Data'!$A386:$O386,0))</f>
        <v>Corporate</v>
      </c>
      <c r="I387" s="2">
        <f>INDEX('Main Data'!$A$1:$O$1001,MATCH('Index&amp;Match'!$A387,'Main Data'!$A$1:$A$1001,0),MATCH('Index&amp;Match'!I386,'Main Data'!$A386:$O386,0))</f>
        <v>51</v>
      </c>
      <c r="J387" s="2">
        <f>INDEX('Main Data'!$A$1:$O$1001,MATCH('Index&amp;Match'!$A387,'Main Data'!$A$1:$A$1001,0),MATCH('Index&amp;Match'!J386,'Main Data'!$A386:$O386,0))</f>
        <v>51</v>
      </c>
      <c r="K387" s="11">
        <f>INDEX('Main Data'!$A$1:$O$1001,MATCH('Index&amp;Match'!$A387,'Main Data'!$A$1:$A$1001,0),MATCH('Index&amp;Match'!K386,'Main Data'!$A386:$O386,0))</f>
        <v>9781.4699999999993</v>
      </c>
      <c r="L387" s="11">
        <f>INDEX('Main Data'!$A$1:$O$1001,MATCH('Index&amp;Match'!$A387,'Main Data'!$A$1:$A$1001,0),MATCH('Index&amp;Match'!L386,'Main Data'!$A386:$O386,0))</f>
        <v>97.81</v>
      </c>
      <c r="M387" s="11">
        <f>INDEX('Main Data'!$A$1:$O$1001,MATCH('Index&amp;Match'!$A387,'Main Data'!$A$1:$A$1001,0),MATCH('Index&amp;Match'!M386,'Main Data'!$A386:$O386,0))</f>
        <v>136.78</v>
      </c>
      <c r="N387" s="2" t="str">
        <f>INDEX('Main Data'!$A$1:$O$1001,MATCH('Index&amp;Match'!$A387,'Main Data'!$A$1:$A$1001,0),MATCH('Index&amp;Match'!N386,'Main Data'!$A386:$O386,0))</f>
        <v>Yes</v>
      </c>
      <c r="O387" s="2">
        <f>INDEX('Main Data'!$A$1:$O$1001,MATCH('Index&amp;Match'!$A387,'Main Data'!$A$1:$A$1001,0),MATCH('Index&amp;Match'!O386,'Main Data'!$A386:$O386,0))</f>
        <v>51</v>
      </c>
    </row>
    <row r="388" spans="1:15" x14ac:dyDescent="0.3">
      <c r="A388" s="2" t="s">
        <v>445</v>
      </c>
      <c r="B388" s="1">
        <f>INDEX('Main Data'!$A$1:$O$1001,MATCH('Index&amp;Match'!$A388,'Main Data'!$A$1:$A$1001,0),MATCH('Index&amp;Match'!B387,'Main Data'!$A387:$O387,0))</f>
        <v>45879</v>
      </c>
      <c r="C388" s="2" t="str">
        <f>INDEX('Main Data'!$A$1:$O$1001,MATCH('Index&amp;Match'!$A388,'Main Data'!$A$1:$A$1001,0),MATCH('Index&amp;Match'!C387,'Main Data'!$A387:$O387,0))</f>
        <v>Taylor</v>
      </c>
      <c r="D388" s="2" t="str">
        <f>INDEX('Main Data'!$A$1:$O$1001,MATCH('Index&amp;Match'!$A388,'Main Data'!$A$1:$A$1001,0),MATCH('Index&amp;Match'!D387,'Main Data'!$A387:$O387,0))</f>
        <v>BR-006</v>
      </c>
      <c r="E388" s="2" t="str">
        <f>INDEX('Main Data'!$A$1:$O$1001,MATCH('Index&amp;Match'!$A388,'Main Data'!$A$1:$A$1001,0),MATCH('Index&amp;Match'!E387,'Main Data'!$A387:$O387,0))</f>
        <v>Central</v>
      </c>
      <c r="F388" s="2" t="str">
        <f>INDEX('Main Data'!$A$1:$O$1001,MATCH('Index&amp;Match'!$A388,'Main Data'!$A$1:$A$1001,0),MATCH('Index&amp;Match'!F387,'Main Data'!$A387:$O387,0))</f>
        <v>Credit Card</v>
      </c>
      <c r="G388" s="2" t="str">
        <f>INDEX('Main Data'!$A$1:$O$1001,MATCH('Index&amp;Match'!$A388,'Main Data'!$A$1:$A$1001,0),MATCH('Index&amp;Match'!G387,'Main Data'!$A387:$O387,0))</f>
        <v>Social Media</v>
      </c>
      <c r="H388" s="2" t="str">
        <f>INDEX('Main Data'!$A$1:$O$1001,MATCH('Index&amp;Match'!$A388,'Main Data'!$A$1:$A$1001,0),MATCH('Index&amp;Match'!H387,'Main Data'!$A387:$O387,0))</f>
        <v>Corporate</v>
      </c>
      <c r="I388" s="2">
        <f>INDEX('Main Data'!$A$1:$O$1001,MATCH('Index&amp;Match'!$A388,'Main Data'!$A$1:$A$1001,0),MATCH('Index&amp;Match'!I387,'Main Data'!$A387:$O387,0))</f>
        <v>34</v>
      </c>
      <c r="J388" s="2">
        <f>INDEX('Main Data'!$A$1:$O$1001,MATCH('Index&amp;Match'!$A388,'Main Data'!$A$1:$A$1001,0),MATCH('Index&amp;Match'!J387,'Main Data'!$A387:$O387,0))</f>
        <v>34</v>
      </c>
      <c r="K388" s="11">
        <f>INDEX('Main Data'!$A$1:$O$1001,MATCH('Index&amp;Match'!$A388,'Main Data'!$A$1:$A$1001,0),MATCH('Index&amp;Match'!K387,'Main Data'!$A387:$O387,0))</f>
        <v>37654.620000000003</v>
      </c>
      <c r="L388" s="11">
        <f>INDEX('Main Data'!$A$1:$O$1001,MATCH('Index&amp;Match'!$A388,'Main Data'!$A$1:$A$1001,0),MATCH('Index&amp;Match'!L387,'Main Data'!$A387:$O387,0))</f>
        <v>128.15</v>
      </c>
      <c r="M388" s="11">
        <f>INDEX('Main Data'!$A$1:$O$1001,MATCH('Index&amp;Match'!$A388,'Main Data'!$A$1:$A$1001,0),MATCH('Index&amp;Match'!M387,'Main Data'!$A387:$O387,0))</f>
        <v>100.37</v>
      </c>
      <c r="N388" s="2" t="str">
        <f>INDEX('Main Data'!$A$1:$O$1001,MATCH('Index&amp;Match'!$A388,'Main Data'!$A$1:$A$1001,0),MATCH('Index&amp;Match'!N387,'Main Data'!$A387:$O387,0))</f>
        <v>Yes</v>
      </c>
      <c r="O388" s="2">
        <f>INDEX('Main Data'!$A$1:$O$1001,MATCH('Index&amp;Match'!$A388,'Main Data'!$A$1:$A$1001,0),MATCH('Index&amp;Match'!O387,'Main Data'!$A387:$O387,0))</f>
        <v>34</v>
      </c>
    </row>
    <row r="389" spans="1:15" x14ac:dyDescent="0.3">
      <c r="A389" s="2" t="s">
        <v>446</v>
      </c>
      <c r="B389" s="1">
        <f>INDEX('Main Data'!$A$1:$O$1001,MATCH('Index&amp;Match'!$A389,'Main Data'!$A$1:$A$1001,0),MATCH('Index&amp;Match'!B388,'Main Data'!$A388:$O388,0))</f>
        <v>46167</v>
      </c>
      <c r="C389" s="2" t="str">
        <f>INDEX('Main Data'!$A$1:$O$1001,MATCH('Index&amp;Match'!$A389,'Main Data'!$A$1:$A$1001,0),MATCH('Index&amp;Match'!C388,'Main Data'!$A388:$O388,0))</f>
        <v>Jamie</v>
      </c>
      <c r="D389" s="2" t="str">
        <f>INDEX('Main Data'!$A$1:$O$1001,MATCH('Index&amp;Match'!$A389,'Main Data'!$A$1:$A$1001,0),MATCH('Index&amp;Match'!D388,'Main Data'!$A388:$O388,0))</f>
        <v>BR-002</v>
      </c>
      <c r="E389" s="2" t="str">
        <f>INDEX('Main Data'!$A$1:$O$1001,MATCH('Index&amp;Match'!$A389,'Main Data'!$A$1:$A$1001,0),MATCH('Index&amp;Match'!E388,'Main Data'!$A388:$O388,0))</f>
        <v>Central</v>
      </c>
      <c r="F389" s="2" t="str">
        <f>INDEX('Main Data'!$A$1:$O$1001,MATCH('Index&amp;Match'!$A389,'Main Data'!$A$1:$A$1001,0),MATCH('Index&amp;Match'!F388,'Main Data'!$A388:$O388,0))</f>
        <v>Auto Loan</v>
      </c>
      <c r="G389" s="2" t="str">
        <f>INDEX('Main Data'!$A$1:$O$1001,MATCH('Index&amp;Match'!$A389,'Main Data'!$A$1:$A$1001,0),MATCH('Index&amp;Match'!G388,'Main Data'!$A388:$O388,0))</f>
        <v>Email Campaign</v>
      </c>
      <c r="H389" s="2" t="str">
        <f>INDEX('Main Data'!$A$1:$O$1001,MATCH('Index&amp;Match'!$A389,'Main Data'!$A$1:$A$1001,0),MATCH('Index&amp;Match'!H388,'Main Data'!$A388:$O388,0))</f>
        <v>Retail</v>
      </c>
      <c r="I389" s="2">
        <f>INDEX('Main Data'!$A$1:$O$1001,MATCH('Index&amp;Match'!$A389,'Main Data'!$A$1:$A$1001,0),MATCH('Index&amp;Match'!I388,'Main Data'!$A388:$O388,0))</f>
        <v>22</v>
      </c>
      <c r="J389" s="2">
        <f>INDEX('Main Data'!$A$1:$O$1001,MATCH('Index&amp;Match'!$A389,'Main Data'!$A$1:$A$1001,0),MATCH('Index&amp;Match'!J388,'Main Data'!$A388:$O388,0))</f>
        <v>22</v>
      </c>
      <c r="K389" s="11">
        <f>INDEX('Main Data'!$A$1:$O$1001,MATCH('Index&amp;Match'!$A389,'Main Data'!$A$1:$A$1001,0),MATCH('Index&amp;Match'!K388,'Main Data'!$A388:$O388,0))</f>
        <v>12181.83</v>
      </c>
      <c r="L389" s="11">
        <f>INDEX('Main Data'!$A$1:$O$1001,MATCH('Index&amp;Match'!$A389,'Main Data'!$A$1:$A$1001,0),MATCH('Index&amp;Match'!L388,'Main Data'!$A388:$O388,0))</f>
        <v>360.58</v>
      </c>
      <c r="M389" s="11">
        <f>INDEX('Main Data'!$A$1:$O$1001,MATCH('Index&amp;Match'!$A389,'Main Data'!$A$1:$A$1001,0),MATCH('Index&amp;Match'!M388,'Main Data'!$A388:$O388,0))</f>
        <v>155.59</v>
      </c>
      <c r="N389" s="2" t="str">
        <f>INDEX('Main Data'!$A$1:$O$1001,MATCH('Index&amp;Match'!$A389,'Main Data'!$A$1:$A$1001,0),MATCH('Index&amp;Match'!N388,'Main Data'!$A388:$O388,0))</f>
        <v>Yes</v>
      </c>
      <c r="O389" s="2">
        <f>INDEX('Main Data'!$A$1:$O$1001,MATCH('Index&amp;Match'!$A389,'Main Data'!$A$1:$A$1001,0),MATCH('Index&amp;Match'!O388,'Main Data'!$A388:$O388,0))</f>
        <v>22</v>
      </c>
    </row>
    <row r="390" spans="1:15" x14ac:dyDescent="0.3">
      <c r="A390" s="2" t="s">
        <v>447</v>
      </c>
      <c r="B390" s="1">
        <f>INDEX('Main Data'!$A$1:$O$1001,MATCH('Index&amp;Match'!$A390,'Main Data'!$A$1:$A$1001,0),MATCH('Index&amp;Match'!B389,'Main Data'!$A389:$O389,0))</f>
        <v>46029</v>
      </c>
      <c r="C390" s="2" t="str">
        <f>INDEX('Main Data'!$A$1:$O$1001,MATCH('Index&amp;Match'!$A390,'Main Data'!$A$1:$A$1001,0),MATCH('Index&amp;Match'!C389,'Main Data'!$A389:$O389,0))</f>
        <v>Alex</v>
      </c>
      <c r="D390" s="2" t="str">
        <f>INDEX('Main Data'!$A$1:$O$1001,MATCH('Index&amp;Match'!$A390,'Main Data'!$A$1:$A$1001,0),MATCH('Index&amp;Match'!D389,'Main Data'!$A389:$O389,0))</f>
        <v>BR-008</v>
      </c>
      <c r="E390" s="2" t="str">
        <f>INDEX('Main Data'!$A$1:$O$1001,MATCH('Index&amp;Match'!$A390,'Main Data'!$A$1:$A$1001,0),MATCH('Index&amp;Match'!E389,'Main Data'!$A389:$O389,0))</f>
        <v>Central</v>
      </c>
      <c r="F390" s="2" t="str">
        <f>INDEX('Main Data'!$A$1:$O$1001,MATCH('Index&amp;Match'!$A390,'Main Data'!$A$1:$A$1001,0),MATCH('Index&amp;Match'!F389,'Main Data'!$A389:$O389,0))</f>
        <v>Mortgage</v>
      </c>
      <c r="G390" s="2" t="str">
        <f>INDEX('Main Data'!$A$1:$O$1001,MATCH('Index&amp;Match'!$A390,'Main Data'!$A$1:$A$1001,0),MATCH('Index&amp;Match'!G389,'Main Data'!$A389:$O389,0))</f>
        <v>Website</v>
      </c>
      <c r="H390" s="2" t="str">
        <f>INDEX('Main Data'!$A$1:$O$1001,MATCH('Index&amp;Match'!$A390,'Main Data'!$A$1:$A$1001,0),MATCH('Index&amp;Match'!H389,'Main Data'!$A389:$O389,0))</f>
        <v>Retail</v>
      </c>
      <c r="I390" s="2">
        <f>INDEX('Main Data'!$A$1:$O$1001,MATCH('Index&amp;Match'!$A390,'Main Data'!$A$1:$A$1001,0),MATCH('Index&amp;Match'!I389,'Main Data'!$A389:$O389,0))</f>
        <v>49</v>
      </c>
      <c r="J390" s="2">
        <f>INDEX('Main Data'!$A$1:$O$1001,MATCH('Index&amp;Match'!$A390,'Main Data'!$A$1:$A$1001,0),MATCH('Index&amp;Match'!J389,'Main Data'!$A389:$O389,0))</f>
        <v>49</v>
      </c>
      <c r="K390" s="11">
        <f>INDEX('Main Data'!$A$1:$O$1001,MATCH('Index&amp;Match'!$A390,'Main Data'!$A$1:$A$1001,0),MATCH('Index&amp;Match'!K389,'Main Data'!$A389:$O389,0))</f>
        <v>7605.47</v>
      </c>
      <c r="L390" s="11">
        <f>INDEX('Main Data'!$A$1:$O$1001,MATCH('Index&amp;Match'!$A390,'Main Data'!$A$1:$A$1001,0),MATCH('Index&amp;Match'!L389,'Main Data'!$A389:$O389,0))</f>
        <v>340.52</v>
      </c>
      <c r="M390" s="11">
        <f>INDEX('Main Data'!$A$1:$O$1001,MATCH('Index&amp;Match'!$A390,'Main Data'!$A$1:$A$1001,0),MATCH('Index&amp;Match'!M389,'Main Data'!$A389:$O389,0))</f>
        <v>168.27</v>
      </c>
      <c r="N390" s="2" t="str">
        <f>INDEX('Main Data'!$A$1:$O$1001,MATCH('Index&amp;Match'!$A390,'Main Data'!$A$1:$A$1001,0),MATCH('Index&amp;Match'!N389,'Main Data'!$A389:$O389,0))</f>
        <v>Yes</v>
      </c>
      <c r="O390" s="2">
        <f>INDEX('Main Data'!$A$1:$O$1001,MATCH('Index&amp;Match'!$A390,'Main Data'!$A$1:$A$1001,0),MATCH('Index&amp;Match'!O389,'Main Data'!$A389:$O389,0))</f>
        <v>49</v>
      </c>
    </row>
    <row r="391" spans="1:15" x14ac:dyDescent="0.3">
      <c r="A391" s="2" t="s">
        <v>448</v>
      </c>
      <c r="B391" s="1">
        <f>INDEX('Main Data'!$A$1:$O$1001,MATCH('Index&amp;Match'!$A391,'Main Data'!$A$1:$A$1001,0),MATCH('Index&amp;Match'!B390,'Main Data'!$A390:$O390,0))</f>
        <v>46138</v>
      </c>
      <c r="C391" s="2" t="str">
        <f>INDEX('Main Data'!$A$1:$O$1001,MATCH('Index&amp;Match'!$A391,'Main Data'!$A$1:$A$1001,0),MATCH('Index&amp;Match'!C390,'Main Data'!$A390:$O390,0))</f>
        <v>Alex</v>
      </c>
      <c r="D391" s="2" t="str">
        <f>INDEX('Main Data'!$A$1:$O$1001,MATCH('Index&amp;Match'!$A391,'Main Data'!$A$1:$A$1001,0),MATCH('Index&amp;Match'!D390,'Main Data'!$A390:$O390,0))</f>
        <v>BR-010</v>
      </c>
      <c r="E391" s="2" t="str">
        <f>INDEX('Main Data'!$A$1:$O$1001,MATCH('Index&amp;Match'!$A391,'Main Data'!$A$1:$A$1001,0),MATCH('Index&amp;Match'!E390,'Main Data'!$A390:$O390,0))</f>
        <v>East</v>
      </c>
      <c r="F391" s="2" t="str">
        <f>INDEX('Main Data'!$A$1:$O$1001,MATCH('Index&amp;Match'!$A391,'Main Data'!$A$1:$A$1001,0),MATCH('Index&amp;Match'!F390,'Main Data'!$A390:$O390,0))</f>
        <v>Credit Card</v>
      </c>
      <c r="G391" s="2" t="str">
        <f>INDEX('Main Data'!$A$1:$O$1001,MATCH('Index&amp;Match'!$A391,'Main Data'!$A$1:$A$1001,0),MATCH('Index&amp;Match'!G390,'Main Data'!$A390:$O390,0))</f>
        <v>Social Media</v>
      </c>
      <c r="H391" s="2" t="str">
        <f>INDEX('Main Data'!$A$1:$O$1001,MATCH('Index&amp;Match'!$A391,'Main Data'!$A$1:$A$1001,0),MATCH('Index&amp;Match'!H390,'Main Data'!$A390:$O390,0))</f>
        <v>High Net Worth</v>
      </c>
      <c r="I391" s="2">
        <f>INDEX('Main Data'!$A$1:$O$1001,MATCH('Index&amp;Match'!$A391,'Main Data'!$A$1:$A$1001,0),MATCH('Index&amp;Match'!I390,'Main Data'!$A390:$O390,0))</f>
        <v>35</v>
      </c>
      <c r="J391" s="2">
        <f>INDEX('Main Data'!$A$1:$O$1001,MATCH('Index&amp;Match'!$A391,'Main Data'!$A$1:$A$1001,0),MATCH('Index&amp;Match'!J390,'Main Data'!$A390:$O390,0))</f>
        <v>35</v>
      </c>
      <c r="K391" s="11">
        <f>INDEX('Main Data'!$A$1:$O$1001,MATCH('Index&amp;Match'!$A391,'Main Data'!$A$1:$A$1001,0),MATCH('Index&amp;Match'!K390,'Main Data'!$A390:$O390,0))</f>
        <v>9677.74</v>
      </c>
      <c r="L391" s="11">
        <f>INDEX('Main Data'!$A$1:$O$1001,MATCH('Index&amp;Match'!$A391,'Main Data'!$A$1:$A$1001,0),MATCH('Index&amp;Match'!L390,'Main Data'!$A390:$O390,0))</f>
        <v>451.43</v>
      </c>
      <c r="M391" s="11">
        <f>INDEX('Main Data'!$A$1:$O$1001,MATCH('Index&amp;Match'!$A391,'Main Data'!$A$1:$A$1001,0),MATCH('Index&amp;Match'!M390,'Main Data'!$A390:$O390,0))</f>
        <v>173.92</v>
      </c>
      <c r="N391" s="2" t="str">
        <f>INDEX('Main Data'!$A$1:$O$1001,MATCH('Index&amp;Match'!$A391,'Main Data'!$A$1:$A$1001,0),MATCH('Index&amp;Match'!N390,'Main Data'!$A390:$O390,0))</f>
        <v>No</v>
      </c>
      <c r="O391" s="2">
        <f>INDEX('Main Data'!$A$1:$O$1001,MATCH('Index&amp;Match'!$A391,'Main Data'!$A$1:$A$1001,0),MATCH('Index&amp;Match'!O390,'Main Data'!$A390:$O390,0))</f>
        <v>35</v>
      </c>
    </row>
    <row r="392" spans="1:15" x14ac:dyDescent="0.3">
      <c r="A392" s="2" t="s">
        <v>449</v>
      </c>
      <c r="B392" s="1">
        <f>INDEX('Main Data'!$A$1:$O$1001,MATCH('Index&amp;Match'!$A392,'Main Data'!$A$1:$A$1001,0),MATCH('Index&amp;Match'!B391,'Main Data'!$A391:$O391,0))</f>
        <v>46156</v>
      </c>
      <c r="C392" s="2" t="str">
        <f>INDEX('Main Data'!$A$1:$O$1001,MATCH('Index&amp;Match'!$A392,'Main Data'!$A$1:$A$1001,0),MATCH('Index&amp;Match'!C391,'Main Data'!$A391:$O391,0))</f>
        <v>Taylor</v>
      </c>
      <c r="D392" s="2" t="str">
        <f>INDEX('Main Data'!$A$1:$O$1001,MATCH('Index&amp;Match'!$A392,'Main Data'!$A$1:$A$1001,0),MATCH('Index&amp;Match'!D391,'Main Data'!$A391:$O391,0))</f>
        <v>BR-005</v>
      </c>
      <c r="E392" s="2" t="str">
        <f>INDEX('Main Data'!$A$1:$O$1001,MATCH('Index&amp;Match'!$A392,'Main Data'!$A$1:$A$1001,0),MATCH('Index&amp;Match'!E391,'Main Data'!$A391:$O391,0))</f>
        <v>West</v>
      </c>
      <c r="F392" s="2" t="str">
        <f>INDEX('Main Data'!$A$1:$O$1001,MATCH('Index&amp;Match'!$A392,'Main Data'!$A$1:$A$1001,0),MATCH('Index&amp;Match'!F391,'Main Data'!$A391:$O391,0))</f>
        <v>Wealth Management</v>
      </c>
      <c r="G392" s="2" t="str">
        <f>INDEX('Main Data'!$A$1:$O$1001,MATCH('Index&amp;Match'!$A392,'Main Data'!$A$1:$A$1001,0),MATCH('Index&amp;Match'!G391,'Main Data'!$A391:$O391,0))</f>
        <v>Website</v>
      </c>
      <c r="H392" s="2" t="str">
        <f>INDEX('Main Data'!$A$1:$O$1001,MATCH('Index&amp;Match'!$A392,'Main Data'!$A$1:$A$1001,0),MATCH('Index&amp;Match'!H391,'Main Data'!$A391:$O391,0))</f>
        <v>Retail</v>
      </c>
      <c r="I392" s="2">
        <f>INDEX('Main Data'!$A$1:$O$1001,MATCH('Index&amp;Match'!$A392,'Main Data'!$A$1:$A$1001,0),MATCH('Index&amp;Match'!I391,'Main Data'!$A391:$O391,0))</f>
        <v>32</v>
      </c>
      <c r="J392" s="2">
        <f>INDEX('Main Data'!$A$1:$O$1001,MATCH('Index&amp;Match'!$A392,'Main Data'!$A$1:$A$1001,0),MATCH('Index&amp;Match'!J391,'Main Data'!$A391:$O391,0))</f>
        <v>32</v>
      </c>
      <c r="K392" s="11">
        <f>INDEX('Main Data'!$A$1:$O$1001,MATCH('Index&amp;Match'!$A392,'Main Data'!$A$1:$A$1001,0),MATCH('Index&amp;Match'!K391,'Main Data'!$A391:$O391,0))</f>
        <v>9512.1200000000008</v>
      </c>
      <c r="L392" s="11">
        <f>INDEX('Main Data'!$A$1:$O$1001,MATCH('Index&amp;Match'!$A392,'Main Data'!$A$1:$A$1001,0),MATCH('Index&amp;Match'!L391,'Main Data'!$A391:$O391,0))</f>
        <v>379.79</v>
      </c>
      <c r="M392" s="11">
        <f>INDEX('Main Data'!$A$1:$O$1001,MATCH('Index&amp;Match'!$A392,'Main Data'!$A$1:$A$1001,0),MATCH('Index&amp;Match'!M391,'Main Data'!$A391:$O391,0))</f>
        <v>123.79</v>
      </c>
      <c r="N392" s="2" t="str">
        <f>INDEX('Main Data'!$A$1:$O$1001,MATCH('Index&amp;Match'!$A392,'Main Data'!$A$1:$A$1001,0),MATCH('Index&amp;Match'!N391,'Main Data'!$A391:$O391,0))</f>
        <v>Yes</v>
      </c>
      <c r="O392" s="2">
        <f>INDEX('Main Data'!$A$1:$O$1001,MATCH('Index&amp;Match'!$A392,'Main Data'!$A$1:$A$1001,0),MATCH('Index&amp;Match'!O391,'Main Data'!$A391:$O391,0))</f>
        <v>32</v>
      </c>
    </row>
    <row r="393" spans="1:15" x14ac:dyDescent="0.3">
      <c r="A393" s="2" t="s">
        <v>450</v>
      </c>
      <c r="B393" s="1">
        <f>INDEX('Main Data'!$A$1:$O$1001,MATCH('Index&amp;Match'!$A393,'Main Data'!$A$1:$A$1001,0),MATCH('Index&amp;Match'!B392,'Main Data'!$A392:$O392,0))</f>
        <v>45989</v>
      </c>
      <c r="C393" s="2" t="str">
        <f>INDEX('Main Data'!$A$1:$O$1001,MATCH('Index&amp;Match'!$A393,'Main Data'!$A$1:$A$1001,0),MATCH('Index&amp;Match'!C392,'Main Data'!$A392:$O392,0))</f>
        <v>Taylor</v>
      </c>
      <c r="D393" s="2" t="str">
        <f>INDEX('Main Data'!$A$1:$O$1001,MATCH('Index&amp;Match'!$A393,'Main Data'!$A$1:$A$1001,0),MATCH('Index&amp;Match'!D392,'Main Data'!$A392:$O392,0))</f>
        <v>BR-007</v>
      </c>
      <c r="E393" s="2" t="str">
        <f>INDEX('Main Data'!$A$1:$O$1001,MATCH('Index&amp;Match'!$A393,'Main Data'!$A$1:$A$1001,0),MATCH('Index&amp;Match'!E392,'Main Data'!$A392:$O392,0))</f>
        <v>South</v>
      </c>
      <c r="F393" s="2" t="str">
        <f>INDEX('Main Data'!$A$1:$O$1001,MATCH('Index&amp;Match'!$A393,'Main Data'!$A$1:$A$1001,0),MATCH('Index&amp;Match'!F392,'Main Data'!$A392:$O392,0))</f>
        <v>Wealth Management</v>
      </c>
      <c r="G393" s="2" t="str">
        <f>INDEX('Main Data'!$A$1:$O$1001,MATCH('Index&amp;Match'!$A393,'Main Data'!$A$1:$A$1001,0),MATCH('Index&amp;Match'!G392,'Main Data'!$A392:$O392,0))</f>
        <v>Email Campaign</v>
      </c>
      <c r="H393" s="2" t="str">
        <f>INDEX('Main Data'!$A$1:$O$1001,MATCH('Index&amp;Match'!$A393,'Main Data'!$A$1:$A$1001,0),MATCH('Index&amp;Match'!H392,'Main Data'!$A392:$O392,0))</f>
        <v>High Net Worth</v>
      </c>
      <c r="I393" s="2">
        <f>INDEX('Main Data'!$A$1:$O$1001,MATCH('Index&amp;Match'!$A393,'Main Data'!$A$1:$A$1001,0),MATCH('Index&amp;Match'!I392,'Main Data'!$A392:$O392,0))</f>
        <v>57</v>
      </c>
      <c r="J393" s="2">
        <f>INDEX('Main Data'!$A$1:$O$1001,MATCH('Index&amp;Match'!$A393,'Main Data'!$A$1:$A$1001,0),MATCH('Index&amp;Match'!J392,'Main Data'!$A392:$O392,0))</f>
        <v>57</v>
      </c>
      <c r="K393" s="11">
        <f>INDEX('Main Data'!$A$1:$O$1001,MATCH('Index&amp;Match'!$A393,'Main Data'!$A$1:$A$1001,0),MATCH('Index&amp;Match'!K392,'Main Data'!$A392:$O392,0))</f>
        <v>25886.71</v>
      </c>
      <c r="L393" s="11">
        <f>INDEX('Main Data'!$A$1:$O$1001,MATCH('Index&amp;Match'!$A393,'Main Data'!$A$1:$A$1001,0),MATCH('Index&amp;Match'!L392,'Main Data'!$A392:$O392,0))</f>
        <v>278.76</v>
      </c>
      <c r="M393" s="11">
        <f>INDEX('Main Data'!$A$1:$O$1001,MATCH('Index&amp;Match'!$A393,'Main Data'!$A$1:$A$1001,0),MATCH('Index&amp;Match'!M392,'Main Data'!$A392:$O392,0))</f>
        <v>84.87</v>
      </c>
      <c r="N393" s="2" t="str">
        <f>INDEX('Main Data'!$A$1:$O$1001,MATCH('Index&amp;Match'!$A393,'Main Data'!$A$1:$A$1001,0),MATCH('Index&amp;Match'!N392,'Main Data'!$A392:$O392,0))</f>
        <v>No</v>
      </c>
      <c r="O393" s="2">
        <f>INDEX('Main Data'!$A$1:$O$1001,MATCH('Index&amp;Match'!$A393,'Main Data'!$A$1:$A$1001,0),MATCH('Index&amp;Match'!O392,'Main Data'!$A392:$O392,0))</f>
        <v>57</v>
      </c>
    </row>
    <row r="394" spans="1:15" x14ac:dyDescent="0.3">
      <c r="A394" s="2" t="s">
        <v>451</v>
      </c>
      <c r="B394" s="1">
        <f>INDEX('Main Data'!$A$1:$O$1001,MATCH('Index&amp;Match'!$A394,'Main Data'!$A$1:$A$1001,0),MATCH('Index&amp;Match'!B393,'Main Data'!$A393:$O393,0))</f>
        <v>45870</v>
      </c>
      <c r="C394" s="2" t="str">
        <f>INDEX('Main Data'!$A$1:$O$1001,MATCH('Index&amp;Match'!$A394,'Main Data'!$A$1:$A$1001,0),MATCH('Index&amp;Match'!C393,'Main Data'!$A393:$O393,0))</f>
        <v>Drew</v>
      </c>
      <c r="D394" s="2" t="str">
        <f>INDEX('Main Data'!$A$1:$O$1001,MATCH('Index&amp;Match'!$A394,'Main Data'!$A$1:$A$1001,0),MATCH('Index&amp;Match'!D393,'Main Data'!$A393:$O393,0))</f>
        <v>BR-010</v>
      </c>
      <c r="E394" s="2" t="str">
        <f>INDEX('Main Data'!$A$1:$O$1001,MATCH('Index&amp;Match'!$A394,'Main Data'!$A$1:$A$1001,0),MATCH('Index&amp;Match'!E393,'Main Data'!$A393:$O393,0))</f>
        <v>South</v>
      </c>
      <c r="F394" s="2" t="str">
        <f>INDEX('Main Data'!$A$1:$O$1001,MATCH('Index&amp;Match'!$A394,'Main Data'!$A$1:$A$1001,0),MATCH('Index&amp;Match'!F393,'Main Data'!$A393:$O393,0))</f>
        <v>Wealth Management</v>
      </c>
      <c r="G394" s="2" t="str">
        <f>INDEX('Main Data'!$A$1:$O$1001,MATCH('Index&amp;Match'!$A394,'Main Data'!$A$1:$A$1001,0),MATCH('Index&amp;Match'!G393,'Main Data'!$A393:$O393,0))</f>
        <v>Referral</v>
      </c>
      <c r="H394" s="2" t="str">
        <f>INDEX('Main Data'!$A$1:$O$1001,MATCH('Index&amp;Match'!$A394,'Main Data'!$A$1:$A$1001,0),MATCH('Index&amp;Match'!H393,'Main Data'!$A393:$O393,0))</f>
        <v>High Net Worth</v>
      </c>
      <c r="I394" s="2">
        <f>INDEX('Main Data'!$A$1:$O$1001,MATCH('Index&amp;Match'!$A394,'Main Data'!$A$1:$A$1001,0),MATCH('Index&amp;Match'!I393,'Main Data'!$A393:$O393,0))</f>
        <v>48</v>
      </c>
      <c r="J394" s="2">
        <f>INDEX('Main Data'!$A$1:$O$1001,MATCH('Index&amp;Match'!$A394,'Main Data'!$A$1:$A$1001,0),MATCH('Index&amp;Match'!J393,'Main Data'!$A393:$O393,0))</f>
        <v>48</v>
      </c>
      <c r="K394" s="11">
        <f>INDEX('Main Data'!$A$1:$O$1001,MATCH('Index&amp;Match'!$A394,'Main Data'!$A$1:$A$1001,0),MATCH('Index&amp;Match'!K393,'Main Data'!$A393:$O393,0))</f>
        <v>42317.48</v>
      </c>
      <c r="L394" s="11">
        <f>INDEX('Main Data'!$A$1:$O$1001,MATCH('Index&amp;Match'!$A394,'Main Data'!$A$1:$A$1001,0),MATCH('Index&amp;Match'!L393,'Main Data'!$A393:$O393,0))</f>
        <v>496.32</v>
      </c>
      <c r="M394" s="11">
        <f>INDEX('Main Data'!$A$1:$O$1001,MATCH('Index&amp;Match'!$A394,'Main Data'!$A$1:$A$1001,0),MATCH('Index&amp;Match'!M393,'Main Data'!$A393:$O393,0))</f>
        <v>268.45999999999998</v>
      </c>
      <c r="N394" s="2" t="str">
        <f>INDEX('Main Data'!$A$1:$O$1001,MATCH('Index&amp;Match'!$A394,'Main Data'!$A$1:$A$1001,0),MATCH('Index&amp;Match'!N393,'Main Data'!$A393:$O393,0))</f>
        <v>No</v>
      </c>
      <c r="O394" s="2">
        <f>INDEX('Main Data'!$A$1:$O$1001,MATCH('Index&amp;Match'!$A394,'Main Data'!$A$1:$A$1001,0),MATCH('Index&amp;Match'!O393,'Main Data'!$A393:$O393,0))</f>
        <v>48</v>
      </c>
    </row>
    <row r="395" spans="1:15" x14ac:dyDescent="0.3">
      <c r="A395" s="2" t="s">
        <v>452</v>
      </c>
      <c r="B395" s="1">
        <f>INDEX('Main Data'!$A$1:$O$1001,MATCH('Index&amp;Match'!$A395,'Main Data'!$A$1:$A$1001,0),MATCH('Index&amp;Match'!B394,'Main Data'!$A394:$O394,0))</f>
        <v>46144</v>
      </c>
      <c r="C395" s="2" t="str">
        <f>INDEX('Main Data'!$A$1:$O$1001,MATCH('Index&amp;Match'!$A395,'Main Data'!$A$1:$A$1001,0),MATCH('Index&amp;Match'!C394,'Main Data'!$A394:$O394,0))</f>
        <v>Drew</v>
      </c>
      <c r="D395" s="2" t="str">
        <f>INDEX('Main Data'!$A$1:$O$1001,MATCH('Index&amp;Match'!$A395,'Main Data'!$A$1:$A$1001,0),MATCH('Index&amp;Match'!D394,'Main Data'!$A394:$O394,0))</f>
        <v>BR-012</v>
      </c>
      <c r="E395" s="2" t="str">
        <f>INDEX('Main Data'!$A$1:$O$1001,MATCH('Index&amp;Match'!$A395,'Main Data'!$A$1:$A$1001,0),MATCH('Index&amp;Match'!E394,'Main Data'!$A394:$O394,0))</f>
        <v>East</v>
      </c>
      <c r="F395" s="2" t="str">
        <f>INDEX('Main Data'!$A$1:$O$1001,MATCH('Index&amp;Match'!$A395,'Main Data'!$A$1:$A$1001,0),MATCH('Index&amp;Match'!F394,'Main Data'!$A394:$O394,0))</f>
        <v>Wealth Management</v>
      </c>
      <c r="G395" s="2" t="str">
        <f>INDEX('Main Data'!$A$1:$O$1001,MATCH('Index&amp;Match'!$A395,'Main Data'!$A$1:$A$1001,0),MATCH('Index&amp;Match'!G394,'Main Data'!$A394:$O394,0))</f>
        <v>Website</v>
      </c>
      <c r="H395" s="2" t="str">
        <f>INDEX('Main Data'!$A$1:$O$1001,MATCH('Index&amp;Match'!$A395,'Main Data'!$A$1:$A$1001,0),MATCH('Index&amp;Match'!H394,'Main Data'!$A394:$O394,0))</f>
        <v>SME</v>
      </c>
      <c r="I395" s="2">
        <f>INDEX('Main Data'!$A$1:$O$1001,MATCH('Index&amp;Match'!$A395,'Main Data'!$A$1:$A$1001,0),MATCH('Index&amp;Match'!I394,'Main Data'!$A394:$O394,0))</f>
        <v>40</v>
      </c>
      <c r="J395" s="2">
        <f>INDEX('Main Data'!$A$1:$O$1001,MATCH('Index&amp;Match'!$A395,'Main Data'!$A$1:$A$1001,0),MATCH('Index&amp;Match'!J394,'Main Data'!$A394:$O394,0))</f>
        <v>40</v>
      </c>
      <c r="K395" s="11">
        <f>INDEX('Main Data'!$A$1:$O$1001,MATCH('Index&amp;Match'!$A395,'Main Data'!$A$1:$A$1001,0),MATCH('Index&amp;Match'!K394,'Main Data'!$A394:$O394,0))</f>
        <v>4440.45</v>
      </c>
      <c r="L395" s="11">
        <f>INDEX('Main Data'!$A$1:$O$1001,MATCH('Index&amp;Match'!$A395,'Main Data'!$A$1:$A$1001,0),MATCH('Index&amp;Match'!L394,'Main Data'!$A394:$O394,0))</f>
        <v>169.75</v>
      </c>
      <c r="M395" s="11">
        <f>INDEX('Main Data'!$A$1:$O$1001,MATCH('Index&amp;Match'!$A395,'Main Data'!$A$1:$A$1001,0),MATCH('Index&amp;Match'!M394,'Main Data'!$A394:$O394,0))</f>
        <v>4.84</v>
      </c>
      <c r="N395" s="2" t="str">
        <f>INDEX('Main Data'!$A$1:$O$1001,MATCH('Index&amp;Match'!$A395,'Main Data'!$A$1:$A$1001,0),MATCH('Index&amp;Match'!N394,'Main Data'!$A394:$O394,0))</f>
        <v>Yes</v>
      </c>
      <c r="O395" s="2">
        <f>INDEX('Main Data'!$A$1:$O$1001,MATCH('Index&amp;Match'!$A395,'Main Data'!$A$1:$A$1001,0),MATCH('Index&amp;Match'!O394,'Main Data'!$A394:$O394,0))</f>
        <v>40</v>
      </c>
    </row>
    <row r="396" spans="1:15" x14ac:dyDescent="0.3">
      <c r="A396" s="2" t="s">
        <v>453</v>
      </c>
      <c r="B396" s="1">
        <f>INDEX('Main Data'!$A$1:$O$1001,MATCH('Index&amp;Match'!$A396,'Main Data'!$A$1:$A$1001,0),MATCH('Index&amp;Match'!B395,'Main Data'!$A395:$O395,0))</f>
        <v>46231</v>
      </c>
      <c r="C396" s="2" t="str">
        <f>INDEX('Main Data'!$A$1:$O$1001,MATCH('Index&amp;Match'!$A396,'Main Data'!$A$1:$A$1001,0),MATCH('Index&amp;Match'!C395,'Main Data'!$A395:$O395,0))</f>
        <v>Taylor</v>
      </c>
      <c r="D396" s="2" t="str">
        <f>INDEX('Main Data'!$A$1:$O$1001,MATCH('Index&amp;Match'!$A396,'Main Data'!$A$1:$A$1001,0),MATCH('Index&amp;Match'!D395,'Main Data'!$A395:$O395,0))</f>
        <v>BR-002</v>
      </c>
      <c r="E396" s="2" t="str">
        <f>INDEX('Main Data'!$A$1:$O$1001,MATCH('Index&amp;Match'!$A396,'Main Data'!$A$1:$A$1001,0),MATCH('Index&amp;Match'!E395,'Main Data'!$A395:$O395,0))</f>
        <v>Central</v>
      </c>
      <c r="F396" s="2" t="str">
        <f>INDEX('Main Data'!$A$1:$O$1001,MATCH('Index&amp;Match'!$A396,'Main Data'!$A$1:$A$1001,0),MATCH('Index&amp;Match'!F395,'Main Data'!$A395:$O395,0))</f>
        <v>Personal Loan</v>
      </c>
      <c r="G396" s="2" t="str">
        <f>INDEX('Main Data'!$A$1:$O$1001,MATCH('Index&amp;Match'!$A396,'Main Data'!$A$1:$A$1001,0),MATCH('Index&amp;Match'!G395,'Main Data'!$A395:$O395,0))</f>
        <v>Walk-in</v>
      </c>
      <c r="H396" s="2" t="str">
        <f>INDEX('Main Data'!$A$1:$O$1001,MATCH('Index&amp;Match'!$A396,'Main Data'!$A$1:$A$1001,0),MATCH('Index&amp;Match'!H395,'Main Data'!$A395:$O395,0))</f>
        <v>Corporate</v>
      </c>
      <c r="I396" s="2">
        <f>INDEX('Main Data'!$A$1:$O$1001,MATCH('Index&amp;Match'!$A396,'Main Data'!$A$1:$A$1001,0),MATCH('Index&amp;Match'!I395,'Main Data'!$A395:$O395,0))</f>
        <v>59</v>
      </c>
      <c r="J396" s="2">
        <f>INDEX('Main Data'!$A$1:$O$1001,MATCH('Index&amp;Match'!$A396,'Main Data'!$A$1:$A$1001,0),MATCH('Index&amp;Match'!J395,'Main Data'!$A395:$O395,0))</f>
        <v>59</v>
      </c>
      <c r="K396" s="11">
        <f>INDEX('Main Data'!$A$1:$O$1001,MATCH('Index&amp;Match'!$A396,'Main Data'!$A$1:$A$1001,0),MATCH('Index&amp;Match'!K395,'Main Data'!$A395:$O395,0))</f>
        <v>35494.339999999997</v>
      </c>
      <c r="L396" s="11">
        <f>INDEX('Main Data'!$A$1:$O$1001,MATCH('Index&amp;Match'!$A396,'Main Data'!$A$1:$A$1001,0),MATCH('Index&amp;Match'!L395,'Main Data'!$A395:$O395,0))</f>
        <v>424.94</v>
      </c>
      <c r="M396" s="11">
        <f>INDEX('Main Data'!$A$1:$O$1001,MATCH('Index&amp;Match'!$A396,'Main Data'!$A$1:$A$1001,0),MATCH('Index&amp;Match'!M395,'Main Data'!$A395:$O395,0))</f>
        <v>69.72</v>
      </c>
      <c r="N396" s="2" t="str">
        <f>INDEX('Main Data'!$A$1:$O$1001,MATCH('Index&amp;Match'!$A396,'Main Data'!$A$1:$A$1001,0),MATCH('Index&amp;Match'!N395,'Main Data'!$A395:$O395,0))</f>
        <v>Yes</v>
      </c>
      <c r="O396" s="2">
        <f>INDEX('Main Data'!$A$1:$O$1001,MATCH('Index&amp;Match'!$A396,'Main Data'!$A$1:$A$1001,0),MATCH('Index&amp;Match'!O395,'Main Data'!$A395:$O395,0))</f>
        <v>59</v>
      </c>
    </row>
    <row r="397" spans="1:15" x14ac:dyDescent="0.3">
      <c r="A397" s="2" t="s">
        <v>454</v>
      </c>
      <c r="B397" s="1">
        <f>INDEX('Main Data'!$A$1:$O$1001,MATCH('Index&amp;Match'!$A397,'Main Data'!$A$1:$A$1001,0),MATCH('Index&amp;Match'!B396,'Main Data'!$A396:$O396,0))</f>
        <v>45958</v>
      </c>
      <c r="C397" s="2" t="str">
        <f>INDEX('Main Data'!$A$1:$O$1001,MATCH('Index&amp;Match'!$A397,'Main Data'!$A$1:$A$1001,0),MATCH('Index&amp;Match'!C396,'Main Data'!$A396:$O396,0))</f>
        <v>Morgan</v>
      </c>
      <c r="D397" s="2" t="str">
        <f>INDEX('Main Data'!$A$1:$O$1001,MATCH('Index&amp;Match'!$A397,'Main Data'!$A$1:$A$1001,0),MATCH('Index&amp;Match'!D396,'Main Data'!$A396:$O396,0))</f>
        <v>BR-013</v>
      </c>
      <c r="E397" s="2" t="str">
        <f>INDEX('Main Data'!$A$1:$O$1001,MATCH('Index&amp;Match'!$A397,'Main Data'!$A$1:$A$1001,0),MATCH('Index&amp;Match'!E396,'Main Data'!$A396:$O396,0))</f>
        <v>North</v>
      </c>
      <c r="F397" s="2" t="str">
        <f>INDEX('Main Data'!$A$1:$O$1001,MATCH('Index&amp;Match'!$A397,'Main Data'!$A$1:$A$1001,0),MATCH('Index&amp;Match'!F396,'Main Data'!$A396:$O396,0))</f>
        <v>Auto Loan</v>
      </c>
      <c r="G397" s="2" t="str">
        <f>INDEX('Main Data'!$A$1:$O$1001,MATCH('Index&amp;Match'!$A397,'Main Data'!$A$1:$A$1001,0),MATCH('Index&amp;Match'!G396,'Main Data'!$A396:$O396,0))</f>
        <v>Walk-in</v>
      </c>
      <c r="H397" s="2" t="str">
        <f>INDEX('Main Data'!$A$1:$O$1001,MATCH('Index&amp;Match'!$A397,'Main Data'!$A$1:$A$1001,0),MATCH('Index&amp;Match'!H396,'Main Data'!$A396:$O396,0))</f>
        <v>Retail</v>
      </c>
      <c r="I397" s="2">
        <f>INDEX('Main Data'!$A$1:$O$1001,MATCH('Index&amp;Match'!$A397,'Main Data'!$A$1:$A$1001,0),MATCH('Index&amp;Match'!I396,'Main Data'!$A396:$O396,0))</f>
        <v>44</v>
      </c>
      <c r="J397" s="2">
        <f>INDEX('Main Data'!$A$1:$O$1001,MATCH('Index&amp;Match'!$A397,'Main Data'!$A$1:$A$1001,0),MATCH('Index&amp;Match'!J396,'Main Data'!$A396:$O396,0))</f>
        <v>44</v>
      </c>
      <c r="K397" s="11">
        <f>INDEX('Main Data'!$A$1:$O$1001,MATCH('Index&amp;Match'!$A397,'Main Data'!$A$1:$A$1001,0),MATCH('Index&amp;Match'!K396,'Main Data'!$A396:$O396,0))</f>
        <v>32890.15</v>
      </c>
      <c r="L397" s="11">
        <f>INDEX('Main Data'!$A$1:$O$1001,MATCH('Index&amp;Match'!$A397,'Main Data'!$A$1:$A$1001,0),MATCH('Index&amp;Match'!L396,'Main Data'!$A396:$O396,0))</f>
        <v>242.06</v>
      </c>
      <c r="M397" s="11">
        <f>INDEX('Main Data'!$A$1:$O$1001,MATCH('Index&amp;Match'!$A397,'Main Data'!$A$1:$A$1001,0),MATCH('Index&amp;Match'!M396,'Main Data'!$A396:$O396,0))</f>
        <v>144.36000000000001</v>
      </c>
      <c r="N397" s="2" t="str">
        <f>INDEX('Main Data'!$A$1:$O$1001,MATCH('Index&amp;Match'!$A397,'Main Data'!$A$1:$A$1001,0),MATCH('Index&amp;Match'!N396,'Main Data'!$A396:$O396,0))</f>
        <v>No</v>
      </c>
      <c r="O397" s="2">
        <f>INDEX('Main Data'!$A$1:$O$1001,MATCH('Index&amp;Match'!$A397,'Main Data'!$A$1:$A$1001,0),MATCH('Index&amp;Match'!O396,'Main Data'!$A396:$O396,0))</f>
        <v>44</v>
      </c>
    </row>
    <row r="398" spans="1:15" x14ac:dyDescent="0.3">
      <c r="A398" s="2" t="s">
        <v>455</v>
      </c>
      <c r="B398" s="1">
        <f>INDEX('Main Data'!$A$1:$O$1001,MATCH('Index&amp;Match'!$A398,'Main Data'!$A$1:$A$1001,0),MATCH('Index&amp;Match'!B397,'Main Data'!$A397:$O397,0))</f>
        <v>46111</v>
      </c>
      <c r="C398" s="2" t="str">
        <f>INDEX('Main Data'!$A$1:$O$1001,MATCH('Index&amp;Match'!$A398,'Main Data'!$A$1:$A$1001,0),MATCH('Index&amp;Match'!C397,'Main Data'!$A397:$O397,0))</f>
        <v>Drew</v>
      </c>
      <c r="D398" s="2" t="str">
        <f>INDEX('Main Data'!$A$1:$O$1001,MATCH('Index&amp;Match'!$A398,'Main Data'!$A$1:$A$1001,0),MATCH('Index&amp;Match'!D397,'Main Data'!$A397:$O397,0))</f>
        <v>BR-008</v>
      </c>
      <c r="E398" s="2" t="str">
        <f>INDEX('Main Data'!$A$1:$O$1001,MATCH('Index&amp;Match'!$A398,'Main Data'!$A$1:$A$1001,0),MATCH('Index&amp;Match'!E397,'Main Data'!$A397:$O397,0))</f>
        <v>East</v>
      </c>
      <c r="F398" s="2" t="str">
        <f>INDEX('Main Data'!$A$1:$O$1001,MATCH('Index&amp;Match'!$A398,'Main Data'!$A$1:$A$1001,0),MATCH('Index&amp;Match'!F397,'Main Data'!$A397:$O397,0))</f>
        <v>Auto Loan</v>
      </c>
      <c r="G398" s="2" t="str">
        <f>INDEX('Main Data'!$A$1:$O$1001,MATCH('Index&amp;Match'!$A398,'Main Data'!$A$1:$A$1001,0),MATCH('Index&amp;Match'!G397,'Main Data'!$A397:$O397,0))</f>
        <v>Social Media</v>
      </c>
      <c r="H398" s="2" t="str">
        <f>INDEX('Main Data'!$A$1:$O$1001,MATCH('Index&amp;Match'!$A398,'Main Data'!$A$1:$A$1001,0),MATCH('Index&amp;Match'!H397,'Main Data'!$A397:$O397,0))</f>
        <v>SME</v>
      </c>
      <c r="I398" s="2">
        <f>INDEX('Main Data'!$A$1:$O$1001,MATCH('Index&amp;Match'!$A398,'Main Data'!$A$1:$A$1001,0),MATCH('Index&amp;Match'!I397,'Main Data'!$A397:$O397,0))</f>
        <v>41</v>
      </c>
      <c r="J398" s="2">
        <f>INDEX('Main Data'!$A$1:$O$1001,MATCH('Index&amp;Match'!$A398,'Main Data'!$A$1:$A$1001,0),MATCH('Index&amp;Match'!J397,'Main Data'!$A397:$O397,0))</f>
        <v>41</v>
      </c>
      <c r="K398" s="11">
        <f>INDEX('Main Data'!$A$1:$O$1001,MATCH('Index&amp;Match'!$A398,'Main Data'!$A$1:$A$1001,0),MATCH('Index&amp;Match'!K397,'Main Data'!$A397:$O397,0))</f>
        <v>43689.74</v>
      </c>
      <c r="L398" s="11">
        <f>INDEX('Main Data'!$A$1:$O$1001,MATCH('Index&amp;Match'!$A398,'Main Data'!$A$1:$A$1001,0),MATCH('Index&amp;Match'!L397,'Main Data'!$A397:$O397,0))</f>
        <v>341.93</v>
      </c>
      <c r="M398" s="11">
        <f>INDEX('Main Data'!$A$1:$O$1001,MATCH('Index&amp;Match'!$A398,'Main Data'!$A$1:$A$1001,0),MATCH('Index&amp;Match'!M397,'Main Data'!$A397:$O397,0))</f>
        <v>16.02</v>
      </c>
      <c r="N398" s="2" t="str">
        <f>INDEX('Main Data'!$A$1:$O$1001,MATCH('Index&amp;Match'!$A398,'Main Data'!$A$1:$A$1001,0),MATCH('Index&amp;Match'!N397,'Main Data'!$A397:$O397,0))</f>
        <v>No</v>
      </c>
      <c r="O398" s="2">
        <f>INDEX('Main Data'!$A$1:$O$1001,MATCH('Index&amp;Match'!$A398,'Main Data'!$A$1:$A$1001,0),MATCH('Index&amp;Match'!O397,'Main Data'!$A397:$O397,0))</f>
        <v>41</v>
      </c>
    </row>
    <row r="399" spans="1:15" x14ac:dyDescent="0.3">
      <c r="A399" s="2" t="s">
        <v>456</v>
      </c>
      <c r="B399" s="1">
        <f>INDEX('Main Data'!$A$1:$O$1001,MATCH('Index&amp;Match'!$A399,'Main Data'!$A$1:$A$1001,0),MATCH('Index&amp;Match'!B398,'Main Data'!$A398:$O398,0))</f>
        <v>46219</v>
      </c>
      <c r="C399" s="2" t="str">
        <f>INDEX('Main Data'!$A$1:$O$1001,MATCH('Index&amp;Match'!$A399,'Main Data'!$A$1:$A$1001,0),MATCH('Index&amp;Match'!C398,'Main Data'!$A398:$O398,0))</f>
        <v>Sam</v>
      </c>
      <c r="D399" s="2" t="str">
        <f>INDEX('Main Data'!$A$1:$O$1001,MATCH('Index&amp;Match'!$A399,'Main Data'!$A$1:$A$1001,0),MATCH('Index&amp;Match'!D398,'Main Data'!$A398:$O398,0))</f>
        <v>BR-002</v>
      </c>
      <c r="E399" s="2" t="str">
        <f>INDEX('Main Data'!$A$1:$O$1001,MATCH('Index&amp;Match'!$A399,'Main Data'!$A$1:$A$1001,0),MATCH('Index&amp;Match'!E398,'Main Data'!$A398:$O398,0))</f>
        <v>East</v>
      </c>
      <c r="F399" s="2" t="str">
        <f>INDEX('Main Data'!$A$1:$O$1001,MATCH('Index&amp;Match'!$A399,'Main Data'!$A$1:$A$1001,0),MATCH('Index&amp;Match'!F398,'Main Data'!$A398:$O398,0))</f>
        <v>Personal Loan</v>
      </c>
      <c r="G399" s="2" t="str">
        <f>INDEX('Main Data'!$A$1:$O$1001,MATCH('Index&amp;Match'!$A399,'Main Data'!$A$1:$A$1001,0),MATCH('Index&amp;Match'!G398,'Main Data'!$A398:$O398,0))</f>
        <v>Email Campaign</v>
      </c>
      <c r="H399" s="2" t="str">
        <f>INDEX('Main Data'!$A$1:$O$1001,MATCH('Index&amp;Match'!$A399,'Main Data'!$A$1:$A$1001,0),MATCH('Index&amp;Match'!H398,'Main Data'!$A398:$O398,0))</f>
        <v>Retail</v>
      </c>
      <c r="I399" s="2">
        <f>INDEX('Main Data'!$A$1:$O$1001,MATCH('Index&amp;Match'!$A399,'Main Data'!$A$1:$A$1001,0),MATCH('Index&amp;Match'!I398,'Main Data'!$A398:$O398,0))</f>
        <v>30</v>
      </c>
      <c r="J399" s="2">
        <f>INDEX('Main Data'!$A$1:$O$1001,MATCH('Index&amp;Match'!$A399,'Main Data'!$A$1:$A$1001,0),MATCH('Index&amp;Match'!J398,'Main Data'!$A398:$O398,0))</f>
        <v>30</v>
      </c>
      <c r="K399" s="11">
        <f>INDEX('Main Data'!$A$1:$O$1001,MATCH('Index&amp;Match'!$A399,'Main Data'!$A$1:$A$1001,0),MATCH('Index&amp;Match'!K398,'Main Data'!$A398:$O398,0))</f>
        <v>12585.3</v>
      </c>
      <c r="L399" s="11">
        <f>INDEX('Main Data'!$A$1:$O$1001,MATCH('Index&amp;Match'!$A399,'Main Data'!$A$1:$A$1001,0),MATCH('Index&amp;Match'!L398,'Main Data'!$A398:$O398,0))</f>
        <v>377.27</v>
      </c>
      <c r="M399" s="11">
        <f>INDEX('Main Data'!$A$1:$O$1001,MATCH('Index&amp;Match'!$A399,'Main Data'!$A$1:$A$1001,0),MATCH('Index&amp;Match'!M398,'Main Data'!$A398:$O398,0))</f>
        <v>36.630000000000003</v>
      </c>
      <c r="N399" s="2" t="str">
        <f>INDEX('Main Data'!$A$1:$O$1001,MATCH('Index&amp;Match'!$A399,'Main Data'!$A$1:$A$1001,0),MATCH('Index&amp;Match'!N398,'Main Data'!$A398:$O398,0))</f>
        <v>No</v>
      </c>
      <c r="O399" s="2">
        <f>INDEX('Main Data'!$A$1:$O$1001,MATCH('Index&amp;Match'!$A399,'Main Data'!$A$1:$A$1001,0),MATCH('Index&amp;Match'!O398,'Main Data'!$A398:$O398,0))</f>
        <v>30</v>
      </c>
    </row>
    <row r="400" spans="1:15" x14ac:dyDescent="0.3">
      <c r="A400" s="2" t="s">
        <v>457</v>
      </c>
      <c r="B400" s="1">
        <f>INDEX('Main Data'!$A$1:$O$1001,MATCH('Index&amp;Match'!$A400,'Main Data'!$A$1:$A$1001,0),MATCH('Index&amp;Match'!B399,'Main Data'!$A399:$O399,0))</f>
        <v>45913</v>
      </c>
      <c r="C400" s="2" t="str">
        <f>INDEX('Main Data'!$A$1:$O$1001,MATCH('Index&amp;Match'!$A400,'Main Data'!$A$1:$A$1001,0),MATCH('Index&amp;Match'!C399,'Main Data'!$A399:$O399,0))</f>
        <v>Drew</v>
      </c>
      <c r="D400" s="2" t="str">
        <f>INDEX('Main Data'!$A$1:$O$1001,MATCH('Index&amp;Match'!$A400,'Main Data'!$A$1:$A$1001,0),MATCH('Index&amp;Match'!D399,'Main Data'!$A399:$O399,0))</f>
        <v>BR-004</v>
      </c>
      <c r="E400" s="2" t="str">
        <f>INDEX('Main Data'!$A$1:$O$1001,MATCH('Index&amp;Match'!$A400,'Main Data'!$A$1:$A$1001,0),MATCH('Index&amp;Match'!E399,'Main Data'!$A399:$O399,0))</f>
        <v>West</v>
      </c>
      <c r="F400" s="2" t="str">
        <f>INDEX('Main Data'!$A$1:$O$1001,MATCH('Index&amp;Match'!$A400,'Main Data'!$A$1:$A$1001,0),MATCH('Index&amp;Match'!F399,'Main Data'!$A399:$O399,0))</f>
        <v>Mortgage</v>
      </c>
      <c r="G400" s="2" t="str">
        <f>INDEX('Main Data'!$A$1:$O$1001,MATCH('Index&amp;Match'!$A400,'Main Data'!$A$1:$A$1001,0),MATCH('Index&amp;Match'!G399,'Main Data'!$A399:$O399,0))</f>
        <v>Social Media</v>
      </c>
      <c r="H400" s="2" t="str">
        <f>INDEX('Main Data'!$A$1:$O$1001,MATCH('Index&amp;Match'!$A400,'Main Data'!$A$1:$A$1001,0),MATCH('Index&amp;Match'!H399,'Main Data'!$A399:$O399,0))</f>
        <v>High Net Worth</v>
      </c>
      <c r="I400" s="2">
        <f>INDEX('Main Data'!$A$1:$O$1001,MATCH('Index&amp;Match'!$A400,'Main Data'!$A$1:$A$1001,0),MATCH('Index&amp;Match'!I399,'Main Data'!$A399:$O399,0))</f>
        <v>66</v>
      </c>
      <c r="J400" s="2">
        <f>INDEX('Main Data'!$A$1:$O$1001,MATCH('Index&amp;Match'!$A400,'Main Data'!$A$1:$A$1001,0),MATCH('Index&amp;Match'!J399,'Main Data'!$A399:$O399,0))</f>
        <v>66</v>
      </c>
      <c r="K400" s="11">
        <f>INDEX('Main Data'!$A$1:$O$1001,MATCH('Index&amp;Match'!$A400,'Main Data'!$A$1:$A$1001,0),MATCH('Index&amp;Match'!K399,'Main Data'!$A399:$O399,0))</f>
        <v>22780.44</v>
      </c>
      <c r="L400" s="11">
        <f>INDEX('Main Data'!$A$1:$O$1001,MATCH('Index&amp;Match'!$A400,'Main Data'!$A$1:$A$1001,0),MATCH('Index&amp;Match'!L399,'Main Data'!$A399:$O399,0))</f>
        <v>335.19</v>
      </c>
      <c r="M400" s="11">
        <f>INDEX('Main Data'!$A$1:$O$1001,MATCH('Index&amp;Match'!$A400,'Main Data'!$A$1:$A$1001,0),MATCH('Index&amp;Match'!M399,'Main Data'!$A399:$O399,0))</f>
        <v>176.79</v>
      </c>
      <c r="N400" s="2" t="str">
        <f>INDEX('Main Data'!$A$1:$O$1001,MATCH('Index&amp;Match'!$A400,'Main Data'!$A$1:$A$1001,0),MATCH('Index&amp;Match'!N399,'Main Data'!$A399:$O399,0))</f>
        <v>No</v>
      </c>
      <c r="O400" s="2">
        <f>INDEX('Main Data'!$A$1:$O$1001,MATCH('Index&amp;Match'!$A400,'Main Data'!$A$1:$A$1001,0),MATCH('Index&amp;Match'!O399,'Main Data'!$A399:$O399,0))</f>
        <v>66</v>
      </c>
    </row>
    <row r="401" spans="1:15" x14ac:dyDescent="0.3">
      <c r="A401" s="2" t="s">
        <v>458</v>
      </c>
      <c r="B401" s="1">
        <f>INDEX('Main Data'!$A$1:$O$1001,MATCH('Index&amp;Match'!$A401,'Main Data'!$A$1:$A$1001,0),MATCH('Index&amp;Match'!B400,'Main Data'!$A400:$O400,0))</f>
        <v>46092</v>
      </c>
      <c r="C401" s="2" t="str">
        <f>INDEX('Main Data'!$A$1:$O$1001,MATCH('Index&amp;Match'!$A401,'Main Data'!$A$1:$A$1001,0),MATCH('Index&amp;Match'!C400,'Main Data'!$A400:$O400,0))</f>
        <v>Alex</v>
      </c>
      <c r="D401" s="2" t="str">
        <f>INDEX('Main Data'!$A$1:$O$1001,MATCH('Index&amp;Match'!$A401,'Main Data'!$A$1:$A$1001,0),MATCH('Index&amp;Match'!D400,'Main Data'!$A400:$O400,0))</f>
        <v>BR-001</v>
      </c>
      <c r="E401" s="2" t="str">
        <f>INDEX('Main Data'!$A$1:$O$1001,MATCH('Index&amp;Match'!$A401,'Main Data'!$A$1:$A$1001,0),MATCH('Index&amp;Match'!E400,'Main Data'!$A400:$O400,0))</f>
        <v>South</v>
      </c>
      <c r="F401" s="2" t="str">
        <f>INDEX('Main Data'!$A$1:$O$1001,MATCH('Index&amp;Match'!$A401,'Main Data'!$A$1:$A$1001,0),MATCH('Index&amp;Match'!F400,'Main Data'!$A400:$O400,0))</f>
        <v>Mortgage</v>
      </c>
      <c r="G401" s="2" t="str">
        <f>INDEX('Main Data'!$A$1:$O$1001,MATCH('Index&amp;Match'!$A401,'Main Data'!$A$1:$A$1001,0),MATCH('Index&amp;Match'!G400,'Main Data'!$A400:$O400,0))</f>
        <v>Social Media</v>
      </c>
      <c r="H401" s="2" t="str">
        <f>INDEX('Main Data'!$A$1:$O$1001,MATCH('Index&amp;Match'!$A401,'Main Data'!$A$1:$A$1001,0),MATCH('Index&amp;Match'!H400,'Main Data'!$A400:$O400,0))</f>
        <v>Retail</v>
      </c>
      <c r="I401" s="2">
        <f>INDEX('Main Data'!$A$1:$O$1001,MATCH('Index&amp;Match'!$A401,'Main Data'!$A$1:$A$1001,0),MATCH('Index&amp;Match'!I400,'Main Data'!$A400:$O400,0))</f>
        <v>34</v>
      </c>
      <c r="J401" s="2">
        <f>INDEX('Main Data'!$A$1:$O$1001,MATCH('Index&amp;Match'!$A401,'Main Data'!$A$1:$A$1001,0),MATCH('Index&amp;Match'!J400,'Main Data'!$A400:$O400,0))</f>
        <v>34</v>
      </c>
      <c r="K401" s="11">
        <f>INDEX('Main Data'!$A$1:$O$1001,MATCH('Index&amp;Match'!$A401,'Main Data'!$A$1:$A$1001,0),MATCH('Index&amp;Match'!K400,'Main Data'!$A400:$O400,0))</f>
        <v>46328.46</v>
      </c>
      <c r="L401" s="11">
        <f>INDEX('Main Data'!$A$1:$O$1001,MATCH('Index&amp;Match'!$A401,'Main Data'!$A$1:$A$1001,0),MATCH('Index&amp;Match'!L400,'Main Data'!$A400:$O400,0))</f>
        <v>113.23</v>
      </c>
      <c r="M401" s="11">
        <f>INDEX('Main Data'!$A$1:$O$1001,MATCH('Index&amp;Match'!$A401,'Main Data'!$A$1:$A$1001,0),MATCH('Index&amp;Match'!M400,'Main Data'!$A400:$O400,0))</f>
        <v>112</v>
      </c>
      <c r="N401" s="2" t="str">
        <f>INDEX('Main Data'!$A$1:$O$1001,MATCH('Index&amp;Match'!$A401,'Main Data'!$A$1:$A$1001,0),MATCH('Index&amp;Match'!N400,'Main Data'!$A400:$O400,0))</f>
        <v>Yes</v>
      </c>
      <c r="O401" s="2">
        <f>INDEX('Main Data'!$A$1:$O$1001,MATCH('Index&amp;Match'!$A401,'Main Data'!$A$1:$A$1001,0),MATCH('Index&amp;Match'!O400,'Main Data'!$A400:$O400,0))</f>
        <v>34</v>
      </c>
    </row>
    <row r="402" spans="1:15" x14ac:dyDescent="0.3">
      <c r="A402" s="2" t="s">
        <v>459</v>
      </c>
      <c r="B402" s="1">
        <f>INDEX('Main Data'!$A$1:$O$1001,MATCH('Index&amp;Match'!$A402,'Main Data'!$A$1:$A$1001,0),MATCH('Index&amp;Match'!B401,'Main Data'!$A401:$O401,0))</f>
        <v>46163</v>
      </c>
      <c r="C402" s="2" t="str">
        <f>INDEX('Main Data'!$A$1:$O$1001,MATCH('Index&amp;Match'!$A402,'Main Data'!$A$1:$A$1001,0),MATCH('Index&amp;Match'!C401,'Main Data'!$A401:$O401,0))</f>
        <v>Drew</v>
      </c>
      <c r="D402" s="2" t="str">
        <f>INDEX('Main Data'!$A$1:$O$1001,MATCH('Index&amp;Match'!$A402,'Main Data'!$A$1:$A$1001,0),MATCH('Index&amp;Match'!D401,'Main Data'!$A401:$O401,0))</f>
        <v>BR-015</v>
      </c>
      <c r="E402" s="2" t="str">
        <f>INDEX('Main Data'!$A$1:$O$1001,MATCH('Index&amp;Match'!$A402,'Main Data'!$A$1:$A$1001,0),MATCH('Index&amp;Match'!E401,'Main Data'!$A401:$O401,0))</f>
        <v>East</v>
      </c>
      <c r="F402" s="2" t="str">
        <f>INDEX('Main Data'!$A$1:$O$1001,MATCH('Index&amp;Match'!$A402,'Main Data'!$A$1:$A$1001,0),MATCH('Index&amp;Match'!F401,'Main Data'!$A401:$O401,0))</f>
        <v>Wealth Management</v>
      </c>
      <c r="G402" s="2" t="str">
        <f>INDEX('Main Data'!$A$1:$O$1001,MATCH('Index&amp;Match'!$A402,'Main Data'!$A$1:$A$1001,0),MATCH('Index&amp;Match'!G401,'Main Data'!$A401:$O401,0))</f>
        <v>Social Media</v>
      </c>
      <c r="H402" s="2" t="str">
        <f>INDEX('Main Data'!$A$1:$O$1001,MATCH('Index&amp;Match'!$A402,'Main Data'!$A$1:$A$1001,0),MATCH('Index&amp;Match'!H401,'Main Data'!$A401:$O401,0))</f>
        <v>Corporate</v>
      </c>
      <c r="I402" s="2">
        <f>INDEX('Main Data'!$A$1:$O$1001,MATCH('Index&amp;Match'!$A402,'Main Data'!$A$1:$A$1001,0),MATCH('Index&amp;Match'!I401,'Main Data'!$A401:$O401,0))</f>
        <v>57</v>
      </c>
      <c r="J402" s="2">
        <f>INDEX('Main Data'!$A$1:$O$1001,MATCH('Index&amp;Match'!$A402,'Main Data'!$A$1:$A$1001,0),MATCH('Index&amp;Match'!J401,'Main Data'!$A401:$O401,0))</f>
        <v>57</v>
      </c>
      <c r="K402" s="11">
        <f>INDEX('Main Data'!$A$1:$O$1001,MATCH('Index&amp;Match'!$A402,'Main Data'!$A$1:$A$1001,0),MATCH('Index&amp;Match'!K401,'Main Data'!$A401:$O401,0))</f>
        <v>33169.68</v>
      </c>
      <c r="L402" s="11">
        <f>INDEX('Main Data'!$A$1:$O$1001,MATCH('Index&amp;Match'!$A402,'Main Data'!$A$1:$A$1001,0),MATCH('Index&amp;Match'!L401,'Main Data'!$A401:$O401,0))</f>
        <v>249.33</v>
      </c>
      <c r="M402" s="11">
        <f>INDEX('Main Data'!$A$1:$O$1001,MATCH('Index&amp;Match'!$A402,'Main Data'!$A$1:$A$1001,0),MATCH('Index&amp;Match'!M401,'Main Data'!$A401:$O401,0))</f>
        <v>147.79</v>
      </c>
      <c r="N402" s="2" t="str">
        <f>INDEX('Main Data'!$A$1:$O$1001,MATCH('Index&amp;Match'!$A402,'Main Data'!$A$1:$A$1001,0),MATCH('Index&amp;Match'!N401,'Main Data'!$A401:$O401,0))</f>
        <v>Yes</v>
      </c>
      <c r="O402" s="2">
        <f>INDEX('Main Data'!$A$1:$O$1001,MATCH('Index&amp;Match'!$A402,'Main Data'!$A$1:$A$1001,0),MATCH('Index&amp;Match'!O401,'Main Data'!$A401:$O401,0))</f>
        <v>57</v>
      </c>
    </row>
    <row r="403" spans="1:15" x14ac:dyDescent="0.3">
      <c r="A403" s="2" t="s">
        <v>460</v>
      </c>
      <c r="B403" s="1">
        <f>INDEX('Main Data'!$A$1:$O$1001,MATCH('Index&amp;Match'!$A403,'Main Data'!$A$1:$A$1001,0),MATCH('Index&amp;Match'!B402,'Main Data'!$A402:$O402,0))</f>
        <v>46038</v>
      </c>
      <c r="C403" s="2" t="str">
        <f>INDEX('Main Data'!$A$1:$O$1001,MATCH('Index&amp;Match'!$A403,'Main Data'!$A$1:$A$1001,0),MATCH('Index&amp;Match'!C402,'Main Data'!$A402:$O402,0))</f>
        <v>Morgan</v>
      </c>
      <c r="D403" s="2" t="str">
        <f>INDEX('Main Data'!$A$1:$O$1001,MATCH('Index&amp;Match'!$A403,'Main Data'!$A$1:$A$1001,0),MATCH('Index&amp;Match'!D402,'Main Data'!$A402:$O402,0))</f>
        <v>BR-005</v>
      </c>
      <c r="E403" s="2" t="str">
        <f>INDEX('Main Data'!$A$1:$O$1001,MATCH('Index&amp;Match'!$A403,'Main Data'!$A$1:$A$1001,0),MATCH('Index&amp;Match'!E402,'Main Data'!$A402:$O402,0))</f>
        <v>East</v>
      </c>
      <c r="F403" s="2" t="str">
        <f>INDEX('Main Data'!$A$1:$O$1001,MATCH('Index&amp;Match'!$A403,'Main Data'!$A$1:$A$1001,0),MATCH('Index&amp;Match'!F402,'Main Data'!$A402:$O402,0))</f>
        <v>Credit Card</v>
      </c>
      <c r="G403" s="2" t="str">
        <f>INDEX('Main Data'!$A$1:$O$1001,MATCH('Index&amp;Match'!$A403,'Main Data'!$A$1:$A$1001,0),MATCH('Index&amp;Match'!G402,'Main Data'!$A402:$O402,0))</f>
        <v>Walk-in</v>
      </c>
      <c r="H403" s="2" t="str">
        <f>INDEX('Main Data'!$A$1:$O$1001,MATCH('Index&amp;Match'!$A403,'Main Data'!$A$1:$A$1001,0),MATCH('Index&amp;Match'!H402,'Main Data'!$A402:$O402,0))</f>
        <v>High Net Worth</v>
      </c>
      <c r="I403" s="2">
        <f>INDEX('Main Data'!$A$1:$O$1001,MATCH('Index&amp;Match'!$A403,'Main Data'!$A$1:$A$1001,0),MATCH('Index&amp;Match'!I402,'Main Data'!$A402:$O402,0))</f>
        <v>38</v>
      </c>
      <c r="J403" s="2">
        <f>INDEX('Main Data'!$A$1:$O$1001,MATCH('Index&amp;Match'!$A403,'Main Data'!$A$1:$A$1001,0),MATCH('Index&amp;Match'!J402,'Main Data'!$A402:$O402,0))</f>
        <v>38</v>
      </c>
      <c r="K403" s="11">
        <f>INDEX('Main Data'!$A$1:$O$1001,MATCH('Index&amp;Match'!$A403,'Main Data'!$A$1:$A$1001,0),MATCH('Index&amp;Match'!K402,'Main Data'!$A402:$O402,0))</f>
        <v>19744.04</v>
      </c>
      <c r="L403" s="11">
        <f>INDEX('Main Data'!$A$1:$O$1001,MATCH('Index&amp;Match'!$A403,'Main Data'!$A$1:$A$1001,0),MATCH('Index&amp;Match'!L402,'Main Data'!$A402:$O402,0))</f>
        <v>302.64999999999998</v>
      </c>
      <c r="M403" s="11">
        <f>INDEX('Main Data'!$A$1:$O$1001,MATCH('Index&amp;Match'!$A403,'Main Data'!$A$1:$A$1001,0),MATCH('Index&amp;Match'!M402,'Main Data'!$A402:$O402,0))</f>
        <v>243.78</v>
      </c>
      <c r="N403" s="2" t="str">
        <f>INDEX('Main Data'!$A$1:$O$1001,MATCH('Index&amp;Match'!$A403,'Main Data'!$A$1:$A$1001,0),MATCH('Index&amp;Match'!N402,'Main Data'!$A402:$O402,0))</f>
        <v>Yes</v>
      </c>
      <c r="O403" s="2">
        <f>INDEX('Main Data'!$A$1:$O$1001,MATCH('Index&amp;Match'!$A403,'Main Data'!$A$1:$A$1001,0),MATCH('Index&amp;Match'!O402,'Main Data'!$A402:$O402,0))</f>
        <v>38</v>
      </c>
    </row>
    <row r="404" spans="1:15" x14ac:dyDescent="0.3">
      <c r="A404" s="2" t="s">
        <v>461</v>
      </c>
      <c r="B404" s="1">
        <f>INDEX('Main Data'!$A$1:$O$1001,MATCH('Index&amp;Match'!$A404,'Main Data'!$A$1:$A$1001,0),MATCH('Index&amp;Match'!B403,'Main Data'!$A403:$O403,0))</f>
        <v>45919</v>
      </c>
      <c r="C404" s="2" t="str">
        <f>INDEX('Main Data'!$A$1:$O$1001,MATCH('Index&amp;Match'!$A404,'Main Data'!$A$1:$A$1001,0),MATCH('Index&amp;Match'!C403,'Main Data'!$A403:$O403,0))</f>
        <v>Taylor</v>
      </c>
      <c r="D404" s="2" t="str">
        <f>INDEX('Main Data'!$A$1:$O$1001,MATCH('Index&amp;Match'!$A404,'Main Data'!$A$1:$A$1001,0),MATCH('Index&amp;Match'!D403,'Main Data'!$A403:$O403,0))</f>
        <v>BR-009</v>
      </c>
      <c r="E404" s="2" t="str">
        <f>INDEX('Main Data'!$A$1:$O$1001,MATCH('Index&amp;Match'!$A404,'Main Data'!$A$1:$A$1001,0),MATCH('Index&amp;Match'!E403,'Main Data'!$A403:$O403,0))</f>
        <v>Central</v>
      </c>
      <c r="F404" s="2" t="str">
        <f>INDEX('Main Data'!$A$1:$O$1001,MATCH('Index&amp;Match'!$A404,'Main Data'!$A$1:$A$1001,0),MATCH('Index&amp;Match'!F403,'Main Data'!$A403:$O403,0))</f>
        <v>Mortgage</v>
      </c>
      <c r="G404" s="2" t="str">
        <f>INDEX('Main Data'!$A$1:$O$1001,MATCH('Index&amp;Match'!$A404,'Main Data'!$A$1:$A$1001,0),MATCH('Index&amp;Match'!G403,'Main Data'!$A403:$O403,0))</f>
        <v>Walk-in</v>
      </c>
      <c r="H404" s="2" t="str">
        <f>INDEX('Main Data'!$A$1:$O$1001,MATCH('Index&amp;Match'!$A404,'Main Data'!$A$1:$A$1001,0),MATCH('Index&amp;Match'!H403,'Main Data'!$A403:$O403,0))</f>
        <v>High Net Worth</v>
      </c>
      <c r="I404" s="2">
        <f>INDEX('Main Data'!$A$1:$O$1001,MATCH('Index&amp;Match'!$A404,'Main Data'!$A$1:$A$1001,0),MATCH('Index&amp;Match'!I403,'Main Data'!$A403:$O403,0))</f>
        <v>44</v>
      </c>
      <c r="J404" s="2">
        <f>INDEX('Main Data'!$A$1:$O$1001,MATCH('Index&amp;Match'!$A404,'Main Data'!$A$1:$A$1001,0),MATCH('Index&amp;Match'!J403,'Main Data'!$A403:$O403,0))</f>
        <v>44</v>
      </c>
      <c r="K404" s="11">
        <f>INDEX('Main Data'!$A$1:$O$1001,MATCH('Index&amp;Match'!$A404,'Main Data'!$A$1:$A$1001,0),MATCH('Index&amp;Match'!K403,'Main Data'!$A403:$O403,0))</f>
        <v>7004.91</v>
      </c>
      <c r="L404" s="11">
        <f>INDEX('Main Data'!$A$1:$O$1001,MATCH('Index&amp;Match'!$A404,'Main Data'!$A$1:$A$1001,0),MATCH('Index&amp;Match'!L403,'Main Data'!$A403:$O403,0))</f>
        <v>432.07</v>
      </c>
      <c r="M404" s="11">
        <f>INDEX('Main Data'!$A$1:$O$1001,MATCH('Index&amp;Match'!$A404,'Main Data'!$A$1:$A$1001,0),MATCH('Index&amp;Match'!M403,'Main Data'!$A403:$O403,0))</f>
        <v>38.58</v>
      </c>
      <c r="N404" s="2" t="str">
        <f>INDEX('Main Data'!$A$1:$O$1001,MATCH('Index&amp;Match'!$A404,'Main Data'!$A$1:$A$1001,0),MATCH('Index&amp;Match'!N403,'Main Data'!$A403:$O403,0))</f>
        <v>Yes</v>
      </c>
      <c r="O404" s="2">
        <f>INDEX('Main Data'!$A$1:$O$1001,MATCH('Index&amp;Match'!$A404,'Main Data'!$A$1:$A$1001,0),MATCH('Index&amp;Match'!O403,'Main Data'!$A403:$O403,0))</f>
        <v>44</v>
      </c>
    </row>
    <row r="405" spans="1:15" x14ac:dyDescent="0.3">
      <c r="A405" s="2" t="s">
        <v>462</v>
      </c>
      <c r="B405" s="1">
        <f>INDEX('Main Data'!$A$1:$O$1001,MATCH('Index&amp;Match'!$A405,'Main Data'!$A$1:$A$1001,0),MATCH('Index&amp;Match'!B404,'Main Data'!$A404:$O404,0))</f>
        <v>46221</v>
      </c>
      <c r="C405" s="2" t="str">
        <f>INDEX('Main Data'!$A$1:$O$1001,MATCH('Index&amp;Match'!$A405,'Main Data'!$A$1:$A$1001,0),MATCH('Index&amp;Match'!C404,'Main Data'!$A404:$O404,0))</f>
        <v>Alex</v>
      </c>
      <c r="D405" s="2" t="str">
        <f>INDEX('Main Data'!$A$1:$O$1001,MATCH('Index&amp;Match'!$A405,'Main Data'!$A$1:$A$1001,0),MATCH('Index&amp;Match'!D404,'Main Data'!$A404:$O404,0))</f>
        <v>BR-001</v>
      </c>
      <c r="E405" s="2" t="str">
        <f>INDEX('Main Data'!$A$1:$O$1001,MATCH('Index&amp;Match'!$A405,'Main Data'!$A$1:$A$1001,0),MATCH('Index&amp;Match'!E404,'Main Data'!$A404:$O404,0))</f>
        <v>Central</v>
      </c>
      <c r="F405" s="2" t="str">
        <f>INDEX('Main Data'!$A$1:$O$1001,MATCH('Index&amp;Match'!$A405,'Main Data'!$A$1:$A$1001,0),MATCH('Index&amp;Match'!F404,'Main Data'!$A404:$O404,0))</f>
        <v>Credit Card</v>
      </c>
      <c r="G405" s="2" t="str">
        <f>INDEX('Main Data'!$A$1:$O$1001,MATCH('Index&amp;Match'!$A405,'Main Data'!$A$1:$A$1001,0),MATCH('Index&amp;Match'!G404,'Main Data'!$A404:$O404,0))</f>
        <v>Social Media</v>
      </c>
      <c r="H405" s="2" t="str">
        <f>INDEX('Main Data'!$A$1:$O$1001,MATCH('Index&amp;Match'!$A405,'Main Data'!$A$1:$A$1001,0),MATCH('Index&amp;Match'!H404,'Main Data'!$A404:$O404,0))</f>
        <v>SME</v>
      </c>
      <c r="I405" s="2">
        <f>INDEX('Main Data'!$A$1:$O$1001,MATCH('Index&amp;Match'!$A405,'Main Data'!$A$1:$A$1001,0),MATCH('Index&amp;Match'!I404,'Main Data'!$A404:$O404,0))</f>
        <v>34</v>
      </c>
      <c r="J405" s="2">
        <f>INDEX('Main Data'!$A$1:$O$1001,MATCH('Index&amp;Match'!$A405,'Main Data'!$A$1:$A$1001,0),MATCH('Index&amp;Match'!J404,'Main Data'!$A404:$O404,0))</f>
        <v>34</v>
      </c>
      <c r="K405" s="11">
        <f>INDEX('Main Data'!$A$1:$O$1001,MATCH('Index&amp;Match'!$A405,'Main Data'!$A$1:$A$1001,0),MATCH('Index&amp;Match'!K404,'Main Data'!$A404:$O404,0))</f>
        <v>13493.01</v>
      </c>
      <c r="L405" s="11">
        <f>INDEX('Main Data'!$A$1:$O$1001,MATCH('Index&amp;Match'!$A405,'Main Data'!$A$1:$A$1001,0),MATCH('Index&amp;Match'!L404,'Main Data'!$A404:$O404,0))</f>
        <v>249.64</v>
      </c>
      <c r="M405" s="11">
        <f>INDEX('Main Data'!$A$1:$O$1001,MATCH('Index&amp;Match'!$A405,'Main Data'!$A$1:$A$1001,0),MATCH('Index&amp;Match'!M404,'Main Data'!$A404:$O404,0))</f>
        <v>3.68</v>
      </c>
      <c r="N405" s="2" t="str">
        <f>INDEX('Main Data'!$A$1:$O$1001,MATCH('Index&amp;Match'!$A405,'Main Data'!$A$1:$A$1001,0),MATCH('Index&amp;Match'!N404,'Main Data'!$A404:$O404,0))</f>
        <v>Yes</v>
      </c>
      <c r="O405" s="2">
        <f>INDEX('Main Data'!$A$1:$O$1001,MATCH('Index&amp;Match'!$A405,'Main Data'!$A$1:$A$1001,0),MATCH('Index&amp;Match'!O404,'Main Data'!$A404:$O404,0))</f>
        <v>34</v>
      </c>
    </row>
    <row r="406" spans="1:15" x14ac:dyDescent="0.3">
      <c r="A406" s="2" t="s">
        <v>463</v>
      </c>
      <c r="B406" s="1">
        <f>INDEX('Main Data'!$A$1:$O$1001,MATCH('Index&amp;Match'!$A406,'Main Data'!$A$1:$A$1001,0),MATCH('Index&amp;Match'!B405,'Main Data'!$A405:$O405,0))</f>
        <v>46130</v>
      </c>
      <c r="C406" s="2" t="str">
        <f>INDEX('Main Data'!$A$1:$O$1001,MATCH('Index&amp;Match'!$A406,'Main Data'!$A$1:$A$1001,0),MATCH('Index&amp;Match'!C405,'Main Data'!$A405:$O405,0))</f>
        <v>Drew</v>
      </c>
      <c r="D406" s="2" t="str">
        <f>INDEX('Main Data'!$A$1:$O$1001,MATCH('Index&amp;Match'!$A406,'Main Data'!$A$1:$A$1001,0),MATCH('Index&amp;Match'!D405,'Main Data'!$A405:$O405,0))</f>
        <v>BR-009</v>
      </c>
      <c r="E406" s="2" t="str">
        <f>INDEX('Main Data'!$A$1:$O$1001,MATCH('Index&amp;Match'!$A406,'Main Data'!$A$1:$A$1001,0),MATCH('Index&amp;Match'!E405,'Main Data'!$A405:$O405,0))</f>
        <v>North</v>
      </c>
      <c r="F406" s="2" t="str">
        <f>INDEX('Main Data'!$A$1:$O$1001,MATCH('Index&amp;Match'!$A406,'Main Data'!$A$1:$A$1001,0),MATCH('Index&amp;Match'!F405,'Main Data'!$A405:$O405,0))</f>
        <v>Auto Loan</v>
      </c>
      <c r="G406" s="2" t="str">
        <f>INDEX('Main Data'!$A$1:$O$1001,MATCH('Index&amp;Match'!$A406,'Main Data'!$A$1:$A$1001,0),MATCH('Index&amp;Match'!G405,'Main Data'!$A405:$O405,0))</f>
        <v>Walk-in</v>
      </c>
      <c r="H406" s="2" t="str">
        <f>INDEX('Main Data'!$A$1:$O$1001,MATCH('Index&amp;Match'!$A406,'Main Data'!$A$1:$A$1001,0),MATCH('Index&amp;Match'!H405,'Main Data'!$A405:$O405,0))</f>
        <v>Corporate</v>
      </c>
      <c r="I406" s="2">
        <f>INDEX('Main Data'!$A$1:$O$1001,MATCH('Index&amp;Match'!$A406,'Main Data'!$A$1:$A$1001,0),MATCH('Index&amp;Match'!I405,'Main Data'!$A405:$O405,0))</f>
        <v>54</v>
      </c>
      <c r="J406" s="2">
        <f>INDEX('Main Data'!$A$1:$O$1001,MATCH('Index&amp;Match'!$A406,'Main Data'!$A$1:$A$1001,0),MATCH('Index&amp;Match'!J405,'Main Data'!$A405:$O405,0))</f>
        <v>54</v>
      </c>
      <c r="K406" s="11">
        <f>INDEX('Main Data'!$A$1:$O$1001,MATCH('Index&amp;Match'!$A406,'Main Data'!$A$1:$A$1001,0),MATCH('Index&amp;Match'!K405,'Main Data'!$A405:$O405,0))</f>
        <v>29270.17</v>
      </c>
      <c r="L406" s="11">
        <f>INDEX('Main Data'!$A$1:$O$1001,MATCH('Index&amp;Match'!$A406,'Main Data'!$A$1:$A$1001,0),MATCH('Index&amp;Match'!L405,'Main Data'!$A405:$O405,0))</f>
        <v>463.44</v>
      </c>
      <c r="M406" s="11">
        <f>INDEX('Main Data'!$A$1:$O$1001,MATCH('Index&amp;Match'!$A406,'Main Data'!$A$1:$A$1001,0),MATCH('Index&amp;Match'!M405,'Main Data'!$A405:$O405,0))</f>
        <v>137.93</v>
      </c>
      <c r="N406" s="2" t="str">
        <f>INDEX('Main Data'!$A$1:$O$1001,MATCH('Index&amp;Match'!$A406,'Main Data'!$A$1:$A$1001,0),MATCH('Index&amp;Match'!N405,'Main Data'!$A405:$O405,0))</f>
        <v>No</v>
      </c>
      <c r="O406" s="2">
        <f>INDEX('Main Data'!$A$1:$O$1001,MATCH('Index&amp;Match'!$A406,'Main Data'!$A$1:$A$1001,0),MATCH('Index&amp;Match'!O405,'Main Data'!$A405:$O405,0))</f>
        <v>54</v>
      </c>
    </row>
    <row r="407" spans="1:15" x14ac:dyDescent="0.3">
      <c r="A407" s="2" t="s">
        <v>464</v>
      </c>
      <c r="B407" s="1">
        <f>INDEX('Main Data'!$A$1:$O$1001,MATCH('Index&amp;Match'!$A407,'Main Data'!$A$1:$A$1001,0),MATCH('Index&amp;Match'!B406,'Main Data'!$A406:$O406,0))</f>
        <v>46107</v>
      </c>
      <c r="C407" s="2" t="str">
        <f>INDEX('Main Data'!$A$1:$O$1001,MATCH('Index&amp;Match'!$A407,'Main Data'!$A$1:$A$1001,0),MATCH('Index&amp;Match'!C406,'Main Data'!$A406:$O406,0))</f>
        <v>Morgan</v>
      </c>
      <c r="D407" s="2" t="str">
        <f>INDEX('Main Data'!$A$1:$O$1001,MATCH('Index&amp;Match'!$A407,'Main Data'!$A$1:$A$1001,0),MATCH('Index&amp;Match'!D406,'Main Data'!$A406:$O406,0))</f>
        <v>BR-011</v>
      </c>
      <c r="E407" s="2" t="str">
        <f>INDEX('Main Data'!$A$1:$O$1001,MATCH('Index&amp;Match'!$A407,'Main Data'!$A$1:$A$1001,0),MATCH('Index&amp;Match'!E406,'Main Data'!$A406:$O406,0))</f>
        <v>West</v>
      </c>
      <c r="F407" s="2" t="str">
        <f>INDEX('Main Data'!$A$1:$O$1001,MATCH('Index&amp;Match'!$A407,'Main Data'!$A$1:$A$1001,0),MATCH('Index&amp;Match'!F406,'Main Data'!$A406:$O406,0))</f>
        <v>Credit Card</v>
      </c>
      <c r="G407" s="2" t="str">
        <f>INDEX('Main Data'!$A$1:$O$1001,MATCH('Index&amp;Match'!$A407,'Main Data'!$A$1:$A$1001,0),MATCH('Index&amp;Match'!G406,'Main Data'!$A406:$O406,0))</f>
        <v>Email Campaign</v>
      </c>
      <c r="H407" s="2" t="str">
        <f>INDEX('Main Data'!$A$1:$O$1001,MATCH('Index&amp;Match'!$A407,'Main Data'!$A$1:$A$1001,0),MATCH('Index&amp;Match'!H406,'Main Data'!$A406:$O406,0))</f>
        <v>High Net Worth</v>
      </c>
      <c r="I407" s="2">
        <f>INDEX('Main Data'!$A$1:$O$1001,MATCH('Index&amp;Match'!$A407,'Main Data'!$A$1:$A$1001,0),MATCH('Index&amp;Match'!I406,'Main Data'!$A406:$O406,0))</f>
        <v>32</v>
      </c>
      <c r="J407" s="2">
        <f>INDEX('Main Data'!$A$1:$O$1001,MATCH('Index&amp;Match'!$A407,'Main Data'!$A$1:$A$1001,0),MATCH('Index&amp;Match'!J406,'Main Data'!$A406:$O406,0))</f>
        <v>32</v>
      </c>
      <c r="K407" s="11">
        <f>INDEX('Main Data'!$A$1:$O$1001,MATCH('Index&amp;Match'!$A407,'Main Data'!$A$1:$A$1001,0),MATCH('Index&amp;Match'!K406,'Main Data'!$A406:$O406,0))</f>
        <v>36049.31</v>
      </c>
      <c r="L407" s="11">
        <f>INDEX('Main Data'!$A$1:$O$1001,MATCH('Index&amp;Match'!$A407,'Main Data'!$A$1:$A$1001,0),MATCH('Index&amp;Match'!L406,'Main Data'!$A406:$O406,0))</f>
        <v>248.17</v>
      </c>
      <c r="M407" s="11">
        <f>INDEX('Main Data'!$A$1:$O$1001,MATCH('Index&amp;Match'!$A407,'Main Data'!$A$1:$A$1001,0),MATCH('Index&amp;Match'!M406,'Main Data'!$A406:$O406,0))</f>
        <v>90.42</v>
      </c>
      <c r="N407" s="2" t="str">
        <f>INDEX('Main Data'!$A$1:$O$1001,MATCH('Index&amp;Match'!$A407,'Main Data'!$A$1:$A$1001,0),MATCH('Index&amp;Match'!N406,'Main Data'!$A406:$O406,0))</f>
        <v>Yes</v>
      </c>
      <c r="O407" s="2">
        <f>INDEX('Main Data'!$A$1:$O$1001,MATCH('Index&amp;Match'!$A407,'Main Data'!$A$1:$A$1001,0),MATCH('Index&amp;Match'!O406,'Main Data'!$A406:$O406,0))</f>
        <v>32</v>
      </c>
    </row>
    <row r="408" spans="1:15" x14ac:dyDescent="0.3">
      <c r="A408" s="2" t="s">
        <v>465</v>
      </c>
      <c r="B408" s="1">
        <f>INDEX('Main Data'!$A$1:$O$1001,MATCH('Index&amp;Match'!$A408,'Main Data'!$A$1:$A$1001,0),MATCH('Index&amp;Match'!B407,'Main Data'!$A407:$O407,0))</f>
        <v>46056</v>
      </c>
      <c r="C408" s="2" t="str">
        <f>INDEX('Main Data'!$A$1:$O$1001,MATCH('Index&amp;Match'!$A408,'Main Data'!$A$1:$A$1001,0),MATCH('Index&amp;Match'!C407,'Main Data'!$A407:$O407,0))</f>
        <v>Sam</v>
      </c>
      <c r="D408" s="2" t="str">
        <f>INDEX('Main Data'!$A$1:$O$1001,MATCH('Index&amp;Match'!$A408,'Main Data'!$A$1:$A$1001,0),MATCH('Index&amp;Match'!D407,'Main Data'!$A407:$O407,0))</f>
        <v>BR-015</v>
      </c>
      <c r="E408" s="2" t="str">
        <f>INDEX('Main Data'!$A$1:$O$1001,MATCH('Index&amp;Match'!$A408,'Main Data'!$A$1:$A$1001,0),MATCH('Index&amp;Match'!E407,'Main Data'!$A407:$O407,0))</f>
        <v>North</v>
      </c>
      <c r="F408" s="2" t="str">
        <f>INDEX('Main Data'!$A$1:$O$1001,MATCH('Index&amp;Match'!$A408,'Main Data'!$A$1:$A$1001,0),MATCH('Index&amp;Match'!F407,'Main Data'!$A407:$O407,0))</f>
        <v>Auto Loan</v>
      </c>
      <c r="G408" s="2" t="str">
        <f>INDEX('Main Data'!$A$1:$O$1001,MATCH('Index&amp;Match'!$A408,'Main Data'!$A$1:$A$1001,0),MATCH('Index&amp;Match'!G407,'Main Data'!$A407:$O407,0))</f>
        <v>Social Media</v>
      </c>
      <c r="H408" s="2" t="str">
        <f>INDEX('Main Data'!$A$1:$O$1001,MATCH('Index&amp;Match'!$A408,'Main Data'!$A$1:$A$1001,0),MATCH('Index&amp;Match'!H407,'Main Data'!$A407:$O407,0))</f>
        <v>Corporate</v>
      </c>
      <c r="I408" s="2">
        <f>INDEX('Main Data'!$A$1:$O$1001,MATCH('Index&amp;Match'!$A408,'Main Data'!$A$1:$A$1001,0),MATCH('Index&amp;Match'!I407,'Main Data'!$A407:$O407,0))</f>
        <v>42</v>
      </c>
      <c r="J408" s="2">
        <f>INDEX('Main Data'!$A$1:$O$1001,MATCH('Index&amp;Match'!$A408,'Main Data'!$A$1:$A$1001,0),MATCH('Index&amp;Match'!J407,'Main Data'!$A407:$O407,0))</f>
        <v>42</v>
      </c>
      <c r="K408" s="11">
        <f>INDEX('Main Data'!$A$1:$O$1001,MATCH('Index&amp;Match'!$A408,'Main Data'!$A$1:$A$1001,0),MATCH('Index&amp;Match'!K407,'Main Data'!$A407:$O407,0))</f>
        <v>6658.88</v>
      </c>
      <c r="L408" s="11">
        <f>INDEX('Main Data'!$A$1:$O$1001,MATCH('Index&amp;Match'!$A408,'Main Data'!$A$1:$A$1001,0),MATCH('Index&amp;Match'!L407,'Main Data'!$A407:$O407,0))</f>
        <v>296.95</v>
      </c>
      <c r="M408" s="11">
        <f>INDEX('Main Data'!$A$1:$O$1001,MATCH('Index&amp;Match'!$A408,'Main Data'!$A$1:$A$1001,0),MATCH('Index&amp;Match'!M407,'Main Data'!$A407:$O407,0))</f>
        <v>125.2</v>
      </c>
      <c r="N408" s="2" t="str">
        <f>INDEX('Main Data'!$A$1:$O$1001,MATCH('Index&amp;Match'!$A408,'Main Data'!$A$1:$A$1001,0),MATCH('Index&amp;Match'!N407,'Main Data'!$A407:$O407,0))</f>
        <v>Yes</v>
      </c>
      <c r="O408" s="2">
        <f>INDEX('Main Data'!$A$1:$O$1001,MATCH('Index&amp;Match'!$A408,'Main Data'!$A$1:$A$1001,0),MATCH('Index&amp;Match'!O407,'Main Data'!$A407:$O407,0))</f>
        <v>42</v>
      </c>
    </row>
    <row r="409" spans="1:15" x14ac:dyDescent="0.3">
      <c r="A409" s="2" t="s">
        <v>466</v>
      </c>
      <c r="B409" s="1">
        <f>INDEX('Main Data'!$A$1:$O$1001,MATCH('Index&amp;Match'!$A409,'Main Data'!$A$1:$A$1001,0),MATCH('Index&amp;Match'!B408,'Main Data'!$A408:$O408,0))</f>
        <v>46161</v>
      </c>
      <c r="C409" s="2" t="str">
        <f>INDEX('Main Data'!$A$1:$O$1001,MATCH('Index&amp;Match'!$A409,'Main Data'!$A$1:$A$1001,0),MATCH('Index&amp;Match'!C408,'Main Data'!$A408:$O408,0))</f>
        <v>Drew</v>
      </c>
      <c r="D409" s="2" t="str">
        <f>INDEX('Main Data'!$A$1:$O$1001,MATCH('Index&amp;Match'!$A409,'Main Data'!$A$1:$A$1001,0),MATCH('Index&amp;Match'!D408,'Main Data'!$A408:$O408,0))</f>
        <v>BR-008</v>
      </c>
      <c r="E409" s="2" t="str">
        <f>INDEX('Main Data'!$A$1:$O$1001,MATCH('Index&amp;Match'!$A409,'Main Data'!$A$1:$A$1001,0),MATCH('Index&amp;Match'!E408,'Main Data'!$A408:$O408,0))</f>
        <v>Central</v>
      </c>
      <c r="F409" s="2" t="str">
        <f>INDEX('Main Data'!$A$1:$O$1001,MATCH('Index&amp;Match'!$A409,'Main Data'!$A$1:$A$1001,0),MATCH('Index&amp;Match'!F408,'Main Data'!$A408:$O408,0))</f>
        <v>Personal Loan</v>
      </c>
      <c r="G409" s="2" t="str">
        <f>INDEX('Main Data'!$A$1:$O$1001,MATCH('Index&amp;Match'!$A409,'Main Data'!$A$1:$A$1001,0),MATCH('Index&amp;Match'!G408,'Main Data'!$A408:$O408,0))</f>
        <v>Walk-in</v>
      </c>
      <c r="H409" s="2" t="str">
        <f>INDEX('Main Data'!$A$1:$O$1001,MATCH('Index&amp;Match'!$A409,'Main Data'!$A$1:$A$1001,0),MATCH('Index&amp;Match'!H408,'Main Data'!$A408:$O408,0))</f>
        <v>Retail</v>
      </c>
      <c r="I409" s="2">
        <f>INDEX('Main Data'!$A$1:$O$1001,MATCH('Index&amp;Match'!$A409,'Main Data'!$A$1:$A$1001,0),MATCH('Index&amp;Match'!I408,'Main Data'!$A408:$O408,0))</f>
        <v>26</v>
      </c>
      <c r="J409" s="2">
        <f>INDEX('Main Data'!$A$1:$O$1001,MATCH('Index&amp;Match'!$A409,'Main Data'!$A$1:$A$1001,0),MATCH('Index&amp;Match'!J408,'Main Data'!$A408:$O408,0))</f>
        <v>26</v>
      </c>
      <c r="K409" s="11">
        <f>INDEX('Main Data'!$A$1:$O$1001,MATCH('Index&amp;Match'!$A409,'Main Data'!$A$1:$A$1001,0),MATCH('Index&amp;Match'!K408,'Main Data'!$A408:$O408,0))</f>
        <v>30180.06</v>
      </c>
      <c r="L409" s="11">
        <f>INDEX('Main Data'!$A$1:$O$1001,MATCH('Index&amp;Match'!$A409,'Main Data'!$A$1:$A$1001,0),MATCH('Index&amp;Match'!L408,'Main Data'!$A408:$O408,0))</f>
        <v>408.33</v>
      </c>
      <c r="M409" s="11">
        <f>INDEX('Main Data'!$A$1:$O$1001,MATCH('Index&amp;Match'!$A409,'Main Data'!$A$1:$A$1001,0),MATCH('Index&amp;Match'!M408,'Main Data'!$A408:$O408,0))</f>
        <v>30.11</v>
      </c>
      <c r="N409" s="2" t="str">
        <f>INDEX('Main Data'!$A$1:$O$1001,MATCH('Index&amp;Match'!$A409,'Main Data'!$A$1:$A$1001,0),MATCH('Index&amp;Match'!N408,'Main Data'!$A408:$O408,0))</f>
        <v>No</v>
      </c>
      <c r="O409" s="2">
        <f>INDEX('Main Data'!$A$1:$O$1001,MATCH('Index&amp;Match'!$A409,'Main Data'!$A$1:$A$1001,0),MATCH('Index&amp;Match'!O408,'Main Data'!$A408:$O408,0))</f>
        <v>26</v>
      </c>
    </row>
    <row r="410" spans="1:15" x14ac:dyDescent="0.3">
      <c r="A410" s="2" t="s">
        <v>467</v>
      </c>
      <c r="B410" s="1">
        <f>INDEX('Main Data'!$A$1:$O$1001,MATCH('Index&amp;Match'!$A410,'Main Data'!$A$1:$A$1001,0),MATCH('Index&amp;Match'!B409,'Main Data'!$A409:$O409,0))</f>
        <v>46196</v>
      </c>
      <c r="C410" s="2" t="str">
        <f>INDEX('Main Data'!$A$1:$O$1001,MATCH('Index&amp;Match'!$A410,'Main Data'!$A$1:$A$1001,0),MATCH('Index&amp;Match'!C409,'Main Data'!$A409:$O409,0))</f>
        <v>Morgan</v>
      </c>
      <c r="D410" s="2" t="str">
        <f>INDEX('Main Data'!$A$1:$O$1001,MATCH('Index&amp;Match'!$A410,'Main Data'!$A$1:$A$1001,0),MATCH('Index&amp;Match'!D409,'Main Data'!$A409:$O409,0))</f>
        <v>BR-006</v>
      </c>
      <c r="E410" s="2" t="str">
        <f>INDEX('Main Data'!$A$1:$O$1001,MATCH('Index&amp;Match'!$A410,'Main Data'!$A$1:$A$1001,0),MATCH('Index&amp;Match'!E409,'Main Data'!$A409:$O409,0))</f>
        <v>South</v>
      </c>
      <c r="F410" s="2" t="str">
        <f>INDEX('Main Data'!$A$1:$O$1001,MATCH('Index&amp;Match'!$A410,'Main Data'!$A$1:$A$1001,0),MATCH('Index&amp;Match'!F409,'Main Data'!$A409:$O409,0))</f>
        <v>Personal Loan</v>
      </c>
      <c r="G410" s="2" t="str">
        <f>INDEX('Main Data'!$A$1:$O$1001,MATCH('Index&amp;Match'!$A410,'Main Data'!$A$1:$A$1001,0),MATCH('Index&amp;Match'!G409,'Main Data'!$A409:$O409,0))</f>
        <v>Website</v>
      </c>
      <c r="H410" s="2" t="str">
        <f>INDEX('Main Data'!$A$1:$O$1001,MATCH('Index&amp;Match'!$A410,'Main Data'!$A$1:$A$1001,0),MATCH('Index&amp;Match'!H409,'Main Data'!$A409:$O409,0))</f>
        <v>Corporate</v>
      </c>
      <c r="I410" s="2">
        <f>INDEX('Main Data'!$A$1:$O$1001,MATCH('Index&amp;Match'!$A410,'Main Data'!$A$1:$A$1001,0),MATCH('Index&amp;Match'!I409,'Main Data'!$A409:$O409,0))</f>
        <v>56</v>
      </c>
      <c r="J410" s="2">
        <f>INDEX('Main Data'!$A$1:$O$1001,MATCH('Index&amp;Match'!$A410,'Main Data'!$A$1:$A$1001,0),MATCH('Index&amp;Match'!J409,'Main Data'!$A409:$O409,0))</f>
        <v>56</v>
      </c>
      <c r="K410" s="11">
        <f>INDEX('Main Data'!$A$1:$O$1001,MATCH('Index&amp;Match'!$A410,'Main Data'!$A$1:$A$1001,0),MATCH('Index&amp;Match'!K409,'Main Data'!$A409:$O409,0))</f>
        <v>27742.39</v>
      </c>
      <c r="L410" s="11">
        <f>INDEX('Main Data'!$A$1:$O$1001,MATCH('Index&amp;Match'!$A410,'Main Data'!$A$1:$A$1001,0),MATCH('Index&amp;Match'!L409,'Main Data'!$A409:$O409,0))</f>
        <v>312.38</v>
      </c>
      <c r="M410" s="11">
        <f>INDEX('Main Data'!$A$1:$O$1001,MATCH('Index&amp;Match'!$A410,'Main Data'!$A$1:$A$1001,0),MATCH('Index&amp;Match'!M409,'Main Data'!$A409:$O409,0))</f>
        <v>93.81</v>
      </c>
      <c r="N410" s="2" t="str">
        <f>INDEX('Main Data'!$A$1:$O$1001,MATCH('Index&amp;Match'!$A410,'Main Data'!$A$1:$A$1001,0),MATCH('Index&amp;Match'!N409,'Main Data'!$A409:$O409,0))</f>
        <v>No</v>
      </c>
      <c r="O410" s="2">
        <f>INDEX('Main Data'!$A$1:$O$1001,MATCH('Index&amp;Match'!$A410,'Main Data'!$A$1:$A$1001,0),MATCH('Index&amp;Match'!O409,'Main Data'!$A409:$O409,0))</f>
        <v>56</v>
      </c>
    </row>
    <row r="411" spans="1:15" x14ac:dyDescent="0.3">
      <c r="A411" s="2" t="s">
        <v>468</v>
      </c>
      <c r="B411" s="1">
        <f>INDEX('Main Data'!$A$1:$O$1001,MATCH('Index&amp;Match'!$A411,'Main Data'!$A$1:$A$1001,0),MATCH('Index&amp;Match'!B410,'Main Data'!$A410:$O410,0))</f>
        <v>46092</v>
      </c>
      <c r="C411" s="2" t="str">
        <f>INDEX('Main Data'!$A$1:$O$1001,MATCH('Index&amp;Match'!$A411,'Main Data'!$A$1:$A$1001,0),MATCH('Index&amp;Match'!C410,'Main Data'!$A410:$O410,0))</f>
        <v>Sam</v>
      </c>
      <c r="D411" s="2" t="str">
        <f>INDEX('Main Data'!$A$1:$O$1001,MATCH('Index&amp;Match'!$A411,'Main Data'!$A$1:$A$1001,0),MATCH('Index&amp;Match'!D410,'Main Data'!$A410:$O410,0))</f>
        <v>BR-007</v>
      </c>
      <c r="E411" s="2" t="str">
        <f>INDEX('Main Data'!$A$1:$O$1001,MATCH('Index&amp;Match'!$A411,'Main Data'!$A$1:$A$1001,0),MATCH('Index&amp;Match'!E410,'Main Data'!$A410:$O410,0))</f>
        <v>Central</v>
      </c>
      <c r="F411" s="2" t="str">
        <f>INDEX('Main Data'!$A$1:$O$1001,MATCH('Index&amp;Match'!$A411,'Main Data'!$A$1:$A$1001,0),MATCH('Index&amp;Match'!F410,'Main Data'!$A410:$O410,0))</f>
        <v>Wealth Management</v>
      </c>
      <c r="G411" s="2" t="str">
        <f>INDEX('Main Data'!$A$1:$O$1001,MATCH('Index&amp;Match'!$A411,'Main Data'!$A$1:$A$1001,0),MATCH('Index&amp;Match'!G410,'Main Data'!$A410:$O410,0))</f>
        <v>Social Media</v>
      </c>
      <c r="H411" s="2" t="str">
        <f>INDEX('Main Data'!$A$1:$O$1001,MATCH('Index&amp;Match'!$A411,'Main Data'!$A$1:$A$1001,0),MATCH('Index&amp;Match'!H410,'Main Data'!$A410:$O410,0))</f>
        <v>High Net Worth</v>
      </c>
      <c r="I411" s="2">
        <f>INDEX('Main Data'!$A$1:$O$1001,MATCH('Index&amp;Match'!$A411,'Main Data'!$A$1:$A$1001,0),MATCH('Index&amp;Match'!I410,'Main Data'!$A410:$O410,0))</f>
        <v>65</v>
      </c>
      <c r="J411" s="2">
        <f>INDEX('Main Data'!$A$1:$O$1001,MATCH('Index&amp;Match'!$A411,'Main Data'!$A$1:$A$1001,0),MATCH('Index&amp;Match'!J410,'Main Data'!$A410:$O410,0))</f>
        <v>65</v>
      </c>
      <c r="K411" s="11">
        <f>INDEX('Main Data'!$A$1:$O$1001,MATCH('Index&amp;Match'!$A411,'Main Data'!$A$1:$A$1001,0),MATCH('Index&amp;Match'!K410,'Main Data'!$A410:$O410,0))</f>
        <v>25940.79</v>
      </c>
      <c r="L411" s="11">
        <f>INDEX('Main Data'!$A$1:$O$1001,MATCH('Index&amp;Match'!$A411,'Main Data'!$A$1:$A$1001,0),MATCH('Index&amp;Match'!L410,'Main Data'!$A410:$O410,0))</f>
        <v>482.1</v>
      </c>
      <c r="M411" s="11">
        <f>INDEX('Main Data'!$A$1:$O$1001,MATCH('Index&amp;Match'!$A411,'Main Data'!$A$1:$A$1001,0),MATCH('Index&amp;Match'!M410,'Main Data'!$A410:$O410,0))</f>
        <v>151.32</v>
      </c>
      <c r="N411" s="2" t="str">
        <f>INDEX('Main Data'!$A$1:$O$1001,MATCH('Index&amp;Match'!$A411,'Main Data'!$A$1:$A$1001,0),MATCH('Index&amp;Match'!N410,'Main Data'!$A410:$O410,0))</f>
        <v>Yes</v>
      </c>
      <c r="O411" s="2">
        <f>INDEX('Main Data'!$A$1:$O$1001,MATCH('Index&amp;Match'!$A411,'Main Data'!$A$1:$A$1001,0),MATCH('Index&amp;Match'!O410,'Main Data'!$A410:$O410,0))</f>
        <v>65</v>
      </c>
    </row>
    <row r="412" spans="1:15" x14ac:dyDescent="0.3">
      <c r="A412" s="2" t="s">
        <v>469</v>
      </c>
      <c r="B412" s="1">
        <f>INDEX('Main Data'!$A$1:$O$1001,MATCH('Index&amp;Match'!$A412,'Main Data'!$A$1:$A$1001,0),MATCH('Index&amp;Match'!B411,'Main Data'!$A411:$O411,0))</f>
        <v>46047</v>
      </c>
      <c r="C412" s="2" t="str">
        <f>INDEX('Main Data'!$A$1:$O$1001,MATCH('Index&amp;Match'!$A412,'Main Data'!$A$1:$A$1001,0),MATCH('Index&amp;Match'!C411,'Main Data'!$A411:$O411,0))</f>
        <v>Taylor</v>
      </c>
      <c r="D412" s="2" t="str">
        <f>INDEX('Main Data'!$A$1:$O$1001,MATCH('Index&amp;Match'!$A412,'Main Data'!$A$1:$A$1001,0),MATCH('Index&amp;Match'!D411,'Main Data'!$A411:$O411,0))</f>
        <v>BR-003</v>
      </c>
      <c r="E412" s="2" t="str">
        <f>INDEX('Main Data'!$A$1:$O$1001,MATCH('Index&amp;Match'!$A412,'Main Data'!$A$1:$A$1001,0),MATCH('Index&amp;Match'!E411,'Main Data'!$A411:$O411,0))</f>
        <v>West</v>
      </c>
      <c r="F412" s="2" t="str">
        <f>INDEX('Main Data'!$A$1:$O$1001,MATCH('Index&amp;Match'!$A412,'Main Data'!$A$1:$A$1001,0),MATCH('Index&amp;Match'!F411,'Main Data'!$A411:$O411,0))</f>
        <v>Mortgage</v>
      </c>
      <c r="G412" s="2" t="str">
        <f>INDEX('Main Data'!$A$1:$O$1001,MATCH('Index&amp;Match'!$A412,'Main Data'!$A$1:$A$1001,0),MATCH('Index&amp;Match'!G411,'Main Data'!$A411:$O411,0))</f>
        <v>Social Media</v>
      </c>
      <c r="H412" s="2" t="str">
        <f>INDEX('Main Data'!$A$1:$O$1001,MATCH('Index&amp;Match'!$A412,'Main Data'!$A$1:$A$1001,0),MATCH('Index&amp;Match'!H411,'Main Data'!$A411:$O411,0))</f>
        <v>SME</v>
      </c>
      <c r="I412" s="2">
        <f>INDEX('Main Data'!$A$1:$O$1001,MATCH('Index&amp;Match'!$A412,'Main Data'!$A$1:$A$1001,0),MATCH('Index&amp;Match'!I411,'Main Data'!$A411:$O411,0))</f>
        <v>56</v>
      </c>
      <c r="J412" s="2">
        <f>INDEX('Main Data'!$A$1:$O$1001,MATCH('Index&amp;Match'!$A412,'Main Data'!$A$1:$A$1001,0),MATCH('Index&amp;Match'!J411,'Main Data'!$A411:$O411,0))</f>
        <v>56</v>
      </c>
      <c r="K412" s="11">
        <f>INDEX('Main Data'!$A$1:$O$1001,MATCH('Index&amp;Match'!$A412,'Main Data'!$A$1:$A$1001,0),MATCH('Index&amp;Match'!K411,'Main Data'!$A411:$O411,0))</f>
        <v>34661.089999999997</v>
      </c>
      <c r="L412" s="11">
        <f>INDEX('Main Data'!$A$1:$O$1001,MATCH('Index&amp;Match'!$A412,'Main Data'!$A$1:$A$1001,0),MATCH('Index&amp;Match'!L411,'Main Data'!$A411:$O411,0))</f>
        <v>347.15</v>
      </c>
      <c r="M412" s="11">
        <f>INDEX('Main Data'!$A$1:$O$1001,MATCH('Index&amp;Match'!$A412,'Main Data'!$A$1:$A$1001,0),MATCH('Index&amp;Match'!M411,'Main Data'!$A411:$O411,0))</f>
        <v>117.02</v>
      </c>
      <c r="N412" s="2" t="str">
        <f>INDEX('Main Data'!$A$1:$O$1001,MATCH('Index&amp;Match'!$A412,'Main Data'!$A$1:$A$1001,0),MATCH('Index&amp;Match'!N411,'Main Data'!$A411:$O411,0))</f>
        <v>No</v>
      </c>
      <c r="O412" s="2">
        <f>INDEX('Main Data'!$A$1:$O$1001,MATCH('Index&amp;Match'!$A412,'Main Data'!$A$1:$A$1001,0),MATCH('Index&amp;Match'!O411,'Main Data'!$A411:$O411,0))</f>
        <v>56</v>
      </c>
    </row>
    <row r="413" spans="1:15" x14ac:dyDescent="0.3">
      <c r="A413" s="2" t="s">
        <v>470</v>
      </c>
      <c r="B413" s="1">
        <f>INDEX('Main Data'!$A$1:$O$1001,MATCH('Index&amp;Match'!$A413,'Main Data'!$A$1:$A$1001,0),MATCH('Index&amp;Match'!B412,'Main Data'!$A412:$O412,0))</f>
        <v>46165</v>
      </c>
      <c r="C413" s="2" t="str">
        <f>INDEX('Main Data'!$A$1:$O$1001,MATCH('Index&amp;Match'!$A413,'Main Data'!$A$1:$A$1001,0),MATCH('Index&amp;Match'!C412,'Main Data'!$A412:$O412,0))</f>
        <v>Drew</v>
      </c>
      <c r="D413" s="2" t="str">
        <f>INDEX('Main Data'!$A$1:$O$1001,MATCH('Index&amp;Match'!$A413,'Main Data'!$A$1:$A$1001,0),MATCH('Index&amp;Match'!D412,'Main Data'!$A412:$O412,0))</f>
        <v>BR-014</v>
      </c>
      <c r="E413" s="2" t="str">
        <f>INDEX('Main Data'!$A$1:$O$1001,MATCH('Index&amp;Match'!$A413,'Main Data'!$A$1:$A$1001,0),MATCH('Index&amp;Match'!E412,'Main Data'!$A412:$O412,0))</f>
        <v>Central</v>
      </c>
      <c r="F413" s="2" t="str">
        <f>INDEX('Main Data'!$A$1:$O$1001,MATCH('Index&amp;Match'!$A413,'Main Data'!$A$1:$A$1001,0),MATCH('Index&amp;Match'!F412,'Main Data'!$A412:$O412,0))</f>
        <v>Wealth Management</v>
      </c>
      <c r="G413" s="2" t="str">
        <f>INDEX('Main Data'!$A$1:$O$1001,MATCH('Index&amp;Match'!$A413,'Main Data'!$A$1:$A$1001,0),MATCH('Index&amp;Match'!G412,'Main Data'!$A412:$O412,0))</f>
        <v>Email Campaign</v>
      </c>
      <c r="H413" s="2" t="str">
        <f>INDEX('Main Data'!$A$1:$O$1001,MATCH('Index&amp;Match'!$A413,'Main Data'!$A$1:$A$1001,0),MATCH('Index&amp;Match'!H412,'Main Data'!$A412:$O412,0))</f>
        <v>High Net Worth</v>
      </c>
      <c r="I413" s="2">
        <f>INDEX('Main Data'!$A$1:$O$1001,MATCH('Index&amp;Match'!$A413,'Main Data'!$A$1:$A$1001,0),MATCH('Index&amp;Match'!I412,'Main Data'!$A412:$O412,0))</f>
        <v>42</v>
      </c>
      <c r="J413" s="2">
        <f>INDEX('Main Data'!$A$1:$O$1001,MATCH('Index&amp;Match'!$A413,'Main Data'!$A$1:$A$1001,0),MATCH('Index&amp;Match'!J412,'Main Data'!$A412:$O412,0))</f>
        <v>42</v>
      </c>
      <c r="K413" s="11">
        <f>INDEX('Main Data'!$A$1:$O$1001,MATCH('Index&amp;Match'!$A413,'Main Data'!$A$1:$A$1001,0),MATCH('Index&amp;Match'!K412,'Main Data'!$A412:$O412,0))</f>
        <v>41953.75</v>
      </c>
      <c r="L413" s="11">
        <f>INDEX('Main Data'!$A$1:$O$1001,MATCH('Index&amp;Match'!$A413,'Main Data'!$A$1:$A$1001,0),MATCH('Index&amp;Match'!L412,'Main Data'!$A412:$O412,0))</f>
        <v>285.22000000000003</v>
      </c>
      <c r="M413" s="11">
        <f>INDEX('Main Data'!$A$1:$O$1001,MATCH('Index&amp;Match'!$A413,'Main Data'!$A$1:$A$1001,0),MATCH('Index&amp;Match'!M412,'Main Data'!$A412:$O412,0))</f>
        <v>153.94</v>
      </c>
      <c r="N413" s="2" t="str">
        <f>INDEX('Main Data'!$A$1:$O$1001,MATCH('Index&amp;Match'!$A413,'Main Data'!$A$1:$A$1001,0),MATCH('Index&amp;Match'!N412,'Main Data'!$A412:$O412,0))</f>
        <v>No</v>
      </c>
      <c r="O413" s="2">
        <f>INDEX('Main Data'!$A$1:$O$1001,MATCH('Index&amp;Match'!$A413,'Main Data'!$A$1:$A$1001,0),MATCH('Index&amp;Match'!O412,'Main Data'!$A412:$O412,0))</f>
        <v>42</v>
      </c>
    </row>
    <row r="414" spans="1:15" x14ac:dyDescent="0.3">
      <c r="A414" s="2" t="s">
        <v>471</v>
      </c>
      <c r="B414" s="1">
        <f>INDEX('Main Data'!$A$1:$O$1001,MATCH('Index&amp;Match'!$A414,'Main Data'!$A$1:$A$1001,0),MATCH('Index&amp;Match'!B413,'Main Data'!$A413:$O413,0))</f>
        <v>46013</v>
      </c>
      <c r="C414" s="2" t="str">
        <f>INDEX('Main Data'!$A$1:$O$1001,MATCH('Index&amp;Match'!$A414,'Main Data'!$A$1:$A$1001,0),MATCH('Index&amp;Match'!C413,'Main Data'!$A413:$O413,0))</f>
        <v>Sam</v>
      </c>
      <c r="D414" s="2" t="str">
        <f>INDEX('Main Data'!$A$1:$O$1001,MATCH('Index&amp;Match'!$A414,'Main Data'!$A$1:$A$1001,0),MATCH('Index&amp;Match'!D413,'Main Data'!$A413:$O413,0))</f>
        <v>BR-015</v>
      </c>
      <c r="E414" s="2" t="str">
        <f>INDEX('Main Data'!$A$1:$O$1001,MATCH('Index&amp;Match'!$A414,'Main Data'!$A$1:$A$1001,0),MATCH('Index&amp;Match'!E413,'Main Data'!$A413:$O413,0))</f>
        <v>West</v>
      </c>
      <c r="F414" s="2" t="str">
        <f>INDEX('Main Data'!$A$1:$O$1001,MATCH('Index&amp;Match'!$A414,'Main Data'!$A$1:$A$1001,0),MATCH('Index&amp;Match'!F413,'Main Data'!$A413:$O413,0))</f>
        <v>Auto Loan</v>
      </c>
      <c r="G414" s="2" t="str">
        <f>INDEX('Main Data'!$A$1:$O$1001,MATCH('Index&amp;Match'!$A414,'Main Data'!$A$1:$A$1001,0),MATCH('Index&amp;Match'!G413,'Main Data'!$A413:$O413,0))</f>
        <v>Referral</v>
      </c>
      <c r="H414" s="2" t="str">
        <f>INDEX('Main Data'!$A$1:$O$1001,MATCH('Index&amp;Match'!$A414,'Main Data'!$A$1:$A$1001,0),MATCH('Index&amp;Match'!H413,'Main Data'!$A413:$O413,0))</f>
        <v>Corporate</v>
      </c>
      <c r="I414" s="2">
        <f>INDEX('Main Data'!$A$1:$O$1001,MATCH('Index&amp;Match'!$A414,'Main Data'!$A$1:$A$1001,0),MATCH('Index&amp;Match'!I413,'Main Data'!$A413:$O413,0))</f>
        <v>34</v>
      </c>
      <c r="J414" s="2">
        <f>INDEX('Main Data'!$A$1:$O$1001,MATCH('Index&amp;Match'!$A414,'Main Data'!$A$1:$A$1001,0),MATCH('Index&amp;Match'!J413,'Main Data'!$A413:$O413,0))</f>
        <v>34</v>
      </c>
      <c r="K414" s="11">
        <f>INDEX('Main Data'!$A$1:$O$1001,MATCH('Index&amp;Match'!$A414,'Main Data'!$A$1:$A$1001,0),MATCH('Index&amp;Match'!K413,'Main Data'!$A413:$O413,0))</f>
        <v>16487.990000000002</v>
      </c>
      <c r="L414" s="11">
        <f>INDEX('Main Data'!$A$1:$O$1001,MATCH('Index&amp;Match'!$A414,'Main Data'!$A$1:$A$1001,0),MATCH('Index&amp;Match'!L413,'Main Data'!$A413:$O413,0))</f>
        <v>60.62</v>
      </c>
      <c r="M414" s="11">
        <f>INDEX('Main Data'!$A$1:$O$1001,MATCH('Index&amp;Match'!$A414,'Main Data'!$A$1:$A$1001,0),MATCH('Index&amp;Match'!M413,'Main Data'!$A413:$O413,0))</f>
        <v>99.14</v>
      </c>
      <c r="N414" s="2" t="str">
        <f>INDEX('Main Data'!$A$1:$O$1001,MATCH('Index&amp;Match'!$A414,'Main Data'!$A$1:$A$1001,0),MATCH('Index&amp;Match'!N413,'Main Data'!$A413:$O413,0))</f>
        <v>Yes</v>
      </c>
      <c r="O414" s="2">
        <f>INDEX('Main Data'!$A$1:$O$1001,MATCH('Index&amp;Match'!$A414,'Main Data'!$A$1:$A$1001,0),MATCH('Index&amp;Match'!O413,'Main Data'!$A413:$O413,0))</f>
        <v>34</v>
      </c>
    </row>
    <row r="415" spans="1:15" x14ac:dyDescent="0.3">
      <c r="A415" s="2" t="s">
        <v>472</v>
      </c>
      <c r="B415" s="1">
        <f>INDEX('Main Data'!$A$1:$O$1001,MATCH('Index&amp;Match'!$A415,'Main Data'!$A$1:$A$1001,0),MATCH('Index&amp;Match'!B414,'Main Data'!$A414:$O414,0))</f>
        <v>46116</v>
      </c>
      <c r="C415" s="2" t="str">
        <f>INDEX('Main Data'!$A$1:$O$1001,MATCH('Index&amp;Match'!$A415,'Main Data'!$A$1:$A$1001,0),MATCH('Index&amp;Match'!C414,'Main Data'!$A414:$O414,0))</f>
        <v>Alex</v>
      </c>
      <c r="D415" s="2" t="str">
        <f>INDEX('Main Data'!$A$1:$O$1001,MATCH('Index&amp;Match'!$A415,'Main Data'!$A$1:$A$1001,0),MATCH('Index&amp;Match'!D414,'Main Data'!$A414:$O414,0))</f>
        <v>BR-001</v>
      </c>
      <c r="E415" s="2" t="str">
        <f>INDEX('Main Data'!$A$1:$O$1001,MATCH('Index&amp;Match'!$A415,'Main Data'!$A$1:$A$1001,0),MATCH('Index&amp;Match'!E414,'Main Data'!$A414:$O414,0))</f>
        <v>West</v>
      </c>
      <c r="F415" s="2" t="str">
        <f>INDEX('Main Data'!$A$1:$O$1001,MATCH('Index&amp;Match'!$A415,'Main Data'!$A$1:$A$1001,0),MATCH('Index&amp;Match'!F414,'Main Data'!$A414:$O414,0))</f>
        <v>Wealth Management</v>
      </c>
      <c r="G415" s="2" t="str">
        <f>INDEX('Main Data'!$A$1:$O$1001,MATCH('Index&amp;Match'!$A415,'Main Data'!$A$1:$A$1001,0),MATCH('Index&amp;Match'!G414,'Main Data'!$A414:$O414,0))</f>
        <v>Referral</v>
      </c>
      <c r="H415" s="2" t="str">
        <f>INDEX('Main Data'!$A$1:$O$1001,MATCH('Index&amp;Match'!$A415,'Main Data'!$A$1:$A$1001,0),MATCH('Index&amp;Match'!H414,'Main Data'!$A414:$O414,0))</f>
        <v>Corporate</v>
      </c>
      <c r="I415" s="2">
        <f>INDEX('Main Data'!$A$1:$O$1001,MATCH('Index&amp;Match'!$A415,'Main Data'!$A$1:$A$1001,0),MATCH('Index&amp;Match'!I414,'Main Data'!$A414:$O414,0))</f>
        <v>36</v>
      </c>
      <c r="J415" s="2">
        <f>INDEX('Main Data'!$A$1:$O$1001,MATCH('Index&amp;Match'!$A415,'Main Data'!$A$1:$A$1001,0),MATCH('Index&amp;Match'!J414,'Main Data'!$A414:$O414,0))</f>
        <v>36</v>
      </c>
      <c r="K415" s="11">
        <f>INDEX('Main Data'!$A$1:$O$1001,MATCH('Index&amp;Match'!$A415,'Main Data'!$A$1:$A$1001,0),MATCH('Index&amp;Match'!K414,'Main Data'!$A414:$O414,0))</f>
        <v>44506.1</v>
      </c>
      <c r="L415" s="11">
        <f>INDEX('Main Data'!$A$1:$O$1001,MATCH('Index&amp;Match'!$A415,'Main Data'!$A$1:$A$1001,0),MATCH('Index&amp;Match'!L414,'Main Data'!$A414:$O414,0))</f>
        <v>236.18</v>
      </c>
      <c r="M415" s="11">
        <f>INDEX('Main Data'!$A$1:$O$1001,MATCH('Index&amp;Match'!$A415,'Main Data'!$A$1:$A$1001,0),MATCH('Index&amp;Match'!M414,'Main Data'!$A414:$O414,0))</f>
        <v>66.55</v>
      </c>
      <c r="N415" s="2" t="str">
        <f>INDEX('Main Data'!$A$1:$O$1001,MATCH('Index&amp;Match'!$A415,'Main Data'!$A$1:$A$1001,0),MATCH('Index&amp;Match'!N414,'Main Data'!$A414:$O414,0))</f>
        <v>Yes</v>
      </c>
      <c r="O415" s="2">
        <f>INDEX('Main Data'!$A$1:$O$1001,MATCH('Index&amp;Match'!$A415,'Main Data'!$A$1:$A$1001,0),MATCH('Index&amp;Match'!O414,'Main Data'!$A414:$O414,0))</f>
        <v>36</v>
      </c>
    </row>
    <row r="416" spans="1:15" x14ac:dyDescent="0.3">
      <c r="A416" s="2" t="s">
        <v>473</v>
      </c>
      <c r="B416" s="1">
        <f>INDEX('Main Data'!$A$1:$O$1001,MATCH('Index&amp;Match'!$A416,'Main Data'!$A$1:$A$1001,0),MATCH('Index&amp;Match'!B415,'Main Data'!$A415:$O415,0))</f>
        <v>46152</v>
      </c>
      <c r="C416" s="2" t="str">
        <f>INDEX('Main Data'!$A$1:$O$1001,MATCH('Index&amp;Match'!$A416,'Main Data'!$A$1:$A$1001,0),MATCH('Index&amp;Match'!C415,'Main Data'!$A415:$O415,0))</f>
        <v>Taylor</v>
      </c>
      <c r="D416" s="2" t="str">
        <f>INDEX('Main Data'!$A$1:$O$1001,MATCH('Index&amp;Match'!$A416,'Main Data'!$A$1:$A$1001,0),MATCH('Index&amp;Match'!D415,'Main Data'!$A415:$O415,0))</f>
        <v>BR-005</v>
      </c>
      <c r="E416" s="2" t="str">
        <f>INDEX('Main Data'!$A$1:$O$1001,MATCH('Index&amp;Match'!$A416,'Main Data'!$A$1:$A$1001,0),MATCH('Index&amp;Match'!E415,'Main Data'!$A415:$O415,0))</f>
        <v>West</v>
      </c>
      <c r="F416" s="2" t="str">
        <f>INDEX('Main Data'!$A$1:$O$1001,MATCH('Index&amp;Match'!$A416,'Main Data'!$A$1:$A$1001,0),MATCH('Index&amp;Match'!F415,'Main Data'!$A415:$O415,0))</f>
        <v>Credit Card</v>
      </c>
      <c r="G416" s="2" t="str">
        <f>INDEX('Main Data'!$A$1:$O$1001,MATCH('Index&amp;Match'!$A416,'Main Data'!$A$1:$A$1001,0),MATCH('Index&amp;Match'!G415,'Main Data'!$A415:$O415,0))</f>
        <v>Email Campaign</v>
      </c>
      <c r="H416" s="2" t="str">
        <f>INDEX('Main Data'!$A$1:$O$1001,MATCH('Index&amp;Match'!$A416,'Main Data'!$A$1:$A$1001,0),MATCH('Index&amp;Match'!H415,'Main Data'!$A415:$O415,0))</f>
        <v>High Net Worth</v>
      </c>
      <c r="I416" s="2">
        <f>INDEX('Main Data'!$A$1:$O$1001,MATCH('Index&amp;Match'!$A416,'Main Data'!$A$1:$A$1001,0),MATCH('Index&amp;Match'!I415,'Main Data'!$A415:$O415,0))</f>
        <v>56</v>
      </c>
      <c r="J416" s="2">
        <f>INDEX('Main Data'!$A$1:$O$1001,MATCH('Index&amp;Match'!$A416,'Main Data'!$A$1:$A$1001,0),MATCH('Index&amp;Match'!J415,'Main Data'!$A415:$O415,0))</f>
        <v>56</v>
      </c>
      <c r="K416" s="11">
        <f>INDEX('Main Data'!$A$1:$O$1001,MATCH('Index&amp;Match'!$A416,'Main Data'!$A$1:$A$1001,0),MATCH('Index&amp;Match'!K415,'Main Data'!$A415:$O415,0))</f>
        <v>8451.36</v>
      </c>
      <c r="L416" s="11">
        <f>INDEX('Main Data'!$A$1:$O$1001,MATCH('Index&amp;Match'!$A416,'Main Data'!$A$1:$A$1001,0),MATCH('Index&amp;Match'!L415,'Main Data'!$A415:$O415,0))</f>
        <v>184.66</v>
      </c>
      <c r="M416" s="11">
        <f>INDEX('Main Data'!$A$1:$O$1001,MATCH('Index&amp;Match'!$A416,'Main Data'!$A$1:$A$1001,0),MATCH('Index&amp;Match'!M415,'Main Data'!$A415:$O415,0))</f>
        <v>21.36</v>
      </c>
      <c r="N416" s="2" t="str">
        <f>INDEX('Main Data'!$A$1:$O$1001,MATCH('Index&amp;Match'!$A416,'Main Data'!$A$1:$A$1001,0),MATCH('Index&amp;Match'!N415,'Main Data'!$A415:$O415,0))</f>
        <v>Yes</v>
      </c>
      <c r="O416" s="2">
        <f>INDEX('Main Data'!$A$1:$O$1001,MATCH('Index&amp;Match'!$A416,'Main Data'!$A$1:$A$1001,0),MATCH('Index&amp;Match'!O415,'Main Data'!$A415:$O415,0))</f>
        <v>56</v>
      </c>
    </row>
    <row r="417" spans="1:15" x14ac:dyDescent="0.3">
      <c r="A417" s="2" t="s">
        <v>474</v>
      </c>
      <c r="B417" s="1">
        <f>INDEX('Main Data'!$A$1:$O$1001,MATCH('Index&amp;Match'!$A417,'Main Data'!$A$1:$A$1001,0),MATCH('Index&amp;Match'!B416,'Main Data'!$A416:$O416,0))</f>
        <v>45905</v>
      </c>
      <c r="C417" s="2" t="str">
        <f>INDEX('Main Data'!$A$1:$O$1001,MATCH('Index&amp;Match'!$A417,'Main Data'!$A$1:$A$1001,0),MATCH('Index&amp;Match'!C416,'Main Data'!$A416:$O416,0))</f>
        <v>Alex</v>
      </c>
      <c r="D417" s="2" t="str">
        <f>INDEX('Main Data'!$A$1:$O$1001,MATCH('Index&amp;Match'!$A417,'Main Data'!$A$1:$A$1001,0),MATCH('Index&amp;Match'!D416,'Main Data'!$A416:$O416,0))</f>
        <v>BR-014</v>
      </c>
      <c r="E417" s="2" t="str">
        <f>INDEX('Main Data'!$A$1:$O$1001,MATCH('Index&amp;Match'!$A417,'Main Data'!$A$1:$A$1001,0),MATCH('Index&amp;Match'!E416,'Main Data'!$A416:$O416,0))</f>
        <v>West</v>
      </c>
      <c r="F417" s="2" t="str">
        <f>INDEX('Main Data'!$A$1:$O$1001,MATCH('Index&amp;Match'!$A417,'Main Data'!$A$1:$A$1001,0),MATCH('Index&amp;Match'!F416,'Main Data'!$A416:$O416,0))</f>
        <v>Auto Loan</v>
      </c>
      <c r="G417" s="2" t="str">
        <f>INDEX('Main Data'!$A$1:$O$1001,MATCH('Index&amp;Match'!$A417,'Main Data'!$A$1:$A$1001,0),MATCH('Index&amp;Match'!G416,'Main Data'!$A416:$O416,0))</f>
        <v>Email Campaign</v>
      </c>
      <c r="H417" s="2" t="str">
        <f>INDEX('Main Data'!$A$1:$O$1001,MATCH('Index&amp;Match'!$A417,'Main Data'!$A$1:$A$1001,0),MATCH('Index&amp;Match'!H416,'Main Data'!$A416:$O416,0))</f>
        <v>Corporate</v>
      </c>
      <c r="I417" s="2">
        <f>INDEX('Main Data'!$A$1:$O$1001,MATCH('Index&amp;Match'!$A417,'Main Data'!$A$1:$A$1001,0),MATCH('Index&amp;Match'!I416,'Main Data'!$A416:$O416,0))</f>
        <v>45</v>
      </c>
      <c r="J417" s="2">
        <f>INDEX('Main Data'!$A$1:$O$1001,MATCH('Index&amp;Match'!$A417,'Main Data'!$A$1:$A$1001,0),MATCH('Index&amp;Match'!J416,'Main Data'!$A416:$O416,0))</f>
        <v>45</v>
      </c>
      <c r="K417" s="11">
        <f>INDEX('Main Data'!$A$1:$O$1001,MATCH('Index&amp;Match'!$A417,'Main Data'!$A$1:$A$1001,0),MATCH('Index&amp;Match'!K416,'Main Data'!$A416:$O416,0))</f>
        <v>9064.68</v>
      </c>
      <c r="L417" s="11">
        <f>INDEX('Main Data'!$A$1:$O$1001,MATCH('Index&amp;Match'!$A417,'Main Data'!$A$1:$A$1001,0),MATCH('Index&amp;Match'!L416,'Main Data'!$A416:$O416,0))</f>
        <v>386.65</v>
      </c>
      <c r="M417" s="11">
        <f>INDEX('Main Data'!$A$1:$O$1001,MATCH('Index&amp;Match'!$A417,'Main Data'!$A$1:$A$1001,0),MATCH('Index&amp;Match'!M416,'Main Data'!$A416:$O416,0))</f>
        <v>17.899999999999999</v>
      </c>
      <c r="N417" s="2" t="str">
        <f>INDEX('Main Data'!$A$1:$O$1001,MATCH('Index&amp;Match'!$A417,'Main Data'!$A$1:$A$1001,0),MATCH('Index&amp;Match'!N416,'Main Data'!$A416:$O416,0))</f>
        <v>Yes</v>
      </c>
      <c r="O417" s="2">
        <f>INDEX('Main Data'!$A$1:$O$1001,MATCH('Index&amp;Match'!$A417,'Main Data'!$A$1:$A$1001,0),MATCH('Index&amp;Match'!O416,'Main Data'!$A416:$O416,0))</f>
        <v>45</v>
      </c>
    </row>
    <row r="418" spans="1:15" x14ac:dyDescent="0.3">
      <c r="A418" s="2" t="s">
        <v>475</v>
      </c>
      <c r="B418" s="1">
        <f>INDEX('Main Data'!$A$1:$O$1001,MATCH('Index&amp;Match'!$A418,'Main Data'!$A$1:$A$1001,0),MATCH('Index&amp;Match'!B417,'Main Data'!$A417:$O417,0))</f>
        <v>45907</v>
      </c>
      <c r="C418" s="2" t="str">
        <f>INDEX('Main Data'!$A$1:$O$1001,MATCH('Index&amp;Match'!$A418,'Main Data'!$A$1:$A$1001,0),MATCH('Index&amp;Match'!C417,'Main Data'!$A417:$O417,0))</f>
        <v>Casey</v>
      </c>
      <c r="D418" s="2" t="str">
        <f>INDEX('Main Data'!$A$1:$O$1001,MATCH('Index&amp;Match'!$A418,'Main Data'!$A$1:$A$1001,0),MATCH('Index&amp;Match'!D417,'Main Data'!$A417:$O417,0))</f>
        <v>BR-012</v>
      </c>
      <c r="E418" s="2" t="str">
        <f>INDEX('Main Data'!$A$1:$O$1001,MATCH('Index&amp;Match'!$A418,'Main Data'!$A$1:$A$1001,0),MATCH('Index&amp;Match'!E417,'Main Data'!$A417:$O417,0))</f>
        <v>West</v>
      </c>
      <c r="F418" s="2" t="str">
        <f>INDEX('Main Data'!$A$1:$O$1001,MATCH('Index&amp;Match'!$A418,'Main Data'!$A$1:$A$1001,0),MATCH('Index&amp;Match'!F417,'Main Data'!$A417:$O417,0))</f>
        <v>Personal Loan</v>
      </c>
      <c r="G418" s="2" t="str">
        <f>INDEX('Main Data'!$A$1:$O$1001,MATCH('Index&amp;Match'!$A418,'Main Data'!$A$1:$A$1001,0),MATCH('Index&amp;Match'!G417,'Main Data'!$A417:$O417,0))</f>
        <v>Email Campaign</v>
      </c>
      <c r="H418" s="2" t="str">
        <f>INDEX('Main Data'!$A$1:$O$1001,MATCH('Index&amp;Match'!$A418,'Main Data'!$A$1:$A$1001,0),MATCH('Index&amp;Match'!H417,'Main Data'!$A417:$O417,0))</f>
        <v>Retail</v>
      </c>
      <c r="I418" s="2">
        <f>INDEX('Main Data'!$A$1:$O$1001,MATCH('Index&amp;Match'!$A418,'Main Data'!$A$1:$A$1001,0),MATCH('Index&amp;Match'!I417,'Main Data'!$A417:$O417,0))</f>
        <v>52</v>
      </c>
      <c r="J418" s="2">
        <f>INDEX('Main Data'!$A$1:$O$1001,MATCH('Index&amp;Match'!$A418,'Main Data'!$A$1:$A$1001,0),MATCH('Index&amp;Match'!J417,'Main Data'!$A417:$O417,0))</f>
        <v>52</v>
      </c>
      <c r="K418" s="11">
        <f>INDEX('Main Data'!$A$1:$O$1001,MATCH('Index&amp;Match'!$A418,'Main Data'!$A$1:$A$1001,0),MATCH('Index&amp;Match'!K417,'Main Data'!$A417:$O417,0))</f>
        <v>13705.22</v>
      </c>
      <c r="L418" s="11">
        <f>INDEX('Main Data'!$A$1:$O$1001,MATCH('Index&amp;Match'!$A418,'Main Data'!$A$1:$A$1001,0),MATCH('Index&amp;Match'!L417,'Main Data'!$A417:$O417,0))</f>
        <v>143.72</v>
      </c>
      <c r="M418" s="11">
        <f>INDEX('Main Data'!$A$1:$O$1001,MATCH('Index&amp;Match'!$A418,'Main Data'!$A$1:$A$1001,0),MATCH('Index&amp;Match'!M417,'Main Data'!$A417:$O417,0))</f>
        <v>86.76</v>
      </c>
      <c r="N418" s="2" t="str">
        <f>INDEX('Main Data'!$A$1:$O$1001,MATCH('Index&amp;Match'!$A418,'Main Data'!$A$1:$A$1001,0),MATCH('Index&amp;Match'!N417,'Main Data'!$A417:$O417,0))</f>
        <v>Yes</v>
      </c>
      <c r="O418" s="2">
        <f>INDEX('Main Data'!$A$1:$O$1001,MATCH('Index&amp;Match'!$A418,'Main Data'!$A$1:$A$1001,0),MATCH('Index&amp;Match'!O417,'Main Data'!$A417:$O417,0))</f>
        <v>52</v>
      </c>
    </row>
    <row r="419" spans="1:15" x14ac:dyDescent="0.3">
      <c r="A419" s="2" t="s">
        <v>476</v>
      </c>
      <c r="B419" s="1">
        <f>INDEX('Main Data'!$A$1:$O$1001,MATCH('Index&amp;Match'!$A419,'Main Data'!$A$1:$A$1001,0),MATCH('Index&amp;Match'!B418,'Main Data'!$A418:$O418,0))</f>
        <v>45958</v>
      </c>
      <c r="C419" s="2" t="str">
        <f>INDEX('Main Data'!$A$1:$O$1001,MATCH('Index&amp;Match'!$A419,'Main Data'!$A$1:$A$1001,0),MATCH('Index&amp;Match'!C418,'Main Data'!$A418:$O418,0))</f>
        <v>Jordan</v>
      </c>
      <c r="D419" s="2" t="str">
        <f>INDEX('Main Data'!$A$1:$O$1001,MATCH('Index&amp;Match'!$A419,'Main Data'!$A$1:$A$1001,0),MATCH('Index&amp;Match'!D418,'Main Data'!$A418:$O418,0))</f>
        <v>BR-012</v>
      </c>
      <c r="E419" s="2" t="str">
        <f>INDEX('Main Data'!$A$1:$O$1001,MATCH('Index&amp;Match'!$A419,'Main Data'!$A$1:$A$1001,0),MATCH('Index&amp;Match'!E418,'Main Data'!$A418:$O418,0))</f>
        <v>South</v>
      </c>
      <c r="F419" s="2" t="str">
        <f>INDEX('Main Data'!$A$1:$O$1001,MATCH('Index&amp;Match'!$A419,'Main Data'!$A$1:$A$1001,0),MATCH('Index&amp;Match'!F418,'Main Data'!$A418:$O418,0))</f>
        <v>Mortgage</v>
      </c>
      <c r="G419" s="2" t="str">
        <f>INDEX('Main Data'!$A$1:$O$1001,MATCH('Index&amp;Match'!$A419,'Main Data'!$A$1:$A$1001,0),MATCH('Index&amp;Match'!G418,'Main Data'!$A418:$O418,0))</f>
        <v>Referral</v>
      </c>
      <c r="H419" s="2" t="str">
        <f>INDEX('Main Data'!$A$1:$O$1001,MATCH('Index&amp;Match'!$A419,'Main Data'!$A$1:$A$1001,0),MATCH('Index&amp;Match'!H418,'Main Data'!$A418:$O418,0))</f>
        <v>High Net Worth</v>
      </c>
      <c r="I419" s="2">
        <f>INDEX('Main Data'!$A$1:$O$1001,MATCH('Index&amp;Match'!$A419,'Main Data'!$A$1:$A$1001,0),MATCH('Index&amp;Match'!I418,'Main Data'!$A418:$O418,0))</f>
        <v>53</v>
      </c>
      <c r="J419" s="2">
        <f>INDEX('Main Data'!$A$1:$O$1001,MATCH('Index&amp;Match'!$A419,'Main Data'!$A$1:$A$1001,0),MATCH('Index&amp;Match'!J418,'Main Data'!$A418:$O418,0))</f>
        <v>53</v>
      </c>
      <c r="K419" s="11">
        <f>INDEX('Main Data'!$A$1:$O$1001,MATCH('Index&amp;Match'!$A419,'Main Data'!$A$1:$A$1001,0),MATCH('Index&amp;Match'!K418,'Main Data'!$A418:$O418,0))</f>
        <v>6416.78</v>
      </c>
      <c r="L419" s="11">
        <f>INDEX('Main Data'!$A$1:$O$1001,MATCH('Index&amp;Match'!$A419,'Main Data'!$A$1:$A$1001,0),MATCH('Index&amp;Match'!L418,'Main Data'!$A418:$O418,0))</f>
        <v>142.35</v>
      </c>
      <c r="M419" s="11">
        <f>INDEX('Main Data'!$A$1:$O$1001,MATCH('Index&amp;Match'!$A419,'Main Data'!$A$1:$A$1001,0),MATCH('Index&amp;Match'!M418,'Main Data'!$A418:$O418,0))</f>
        <v>106.74</v>
      </c>
      <c r="N419" s="2" t="str">
        <f>INDEX('Main Data'!$A$1:$O$1001,MATCH('Index&amp;Match'!$A419,'Main Data'!$A$1:$A$1001,0),MATCH('Index&amp;Match'!N418,'Main Data'!$A418:$O418,0))</f>
        <v>No</v>
      </c>
      <c r="O419" s="2">
        <f>INDEX('Main Data'!$A$1:$O$1001,MATCH('Index&amp;Match'!$A419,'Main Data'!$A$1:$A$1001,0),MATCH('Index&amp;Match'!O418,'Main Data'!$A418:$O418,0))</f>
        <v>53</v>
      </c>
    </row>
    <row r="420" spans="1:15" x14ac:dyDescent="0.3">
      <c r="A420" s="2" t="s">
        <v>477</v>
      </c>
      <c r="B420" s="1">
        <f>INDEX('Main Data'!$A$1:$O$1001,MATCH('Index&amp;Match'!$A420,'Main Data'!$A$1:$A$1001,0),MATCH('Index&amp;Match'!B419,'Main Data'!$A419:$O419,0))</f>
        <v>45894</v>
      </c>
      <c r="C420" s="2" t="str">
        <f>INDEX('Main Data'!$A$1:$O$1001,MATCH('Index&amp;Match'!$A420,'Main Data'!$A$1:$A$1001,0),MATCH('Index&amp;Match'!C419,'Main Data'!$A419:$O419,0))</f>
        <v>Drew</v>
      </c>
      <c r="D420" s="2" t="str">
        <f>INDEX('Main Data'!$A$1:$O$1001,MATCH('Index&amp;Match'!$A420,'Main Data'!$A$1:$A$1001,0),MATCH('Index&amp;Match'!D419,'Main Data'!$A419:$O419,0))</f>
        <v>BR-002</v>
      </c>
      <c r="E420" s="2" t="str">
        <f>INDEX('Main Data'!$A$1:$O$1001,MATCH('Index&amp;Match'!$A420,'Main Data'!$A$1:$A$1001,0),MATCH('Index&amp;Match'!E419,'Main Data'!$A419:$O419,0))</f>
        <v>North</v>
      </c>
      <c r="F420" s="2" t="str">
        <f>INDEX('Main Data'!$A$1:$O$1001,MATCH('Index&amp;Match'!$A420,'Main Data'!$A$1:$A$1001,0),MATCH('Index&amp;Match'!F419,'Main Data'!$A419:$O419,0))</f>
        <v>Auto Loan</v>
      </c>
      <c r="G420" s="2" t="str">
        <f>INDEX('Main Data'!$A$1:$O$1001,MATCH('Index&amp;Match'!$A420,'Main Data'!$A$1:$A$1001,0),MATCH('Index&amp;Match'!G419,'Main Data'!$A419:$O419,0))</f>
        <v>Email Campaign</v>
      </c>
      <c r="H420" s="2" t="str">
        <f>INDEX('Main Data'!$A$1:$O$1001,MATCH('Index&amp;Match'!$A420,'Main Data'!$A$1:$A$1001,0),MATCH('Index&amp;Match'!H419,'Main Data'!$A419:$O419,0))</f>
        <v>SME</v>
      </c>
      <c r="I420" s="2">
        <f>INDEX('Main Data'!$A$1:$O$1001,MATCH('Index&amp;Match'!$A420,'Main Data'!$A$1:$A$1001,0),MATCH('Index&amp;Match'!I419,'Main Data'!$A419:$O419,0))</f>
        <v>65</v>
      </c>
      <c r="J420" s="2">
        <f>INDEX('Main Data'!$A$1:$O$1001,MATCH('Index&amp;Match'!$A420,'Main Data'!$A$1:$A$1001,0),MATCH('Index&amp;Match'!J419,'Main Data'!$A419:$O419,0))</f>
        <v>65</v>
      </c>
      <c r="K420" s="11">
        <f>INDEX('Main Data'!$A$1:$O$1001,MATCH('Index&amp;Match'!$A420,'Main Data'!$A$1:$A$1001,0),MATCH('Index&amp;Match'!K419,'Main Data'!$A419:$O419,0))</f>
        <v>11900.8</v>
      </c>
      <c r="L420" s="11">
        <f>INDEX('Main Data'!$A$1:$O$1001,MATCH('Index&amp;Match'!$A420,'Main Data'!$A$1:$A$1001,0),MATCH('Index&amp;Match'!L419,'Main Data'!$A419:$O419,0))</f>
        <v>135.28</v>
      </c>
      <c r="M420" s="11">
        <f>INDEX('Main Data'!$A$1:$O$1001,MATCH('Index&amp;Match'!$A420,'Main Data'!$A$1:$A$1001,0),MATCH('Index&amp;Match'!M419,'Main Data'!$A419:$O419,0))</f>
        <v>103.23</v>
      </c>
      <c r="N420" s="2" t="str">
        <f>INDEX('Main Data'!$A$1:$O$1001,MATCH('Index&amp;Match'!$A420,'Main Data'!$A$1:$A$1001,0),MATCH('Index&amp;Match'!N419,'Main Data'!$A419:$O419,0))</f>
        <v>No</v>
      </c>
      <c r="O420" s="2">
        <f>INDEX('Main Data'!$A$1:$O$1001,MATCH('Index&amp;Match'!$A420,'Main Data'!$A$1:$A$1001,0),MATCH('Index&amp;Match'!O419,'Main Data'!$A419:$O419,0))</f>
        <v>65</v>
      </c>
    </row>
    <row r="421" spans="1:15" x14ac:dyDescent="0.3">
      <c r="A421" s="2" t="s">
        <v>478</v>
      </c>
      <c r="B421" s="1">
        <f>INDEX('Main Data'!$A$1:$O$1001,MATCH('Index&amp;Match'!$A421,'Main Data'!$A$1:$A$1001,0),MATCH('Index&amp;Match'!B420,'Main Data'!$A420:$O420,0))</f>
        <v>45957</v>
      </c>
      <c r="C421" s="2" t="str">
        <f>INDEX('Main Data'!$A$1:$O$1001,MATCH('Index&amp;Match'!$A421,'Main Data'!$A$1:$A$1001,0),MATCH('Index&amp;Match'!C420,'Main Data'!$A420:$O420,0))</f>
        <v>Sam</v>
      </c>
      <c r="D421" s="2" t="str">
        <f>INDEX('Main Data'!$A$1:$O$1001,MATCH('Index&amp;Match'!$A421,'Main Data'!$A$1:$A$1001,0),MATCH('Index&amp;Match'!D420,'Main Data'!$A420:$O420,0))</f>
        <v>BR-014</v>
      </c>
      <c r="E421" s="2" t="str">
        <f>INDEX('Main Data'!$A$1:$O$1001,MATCH('Index&amp;Match'!$A421,'Main Data'!$A$1:$A$1001,0),MATCH('Index&amp;Match'!E420,'Main Data'!$A420:$O420,0))</f>
        <v>East</v>
      </c>
      <c r="F421" s="2" t="str">
        <f>INDEX('Main Data'!$A$1:$O$1001,MATCH('Index&amp;Match'!$A421,'Main Data'!$A$1:$A$1001,0),MATCH('Index&amp;Match'!F420,'Main Data'!$A420:$O420,0))</f>
        <v>Auto Loan</v>
      </c>
      <c r="G421" s="2" t="str">
        <f>INDEX('Main Data'!$A$1:$O$1001,MATCH('Index&amp;Match'!$A421,'Main Data'!$A$1:$A$1001,0),MATCH('Index&amp;Match'!G420,'Main Data'!$A420:$O420,0))</f>
        <v>Walk-in</v>
      </c>
      <c r="H421" s="2" t="str">
        <f>INDEX('Main Data'!$A$1:$O$1001,MATCH('Index&amp;Match'!$A421,'Main Data'!$A$1:$A$1001,0),MATCH('Index&amp;Match'!H420,'Main Data'!$A420:$O420,0))</f>
        <v>High Net Worth</v>
      </c>
      <c r="I421" s="2">
        <f>INDEX('Main Data'!$A$1:$O$1001,MATCH('Index&amp;Match'!$A421,'Main Data'!$A$1:$A$1001,0),MATCH('Index&amp;Match'!I420,'Main Data'!$A420:$O420,0))</f>
        <v>56</v>
      </c>
      <c r="J421" s="2">
        <f>INDEX('Main Data'!$A$1:$O$1001,MATCH('Index&amp;Match'!$A421,'Main Data'!$A$1:$A$1001,0),MATCH('Index&amp;Match'!J420,'Main Data'!$A420:$O420,0))</f>
        <v>56</v>
      </c>
      <c r="K421" s="11">
        <f>INDEX('Main Data'!$A$1:$O$1001,MATCH('Index&amp;Match'!$A421,'Main Data'!$A$1:$A$1001,0),MATCH('Index&amp;Match'!K420,'Main Data'!$A420:$O420,0))</f>
        <v>5767.38</v>
      </c>
      <c r="L421" s="11">
        <f>INDEX('Main Data'!$A$1:$O$1001,MATCH('Index&amp;Match'!$A421,'Main Data'!$A$1:$A$1001,0),MATCH('Index&amp;Match'!L420,'Main Data'!$A420:$O420,0))</f>
        <v>106.53</v>
      </c>
      <c r="M421" s="11">
        <f>INDEX('Main Data'!$A$1:$O$1001,MATCH('Index&amp;Match'!$A421,'Main Data'!$A$1:$A$1001,0),MATCH('Index&amp;Match'!M420,'Main Data'!$A420:$O420,0))</f>
        <v>91.46</v>
      </c>
      <c r="N421" s="2" t="str">
        <f>INDEX('Main Data'!$A$1:$O$1001,MATCH('Index&amp;Match'!$A421,'Main Data'!$A$1:$A$1001,0),MATCH('Index&amp;Match'!N420,'Main Data'!$A420:$O420,0))</f>
        <v>No</v>
      </c>
      <c r="O421" s="2">
        <f>INDEX('Main Data'!$A$1:$O$1001,MATCH('Index&amp;Match'!$A421,'Main Data'!$A$1:$A$1001,0),MATCH('Index&amp;Match'!O420,'Main Data'!$A420:$O420,0))</f>
        <v>56</v>
      </c>
    </row>
    <row r="422" spans="1:15" x14ac:dyDescent="0.3">
      <c r="A422" s="2" t="s">
        <v>479</v>
      </c>
      <c r="B422" s="1">
        <f>INDEX('Main Data'!$A$1:$O$1001,MATCH('Index&amp;Match'!$A422,'Main Data'!$A$1:$A$1001,0),MATCH('Index&amp;Match'!B421,'Main Data'!$A421:$O421,0))</f>
        <v>45999</v>
      </c>
      <c r="C422" s="2" t="str">
        <f>INDEX('Main Data'!$A$1:$O$1001,MATCH('Index&amp;Match'!$A422,'Main Data'!$A$1:$A$1001,0),MATCH('Index&amp;Match'!C421,'Main Data'!$A421:$O421,0))</f>
        <v>Jordan</v>
      </c>
      <c r="D422" s="2" t="str">
        <f>INDEX('Main Data'!$A$1:$O$1001,MATCH('Index&amp;Match'!$A422,'Main Data'!$A$1:$A$1001,0),MATCH('Index&amp;Match'!D421,'Main Data'!$A421:$O421,0))</f>
        <v>BR-005</v>
      </c>
      <c r="E422" s="2" t="str">
        <f>INDEX('Main Data'!$A$1:$O$1001,MATCH('Index&amp;Match'!$A422,'Main Data'!$A$1:$A$1001,0),MATCH('Index&amp;Match'!E421,'Main Data'!$A421:$O421,0))</f>
        <v>North</v>
      </c>
      <c r="F422" s="2" t="str">
        <f>INDEX('Main Data'!$A$1:$O$1001,MATCH('Index&amp;Match'!$A422,'Main Data'!$A$1:$A$1001,0),MATCH('Index&amp;Match'!F421,'Main Data'!$A421:$O421,0))</f>
        <v>Credit Card</v>
      </c>
      <c r="G422" s="2" t="str">
        <f>INDEX('Main Data'!$A$1:$O$1001,MATCH('Index&amp;Match'!$A422,'Main Data'!$A$1:$A$1001,0),MATCH('Index&amp;Match'!G421,'Main Data'!$A421:$O421,0))</f>
        <v>Social Media</v>
      </c>
      <c r="H422" s="2" t="str">
        <f>INDEX('Main Data'!$A$1:$O$1001,MATCH('Index&amp;Match'!$A422,'Main Data'!$A$1:$A$1001,0),MATCH('Index&amp;Match'!H421,'Main Data'!$A421:$O421,0))</f>
        <v>Retail</v>
      </c>
      <c r="I422" s="2">
        <f>INDEX('Main Data'!$A$1:$O$1001,MATCH('Index&amp;Match'!$A422,'Main Data'!$A$1:$A$1001,0),MATCH('Index&amp;Match'!I421,'Main Data'!$A421:$O421,0))</f>
        <v>40</v>
      </c>
      <c r="J422" s="2">
        <f>INDEX('Main Data'!$A$1:$O$1001,MATCH('Index&amp;Match'!$A422,'Main Data'!$A$1:$A$1001,0),MATCH('Index&amp;Match'!J421,'Main Data'!$A421:$O421,0))</f>
        <v>40</v>
      </c>
      <c r="K422" s="11">
        <f>INDEX('Main Data'!$A$1:$O$1001,MATCH('Index&amp;Match'!$A422,'Main Data'!$A$1:$A$1001,0),MATCH('Index&amp;Match'!K421,'Main Data'!$A421:$O421,0))</f>
        <v>41176.74</v>
      </c>
      <c r="L422" s="11">
        <f>INDEX('Main Data'!$A$1:$O$1001,MATCH('Index&amp;Match'!$A422,'Main Data'!$A$1:$A$1001,0),MATCH('Index&amp;Match'!L421,'Main Data'!$A421:$O421,0))</f>
        <v>189.95</v>
      </c>
      <c r="M422" s="11">
        <f>INDEX('Main Data'!$A$1:$O$1001,MATCH('Index&amp;Match'!$A422,'Main Data'!$A$1:$A$1001,0),MATCH('Index&amp;Match'!M421,'Main Data'!$A421:$O421,0))</f>
        <v>137.58000000000001</v>
      </c>
      <c r="N422" s="2" t="str">
        <f>INDEX('Main Data'!$A$1:$O$1001,MATCH('Index&amp;Match'!$A422,'Main Data'!$A$1:$A$1001,0),MATCH('Index&amp;Match'!N421,'Main Data'!$A421:$O421,0))</f>
        <v>No</v>
      </c>
      <c r="O422" s="2">
        <f>INDEX('Main Data'!$A$1:$O$1001,MATCH('Index&amp;Match'!$A422,'Main Data'!$A$1:$A$1001,0),MATCH('Index&amp;Match'!O421,'Main Data'!$A421:$O421,0))</f>
        <v>40</v>
      </c>
    </row>
    <row r="423" spans="1:15" x14ac:dyDescent="0.3">
      <c r="A423" s="2" t="s">
        <v>480</v>
      </c>
      <c r="B423" s="1">
        <f>INDEX('Main Data'!$A$1:$O$1001,MATCH('Index&amp;Match'!$A423,'Main Data'!$A$1:$A$1001,0),MATCH('Index&amp;Match'!B422,'Main Data'!$A422:$O422,0))</f>
        <v>45955</v>
      </c>
      <c r="C423" s="2" t="str">
        <f>INDEX('Main Data'!$A$1:$O$1001,MATCH('Index&amp;Match'!$A423,'Main Data'!$A$1:$A$1001,0),MATCH('Index&amp;Match'!C422,'Main Data'!$A422:$O422,0))</f>
        <v>Jordan</v>
      </c>
      <c r="D423" s="2" t="str">
        <f>INDEX('Main Data'!$A$1:$O$1001,MATCH('Index&amp;Match'!$A423,'Main Data'!$A$1:$A$1001,0),MATCH('Index&amp;Match'!D422,'Main Data'!$A422:$O422,0))</f>
        <v>BR-008</v>
      </c>
      <c r="E423" s="2" t="str">
        <f>INDEX('Main Data'!$A$1:$O$1001,MATCH('Index&amp;Match'!$A423,'Main Data'!$A$1:$A$1001,0),MATCH('Index&amp;Match'!E422,'Main Data'!$A422:$O422,0))</f>
        <v>West</v>
      </c>
      <c r="F423" s="2" t="str">
        <f>INDEX('Main Data'!$A$1:$O$1001,MATCH('Index&amp;Match'!$A423,'Main Data'!$A$1:$A$1001,0),MATCH('Index&amp;Match'!F422,'Main Data'!$A422:$O422,0))</f>
        <v>Mortgage</v>
      </c>
      <c r="G423" s="2" t="str">
        <f>INDEX('Main Data'!$A$1:$O$1001,MATCH('Index&amp;Match'!$A423,'Main Data'!$A$1:$A$1001,0),MATCH('Index&amp;Match'!G422,'Main Data'!$A422:$O422,0))</f>
        <v>Social Media</v>
      </c>
      <c r="H423" s="2" t="str">
        <f>INDEX('Main Data'!$A$1:$O$1001,MATCH('Index&amp;Match'!$A423,'Main Data'!$A$1:$A$1001,0),MATCH('Index&amp;Match'!H422,'Main Data'!$A422:$O422,0))</f>
        <v>Retail</v>
      </c>
      <c r="I423" s="2">
        <f>INDEX('Main Data'!$A$1:$O$1001,MATCH('Index&amp;Match'!$A423,'Main Data'!$A$1:$A$1001,0),MATCH('Index&amp;Match'!I422,'Main Data'!$A422:$O422,0))</f>
        <v>38</v>
      </c>
      <c r="J423" s="2">
        <f>INDEX('Main Data'!$A$1:$O$1001,MATCH('Index&amp;Match'!$A423,'Main Data'!$A$1:$A$1001,0),MATCH('Index&amp;Match'!J422,'Main Data'!$A422:$O422,0))</f>
        <v>38</v>
      </c>
      <c r="K423" s="11">
        <f>INDEX('Main Data'!$A$1:$O$1001,MATCH('Index&amp;Match'!$A423,'Main Data'!$A$1:$A$1001,0),MATCH('Index&amp;Match'!K422,'Main Data'!$A422:$O422,0))</f>
        <v>7378.97</v>
      </c>
      <c r="L423" s="11">
        <f>INDEX('Main Data'!$A$1:$O$1001,MATCH('Index&amp;Match'!$A423,'Main Data'!$A$1:$A$1001,0),MATCH('Index&amp;Match'!L422,'Main Data'!$A422:$O422,0))</f>
        <v>448.66</v>
      </c>
      <c r="M423" s="11">
        <f>INDEX('Main Data'!$A$1:$O$1001,MATCH('Index&amp;Match'!$A423,'Main Data'!$A$1:$A$1001,0),MATCH('Index&amp;Match'!M422,'Main Data'!$A422:$O422,0))</f>
        <v>172.79</v>
      </c>
      <c r="N423" s="2" t="str">
        <f>INDEX('Main Data'!$A$1:$O$1001,MATCH('Index&amp;Match'!$A423,'Main Data'!$A$1:$A$1001,0),MATCH('Index&amp;Match'!N422,'Main Data'!$A422:$O422,0))</f>
        <v>No</v>
      </c>
      <c r="O423" s="2">
        <f>INDEX('Main Data'!$A$1:$O$1001,MATCH('Index&amp;Match'!$A423,'Main Data'!$A$1:$A$1001,0),MATCH('Index&amp;Match'!O422,'Main Data'!$A422:$O422,0))</f>
        <v>38</v>
      </c>
    </row>
    <row r="424" spans="1:15" x14ac:dyDescent="0.3">
      <c r="A424" s="2" t="s">
        <v>481</v>
      </c>
      <c r="B424" s="1">
        <f>INDEX('Main Data'!$A$1:$O$1001,MATCH('Index&amp;Match'!$A424,'Main Data'!$A$1:$A$1001,0),MATCH('Index&amp;Match'!B423,'Main Data'!$A423:$O423,0))</f>
        <v>46218</v>
      </c>
      <c r="C424" s="2" t="str">
        <f>INDEX('Main Data'!$A$1:$O$1001,MATCH('Index&amp;Match'!$A424,'Main Data'!$A$1:$A$1001,0),MATCH('Index&amp;Match'!C423,'Main Data'!$A423:$O423,0))</f>
        <v>Sam</v>
      </c>
      <c r="D424" s="2" t="str">
        <f>INDEX('Main Data'!$A$1:$O$1001,MATCH('Index&amp;Match'!$A424,'Main Data'!$A$1:$A$1001,0),MATCH('Index&amp;Match'!D423,'Main Data'!$A423:$O423,0))</f>
        <v>BR-011</v>
      </c>
      <c r="E424" s="2" t="str">
        <f>INDEX('Main Data'!$A$1:$O$1001,MATCH('Index&amp;Match'!$A424,'Main Data'!$A$1:$A$1001,0),MATCH('Index&amp;Match'!E423,'Main Data'!$A423:$O423,0))</f>
        <v>South</v>
      </c>
      <c r="F424" s="2" t="str">
        <f>INDEX('Main Data'!$A$1:$O$1001,MATCH('Index&amp;Match'!$A424,'Main Data'!$A$1:$A$1001,0),MATCH('Index&amp;Match'!F423,'Main Data'!$A423:$O423,0))</f>
        <v>Personal Loan</v>
      </c>
      <c r="G424" s="2" t="str">
        <f>INDEX('Main Data'!$A$1:$O$1001,MATCH('Index&amp;Match'!$A424,'Main Data'!$A$1:$A$1001,0),MATCH('Index&amp;Match'!G423,'Main Data'!$A423:$O423,0))</f>
        <v>Website</v>
      </c>
      <c r="H424" s="2" t="str">
        <f>INDEX('Main Data'!$A$1:$O$1001,MATCH('Index&amp;Match'!$A424,'Main Data'!$A$1:$A$1001,0),MATCH('Index&amp;Match'!H423,'Main Data'!$A423:$O423,0))</f>
        <v>Retail</v>
      </c>
      <c r="I424" s="2">
        <f>INDEX('Main Data'!$A$1:$O$1001,MATCH('Index&amp;Match'!$A424,'Main Data'!$A$1:$A$1001,0),MATCH('Index&amp;Match'!I423,'Main Data'!$A423:$O423,0))</f>
        <v>58</v>
      </c>
      <c r="J424" s="2">
        <f>INDEX('Main Data'!$A$1:$O$1001,MATCH('Index&amp;Match'!$A424,'Main Data'!$A$1:$A$1001,0),MATCH('Index&amp;Match'!J423,'Main Data'!$A423:$O423,0))</f>
        <v>58</v>
      </c>
      <c r="K424" s="11">
        <f>INDEX('Main Data'!$A$1:$O$1001,MATCH('Index&amp;Match'!$A424,'Main Data'!$A$1:$A$1001,0),MATCH('Index&amp;Match'!K423,'Main Data'!$A423:$O423,0))</f>
        <v>37491.230000000003</v>
      </c>
      <c r="L424" s="11">
        <f>INDEX('Main Data'!$A$1:$O$1001,MATCH('Index&amp;Match'!$A424,'Main Data'!$A$1:$A$1001,0),MATCH('Index&amp;Match'!L423,'Main Data'!$A423:$O423,0))</f>
        <v>398.72</v>
      </c>
      <c r="M424" s="11">
        <f>INDEX('Main Data'!$A$1:$O$1001,MATCH('Index&amp;Match'!$A424,'Main Data'!$A$1:$A$1001,0),MATCH('Index&amp;Match'!M423,'Main Data'!$A423:$O423,0))</f>
        <v>59.77</v>
      </c>
      <c r="N424" s="2" t="str">
        <f>INDEX('Main Data'!$A$1:$O$1001,MATCH('Index&amp;Match'!$A424,'Main Data'!$A$1:$A$1001,0),MATCH('Index&amp;Match'!N423,'Main Data'!$A423:$O423,0))</f>
        <v>Yes</v>
      </c>
      <c r="O424" s="2">
        <f>INDEX('Main Data'!$A$1:$O$1001,MATCH('Index&amp;Match'!$A424,'Main Data'!$A$1:$A$1001,0),MATCH('Index&amp;Match'!O423,'Main Data'!$A423:$O423,0))</f>
        <v>58</v>
      </c>
    </row>
    <row r="425" spans="1:15" x14ac:dyDescent="0.3">
      <c r="A425" s="2" t="s">
        <v>482</v>
      </c>
      <c r="B425" s="1">
        <f>INDEX('Main Data'!$A$1:$O$1001,MATCH('Index&amp;Match'!$A425,'Main Data'!$A$1:$A$1001,0),MATCH('Index&amp;Match'!B424,'Main Data'!$A424:$O424,0))</f>
        <v>46065</v>
      </c>
      <c r="C425" s="2" t="str">
        <f>INDEX('Main Data'!$A$1:$O$1001,MATCH('Index&amp;Match'!$A425,'Main Data'!$A$1:$A$1001,0),MATCH('Index&amp;Match'!C424,'Main Data'!$A424:$O424,0))</f>
        <v>Taylor</v>
      </c>
      <c r="D425" s="2" t="str">
        <f>INDEX('Main Data'!$A$1:$O$1001,MATCH('Index&amp;Match'!$A425,'Main Data'!$A$1:$A$1001,0),MATCH('Index&amp;Match'!D424,'Main Data'!$A424:$O424,0))</f>
        <v>BR-009</v>
      </c>
      <c r="E425" s="2" t="str">
        <f>INDEX('Main Data'!$A$1:$O$1001,MATCH('Index&amp;Match'!$A425,'Main Data'!$A$1:$A$1001,0),MATCH('Index&amp;Match'!E424,'Main Data'!$A424:$O424,0))</f>
        <v>Central</v>
      </c>
      <c r="F425" s="2" t="str">
        <f>INDEX('Main Data'!$A$1:$O$1001,MATCH('Index&amp;Match'!$A425,'Main Data'!$A$1:$A$1001,0),MATCH('Index&amp;Match'!F424,'Main Data'!$A424:$O424,0))</f>
        <v>Auto Loan</v>
      </c>
      <c r="G425" s="2" t="str">
        <f>INDEX('Main Data'!$A$1:$O$1001,MATCH('Index&amp;Match'!$A425,'Main Data'!$A$1:$A$1001,0),MATCH('Index&amp;Match'!G424,'Main Data'!$A424:$O424,0))</f>
        <v>Website</v>
      </c>
      <c r="H425" s="2" t="str">
        <f>INDEX('Main Data'!$A$1:$O$1001,MATCH('Index&amp;Match'!$A425,'Main Data'!$A$1:$A$1001,0),MATCH('Index&amp;Match'!H424,'Main Data'!$A424:$O424,0))</f>
        <v>Retail</v>
      </c>
      <c r="I425" s="2">
        <f>INDEX('Main Data'!$A$1:$O$1001,MATCH('Index&amp;Match'!$A425,'Main Data'!$A$1:$A$1001,0),MATCH('Index&amp;Match'!I424,'Main Data'!$A424:$O424,0))</f>
        <v>23</v>
      </c>
      <c r="J425" s="2">
        <f>INDEX('Main Data'!$A$1:$O$1001,MATCH('Index&amp;Match'!$A425,'Main Data'!$A$1:$A$1001,0),MATCH('Index&amp;Match'!J424,'Main Data'!$A424:$O424,0))</f>
        <v>23</v>
      </c>
      <c r="K425" s="11">
        <f>INDEX('Main Data'!$A$1:$O$1001,MATCH('Index&amp;Match'!$A425,'Main Data'!$A$1:$A$1001,0),MATCH('Index&amp;Match'!K424,'Main Data'!$A424:$O424,0))</f>
        <v>2871.74</v>
      </c>
      <c r="L425" s="11">
        <f>INDEX('Main Data'!$A$1:$O$1001,MATCH('Index&amp;Match'!$A425,'Main Data'!$A$1:$A$1001,0),MATCH('Index&amp;Match'!L424,'Main Data'!$A424:$O424,0))</f>
        <v>380.86</v>
      </c>
      <c r="M425" s="11">
        <f>INDEX('Main Data'!$A$1:$O$1001,MATCH('Index&amp;Match'!$A425,'Main Data'!$A$1:$A$1001,0),MATCH('Index&amp;Match'!M424,'Main Data'!$A424:$O424,0))</f>
        <v>38.6</v>
      </c>
      <c r="N425" s="2" t="str">
        <f>INDEX('Main Data'!$A$1:$O$1001,MATCH('Index&amp;Match'!$A425,'Main Data'!$A$1:$A$1001,0),MATCH('Index&amp;Match'!N424,'Main Data'!$A424:$O424,0))</f>
        <v>Yes</v>
      </c>
      <c r="O425" s="2">
        <f>INDEX('Main Data'!$A$1:$O$1001,MATCH('Index&amp;Match'!$A425,'Main Data'!$A$1:$A$1001,0),MATCH('Index&amp;Match'!O424,'Main Data'!$A424:$O424,0))</f>
        <v>23</v>
      </c>
    </row>
    <row r="426" spans="1:15" x14ac:dyDescent="0.3">
      <c r="A426" s="2" t="s">
        <v>483</v>
      </c>
      <c r="B426" s="1">
        <f>INDEX('Main Data'!$A$1:$O$1001,MATCH('Index&amp;Match'!$A426,'Main Data'!$A$1:$A$1001,0),MATCH('Index&amp;Match'!B425,'Main Data'!$A425:$O425,0))</f>
        <v>45988</v>
      </c>
      <c r="C426" s="2" t="str">
        <f>INDEX('Main Data'!$A$1:$O$1001,MATCH('Index&amp;Match'!$A426,'Main Data'!$A$1:$A$1001,0),MATCH('Index&amp;Match'!C425,'Main Data'!$A425:$O425,0))</f>
        <v>Drew</v>
      </c>
      <c r="D426" s="2" t="str">
        <f>INDEX('Main Data'!$A$1:$O$1001,MATCH('Index&amp;Match'!$A426,'Main Data'!$A$1:$A$1001,0),MATCH('Index&amp;Match'!D425,'Main Data'!$A425:$O425,0))</f>
        <v>BR-002</v>
      </c>
      <c r="E426" s="2" t="str">
        <f>INDEX('Main Data'!$A$1:$O$1001,MATCH('Index&amp;Match'!$A426,'Main Data'!$A$1:$A$1001,0),MATCH('Index&amp;Match'!E425,'Main Data'!$A425:$O425,0))</f>
        <v>South</v>
      </c>
      <c r="F426" s="2" t="str">
        <f>INDEX('Main Data'!$A$1:$O$1001,MATCH('Index&amp;Match'!$A426,'Main Data'!$A$1:$A$1001,0),MATCH('Index&amp;Match'!F425,'Main Data'!$A425:$O425,0))</f>
        <v>Auto Loan</v>
      </c>
      <c r="G426" s="2" t="str">
        <f>INDEX('Main Data'!$A$1:$O$1001,MATCH('Index&amp;Match'!$A426,'Main Data'!$A$1:$A$1001,0),MATCH('Index&amp;Match'!G425,'Main Data'!$A425:$O425,0))</f>
        <v>Social Media</v>
      </c>
      <c r="H426" s="2" t="str">
        <f>INDEX('Main Data'!$A$1:$O$1001,MATCH('Index&amp;Match'!$A426,'Main Data'!$A$1:$A$1001,0),MATCH('Index&amp;Match'!H425,'Main Data'!$A425:$O425,0))</f>
        <v>Retail</v>
      </c>
      <c r="I426" s="2">
        <f>INDEX('Main Data'!$A$1:$O$1001,MATCH('Index&amp;Match'!$A426,'Main Data'!$A$1:$A$1001,0),MATCH('Index&amp;Match'!I425,'Main Data'!$A425:$O425,0))</f>
        <v>43</v>
      </c>
      <c r="J426" s="2">
        <f>INDEX('Main Data'!$A$1:$O$1001,MATCH('Index&amp;Match'!$A426,'Main Data'!$A$1:$A$1001,0),MATCH('Index&amp;Match'!J425,'Main Data'!$A425:$O425,0))</f>
        <v>43</v>
      </c>
      <c r="K426" s="11">
        <f>INDEX('Main Data'!$A$1:$O$1001,MATCH('Index&amp;Match'!$A426,'Main Data'!$A$1:$A$1001,0),MATCH('Index&amp;Match'!K425,'Main Data'!$A425:$O425,0))</f>
        <v>47451.76</v>
      </c>
      <c r="L426" s="11">
        <f>INDEX('Main Data'!$A$1:$O$1001,MATCH('Index&amp;Match'!$A426,'Main Data'!$A$1:$A$1001,0),MATCH('Index&amp;Match'!L425,'Main Data'!$A425:$O425,0))</f>
        <v>408.8</v>
      </c>
      <c r="M426" s="11">
        <f>INDEX('Main Data'!$A$1:$O$1001,MATCH('Index&amp;Match'!$A426,'Main Data'!$A$1:$A$1001,0),MATCH('Index&amp;Match'!M425,'Main Data'!$A425:$O425,0))</f>
        <v>23.24</v>
      </c>
      <c r="N426" s="2" t="str">
        <f>INDEX('Main Data'!$A$1:$O$1001,MATCH('Index&amp;Match'!$A426,'Main Data'!$A$1:$A$1001,0),MATCH('Index&amp;Match'!N425,'Main Data'!$A425:$O425,0))</f>
        <v>No</v>
      </c>
      <c r="O426" s="2">
        <f>INDEX('Main Data'!$A$1:$O$1001,MATCH('Index&amp;Match'!$A426,'Main Data'!$A$1:$A$1001,0),MATCH('Index&amp;Match'!O425,'Main Data'!$A425:$O425,0))</f>
        <v>43</v>
      </c>
    </row>
    <row r="427" spans="1:15" x14ac:dyDescent="0.3">
      <c r="A427" s="2" t="s">
        <v>484</v>
      </c>
      <c r="B427" s="1">
        <f>INDEX('Main Data'!$A$1:$O$1001,MATCH('Index&amp;Match'!$A427,'Main Data'!$A$1:$A$1001,0),MATCH('Index&amp;Match'!B426,'Main Data'!$A426:$O426,0))</f>
        <v>45876</v>
      </c>
      <c r="C427" s="2" t="str">
        <f>INDEX('Main Data'!$A$1:$O$1001,MATCH('Index&amp;Match'!$A427,'Main Data'!$A$1:$A$1001,0),MATCH('Index&amp;Match'!C426,'Main Data'!$A426:$O426,0))</f>
        <v>Casey</v>
      </c>
      <c r="D427" s="2" t="str">
        <f>INDEX('Main Data'!$A$1:$O$1001,MATCH('Index&amp;Match'!$A427,'Main Data'!$A$1:$A$1001,0),MATCH('Index&amp;Match'!D426,'Main Data'!$A426:$O426,0))</f>
        <v>BR-012</v>
      </c>
      <c r="E427" s="2" t="str">
        <f>INDEX('Main Data'!$A$1:$O$1001,MATCH('Index&amp;Match'!$A427,'Main Data'!$A$1:$A$1001,0),MATCH('Index&amp;Match'!E426,'Main Data'!$A426:$O426,0))</f>
        <v>West</v>
      </c>
      <c r="F427" s="2" t="str">
        <f>INDEX('Main Data'!$A$1:$O$1001,MATCH('Index&amp;Match'!$A427,'Main Data'!$A$1:$A$1001,0),MATCH('Index&amp;Match'!F426,'Main Data'!$A426:$O426,0))</f>
        <v>Credit Card</v>
      </c>
      <c r="G427" s="2" t="str">
        <f>INDEX('Main Data'!$A$1:$O$1001,MATCH('Index&amp;Match'!$A427,'Main Data'!$A$1:$A$1001,0),MATCH('Index&amp;Match'!G426,'Main Data'!$A426:$O426,0))</f>
        <v>Walk-in</v>
      </c>
      <c r="H427" s="2" t="str">
        <f>INDEX('Main Data'!$A$1:$O$1001,MATCH('Index&amp;Match'!$A427,'Main Data'!$A$1:$A$1001,0),MATCH('Index&amp;Match'!H426,'Main Data'!$A426:$O426,0))</f>
        <v>SME</v>
      </c>
      <c r="I427" s="2">
        <f>INDEX('Main Data'!$A$1:$O$1001,MATCH('Index&amp;Match'!$A427,'Main Data'!$A$1:$A$1001,0),MATCH('Index&amp;Match'!I426,'Main Data'!$A426:$O426,0))</f>
        <v>52</v>
      </c>
      <c r="J427" s="2">
        <f>INDEX('Main Data'!$A$1:$O$1001,MATCH('Index&amp;Match'!$A427,'Main Data'!$A$1:$A$1001,0),MATCH('Index&amp;Match'!J426,'Main Data'!$A426:$O426,0))</f>
        <v>52</v>
      </c>
      <c r="K427" s="11">
        <f>INDEX('Main Data'!$A$1:$O$1001,MATCH('Index&amp;Match'!$A427,'Main Data'!$A$1:$A$1001,0),MATCH('Index&amp;Match'!K426,'Main Data'!$A426:$O426,0))</f>
        <v>35702.42</v>
      </c>
      <c r="L427" s="11">
        <f>INDEX('Main Data'!$A$1:$O$1001,MATCH('Index&amp;Match'!$A427,'Main Data'!$A$1:$A$1001,0),MATCH('Index&amp;Match'!L426,'Main Data'!$A426:$O426,0))</f>
        <v>171.24</v>
      </c>
      <c r="M427" s="11">
        <f>INDEX('Main Data'!$A$1:$O$1001,MATCH('Index&amp;Match'!$A427,'Main Data'!$A$1:$A$1001,0),MATCH('Index&amp;Match'!M426,'Main Data'!$A426:$O426,0))</f>
        <v>123.25</v>
      </c>
      <c r="N427" s="2" t="str">
        <f>INDEX('Main Data'!$A$1:$O$1001,MATCH('Index&amp;Match'!$A427,'Main Data'!$A$1:$A$1001,0),MATCH('Index&amp;Match'!N426,'Main Data'!$A426:$O426,0))</f>
        <v>Yes</v>
      </c>
      <c r="O427" s="2">
        <f>INDEX('Main Data'!$A$1:$O$1001,MATCH('Index&amp;Match'!$A427,'Main Data'!$A$1:$A$1001,0),MATCH('Index&amp;Match'!O426,'Main Data'!$A426:$O426,0))</f>
        <v>52</v>
      </c>
    </row>
    <row r="428" spans="1:15" x14ac:dyDescent="0.3">
      <c r="A428" s="2" t="s">
        <v>485</v>
      </c>
      <c r="B428" s="1">
        <f>INDEX('Main Data'!$A$1:$O$1001,MATCH('Index&amp;Match'!$A428,'Main Data'!$A$1:$A$1001,0),MATCH('Index&amp;Match'!B427,'Main Data'!$A427:$O427,0))</f>
        <v>46151</v>
      </c>
      <c r="C428" s="2" t="str">
        <f>INDEX('Main Data'!$A$1:$O$1001,MATCH('Index&amp;Match'!$A428,'Main Data'!$A$1:$A$1001,0),MATCH('Index&amp;Match'!C427,'Main Data'!$A427:$O427,0))</f>
        <v>Alex</v>
      </c>
      <c r="D428" s="2" t="str">
        <f>INDEX('Main Data'!$A$1:$O$1001,MATCH('Index&amp;Match'!$A428,'Main Data'!$A$1:$A$1001,0),MATCH('Index&amp;Match'!D427,'Main Data'!$A427:$O427,0))</f>
        <v>BR-003</v>
      </c>
      <c r="E428" s="2" t="str">
        <f>INDEX('Main Data'!$A$1:$O$1001,MATCH('Index&amp;Match'!$A428,'Main Data'!$A$1:$A$1001,0),MATCH('Index&amp;Match'!E427,'Main Data'!$A427:$O427,0))</f>
        <v>South</v>
      </c>
      <c r="F428" s="2" t="str">
        <f>INDEX('Main Data'!$A$1:$O$1001,MATCH('Index&amp;Match'!$A428,'Main Data'!$A$1:$A$1001,0),MATCH('Index&amp;Match'!F427,'Main Data'!$A427:$O427,0))</f>
        <v>Wealth Management</v>
      </c>
      <c r="G428" s="2" t="str">
        <f>INDEX('Main Data'!$A$1:$O$1001,MATCH('Index&amp;Match'!$A428,'Main Data'!$A$1:$A$1001,0),MATCH('Index&amp;Match'!G427,'Main Data'!$A427:$O427,0))</f>
        <v>Referral</v>
      </c>
      <c r="H428" s="2" t="str">
        <f>INDEX('Main Data'!$A$1:$O$1001,MATCH('Index&amp;Match'!$A428,'Main Data'!$A$1:$A$1001,0),MATCH('Index&amp;Match'!H427,'Main Data'!$A427:$O427,0))</f>
        <v>Corporate</v>
      </c>
      <c r="I428" s="2">
        <f>INDEX('Main Data'!$A$1:$O$1001,MATCH('Index&amp;Match'!$A428,'Main Data'!$A$1:$A$1001,0),MATCH('Index&amp;Match'!I427,'Main Data'!$A427:$O427,0))</f>
        <v>65</v>
      </c>
      <c r="J428" s="2">
        <f>INDEX('Main Data'!$A$1:$O$1001,MATCH('Index&amp;Match'!$A428,'Main Data'!$A$1:$A$1001,0),MATCH('Index&amp;Match'!J427,'Main Data'!$A427:$O427,0))</f>
        <v>65</v>
      </c>
      <c r="K428" s="11">
        <f>INDEX('Main Data'!$A$1:$O$1001,MATCH('Index&amp;Match'!$A428,'Main Data'!$A$1:$A$1001,0),MATCH('Index&amp;Match'!K427,'Main Data'!$A427:$O427,0))</f>
        <v>836.43</v>
      </c>
      <c r="L428" s="11">
        <f>INDEX('Main Data'!$A$1:$O$1001,MATCH('Index&amp;Match'!$A428,'Main Data'!$A$1:$A$1001,0),MATCH('Index&amp;Match'!L427,'Main Data'!$A427:$O427,0))</f>
        <v>449.35</v>
      </c>
      <c r="M428" s="11">
        <f>INDEX('Main Data'!$A$1:$O$1001,MATCH('Index&amp;Match'!$A428,'Main Data'!$A$1:$A$1001,0),MATCH('Index&amp;Match'!M427,'Main Data'!$A427:$O427,0))</f>
        <v>88.77</v>
      </c>
      <c r="N428" s="2" t="str">
        <f>INDEX('Main Data'!$A$1:$O$1001,MATCH('Index&amp;Match'!$A428,'Main Data'!$A$1:$A$1001,0),MATCH('Index&amp;Match'!N427,'Main Data'!$A427:$O427,0))</f>
        <v>Yes</v>
      </c>
      <c r="O428" s="2">
        <f>INDEX('Main Data'!$A$1:$O$1001,MATCH('Index&amp;Match'!$A428,'Main Data'!$A$1:$A$1001,0),MATCH('Index&amp;Match'!O427,'Main Data'!$A427:$O427,0))</f>
        <v>65</v>
      </c>
    </row>
    <row r="429" spans="1:15" x14ac:dyDescent="0.3">
      <c r="A429" s="2" t="s">
        <v>486</v>
      </c>
      <c r="B429" s="1">
        <f>INDEX('Main Data'!$A$1:$O$1001,MATCH('Index&amp;Match'!$A429,'Main Data'!$A$1:$A$1001,0),MATCH('Index&amp;Match'!B428,'Main Data'!$A428:$O428,0))</f>
        <v>46133</v>
      </c>
      <c r="C429" s="2" t="str">
        <f>INDEX('Main Data'!$A$1:$O$1001,MATCH('Index&amp;Match'!$A429,'Main Data'!$A$1:$A$1001,0),MATCH('Index&amp;Match'!C428,'Main Data'!$A428:$O428,0))</f>
        <v>Morgan</v>
      </c>
      <c r="D429" s="2" t="str">
        <f>INDEX('Main Data'!$A$1:$O$1001,MATCH('Index&amp;Match'!$A429,'Main Data'!$A$1:$A$1001,0),MATCH('Index&amp;Match'!D428,'Main Data'!$A428:$O428,0))</f>
        <v>BR-003</v>
      </c>
      <c r="E429" s="2" t="str">
        <f>INDEX('Main Data'!$A$1:$O$1001,MATCH('Index&amp;Match'!$A429,'Main Data'!$A$1:$A$1001,0),MATCH('Index&amp;Match'!E428,'Main Data'!$A428:$O428,0))</f>
        <v>South</v>
      </c>
      <c r="F429" s="2" t="str">
        <f>INDEX('Main Data'!$A$1:$O$1001,MATCH('Index&amp;Match'!$A429,'Main Data'!$A$1:$A$1001,0),MATCH('Index&amp;Match'!F428,'Main Data'!$A428:$O428,0))</f>
        <v>Personal Loan</v>
      </c>
      <c r="G429" s="2" t="str">
        <f>INDEX('Main Data'!$A$1:$O$1001,MATCH('Index&amp;Match'!$A429,'Main Data'!$A$1:$A$1001,0),MATCH('Index&amp;Match'!G428,'Main Data'!$A428:$O428,0))</f>
        <v>Referral</v>
      </c>
      <c r="H429" s="2" t="str">
        <f>INDEX('Main Data'!$A$1:$O$1001,MATCH('Index&amp;Match'!$A429,'Main Data'!$A$1:$A$1001,0),MATCH('Index&amp;Match'!H428,'Main Data'!$A428:$O428,0))</f>
        <v>Retail</v>
      </c>
      <c r="I429" s="2">
        <f>INDEX('Main Data'!$A$1:$O$1001,MATCH('Index&amp;Match'!$A429,'Main Data'!$A$1:$A$1001,0),MATCH('Index&amp;Match'!I428,'Main Data'!$A428:$O428,0))</f>
        <v>36</v>
      </c>
      <c r="J429" s="2">
        <f>INDEX('Main Data'!$A$1:$O$1001,MATCH('Index&amp;Match'!$A429,'Main Data'!$A$1:$A$1001,0),MATCH('Index&amp;Match'!J428,'Main Data'!$A428:$O428,0))</f>
        <v>36</v>
      </c>
      <c r="K429" s="11">
        <f>INDEX('Main Data'!$A$1:$O$1001,MATCH('Index&amp;Match'!$A429,'Main Data'!$A$1:$A$1001,0),MATCH('Index&amp;Match'!K428,'Main Data'!$A428:$O428,0))</f>
        <v>38310.9</v>
      </c>
      <c r="L429" s="11">
        <f>INDEX('Main Data'!$A$1:$O$1001,MATCH('Index&amp;Match'!$A429,'Main Data'!$A$1:$A$1001,0),MATCH('Index&amp;Match'!L428,'Main Data'!$A428:$O428,0))</f>
        <v>111.79</v>
      </c>
      <c r="M429" s="11">
        <f>INDEX('Main Data'!$A$1:$O$1001,MATCH('Index&amp;Match'!$A429,'Main Data'!$A$1:$A$1001,0),MATCH('Index&amp;Match'!M428,'Main Data'!$A428:$O428,0))</f>
        <v>37.6</v>
      </c>
      <c r="N429" s="2" t="str">
        <f>INDEX('Main Data'!$A$1:$O$1001,MATCH('Index&amp;Match'!$A429,'Main Data'!$A$1:$A$1001,0),MATCH('Index&amp;Match'!N428,'Main Data'!$A428:$O428,0))</f>
        <v>Yes</v>
      </c>
      <c r="O429" s="2">
        <f>INDEX('Main Data'!$A$1:$O$1001,MATCH('Index&amp;Match'!$A429,'Main Data'!$A$1:$A$1001,0),MATCH('Index&amp;Match'!O428,'Main Data'!$A428:$O428,0))</f>
        <v>36</v>
      </c>
    </row>
    <row r="430" spans="1:15" x14ac:dyDescent="0.3">
      <c r="A430" s="2" t="s">
        <v>487</v>
      </c>
      <c r="B430" s="1">
        <f>INDEX('Main Data'!$A$1:$O$1001,MATCH('Index&amp;Match'!$A430,'Main Data'!$A$1:$A$1001,0),MATCH('Index&amp;Match'!B429,'Main Data'!$A429:$O429,0))</f>
        <v>46056</v>
      </c>
      <c r="C430" s="2" t="str">
        <f>INDEX('Main Data'!$A$1:$O$1001,MATCH('Index&amp;Match'!$A430,'Main Data'!$A$1:$A$1001,0),MATCH('Index&amp;Match'!C429,'Main Data'!$A429:$O429,0))</f>
        <v>Alex</v>
      </c>
      <c r="D430" s="2" t="str">
        <f>INDEX('Main Data'!$A$1:$O$1001,MATCH('Index&amp;Match'!$A430,'Main Data'!$A$1:$A$1001,0),MATCH('Index&amp;Match'!D429,'Main Data'!$A429:$O429,0))</f>
        <v>BR-001</v>
      </c>
      <c r="E430" s="2" t="str">
        <f>INDEX('Main Data'!$A$1:$O$1001,MATCH('Index&amp;Match'!$A430,'Main Data'!$A$1:$A$1001,0),MATCH('Index&amp;Match'!E429,'Main Data'!$A429:$O429,0))</f>
        <v>West</v>
      </c>
      <c r="F430" s="2" t="str">
        <f>INDEX('Main Data'!$A$1:$O$1001,MATCH('Index&amp;Match'!$A430,'Main Data'!$A$1:$A$1001,0),MATCH('Index&amp;Match'!F429,'Main Data'!$A429:$O429,0))</f>
        <v>Mortgage</v>
      </c>
      <c r="G430" s="2" t="str">
        <f>INDEX('Main Data'!$A$1:$O$1001,MATCH('Index&amp;Match'!$A430,'Main Data'!$A$1:$A$1001,0),MATCH('Index&amp;Match'!G429,'Main Data'!$A429:$O429,0))</f>
        <v>Walk-in</v>
      </c>
      <c r="H430" s="2" t="str">
        <f>INDEX('Main Data'!$A$1:$O$1001,MATCH('Index&amp;Match'!$A430,'Main Data'!$A$1:$A$1001,0),MATCH('Index&amp;Match'!H429,'Main Data'!$A429:$O429,0))</f>
        <v>Retail</v>
      </c>
      <c r="I430" s="2">
        <f>INDEX('Main Data'!$A$1:$O$1001,MATCH('Index&amp;Match'!$A430,'Main Data'!$A$1:$A$1001,0),MATCH('Index&amp;Match'!I429,'Main Data'!$A429:$O429,0))</f>
        <v>25</v>
      </c>
      <c r="J430" s="2">
        <f>INDEX('Main Data'!$A$1:$O$1001,MATCH('Index&amp;Match'!$A430,'Main Data'!$A$1:$A$1001,0),MATCH('Index&amp;Match'!J429,'Main Data'!$A429:$O429,0))</f>
        <v>25</v>
      </c>
      <c r="K430" s="11">
        <f>INDEX('Main Data'!$A$1:$O$1001,MATCH('Index&amp;Match'!$A430,'Main Data'!$A$1:$A$1001,0),MATCH('Index&amp;Match'!K429,'Main Data'!$A429:$O429,0))</f>
        <v>25947.06</v>
      </c>
      <c r="L430" s="11">
        <f>INDEX('Main Data'!$A$1:$O$1001,MATCH('Index&amp;Match'!$A430,'Main Data'!$A$1:$A$1001,0),MATCH('Index&amp;Match'!L429,'Main Data'!$A429:$O429,0))</f>
        <v>201.36</v>
      </c>
      <c r="M430" s="11">
        <f>INDEX('Main Data'!$A$1:$O$1001,MATCH('Index&amp;Match'!$A430,'Main Data'!$A$1:$A$1001,0),MATCH('Index&amp;Match'!M429,'Main Data'!$A429:$O429,0))</f>
        <v>130.63</v>
      </c>
      <c r="N430" s="2" t="str">
        <f>INDEX('Main Data'!$A$1:$O$1001,MATCH('Index&amp;Match'!$A430,'Main Data'!$A$1:$A$1001,0),MATCH('Index&amp;Match'!N429,'Main Data'!$A429:$O429,0))</f>
        <v>No</v>
      </c>
      <c r="O430" s="2">
        <f>INDEX('Main Data'!$A$1:$O$1001,MATCH('Index&amp;Match'!$A430,'Main Data'!$A$1:$A$1001,0),MATCH('Index&amp;Match'!O429,'Main Data'!$A429:$O429,0))</f>
        <v>25</v>
      </c>
    </row>
    <row r="431" spans="1:15" x14ac:dyDescent="0.3">
      <c r="A431" s="2" t="s">
        <v>488</v>
      </c>
      <c r="B431" s="1">
        <f>INDEX('Main Data'!$A$1:$O$1001,MATCH('Index&amp;Match'!$A431,'Main Data'!$A$1:$A$1001,0),MATCH('Index&amp;Match'!B430,'Main Data'!$A430:$O430,0))</f>
        <v>46081</v>
      </c>
      <c r="C431" s="2" t="str">
        <f>INDEX('Main Data'!$A$1:$O$1001,MATCH('Index&amp;Match'!$A431,'Main Data'!$A$1:$A$1001,0),MATCH('Index&amp;Match'!C430,'Main Data'!$A430:$O430,0))</f>
        <v>Morgan</v>
      </c>
      <c r="D431" s="2" t="str">
        <f>INDEX('Main Data'!$A$1:$O$1001,MATCH('Index&amp;Match'!$A431,'Main Data'!$A$1:$A$1001,0),MATCH('Index&amp;Match'!D430,'Main Data'!$A430:$O430,0))</f>
        <v>BR-008</v>
      </c>
      <c r="E431" s="2" t="str">
        <f>INDEX('Main Data'!$A$1:$O$1001,MATCH('Index&amp;Match'!$A431,'Main Data'!$A$1:$A$1001,0),MATCH('Index&amp;Match'!E430,'Main Data'!$A430:$O430,0))</f>
        <v>South</v>
      </c>
      <c r="F431" s="2" t="str">
        <f>INDEX('Main Data'!$A$1:$O$1001,MATCH('Index&amp;Match'!$A431,'Main Data'!$A$1:$A$1001,0),MATCH('Index&amp;Match'!F430,'Main Data'!$A430:$O430,0))</f>
        <v>Auto Loan</v>
      </c>
      <c r="G431" s="2" t="str">
        <f>INDEX('Main Data'!$A$1:$O$1001,MATCH('Index&amp;Match'!$A431,'Main Data'!$A$1:$A$1001,0),MATCH('Index&amp;Match'!G430,'Main Data'!$A430:$O430,0))</f>
        <v>Referral</v>
      </c>
      <c r="H431" s="2" t="str">
        <f>INDEX('Main Data'!$A$1:$O$1001,MATCH('Index&amp;Match'!$A431,'Main Data'!$A$1:$A$1001,0),MATCH('Index&amp;Match'!H430,'Main Data'!$A430:$O430,0))</f>
        <v>High Net Worth</v>
      </c>
      <c r="I431" s="2">
        <f>INDEX('Main Data'!$A$1:$O$1001,MATCH('Index&amp;Match'!$A431,'Main Data'!$A$1:$A$1001,0),MATCH('Index&amp;Match'!I430,'Main Data'!$A430:$O430,0))</f>
        <v>24</v>
      </c>
      <c r="J431" s="2">
        <f>INDEX('Main Data'!$A$1:$O$1001,MATCH('Index&amp;Match'!$A431,'Main Data'!$A$1:$A$1001,0),MATCH('Index&amp;Match'!J430,'Main Data'!$A430:$O430,0))</f>
        <v>24</v>
      </c>
      <c r="K431" s="11">
        <f>INDEX('Main Data'!$A$1:$O$1001,MATCH('Index&amp;Match'!$A431,'Main Data'!$A$1:$A$1001,0),MATCH('Index&amp;Match'!K430,'Main Data'!$A430:$O430,0))</f>
        <v>39078.58</v>
      </c>
      <c r="L431" s="11">
        <f>INDEX('Main Data'!$A$1:$O$1001,MATCH('Index&amp;Match'!$A431,'Main Data'!$A$1:$A$1001,0),MATCH('Index&amp;Match'!L430,'Main Data'!$A430:$O430,0))</f>
        <v>314.04000000000002</v>
      </c>
      <c r="M431" s="11">
        <f>INDEX('Main Data'!$A$1:$O$1001,MATCH('Index&amp;Match'!$A431,'Main Data'!$A$1:$A$1001,0),MATCH('Index&amp;Match'!M430,'Main Data'!$A430:$O430,0))</f>
        <v>44.55</v>
      </c>
      <c r="N431" s="2" t="str">
        <f>INDEX('Main Data'!$A$1:$O$1001,MATCH('Index&amp;Match'!$A431,'Main Data'!$A$1:$A$1001,0),MATCH('Index&amp;Match'!N430,'Main Data'!$A430:$O430,0))</f>
        <v>Yes</v>
      </c>
      <c r="O431" s="2">
        <f>INDEX('Main Data'!$A$1:$O$1001,MATCH('Index&amp;Match'!$A431,'Main Data'!$A$1:$A$1001,0),MATCH('Index&amp;Match'!O430,'Main Data'!$A430:$O430,0))</f>
        <v>24</v>
      </c>
    </row>
    <row r="432" spans="1:15" x14ac:dyDescent="0.3">
      <c r="A432" s="2" t="s">
        <v>489</v>
      </c>
      <c r="B432" s="1">
        <f>INDEX('Main Data'!$A$1:$O$1001,MATCH('Index&amp;Match'!$A432,'Main Data'!$A$1:$A$1001,0),MATCH('Index&amp;Match'!B431,'Main Data'!$A431:$O431,0))</f>
        <v>46116</v>
      </c>
      <c r="C432" s="2" t="str">
        <f>INDEX('Main Data'!$A$1:$O$1001,MATCH('Index&amp;Match'!$A432,'Main Data'!$A$1:$A$1001,0),MATCH('Index&amp;Match'!C431,'Main Data'!$A431:$O431,0))</f>
        <v>Alex</v>
      </c>
      <c r="D432" s="2" t="str">
        <f>INDEX('Main Data'!$A$1:$O$1001,MATCH('Index&amp;Match'!$A432,'Main Data'!$A$1:$A$1001,0),MATCH('Index&amp;Match'!D431,'Main Data'!$A431:$O431,0))</f>
        <v>BR-006</v>
      </c>
      <c r="E432" s="2" t="str">
        <f>INDEX('Main Data'!$A$1:$O$1001,MATCH('Index&amp;Match'!$A432,'Main Data'!$A$1:$A$1001,0),MATCH('Index&amp;Match'!E431,'Main Data'!$A431:$O431,0))</f>
        <v>East</v>
      </c>
      <c r="F432" s="2" t="str">
        <f>INDEX('Main Data'!$A$1:$O$1001,MATCH('Index&amp;Match'!$A432,'Main Data'!$A$1:$A$1001,0),MATCH('Index&amp;Match'!F431,'Main Data'!$A431:$O431,0))</f>
        <v>Auto Loan</v>
      </c>
      <c r="G432" s="2" t="str">
        <f>INDEX('Main Data'!$A$1:$O$1001,MATCH('Index&amp;Match'!$A432,'Main Data'!$A$1:$A$1001,0),MATCH('Index&amp;Match'!G431,'Main Data'!$A431:$O431,0))</f>
        <v>Email Campaign</v>
      </c>
      <c r="H432" s="2" t="str">
        <f>INDEX('Main Data'!$A$1:$O$1001,MATCH('Index&amp;Match'!$A432,'Main Data'!$A$1:$A$1001,0),MATCH('Index&amp;Match'!H431,'Main Data'!$A431:$O431,0))</f>
        <v>SME</v>
      </c>
      <c r="I432" s="2">
        <f>INDEX('Main Data'!$A$1:$O$1001,MATCH('Index&amp;Match'!$A432,'Main Data'!$A$1:$A$1001,0),MATCH('Index&amp;Match'!I431,'Main Data'!$A431:$O431,0))</f>
        <v>41</v>
      </c>
      <c r="J432" s="2">
        <f>INDEX('Main Data'!$A$1:$O$1001,MATCH('Index&amp;Match'!$A432,'Main Data'!$A$1:$A$1001,0),MATCH('Index&amp;Match'!J431,'Main Data'!$A431:$O431,0))</f>
        <v>41</v>
      </c>
      <c r="K432" s="11">
        <f>INDEX('Main Data'!$A$1:$O$1001,MATCH('Index&amp;Match'!$A432,'Main Data'!$A$1:$A$1001,0),MATCH('Index&amp;Match'!K431,'Main Data'!$A431:$O431,0))</f>
        <v>26363.59</v>
      </c>
      <c r="L432" s="11">
        <f>INDEX('Main Data'!$A$1:$O$1001,MATCH('Index&amp;Match'!$A432,'Main Data'!$A$1:$A$1001,0),MATCH('Index&amp;Match'!L431,'Main Data'!$A431:$O431,0))</f>
        <v>96.31</v>
      </c>
      <c r="M432" s="11">
        <f>INDEX('Main Data'!$A$1:$O$1001,MATCH('Index&amp;Match'!$A432,'Main Data'!$A$1:$A$1001,0),MATCH('Index&amp;Match'!M431,'Main Data'!$A431:$O431,0))</f>
        <v>110.86</v>
      </c>
      <c r="N432" s="2" t="str">
        <f>INDEX('Main Data'!$A$1:$O$1001,MATCH('Index&amp;Match'!$A432,'Main Data'!$A$1:$A$1001,0),MATCH('Index&amp;Match'!N431,'Main Data'!$A431:$O431,0))</f>
        <v>No</v>
      </c>
      <c r="O432" s="2">
        <f>INDEX('Main Data'!$A$1:$O$1001,MATCH('Index&amp;Match'!$A432,'Main Data'!$A$1:$A$1001,0),MATCH('Index&amp;Match'!O431,'Main Data'!$A431:$O431,0))</f>
        <v>41</v>
      </c>
    </row>
    <row r="433" spans="1:15" x14ac:dyDescent="0.3">
      <c r="A433" s="2" t="s">
        <v>490</v>
      </c>
      <c r="B433" s="1">
        <f>INDEX('Main Data'!$A$1:$O$1001,MATCH('Index&amp;Match'!$A433,'Main Data'!$A$1:$A$1001,0),MATCH('Index&amp;Match'!B432,'Main Data'!$A432:$O432,0))</f>
        <v>45884</v>
      </c>
      <c r="C433" s="2" t="str">
        <f>INDEX('Main Data'!$A$1:$O$1001,MATCH('Index&amp;Match'!$A433,'Main Data'!$A$1:$A$1001,0),MATCH('Index&amp;Match'!C432,'Main Data'!$A432:$O432,0))</f>
        <v>Sam</v>
      </c>
      <c r="D433" s="2" t="str">
        <f>INDEX('Main Data'!$A$1:$O$1001,MATCH('Index&amp;Match'!$A433,'Main Data'!$A$1:$A$1001,0),MATCH('Index&amp;Match'!D432,'Main Data'!$A432:$O432,0))</f>
        <v>BR-012</v>
      </c>
      <c r="E433" s="2" t="str">
        <f>INDEX('Main Data'!$A$1:$O$1001,MATCH('Index&amp;Match'!$A433,'Main Data'!$A$1:$A$1001,0),MATCH('Index&amp;Match'!E432,'Main Data'!$A432:$O432,0))</f>
        <v>East</v>
      </c>
      <c r="F433" s="2" t="str">
        <f>INDEX('Main Data'!$A$1:$O$1001,MATCH('Index&amp;Match'!$A433,'Main Data'!$A$1:$A$1001,0),MATCH('Index&amp;Match'!F432,'Main Data'!$A432:$O432,0))</f>
        <v>Personal Loan</v>
      </c>
      <c r="G433" s="2" t="str">
        <f>INDEX('Main Data'!$A$1:$O$1001,MATCH('Index&amp;Match'!$A433,'Main Data'!$A$1:$A$1001,0),MATCH('Index&amp;Match'!G432,'Main Data'!$A432:$O432,0))</f>
        <v>Social Media</v>
      </c>
      <c r="H433" s="2" t="str">
        <f>INDEX('Main Data'!$A$1:$O$1001,MATCH('Index&amp;Match'!$A433,'Main Data'!$A$1:$A$1001,0),MATCH('Index&amp;Match'!H432,'Main Data'!$A432:$O432,0))</f>
        <v>SME</v>
      </c>
      <c r="I433" s="2">
        <f>INDEX('Main Data'!$A$1:$O$1001,MATCH('Index&amp;Match'!$A433,'Main Data'!$A$1:$A$1001,0),MATCH('Index&amp;Match'!I432,'Main Data'!$A432:$O432,0))</f>
        <v>60</v>
      </c>
      <c r="J433" s="2">
        <f>INDEX('Main Data'!$A$1:$O$1001,MATCH('Index&amp;Match'!$A433,'Main Data'!$A$1:$A$1001,0),MATCH('Index&amp;Match'!J432,'Main Data'!$A432:$O432,0))</f>
        <v>60</v>
      </c>
      <c r="K433" s="11">
        <f>INDEX('Main Data'!$A$1:$O$1001,MATCH('Index&amp;Match'!$A433,'Main Data'!$A$1:$A$1001,0),MATCH('Index&amp;Match'!K432,'Main Data'!$A432:$O432,0))</f>
        <v>32230.73</v>
      </c>
      <c r="L433" s="11">
        <f>INDEX('Main Data'!$A$1:$O$1001,MATCH('Index&amp;Match'!$A433,'Main Data'!$A$1:$A$1001,0),MATCH('Index&amp;Match'!L432,'Main Data'!$A432:$O432,0))</f>
        <v>378.56</v>
      </c>
      <c r="M433" s="11">
        <f>INDEX('Main Data'!$A$1:$O$1001,MATCH('Index&amp;Match'!$A433,'Main Data'!$A$1:$A$1001,0),MATCH('Index&amp;Match'!M432,'Main Data'!$A432:$O432,0))</f>
        <v>105.43</v>
      </c>
      <c r="N433" s="2" t="str">
        <f>INDEX('Main Data'!$A$1:$O$1001,MATCH('Index&amp;Match'!$A433,'Main Data'!$A$1:$A$1001,0),MATCH('Index&amp;Match'!N432,'Main Data'!$A432:$O432,0))</f>
        <v>Yes</v>
      </c>
      <c r="O433" s="2">
        <f>INDEX('Main Data'!$A$1:$O$1001,MATCH('Index&amp;Match'!$A433,'Main Data'!$A$1:$A$1001,0),MATCH('Index&amp;Match'!O432,'Main Data'!$A432:$O432,0))</f>
        <v>60</v>
      </c>
    </row>
    <row r="434" spans="1:15" x14ac:dyDescent="0.3">
      <c r="A434" s="2" t="s">
        <v>491</v>
      </c>
      <c r="B434" s="1">
        <f>INDEX('Main Data'!$A$1:$O$1001,MATCH('Index&amp;Match'!$A434,'Main Data'!$A$1:$A$1001,0),MATCH('Index&amp;Match'!B433,'Main Data'!$A433:$O433,0))</f>
        <v>46109</v>
      </c>
      <c r="C434" s="2" t="str">
        <f>INDEX('Main Data'!$A$1:$O$1001,MATCH('Index&amp;Match'!$A434,'Main Data'!$A$1:$A$1001,0),MATCH('Index&amp;Match'!C433,'Main Data'!$A433:$O433,0))</f>
        <v>Casey</v>
      </c>
      <c r="D434" s="2" t="str">
        <f>INDEX('Main Data'!$A$1:$O$1001,MATCH('Index&amp;Match'!$A434,'Main Data'!$A$1:$A$1001,0),MATCH('Index&amp;Match'!D433,'Main Data'!$A433:$O433,0))</f>
        <v>BR-013</v>
      </c>
      <c r="E434" s="2" t="str">
        <f>INDEX('Main Data'!$A$1:$O$1001,MATCH('Index&amp;Match'!$A434,'Main Data'!$A$1:$A$1001,0),MATCH('Index&amp;Match'!E433,'Main Data'!$A433:$O433,0))</f>
        <v>South</v>
      </c>
      <c r="F434" s="2" t="str">
        <f>INDEX('Main Data'!$A$1:$O$1001,MATCH('Index&amp;Match'!$A434,'Main Data'!$A$1:$A$1001,0),MATCH('Index&amp;Match'!F433,'Main Data'!$A433:$O433,0))</f>
        <v>Wealth Management</v>
      </c>
      <c r="G434" s="2" t="str">
        <f>INDEX('Main Data'!$A$1:$O$1001,MATCH('Index&amp;Match'!$A434,'Main Data'!$A$1:$A$1001,0),MATCH('Index&amp;Match'!G433,'Main Data'!$A433:$O433,0))</f>
        <v>Social Media</v>
      </c>
      <c r="H434" s="2" t="str">
        <f>INDEX('Main Data'!$A$1:$O$1001,MATCH('Index&amp;Match'!$A434,'Main Data'!$A$1:$A$1001,0),MATCH('Index&amp;Match'!H433,'Main Data'!$A433:$O433,0))</f>
        <v>Corporate</v>
      </c>
      <c r="I434" s="2">
        <f>INDEX('Main Data'!$A$1:$O$1001,MATCH('Index&amp;Match'!$A434,'Main Data'!$A$1:$A$1001,0),MATCH('Index&amp;Match'!I433,'Main Data'!$A433:$O433,0))</f>
        <v>71</v>
      </c>
      <c r="J434" s="2">
        <f>INDEX('Main Data'!$A$1:$O$1001,MATCH('Index&amp;Match'!$A434,'Main Data'!$A$1:$A$1001,0),MATCH('Index&amp;Match'!J433,'Main Data'!$A433:$O433,0))</f>
        <v>71</v>
      </c>
      <c r="K434" s="11">
        <f>INDEX('Main Data'!$A$1:$O$1001,MATCH('Index&amp;Match'!$A434,'Main Data'!$A$1:$A$1001,0),MATCH('Index&amp;Match'!K433,'Main Data'!$A433:$O433,0))</f>
        <v>39423.42</v>
      </c>
      <c r="L434" s="11">
        <f>INDEX('Main Data'!$A$1:$O$1001,MATCH('Index&amp;Match'!$A434,'Main Data'!$A$1:$A$1001,0),MATCH('Index&amp;Match'!L433,'Main Data'!$A433:$O433,0))</f>
        <v>224.26</v>
      </c>
      <c r="M434" s="11">
        <f>INDEX('Main Data'!$A$1:$O$1001,MATCH('Index&amp;Match'!$A434,'Main Data'!$A$1:$A$1001,0),MATCH('Index&amp;Match'!M433,'Main Data'!$A433:$O433,0))</f>
        <v>146.85</v>
      </c>
      <c r="N434" s="2" t="str">
        <f>INDEX('Main Data'!$A$1:$O$1001,MATCH('Index&amp;Match'!$A434,'Main Data'!$A$1:$A$1001,0),MATCH('Index&amp;Match'!N433,'Main Data'!$A433:$O433,0))</f>
        <v>No</v>
      </c>
      <c r="O434" s="2">
        <f>INDEX('Main Data'!$A$1:$O$1001,MATCH('Index&amp;Match'!$A434,'Main Data'!$A$1:$A$1001,0),MATCH('Index&amp;Match'!O433,'Main Data'!$A433:$O433,0))</f>
        <v>71</v>
      </c>
    </row>
    <row r="435" spans="1:15" x14ac:dyDescent="0.3">
      <c r="A435" s="2" t="s">
        <v>492</v>
      </c>
      <c r="B435" s="1">
        <f>INDEX('Main Data'!$A$1:$O$1001,MATCH('Index&amp;Match'!$A435,'Main Data'!$A$1:$A$1001,0),MATCH('Index&amp;Match'!B434,'Main Data'!$A434:$O434,0))</f>
        <v>46128</v>
      </c>
      <c r="C435" s="2" t="str">
        <f>INDEX('Main Data'!$A$1:$O$1001,MATCH('Index&amp;Match'!$A435,'Main Data'!$A$1:$A$1001,0),MATCH('Index&amp;Match'!C434,'Main Data'!$A434:$O434,0))</f>
        <v>Drew</v>
      </c>
      <c r="D435" s="2" t="str">
        <f>INDEX('Main Data'!$A$1:$O$1001,MATCH('Index&amp;Match'!$A435,'Main Data'!$A$1:$A$1001,0),MATCH('Index&amp;Match'!D434,'Main Data'!$A434:$O434,0))</f>
        <v>BR-008</v>
      </c>
      <c r="E435" s="2" t="str">
        <f>INDEX('Main Data'!$A$1:$O$1001,MATCH('Index&amp;Match'!$A435,'Main Data'!$A$1:$A$1001,0),MATCH('Index&amp;Match'!E434,'Main Data'!$A434:$O434,0))</f>
        <v>Central</v>
      </c>
      <c r="F435" s="2" t="str">
        <f>INDEX('Main Data'!$A$1:$O$1001,MATCH('Index&amp;Match'!$A435,'Main Data'!$A$1:$A$1001,0),MATCH('Index&amp;Match'!F434,'Main Data'!$A434:$O434,0))</f>
        <v>Auto Loan</v>
      </c>
      <c r="G435" s="2" t="str">
        <f>INDEX('Main Data'!$A$1:$O$1001,MATCH('Index&amp;Match'!$A435,'Main Data'!$A$1:$A$1001,0),MATCH('Index&amp;Match'!G434,'Main Data'!$A434:$O434,0))</f>
        <v>Walk-in</v>
      </c>
      <c r="H435" s="2" t="str">
        <f>INDEX('Main Data'!$A$1:$O$1001,MATCH('Index&amp;Match'!$A435,'Main Data'!$A$1:$A$1001,0),MATCH('Index&amp;Match'!H434,'Main Data'!$A434:$O434,0))</f>
        <v>SME</v>
      </c>
      <c r="I435" s="2">
        <f>INDEX('Main Data'!$A$1:$O$1001,MATCH('Index&amp;Match'!$A435,'Main Data'!$A$1:$A$1001,0),MATCH('Index&amp;Match'!I434,'Main Data'!$A434:$O434,0))</f>
        <v>34</v>
      </c>
      <c r="J435" s="2">
        <f>INDEX('Main Data'!$A$1:$O$1001,MATCH('Index&amp;Match'!$A435,'Main Data'!$A$1:$A$1001,0),MATCH('Index&amp;Match'!J434,'Main Data'!$A434:$O434,0))</f>
        <v>34</v>
      </c>
      <c r="K435" s="11">
        <f>INDEX('Main Data'!$A$1:$O$1001,MATCH('Index&amp;Match'!$A435,'Main Data'!$A$1:$A$1001,0),MATCH('Index&amp;Match'!K434,'Main Data'!$A434:$O434,0))</f>
        <v>20552.849999999999</v>
      </c>
      <c r="L435" s="11">
        <f>INDEX('Main Data'!$A$1:$O$1001,MATCH('Index&amp;Match'!$A435,'Main Data'!$A$1:$A$1001,0),MATCH('Index&amp;Match'!L434,'Main Data'!$A434:$O434,0))</f>
        <v>402.98</v>
      </c>
      <c r="M435" s="11">
        <f>INDEX('Main Data'!$A$1:$O$1001,MATCH('Index&amp;Match'!$A435,'Main Data'!$A$1:$A$1001,0),MATCH('Index&amp;Match'!M434,'Main Data'!$A434:$O434,0))</f>
        <v>11.02</v>
      </c>
      <c r="N435" s="2" t="str">
        <f>INDEX('Main Data'!$A$1:$O$1001,MATCH('Index&amp;Match'!$A435,'Main Data'!$A$1:$A$1001,0),MATCH('Index&amp;Match'!N434,'Main Data'!$A434:$O434,0))</f>
        <v>Yes</v>
      </c>
      <c r="O435" s="2">
        <f>INDEX('Main Data'!$A$1:$O$1001,MATCH('Index&amp;Match'!$A435,'Main Data'!$A$1:$A$1001,0),MATCH('Index&amp;Match'!O434,'Main Data'!$A434:$O434,0))</f>
        <v>34</v>
      </c>
    </row>
    <row r="436" spans="1:15" x14ac:dyDescent="0.3">
      <c r="A436" s="2" t="s">
        <v>493</v>
      </c>
      <c r="B436" s="1">
        <f>INDEX('Main Data'!$A$1:$O$1001,MATCH('Index&amp;Match'!$A436,'Main Data'!$A$1:$A$1001,0),MATCH('Index&amp;Match'!B435,'Main Data'!$A435:$O435,0))</f>
        <v>46052</v>
      </c>
      <c r="C436" s="2" t="str">
        <f>INDEX('Main Data'!$A$1:$O$1001,MATCH('Index&amp;Match'!$A436,'Main Data'!$A$1:$A$1001,0),MATCH('Index&amp;Match'!C435,'Main Data'!$A435:$O435,0))</f>
        <v>Morgan</v>
      </c>
      <c r="D436" s="2" t="str">
        <f>INDEX('Main Data'!$A$1:$O$1001,MATCH('Index&amp;Match'!$A436,'Main Data'!$A$1:$A$1001,0),MATCH('Index&amp;Match'!D435,'Main Data'!$A435:$O435,0))</f>
        <v>BR-011</v>
      </c>
      <c r="E436" s="2" t="str">
        <f>INDEX('Main Data'!$A$1:$O$1001,MATCH('Index&amp;Match'!$A436,'Main Data'!$A$1:$A$1001,0),MATCH('Index&amp;Match'!E435,'Main Data'!$A435:$O435,0))</f>
        <v>West</v>
      </c>
      <c r="F436" s="2" t="str">
        <f>INDEX('Main Data'!$A$1:$O$1001,MATCH('Index&amp;Match'!$A436,'Main Data'!$A$1:$A$1001,0),MATCH('Index&amp;Match'!F435,'Main Data'!$A435:$O435,0))</f>
        <v>Personal Loan</v>
      </c>
      <c r="G436" s="2" t="str">
        <f>INDEX('Main Data'!$A$1:$O$1001,MATCH('Index&amp;Match'!$A436,'Main Data'!$A$1:$A$1001,0),MATCH('Index&amp;Match'!G435,'Main Data'!$A435:$O435,0))</f>
        <v>Referral</v>
      </c>
      <c r="H436" s="2" t="str">
        <f>INDEX('Main Data'!$A$1:$O$1001,MATCH('Index&amp;Match'!$A436,'Main Data'!$A$1:$A$1001,0),MATCH('Index&amp;Match'!H435,'Main Data'!$A435:$O435,0))</f>
        <v>High Net Worth</v>
      </c>
      <c r="I436" s="2">
        <f>INDEX('Main Data'!$A$1:$O$1001,MATCH('Index&amp;Match'!$A436,'Main Data'!$A$1:$A$1001,0),MATCH('Index&amp;Match'!I435,'Main Data'!$A435:$O435,0))</f>
        <v>59</v>
      </c>
      <c r="J436" s="2">
        <f>INDEX('Main Data'!$A$1:$O$1001,MATCH('Index&amp;Match'!$A436,'Main Data'!$A$1:$A$1001,0),MATCH('Index&amp;Match'!J435,'Main Data'!$A435:$O435,0))</f>
        <v>59</v>
      </c>
      <c r="K436" s="11">
        <f>INDEX('Main Data'!$A$1:$O$1001,MATCH('Index&amp;Match'!$A436,'Main Data'!$A$1:$A$1001,0),MATCH('Index&amp;Match'!K435,'Main Data'!$A435:$O435,0))</f>
        <v>634.04999999999995</v>
      </c>
      <c r="L436" s="11">
        <f>INDEX('Main Data'!$A$1:$O$1001,MATCH('Index&amp;Match'!$A436,'Main Data'!$A$1:$A$1001,0),MATCH('Index&amp;Match'!L435,'Main Data'!$A435:$O435,0))</f>
        <v>271.8</v>
      </c>
      <c r="M436" s="11">
        <f>INDEX('Main Data'!$A$1:$O$1001,MATCH('Index&amp;Match'!$A436,'Main Data'!$A$1:$A$1001,0),MATCH('Index&amp;Match'!M435,'Main Data'!$A435:$O435,0))</f>
        <v>266.36</v>
      </c>
      <c r="N436" s="2" t="str">
        <f>INDEX('Main Data'!$A$1:$O$1001,MATCH('Index&amp;Match'!$A436,'Main Data'!$A$1:$A$1001,0),MATCH('Index&amp;Match'!N435,'Main Data'!$A435:$O435,0))</f>
        <v>No</v>
      </c>
      <c r="O436" s="2">
        <f>INDEX('Main Data'!$A$1:$O$1001,MATCH('Index&amp;Match'!$A436,'Main Data'!$A$1:$A$1001,0),MATCH('Index&amp;Match'!O435,'Main Data'!$A435:$O435,0))</f>
        <v>59</v>
      </c>
    </row>
    <row r="437" spans="1:15" x14ac:dyDescent="0.3">
      <c r="A437" s="2" t="s">
        <v>494</v>
      </c>
      <c r="B437" s="1">
        <f>INDEX('Main Data'!$A$1:$O$1001,MATCH('Index&amp;Match'!$A437,'Main Data'!$A$1:$A$1001,0),MATCH('Index&amp;Match'!B436,'Main Data'!$A436:$O436,0))</f>
        <v>46224</v>
      </c>
      <c r="C437" s="2" t="str">
        <f>INDEX('Main Data'!$A$1:$O$1001,MATCH('Index&amp;Match'!$A437,'Main Data'!$A$1:$A$1001,0),MATCH('Index&amp;Match'!C436,'Main Data'!$A436:$O436,0))</f>
        <v>Drew</v>
      </c>
      <c r="D437" s="2" t="str">
        <f>INDEX('Main Data'!$A$1:$O$1001,MATCH('Index&amp;Match'!$A437,'Main Data'!$A$1:$A$1001,0),MATCH('Index&amp;Match'!D436,'Main Data'!$A436:$O436,0))</f>
        <v>BR-009</v>
      </c>
      <c r="E437" s="2" t="str">
        <f>INDEX('Main Data'!$A$1:$O$1001,MATCH('Index&amp;Match'!$A437,'Main Data'!$A$1:$A$1001,0),MATCH('Index&amp;Match'!E436,'Main Data'!$A436:$O436,0))</f>
        <v>East</v>
      </c>
      <c r="F437" s="2" t="str">
        <f>INDEX('Main Data'!$A$1:$O$1001,MATCH('Index&amp;Match'!$A437,'Main Data'!$A$1:$A$1001,0),MATCH('Index&amp;Match'!F436,'Main Data'!$A436:$O436,0))</f>
        <v>Credit Card</v>
      </c>
      <c r="G437" s="2" t="str">
        <f>INDEX('Main Data'!$A$1:$O$1001,MATCH('Index&amp;Match'!$A437,'Main Data'!$A$1:$A$1001,0),MATCH('Index&amp;Match'!G436,'Main Data'!$A436:$O436,0))</f>
        <v>Website</v>
      </c>
      <c r="H437" s="2" t="str">
        <f>INDEX('Main Data'!$A$1:$O$1001,MATCH('Index&amp;Match'!$A437,'Main Data'!$A$1:$A$1001,0),MATCH('Index&amp;Match'!H436,'Main Data'!$A436:$O436,0))</f>
        <v>High Net Worth</v>
      </c>
      <c r="I437" s="2">
        <f>INDEX('Main Data'!$A$1:$O$1001,MATCH('Index&amp;Match'!$A437,'Main Data'!$A$1:$A$1001,0),MATCH('Index&amp;Match'!I436,'Main Data'!$A436:$O436,0))</f>
        <v>51</v>
      </c>
      <c r="J437" s="2">
        <f>INDEX('Main Data'!$A$1:$O$1001,MATCH('Index&amp;Match'!$A437,'Main Data'!$A$1:$A$1001,0),MATCH('Index&amp;Match'!J436,'Main Data'!$A436:$O436,0))</f>
        <v>51</v>
      </c>
      <c r="K437" s="11">
        <f>INDEX('Main Data'!$A$1:$O$1001,MATCH('Index&amp;Match'!$A437,'Main Data'!$A$1:$A$1001,0),MATCH('Index&amp;Match'!K436,'Main Data'!$A436:$O436,0))</f>
        <v>42572.35</v>
      </c>
      <c r="L437" s="11">
        <f>INDEX('Main Data'!$A$1:$O$1001,MATCH('Index&amp;Match'!$A437,'Main Data'!$A$1:$A$1001,0),MATCH('Index&amp;Match'!L436,'Main Data'!$A436:$O436,0))</f>
        <v>131.38999999999999</v>
      </c>
      <c r="M437" s="11">
        <f>INDEX('Main Data'!$A$1:$O$1001,MATCH('Index&amp;Match'!$A437,'Main Data'!$A$1:$A$1001,0),MATCH('Index&amp;Match'!M436,'Main Data'!$A436:$O436,0))</f>
        <v>210.9</v>
      </c>
      <c r="N437" s="2" t="str">
        <f>INDEX('Main Data'!$A$1:$O$1001,MATCH('Index&amp;Match'!$A437,'Main Data'!$A$1:$A$1001,0),MATCH('Index&amp;Match'!N436,'Main Data'!$A436:$O436,0))</f>
        <v>Yes</v>
      </c>
      <c r="O437" s="2">
        <f>INDEX('Main Data'!$A$1:$O$1001,MATCH('Index&amp;Match'!$A437,'Main Data'!$A$1:$A$1001,0),MATCH('Index&amp;Match'!O436,'Main Data'!$A436:$O436,0))</f>
        <v>51</v>
      </c>
    </row>
    <row r="438" spans="1:15" x14ac:dyDescent="0.3">
      <c r="A438" s="2" t="s">
        <v>495</v>
      </c>
      <c r="B438" s="1">
        <f>INDEX('Main Data'!$A$1:$O$1001,MATCH('Index&amp;Match'!$A438,'Main Data'!$A$1:$A$1001,0),MATCH('Index&amp;Match'!B437,'Main Data'!$A437:$O437,0))</f>
        <v>46008</v>
      </c>
      <c r="C438" s="2" t="str">
        <f>INDEX('Main Data'!$A$1:$O$1001,MATCH('Index&amp;Match'!$A438,'Main Data'!$A$1:$A$1001,0),MATCH('Index&amp;Match'!C437,'Main Data'!$A437:$O437,0))</f>
        <v>Drew</v>
      </c>
      <c r="D438" s="2" t="str">
        <f>INDEX('Main Data'!$A$1:$O$1001,MATCH('Index&amp;Match'!$A438,'Main Data'!$A$1:$A$1001,0),MATCH('Index&amp;Match'!D437,'Main Data'!$A437:$O437,0))</f>
        <v>BR-005</v>
      </c>
      <c r="E438" s="2" t="str">
        <f>INDEX('Main Data'!$A$1:$O$1001,MATCH('Index&amp;Match'!$A438,'Main Data'!$A$1:$A$1001,0),MATCH('Index&amp;Match'!E437,'Main Data'!$A437:$O437,0))</f>
        <v>Central</v>
      </c>
      <c r="F438" s="2" t="str">
        <f>INDEX('Main Data'!$A$1:$O$1001,MATCH('Index&amp;Match'!$A438,'Main Data'!$A$1:$A$1001,0),MATCH('Index&amp;Match'!F437,'Main Data'!$A437:$O437,0))</f>
        <v>Wealth Management</v>
      </c>
      <c r="G438" s="2" t="str">
        <f>INDEX('Main Data'!$A$1:$O$1001,MATCH('Index&amp;Match'!$A438,'Main Data'!$A$1:$A$1001,0),MATCH('Index&amp;Match'!G437,'Main Data'!$A437:$O437,0))</f>
        <v>Website</v>
      </c>
      <c r="H438" s="2" t="str">
        <f>INDEX('Main Data'!$A$1:$O$1001,MATCH('Index&amp;Match'!$A438,'Main Data'!$A$1:$A$1001,0),MATCH('Index&amp;Match'!H437,'Main Data'!$A437:$O437,0))</f>
        <v>Corporate</v>
      </c>
      <c r="I438" s="2">
        <f>INDEX('Main Data'!$A$1:$O$1001,MATCH('Index&amp;Match'!$A438,'Main Data'!$A$1:$A$1001,0),MATCH('Index&amp;Match'!I437,'Main Data'!$A437:$O437,0))</f>
        <v>34</v>
      </c>
      <c r="J438" s="2">
        <f>INDEX('Main Data'!$A$1:$O$1001,MATCH('Index&amp;Match'!$A438,'Main Data'!$A$1:$A$1001,0),MATCH('Index&amp;Match'!J437,'Main Data'!$A437:$O437,0))</f>
        <v>34</v>
      </c>
      <c r="K438" s="11">
        <f>INDEX('Main Data'!$A$1:$O$1001,MATCH('Index&amp;Match'!$A438,'Main Data'!$A$1:$A$1001,0),MATCH('Index&amp;Match'!K437,'Main Data'!$A437:$O437,0))</f>
        <v>19354.07</v>
      </c>
      <c r="L438" s="11">
        <f>INDEX('Main Data'!$A$1:$O$1001,MATCH('Index&amp;Match'!$A438,'Main Data'!$A$1:$A$1001,0),MATCH('Index&amp;Match'!L437,'Main Data'!$A437:$O437,0))</f>
        <v>380.64</v>
      </c>
      <c r="M438" s="11">
        <f>INDEX('Main Data'!$A$1:$O$1001,MATCH('Index&amp;Match'!$A438,'Main Data'!$A$1:$A$1001,0),MATCH('Index&amp;Match'!M437,'Main Data'!$A437:$O437,0))</f>
        <v>43.23</v>
      </c>
      <c r="N438" s="2" t="str">
        <f>INDEX('Main Data'!$A$1:$O$1001,MATCH('Index&amp;Match'!$A438,'Main Data'!$A$1:$A$1001,0),MATCH('Index&amp;Match'!N437,'Main Data'!$A437:$O437,0))</f>
        <v>No</v>
      </c>
      <c r="O438" s="2">
        <f>INDEX('Main Data'!$A$1:$O$1001,MATCH('Index&amp;Match'!$A438,'Main Data'!$A$1:$A$1001,0),MATCH('Index&amp;Match'!O437,'Main Data'!$A437:$O437,0))</f>
        <v>34</v>
      </c>
    </row>
    <row r="439" spans="1:15" x14ac:dyDescent="0.3">
      <c r="A439" s="2" t="s">
        <v>496</v>
      </c>
      <c r="B439" s="1">
        <f>INDEX('Main Data'!$A$1:$O$1001,MATCH('Index&amp;Match'!$A439,'Main Data'!$A$1:$A$1001,0),MATCH('Index&amp;Match'!B438,'Main Data'!$A438:$O438,0))</f>
        <v>46091</v>
      </c>
      <c r="C439" s="2" t="str">
        <f>INDEX('Main Data'!$A$1:$O$1001,MATCH('Index&amp;Match'!$A439,'Main Data'!$A$1:$A$1001,0),MATCH('Index&amp;Match'!C438,'Main Data'!$A438:$O438,0))</f>
        <v>Drew</v>
      </c>
      <c r="D439" s="2" t="str">
        <f>INDEX('Main Data'!$A$1:$O$1001,MATCH('Index&amp;Match'!$A439,'Main Data'!$A$1:$A$1001,0),MATCH('Index&amp;Match'!D438,'Main Data'!$A438:$O438,0))</f>
        <v>BR-014</v>
      </c>
      <c r="E439" s="2" t="str">
        <f>INDEX('Main Data'!$A$1:$O$1001,MATCH('Index&amp;Match'!$A439,'Main Data'!$A$1:$A$1001,0),MATCH('Index&amp;Match'!E438,'Main Data'!$A438:$O438,0))</f>
        <v>South</v>
      </c>
      <c r="F439" s="2" t="str">
        <f>INDEX('Main Data'!$A$1:$O$1001,MATCH('Index&amp;Match'!$A439,'Main Data'!$A$1:$A$1001,0),MATCH('Index&amp;Match'!F438,'Main Data'!$A438:$O438,0))</f>
        <v>Mortgage</v>
      </c>
      <c r="G439" s="2" t="str">
        <f>INDEX('Main Data'!$A$1:$O$1001,MATCH('Index&amp;Match'!$A439,'Main Data'!$A$1:$A$1001,0),MATCH('Index&amp;Match'!G438,'Main Data'!$A438:$O438,0))</f>
        <v>Referral</v>
      </c>
      <c r="H439" s="2" t="str">
        <f>INDEX('Main Data'!$A$1:$O$1001,MATCH('Index&amp;Match'!$A439,'Main Data'!$A$1:$A$1001,0),MATCH('Index&amp;Match'!H438,'Main Data'!$A438:$O438,0))</f>
        <v>High Net Worth</v>
      </c>
      <c r="I439" s="2">
        <f>INDEX('Main Data'!$A$1:$O$1001,MATCH('Index&amp;Match'!$A439,'Main Data'!$A$1:$A$1001,0),MATCH('Index&amp;Match'!I438,'Main Data'!$A438:$O438,0))</f>
        <v>26</v>
      </c>
      <c r="J439" s="2">
        <f>INDEX('Main Data'!$A$1:$O$1001,MATCH('Index&amp;Match'!$A439,'Main Data'!$A$1:$A$1001,0),MATCH('Index&amp;Match'!J438,'Main Data'!$A438:$O438,0))</f>
        <v>26</v>
      </c>
      <c r="K439" s="11">
        <f>INDEX('Main Data'!$A$1:$O$1001,MATCH('Index&amp;Match'!$A439,'Main Data'!$A$1:$A$1001,0),MATCH('Index&amp;Match'!K438,'Main Data'!$A438:$O438,0))</f>
        <v>25054.11</v>
      </c>
      <c r="L439" s="11">
        <f>INDEX('Main Data'!$A$1:$O$1001,MATCH('Index&amp;Match'!$A439,'Main Data'!$A$1:$A$1001,0),MATCH('Index&amp;Match'!L438,'Main Data'!$A438:$O438,0))</f>
        <v>163.46</v>
      </c>
      <c r="M439" s="11">
        <f>INDEX('Main Data'!$A$1:$O$1001,MATCH('Index&amp;Match'!$A439,'Main Data'!$A$1:$A$1001,0),MATCH('Index&amp;Match'!M438,'Main Data'!$A438:$O438,0))</f>
        <v>55.02</v>
      </c>
      <c r="N439" s="2" t="str">
        <f>INDEX('Main Data'!$A$1:$O$1001,MATCH('Index&amp;Match'!$A439,'Main Data'!$A$1:$A$1001,0),MATCH('Index&amp;Match'!N438,'Main Data'!$A438:$O438,0))</f>
        <v>Yes</v>
      </c>
      <c r="O439" s="2">
        <f>INDEX('Main Data'!$A$1:$O$1001,MATCH('Index&amp;Match'!$A439,'Main Data'!$A$1:$A$1001,0),MATCH('Index&amp;Match'!O438,'Main Data'!$A438:$O438,0))</f>
        <v>26</v>
      </c>
    </row>
    <row r="440" spans="1:15" x14ac:dyDescent="0.3">
      <c r="A440" s="2" t="s">
        <v>497</v>
      </c>
      <c r="B440" s="1">
        <f>INDEX('Main Data'!$A$1:$O$1001,MATCH('Index&amp;Match'!$A440,'Main Data'!$A$1:$A$1001,0),MATCH('Index&amp;Match'!B439,'Main Data'!$A439:$O439,0))</f>
        <v>46144</v>
      </c>
      <c r="C440" s="2" t="str">
        <f>INDEX('Main Data'!$A$1:$O$1001,MATCH('Index&amp;Match'!$A440,'Main Data'!$A$1:$A$1001,0),MATCH('Index&amp;Match'!C439,'Main Data'!$A439:$O439,0))</f>
        <v>Jamie</v>
      </c>
      <c r="D440" s="2" t="str">
        <f>INDEX('Main Data'!$A$1:$O$1001,MATCH('Index&amp;Match'!$A440,'Main Data'!$A$1:$A$1001,0),MATCH('Index&amp;Match'!D439,'Main Data'!$A439:$O439,0))</f>
        <v>BR-012</v>
      </c>
      <c r="E440" s="2" t="str">
        <f>INDEX('Main Data'!$A$1:$O$1001,MATCH('Index&amp;Match'!$A440,'Main Data'!$A$1:$A$1001,0),MATCH('Index&amp;Match'!E439,'Main Data'!$A439:$O439,0))</f>
        <v>Central</v>
      </c>
      <c r="F440" s="2" t="str">
        <f>INDEX('Main Data'!$A$1:$O$1001,MATCH('Index&amp;Match'!$A440,'Main Data'!$A$1:$A$1001,0),MATCH('Index&amp;Match'!F439,'Main Data'!$A439:$O439,0))</f>
        <v>Auto Loan</v>
      </c>
      <c r="G440" s="2" t="str">
        <f>INDEX('Main Data'!$A$1:$O$1001,MATCH('Index&amp;Match'!$A440,'Main Data'!$A$1:$A$1001,0),MATCH('Index&amp;Match'!G439,'Main Data'!$A439:$O439,0))</f>
        <v>Website</v>
      </c>
      <c r="H440" s="2" t="str">
        <f>INDEX('Main Data'!$A$1:$O$1001,MATCH('Index&amp;Match'!$A440,'Main Data'!$A$1:$A$1001,0),MATCH('Index&amp;Match'!H439,'Main Data'!$A439:$O439,0))</f>
        <v>Retail</v>
      </c>
      <c r="I440" s="2">
        <f>INDEX('Main Data'!$A$1:$O$1001,MATCH('Index&amp;Match'!$A440,'Main Data'!$A$1:$A$1001,0),MATCH('Index&amp;Match'!I439,'Main Data'!$A439:$O439,0))</f>
        <v>32</v>
      </c>
      <c r="J440" s="2">
        <f>INDEX('Main Data'!$A$1:$O$1001,MATCH('Index&amp;Match'!$A440,'Main Data'!$A$1:$A$1001,0),MATCH('Index&amp;Match'!J439,'Main Data'!$A439:$O439,0))</f>
        <v>32</v>
      </c>
      <c r="K440" s="11">
        <f>INDEX('Main Data'!$A$1:$O$1001,MATCH('Index&amp;Match'!$A440,'Main Data'!$A$1:$A$1001,0),MATCH('Index&amp;Match'!K439,'Main Data'!$A439:$O439,0))</f>
        <v>884.45</v>
      </c>
      <c r="L440" s="11">
        <f>INDEX('Main Data'!$A$1:$O$1001,MATCH('Index&amp;Match'!$A440,'Main Data'!$A$1:$A$1001,0),MATCH('Index&amp;Match'!L439,'Main Data'!$A439:$O439,0))</f>
        <v>270.86</v>
      </c>
      <c r="M440" s="11">
        <f>INDEX('Main Data'!$A$1:$O$1001,MATCH('Index&amp;Match'!$A440,'Main Data'!$A$1:$A$1001,0),MATCH('Index&amp;Match'!M439,'Main Data'!$A439:$O439,0))</f>
        <v>86.33</v>
      </c>
      <c r="N440" s="2" t="str">
        <f>INDEX('Main Data'!$A$1:$O$1001,MATCH('Index&amp;Match'!$A440,'Main Data'!$A$1:$A$1001,0),MATCH('Index&amp;Match'!N439,'Main Data'!$A439:$O439,0))</f>
        <v>Yes</v>
      </c>
      <c r="O440" s="2">
        <f>INDEX('Main Data'!$A$1:$O$1001,MATCH('Index&amp;Match'!$A440,'Main Data'!$A$1:$A$1001,0),MATCH('Index&amp;Match'!O439,'Main Data'!$A439:$O439,0))</f>
        <v>32</v>
      </c>
    </row>
    <row r="441" spans="1:15" x14ac:dyDescent="0.3">
      <c r="A441" s="2" t="s">
        <v>498</v>
      </c>
      <c r="B441" s="1">
        <f>INDEX('Main Data'!$A$1:$O$1001,MATCH('Index&amp;Match'!$A441,'Main Data'!$A$1:$A$1001,0),MATCH('Index&amp;Match'!B440,'Main Data'!$A440:$O440,0))</f>
        <v>46056</v>
      </c>
      <c r="C441" s="2" t="str">
        <f>INDEX('Main Data'!$A$1:$O$1001,MATCH('Index&amp;Match'!$A441,'Main Data'!$A$1:$A$1001,0),MATCH('Index&amp;Match'!C440,'Main Data'!$A440:$O440,0))</f>
        <v>Taylor</v>
      </c>
      <c r="D441" s="2" t="str">
        <f>INDEX('Main Data'!$A$1:$O$1001,MATCH('Index&amp;Match'!$A441,'Main Data'!$A$1:$A$1001,0),MATCH('Index&amp;Match'!D440,'Main Data'!$A440:$O440,0))</f>
        <v>BR-014</v>
      </c>
      <c r="E441" s="2" t="str">
        <f>INDEX('Main Data'!$A$1:$O$1001,MATCH('Index&amp;Match'!$A441,'Main Data'!$A$1:$A$1001,0),MATCH('Index&amp;Match'!E440,'Main Data'!$A440:$O440,0))</f>
        <v>North</v>
      </c>
      <c r="F441" s="2" t="str">
        <f>INDEX('Main Data'!$A$1:$O$1001,MATCH('Index&amp;Match'!$A441,'Main Data'!$A$1:$A$1001,0),MATCH('Index&amp;Match'!F440,'Main Data'!$A440:$O440,0))</f>
        <v>Personal Loan</v>
      </c>
      <c r="G441" s="2" t="str">
        <f>INDEX('Main Data'!$A$1:$O$1001,MATCH('Index&amp;Match'!$A441,'Main Data'!$A$1:$A$1001,0),MATCH('Index&amp;Match'!G440,'Main Data'!$A440:$O440,0))</f>
        <v>Walk-in</v>
      </c>
      <c r="H441" s="2" t="str">
        <f>INDEX('Main Data'!$A$1:$O$1001,MATCH('Index&amp;Match'!$A441,'Main Data'!$A$1:$A$1001,0),MATCH('Index&amp;Match'!H440,'Main Data'!$A440:$O440,0))</f>
        <v>Retail</v>
      </c>
      <c r="I441" s="2">
        <f>INDEX('Main Data'!$A$1:$O$1001,MATCH('Index&amp;Match'!$A441,'Main Data'!$A$1:$A$1001,0),MATCH('Index&amp;Match'!I440,'Main Data'!$A440:$O440,0))</f>
        <v>36</v>
      </c>
      <c r="J441" s="2">
        <f>INDEX('Main Data'!$A$1:$O$1001,MATCH('Index&amp;Match'!$A441,'Main Data'!$A$1:$A$1001,0),MATCH('Index&amp;Match'!J440,'Main Data'!$A440:$O440,0))</f>
        <v>36</v>
      </c>
      <c r="K441" s="11">
        <f>INDEX('Main Data'!$A$1:$O$1001,MATCH('Index&amp;Match'!$A441,'Main Data'!$A$1:$A$1001,0),MATCH('Index&amp;Match'!K440,'Main Data'!$A440:$O440,0))</f>
        <v>24858.55</v>
      </c>
      <c r="L441" s="11">
        <f>INDEX('Main Data'!$A$1:$O$1001,MATCH('Index&amp;Match'!$A441,'Main Data'!$A$1:$A$1001,0),MATCH('Index&amp;Match'!L440,'Main Data'!$A440:$O440,0))</f>
        <v>83.99</v>
      </c>
      <c r="M441" s="11">
        <f>INDEX('Main Data'!$A$1:$O$1001,MATCH('Index&amp;Match'!$A441,'Main Data'!$A$1:$A$1001,0),MATCH('Index&amp;Match'!M440,'Main Data'!$A440:$O440,0))</f>
        <v>163.51</v>
      </c>
      <c r="N441" s="2" t="str">
        <f>INDEX('Main Data'!$A$1:$O$1001,MATCH('Index&amp;Match'!$A441,'Main Data'!$A$1:$A$1001,0),MATCH('Index&amp;Match'!N440,'Main Data'!$A440:$O440,0))</f>
        <v>Yes</v>
      </c>
      <c r="O441" s="2">
        <f>INDEX('Main Data'!$A$1:$O$1001,MATCH('Index&amp;Match'!$A441,'Main Data'!$A$1:$A$1001,0),MATCH('Index&amp;Match'!O440,'Main Data'!$A440:$O440,0))</f>
        <v>36</v>
      </c>
    </row>
    <row r="442" spans="1:15" x14ac:dyDescent="0.3">
      <c r="A442" s="2" t="s">
        <v>499</v>
      </c>
      <c r="B442" s="1">
        <f>INDEX('Main Data'!$A$1:$O$1001,MATCH('Index&amp;Match'!$A442,'Main Data'!$A$1:$A$1001,0),MATCH('Index&amp;Match'!B441,'Main Data'!$A441:$O441,0))</f>
        <v>45944</v>
      </c>
      <c r="C442" s="2" t="str">
        <f>INDEX('Main Data'!$A$1:$O$1001,MATCH('Index&amp;Match'!$A442,'Main Data'!$A$1:$A$1001,0),MATCH('Index&amp;Match'!C441,'Main Data'!$A441:$O441,0))</f>
        <v>Alex</v>
      </c>
      <c r="D442" s="2" t="str">
        <f>INDEX('Main Data'!$A$1:$O$1001,MATCH('Index&amp;Match'!$A442,'Main Data'!$A$1:$A$1001,0),MATCH('Index&amp;Match'!D441,'Main Data'!$A441:$O441,0))</f>
        <v>BR-003</v>
      </c>
      <c r="E442" s="2" t="str">
        <f>INDEX('Main Data'!$A$1:$O$1001,MATCH('Index&amp;Match'!$A442,'Main Data'!$A$1:$A$1001,0),MATCH('Index&amp;Match'!E441,'Main Data'!$A441:$O441,0))</f>
        <v>East</v>
      </c>
      <c r="F442" s="2" t="str">
        <f>INDEX('Main Data'!$A$1:$O$1001,MATCH('Index&amp;Match'!$A442,'Main Data'!$A$1:$A$1001,0),MATCH('Index&amp;Match'!F441,'Main Data'!$A441:$O441,0))</f>
        <v>Credit Card</v>
      </c>
      <c r="G442" s="2" t="str">
        <f>INDEX('Main Data'!$A$1:$O$1001,MATCH('Index&amp;Match'!$A442,'Main Data'!$A$1:$A$1001,0),MATCH('Index&amp;Match'!G441,'Main Data'!$A441:$O441,0))</f>
        <v>Walk-in</v>
      </c>
      <c r="H442" s="2" t="str">
        <f>INDEX('Main Data'!$A$1:$O$1001,MATCH('Index&amp;Match'!$A442,'Main Data'!$A$1:$A$1001,0),MATCH('Index&amp;Match'!H441,'Main Data'!$A441:$O441,0))</f>
        <v>High Net Worth</v>
      </c>
      <c r="I442" s="2">
        <f>INDEX('Main Data'!$A$1:$O$1001,MATCH('Index&amp;Match'!$A442,'Main Data'!$A$1:$A$1001,0),MATCH('Index&amp;Match'!I441,'Main Data'!$A441:$O441,0))</f>
        <v>37</v>
      </c>
      <c r="J442" s="2">
        <f>INDEX('Main Data'!$A$1:$O$1001,MATCH('Index&amp;Match'!$A442,'Main Data'!$A$1:$A$1001,0),MATCH('Index&amp;Match'!J441,'Main Data'!$A441:$O441,0))</f>
        <v>37</v>
      </c>
      <c r="K442" s="11">
        <f>INDEX('Main Data'!$A$1:$O$1001,MATCH('Index&amp;Match'!$A442,'Main Data'!$A$1:$A$1001,0),MATCH('Index&amp;Match'!K441,'Main Data'!$A441:$O441,0))</f>
        <v>49331.13</v>
      </c>
      <c r="L442" s="11">
        <f>INDEX('Main Data'!$A$1:$O$1001,MATCH('Index&amp;Match'!$A442,'Main Data'!$A$1:$A$1001,0),MATCH('Index&amp;Match'!L441,'Main Data'!$A441:$O441,0))</f>
        <v>328.04</v>
      </c>
      <c r="M442" s="11">
        <f>INDEX('Main Data'!$A$1:$O$1001,MATCH('Index&amp;Match'!$A442,'Main Data'!$A$1:$A$1001,0),MATCH('Index&amp;Match'!M441,'Main Data'!$A441:$O441,0))</f>
        <v>252.88</v>
      </c>
      <c r="N442" s="2" t="str">
        <f>INDEX('Main Data'!$A$1:$O$1001,MATCH('Index&amp;Match'!$A442,'Main Data'!$A$1:$A$1001,0),MATCH('Index&amp;Match'!N441,'Main Data'!$A441:$O441,0))</f>
        <v>Yes</v>
      </c>
      <c r="O442" s="2">
        <f>INDEX('Main Data'!$A$1:$O$1001,MATCH('Index&amp;Match'!$A442,'Main Data'!$A$1:$A$1001,0),MATCH('Index&amp;Match'!O441,'Main Data'!$A441:$O441,0))</f>
        <v>37</v>
      </c>
    </row>
    <row r="443" spans="1:15" x14ac:dyDescent="0.3">
      <c r="A443" s="2" t="s">
        <v>500</v>
      </c>
      <c r="B443" s="1">
        <f>INDEX('Main Data'!$A$1:$O$1001,MATCH('Index&amp;Match'!$A443,'Main Data'!$A$1:$A$1001,0),MATCH('Index&amp;Match'!B442,'Main Data'!$A442:$O442,0))</f>
        <v>46231</v>
      </c>
      <c r="C443" s="2" t="str">
        <f>INDEX('Main Data'!$A$1:$O$1001,MATCH('Index&amp;Match'!$A443,'Main Data'!$A$1:$A$1001,0),MATCH('Index&amp;Match'!C442,'Main Data'!$A442:$O442,0))</f>
        <v>Drew</v>
      </c>
      <c r="D443" s="2" t="str">
        <f>INDEX('Main Data'!$A$1:$O$1001,MATCH('Index&amp;Match'!$A443,'Main Data'!$A$1:$A$1001,0),MATCH('Index&amp;Match'!D442,'Main Data'!$A442:$O442,0))</f>
        <v>BR-005</v>
      </c>
      <c r="E443" s="2" t="str">
        <f>INDEX('Main Data'!$A$1:$O$1001,MATCH('Index&amp;Match'!$A443,'Main Data'!$A$1:$A$1001,0),MATCH('Index&amp;Match'!E442,'Main Data'!$A442:$O442,0))</f>
        <v>South</v>
      </c>
      <c r="F443" s="2" t="str">
        <f>INDEX('Main Data'!$A$1:$O$1001,MATCH('Index&amp;Match'!$A443,'Main Data'!$A$1:$A$1001,0),MATCH('Index&amp;Match'!F442,'Main Data'!$A442:$O442,0))</f>
        <v>Mortgage</v>
      </c>
      <c r="G443" s="2" t="str">
        <f>INDEX('Main Data'!$A$1:$O$1001,MATCH('Index&amp;Match'!$A443,'Main Data'!$A$1:$A$1001,0),MATCH('Index&amp;Match'!G442,'Main Data'!$A442:$O442,0))</f>
        <v>Referral</v>
      </c>
      <c r="H443" s="2" t="str">
        <f>INDEX('Main Data'!$A$1:$O$1001,MATCH('Index&amp;Match'!$A443,'Main Data'!$A$1:$A$1001,0),MATCH('Index&amp;Match'!H442,'Main Data'!$A442:$O442,0))</f>
        <v>Corporate</v>
      </c>
      <c r="I443" s="2">
        <f>INDEX('Main Data'!$A$1:$O$1001,MATCH('Index&amp;Match'!$A443,'Main Data'!$A$1:$A$1001,0),MATCH('Index&amp;Match'!I442,'Main Data'!$A442:$O442,0))</f>
        <v>65</v>
      </c>
      <c r="J443" s="2">
        <f>INDEX('Main Data'!$A$1:$O$1001,MATCH('Index&amp;Match'!$A443,'Main Data'!$A$1:$A$1001,0),MATCH('Index&amp;Match'!J442,'Main Data'!$A442:$O442,0))</f>
        <v>65</v>
      </c>
      <c r="K443" s="11">
        <f>INDEX('Main Data'!$A$1:$O$1001,MATCH('Index&amp;Match'!$A443,'Main Data'!$A$1:$A$1001,0),MATCH('Index&amp;Match'!K442,'Main Data'!$A442:$O442,0))</f>
        <v>14274.25</v>
      </c>
      <c r="L443" s="11">
        <f>INDEX('Main Data'!$A$1:$O$1001,MATCH('Index&amp;Match'!$A443,'Main Data'!$A$1:$A$1001,0),MATCH('Index&amp;Match'!L442,'Main Data'!$A442:$O442,0))</f>
        <v>349.64</v>
      </c>
      <c r="M443" s="11">
        <f>INDEX('Main Data'!$A$1:$O$1001,MATCH('Index&amp;Match'!$A443,'Main Data'!$A$1:$A$1001,0),MATCH('Index&amp;Match'!M442,'Main Data'!$A442:$O442,0))</f>
        <v>104.09</v>
      </c>
      <c r="N443" s="2" t="str">
        <f>INDEX('Main Data'!$A$1:$O$1001,MATCH('Index&amp;Match'!$A443,'Main Data'!$A$1:$A$1001,0),MATCH('Index&amp;Match'!N442,'Main Data'!$A442:$O442,0))</f>
        <v>Yes</v>
      </c>
      <c r="O443" s="2">
        <f>INDEX('Main Data'!$A$1:$O$1001,MATCH('Index&amp;Match'!$A443,'Main Data'!$A$1:$A$1001,0),MATCH('Index&amp;Match'!O442,'Main Data'!$A442:$O442,0))</f>
        <v>65</v>
      </c>
    </row>
    <row r="444" spans="1:15" x14ac:dyDescent="0.3">
      <c r="A444" s="2" t="s">
        <v>501</v>
      </c>
      <c r="B444" s="1">
        <f>INDEX('Main Data'!$A$1:$O$1001,MATCH('Index&amp;Match'!$A444,'Main Data'!$A$1:$A$1001,0),MATCH('Index&amp;Match'!B443,'Main Data'!$A443:$O443,0))</f>
        <v>46079</v>
      </c>
      <c r="C444" s="2" t="str">
        <f>INDEX('Main Data'!$A$1:$O$1001,MATCH('Index&amp;Match'!$A444,'Main Data'!$A$1:$A$1001,0),MATCH('Index&amp;Match'!C443,'Main Data'!$A443:$O443,0))</f>
        <v>Alex</v>
      </c>
      <c r="D444" s="2" t="str">
        <f>INDEX('Main Data'!$A$1:$O$1001,MATCH('Index&amp;Match'!$A444,'Main Data'!$A$1:$A$1001,0),MATCH('Index&amp;Match'!D443,'Main Data'!$A443:$O443,0))</f>
        <v>BR-005</v>
      </c>
      <c r="E444" s="2" t="str">
        <f>INDEX('Main Data'!$A$1:$O$1001,MATCH('Index&amp;Match'!$A444,'Main Data'!$A$1:$A$1001,0),MATCH('Index&amp;Match'!E443,'Main Data'!$A443:$O443,0))</f>
        <v>West</v>
      </c>
      <c r="F444" s="2" t="str">
        <f>INDEX('Main Data'!$A$1:$O$1001,MATCH('Index&amp;Match'!$A444,'Main Data'!$A$1:$A$1001,0),MATCH('Index&amp;Match'!F443,'Main Data'!$A443:$O443,0))</f>
        <v>Personal Loan</v>
      </c>
      <c r="G444" s="2" t="str">
        <f>INDEX('Main Data'!$A$1:$O$1001,MATCH('Index&amp;Match'!$A444,'Main Data'!$A$1:$A$1001,0),MATCH('Index&amp;Match'!G443,'Main Data'!$A443:$O443,0))</f>
        <v>Website</v>
      </c>
      <c r="H444" s="2" t="str">
        <f>INDEX('Main Data'!$A$1:$O$1001,MATCH('Index&amp;Match'!$A444,'Main Data'!$A$1:$A$1001,0),MATCH('Index&amp;Match'!H443,'Main Data'!$A443:$O443,0))</f>
        <v>SME</v>
      </c>
      <c r="I444" s="2">
        <f>INDEX('Main Data'!$A$1:$O$1001,MATCH('Index&amp;Match'!$A444,'Main Data'!$A$1:$A$1001,0),MATCH('Index&amp;Match'!I443,'Main Data'!$A443:$O443,0))</f>
        <v>43</v>
      </c>
      <c r="J444" s="2">
        <f>INDEX('Main Data'!$A$1:$O$1001,MATCH('Index&amp;Match'!$A444,'Main Data'!$A$1:$A$1001,0),MATCH('Index&amp;Match'!J443,'Main Data'!$A443:$O443,0))</f>
        <v>43</v>
      </c>
      <c r="K444" s="11">
        <f>INDEX('Main Data'!$A$1:$O$1001,MATCH('Index&amp;Match'!$A444,'Main Data'!$A$1:$A$1001,0),MATCH('Index&amp;Match'!K443,'Main Data'!$A443:$O443,0))</f>
        <v>20073.2</v>
      </c>
      <c r="L444" s="11">
        <f>INDEX('Main Data'!$A$1:$O$1001,MATCH('Index&amp;Match'!$A444,'Main Data'!$A$1:$A$1001,0),MATCH('Index&amp;Match'!L443,'Main Data'!$A443:$O443,0))</f>
        <v>220.4</v>
      </c>
      <c r="M444" s="11">
        <f>INDEX('Main Data'!$A$1:$O$1001,MATCH('Index&amp;Match'!$A444,'Main Data'!$A$1:$A$1001,0),MATCH('Index&amp;Match'!M443,'Main Data'!$A443:$O443,0))</f>
        <v>172.16</v>
      </c>
      <c r="N444" s="2" t="str">
        <f>INDEX('Main Data'!$A$1:$O$1001,MATCH('Index&amp;Match'!$A444,'Main Data'!$A$1:$A$1001,0),MATCH('Index&amp;Match'!N443,'Main Data'!$A443:$O443,0))</f>
        <v>Yes</v>
      </c>
      <c r="O444" s="2">
        <f>INDEX('Main Data'!$A$1:$O$1001,MATCH('Index&amp;Match'!$A444,'Main Data'!$A$1:$A$1001,0),MATCH('Index&amp;Match'!O443,'Main Data'!$A443:$O443,0))</f>
        <v>43</v>
      </c>
    </row>
    <row r="445" spans="1:15" x14ac:dyDescent="0.3">
      <c r="A445" s="2" t="s">
        <v>502</v>
      </c>
      <c r="B445" s="1">
        <f>INDEX('Main Data'!$A$1:$O$1001,MATCH('Index&amp;Match'!$A445,'Main Data'!$A$1:$A$1001,0),MATCH('Index&amp;Match'!B444,'Main Data'!$A444:$O444,0))</f>
        <v>45944</v>
      </c>
      <c r="C445" s="2" t="str">
        <f>INDEX('Main Data'!$A$1:$O$1001,MATCH('Index&amp;Match'!$A445,'Main Data'!$A$1:$A$1001,0),MATCH('Index&amp;Match'!C444,'Main Data'!$A444:$O444,0))</f>
        <v>Drew</v>
      </c>
      <c r="D445" s="2" t="str">
        <f>INDEX('Main Data'!$A$1:$O$1001,MATCH('Index&amp;Match'!$A445,'Main Data'!$A$1:$A$1001,0),MATCH('Index&amp;Match'!D444,'Main Data'!$A444:$O444,0))</f>
        <v>BR-005</v>
      </c>
      <c r="E445" s="2" t="str">
        <f>INDEX('Main Data'!$A$1:$O$1001,MATCH('Index&amp;Match'!$A445,'Main Data'!$A$1:$A$1001,0),MATCH('Index&amp;Match'!E444,'Main Data'!$A444:$O444,0))</f>
        <v>South</v>
      </c>
      <c r="F445" s="2" t="str">
        <f>INDEX('Main Data'!$A$1:$O$1001,MATCH('Index&amp;Match'!$A445,'Main Data'!$A$1:$A$1001,0),MATCH('Index&amp;Match'!F444,'Main Data'!$A444:$O444,0))</f>
        <v>Personal Loan</v>
      </c>
      <c r="G445" s="2" t="str">
        <f>INDEX('Main Data'!$A$1:$O$1001,MATCH('Index&amp;Match'!$A445,'Main Data'!$A$1:$A$1001,0),MATCH('Index&amp;Match'!G444,'Main Data'!$A444:$O444,0))</f>
        <v>Walk-in</v>
      </c>
      <c r="H445" s="2" t="str">
        <f>INDEX('Main Data'!$A$1:$O$1001,MATCH('Index&amp;Match'!$A445,'Main Data'!$A$1:$A$1001,0),MATCH('Index&amp;Match'!H444,'Main Data'!$A444:$O444,0))</f>
        <v>Corporate</v>
      </c>
      <c r="I445" s="2">
        <f>INDEX('Main Data'!$A$1:$O$1001,MATCH('Index&amp;Match'!$A445,'Main Data'!$A$1:$A$1001,0),MATCH('Index&amp;Match'!I444,'Main Data'!$A444:$O444,0))</f>
        <v>34</v>
      </c>
      <c r="J445" s="2">
        <f>INDEX('Main Data'!$A$1:$O$1001,MATCH('Index&amp;Match'!$A445,'Main Data'!$A$1:$A$1001,0),MATCH('Index&amp;Match'!J444,'Main Data'!$A444:$O444,0))</f>
        <v>34</v>
      </c>
      <c r="K445" s="11">
        <f>INDEX('Main Data'!$A$1:$O$1001,MATCH('Index&amp;Match'!$A445,'Main Data'!$A$1:$A$1001,0),MATCH('Index&amp;Match'!K444,'Main Data'!$A444:$O444,0))</f>
        <v>34515.9</v>
      </c>
      <c r="L445" s="11">
        <f>INDEX('Main Data'!$A$1:$O$1001,MATCH('Index&amp;Match'!$A445,'Main Data'!$A$1:$A$1001,0),MATCH('Index&amp;Match'!L444,'Main Data'!$A444:$O444,0))</f>
        <v>479.49</v>
      </c>
      <c r="M445" s="11">
        <f>INDEX('Main Data'!$A$1:$O$1001,MATCH('Index&amp;Match'!$A445,'Main Data'!$A$1:$A$1001,0),MATCH('Index&amp;Match'!M444,'Main Data'!$A444:$O444,0))</f>
        <v>1.0900000000000001</v>
      </c>
      <c r="N445" s="2" t="str">
        <f>INDEX('Main Data'!$A$1:$O$1001,MATCH('Index&amp;Match'!$A445,'Main Data'!$A$1:$A$1001,0),MATCH('Index&amp;Match'!N444,'Main Data'!$A444:$O444,0))</f>
        <v>No</v>
      </c>
      <c r="O445" s="2">
        <f>INDEX('Main Data'!$A$1:$O$1001,MATCH('Index&amp;Match'!$A445,'Main Data'!$A$1:$A$1001,0),MATCH('Index&amp;Match'!O444,'Main Data'!$A444:$O444,0))</f>
        <v>34</v>
      </c>
    </row>
    <row r="446" spans="1:15" x14ac:dyDescent="0.3">
      <c r="A446" s="2" t="s">
        <v>503</v>
      </c>
      <c r="B446" s="1">
        <f>INDEX('Main Data'!$A$1:$O$1001,MATCH('Index&amp;Match'!$A446,'Main Data'!$A$1:$A$1001,0),MATCH('Index&amp;Match'!B445,'Main Data'!$A445:$O445,0))</f>
        <v>46016</v>
      </c>
      <c r="C446" s="2" t="str">
        <f>INDEX('Main Data'!$A$1:$O$1001,MATCH('Index&amp;Match'!$A446,'Main Data'!$A$1:$A$1001,0),MATCH('Index&amp;Match'!C445,'Main Data'!$A445:$O445,0))</f>
        <v>Morgan</v>
      </c>
      <c r="D446" s="2" t="str">
        <f>INDEX('Main Data'!$A$1:$O$1001,MATCH('Index&amp;Match'!$A446,'Main Data'!$A$1:$A$1001,0),MATCH('Index&amp;Match'!D445,'Main Data'!$A445:$O445,0))</f>
        <v>BR-003</v>
      </c>
      <c r="E446" s="2" t="str">
        <f>INDEX('Main Data'!$A$1:$O$1001,MATCH('Index&amp;Match'!$A446,'Main Data'!$A$1:$A$1001,0),MATCH('Index&amp;Match'!E445,'Main Data'!$A445:$O445,0))</f>
        <v>West</v>
      </c>
      <c r="F446" s="2" t="str">
        <f>INDEX('Main Data'!$A$1:$O$1001,MATCH('Index&amp;Match'!$A446,'Main Data'!$A$1:$A$1001,0),MATCH('Index&amp;Match'!F445,'Main Data'!$A445:$O445,0))</f>
        <v>Mortgage</v>
      </c>
      <c r="G446" s="2" t="str">
        <f>INDEX('Main Data'!$A$1:$O$1001,MATCH('Index&amp;Match'!$A446,'Main Data'!$A$1:$A$1001,0),MATCH('Index&amp;Match'!G445,'Main Data'!$A445:$O445,0))</f>
        <v>Walk-in</v>
      </c>
      <c r="H446" s="2" t="str">
        <f>INDEX('Main Data'!$A$1:$O$1001,MATCH('Index&amp;Match'!$A446,'Main Data'!$A$1:$A$1001,0),MATCH('Index&amp;Match'!H445,'Main Data'!$A445:$O445,0))</f>
        <v>SME</v>
      </c>
      <c r="I446" s="2">
        <f>INDEX('Main Data'!$A$1:$O$1001,MATCH('Index&amp;Match'!$A446,'Main Data'!$A$1:$A$1001,0),MATCH('Index&amp;Match'!I445,'Main Data'!$A445:$O445,0))</f>
        <v>27</v>
      </c>
      <c r="J446" s="2">
        <f>INDEX('Main Data'!$A$1:$O$1001,MATCH('Index&amp;Match'!$A446,'Main Data'!$A$1:$A$1001,0),MATCH('Index&amp;Match'!J445,'Main Data'!$A445:$O445,0))</f>
        <v>27</v>
      </c>
      <c r="K446" s="11">
        <f>INDEX('Main Data'!$A$1:$O$1001,MATCH('Index&amp;Match'!$A446,'Main Data'!$A$1:$A$1001,0),MATCH('Index&amp;Match'!K445,'Main Data'!$A445:$O445,0))</f>
        <v>40832.29</v>
      </c>
      <c r="L446" s="11">
        <f>INDEX('Main Data'!$A$1:$O$1001,MATCH('Index&amp;Match'!$A446,'Main Data'!$A$1:$A$1001,0),MATCH('Index&amp;Match'!L445,'Main Data'!$A445:$O445,0))</f>
        <v>443.38</v>
      </c>
      <c r="M446" s="11">
        <f>INDEX('Main Data'!$A$1:$O$1001,MATCH('Index&amp;Match'!$A446,'Main Data'!$A$1:$A$1001,0),MATCH('Index&amp;Match'!M445,'Main Data'!$A445:$O445,0))</f>
        <v>7.03</v>
      </c>
      <c r="N446" s="2" t="str">
        <f>INDEX('Main Data'!$A$1:$O$1001,MATCH('Index&amp;Match'!$A446,'Main Data'!$A$1:$A$1001,0),MATCH('Index&amp;Match'!N445,'Main Data'!$A445:$O445,0))</f>
        <v>No</v>
      </c>
      <c r="O446" s="2">
        <f>INDEX('Main Data'!$A$1:$O$1001,MATCH('Index&amp;Match'!$A446,'Main Data'!$A$1:$A$1001,0),MATCH('Index&amp;Match'!O445,'Main Data'!$A445:$O445,0))</f>
        <v>27</v>
      </c>
    </row>
    <row r="447" spans="1:15" x14ac:dyDescent="0.3">
      <c r="A447" s="2" t="s">
        <v>504</v>
      </c>
      <c r="B447" s="1">
        <f>INDEX('Main Data'!$A$1:$O$1001,MATCH('Index&amp;Match'!$A447,'Main Data'!$A$1:$A$1001,0),MATCH('Index&amp;Match'!B446,'Main Data'!$A446:$O446,0))</f>
        <v>46126</v>
      </c>
      <c r="C447" s="2" t="str">
        <f>INDEX('Main Data'!$A$1:$O$1001,MATCH('Index&amp;Match'!$A447,'Main Data'!$A$1:$A$1001,0),MATCH('Index&amp;Match'!C446,'Main Data'!$A446:$O446,0))</f>
        <v>Taylor</v>
      </c>
      <c r="D447" s="2" t="str">
        <f>INDEX('Main Data'!$A$1:$O$1001,MATCH('Index&amp;Match'!$A447,'Main Data'!$A$1:$A$1001,0),MATCH('Index&amp;Match'!D446,'Main Data'!$A446:$O446,0))</f>
        <v>BR-011</v>
      </c>
      <c r="E447" s="2" t="str">
        <f>INDEX('Main Data'!$A$1:$O$1001,MATCH('Index&amp;Match'!$A447,'Main Data'!$A$1:$A$1001,0),MATCH('Index&amp;Match'!E446,'Main Data'!$A446:$O446,0))</f>
        <v>South</v>
      </c>
      <c r="F447" s="2" t="str">
        <f>INDEX('Main Data'!$A$1:$O$1001,MATCH('Index&amp;Match'!$A447,'Main Data'!$A$1:$A$1001,0),MATCH('Index&amp;Match'!F446,'Main Data'!$A446:$O446,0))</f>
        <v>Credit Card</v>
      </c>
      <c r="G447" s="2" t="str">
        <f>INDEX('Main Data'!$A$1:$O$1001,MATCH('Index&amp;Match'!$A447,'Main Data'!$A$1:$A$1001,0),MATCH('Index&amp;Match'!G446,'Main Data'!$A446:$O446,0))</f>
        <v>Email Campaign</v>
      </c>
      <c r="H447" s="2" t="str">
        <f>INDEX('Main Data'!$A$1:$O$1001,MATCH('Index&amp;Match'!$A447,'Main Data'!$A$1:$A$1001,0),MATCH('Index&amp;Match'!H446,'Main Data'!$A446:$O446,0))</f>
        <v>High Net Worth</v>
      </c>
      <c r="I447" s="2">
        <f>INDEX('Main Data'!$A$1:$O$1001,MATCH('Index&amp;Match'!$A447,'Main Data'!$A$1:$A$1001,0),MATCH('Index&amp;Match'!I446,'Main Data'!$A446:$O446,0))</f>
        <v>66</v>
      </c>
      <c r="J447" s="2">
        <f>INDEX('Main Data'!$A$1:$O$1001,MATCH('Index&amp;Match'!$A447,'Main Data'!$A$1:$A$1001,0),MATCH('Index&amp;Match'!J446,'Main Data'!$A446:$O446,0))</f>
        <v>66</v>
      </c>
      <c r="K447" s="11">
        <f>INDEX('Main Data'!$A$1:$O$1001,MATCH('Index&amp;Match'!$A447,'Main Data'!$A$1:$A$1001,0),MATCH('Index&amp;Match'!K446,'Main Data'!$A446:$O446,0))</f>
        <v>21160.89</v>
      </c>
      <c r="L447" s="11">
        <f>INDEX('Main Data'!$A$1:$O$1001,MATCH('Index&amp;Match'!$A447,'Main Data'!$A$1:$A$1001,0),MATCH('Index&amp;Match'!L446,'Main Data'!$A446:$O446,0))</f>
        <v>368.57</v>
      </c>
      <c r="M447" s="11">
        <f>INDEX('Main Data'!$A$1:$O$1001,MATCH('Index&amp;Match'!$A447,'Main Data'!$A$1:$A$1001,0),MATCH('Index&amp;Match'!M446,'Main Data'!$A446:$O446,0))</f>
        <v>273.54000000000002</v>
      </c>
      <c r="N447" s="2" t="str">
        <f>INDEX('Main Data'!$A$1:$O$1001,MATCH('Index&amp;Match'!$A447,'Main Data'!$A$1:$A$1001,0),MATCH('Index&amp;Match'!N446,'Main Data'!$A446:$O446,0))</f>
        <v>Yes</v>
      </c>
      <c r="O447" s="2">
        <f>INDEX('Main Data'!$A$1:$O$1001,MATCH('Index&amp;Match'!$A447,'Main Data'!$A$1:$A$1001,0),MATCH('Index&amp;Match'!O446,'Main Data'!$A446:$O446,0))</f>
        <v>66</v>
      </c>
    </row>
    <row r="448" spans="1:15" x14ac:dyDescent="0.3">
      <c r="A448" s="2" t="s">
        <v>505</v>
      </c>
      <c r="B448" s="1">
        <f>INDEX('Main Data'!$A$1:$O$1001,MATCH('Index&amp;Match'!$A448,'Main Data'!$A$1:$A$1001,0),MATCH('Index&amp;Match'!B447,'Main Data'!$A447:$O447,0))</f>
        <v>46232</v>
      </c>
      <c r="C448" s="2" t="str">
        <f>INDEX('Main Data'!$A$1:$O$1001,MATCH('Index&amp;Match'!$A448,'Main Data'!$A$1:$A$1001,0),MATCH('Index&amp;Match'!C447,'Main Data'!$A447:$O447,0))</f>
        <v>Taylor</v>
      </c>
      <c r="D448" s="2" t="str">
        <f>INDEX('Main Data'!$A$1:$O$1001,MATCH('Index&amp;Match'!$A448,'Main Data'!$A$1:$A$1001,0),MATCH('Index&amp;Match'!D447,'Main Data'!$A447:$O447,0))</f>
        <v>BR-014</v>
      </c>
      <c r="E448" s="2" t="str">
        <f>INDEX('Main Data'!$A$1:$O$1001,MATCH('Index&amp;Match'!$A448,'Main Data'!$A$1:$A$1001,0),MATCH('Index&amp;Match'!E447,'Main Data'!$A447:$O447,0))</f>
        <v>Central</v>
      </c>
      <c r="F448" s="2" t="str">
        <f>INDEX('Main Data'!$A$1:$O$1001,MATCH('Index&amp;Match'!$A448,'Main Data'!$A$1:$A$1001,0),MATCH('Index&amp;Match'!F447,'Main Data'!$A447:$O447,0))</f>
        <v>Credit Card</v>
      </c>
      <c r="G448" s="2" t="str">
        <f>INDEX('Main Data'!$A$1:$O$1001,MATCH('Index&amp;Match'!$A448,'Main Data'!$A$1:$A$1001,0),MATCH('Index&amp;Match'!G447,'Main Data'!$A447:$O447,0))</f>
        <v>Email Campaign</v>
      </c>
      <c r="H448" s="2" t="str">
        <f>INDEX('Main Data'!$A$1:$O$1001,MATCH('Index&amp;Match'!$A448,'Main Data'!$A$1:$A$1001,0),MATCH('Index&amp;Match'!H447,'Main Data'!$A447:$O447,0))</f>
        <v>High Net Worth</v>
      </c>
      <c r="I448" s="2">
        <f>INDEX('Main Data'!$A$1:$O$1001,MATCH('Index&amp;Match'!$A448,'Main Data'!$A$1:$A$1001,0),MATCH('Index&amp;Match'!I447,'Main Data'!$A447:$O447,0))</f>
        <v>52</v>
      </c>
      <c r="J448" s="2">
        <f>INDEX('Main Data'!$A$1:$O$1001,MATCH('Index&amp;Match'!$A448,'Main Data'!$A$1:$A$1001,0),MATCH('Index&amp;Match'!J447,'Main Data'!$A447:$O447,0))</f>
        <v>52</v>
      </c>
      <c r="K448" s="11">
        <f>INDEX('Main Data'!$A$1:$O$1001,MATCH('Index&amp;Match'!$A448,'Main Data'!$A$1:$A$1001,0),MATCH('Index&amp;Match'!K447,'Main Data'!$A447:$O447,0))</f>
        <v>15828.61</v>
      </c>
      <c r="L448" s="11">
        <f>INDEX('Main Data'!$A$1:$O$1001,MATCH('Index&amp;Match'!$A448,'Main Data'!$A$1:$A$1001,0),MATCH('Index&amp;Match'!L447,'Main Data'!$A447:$O447,0))</f>
        <v>371.14</v>
      </c>
      <c r="M448" s="11">
        <f>INDEX('Main Data'!$A$1:$O$1001,MATCH('Index&amp;Match'!$A448,'Main Data'!$A$1:$A$1001,0),MATCH('Index&amp;Match'!M447,'Main Data'!$A447:$O447,0))</f>
        <v>232.6</v>
      </c>
      <c r="N448" s="2" t="str">
        <f>INDEX('Main Data'!$A$1:$O$1001,MATCH('Index&amp;Match'!$A448,'Main Data'!$A$1:$A$1001,0),MATCH('Index&amp;Match'!N447,'Main Data'!$A447:$O447,0))</f>
        <v>No</v>
      </c>
      <c r="O448" s="2">
        <f>INDEX('Main Data'!$A$1:$O$1001,MATCH('Index&amp;Match'!$A448,'Main Data'!$A$1:$A$1001,0),MATCH('Index&amp;Match'!O447,'Main Data'!$A447:$O447,0))</f>
        <v>52</v>
      </c>
    </row>
    <row r="449" spans="1:15" x14ac:dyDescent="0.3">
      <c r="A449" s="2" t="s">
        <v>506</v>
      </c>
      <c r="B449" s="1">
        <f>INDEX('Main Data'!$A$1:$O$1001,MATCH('Index&amp;Match'!$A449,'Main Data'!$A$1:$A$1001,0),MATCH('Index&amp;Match'!B448,'Main Data'!$A448:$O448,0))</f>
        <v>46225</v>
      </c>
      <c r="C449" s="2" t="str">
        <f>INDEX('Main Data'!$A$1:$O$1001,MATCH('Index&amp;Match'!$A449,'Main Data'!$A$1:$A$1001,0),MATCH('Index&amp;Match'!C448,'Main Data'!$A448:$O448,0))</f>
        <v>Sam</v>
      </c>
      <c r="D449" s="2" t="str">
        <f>INDEX('Main Data'!$A$1:$O$1001,MATCH('Index&amp;Match'!$A449,'Main Data'!$A$1:$A$1001,0),MATCH('Index&amp;Match'!D448,'Main Data'!$A448:$O448,0))</f>
        <v>BR-010</v>
      </c>
      <c r="E449" s="2" t="str">
        <f>INDEX('Main Data'!$A$1:$O$1001,MATCH('Index&amp;Match'!$A449,'Main Data'!$A$1:$A$1001,0),MATCH('Index&amp;Match'!E448,'Main Data'!$A448:$O448,0))</f>
        <v>Central</v>
      </c>
      <c r="F449" s="2" t="str">
        <f>INDEX('Main Data'!$A$1:$O$1001,MATCH('Index&amp;Match'!$A449,'Main Data'!$A$1:$A$1001,0),MATCH('Index&amp;Match'!F448,'Main Data'!$A448:$O448,0))</f>
        <v>Wealth Management</v>
      </c>
      <c r="G449" s="2" t="str">
        <f>INDEX('Main Data'!$A$1:$O$1001,MATCH('Index&amp;Match'!$A449,'Main Data'!$A$1:$A$1001,0),MATCH('Index&amp;Match'!G448,'Main Data'!$A448:$O448,0))</f>
        <v>Walk-in</v>
      </c>
      <c r="H449" s="2" t="str">
        <f>INDEX('Main Data'!$A$1:$O$1001,MATCH('Index&amp;Match'!$A449,'Main Data'!$A$1:$A$1001,0),MATCH('Index&amp;Match'!H448,'Main Data'!$A448:$O448,0))</f>
        <v>Retail</v>
      </c>
      <c r="I449" s="2">
        <f>INDEX('Main Data'!$A$1:$O$1001,MATCH('Index&amp;Match'!$A449,'Main Data'!$A$1:$A$1001,0),MATCH('Index&amp;Match'!I448,'Main Data'!$A448:$O448,0))</f>
        <v>35</v>
      </c>
      <c r="J449" s="2">
        <f>INDEX('Main Data'!$A$1:$O$1001,MATCH('Index&amp;Match'!$A449,'Main Data'!$A$1:$A$1001,0),MATCH('Index&amp;Match'!J448,'Main Data'!$A448:$O448,0))</f>
        <v>35</v>
      </c>
      <c r="K449" s="11">
        <f>INDEX('Main Data'!$A$1:$O$1001,MATCH('Index&amp;Match'!$A449,'Main Data'!$A$1:$A$1001,0),MATCH('Index&amp;Match'!K448,'Main Data'!$A448:$O448,0))</f>
        <v>46922.38</v>
      </c>
      <c r="L449" s="11">
        <f>INDEX('Main Data'!$A$1:$O$1001,MATCH('Index&amp;Match'!$A449,'Main Data'!$A$1:$A$1001,0),MATCH('Index&amp;Match'!L448,'Main Data'!$A448:$O448,0))</f>
        <v>163.58000000000001</v>
      </c>
      <c r="M449" s="11">
        <f>INDEX('Main Data'!$A$1:$O$1001,MATCH('Index&amp;Match'!$A449,'Main Data'!$A$1:$A$1001,0),MATCH('Index&amp;Match'!M448,'Main Data'!$A448:$O448,0))</f>
        <v>90.14</v>
      </c>
      <c r="N449" s="2" t="str">
        <f>INDEX('Main Data'!$A$1:$O$1001,MATCH('Index&amp;Match'!$A449,'Main Data'!$A$1:$A$1001,0),MATCH('Index&amp;Match'!N448,'Main Data'!$A448:$O448,0))</f>
        <v>Yes</v>
      </c>
      <c r="O449" s="2">
        <f>INDEX('Main Data'!$A$1:$O$1001,MATCH('Index&amp;Match'!$A449,'Main Data'!$A$1:$A$1001,0),MATCH('Index&amp;Match'!O448,'Main Data'!$A448:$O448,0))</f>
        <v>35</v>
      </c>
    </row>
    <row r="450" spans="1:15" x14ac:dyDescent="0.3">
      <c r="A450" s="2" t="s">
        <v>507</v>
      </c>
      <c r="B450" s="1">
        <f>INDEX('Main Data'!$A$1:$O$1001,MATCH('Index&amp;Match'!$A450,'Main Data'!$A$1:$A$1001,0),MATCH('Index&amp;Match'!B449,'Main Data'!$A449:$O449,0))</f>
        <v>46208</v>
      </c>
      <c r="C450" s="2" t="str">
        <f>INDEX('Main Data'!$A$1:$O$1001,MATCH('Index&amp;Match'!$A450,'Main Data'!$A$1:$A$1001,0),MATCH('Index&amp;Match'!C449,'Main Data'!$A449:$O449,0))</f>
        <v>Jamie</v>
      </c>
      <c r="D450" s="2" t="str">
        <f>INDEX('Main Data'!$A$1:$O$1001,MATCH('Index&amp;Match'!$A450,'Main Data'!$A$1:$A$1001,0),MATCH('Index&amp;Match'!D449,'Main Data'!$A449:$O449,0))</f>
        <v>BR-014</v>
      </c>
      <c r="E450" s="2" t="str">
        <f>INDEX('Main Data'!$A$1:$O$1001,MATCH('Index&amp;Match'!$A450,'Main Data'!$A$1:$A$1001,0),MATCH('Index&amp;Match'!E449,'Main Data'!$A449:$O449,0))</f>
        <v>Central</v>
      </c>
      <c r="F450" s="2" t="str">
        <f>INDEX('Main Data'!$A$1:$O$1001,MATCH('Index&amp;Match'!$A450,'Main Data'!$A$1:$A$1001,0),MATCH('Index&amp;Match'!F449,'Main Data'!$A449:$O449,0))</f>
        <v>Auto Loan</v>
      </c>
      <c r="G450" s="2" t="str">
        <f>INDEX('Main Data'!$A$1:$O$1001,MATCH('Index&amp;Match'!$A450,'Main Data'!$A$1:$A$1001,0),MATCH('Index&amp;Match'!G449,'Main Data'!$A449:$O449,0))</f>
        <v>Referral</v>
      </c>
      <c r="H450" s="2" t="str">
        <f>INDEX('Main Data'!$A$1:$O$1001,MATCH('Index&amp;Match'!$A450,'Main Data'!$A$1:$A$1001,0),MATCH('Index&amp;Match'!H449,'Main Data'!$A449:$O449,0))</f>
        <v>SME</v>
      </c>
      <c r="I450" s="2">
        <f>INDEX('Main Data'!$A$1:$O$1001,MATCH('Index&amp;Match'!$A450,'Main Data'!$A$1:$A$1001,0),MATCH('Index&amp;Match'!I449,'Main Data'!$A449:$O449,0))</f>
        <v>64</v>
      </c>
      <c r="J450" s="2">
        <f>INDEX('Main Data'!$A$1:$O$1001,MATCH('Index&amp;Match'!$A450,'Main Data'!$A$1:$A$1001,0),MATCH('Index&amp;Match'!J449,'Main Data'!$A449:$O449,0))</f>
        <v>64</v>
      </c>
      <c r="K450" s="11">
        <f>INDEX('Main Data'!$A$1:$O$1001,MATCH('Index&amp;Match'!$A450,'Main Data'!$A$1:$A$1001,0),MATCH('Index&amp;Match'!K449,'Main Data'!$A449:$O449,0))</f>
        <v>34018.68</v>
      </c>
      <c r="L450" s="11">
        <f>INDEX('Main Data'!$A$1:$O$1001,MATCH('Index&amp;Match'!$A450,'Main Data'!$A$1:$A$1001,0),MATCH('Index&amp;Match'!L449,'Main Data'!$A449:$O449,0))</f>
        <v>345.57</v>
      </c>
      <c r="M450" s="11">
        <f>INDEX('Main Data'!$A$1:$O$1001,MATCH('Index&amp;Match'!$A450,'Main Data'!$A$1:$A$1001,0),MATCH('Index&amp;Match'!M449,'Main Data'!$A449:$O449,0))</f>
        <v>150.72</v>
      </c>
      <c r="N450" s="2" t="str">
        <f>INDEX('Main Data'!$A$1:$O$1001,MATCH('Index&amp;Match'!$A450,'Main Data'!$A$1:$A$1001,0),MATCH('Index&amp;Match'!N449,'Main Data'!$A449:$O449,0))</f>
        <v>Yes</v>
      </c>
      <c r="O450" s="2">
        <f>INDEX('Main Data'!$A$1:$O$1001,MATCH('Index&amp;Match'!$A450,'Main Data'!$A$1:$A$1001,0),MATCH('Index&amp;Match'!O449,'Main Data'!$A449:$O449,0))</f>
        <v>64</v>
      </c>
    </row>
    <row r="451" spans="1:15" x14ac:dyDescent="0.3">
      <c r="A451" s="2" t="s">
        <v>508</v>
      </c>
      <c r="B451" s="1">
        <f>INDEX('Main Data'!$A$1:$O$1001,MATCH('Index&amp;Match'!$A451,'Main Data'!$A$1:$A$1001,0),MATCH('Index&amp;Match'!B450,'Main Data'!$A450:$O450,0))</f>
        <v>45983</v>
      </c>
      <c r="C451" s="2" t="str">
        <f>INDEX('Main Data'!$A$1:$O$1001,MATCH('Index&amp;Match'!$A451,'Main Data'!$A$1:$A$1001,0),MATCH('Index&amp;Match'!C450,'Main Data'!$A450:$O450,0))</f>
        <v>Sam</v>
      </c>
      <c r="D451" s="2" t="str">
        <f>INDEX('Main Data'!$A$1:$O$1001,MATCH('Index&amp;Match'!$A451,'Main Data'!$A$1:$A$1001,0),MATCH('Index&amp;Match'!D450,'Main Data'!$A450:$O450,0))</f>
        <v>BR-004</v>
      </c>
      <c r="E451" s="2" t="str">
        <f>INDEX('Main Data'!$A$1:$O$1001,MATCH('Index&amp;Match'!$A451,'Main Data'!$A$1:$A$1001,0),MATCH('Index&amp;Match'!E450,'Main Data'!$A450:$O450,0))</f>
        <v>North</v>
      </c>
      <c r="F451" s="2" t="str">
        <f>INDEX('Main Data'!$A$1:$O$1001,MATCH('Index&amp;Match'!$A451,'Main Data'!$A$1:$A$1001,0),MATCH('Index&amp;Match'!F450,'Main Data'!$A450:$O450,0))</f>
        <v>Mortgage</v>
      </c>
      <c r="G451" s="2" t="str">
        <f>INDEX('Main Data'!$A$1:$O$1001,MATCH('Index&amp;Match'!$A451,'Main Data'!$A$1:$A$1001,0),MATCH('Index&amp;Match'!G450,'Main Data'!$A450:$O450,0))</f>
        <v>Social Media</v>
      </c>
      <c r="H451" s="2" t="str">
        <f>INDEX('Main Data'!$A$1:$O$1001,MATCH('Index&amp;Match'!$A451,'Main Data'!$A$1:$A$1001,0),MATCH('Index&amp;Match'!H450,'Main Data'!$A450:$O450,0))</f>
        <v>Corporate</v>
      </c>
      <c r="I451" s="2">
        <f>INDEX('Main Data'!$A$1:$O$1001,MATCH('Index&amp;Match'!$A451,'Main Data'!$A$1:$A$1001,0),MATCH('Index&amp;Match'!I450,'Main Data'!$A450:$O450,0))</f>
        <v>37</v>
      </c>
      <c r="J451" s="2">
        <f>INDEX('Main Data'!$A$1:$O$1001,MATCH('Index&amp;Match'!$A451,'Main Data'!$A$1:$A$1001,0),MATCH('Index&amp;Match'!J450,'Main Data'!$A450:$O450,0))</f>
        <v>37</v>
      </c>
      <c r="K451" s="11">
        <f>INDEX('Main Data'!$A$1:$O$1001,MATCH('Index&amp;Match'!$A451,'Main Data'!$A$1:$A$1001,0),MATCH('Index&amp;Match'!K450,'Main Data'!$A450:$O450,0))</f>
        <v>6391.55</v>
      </c>
      <c r="L451" s="11">
        <f>INDEX('Main Data'!$A$1:$O$1001,MATCH('Index&amp;Match'!$A451,'Main Data'!$A$1:$A$1001,0),MATCH('Index&amp;Match'!L450,'Main Data'!$A450:$O450,0))</f>
        <v>139.19</v>
      </c>
      <c r="M451" s="11">
        <f>INDEX('Main Data'!$A$1:$O$1001,MATCH('Index&amp;Match'!$A451,'Main Data'!$A$1:$A$1001,0),MATCH('Index&amp;Match'!M450,'Main Data'!$A450:$O450,0))</f>
        <v>191.13</v>
      </c>
      <c r="N451" s="2" t="str">
        <f>INDEX('Main Data'!$A$1:$O$1001,MATCH('Index&amp;Match'!$A451,'Main Data'!$A$1:$A$1001,0),MATCH('Index&amp;Match'!N450,'Main Data'!$A450:$O450,0))</f>
        <v>Yes</v>
      </c>
      <c r="O451" s="2">
        <f>INDEX('Main Data'!$A$1:$O$1001,MATCH('Index&amp;Match'!$A451,'Main Data'!$A$1:$A$1001,0),MATCH('Index&amp;Match'!O450,'Main Data'!$A450:$O450,0))</f>
        <v>37</v>
      </c>
    </row>
    <row r="452" spans="1:15" x14ac:dyDescent="0.3">
      <c r="A452" s="2" t="s">
        <v>509</v>
      </c>
      <c r="B452" s="1">
        <f>INDEX('Main Data'!$A$1:$O$1001,MATCH('Index&amp;Match'!$A452,'Main Data'!$A$1:$A$1001,0),MATCH('Index&amp;Match'!B451,'Main Data'!$A451:$O451,0))</f>
        <v>46024</v>
      </c>
      <c r="C452" s="2" t="str">
        <f>INDEX('Main Data'!$A$1:$O$1001,MATCH('Index&amp;Match'!$A452,'Main Data'!$A$1:$A$1001,0),MATCH('Index&amp;Match'!C451,'Main Data'!$A451:$O451,0))</f>
        <v>Sam</v>
      </c>
      <c r="D452" s="2" t="str">
        <f>INDEX('Main Data'!$A$1:$O$1001,MATCH('Index&amp;Match'!$A452,'Main Data'!$A$1:$A$1001,0),MATCH('Index&amp;Match'!D451,'Main Data'!$A451:$O451,0))</f>
        <v>BR-009</v>
      </c>
      <c r="E452" s="2" t="str">
        <f>INDEX('Main Data'!$A$1:$O$1001,MATCH('Index&amp;Match'!$A452,'Main Data'!$A$1:$A$1001,0),MATCH('Index&amp;Match'!E451,'Main Data'!$A451:$O451,0))</f>
        <v>West</v>
      </c>
      <c r="F452" s="2" t="str">
        <f>INDEX('Main Data'!$A$1:$O$1001,MATCH('Index&amp;Match'!$A452,'Main Data'!$A$1:$A$1001,0),MATCH('Index&amp;Match'!F451,'Main Data'!$A451:$O451,0))</f>
        <v>Mortgage</v>
      </c>
      <c r="G452" s="2" t="str">
        <f>INDEX('Main Data'!$A$1:$O$1001,MATCH('Index&amp;Match'!$A452,'Main Data'!$A$1:$A$1001,0),MATCH('Index&amp;Match'!G451,'Main Data'!$A451:$O451,0))</f>
        <v>Social Media</v>
      </c>
      <c r="H452" s="2" t="str">
        <f>INDEX('Main Data'!$A$1:$O$1001,MATCH('Index&amp;Match'!$A452,'Main Data'!$A$1:$A$1001,0),MATCH('Index&amp;Match'!H451,'Main Data'!$A451:$O451,0))</f>
        <v>High Net Worth</v>
      </c>
      <c r="I452" s="2">
        <f>INDEX('Main Data'!$A$1:$O$1001,MATCH('Index&amp;Match'!$A452,'Main Data'!$A$1:$A$1001,0),MATCH('Index&amp;Match'!I451,'Main Data'!$A451:$O451,0))</f>
        <v>61</v>
      </c>
      <c r="J452" s="2">
        <f>INDEX('Main Data'!$A$1:$O$1001,MATCH('Index&amp;Match'!$A452,'Main Data'!$A$1:$A$1001,0),MATCH('Index&amp;Match'!J451,'Main Data'!$A451:$O451,0))</f>
        <v>61</v>
      </c>
      <c r="K452" s="11">
        <f>INDEX('Main Data'!$A$1:$O$1001,MATCH('Index&amp;Match'!$A452,'Main Data'!$A$1:$A$1001,0),MATCH('Index&amp;Match'!K451,'Main Data'!$A451:$O451,0))</f>
        <v>3911.93</v>
      </c>
      <c r="L452" s="11">
        <f>INDEX('Main Data'!$A$1:$O$1001,MATCH('Index&amp;Match'!$A452,'Main Data'!$A$1:$A$1001,0),MATCH('Index&amp;Match'!L451,'Main Data'!$A451:$O451,0))</f>
        <v>114.8</v>
      </c>
      <c r="M452" s="11">
        <f>INDEX('Main Data'!$A$1:$O$1001,MATCH('Index&amp;Match'!$A452,'Main Data'!$A$1:$A$1001,0),MATCH('Index&amp;Match'!M451,'Main Data'!$A451:$O451,0))</f>
        <v>231.63</v>
      </c>
      <c r="N452" s="2" t="str">
        <f>INDEX('Main Data'!$A$1:$O$1001,MATCH('Index&amp;Match'!$A452,'Main Data'!$A$1:$A$1001,0),MATCH('Index&amp;Match'!N451,'Main Data'!$A451:$O451,0))</f>
        <v>Yes</v>
      </c>
      <c r="O452" s="2">
        <f>INDEX('Main Data'!$A$1:$O$1001,MATCH('Index&amp;Match'!$A452,'Main Data'!$A$1:$A$1001,0),MATCH('Index&amp;Match'!O451,'Main Data'!$A451:$O451,0))</f>
        <v>61</v>
      </c>
    </row>
    <row r="453" spans="1:15" x14ac:dyDescent="0.3">
      <c r="A453" s="2" t="s">
        <v>510</v>
      </c>
      <c r="B453" s="1">
        <f>INDEX('Main Data'!$A$1:$O$1001,MATCH('Index&amp;Match'!$A453,'Main Data'!$A$1:$A$1001,0),MATCH('Index&amp;Match'!B452,'Main Data'!$A452:$O452,0))</f>
        <v>46216</v>
      </c>
      <c r="C453" s="2" t="str">
        <f>INDEX('Main Data'!$A$1:$O$1001,MATCH('Index&amp;Match'!$A453,'Main Data'!$A$1:$A$1001,0),MATCH('Index&amp;Match'!C452,'Main Data'!$A452:$O452,0))</f>
        <v>Sam</v>
      </c>
      <c r="D453" s="2" t="str">
        <f>INDEX('Main Data'!$A$1:$O$1001,MATCH('Index&amp;Match'!$A453,'Main Data'!$A$1:$A$1001,0),MATCH('Index&amp;Match'!D452,'Main Data'!$A452:$O452,0))</f>
        <v>BR-013</v>
      </c>
      <c r="E453" s="2" t="str">
        <f>INDEX('Main Data'!$A$1:$O$1001,MATCH('Index&amp;Match'!$A453,'Main Data'!$A$1:$A$1001,0),MATCH('Index&amp;Match'!E452,'Main Data'!$A452:$O452,0))</f>
        <v>Central</v>
      </c>
      <c r="F453" s="2" t="str">
        <f>INDEX('Main Data'!$A$1:$O$1001,MATCH('Index&amp;Match'!$A453,'Main Data'!$A$1:$A$1001,0),MATCH('Index&amp;Match'!F452,'Main Data'!$A452:$O452,0))</f>
        <v>Mortgage</v>
      </c>
      <c r="G453" s="2" t="str">
        <f>INDEX('Main Data'!$A$1:$O$1001,MATCH('Index&amp;Match'!$A453,'Main Data'!$A$1:$A$1001,0),MATCH('Index&amp;Match'!G452,'Main Data'!$A452:$O452,0))</f>
        <v>Walk-in</v>
      </c>
      <c r="H453" s="2" t="str">
        <f>INDEX('Main Data'!$A$1:$O$1001,MATCH('Index&amp;Match'!$A453,'Main Data'!$A$1:$A$1001,0),MATCH('Index&amp;Match'!H452,'Main Data'!$A452:$O452,0))</f>
        <v>Corporate</v>
      </c>
      <c r="I453" s="2">
        <f>INDEX('Main Data'!$A$1:$O$1001,MATCH('Index&amp;Match'!$A453,'Main Data'!$A$1:$A$1001,0),MATCH('Index&amp;Match'!I452,'Main Data'!$A452:$O452,0))</f>
        <v>74</v>
      </c>
      <c r="J453" s="2">
        <f>INDEX('Main Data'!$A$1:$O$1001,MATCH('Index&amp;Match'!$A453,'Main Data'!$A$1:$A$1001,0),MATCH('Index&amp;Match'!J452,'Main Data'!$A452:$O452,0))</f>
        <v>74</v>
      </c>
      <c r="K453" s="11">
        <f>INDEX('Main Data'!$A$1:$O$1001,MATCH('Index&amp;Match'!$A453,'Main Data'!$A$1:$A$1001,0),MATCH('Index&amp;Match'!K452,'Main Data'!$A452:$O452,0))</f>
        <v>24435.72</v>
      </c>
      <c r="L453" s="11">
        <f>INDEX('Main Data'!$A$1:$O$1001,MATCH('Index&amp;Match'!$A453,'Main Data'!$A$1:$A$1001,0),MATCH('Index&amp;Match'!L452,'Main Data'!$A452:$O452,0))</f>
        <v>499.76</v>
      </c>
      <c r="M453" s="11">
        <f>INDEX('Main Data'!$A$1:$O$1001,MATCH('Index&amp;Match'!$A453,'Main Data'!$A$1:$A$1001,0),MATCH('Index&amp;Match'!M452,'Main Data'!$A452:$O452,0))</f>
        <v>168.47</v>
      </c>
      <c r="N453" s="2" t="str">
        <f>INDEX('Main Data'!$A$1:$O$1001,MATCH('Index&amp;Match'!$A453,'Main Data'!$A$1:$A$1001,0),MATCH('Index&amp;Match'!N452,'Main Data'!$A452:$O452,0))</f>
        <v>Yes</v>
      </c>
      <c r="O453" s="2">
        <f>INDEX('Main Data'!$A$1:$O$1001,MATCH('Index&amp;Match'!$A453,'Main Data'!$A$1:$A$1001,0),MATCH('Index&amp;Match'!O452,'Main Data'!$A452:$O452,0))</f>
        <v>74</v>
      </c>
    </row>
    <row r="454" spans="1:15" x14ac:dyDescent="0.3">
      <c r="A454" s="2" t="s">
        <v>511</v>
      </c>
      <c r="B454" s="1">
        <f>INDEX('Main Data'!$A$1:$O$1001,MATCH('Index&amp;Match'!$A454,'Main Data'!$A$1:$A$1001,0),MATCH('Index&amp;Match'!B453,'Main Data'!$A453:$O453,0))</f>
        <v>45983</v>
      </c>
      <c r="C454" s="2" t="str">
        <f>INDEX('Main Data'!$A$1:$O$1001,MATCH('Index&amp;Match'!$A454,'Main Data'!$A$1:$A$1001,0),MATCH('Index&amp;Match'!C453,'Main Data'!$A453:$O453,0))</f>
        <v>Sam</v>
      </c>
      <c r="D454" s="2" t="str">
        <f>INDEX('Main Data'!$A$1:$O$1001,MATCH('Index&amp;Match'!$A454,'Main Data'!$A$1:$A$1001,0),MATCH('Index&amp;Match'!D453,'Main Data'!$A453:$O453,0))</f>
        <v>BR-010</v>
      </c>
      <c r="E454" s="2" t="str">
        <f>INDEX('Main Data'!$A$1:$O$1001,MATCH('Index&amp;Match'!$A454,'Main Data'!$A$1:$A$1001,0),MATCH('Index&amp;Match'!E453,'Main Data'!$A453:$O453,0))</f>
        <v>North</v>
      </c>
      <c r="F454" s="2" t="str">
        <f>INDEX('Main Data'!$A$1:$O$1001,MATCH('Index&amp;Match'!$A454,'Main Data'!$A$1:$A$1001,0),MATCH('Index&amp;Match'!F453,'Main Data'!$A453:$O453,0))</f>
        <v>Credit Card</v>
      </c>
      <c r="G454" s="2" t="str">
        <f>INDEX('Main Data'!$A$1:$O$1001,MATCH('Index&amp;Match'!$A454,'Main Data'!$A$1:$A$1001,0),MATCH('Index&amp;Match'!G453,'Main Data'!$A453:$O453,0))</f>
        <v>Walk-in</v>
      </c>
      <c r="H454" s="2" t="str">
        <f>INDEX('Main Data'!$A$1:$O$1001,MATCH('Index&amp;Match'!$A454,'Main Data'!$A$1:$A$1001,0),MATCH('Index&amp;Match'!H453,'Main Data'!$A453:$O453,0))</f>
        <v>Retail</v>
      </c>
      <c r="I454" s="2">
        <f>INDEX('Main Data'!$A$1:$O$1001,MATCH('Index&amp;Match'!$A454,'Main Data'!$A$1:$A$1001,0),MATCH('Index&amp;Match'!I453,'Main Data'!$A453:$O453,0))</f>
        <v>67</v>
      </c>
      <c r="J454" s="2">
        <f>INDEX('Main Data'!$A$1:$O$1001,MATCH('Index&amp;Match'!$A454,'Main Data'!$A$1:$A$1001,0),MATCH('Index&amp;Match'!J453,'Main Data'!$A453:$O453,0))</f>
        <v>67</v>
      </c>
      <c r="K454" s="11">
        <f>INDEX('Main Data'!$A$1:$O$1001,MATCH('Index&amp;Match'!$A454,'Main Data'!$A$1:$A$1001,0),MATCH('Index&amp;Match'!K453,'Main Data'!$A453:$O453,0))</f>
        <v>11394.46</v>
      </c>
      <c r="L454" s="11">
        <f>INDEX('Main Data'!$A$1:$O$1001,MATCH('Index&amp;Match'!$A454,'Main Data'!$A$1:$A$1001,0),MATCH('Index&amp;Match'!L453,'Main Data'!$A453:$O453,0))</f>
        <v>330.07</v>
      </c>
      <c r="M454" s="11">
        <f>INDEX('Main Data'!$A$1:$O$1001,MATCH('Index&amp;Match'!$A454,'Main Data'!$A$1:$A$1001,0),MATCH('Index&amp;Match'!M453,'Main Data'!$A453:$O453,0))</f>
        <v>152.12</v>
      </c>
      <c r="N454" s="2" t="str">
        <f>INDEX('Main Data'!$A$1:$O$1001,MATCH('Index&amp;Match'!$A454,'Main Data'!$A$1:$A$1001,0),MATCH('Index&amp;Match'!N453,'Main Data'!$A453:$O453,0))</f>
        <v>No</v>
      </c>
      <c r="O454" s="2">
        <f>INDEX('Main Data'!$A$1:$O$1001,MATCH('Index&amp;Match'!$A454,'Main Data'!$A$1:$A$1001,0),MATCH('Index&amp;Match'!O453,'Main Data'!$A453:$O453,0))</f>
        <v>67</v>
      </c>
    </row>
    <row r="455" spans="1:15" x14ac:dyDescent="0.3">
      <c r="A455" s="2" t="s">
        <v>512</v>
      </c>
      <c r="B455" s="1">
        <f>INDEX('Main Data'!$A$1:$O$1001,MATCH('Index&amp;Match'!$A455,'Main Data'!$A$1:$A$1001,0),MATCH('Index&amp;Match'!B454,'Main Data'!$A454:$O454,0))</f>
        <v>46111</v>
      </c>
      <c r="C455" s="2" t="str">
        <f>INDEX('Main Data'!$A$1:$O$1001,MATCH('Index&amp;Match'!$A455,'Main Data'!$A$1:$A$1001,0),MATCH('Index&amp;Match'!C454,'Main Data'!$A454:$O454,0))</f>
        <v>Sam</v>
      </c>
      <c r="D455" s="2" t="str">
        <f>INDEX('Main Data'!$A$1:$O$1001,MATCH('Index&amp;Match'!$A455,'Main Data'!$A$1:$A$1001,0),MATCH('Index&amp;Match'!D454,'Main Data'!$A454:$O454,0))</f>
        <v>BR-009</v>
      </c>
      <c r="E455" s="2" t="str">
        <f>INDEX('Main Data'!$A$1:$O$1001,MATCH('Index&amp;Match'!$A455,'Main Data'!$A$1:$A$1001,0),MATCH('Index&amp;Match'!E454,'Main Data'!$A454:$O454,0))</f>
        <v>West</v>
      </c>
      <c r="F455" s="2" t="str">
        <f>INDEX('Main Data'!$A$1:$O$1001,MATCH('Index&amp;Match'!$A455,'Main Data'!$A$1:$A$1001,0),MATCH('Index&amp;Match'!F454,'Main Data'!$A454:$O454,0))</f>
        <v>Auto Loan</v>
      </c>
      <c r="G455" s="2" t="str">
        <f>INDEX('Main Data'!$A$1:$O$1001,MATCH('Index&amp;Match'!$A455,'Main Data'!$A$1:$A$1001,0),MATCH('Index&amp;Match'!G454,'Main Data'!$A454:$O454,0))</f>
        <v>Walk-in</v>
      </c>
      <c r="H455" s="2" t="str">
        <f>INDEX('Main Data'!$A$1:$O$1001,MATCH('Index&amp;Match'!$A455,'Main Data'!$A$1:$A$1001,0),MATCH('Index&amp;Match'!H454,'Main Data'!$A454:$O454,0))</f>
        <v>SME</v>
      </c>
      <c r="I455" s="2">
        <f>INDEX('Main Data'!$A$1:$O$1001,MATCH('Index&amp;Match'!$A455,'Main Data'!$A$1:$A$1001,0),MATCH('Index&amp;Match'!I454,'Main Data'!$A454:$O454,0))</f>
        <v>64</v>
      </c>
      <c r="J455" s="2">
        <f>INDEX('Main Data'!$A$1:$O$1001,MATCH('Index&amp;Match'!$A455,'Main Data'!$A$1:$A$1001,0),MATCH('Index&amp;Match'!J454,'Main Data'!$A454:$O454,0))</f>
        <v>64</v>
      </c>
      <c r="K455" s="11">
        <f>INDEX('Main Data'!$A$1:$O$1001,MATCH('Index&amp;Match'!$A455,'Main Data'!$A$1:$A$1001,0),MATCH('Index&amp;Match'!K454,'Main Data'!$A454:$O454,0))</f>
        <v>13072.25</v>
      </c>
      <c r="L455" s="11">
        <f>INDEX('Main Data'!$A$1:$O$1001,MATCH('Index&amp;Match'!$A455,'Main Data'!$A$1:$A$1001,0),MATCH('Index&amp;Match'!L454,'Main Data'!$A454:$O454,0))</f>
        <v>243.94</v>
      </c>
      <c r="M455" s="11">
        <f>INDEX('Main Data'!$A$1:$O$1001,MATCH('Index&amp;Match'!$A455,'Main Data'!$A$1:$A$1001,0),MATCH('Index&amp;Match'!M454,'Main Data'!$A454:$O454,0))</f>
        <v>33.64</v>
      </c>
      <c r="N455" s="2" t="str">
        <f>INDEX('Main Data'!$A$1:$O$1001,MATCH('Index&amp;Match'!$A455,'Main Data'!$A$1:$A$1001,0),MATCH('Index&amp;Match'!N454,'Main Data'!$A454:$O454,0))</f>
        <v>Yes</v>
      </c>
      <c r="O455" s="2">
        <f>INDEX('Main Data'!$A$1:$O$1001,MATCH('Index&amp;Match'!$A455,'Main Data'!$A$1:$A$1001,0),MATCH('Index&amp;Match'!O454,'Main Data'!$A454:$O454,0))</f>
        <v>64</v>
      </c>
    </row>
    <row r="456" spans="1:15" x14ac:dyDescent="0.3">
      <c r="A456" s="2" t="s">
        <v>513</v>
      </c>
      <c r="B456" s="1">
        <f>INDEX('Main Data'!$A$1:$O$1001,MATCH('Index&amp;Match'!$A456,'Main Data'!$A$1:$A$1001,0),MATCH('Index&amp;Match'!B455,'Main Data'!$A455:$O455,0))</f>
        <v>46003</v>
      </c>
      <c r="C456" s="2" t="str">
        <f>INDEX('Main Data'!$A$1:$O$1001,MATCH('Index&amp;Match'!$A456,'Main Data'!$A$1:$A$1001,0),MATCH('Index&amp;Match'!C455,'Main Data'!$A455:$O455,0))</f>
        <v>Casey</v>
      </c>
      <c r="D456" s="2" t="str">
        <f>INDEX('Main Data'!$A$1:$O$1001,MATCH('Index&amp;Match'!$A456,'Main Data'!$A$1:$A$1001,0),MATCH('Index&amp;Match'!D455,'Main Data'!$A455:$O455,0))</f>
        <v>BR-002</v>
      </c>
      <c r="E456" s="2" t="str">
        <f>INDEX('Main Data'!$A$1:$O$1001,MATCH('Index&amp;Match'!$A456,'Main Data'!$A$1:$A$1001,0),MATCH('Index&amp;Match'!E455,'Main Data'!$A455:$O455,0))</f>
        <v>South</v>
      </c>
      <c r="F456" s="2" t="str">
        <f>INDEX('Main Data'!$A$1:$O$1001,MATCH('Index&amp;Match'!$A456,'Main Data'!$A$1:$A$1001,0),MATCH('Index&amp;Match'!F455,'Main Data'!$A455:$O455,0))</f>
        <v>Wealth Management</v>
      </c>
      <c r="G456" s="2" t="str">
        <f>INDEX('Main Data'!$A$1:$O$1001,MATCH('Index&amp;Match'!$A456,'Main Data'!$A$1:$A$1001,0),MATCH('Index&amp;Match'!G455,'Main Data'!$A455:$O455,0))</f>
        <v>Referral</v>
      </c>
      <c r="H456" s="2" t="str">
        <f>INDEX('Main Data'!$A$1:$O$1001,MATCH('Index&amp;Match'!$A456,'Main Data'!$A$1:$A$1001,0),MATCH('Index&amp;Match'!H455,'Main Data'!$A455:$O455,0))</f>
        <v>SME</v>
      </c>
      <c r="I456" s="2">
        <f>INDEX('Main Data'!$A$1:$O$1001,MATCH('Index&amp;Match'!$A456,'Main Data'!$A$1:$A$1001,0),MATCH('Index&amp;Match'!I455,'Main Data'!$A455:$O455,0))</f>
        <v>54</v>
      </c>
      <c r="J456" s="2">
        <f>INDEX('Main Data'!$A$1:$O$1001,MATCH('Index&amp;Match'!$A456,'Main Data'!$A$1:$A$1001,0),MATCH('Index&amp;Match'!J455,'Main Data'!$A455:$O455,0))</f>
        <v>54</v>
      </c>
      <c r="K456" s="11">
        <f>INDEX('Main Data'!$A$1:$O$1001,MATCH('Index&amp;Match'!$A456,'Main Data'!$A$1:$A$1001,0),MATCH('Index&amp;Match'!K455,'Main Data'!$A455:$O455,0))</f>
        <v>43945.760000000002</v>
      </c>
      <c r="L456" s="11">
        <f>INDEX('Main Data'!$A$1:$O$1001,MATCH('Index&amp;Match'!$A456,'Main Data'!$A$1:$A$1001,0),MATCH('Index&amp;Match'!L455,'Main Data'!$A455:$O455,0))</f>
        <v>179.67</v>
      </c>
      <c r="M456" s="11">
        <f>INDEX('Main Data'!$A$1:$O$1001,MATCH('Index&amp;Match'!$A456,'Main Data'!$A$1:$A$1001,0),MATCH('Index&amp;Match'!M455,'Main Data'!$A455:$O455,0))</f>
        <v>166.71</v>
      </c>
      <c r="N456" s="2" t="str">
        <f>INDEX('Main Data'!$A$1:$O$1001,MATCH('Index&amp;Match'!$A456,'Main Data'!$A$1:$A$1001,0),MATCH('Index&amp;Match'!N455,'Main Data'!$A455:$O455,0))</f>
        <v>Yes</v>
      </c>
      <c r="O456" s="2">
        <f>INDEX('Main Data'!$A$1:$O$1001,MATCH('Index&amp;Match'!$A456,'Main Data'!$A$1:$A$1001,0),MATCH('Index&amp;Match'!O455,'Main Data'!$A455:$O455,0))</f>
        <v>54</v>
      </c>
    </row>
    <row r="457" spans="1:15" x14ac:dyDescent="0.3">
      <c r="A457" s="2" t="s">
        <v>514</v>
      </c>
      <c r="B457" s="1">
        <f>INDEX('Main Data'!$A$1:$O$1001,MATCH('Index&amp;Match'!$A457,'Main Data'!$A$1:$A$1001,0),MATCH('Index&amp;Match'!B456,'Main Data'!$A456:$O456,0))</f>
        <v>46169</v>
      </c>
      <c r="C457" s="2" t="str">
        <f>INDEX('Main Data'!$A$1:$O$1001,MATCH('Index&amp;Match'!$A457,'Main Data'!$A$1:$A$1001,0),MATCH('Index&amp;Match'!C456,'Main Data'!$A456:$O456,0))</f>
        <v>Taylor</v>
      </c>
      <c r="D457" s="2" t="str">
        <f>INDEX('Main Data'!$A$1:$O$1001,MATCH('Index&amp;Match'!$A457,'Main Data'!$A$1:$A$1001,0),MATCH('Index&amp;Match'!D456,'Main Data'!$A456:$O456,0))</f>
        <v>BR-008</v>
      </c>
      <c r="E457" s="2" t="str">
        <f>INDEX('Main Data'!$A$1:$O$1001,MATCH('Index&amp;Match'!$A457,'Main Data'!$A$1:$A$1001,0),MATCH('Index&amp;Match'!E456,'Main Data'!$A456:$O456,0))</f>
        <v>North</v>
      </c>
      <c r="F457" s="2" t="str">
        <f>INDEX('Main Data'!$A$1:$O$1001,MATCH('Index&amp;Match'!$A457,'Main Data'!$A$1:$A$1001,0),MATCH('Index&amp;Match'!F456,'Main Data'!$A456:$O456,0))</f>
        <v>Personal Loan</v>
      </c>
      <c r="G457" s="2" t="str">
        <f>INDEX('Main Data'!$A$1:$O$1001,MATCH('Index&amp;Match'!$A457,'Main Data'!$A$1:$A$1001,0),MATCH('Index&amp;Match'!G456,'Main Data'!$A456:$O456,0))</f>
        <v>Email Campaign</v>
      </c>
      <c r="H457" s="2" t="str">
        <f>INDEX('Main Data'!$A$1:$O$1001,MATCH('Index&amp;Match'!$A457,'Main Data'!$A$1:$A$1001,0),MATCH('Index&amp;Match'!H456,'Main Data'!$A456:$O456,0))</f>
        <v>High Net Worth</v>
      </c>
      <c r="I457" s="2">
        <f>INDEX('Main Data'!$A$1:$O$1001,MATCH('Index&amp;Match'!$A457,'Main Data'!$A$1:$A$1001,0),MATCH('Index&amp;Match'!I456,'Main Data'!$A456:$O456,0))</f>
        <v>25</v>
      </c>
      <c r="J457" s="2">
        <f>INDEX('Main Data'!$A$1:$O$1001,MATCH('Index&amp;Match'!$A457,'Main Data'!$A$1:$A$1001,0),MATCH('Index&amp;Match'!J456,'Main Data'!$A456:$O456,0))</f>
        <v>25</v>
      </c>
      <c r="K457" s="11">
        <f>INDEX('Main Data'!$A$1:$O$1001,MATCH('Index&amp;Match'!$A457,'Main Data'!$A$1:$A$1001,0),MATCH('Index&amp;Match'!K456,'Main Data'!$A456:$O456,0))</f>
        <v>4933.5200000000004</v>
      </c>
      <c r="L457" s="11">
        <f>INDEX('Main Data'!$A$1:$O$1001,MATCH('Index&amp;Match'!$A457,'Main Data'!$A$1:$A$1001,0),MATCH('Index&amp;Match'!L456,'Main Data'!$A456:$O456,0))</f>
        <v>321.76</v>
      </c>
      <c r="M457" s="11">
        <f>INDEX('Main Data'!$A$1:$O$1001,MATCH('Index&amp;Match'!$A457,'Main Data'!$A$1:$A$1001,0),MATCH('Index&amp;Match'!M456,'Main Data'!$A456:$O456,0))</f>
        <v>58.53</v>
      </c>
      <c r="N457" s="2" t="str">
        <f>INDEX('Main Data'!$A$1:$O$1001,MATCH('Index&amp;Match'!$A457,'Main Data'!$A$1:$A$1001,0),MATCH('Index&amp;Match'!N456,'Main Data'!$A456:$O456,0))</f>
        <v>Yes</v>
      </c>
      <c r="O457" s="2">
        <f>INDEX('Main Data'!$A$1:$O$1001,MATCH('Index&amp;Match'!$A457,'Main Data'!$A$1:$A$1001,0),MATCH('Index&amp;Match'!O456,'Main Data'!$A456:$O456,0))</f>
        <v>25</v>
      </c>
    </row>
    <row r="458" spans="1:15" x14ac:dyDescent="0.3">
      <c r="A458" s="2" t="s">
        <v>515</v>
      </c>
      <c r="B458" s="1">
        <f>INDEX('Main Data'!$A$1:$O$1001,MATCH('Index&amp;Match'!$A458,'Main Data'!$A$1:$A$1001,0),MATCH('Index&amp;Match'!B457,'Main Data'!$A457:$O457,0))</f>
        <v>45957</v>
      </c>
      <c r="C458" s="2" t="str">
        <f>INDEX('Main Data'!$A$1:$O$1001,MATCH('Index&amp;Match'!$A458,'Main Data'!$A$1:$A$1001,0),MATCH('Index&amp;Match'!C457,'Main Data'!$A457:$O457,0))</f>
        <v>Sam</v>
      </c>
      <c r="D458" s="2" t="str">
        <f>INDEX('Main Data'!$A$1:$O$1001,MATCH('Index&amp;Match'!$A458,'Main Data'!$A$1:$A$1001,0),MATCH('Index&amp;Match'!D457,'Main Data'!$A457:$O457,0))</f>
        <v>BR-008</v>
      </c>
      <c r="E458" s="2" t="str">
        <f>INDEX('Main Data'!$A$1:$O$1001,MATCH('Index&amp;Match'!$A458,'Main Data'!$A$1:$A$1001,0),MATCH('Index&amp;Match'!E457,'Main Data'!$A457:$O457,0))</f>
        <v>East</v>
      </c>
      <c r="F458" s="2" t="str">
        <f>INDEX('Main Data'!$A$1:$O$1001,MATCH('Index&amp;Match'!$A458,'Main Data'!$A$1:$A$1001,0),MATCH('Index&amp;Match'!F457,'Main Data'!$A457:$O457,0))</f>
        <v>Personal Loan</v>
      </c>
      <c r="G458" s="2" t="str">
        <f>INDEX('Main Data'!$A$1:$O$1001,MATCH('Index&amp;Match'!$A458,'Main Data'!$A$1:$A$1001,0),MATCH('Index&amp;Match'!G457,'Main Data'!$A457:$O457,0))</f>
        <v>Walk-in</v>
      </c>
      <c r="H458" s="2" t="str">
        <f>INDEX('Main Data'!$A$1:$O$1001,MATCH('Index&amp;Match'!$A458,'Main Data'!$A$1:$A$1001,0),MATCH('Index&amp;Match'!H457,'Main Data'!$A457:$O457,0))</f>
        <v>SME</v>
      </c>
      <c r="I458" s="2">
        <f>INDEX('Main Data'!$A$1:$O$1001,MATCH('Index&amp;Match'!$A458,'Main Data'!$A$1:$A$1001,0),MATCH('Index&amp;Match'!I457,'Main Data'!$A457:$O457,0))</f>
        <v>65</v>
      </c>
      <c r="J458" s="2">
        <f>INDEX('Main Data'!$A$1:$O$1001,MATCH('Index&amp;Match'!$A458,'Main Data'!$A$1:$A$1001,0),MATCH('Index&amp;Match'!J457,'Main Data'!$A457:$O457,0))</f>
        <v>65</v>
      </c>
      <c r="K458" s="11">
        <f>INDEX('Main Data'!$A$1:$O$1001,MATCH('Index&amp;Match'!$A458,'Main Data'!$A$1:$A$1001,0),MATCH('Index&amp;Match'!K457,'Main Data'!$A457:$O457,0))</f>
        <v>35910.519999999997</v>
      </c>
      <c r="L458" s="11">
        <f>INDEX('Main Data'!$A$1:$O$1001,MATCH('Index&amp;Match'!$A458,'Main Data'!$A$1:$A$1001,0),MATCH('Index&amp;Match'!L457,'Main Data'!$A457:$O457,0))</f>
        <v>72.319999999999993</v>
      </c>
      <c r="M458" s="11">
        <f>INDEX('Main Data'!$A$1:$O$1001,MATCH('Index&amp;Match'!$A458,'Main Data'!$A$1:$A$1001,0),MATCH('Index&amp;Match'!M457,'Main Data'!$A457:$O457,0))</f>
        <v>178.52</v>
      </c>
      <c r="N458" s="2" t="str">
        <f>INDEX('Main Data'!$A$1:$O$1001,MATCH('Index&amp;Match'!$A458,'Main Data'!$A$1:$A$1001,0),MATCH('Index&amp;Match'!N457,'Main Data'!$A457:$O457,0))</f>
        <v>No</v>
      </c>
      <c r="O458" s="2">
        <f>INDEX('Main Data'!$A$1:$O$1001,MATCH('Index&amp;Match'!$A458,'Main Data'!$A$1:$A$1001,0),MATCH('Index&amp;Match'!O457,'Main Data'!$A457:$O457,0))</f>
        <v>65</v>
      </c>
    </row>
    <row r="459" spans="1:15" x14ac:dyDescent="0.3">
      <c r="A459" s="2" t="s">
        <v>516</v>
      </c>
      <c r="B459" s="1">
        <f>INDEX('Main Data'!$A$1:$O$1001,MATCH('Index&amp;Match'!$A459,'Main Data'!$A$1:$A$1001,0),MATCH('Index&amp;Match'!B458,'Main Data'!$A458:$O458,0))</f>
        <v>45933</v>
      </c>
      <c r="C459" s="2" t="str">
        <f>INDEX('Main Data'!$A$1:$O$1001,MATCH('Index&amp;Match'!$A459,'Main Data'!$A$1:$A$1001,0),MATCH('Index&amp;Match'!C458,'Main Data'!$A458:$O458,0))</f>
        <v>Drew</v>
      </c>
      <c r="D459" s="2" t="str">
        <f>INDEX('Main Data'!$A$1:$O$1001,MATCH('Index&amp;Match'!$A459,'Main Data'!$A$1:$A$1001,0),MATCH('Index&amp;Match'!D458,'Main Data'!$A458:$O458,0))</f>
        <v>BR-007</v>
      </c>
      <c r="E459" s="2" t="str">
        <f>INDEX('Main Data'!$A$1:$O$1001,MATCH('Index&amp;Match'!$A459,'Main Data'!$A$1:$A$1001,0),MATCH('Index&amp;Match'!E458,'Main Data'!$A458:$O458,0))</f>
        <v>North</v>
      </c>
      <c r="F459" s="2" t="str">
        <f>INDEX('Main Data'!$A$1:$O$1001,MATCH('Index&amp;Match'!$A459,'Main Data'!$A$1:$A$1001,0),MATCH('Index&amp;Match'!F458,'Main Data'!$A458:$O458,0))</f>
        <v>Mortgage</v>
      </c>
      <c r="G459" s="2" t="str">
        <f>INDEX('Main Data'!$A$1:$O$1001,MATCH('Index&amp;Match'!$A459,'Main Data'!$A$1:$A$1001,0),MATCH('Index&amp;Match'!G458,'Main Data'!$A458:$O458,0))</f>
        <v>Walk-in</v>
      </c>
      <c r="H459" s="2" t="str">
        <f>INDEX('Main Data'!$A$1:$O$1001,MATCH('Index&amp;Match'!$A459,'Main Data'!$A$1:$A$1001,0),MATCH('Index&amp;Match'!H458,'Main Data'!$A458:$O458,0))</f>
        <v>High Net Worth</v>
      </c>
      <c r="I459" s="2">
        <f>INDEX('Main Data'!$A$1:$O$1001,MATCH('Index&amp;Match'!$A459,'Main Data'!$A$1:$A$1001,0),MATCH('Index&amp;Match'!I458,'Main Data'!$A458:$O458,0))</f>
        <v>47</v>
      </c>
      <c r="J459" s="2">
        <f>INDEX('Main Data'!$A$1:$O$1001,MATCH('Index&amp;Match'!$A459,'Main Data'!$A$1:$A$1001,0),MATCH('Index&amp;Match'!J458,'Main Data'!$A458:$O458,0))</f>
        <v>47</v>
      </c>
      <c r="K459" s="11">
        <f>INDEX('Main Data'!$A$1:$O$1001,MATCH('Index&amp;Match'!$A459,'Main Data'!$A$1:$A$1001,0),MATCH('Index&amp;Match'!K458,'Main Data'!$A458:$O458,0))</f>
        <v>13921.54</v>
      </c>
      <c r="L459" s="11">
        <f>INDEX('Main Data'!$A$1:$O$1001,MATCH('Index&amp;Match'!$A459,'Main Data'!$A$1:$A$1001,0),MATCH('Index&amp;Match'!L458,'Main Data'!$A458:$O458,0))</f>
        <v>92.61</v>
      </c>
      <c r="M459" s="11">
        <f>INDEX('Main Data'!$A$1:$O$1001,MATCH('Index&amp;Match'!$A459,'Main Data'!$A$1:$A$1001,0),MATCH('Index&amp;Match'!M458,'Main Data'!$A458:$O458,0))</f>
        <v>137.6</v>
      </c>
      <c r="N459" s="2" t="str">
        <f>INDEX('Main Data'!$A$1:$O$1001,MATCH('Index&amp;Match'!$A459,'Main Data'!$A$1:$A$1001,0),MATCH('Index&amp;Match'!N458,'Main Data'!$A458:$O458,0))</f>
        <v>Yes</v>
      </c>
      <c r="O459" s="2">
        <f>INDEX('Main Data'!$A$1:$O$1001,MATCH('Index&amp;Match'!$A459,'Main Data'!$A$1:$A$1001,0),MATCH('Index&amp;Match'!O458,'Main Data'!$A458:$O458,0))</f>
        <v>47</v>
      </c>
    </row>
    <row r="460" spans="1:15" x14ac:dyDescent="0.3">
      <c r="A460" s="2" t="s">
        <v>517</v>
      </c>
      <c r="B460" s="1">
        <f>INDEX('Main Data'!$A$1:$O$1001,MATCH('Index&amp;Match'!$A460,'Main Data'!$A$1:$A$1001,0),MATCH('Index&amp;Match'!B459,'Main Data'!$A459:$O459,0))</f>
        <v>46080</v>
      </c>
      <c r="C460" s="2" t="str">
        <f>INDEX('Main Data'!$A$1:$O$1001,MATCH('Index&amp;Match'!$A460,'Main Data'!$A$1:$A$1001,0),MATCH('Index&amp;Match'!C459,'Main Data'!$A459:$O459,0))</f>
        <v>Taylor</v>
      </c>
      <c r="D460" s="2" t="str">
        <f>INDEX('Main Data'!$A$1:$O$1001,MATCH('Index&amp;Match'!$A460,'Main Data'!$A$1:$A$1001,0),MATCH('Index&amp;Match'!D459,'Main Data'!$A459:$O459,0))</f>
        <v>BR-008</v>
      </c>
      <c r="E460" s="2" t="str">
        <f>INDEX('Main Data'!$A$1:$O$1001,MATCH('Index&amp;Match'!$A460,'Main Data'!$A$1:$A$1001,0),MATCH('Index&amp;Match'!E459,'Main Data'!$A459:$O459,0))</f>
        <v>North</v>
      </c>
      <c r="F460" s="2" t="str">
        <f>INDEX('Main Data'!$A$1:$O$1001,MATCH('Index&amp;Match'!$A460,'Main Data'!$A$1:$A$1001,0),MATCH('Index&amp;Match'!F459,'Main Data'!$A459:$O459,0))</f>
        <v>Auto Loan</v>
      </c>
      <c r="G460" s="2" t="str">
        <f>INDEX('Main Data'!$A$1:$O$1001,MATCH('Index&amp;Match'!$A460,'Main Data'!$A$1:$A$1001,0),MATCH('Index&amp;Match'!G459,'Main Data'!$A459:$O459,0))</f>
        <v>Website</v>
      </c>
      <c r="H460" s="2" t="str">
        <f>INDEX('Main Data'!$A$1:$O$1001,MATCH('Index&amp;Match'!$A460,'Main Data'!$A$1:$A$1001,0),MATCH('Index&amp;Match'!H459,'Main Data'!$A459:$O459,0))</f>
        <v>Retail</v>
      </c>
      <c r="I460" s="2">
        <f>INDEX('Main Data'!$A$1:$O$1001,MATCH('Index&amp;Match'!$A460,'Main Data'!$A$1:$A$1001,0),MATCH('Index&amp;Match'!I459,'Main Data'!$A459:$O459,0))</f>
        <v>72</v>
      </c>
      <c r="J460" s="2">
        <f>INDEX('Main Data'!$A$1:$O$1001,MATCH('Index&amp;Match'!$A460,'Main Data'!$A$1:$A$1001,0),MATCH('Index&amp;Match'!J459,'Main Data'!$A459:$O459,0))</f>
        <v>72</v>
      </c>
      <c r="K460" s="11">
        <f>INDEX('Main Data'!$A$1:$O$1001,MATCH('Index&amp;Match'!$A460,'Main Data'!$A$1:$A$1001,0),MATCH('Index&amp;Match'!K459,'Main Data'!$A459:$O459,0))</f>
        <v>38136.25</v>
      </c>
      <c r="L460" s="11">
        <f>INDEX('Main Data'!$A$1:$O$1001,MATCH('Index&amp;Match'!$A460,'Main Data'!$A$1:$A$1001,0),MATCH('Index&amp;Match'!L459,'Main Data'!$A459:$O459,0))</f>
        <v>64.790000000000006</v>
      </c>
      <c r="M460" s="11">
        <f>INDEX('Main Data'!$A$1:$O$1001,MATCH('Index&amp;Match'!$A460,'Main Data'!$A$1:$A$1001,0),MATCH('Index&amp;Match'!M459,'Main Data'!$A459:$O459,0))</f>
        <v>135.4</v>
      </c>
      <c r="N460" s="2" t="str">
        <f>INDEX('Main Data'!$A$1:$O$1001,MATCH('Index&amp;Match'!$A460,'Main Data'!$A$1:$A$1001,0),MATCH('Index&amp;Match'!N459,'Main Data'!$A459:$O459,0))</f>
        <v>No</v>
      </c>
      <c r="O460" s="2">
        <f>INDEX('Main Data'!$A$1:$O$1001,MATCH('Index&amp;Match'!$A460,'Main Data'!$A$1:$A$1001,0),MATCH('Index&amp;Match'!O459,'Main Data'!$A459:$O459,0))</f>
        <v>72</v>
      </c>
    </row>
    <row r="461" spans="1:15" x14ac:dyDescent="0.3">
      <c r="A461" s="2" t="s">
        <v>518</v>
      </c>
      <c r="B461" s="1">
        <f>INDEX('Main Data'!$A$1:$O$1001,MATCH('Index&amp;Match'!$A461,'Main Data'!$A$1:$A$1001,0),MATCH('Index&amp;Match'!B460,'Main Data'!$A460:$O460,0))</f>
        <v>46086</v>
      </c>
      <c r="C461" s="2" t="str">
        <f>INDEX('Main Data'!$A$1:$O$1001,MATCH('Index&amp;Match'!$A461,'Main Data'!$A$1:$A$1001,0),MATCH('Index&amp;Match'!C460,'Main Data'!$A460:$O460,0))</f>
        <v>Taylor</v>
      </c>
      <c r="D461" s="2" t="str">
        <f>INDEX('Main Data'!$A$1:$O$1001,MATCH('Index&amp;Match'!$A461,'Main Data'!$A$1:$A$1001,0),MATCH('Index&amp;Match'!D460,'Main Data'!$A460:$O460,0))</f>
        <v>BR-014</v>
      </c>
      <c r="E461" s="2" t="str">
        <f>INDEX('Main Data'!$A$1:$O$1001,MATCH('Index&amp;Match'!$A461,'Main Data'!$A$1:$A$1001,0),MATCH('Index&amp;Match'!E460,'Main Data'!$A460:$O460,0))</f>
        <v>West</v>
      </c>
      <c r="F461" s="2" t="str">
        <f>INDEX('Main Data'!$A$1:$O$1001,MATCH('Index&amp;Match'!$A461,'Main Data'!$A$1:$A$1001,0),MATCH('Index&amp;Match'!F460,'Main Data'!$A460:$O460,0))</f>
        <v>Credit Card</v>
      </c>
      <c r="G461" s="2" t="str">
        <f>INDEX('Main Data'!$A$1:$O$1001,MATCH('Index&amp;Match'!$A461,'Main Data'!$A$1:$A$1001,0),MATCH('Index&amp;Match'!G460,'Main Data'!$A460:$O460,0))</f>
        <v>Referral</v>
      </c>
      <c r="H461" s="2" t="str">
        <f>INDEX('Main Data'!$A$1:$O$1001,MATCH('Index&amp;Match'!$A461,'Main Data'!$A$1:$A$1001,0),MATCH('Index&amp;Match'!H460,'Main Data'!$A460:$O460,0))</f>
        <v>SME</v>
      </c>
      <c r="I461" s="2">
        <f>INDEX('Main Data'!$A$1:$O$1001,MATCH('Index&amp;Match'!$A461,'Main Data'!$A$1:$A$1001,0),MATCH('Index&amp;Match'!I460,'Main Data'!$A460:$O460,0))</f>
        <v>43</v>
      </c>
      <c r="J461" s="2">
        <f>INDEX('Main Data'!$A$1:$O$1001,MATCH('Index&amp;Match'!$A461,'Main Data'!$A$1:$A$1001,0),MATCH('Index&amp;Match'!J460,'Main Data'!$A460:$O460,0))</f>
        <v>43</v>
      </c>
      <c r="K461" s="11">
        <f>INDEX('Main Data'!$A$1:$O$1001,MATCH('Index&amp;Match'!$A461,'Main Data'!$A$1:$A$1001,0),MATCH('Index&amp;Match'!K460,'Main Data'!$A460:$O460,0))</f>
        <v>36259.360000000001</v>
      </c>
      <c r="L461" s="11">
        <f>INDEX('Main Data'!$A$1:$O$1001,MATCH('Index&amp;Match'!$A461,'Main Data'!$A$1:$A$1001,0),MATCH('Index&amp;Match'!L460,'Main Data'!$A460:$O460,0))</f>
        <v>274.63</v>
      </c>
      <c r="M461" s="11">
        <f>INDEX('Main Data'!$A$1:$O$1001,MATCH('Index&amp;Match'!$A461,'Main Data'!$A$1:$A$1001,0),MATCH('Index&amp;Match'!M460,'Main Data'!$A460:$O460,0))</f>
        <v>99.45</v>
      </c>
      <c r="N461" s="2" t="str">
        <f>INDEX('Main Data'!$A$1:$O$1001,MATCH('Index&amp;Match'!$A461,'Main Data'!$A$1:$A$1001,0),MATCH('Index&amp;Match'!N460,'Main Data'!$A460:$O460,0))</f>
        <v>No</v>
      </c>
      <c r="O461" s="2">
        <f>INDEX('Main Data'!$A$1:$O$1001,MATCH('Index&amp;Match'!$A461,'Main Data'!$A$1:$A$1001,0),MATCH('Index&amp;Match'!O460,'Main Data'!$A460:$O460,0))</f>
        <v>43</v>
      </c>
    </row>
    <row r="462" spans="1:15" x14ac:dyDescent="0.3">
      <c r="A462" s="2" t="s">
        <v>519</v>
      </c>
      <c r="B462" s="1">
        <f>INDEX('Main Data'!$A$1:$O$1001,MATCH('Index&amp;Match'!$A462,'Main Data'!$A$1:$A$1001,0),MATCH('Index&amp;Match'!B461,'Main Data'!$A461:$O461,0))</f>
        <v>45918</v>
      </c>
      <c r="C462" s="2" t="str">
        <f>INDEX('Main Data'!$A$1:$O$1001,MATCH('Index&amp;Match'!$A462,'Main Data'!$A$1:$A$1001,0),MATCH('Index&amp;Match'!C461,'Main Data'!$A461:$O461,0))</f>
        <v>Jordan</v>
      </c>
      <c r="D462" s="2" t="str">
        <f>INDEX('Main Data'!$A$1:$O$1001,MATCH('Index&amp;Match'!$A462,'Main Data'!$A$1:$A$1001,0),MATCH('Index&amp;Match'!D461,'Main Data'!$A461:$O461,0))</f>
        <v>BR-003</v>
      </c>
      <c r="E462" s="2" t="str">
        <f>INDEX('Main Data'!$A$1:$O$1001,MATCH('Index&amp;Match'!$A462,'Main Data'!$A$1:$A$1001,0),MATCH('Index&amp;Match'!E461,'Main Data'!$A461:$O461,0))</f>
        <v>South</v>
      </c>
      <c r="F462" s="2" t="str">
        <f>INDEX('Main Data'!$A$1:$O$1001,MATCH('Index&amp;Match'!$A462,'Main Data'!$A$1:$A$1001,0),MATCH('Index&amp;Match'!F461,'Main Data'!$A461:$O461,0))</f>
        <v>Auto Loan</v>
      </c>
      <c r="G462" s="2" t="str">
        <f>INDEX('Main Data'!$A$1:$O$1001,MATCH('Index&amp;Match'!$A462,'Main Data'!$A$1:$A$1001,0),MATCH('Index&amp;Match'!G461,'Main Data'!$A461:$O461,0))</f>
        <v>Walk-in</v>
      </c>
      <c r="H462" s="2" t="str">
        <f>INDEX('Main Data'!$A$1:$O$1001,MATCH('Index&amp;Match'!$A462,'Main Data'!$A$1:$A$1001,0),MATCH('Index&amp;Match'!H461,'Main Data'!$A461:$O461,0))</f>
        <v>High Net Worth</v>
      </c>
      <c r="I462" s="2">
        <f>INDEX('Main Data'!$A$1:$O$1001,MATCH('Index&amp;Match'!$A462,'Main Data'!$A$1:$A$1001,0),MATCH('Index&amp;Match'!I461,'Main Data'!$A461:$O461,0))</f>
        <v>60</v>
      </c>
      <c r="J462" s="2">
        <f>INDEX('Main Data'!$A$1:$O$1001,MATCH('Index&amp;Match'!$A462,'Main Data'!$A$1:$A$1001,0),MATCH('Index&amp;Match'!J461,'Main Data'!$A461:$O461,0))</f>
        <v>60</v>
      </c>
      <c r="K462" s="11">
        <f>INDEX('Main Data'!$A$1:$O$1001,MATCH('Index&amp;Match'!$A462,'Main Data'!$A$1:$A$1001,0),MATCH('Index&amp;Match'!K461,'Main Data'!$A461:$O461,0))</f>
        <v>865.9</v>
      </c>
      <c r="L462" s="11">
        <f>INDEX('Main Data'!$A$1:$O$1001,MATCH('Index&amp;Match'!$A462,'Main Data'!$A$1:$A$1001,0),MATCH('Index&amp;Match'!L461,'Main Data'!$A461:$O461,0))</f>
        <v>320.27</v>
      </c>
      <c r="M462" s="11">
        <f>INDEX('Main Data'!$A$1:$O$1001,MATCH('Index&amp;Match'!$A462,'Main Data'!$A$1:$A$1001,0),MATCH('Index&amp;Match'!M461,'Main Data'!$A461:$O461,0))</f>
        <v>28.2</v>
      </c>
      <c r="N462" s="2" t="str">
        <f>INDEX('Main Data'!$A$1:$O$1001,MATCH('Index&amp;Match'!$A462,'Main Data'!$A$1:$A$1001,0),MATCH('Index&amp;Match'!N461,'Main Data'!$A461:$O461,0))</f>
        <v>No</v>
      </c>
      <c r="O462" s="2">
        <f>INDEX('Main Data'!$A$1:$O$1001,MATCH('Index&amp;Match'!$A462,'Main Data'!$A$1:$A$1001,0),MATCH('Index&amp;Match'!O461,'Main Data'!$A461:$O461,0))</f>
        <v>60</v>
      </c>
    </row>
    <row r="463" spans="1:15" x14ac:dyDescent="0.3">
      <c r="A463" s="2" t="s">
        <v>520</v>
      </c>
      <c r="B463" s="1">
        <f>INDEX('Main Data'!$A$1:$O$1001,MATCH('Index&amp;Match'!$A463,'Main Data'!$A$1:$A$1001,0),MATCH('Index&amp;Match'!B462,'Main Data'!$A462:$O462,0))</f>
        <v>46180</v>
      </c>
      <c r="C463" s="2" t="str">
        <f>INDEX('Main Data'!$A$1:$O$1001,MATCH('Index&amp;Match'!$A463,'Main Data'!$A$1:$A$1001,0),MATCH('Index&amp;Match'!C462,'Main Data'!$A462:$O462,0))</f>
        <v>Casey</v>
      </c>
      <c r="D463" s="2" t="str">
        <f>INDEX('Main Data'!$A$1:$O$1001,MATCH('Index&amp;Match'!$A463,'Main Data'!$A$1:$A$1001,0),MATCH('Index&amp;Match'!D462,'Main Data'!$A462:$O462,0))</f>
        <v>BR-013</v>
      </c>
      <c r="E463" s="2" t="str">
        <f>INDEX('Main Data'!$A$1:$O$1001,MATCH('Index&amp;Match'!$A463,'Main Data'!$A$1:$A$1001,0),MATCH('Index&amp;Match'!E462,'Main Data'!$A462:$O462,0))</f>
        <v>East</v>
      </c>
      <c r="F463" s="2" t="str">
        <f>INDEX('Main Data'!$A$1:$O$1001,MATCH('Index&amp;Match'!$A463,'Main Data'!$A$1:$A$1001,0),MATCH('Index&amp;Match'!F462,'Main Data'!$A462:$O462,0))</f>
        <v>Auto Loan</v>
      </c>
      <c r="G463" s="2" t="str">
        <f>INDEX('Main Data'!$A$1:$O$1001,MATCH('Index&amp;Match'!$A463,'Main Data'!$A$1:$A$1001,0),MATCH('Index&amp;Match'!G462,'Main Data'!$A462:$O462,0))</f>
        <v>Website</v>
      </c>
      <c r="H463" s="2" t="str">
        <f>INDEX('Main Data'!$A$1:$O$1001,MATCH('Index&amp;Match'!$A463,'Main Data'!$A$1:$A$1001,0),MATCH('Index&amp;Match'!H462,'Main Data'!$A462:$O462,0))</f>
        <v>Corporate</v>
      </c>
      <c r="I463" s="2">
        <f>INDEX('Main Data'!$A$1:$O$1001,MATCH('Index&amp;Match'!$A463,'Main Data'!$A$1:$A$1001,0),MATCH('Index&amp;Match'!I462,'Main Data'!$A462:$O462,0))</f>
        <v>34</v>
      </c>
      <c r="J463" s="2">
        <f>INDEX('Main Data'!$A$1:$O$1001,MATCH('Index&amp;Match'!$A463,'Main Data'!$A$1:$A$1001,0),MATCH('Index&amp;Match'!J462,'Main Data'!$A462:$O462,0))</f>
        <v>34</v>
      </c>
      <c r="K463" s="11">
        <f>INDEX('Main Data'!$A$1:$O$1001,MATCH('Index&amp;Match'!$A463,'Main Data'!$A$1:$A$1001,0),MATCH('Index&amp;Match'!K462,'Main Data'!$A462:$O462,0))</f>
        <v>25702.2</v>
      </c>
      <c r="L463" s="11">
        <f>INDEX('Main Data'!$A$1:$O$1001,MATCH('Index&amp;Match'!$A463,'Main Data'!$A$1:$A$1001,0),MATCH('Index&amp;Match'!L462,'Main Data'!$A462:$O462,0))</f>
        <v>78.12</v>
      </c>
      <c r="M463" s="11">
        <f>INDEX('Main Data'!$A$1:$O$1001,MATCH('Index&amp;Match'!$A463,'Main Data'!$A$1:$A$1001,0),MATCH('Index&amp;Match'!M462,'Main Data'!$A462:$O462,0))</f>
        <v>58.14</v>
      </c>
      <c r="N463" s="2" t="str">
        <f>INDEX('Main Data'!$A$1:$O$1001,MATCH('Index&amp;Match'!$A463,'Main Data'!$A$1:$A$1001,0),MATCH('Index&amp;Match'!N462,'Main Data'!$A462:$O462,0))</f>
        <v>No</v>
      </c>
      <c r="O463" s="2">
        <f>INDEX('Main Data'!$A$1:$O$1001,MATCH('Index&amp;Match'!$A463,'Main Data'!$A$1:$A$1001,0),MATCH('Index&amp;Match'!O462,'Main Data'!$A462:$O462,0))</f>
        <v>34</v>
      </c>
    </row>
    <row r="464" spans="1:15" x14ac:dyDescent="0.3">
      <c r="A464" s="2" t="s">
        <v>521</v>
      </c>
      <c r="B464" s="1">
        <f>INDEX('Main Data'!$A$1:$O$1001,MATCH('Index&amp;Match'!$A464,'Main Data'!$A$1:$A$1001,0),MATCH('Index&amp;Match'!B463,'Main Data'!$A463:$O463,0))</f>
        <v>46057</v>
      </c>
      <c r="C464" s="2" t="str">
        <f>INDEX('Main Data'!$A$1:$O$1001,MATCH('Index&amp;Match'!$A464,'Main Data'!$A$1:$A$1001,0),MATCH('Index&amp;Match'!C463,'Main Data'!$A463:$O463,0))</f>
        <v>Sam</v>
      </c>
      <c r="D464" s="2" t="str">
        <f>INDEX('Main Data'!$A$1:$O$1001,MATCH('Index&amp;Match'!$A464,'Main Data'!$A$1:$A$1001,0),MATCH('Index&amp;Match'!D463,'Main Data'!$A463:$O463,0))</f>
        <v>BR-006</v>
      </c>
      <c r="E464" s="2" t="str">
        <f>INDEX('Main Data'!$A$1:$O$1001,MATCH('Index&amp;Match'!$A464,'Main Data'!$A$1:$A$1001,0),MATCH('Index&amp;Match'!E463,'Main Data'!$A463:$O463,0))</f>
        <v>Central</v>
      </c>
      <c r="F464" s="2" t="str">
        <f>INDEX('Main Data'!$A$1:$O$1001,MATCH('Index&amp;Match'!$A464,'Main Data'!$A$1:$A$1001,0),MATCH('Index&amp;Match'!F463,'Main Data'!$A463:$O463,0))</f>
        <v>Credit Card</v>
      </c>
      <c r="G464" s="2" t="str">
        <f>INDEX('Main Data'!$A$1:$O$1001,MATCH('Index&amp;Match'!$A464,'Main Data'!$A$1:$A$1001,0),MATCH('Index&amp;Match'!G463,'Main Data'!$A463:$O463,0))</f>
        <v>Social Media</v>
      </c>
      <c r="H464" s="2" t="str">
        <f>INDEX('Main Data'!$A$1:$O$1001,MATCH('Index&amp;Match'!$A464,'Main Data'!$A$1:$A$1001,0),MATCH('Index&amp;Match'!H463,'Main Data'!$A463:$O463,0))</f>
        <v>High Net Worth</v>
      </c>
      <c r="I464" s="2">
        <f>INDEX('Main Data'!$A$1:$O$1001,MATCH('Index&amp;Match'!$A464,'Main Data'!$A$1:$A$1001,0),MATCH('Index&amp;Match'!I463,'Main Data'!$A463:$O463,0))</f>
        <v>35</v>
      </c>
      <c r="J464" s="2">
        <f>INDEX('Main Data'!$A$1:$O$1001,MATCH('Index&amp;Match'!$A464,'Main Data'!$A$1:$A$1001,0),MATCH('Index&amp;Match'!J463,'Main Data'!$A463:$O463,0))</f>
        <v>35</v>
      </c>
      <c r="K464" s="11">
        <f>INDEX('Main Data'!$A$1:$O$1001,MATCH('Index&amp;Match'!$A464,'Main Data'!$A$1:$A$1001,0),MATCH('Index&amp;Match'!K463,'Main Data'!$A463:$O463,0))</f>
        <v>7396.31</v>
      </c>
      <c r="L464" s="11">
        <f>INDEX('Main Data'!$A$1:$O$1001,MATCH('Index&amp;Match'!$A464,'Main Data'!$A$1:$A$1001,0),MATCH('Index&amp;Match'!L463,'Main Data'!$A463:$O463,0))</f>
        <v>374.55</v>
      </c>
      <c r="M464" s="11">
        <f>INDEX('Main Data'!$A$1:$O$1001,MATCH('Index&amp;Match'!$A464,'Main Data'!$A$1:$A$1001,0),MATCH('Index&amp;Match'!M463,'Main Data'!$A463:$O463,0))</f>
        <v>295.12</v>
      </c>
      <c r="N464" s="2" t="str">
        <f>INDEX('Main Data'!$A$1:$O$1001,MATCH('Index&amp;Match'!$A464,'Main Data'!$A$1:$A$1001,0),MATCH('Index&amp;Match'!N463,'Main Data'!$A463:$O463,0))</f>
        <v>Yes</v>
      </c>
      <c r="O464" s="2">
        <f>INDEX('Main Data'!$A$1:$O$1001,MATCH('Index&amp;Match'!$A464,'Main Data'!$A$1:$A$1001,0),MATCH('Index&amp;Match'!O463,'Main Data'!$A463:$O463,0))</f>
        <v>35</v>
      </c>
    </row>
    <row r="465" spans="1:15" x14ac:dyDescent="0.3">
      <c r="A465" s="2" t="s">
        <v>522</v>
      </c>
      <c r="B465" s="1">
        <f>INDEX('Main Data'!$A$1:$O$1001,MATCH('Index&amp;Match'!$A465,'Main Data'!$A$1:$A$1001,0),MATCH('Index&amp;Match'!B464,'Main Data'!$A464:$O464,0))</f>
        <v>45943</v>
      </c>
      <c r="C465" s="2" t="str">
        <f>INDEX('Main Data'!$A$1:$O$1001,MATCH('Index&amp;Match'!$A465,'Main Data'!$A$1:$A$1001,0),MATCH('Index&amp;Match'!C464,'Main Data'!$A464:$O464,0))</f>
        <v>Alex</v>
      </c>
      <c r="D465" s="2" t="str">
        <f>INDEX('Main Data'!$A$1:$O$1001,MATCH('Index&amp;Match'!$A465,'Main Data'!$A$1:$A$1001,0),MATCH('Index&amp;Match'!D464,'Main Data'!$A464:$O464,0))</f>
        <v>BR-001</v>
      </c>
      <c r="E465" s="2" t="str">
        <f>INDEX('Main Data'!$A$1:$O$1001,MATCH('Index&amp;Match'!$A465,'Main Data'!$A$1:$A$1001,0),MATCH('Index&amp;Match'!E464,'Main Data'!$A464:$O464,0))</f>
        <v>Central</v>
      </c>
      <c r="F465" s="2" t="str">
        <f>INDEX('Main Data'!$A$1:$O$1001,MATCH('Index&amp;Match'!$A465,'Main Data'!$A$1:$A$1001,0),MATCH('Index&amp;Match'!F464,'Main Data'!$A464:$O464,0))</f>
        <v>Mortgage</v>
      </c>
      <c r="G465" s="2" t="str">
        <f>INDEX('Main Data'!$A$1:$O$1001,MATCH('Index&amp;Match'!$A465,'Main Data'!$A$1:$A$1001,0),MATCH('Index&amp;Match'!G464,'Main Data'!$A464:$O464,0))</f>
        <v>Walk-in</v>
      </c>
      <c r="H465" s="2" t="str">
        <f>INDEX('Main Data'!$A$1:$O$1001,MATCH('Index&amp;Match'!$A465,'Main Data'!$A$1:$A$1001,0),MATCH('Index&amp;Match'!H464,'Main Data'!$A464:$O464,0))</f>
        <v>SME</v>
      </c>
      <c r="I465" s="2">
        <f>INDEX('Main Data'!$A$1:$O$1001,MATCH('Index&amp;Match'!$A465,'Main Data'!$A$1:$A$1001,0),MATCH('Index&amp;Match'!I464,'Main Data'!$A464:$O464,0))</f>
        <v>63</v>
      </c>
      <c r="J465" s="2">
        <f>INDEX('Main Data'!$A$1:$O$1001,MATCH('Index&amp;Match'!$A465,'Main Data'!$A$1:$A$1001,0),MATCH('Index&amp;Match'!J464,'Main Data'!$A464:$O464,0))</f>
        <v>63</v>
      </c>
      <c r="K465" s="11">
        <f>INDEX('Main Data'!$A$1:$O$1001,MATCH('Index&amp;Match'!$A465,'Main Data'!$A$1:$A$1001,0),MATCH('Index&amp;Match'!K464,'Main Data'!$A464:$O464,0))</f>
        <v>43378.239999999998</v>
      </c>
      <c r="L465" s="11">
        <f>INDEX('Main Data'!$A$1:$O$1001,MATCH('Index&amp;Match'!$A465,'Main Data'!$A$1:$A$1001,0),MATCH('Index&amp;Match'!L464,'Main Data'!$A464:$O464,0))</f>
        <v>153.68</v>
      </c>
      <c r="M465" s="11">
        <f>INDEX('Main Data'!$A$1:$O$1001,MATCH('Index&amp;Match'!$A465,'Main Data'!$A$1:$A$1001,0),MATCH('Index&amp;Match'!M464,'Main Data'!$A464:$O464,0))</f>
        <v>192.14</v>
      </c>
      <c r="N465" s="2" t="str">
        <f>INDEX('Main Data'!$A$1:$O$1001,MATCH('Index&amp;Match'!$A465,'Main Data'!$A$1:$A$1001,0),MATCH('Index&amp;Match'!N464,'Main Data'!$A464:$O464,0))</f>
        <v>No</v>
      </c>
      <c r="O465" s="2">
        <f>INDEX('Main Data'!$A$1:$O$1001,MATCH('Index&amp;Match'!$A465,'Main Data'!$A$1:$A$1001,0),MATCH('Index&amp;Match'!O464,'Main Data'!$A464:$O464,0))</f>
        <v>63</v>
      </c>
    </row>
    <row r="466" spans="1:15" x14ac:dyDescent="0.3">
      <c r="A466" s="2" t="s">
        <v>523</v>
      </c>
      <c r="B466" s="1">
        <f>INDEX('Main Data'!$A$1:$O$1001,MATCH('Index&amp;Match'!$A466,'Main Data'!$A$1:$A$1001,0),MATCH('Index&amp;Match'!B465,'Main Data'!$A465:$O465,0))</f>
        <v>45875</v>
      </c>
      <c r="C466" s="2" t="str">
        <f>INDEX('Main Data'!$A$1:$O$1001,MATCH('Index&amp;Match'!$A466,'Main Data'!$A$1:$A$1001,0),MATCH('Index&amp;Match'!C465,'Main Data'!$A465:$O465,0))</f>
        <v>Morgan</v>
      </c>
      <c r="D466" s="2" t="str">
        <f>INDEX('Main Data'!$A$1:$O$1001,MATCH('Index&amp;Match'!$A466,'Main Data'!$A$1:$A$1001,0),MATCH('Index&amp;Match'!D465,'Main Data'!$A465:$O465,0))</f>
        <v>BR-007</v>
      </c>
      <c r="E466" s="2" t="str">
        <f>INDEX('Main Data'!$A$1:$O$1001,MATCH('Index&amp;Match'!$A466,'Main Data'!$A$1:$A$1001,0),MATCH('Index&amp;Match'!E465,'Main Data'!$A465:$O465,0))</f>
        <v>North</v>
      </c>
      <c r="F466" s="2" t="str">
        <f>INDEX('Main Data'!$A$1:$O$1001,MATCH('Index&amp;Match'!$A466,'Main Data'!$A$1:$A$1001,0),MATCH('Index&amp;Match'!F465,'Main Data'!$A465:$O465,0))</f>
        <v>Auto Loan</v>
      </c>
      <c r="G466" s="2" t="str">
        <f>INDEX('Main Data'!$A$1:$O$1001,MATCH('Index&amp;Match'!$A466,'Main Data'!$A$1:$A$1001,0),MATCH('Index&amp;Match'!G465,'Main Data'!$A465:$O465,0))</f>
        <v>Walk-in</v>
      </c>
      <c r="H466" s="2" t="str">
        <f>INDEX('Main Data'!$A$1:$O$1001,MATCH('Index&amp;Match'!$A466,'Main Data'!$A$1:$A$1001,0),MATCH('Index&amp;Match'!H465,'Main Data'!$A465:$O465,0))</f>
        <v>Retail</v>
      </c>
      <c r="I466" s="2">
        <f>INDEX('Main Data'!$A$1:$O$1001,MATCH('Index&amp;Match'!$A466,'Main Data'!$A$1:$A$1001,0),MATCH('Index&amp;Match'!I465,'Main Data'!$A465:$O465,0))</f>
        <v>53</v>
      </c>
      <c r="J466" s="2">
        <f>INDEX('Main Data'!$A$1:$O$1001,MATCH('Index&amp;Match'!$A466,'Main Data'!$A$1:$A$1001,0),MATCH('Index&amp;Match'!J465,'Main Data'!$A465:$O465,0))</f>
        <v>53</v>
      </c>
      <c r="K466" s="11">
        <f>INDEX('Main Data'!$A$1:$O$1001,MATCH('Index&amp;Match'!$A466,'Main Data'!$A$1:$A$1001,0),MATCH('Index&amp;Match'!K465,'Main Data'!$A465:$O465,0))</f>
        <v>43643.5</v>
      </c>
      <c r="L466" s="11">
        <f>INDEX('Main Data'!$A$1:$O$1001,MATCH('Index&amp;Match'!$A466,'Main Data'!$A$1:$A$1001,0),MATCH('Index&amp;Match'!L465,'Main Data'!$A465:$O465,0))</f>
        <v>358.34</v>
      </c>
      <c r="M466" s="11">
        <f>INDEX('Main Data'!$A$1:$O$1001,MATCH('Index&amp;Match'!$A466,'Main Data'!$A$1:$A$1001,0),MATCH('Index&amp;Match'!M465,'Main Data'!$A465:$O465,0))</f>
        <v>64.099999999999994</v>
      </c>
      <c r="N466" s="2" t="str">
        <f>INDEX('Main Data'!$A$1:$O$1001,MATCH('Index&amp;Match'!$A466,'Main Data'!$A$1:$A$1001,0),MATCH('Index&amp;Match'!N465,'Main Data'!$A465:$O465,0))</f>
        <v>Yes</v>
      </c>
      <c r="O466" s="2">
        <f>INDEX('Main Data'!$A$1:$O$1001,MATCH('Index&amp;Match'!$A466,'Main Data'!$A$1:$A$1001,0),MATCH('Index&amp;Match'!O465,'Main Data'!$A465:$O465,0))</f>
        <v>53</v>
      </c>
    </row>
    <row r="467" spans="1:15" x14ac:dyDescent="0.3">
      <c r="A467" s="2" t="s">
        <v>524</v>
      </c>
      <c r="B467" s="1">
        <f>INDEX('Main Data'!$A$1:$O$1001,MATCH('Index&amp;Match'!$A467,'Main Data'!$A$1:$A$1001,0),MATCH('Index&amp;Match'!B466,'Main Data'!$A466:$O466,0))</f>
        <v>46165</v>
      </c>
      <c r="C467" s="2" t="str">
        <f>INDEX('Main Data'!$A$1:$O$1001,MATCH('Index&amp;Match'!$A467,'Main Data'!$A$1:$A$1001,0),MATCH('Index&amp;Match'!C466,'Main Data'!$A466:$O466,0))</f>
        <v>Jamie</v>
      </c>
      <c r="D467" s="2" t="str">
        <f>INDEX('Main Data'!$A$1:$O$1001,MATCH('Index&amp;Match'!$A467,'Main Data'!$A$1:$A$1001,0),MATCH('Index&amp;Match'!D466,'Main Data'!$A466:$O466,0))</f>
        <v>BR-015</v>
      </c>
      <c r="E467" s="2" t="str">
        <f>INDEX('Main Data'!$A$1:$O$1001,MATCH('Index&amp;Match'!$A467,'Main Data'!$A$1:$A$1001,0),MATCH('Index&amp;Match'!E466,'Main Data'!$A466:$O466,0))</f>
        <v>West</v>
      </c>
      <c r="F467" s="2" t="str">
        <f>INDEX('Main Data'!$A$1:$O$1001,MATCH('Index&amp;Match'!$A467,'Main Data'!$A$1:$A$1001,0),MATCH('Index&amp;Match'!F466,'Main Data'!$A466:$O466,0))</f>
        <v>Personal Loan</v>
      </c>
      <c r="G467" s="2" t="str">
        <f>INDEX('Main Data'!$A$1:$O$1001,MATCH('Index&amp;Match'!$A467,'Main Data'!$A$1:$A$1001,0),MATCH('Index&amp;Match'!G466,'Main Data'!$A466:$O466,0))</f>
        <v>Website</v>
      </c>
      <c r="H467" s="2" t="str">
        <f>INDEX('Main Data'!$A$1:$O$1001,MATCH('Index&amp;Match'!$A467,'Main Data'!$A$1:$A$1001,0),MATCH('Index&amp;Match'!H466,'Main Data'!$A466:$O466,0))</f>
        <v>SME</v>
      </c>
      <c r="I467" s="2">
        <f>INDEX('Main Data'!$A$1:$O$1001,MATCH('Index&amp;Match'!$A467,'Main Data'!$A$1:$A$1001,0),MATCH('Index&amp;Match'!I466,'Main Data'!$A466:$O466,0))</f>
        <v>73</v>
      </c>
      <c r="J467" s="2">
        <f>INDEX('Main Data'!$A$1:$O$1001,MATCH('Index&amp;Match'!$A467,'Main Data'!$A$1:$A$1001,0),MATCH('Index&amp;Match'!J466,'Main Data'!$A466:$O466,0))</f>
        <v>73</v>
      </c>
      <c r="K467" s="11">
        <f>INDEX('Main Data'!$A$1:$O$1001,MATCH('Index&amp;Match'!$A467,'Main Data'!$A$1:$A$1001,0),MATCH('Index&amp;Match'!K466,'Main Data'!$A466:$O466,0))</f>
        <v>21208.12</v>
      </c>
      <c r="L467" s="11">
        <f>INDEX('Main Data'!$A$1:$O$1001,MATCH('Index&amp;Match'!$A467,'Main Data'!$A$1:$A$1001,0),MATCH('Index&amp;Match'!L466,'Main Data'!$A466:$O466,0))</f>
        <v>491.85</v>
      </c>
      <c r="M467" s="11">
        <f>INDEX('Main Data'!$A$1:$O$1001,MATCH('Index&amp;Match'!$A467,'Main Data'!$A$1:$A$1001,0),MATCH('Index&amp;Match'!M466,'Main Data'!$A466:$O466,0))</f>
        <v>199.26</v>
      </c>
      <c r="N467" s="2" t="str">
        <f>INDEX('Main Data'!$A$1:$O$1001,MATCH('Index&amp;Match'!$A467,'Main Data'!$A$1:$A$1001,0),MATCH('Index&amp;Match'!N466,'Main Data'!$A466:$O466,0))</f>
        <v>No</v>
      </c>
      <c r="O467" s="2">
        <f>INDEX('Main Data'!$A$1:$O$1001,MATCH('Index&amp;Match'!$A467,'Main Data'!$A$1:$A$1001,0),MATCH('Index&amp;Match'!O466,'Main Data'!$A466:$O466,0))</f>
        <v>73</v>
      </c>
    </row>
    <row r="468" spans="1:15" x14ac:dyDescent="0.3">
      <c r="A468" s="2" t="s">
        <v>525</v>
      </c>
      <c r="B468" s="1">
        <f>INDEX('Main Data'!$A$1:$O$1001,MATCH('Index&amp;Match'!$A468,'Main Data'!$A$1:$A$1001,0),MATCH('Index&amp;Match'!B467,'Main Data'!$A467:$O467,0))</f>
        <v>46206</v>
      </c>
      <c r="C468" s="2" t="str">
        <f>INDEX('Main Data'!$A$1:$O$1001,MATCH('Index&amp;Match'!$A468,'Main Data'!$A$1:$A$1001,0),MATCH('Index&amp;Match'!C467,'Main Data'!$A467:$O467,0))</f>
        <v>Drew</v>
      </c>
      <c r="D468" s="2" t="str">
        <f>INDEX('Main Data'!$A$1:$O$1001,MATCH('Index&amp;Match'!$A468,'Main Data'!$A$1:$A$1001,0),MATCH('Index&amp;Match'!D467,'Main Data'!$A467:$O467,0))</f>
        <v>BR-015</v>
      </c>
      <c r="E468" s="2" t="str">
        <f>INDEX('Main Data'!$A$1:$O$1001,MATCH('Index&amp;Match'!$A468,'Main Data'!$A$1:$A$1001,0),MATCH('Index&amp;Match'!E467,'Main Data'!$A467:$O467,0))</f>
        <v>West</v>
      </c>
      <c r="F468" s="2" t="str">
        <f>INDEX('Main Data'!$A$1:$O$1001,MATCH('Index&amp;Match'!$A468,'Main Data'!$A$1:$A$1001,0),MATCH('Index&amp;Match'!F467,'Main Data'!$A467:$O467,0))</f>
        <v>Credit Card</v>
      </c>
      <c r="G468" s="2" t="str">
        <f>INDEX('Main Data'!$A$1:$O$1001,MATCH('Index&amp;Match'!$A468,'Main Data'!$A$1:$A$1001,0),MATCH('Index&amp;Match'!G467,'Main Data'!$A467:$O467,0))</f>
        <v>Referral</v>
      </c>
      <c r="H468" s="2" t="str">
        <f>INDEX('Main Data'!$A$1:$O$1001,MATCH('Index&amp;Match'!$A468,'Main Data'!$A$1:$A$1001,0),MATCH('Index&amp;Match'!H467,'Main Data'!$A467:$O467,0))</f>
        <v>SME</v>
      </c>
      <c r="I468" s="2">
        <f>INDEX('Main Data'!$A$1:$O$1001,MATCH('Index&amp;Match'!$A468,'Main Data'!$A$1:$A$1001,0),MATCH('Index&amp;Match'!I467,'Main Data'!$A467:$O467,0))</f>
        <v>51</v>
      </c>
      <c r="J468" s="2">
        <f>INDEX('Main Data'!$A$1:$O$1001,MATCH('Index&amp;Match'!$A468,'Main Data'!$A$1:$A$1001,0),MATCH('Index&amp;Match'!J467,'Main Data'!$A467:$O467,0))</f>
        <v>51</v>
      </c>
      <c r="K468" s="11">
        <f>INDEX('Main Data'!$A$1:$O$1001,MATCH('Index&amp;Match'!$A468,'Main Data'!$A$1:$A$1001,0),MATCH('Index&amp;Match'!K467,'Main Data'!$A467:$O467,0))</f>
        <v>22497.58</v>
      </c>
      <c r="L468" s="11">
        <f>INDEX('Main Data'!$A$1:$O$1001,MATCH('Index&amp;Match'!$A468,'Main Data'!$A$1:$A$1001,0),MATCH('Index&amp;Match'!L467,'Main Data'!$A467:$O467,0))</f>
        <v>361</v>
      </c>
      <c r="M468" s="11">
        <f>INDEX('Main Data'!$A$1:$O$1001,MATCH('Index&amp;Match'!$A468,'Main Data'!$A$1:$A$1001,0),MATCH('Index&amp;Match'!M467,'Main Data'!$A467:$O467,0))</f>
        <v>169.11</v>
      </c>
      <c r="N468" s="2" t="str">
        <f>INDEX('Main Data'!$A$1:$O$1001,MATCH('Index&amp;Match'!$A468,'Main Data'!$A$1:$A$1001,0),MATCH('Index&amp;Match'!N467,'Main Data'!$A467:$O467,0))</f>
        <v>No</v>
      </c>
      <c r="O468" s="2">
        <f>INDEX('Main Data'!$A$1:$O$1001,MATCH('Index&amp;Match'!$A468,'Main Data'!$A$1:$A$1001,0),MATCH('Index&amp;Match'!O467,'Main Data'!$A467:$O467,0))</f>
        <v>51</v>
      </c>
    </row>
    <row r="469" spans="1:15" x14ac:dyDescent="0.3">
      <c r="A469" s="2" t="s">
        <v>526</v>
      </c>
      <c r="B469" s="1">
        <f>INDEX('Main Data'!$A$1:$O$1001,MATCH('Index&amp;Match'!$A469,'Main Data'!$A$1:$A$1001,0),MATCH('Index&amp;Match'!B468,'Main Data'!$A468:$O468,0))</f>
        <v>46225</v>
      </c>
      <c r="C469" s="2" t="str">
        <f>INDEX('Main Data'!$A$1:$O$1001,MATCH('Index&amp;Match'!$A469,'Main Data'!$A$1:$A$1001,0),MATCH('Index&amp;Match'!C468,'Main Data'!$A468:$O468,0))</f>
        <v>Alex</v>
      </c>
      <c r="D469" s="2" t="str">
        <f>INDEX('Main Data'!$A$1:$O$1001,MATCH('Index&amp;Match'!$A469,'Main Data'!$A$1:$A$1001,0),MATCH('Index&amp;Match'!D468,'Main Data'!$A468:$O468,0))</f>
        <v>BR-001</v>
      </c>
      <c r="E469" s="2" t="str">
        <f>INDEX('Main Data'!$A$1:$O$1001,MATCH('Index&amp;Match'!$A469,'Main Data'!$A$1:$A$1001,0),MATCH('Index&amp;Match'!E468,'Main Data'!$A468:$O468,0))</f>
        <v>Central</v>
      </c>
      <c r="F469" s="2" t="str">
        <f>INDEX('Main Data'!$A$1:$O$1001,MATCH('Index&amp;Match'!$A469,'Main Data'!$A$1:$A$1001,0),MATCH('Index&amp;Match'!F468,'Main Data'!$A468:$O468,0))</f>
        <v>Wealth Management</v>
      </c>
      <c r="G469" s="2" t="str">
        <f>INDEX('Main Data'!$A$1:$O$1001,MATCH('Index&amp;Match'!$A469,'Main Data'!$A$1:$A$1001,0),MATCH('Index&amp;Match'!G468,'Main Data'!$A468:$O468,0))</f>
        <v>Walk-in</v>
      </c>
      <c r="H469" s="2" t="str">
        <f>INDEX('Main Data'!$A$1:$O$1001,MATCH('Index&amp;Match'!$A469,'Main Data'!$A$1:$A$1001,0),MATCH('Index&amp;Match'!H468,'Main Data'!$A468:$O468,0))</f>
        <v>High Net Worth</v>
      </c>
      <c r="I469" s="2">
        <f>INDEX('Main Data'!$A$1:$O$1001,MATCH('Index&amp;Match'!$A469,'Main Data'!$A$1:$A$1001,0),MATCH('Index&amp;Match'!I468,'Main Data'!$A468:$O468,0))</f>
        <v>55</v>
      </c>
      <c r="J469" s="2">
        <f>INDEX('Main Data'!$A$1:$O$1001,MATCH('Index&amp;Match'!$A469,'Main Data'!$A$1:$A$1001,0),MATCH('Index&amp;Match'!J468,'Main Data'!$A468:$O468,0))</f>
        <v>55</v>
      </c>
      <c r="K469" s="11">
        <f>INDEX('Main Data'!$A$1:$O$1001,MATCH('Index&amp;Match'!$A469,'Main Data'!$A$1:$A$1001,0),MATCH('Index&amp;Match'!K468,'Main Data'!$A468:$O468,0))</f>
        <v>15512.51</v>
      </c>
      <c r="L469" s="11">
        <f>INDEX('Main Data'!$A$1:$O$1001,MATCH('Index&amp;Match'!$A469,'Main Data'!$A$1:$A$1001,0),MATCH('Index&amp;Match'!L468,'Main Data'!$A468:$O468,0))</f>
        <v>447.44</v>
      </c>
      <c r="M469" s="11">
        <f>INDEX('Main Data'!$A$1:$O$1001,MATCH('Index&amp;Match'!$A469,'Main Data'!$A$1:$A$1001,0),MATCH('Index&amp;Match'!M468,'Main Data'!$A468:$O468,0))</f>
        <v>183.28</v>
      </c>
      <c r="N469" s="2" t="str">
        <f>INDEX('Main Data'!$A$1:$O$1001,MATCH('Index&amp;Match'!$A469,'Main Data'!$A$1:$A$1001,0),MATCH('Index&amp;Match'!N468,'Main Data'!$A468:$O468,0))</f>
        <v>No</v>
      </c>
      <c r="O469" s="2">
        <f>INDEX('Main Data'!$A$1:$O$1001,MATCH('Index&amp;Match'!$A469,'Main Data'!$A$1:$A$1001,0),MATCH('Index&amp;Match'!O468,'Main Data'!$A468:$O468,0))</f>
        <v>55</v>
      </c>
    </row>
    <row r="470" spans="1:15" x14ac:dyDescent="0.3">
      <c r="A470" s="2" t="s">
        <v>527</v>
      </c>
      <c r="B470" s="1">
        <f>INDEX('Main Data'!$A$1:$O$1001,MATCH('Index&amp;Match'!$A470,'Main Data'!$A$1:$A$1001,0),MATCH('Index&amp;Match'!B469,'Main Data'!$A469:$O469,0))</f>
        <v>45896</v>
      </c>
      <c r="C470" s="2" t="str">
        <f>INDEX('Main Data'!$A$1:$O$1001,MATCH('Index&amp;Match'!$A470,'Main Data'!$A$1:$A$1001,0),MATCH('Index&amp;Match'!C469,'Main Data'!$A469:$O469,0))</f>
        <v>Casey</v>
      </c>
      <c r="D470" s="2" t="str">
        <f>INDEX('Main Data'!$A$1:$O$1001,MATCH('Index&amp;Match'!$A470,'Main Data'!$A$1:$A$1001,0),MATCH('Index&amp;Match'!D469,'Main Data'!$A469:$O469,0))</f>
        <v>BR-009</v>
      </c>
      <c r="E470" s="2" t="str">
        <f>INDEX('Main Data'!$A$1:$O$1001,MATCH('Index&amp;Match'!$A470,'Main Data'!$A$1:$A$1001,0),MATCH('Index&amp;Match'!E469,'Main Data'!$A469:$O469,0))</f>
        <v>East</v>
      </c>
      <c r="F470" s="2" t="str">
        <f>INDEX('Main Data'!$A$1:$O$1001,MATCH('Index&amp;Match'!$A470,'Main Data'!$A$1:$A$1001,0),MATCH('Index&amp;Match'!F469,'Main Data'!$A469:$O469,0))</f>
        <v>Mortgage</v>
      </c>
      <c r="G470" s="2" t="str">
        <f>INDEX('Main Data'!$A$1:$O$1001,MATCH('Index&amp;Match'!$A470,'Main Data'!$A$1:$A$1001,0),MATCH('Index&amp;Match'!G469,'Main Data'!$A469:$O469,0))</f>
        <v>Social Media</v>
      </c>
      <c r="H470" s="2" t="str">
        <f>INDEX('Main Data'!$A$1:$O$1001,MATCH('Index&amp;Match'!$A470,'Main Data'!$A$1:$A$1001,0),MATCH('Index&amp;Match'!H469,'Main Data'!$A469:$O469,0))</f>
        <v>Corporate</v>
      </c>
      <c r="I470" s="2">
        <f>INDEX('Main Data'!$A$1:$O$1001,MATCH('Index&amp;Match'!$A470,'Main Data'!$A$1:$A$1001,0),MATCH('Index&amp;Match'!I469,'Main Data'!$A469:$O469,0))</f>
        <v>37</v>
      </c>
      <c r="J470" s="2">
        <f>INDEX('Main Data'!$A$1:$O$1001,MATCH('Index&amp;Match'!$A470,'Main Data'!$A$1:$A$1001,0),MATCH('Index&amp;Match'!J469,'Main Data'!$A469:$O469,0))</f>
        <v>37</v>
      </c>
      <c r="K470" s="11">
        <f>INDEX('Main Data'!$A$1:$O$1001,MATCH('Index&amp;Match'!$A470,'Main Data'!$A$1:$A$1001,0),MATCH('Index&amp;Match'!K469,'Main Data'!$A469:$O469,0))</f>
        <v>35972.01</v>
      </c>
      <c r="L470" s="11">
        <f>INDEX('Main Data'!$A$1:$O$1001,MATCH('Index&amp;Match'!$A470,'Main Data'!$A$1:$A$1001,0),MATCH('Index&amp;Match'!L469,'Main Data'!$A469:$O469,0))</f>
        <v>476.69</v>
      </c>
      <c r="M470" s="11">
        <f>INDEX('Main Data'!$A$1:$O$1001,MATCH('Index&amp;Match'!$A470,'Main Data'!$A$1:$A$1001,0),MATCH('Index&amp;Match'!M469,'Main Data'!$A469:$O469,0))</f>
        <v>8.02</v>
      </c>
      <c r="N470" s="2" t="str">
        <f>INDEX('Main Data'!$A$1:$O$1001,MATCH('Index&amp;Match'!$A470,'Main Data'!$A$1:$A$1001,0),MATCH('Index&amp;Match'!N469,'Main Data'!$A469:$O469,0))</f>
        <v>Yes</v>
      </c>
      <c r="O470" s="2">
        <f>INDEX('Main Data'!$A$1:$O$1001,MATCH('Index&amp;Match'!$A470,'Main Data'!$A$1:$A$1001,0),MATCH('Index&amp;Match'!O469,'Main Data'!$A469:$O469,0))</f>
        <v>37</v>
      </c>
    </row>
    <row r="471" spans="1:15" x14ac:dyDescent="0.3">
      <c r="A471" s="2" t="s">
        <v>528</v>
      </c>
      <c r="B471" s="1">
        <f>INDEX('Main Data'!$A$1:$O$1001,MATCH('Index&amp;Match'!$A471,'Main Data'!$A$1:$A$1001,0),MATCH('Index&amp;Match'!B470,'Main Data'!$A470:$O470,0))</f>
        <v>45931</v>
      </c>
      <c r="C471" s="2" t="str">
        <f>INDEX('Main Data'!$A$1:$O$1001,MATCH('Index&amp;Match'!$A471,'Main Data'!$A$1:$A$1001,0),MATCH('Index&amp;Match'!C470,'Main Data'!$A470:$O470,0))</f>
        <v>Morgan</v>
      </c>
      <c r="D471" s="2" t="str">
        <f>INDEX('Main Data'!$A$1:$O$1001,MATCH('Index&amp;Match'!$A471,'Main Data'!$A$1:$A$1001,0),MATCH('Index&amp;Match'!D470,'Main Data'!$A470:$O470,0))</f>
        <v>BR-001</v>
      </c>
      <c r="E471" s="2" t="str">
        <f>INDEX('Main Data'!$A$1:$O$1001,MATCH('Index&amp;Match'!$A471,'Main Data'!$A$1:$A$1001,0),MATCH('Index&amp;Match'!E470,'Main Data'!$A470:$O470,0))</f>
        <v>South</v>
      </c>
      <c r="F471" s="2" t="str">
        <f>INDEX('Main Data'!$A$1:$O$1001,MATCH('Index&amp;Match'!$A471,'Main Data'!$A$1:$A$1001,0),MATCH('Index&amp;Match'!F470,'Main Data'!$A470:$O470,0))</f>
        <v>Credit Card</v>
      </c>
      <c r="G471" s="2" t="str">
        <f>INDEX('Main Data'!$A$1:$O$1001,MATCH('Index&amp;Match'!$A471,'Main Data'!$A$1:$A$1001,0),MATCH('Index&amp;Match'!G470,'Main Data'!$A470:$O470,0))</f>
        <v>Walk-in</v>
      </c>
      <c r="H471" s="2" t="str">
        <f>INDEX('Main Data'!$A$1:$O$1001,MATCH('Index&amp;Match'!$A471,'Main Data'!$A$1:$A$1001,0),MATCH('Index&amp;Match'!H470,'Main Data'!$A470:$O470,0))</f>
        <v>SME</v>
      </c>
      <c r="I471" s="2">
        <f>INDEX('Main Data'!$A$1:$O$1001,MATCH('Index&amp;Match'!$A471,'Main Data'!$A$1:$A$1001,0),MATCH('Index&amp;Match'!I470,'Main Data'!$A470:$O470,0))</f>
        <v>48</v>
      </c>
      <c r="J471" s="2">
        <f>INDEX('Main Data'!$A$1:$O$1001,MATCH('Index&amp;Match'!$A471,'Main Data'!$A$1:$A$1001,0),MATCH('Index&amp;Match'!J470,'Main Data'!$A470:$O470,0))</f>
        <v>48</v>
      </c>
      <c r="K471" s="11">
        <f>INDEX('Main Data'!$A$1:$O$1001,MATCH('Index&amp;Match'!$A471,'Main Data'!$A$1:$A$1001,0),MATCH('Index&amp;Match'!K470,'Main Data'!$A470:$O470,0))</f>
        <v>18253.740000000002</v>
      </c>
      <c r="L471" s="11">
        <f>INDEX('Main Data'!$A$1:$O$1001,MATCH('Index&amp;Match'!$A471,'Main Data'!$A$1:$A$1001,0),MATCH('Index&amp;Match'!L470,'Main Data'!$A470:$O470,0))</f>
        <v>269.04000000000002</v>
      </c>
      <c r="M471" s="11">
        <f>INDEX('Main Data'!$A$1:$O$1001,MATCH('Index&amp;Match'!$A471,'Main Data'!$A$1:$A$1001,0),MATCH('Index&amp;Match'!M470,'Main Data'!$A470:$O470,0))</f>
        <v>180.29</v>
      </c>
      <c r="N471" s="2" t="str">
        <f>INDEX('Main Data'!$A$1:$O$1001,MATCH('Index&amp;Match'!$A471,'Main Data'!$A$1:$A$1001,0),MATCH('Index&amp;Match'!N470,'Main Data'!$A470:$O470,0))</f>
        <v>Yes</v>
      </c>
      <c r="O471" s="2">
        <f>INDEX('Main Data'!$A$1:$O$1001,MATCH('Index&amp;Match'!$A471,'Main Data'!$A$1:$A$1001,0),MATCH('Index&amp;Match'!O470,'Main Data'!$A470:$O470,0))</f>
        <v>48</v>
      </c>
    </row>
    <row r="472" spans="1:15" x14ac:dyDescent="0.3">
      <c r="A472" s="2" t="s">
        <v>529</v>
      </c>
      <c r="B472" s="1">
        <f>INDEX('Main Data'!$A$1:$O$1001,MATCH('Index&amp;Match'!$A472,'Main Data'!$A$1:$A$1001,0),MATCH('Index&amp;Match'!B471,'Main Data'!$A471:$O471,0))</f>
        <v>46194</v>
      </c>
      <c r="C472" s="2" t="str">
        <f>INDEX('Main Data'!$A$1:$O$1001,MATCH('Index&amp;Match'!$A472,'Main Data'!$A$1:$A$1001,0),MATCH('Index&amp;Match'!C471,'Main Data'!$A471:$O471,0))</f>
        <v>Casey</v>
      </c>
      <c r="D472" s="2" t="str">
        <f>INDEX('Main Data'!$A$1:$O$1001,MATCH('Index&amp;Match'!$A472,'Main Data'!$A$1:$A$1001,0),MATCH('Index&amp;Match'!D471,'Main Data'!$A471:$O471,0))</f>
        <v>BR-001</v>
      </c>
      <c r="E472" s="2" t="str">
        <f>INDEX('Main Data'!$A$1:$O$1001,MATCH('Index&amp;Match'!$A472,'Main Data'!$A$1:$A$1001,0),MATCH('Index&amp;Match'!E471,'Main Data'!$A471:$O471,0))</f>
        <v>East</v>
      </c>
      <c r="F472" s="2" t="str">
        <f>INDEX('Main Data'!$A$1:$O$1001,MATCH('Index&amp;Match'!$A472,'Main Data'!$A$1:$A$1001,0),MATCH('Index&amp;Match'!F471,'Main Data'!$A471:$O471,0))</f>
        <v>Wealth Management</v>
      </c>
      <c r="G472" s="2" t="str">
        <f>INDEX('Main Data'!$A$1:$O$1001,MATCH('Index&amp;Match'!$A472,'Main Data'!$A$1:$A$1001,0),MATCH('Index&amp;Match'!G471,'Main Data'!$A471:$O471,0))</f>
        <v>Social Media</v>
      </c>
      <c r="H472" s="2" t="str">
        <f>INDEX('Main Data'!$A$1:$O$1001,MATCH('Index&amp;Match'!$A472,'Main Data'!$A$1:$A$1001,0),MATCH('Index&amp;Match'!H471,'Main Data'!$A471:$O471,0))</f>
        <v>Corporate</v>
      </c>
      <c r="I472" s="2">
        <f>INDEX('Main Data'!$A$1:$O$1001,MATCH('Index&amp;Match'!$A472,'Main Data'!$A$1:$A$1001,0),MATCH('Index&amp;Match'!I471,'Main Data'!$A471:$O471,0))</f>
        <v>39</v>
      </c>
      <c r="J472" s="2">
        <f>INDEX('Main Data'!$A$1:$O$1001,MATCH('Index&amp;Match'!$A472,'Main Data'!$A$1:$A$1001,0),MATCH('Index&amp;Match'!J471,'Main Data'!$A471:$O471,0))</f>
        <v>39</v>
      </c>
      <c r="K472" s="11">
        <f>INDEX('Main Data'!$A$1:$O$1001,MATCH('Index&amp;Match'!$A472,'Main Data'!$A$1:$A$1001,0),MATCH('Index&amp;Match'!K471,'Main Data'!$A471:$O471,0))</f>
        <v>13755.73</v>
      </c>
      <c r="L472" s="11">
        <f>INDEX('Main Data'!$A$1:$O$1001,MATCH('Index&amp;Match'!$A472,'Main Data'!$A$1:$A$1001,0),MATCH('Index&amp;Match'!L471,'Main Data'!$A471:$O471,0))</f>
        <v>366.05</v>
      </c>
      <c r="M472" s="11">
        <f>INDEX('Main Data'!$A$1:$O$1001,MATCH('Index&amp;Match'!$A472,'Main Data'!$A$1:$A$1001,0),MATCH('Index&amp;Match'!M471,'Main Data'!$A471:$O471,0))</f>
        <v>111.49</v>
      </c>
      <c r="N472" s="2" t="str">
        <f>INDEX('Main Data'!$A$1:$O$1001,MATCH('Index&amp;Match'!$A472,'Main Data'!$A$1:$A$1001,0),MATCH('Index&amp;Match'!N471,'Main Data'!$A471:$O471,0))</f>
        <v>No</v>
      </c>
      <c r="O472" s="2">
        <f>INDEX('Main Data'!$A$1:$O$1001,MATCH('Index&amp;Match'!$A472,'Main Data'!$A$1:$A$1001,0),MATCH('Index&amp;Match'!O471,'Main Data'!$A471:$O471,0))</f>
        <v>39</v>
      </c>
    </row>
    <row r="473" spans="1:15" x14ac:dyDescent="0.3">
      <c r="A473" s="2" t="s">
        <v>530</v>
      </c>
      <c r="B473" s="1">
        <f>INDEX('Main Data'!$A$1:$O$1001,MATCH('Index&amp;Match'!$A473,'Main Data'!$A$1:$A$1001,0),MATCH('Index&amp;Match'!B472,'Main Data'!$A472:$O472,0))</f>
        <v>46005</v>
      </c>
      <c r="C473" s="2" t="str">
        <f>INDEX('Main Data'!$A$1:$O$1001,MATCH('Index&amp;Match'!$A473,'Main Data'!$A$1:$A$1001,0),MATCH('Index&amp;Match'!C472,'Main Data'!$A472:$O472,0))</f>
        <v>Drew</v>
      </c>
      <c r="D473" s="2" t="str">
        <f>INDEX('Main Data'!$A$1:$O$1001,MATCH('Index&amp;Match'!$A473,'Main Data'!$A$1:$A$1001,0),MATCH('Index&amp;Match'!D472,'Main Data'!$A472:$O472,0))</f>
        <v>BR-015</v>
      </c>
      <c r="E473" s="2" t="str">
        <f>INDEX('Main Data'!$A$1:$O$1001,MATCH('Index&amp;Match'!$A473,'Main Data'!$A$1:$A$1001,0),MATCH('Index&amp;Match'!E472,'Main Data'!$A472:$O472,0))</f>
        <v>South</v>
      </c>
      <c r="F473" s="2" t="str">
        <f>INDEX('Main Data'!$A$1:$O$1001,MATCH('Index&amp;Match'!$A473,'Main Data'!$A$1:$A$1001,0),MATCH('Index&amp;Match'!F472,'Main Data'!$A472:$O472,0))</f>
        <v>Wealth Management</v>
      </c>
      <c r="G473" s="2" t="str">
        <f>INDEX('Main Data'!$A$1:$O$1001,MATCH('Index&amp;Match'!$A473,'Main Data'!$A$1:$A$1001,0),MATCH('Index&amp;Match'!G472,'Main Data'!$A472:$O472,0))</f>
        <v>Email Campaign</v>
      </c>
      <c r="H473" s="2" t="str">
        <f>INDEX('Main Data'!$A$1:$O$1001,MATCH('Index&amp;Match'!$A473,'Main Data'!$A$1:$A$1001,0),MATCH('Index&amp;Match'!H472,'Main Data'!$A472:$O472,0))</f>
        <v>High Net Worth</v>
      </c>
      <c r="I473" s="2">
        <f>INDEX('Main Data'!$A$1:$O$1001,MATCH('Index&amp;Match'!$A473,'Main Data'!$A$1:$A$1001,0),MATCH('Index&amp;Match'!I472,'Main Data'!$A472:$O472,0))</f>
        <v>66</v>
      </c>
      <c r="J473" s="2">
        <f>INDEX('Main Data'!$A$1:$O$1001,MATCH('Index&amp;Match'!$A473,'Main Data'!$A$1:$A$1001,0),MATCH('Index&amp;Match'!J472,'Main Data'!$A472:$O472,0))</f>
        <v>66</v>
      </c>
      <c r="K473" s="11">
        <f>INDEX('Main Data'!$A$1:$O$1001,MATCH('Index&amp;Match'!$A473,'Main Data'!$A$1:$A$1001,0),MATCH('Index&amp;Match'!K472,'Main Data'!$A472:$O472,0))</f>
        <v>21895.439999999999</v>
      </c>
      <c r="L473" s="11">
        <f>INDEX('Main Data'!$A$1:$O$1001,MATCH('Index&amp;Match'!$A473,'Main Data'!$A$1:$A$1001,0),MATCH('Index&amp;Match'!L472,'Main Data'!$A472:$O472,0))</f>
        <v>433.39</v>
      </c>
      <c r="M473" s="11">
        <f>INDEX('Main Data'!$A$1:$O$1001,MATCH('Index&amp;Match'!$A473,'Main Data'!$A$1:$A$1001,0),MATCH('Index&amp;Match'!M472,'Main Data'!$A472:$O472,0))</f>
        <v>260.55</v>
      </c>
      <c r="N473" s="2" t="str">
        <f>INDEX('Main Data'!$A$1:$O$1001,MATCH('Index&amp;Match'!$A473,'Main Data'!$A$1:$A$1001,0),MATCH('Index&amp;Match'!N472,'Main Data'!$A472:$O472,0))</f>
        <v>Yes</v>
      </c>
      <c r="O473" s="2">
        <f>INDEX('Main Data'!$A$1:$O$1001,MATCH('Index&amp;Match'!$A473,'Main Data'!$A$1:$A$1001,0),MATCH('Index&amp;Match'!O472,'Main Data'!$A472:$O472,0))</f>
        <v>66</v>
      </c>
    </row>
    <row r="474" spans="1:15" x14ac:dyDescent="0.3">
      <c r="A474" s="2" t="s">
        <v>531</v>
      </c>
      <c r="B474" s="1">
        <f>INDEX('Main Data'!$A$1:$O$1001,MATCH('Index&amp;Match'!$A474,'Main Data'!$A$1:$A$1001,0),MATCH('Index&amp;Match'!B473,'Main Data'!$A473:$O473,0))</f>
        <v>45889</v>
      </c>
      <c r="C474" s="2" t="str">
        <f>INDEX('Main Data'!$A$1:$O$1001,MATCH('Index&amp;Match'!$A474,'Main Data'!$A$1:$A$1001,0),MATCH('Index&amp;Match'!C473,'Main Data'!$A473:$O473,0))</f>
        <v>Taylor</v>
      </c>
      <c r="D474" s="2" t="str">
        <f>INDEX('Main Data'!$A$1:$O$1001,MATCH('Index&amp;Match'!$A474,'Main Data'!$A$1:$A$1001,0),MATCH('Index&amp;Match'!D473,'Main Data'!$A473:$O473,0))</f>
        <v>BR-007</v>
      </c>
      <c r="E474" s="2" t="str">
        <f>INDEX('Main Data'!$A$1:$O$1001,MATCH('Index&amp;Match'!$A474,'Main Data'!$A$1:$A$1001,0),MATCH('Index&amp;Match'!E473,'Main Data'!$A473:$O473,0))</f>
        <v>Central</v>
      </c>
      <c r="F474" s="2" t="str">
        <f>INDEX('Main Data'!$A$1:$O$1001,MATCH('Index&amp;Match'!$A474,'Main Data'!$A$1:$A$1001,0),MATCH('Index&amp;Match'!F473,'Main Data'!$A473:$O473,0))</f>
        <v>Auto Loan</v>
      </c>
      <c r="G474" s="2" t="str">
        <f>INDEX('Main Data'!$A$1:$O$1001,MATCH('Index&amp;Match'!$A474,'Main Data'!$A$1:$A$1001,0),MATCH('Index&amp;Match'!G473,'Main Data'!$A473:$O473,0))</f>
        <v>Email Campaign</v>
      </c>
      <c r="H474" s="2" t="str">
        <f>INDEX('Main Data'!$A$1:$O$1001,MATCH('Index&amp;Match'!$A474,'Main Data'!$A$1:$A$1001,0),MATCH('Index&amp;Match'!H473,'Main Data'!$A473:$O473,0))</f>
        <v>Corporate</v>
      </c>
      <c r="I474" s="2">
        <f>INDEX('Main Data'!$A$1:$O$1001,MATCH('Index&amp;Match'!$A474,'Main Data'!$A$1:$A$1001,0),MATCH('Index&amp;Match'!I473,'Main Data'!$A473:$O473,0))</f>
        <v>74</v>
      </c>
      <c r="J474" s="2">
        <f>INDEX('Main Data'!$A$1:$O$1001,MATCH('Index&amp;Match'!$A474,'Main Data'!$A$1:$A$1001,0),MATCH('Index&amp;Match'!J473,'Main Data'!$A473:$O473,0))</f>
        <v>74</v>
      </c>
      <c r="K474" s="11">
        <f>INDEX('Main Data'!$A$1:$O$1001,MATCH('Index&amp;Match'!$A474,'Main Data'!$A$1:$A$1001,0),MATCH('Index&amp;Match'!K473,'Main Data'!$A473:$O473,0))</f>
        <v>5028.63</v>
      </c>
      <c r="L474" s="11">
        <f>INDEX('Main Data'!$A$1:$O$1001,MATCH('Index&amp;Match'!$A474,'Main Data'!$A$1:$A$1001,0),MATCH('Index&amp;Match'!L473,'Main Data'!$A473:$O473,0))</f>
        <v>210.47</v>
      </c>
      <c r="M474" s="11">
        <f>INDEX('Main Data'!$A$1:$O$1001,MATCH('Index&amp;Match'!$A474,'Main Data'!$A$1:$A$1001,0),MATCH('Index&amp;Match'!M473,'Main Data'!$A473:$O473,0))</f>
        <v>166.89</v>
      </c>
      <c r="N474" s="2" t="str">
        <f>INDEX('Main Data'!$A$1:$O$1001,MATCH('Index&amp;Match'!$A474,'Main Data'!$A$1:$A$1001,0),MATCH('Index&amp;Match'!N473,'Main Data'!$A473:$O473,0))</f>
        <v>Yes</v>
      </c>
      <c r="O474" s="2">
        <f>INDEX('Main Data'!$A$1:$O$1001,MATCH('Index&amp;Match'!$A474,'Main Data'!$A$1:$A$1001,0),MATCH('Index&amp;Match'!O473,'Main Data'!$A473:$O473,0))</f>
        <v>74</v>
      </c>
    </row>
    <row r="475" spans="1:15" x14ac:dyDescent="0.3">
      <c r="A475" s="2" t="s">
        <v>532</v>
      </c>
      <c r="B475" s="1">
        <f>INDEX('Main Data'!$A$1:$O$1001,MATCH('Index&amp;Match'!$A475,'Main Data'!$A$1:$A$1001,0),MATCH('Index&amp;Match'!B474,'Main Data'!$A474:$O474,0))</f>
        <v>46005</v>
      </c>
      <c r="C475" s="2" t="str">
        <f>INDEX('Main Data'!$A$1:$O$1001,MATCH('Index&amp;Match'!$A475,'Main Data'!$A$1:$A$1001,0),MATCH('Index&amp;Match'!C474,'Main Data'!$A474:$O474,0))</f>
        <v>Morgan</v>
      </c>
      <c r="D475" s="2" t="str">
        <f>INDEX('Main Data'!$A$1:$O$1001,MATCH('Index&amp;Match'!$A475,'Main Data'!$A$1:$A$1001,0),MATCH('Index&amp;Match'!D474,'Main Data'!$A474:$O474,0))</f>
        <v>BR-002</v>
      </c>
      <c r="E475" s="2" t="str">
        <f>INDEX('Main Data'!$A$1:$O$1001,MATCH('Index&amp;Match'!$A475,'Main Data'!$A$1:$A$1001,0),MATCH('Index&amp;Match'!E474,'Main Data'!$A474:$O474,0))</f>
        <v>South</v>
      </c>
      <c r="F475" s="2" t="str">
        <f>INDEX('Main Data'!$A$1:$O$1001,MATCH('Index&amp;Match'!$A475,'Main Data'!$A$1:$A$1001,0),MATCH('Index&amp;Match'!F474,'Main Data'!$A474:$O474,0))</f>
        <v>Auto Loan</v>
      </c>
      <c r="G475" s="2" t="str">
        <f>INDEX('Main Data'!$A$1:$O$1001,MATCH('Index&amp;Match'!$A475,'Main Data'!$A$1:$A$1001,0),MATCH('Index&amp;Match'!G474,'Main Data'!$A474:$O474,0))</f>
        <v>Social Media</v>
      </c>
      <c r="H475" s="2" t="str">
        <f>INDEX('Main Data'!$A$1:$O$1001,MATCH('Index&amp;Match'!$A475,'Main Data'!$A$1:$A$1001,0),MATCH('Index&amp;Match'!H474,'Main Data'!$A474:$O474,0))</f>
        <v>High Net Worth</v>
      </c>
      <c r="I475" s="2">
        <f>INDEX('Main Data'!$A$1:$O$1001,MATCH('Index&amp;Match'!$A475,'Main Data'!$A$1:$A$1001,0),MATCH('Index&amp;Match'!I474,'Main Data'!$A474:$O474,0))</f>
        <v>43</v>
      </c>
      <c r="J475" s="2">
        <f>INDEX('Main Data'!$A$1:$O$1001,MATCH('Index&amp;Match'!$A475,'Main Data'!$A$1:$A$1001,0),MATCH('Index&amp;Match'!J474,'Main Data'!$A474:$O474,0))</f>
        <v>43</v>
      </c>
      <c r="K475" s="11">
        <f>INDEX('Main Data'!$A$1:$O$1001,MATCH('Index&amp;Match'!$A475,'Main Data'!$A$1:$A$1001,0),MATCH('Index&amp;Match'!K474,'Main Data'!$A474:$O474,0))</f>
        <v>37456.86</v>
      </c>
      <c r="L475" s="11">
        <f>INDEX('Main Data'!$A$1:$O$1001,MATCH('Index&amp;Match'!$A475,'Main Data'!$A$1:$A$1001,0),MATCH('Index&amp;Match'!L474,'Main Data'!$A474:$O474,0))</f>
        <v>167.63</v>
      </c>
      <c r="M475" s="11">
        <f>INDEX('Main Data'!$A$1:$O$1001,MATCH('Index&amp;Match'!$A475,'Main Data'!$A$1:$A$1001,0),MATCH('Index&amp;Match'!M474,'Main Data'!$A474:$O474,0))</f>
        <v>249.9</v>
      </c>
      <c r="N475" s="2" t="str">
        <f>INDEX('Main Data'!$A$1:$O$1001,MATCH('Index&amp;Match'!$A475,'Main Data'!$A$1:$A$1001,0),MATCH('Index&amp;Match'!N474,'Main Data'!$A474:$O474,0))</f>
        <v>Yes</v>
      </c>
      <c r="O475" s="2">
        <f>INDEX('Main Data'!$A$1:$O$1001,MATCH('Index&amp;Match'!$A475,'Main Data'!$A$1:$A$1001,0),MATCH('Index&amp;Match'!O474,'Main Data'!$A474:$O474,0))</f>
        <v>43</v>
      </c>
    </row>
    <row r="476" spans="1:15" x14ac:dyDescent="0.3">
      <c r="A476" s="2" t="s">
        <v>533</v>
      </c>
      <c r="B476" s="1">
        <f>INDEX('Main Data'!$A$1:$O$1001,MATCH('Index&amp;Match'!$A476,'Main Data'!$A$1:$A$1001,0),MATCH('Index&amp;Match'!B475,'Main Data'!$A475:$O475,0))</f>
        <v>46052</v>
      </c>
      <c r="C476" s="2" t="str">
        <f>INDEX('Main Data'!$A$1:$O$1001,MATCH('Index&amp;Match'!$A476,'Main Data'!$A$1:$A$1001,0),MATCH('Index&amp;Match'!C475,'Main Data'!$A475:$O475,0))</f>
        <v>Taylor</v>
      </c>
      <c r="D476" s="2" t="str">
        <f>INDEX('Main Data'!$A$1:$O$1001,MATCH('Index&amp;Match'!$A476,'Main Data'!$A$1:$A$1001,0),MATCH('Index&amp;Match'!D475,'Main Data'!$A475:$O475,0))</f>
        <v>BR-014</v>
      </c>
      <c r="E476" s="2" t="str">
        <f>INDEX('Main Data'!$A$1:$O$1001,MATCH('Index&amp;Match'!$A476,'Main Data'!$A$1:$A$1001,0),MATCH('Index&amp;Match'!E475,'Main Data'!$A475:$O475,0))</f>
        <v>West</v>
      </c>
      <c r="F476" s="2" t="str">
        <f>INDEX('Main Data'!$A$1:$O$1001,MATCH('Index&amp;Match'!$A476,'Main Data'!$A$1:$A$1001,0),MATCH('Index&amp;Match'!F475,'Main Data'!$A475:$O475,0))</f>
        <v>Auto Loan</v>
      </c>
      <c r="G476" s="2" t="str">
        <f>INDEX('Main Data'!$A$1:$O$1001,MATCH('Index&amp;Match'!$A476,'Main Data'!$A$1:$A$1001,0),MATCH('Index&amp;Match'!G475,'Main Data'!$A475:$O475,0))</f>
        <v>Referral</v>
      </c>
      <c r="H476" s="2" t="str">
        <f>INDEX('Main Data'!$A$1:$O$1001,MATCH('Index&amp;Match'!$A476,'Main Data'!$A$1:$A$1001,0),MATCH('Index&amp;Match'!H475,'Main Data'!$A475:$O475,0))</f>
        <v>Retail</v>
      </c>
      <c r="I476" s="2">
        <f>INDEX('Main Data'!$A$1:$O$1001,MATCH('Index&amp;Match'!$A476,'Main Data'!$A$1:$A$1001,0),MATCH('Index&amp;Match'!I475,'Main Data'!$A475:$O475,0))</f>
        <v>52</v>
      </c>
      <c r="J476" s="2">
        <f>INDEX('Main Data'!$A$1:$O$1001,MATCH('Index&amp;Match'!$A476,'Main Data'!$A$1:$A$1001,0),MATCH('Index&amp;Match'!J475,'Main Data'!$A475:$O475,0))</f>
        <v>52</v>
      </c>
      <c r="K476" s="11">
        <f>INDEX('Main Data'!$A$1:$O$1001,MATCH('Index&amp;Match'!$A476,'Main Data'!$A$1:$A$1001,0),MATCH('Index&amp;Match'!K475,'Main Data'!$A475:$O475,0))</f>
        <v>1123.52</v>
      </c>
      <c r="L476" s="11">
        <f>INDEX('Main Data'!$A$1:$O$1001,MATCH('Index&amp;Match'!$A476,'Main Data'!$A$1:$A$1001,0),MATCH('Index&amp;Match'!L475,'Main Data'!$A475:$O475,0))</f>
        <v>475.97</v>
      </c>
      <c r="M476" s="11">
        <f>INDEX('Main Data'!$A$1:$O$1001,MATCH('Index&amp;Match'!$A476,'Main Data'!$A$1:$A$1001,0),MATCH('Index&amp;Match'!M475,'Main Data'!$A475:$O475,0))</f>
        <v>139.63</v>
      </c>
      <c r="N476" s="2" t="str">
        <f>INDEX('Main Data'!$A$1:$O$1001,MATCH('Index&amp;Match'!$A476,'Main Data'!$A$1:$A$1001,0),MATCH('Index&amp;Match'!N475,'Main Data'!$A475:$O475,0))</f>
        <v>No</v>
      </c>
      <c r="O476" s="2">
        <f>INDEX('Main Data'!$A$1:$O$1001,MATCH('Index&amp;Match'!$A476,'Main Data'!$A$1:$A$1001,0),MATCH('Index&amp;Match'!O475,'Main Data'!$A475:$O475,0))</f>
        <v>52</v>
      </c>
    </row>
    <row r="477" spans="1:15" x14ac:dyDescent="0.3">
      <c r="A477" s="2" t="s">
        <v>534</v>
      </c>
      <c r="B477" s="1">
        <f>INDEX('Main Data'!$A$1:$O$1001,MATCH('Index&amp;Match'!$A477,'Main Data'!$A$1:$A$1001,0),MATCH('Index&amp;Match'!B476,'Main Data'!$A476:$O476,0))</f>
        <v>46163</v>
      </c>
      <c r="C477" s="2" t="str">
        <f>INDEX('Main Data'!$A$1:$O$1001,MATCH('Index&amp;Match'!$A477,'Main Data'!$A$1:$A$1001,0),MATCH('Index&amp;Match'!C476,'Main Data'!$A476:$O476,0))</f>
        <v>Drew</v>
      </c>
      <c r="D477" s="2" t="str">
        <f>INDEX('Main Data'!$A$1:$O$1001,MATCH('Index&amp;Match'!$A477,'Main Data'!$A$1:$A$1001,0),MATCH('Index&amp;Match'!D476,'Main Data'!$A476:$O476,0))</f>
        <v>BR-005</v>
      </c>
      <c r="E477" s="2" t="str">
        <f>INDEX('Main Data'!$A$1:$O$1001,MATCH('Index&amp;Match'!$A477,'Main Data'!$A$1:$A$1001,0),MATCH('Index&amp;Match'!E476,'Main Data'!$A476:$O476,0))</f>
        <v>North</v>
      </c>
      <c r="F477" s="2" t="str">
        <f>INDEX('Main Data'!$A$1:$O$1001,MATCH('Index&amp;Match'!$A477,'Main Data'!$A$1:$A$1001,0),MATCH('Index&amp;Match'!F476,'Main Data'!$A476:$O476,0))</f>
        <v>Credit Card</v>
      </c>
      <c r="G477" s="2" t="str">
        <f>INDEX('Main Data'!$A$1:$O$1001,MATCH('Index&amp;Match'!$A477,'Main Data'!$A$1:$A$1001,0),MATCH('Index&amp;Match'!G476,'Main Data'!$A476:$O476,0))</f>
        <v>Walk-in</v>
      </c>
      <c r="H477" s="2" t="str">
        <f>INDEX('Main Data'!$A$1:$O$1001,MATCH('Index&amp;Match'!$A477,'Main Data'!$A$1:$A$1001,0),MATCH('Index&amp;Match'!H476,'Main Data'!$A476:$O476,0))</f>
        <v>Corporate</v>
      </c>
      <c r="I477" s="2">
        <f>INDEX('Main Data'!$A$1:$O$1001,MATCH('Index&amp;Match'!$A477,'Main Data'!$A$1:$A$1001,0),MATCH('Index&amp;Match'!I476,'Main Data'!$A476:$O476,0))</f>
        <v>60</v>
      </c>
      <c r="J477" s="2">
        <f>INDEX('Main Data'!$A$1:$O$1001,MATCH('Index&amp;Match'!$A477,'Main Data'!$A$1:$A$1001,0),MATCH('Index&amp;Match'!J476,'Main Data'!$A476:$O476,0))</f>
        <v>60</v>
      </c>
      <c r="K477" s="11">
        <f>INDEX('Main Data'!$A$1:$O$1001,MATCH('Index&amp;Match'!$A477,'Main Data'!$A$1:$A$1001,0),MATCH('Index&amp;Match'!K476,'Main Data'!$A476:$O476,0))</f>
        <v>32402.01</v>
      </c>
      <c r="L477" s="11">
        <f>INDEX('Main Data'!$A$1:$O$1001,MATCH('Index&amp;Match'!$A477,'Main Data'!$A$1:$A$1001,0),MATCH('Index&amp;Match'!L476,'Main Data'!$A476:$O476,0))</f>
        <v>376.84</v>
      </c>
      <c r="M477" s="11">
        <f>INDEX('Main Data'!$A$1:$O$1001,MATCH('Index&amp;Match'!$A477,'Main Data'!$A$1:$A$1001,0),MATCH('Index&amp;Match'!M476,'Main Data'!$A476:$O476,0))</f>
        <v>58.28</v>
      </c>
      <c r="N477" s="2" t="str">
        <f>INDEX('Main Data'!$A$1:$O$1001,MATCH('Index&amp;Match'!$A477,'Main Data'!$A$1:$A$1001,0),MATCH('Index&amp;Match'!N476,'Main Data'!$A476:$O476,0))</f>
        <v>Yes</v>
      </c>
      <c r="O477" s="2">
        <f>INDEX('Main Data'!$A$1:$O$1001,MATCH('Index&amp;Match'!$A477,'Main Data'!$A$1:$A$1001,0),MATCH('Index&amp;Match'!O476,'Main Data'!$A476:$O476,0))</f>
        <v>60</v>
      </c>
    </row>
    <row r="478" spans="1:15" x14ac:dyDescent="0.3">
      <c r="A478" s="2" t="s">
        <v>535</v>
      </c>
      <c r="B478" s="1">
        <f>INDEX('Main Data'!$A$1:$O$1001,MATCH('Index&amp;Match'!$A478,'Main Data'!$A$1:$A$1001,0),MATCH('Index&amp;Match'!B477,'Main Data'!$A477:$O477,0))</f>
        <v>46009</v>
      </c>
      <c r="C478" s="2" t="str">
        <f>INDEX('Main Data'!$A$1:$O$1001,MATCH('Index&amp;Match'!$A478,'Main Data'!$A$1:$A$1001,0),MATCH('Index&amp;Match'!C477,'Main Data'!$A477:$O477,0))</f>
        <v>Alex</v>
      </c>
      <c r="D478" s="2" t="str">
        <f>INDEX('Main Data'!$A$1:$O$1001,MATCH('Index&amp;Match'!$A478,'Main Data'!$A$1:$A$1001,0),MATCH('Index&amp;Match'!D477,'Main Data'!$A477:$O477,0))</f>
        <v>BR-008</v>
      </c>
      <c r="E478" s="2" t="str">
        <f>INDEX('Main Data'!$A$1:$O$1001,MATCH('Index&amp;Match'!$A478,'Main Data'!$A$1:$A$1001,0),MATCH('Index&amp;Match'!E477,'Main Data'!$A477:$O477,0))</f>
        <v>North</v>
      </c>
      <c r="F478" s="2" t="str">
        <f>INDEX('Main Data'!$A$1:$O$1001,MATCH('Index&amp;Match'!$A478,'Main Data'!$A$1:$A$1001,0),MATCH('Index&amp;Match'!F477,'Main Data'!$A477:$O477,0))</f>
        <v>Credit Card</v>
      </c>
      <c r="G478" s="2" t="str">
        <f>INDEX('Main Data'!$A$1:$O$1001,MATCH('Index&amp;Match'!$A478,'Main Data'!$A$1:$A$1001,0),MATCH('Index&amp;Match'!G477,'Main Data'!$A477:$O477,0))</f>
        <v>Walk-in</v>
      </c>
      <c r="H478" s="2" t="str">
        <f>INDEX('Main Data'!$A$1:$O$1001,MATCH('Index&amp;Match'!$A478,'Main Data'!$A$1:$A$1001,0),MATCH('Index&amp;Match'!H477,'Main Data'!$A477:$O477,0))</f>
        <v>Corporate</v>
      </c>
      <c r="I478" s="2">
        <f>INDEX('Main Data'!$A$1:$O$1001,MATCH('Index&amp;Match'!$A478,'Main Data'!$A$1:$A$1001,0),MATCH('Index&amp;Match'!I477,'Main Data'!$A477:$O477,0))</f>
        <v>33</v>
      </c>
      <c r="J478" s="2">
        <f>INDEX('Main Data'!$A$1:$O$1001,MATCH('Index&amp;Match'!$A478,'Main Data'!$A$1:$A$1001,0),MATCH('Index&amp;Match'!J477,'Main Data'!$A477:$O477,0))</f>
        <v>33</v>
      </c>
      <c r="K478" s="11">
        <f>INDEX('Main Data'!$A$1:$O$1001,MATCH('Index&amp;Match'!$A478,'Main Data'!$A$1:$A$1001,0),MATCH('Index&amp;Match'!K477,'Main Data'!$A477:$O477,0))</f>
        <v>9551.7900000000009</v>
      </c>
      <c r="L478" s="11">
        <f>INDEX('Main Data'!$A$1:$O$1001,MATCH('Index&amp;Match'!$A478,'Main Data'!$A$1:$A$1001,0),MATCH('Index&amp;Match'!L477,'Main Data'!$A477:$O477,0))</f>
        <v>148.86000000000001</v>
      </c>
      <c r="M478" s="11">
        <f>INDEX('Main Data'!$A$1:$O$1001,MATCH('Index&amp;Match'!$A478,'Main Data'!$A$1:$A$1001,0),MATCH('Index&amp;Match'!M477,'Main Data'!$A477:$O477,0))</f>
        <v>67.23</v>
      </c>
      <c r="N478" s="2" t="str">
        <f>INDEX('Main Data'!$A$1:$O$1001,MATCH('Index&amp;Match'!$A478,'Main Data'!$A$1:$A$1001,0),MATCH('Index&amp;Match'!N477,'Main Data'!$A477:$O477,0))</f>
        <v>Yes</v>
      </c>
      <c r="O478" s="2">
        <f>INDEX('Main Data'!$A$1:$O$1001,MATCH('Index&amp;Match'!$A478,'Main Data'!$A$1:$A$1001,0),MATCH('Index&amp;Match'!O477,'Main Data'!$A477:$O477,0))</f>
        <v>33</v>
      </c>
    </row>
    <row r="479" spans="1:15" x14ac:dyDescent="0.3">
      <c r="A479" s="2" t="s">
        <v>536</v>
      </c>
      <c r="B479" s="1">
        <f>INDEX('Main Data'!$A$1:$O$1001,MATCH('Index&amp;Match'!$A479,'Main Data'!$A$1:$A$1001,0),MATCH('Index&amp;Match'!B478,'Main Data'!$A478:$O478,0))</f>
        <v>45923</v>
      </c>
      <c r="C479" s="2" t="str">
        <f>INDEX('Main Data'!$A$1:$O$1001,MATCH('Index&amp;Match'!$A479,'Main Data'!$A$1:$A$1001,0),MATCH('Index&amp;Match'!C478,'Main Data'!$A478:$O478,0))</f>
        <v>Drew</v>
      </c>
      <c r="D479" s="2" t="str">
        <f>INDEX('Main Data'!$A$1:$O$1001,MATCH('Index&amp;Match'!$A479,'Main Data'!$A$1:$A$1001,0),MATCH('Index&amp;Match'!D478,'Main Data'!$A478:$O478,0))</f>
        <v>BR-008</v>
      </c>
      <c r="E479" s="2" t="str">
        <f>INDEX('Main Data'!$A$1:$O$1001,MATCH('Index&amp;Match'!$A479,'Main Data'!$A$1:$A$1001,0),MATCH('Index&amp;Match'!E478,'Main Data'!$A478:$O478,0))</f>
        <v>Central</v>
      </c>
      <c r="F479" s="2" t="str">
        <f>INDEX('Main Data'!$A$1:$O$1001,MATCH('Index&amp;Match'!$A479,'Main Data'!$A$1:$A$1001,0),MATCH('Index&amp;Match'!F478,'Main Data'!$A478:$O478,0))</f>
        <v>Mortgage</v>
      </c>
      <c r="G479" s="2" t="str">
        <f>INDEX('Main Data'!$A$1:$O$1001,MATCH('Index&amp;Match'!$A479,'Main Data'!$A$1:$A$1001,0),MATCH('Index&amp;Match'!G478,'Main Data'!$A478:$O478,0))</f>
        <v>Email Campaign</v>
      </c>
      <c r="H479" s="2" t="str">
        <f>INDEX('Main Data'!$A$1:$O$1001,MATCH('Index&amp;Match'!$A479,'Main Data'!$A$1:$A$1001,0),MATCH('Index&amp;Match'!H478,'Main Data'!$A478:$O478,0))</f>
        <v>Retail</v>
      </c>
      <c r="I479" s="2">
        <f>INDEX('Main Data'!$A$1:$O$1001,MATCH('Index&amp;Match'!$A479,'Main Data'!$A$1:$A$1001,0),MATCH('Index&amp;Match'!I478,'Main Data'!$A478:$O478,0))</f>
        <v>40</v>
      </c>
      <c r="J479" s="2">
        <f>INDEX('Main Data'!$A$1:$O$1001,MATCH('Index&amp;Match'!$A479,'Main Data'!$A$1:$A$1001,0),MATCH('Index&amp;Match'!J478,'Main Data'!$A478:$O478,0))</f>
        <v>40</v>
      </c>
      <c r="K479" s="11">
        <f>INDEX('Main Data'!$A$1:$O$1001,MATCH('Index&amp;Match'!$A479,'Main Data'!$A$1:$A$1001,0),MATCH('Index&amp;Match'!K478,'Main Data'!$A478:$O478,0))</f>
        <v>12004</v>
      </c>
      <c r="L479" s="11">
        <f>INDEX('Main Data'!$A$1:$O$1001,MATCH('Index&amp;Match'!$A479,'Main Data'!$A$1:$A$1001,0),MATCH('Index&amp;Match'!L478,'Main Data'!$A478:$O478,0))</f>
        <v>252.09</v>
      </c>
      <c r="M479" s="11">
        <f>INDEX('Main Data'!$A$1:$O$1001,MATCH('Index&amp;Match'!$A479,'Main Data'!$A$1:$A$1001,0),MATCH('Index&amp;Match'!M478,'Main Data'!$A478:$O478,0))</f>
        <v>61.69</v>
      </c>
      <c r="N479" s="2" t="str">
        <f>INDEX('Main Data'!$A$1:$O$1001,MATCH('Index&amp;Match'!$A479,'Main Data'!$A$1:$A$1001,0),MATCH('Index&amp;Match'!N478,'Main Data'!$A478:$O478,0))</f>
        <v>Yes</v>
      </c>
      <c r="O479" s="2">
        <f>INDEX('Main Data'!$A$1:$O$1001,MATCH('Index&amp;Match'!$A479,'Main Data'!$A$1:$A$1001,0),MATCH('Index&amp;Match'!O478,'Main Data'!$A478:$O478,0))</f>
        <v>40</v>
      </c>
    </row>
    <row r="480" spans="1:15" x14ac:dyDescent="0.3">
      <c r="A480" s="2" t="s">
        <v>537</v>
      </c>
      <c r="B480" s="1">
        <f>INDEX('Main Data'!$A$1:$O$1001,MATCH('Index&amp;Match'!$A480,'Main Data'!$A$1:$A$1001,0),MATCH('Index&amp;Match'!B479,'Main Data'!$A479:$O479,0))</f>
        <v>46192</v>
      </c>
      <c r="C480" s="2" t="str">
        <f>INDEX('Main Data'!$A$1:$O$1001,MATCH('Index&amp;Match'!$A480,'Main Data'!$A$1:$A$1001,0),MATCH('Index&amp;Match'!C479,'Main Data'!$A479:$O479,0))</f>
        <v>Alex</v>
      </c>
      <c r="D480" s="2" t="str">
        <f>INDEX('Main Data'!$A$1:$O$1001,MATCH('Index&amp;Match'!$A480,'Main Data'!$A$1:$A$1001,0),MATCH('Index&amp;Match'!D479,'Main Data'!$A479:$O479,0))</f>
        <v>BR-003</v>
      </c>
      <c r="E480" s="2" t="str">
        <f>INDEX('Main Data'!$A$1:$O$1001,MATCH('Index&amp;Match'!$A480,'Main Data'!$A$1:$A$1001,0),MATCH('Index&amp;Match'!E479,'Main Data'!$A479:$O479,0))</f>
        <v>West</v>
      </c>
      <c r="F480" s="2" t="str">
        <f>INDEX('Main Data'!$A$1:$O$1001,MATCH('Index&amp;Match'!$A480,'Main Data'!$A$1:$A$1001,0),MATCH('Index&amp;Match'!F479,'Main Data'!$A479:$O479,0))</f>
        <v>Auto Loan</v>
      </c>
      <c r="G480" s="2" t="str">
        <f>INDEX('Main Data'!$A$1:$O$1001,MATCH('Index&amp;Match'!$A480,'Main Data'!$A$1:$A$1001,0),MATCH('Index&amp;Match'!G479,'Main Data'!$A479:$O479,0))</f>
        <v>Social Media</v>
      </c>
      <c r="H480" s="2" t="str">
        <f>INDEX('Main Data'!$A$1:$O$1001,MATCH('Index&amp;Match'!$A480,'Main Data'!$A$1:$A$1001,0),MATCH('Index&amp;Match'!H479,'Main Data'!$A479:$O479,0))</f>
        <v>Corporate</v>
      </c>
      <c r="I480" s="2">
        <f>INDEX('Main Data'!$A$1:$O$1001,MATCH('Index&amp;Match'!$A480,'Main Data'!$A$1:$A$1001,0),MATCH('Index&amp;Match'!I479,'Main Data'!$A479:$O479,0))</f>
        <v>55</v>
      </c>
      <c r="J480" s="2">
        <f>INDEX('Main Data'!$A$1:$O$1001,MATCH('Index&amp;Match'!$A480,'Main Data'!$A$1:$A$1001,0),MATCH('Index&amp;Match'!J479,'Main Data'!$A479:$O479,0))</f>
        <v>55</v>
      </c>
      <c r="K480" s="11">
        <f>INDEX('Main Data'!$A$1:$O$1001,MATCH('Index&amp;Match'!$A480,'Main Data'!$A$1:$A$1001,0),MATCH('Index&amp;Match'!K479,'Main Data'!$A479:$O479,0))</f>
        <v>31963.78</v>
      </c>
      <c r="L480" s="11">
        <f>INDEX('Main Data'!$A$1:$O$1001,MATCH('Index&amp;Match'!$A480,'Main Data'!$A$1:$A$1001,0),MATCH('Index&amp;Match'!L479,'Main Data'!$A479:$O479,0))</f>
        <v>408.4</v>
      </c>
      <c r="M480" s="11">
        <f>INDEX('Main Data'!$A$1:$O$1001,MATCH('Index&amp;Match'!$A480,'Main Data'!$A$1:$A$1001,0),MATCH('Index&amp;Match'!M479,'Main Data'!$A479:$O479,0))</f>
        <v>4.01</v>
      </c>
      <c r="N480" s="2" t="str">
        <f>INDEX('Main Data'!$A$1:$O$1001,MATCH('Index&amp;Match'!$A480,'Main Data'!$A$1:$A$1001,0),MATCH('Index&amp;Match'!N479,'Main Data'!$A479:$O479,0))</f>
        <v>Yes</v>
      </c>
      <c r="O480" s="2">
        <f>INDEX('Main Data'!$A$1:$O$1001,MATCH('Index&amp;Match'!$A480,'Main Data'!$A$1:$A$1001,0),MATCH('Index&amp;Match'!O479,'Main Data'!$A479:$O479,0))</f>
        <v>55</v>
      </c>
    </row>
    <row r="481" spans="1:15" x14ac:dyDescent="0.3">
      <c r="A481" s="2" t="s">
        <v>538</v>
      </c>
      <c r="B481" s="1">
        <f>INDEX('Main Data'!$A$1:$O$1001,MATCH('Index&amp;Match'!$A481,'Main Data'!$A$1:$A$1001,0),MATCH('Index&amp;Match'!B480,'Main Data'!$A480:$O480,0))</f>
        <v>46153</v>
      </c>
      <c r="C481" s="2" t="str">
        <f>INDEX('Main Data'!$A$1:$O$1001,MATCH('Index&amp;Match'!$A481,'Main Data'!$A$1:$A$1001,0),MATCH('Index&amp;Match'!C480,'Main Data'!$A480:$O480,0))</f>
        <v>Morgan</v>
      </c>
      <c r="D481" s="2" t="str">
        <f>INDEX('Main Data'!$A$1:$O$1001,MATCH('Index&amp;Match'!$A481,'Main Data'!$A$1:$A$1001,0),MATCH('Index&amp;Match'!D480,'Main Data'!$A480:$O480,0))</f>
        <v>BR-007</v>
      </c>
      <c r="E481" s="2" t="str">
        <f>INDEX('Main Data'!$A$1:$O$1001,MATCH('Index&amp;Match'!$A481,'Main Data'!$A$1:$A$1001,0),MATCH('Index&amp;Match'!E480,'Main Data'!$A480:$O480,0))</f>
        <v>East</v>
      </c>
      <c r="F481" s="2" t="str">
        <f>INDEX('Main Data'!$A$1:$O$1001,MATCH('Index&amp;Match'!$A481,'Main Data'!$A$1:$A$1001,0),MATCH('Index&amp;Match'!F480,'Main Data'!$A480:$O480,0))</f>
        <v>Wealth Management</v>
      </c>
      <c r="G481" s="2" t="str">
        <f>INDEX('Main Data'!$A$1:$O$1001,MATCH('Index&amp;Match'!$A481,'Main Data'!$A$1:$A$1001,0),MATCH('Index&amp;Match'!G480,'Main Data'!$A480:$O480,0))</f>
        <v>Walk-in</v>
      </c>
      <c r="H481" s="2" t="str">
        <f>INDEX('Main Data'!$A$1:$O$1001,MATCH('Index&amp;Match'!$A481,'Main Data'!$A$1:$A$1001,0),MATCH('Index&amp;Match'!H480,'Main Data'!$A480:$O480,0))</f>
        <v>Retail</v>
      </c>
      <c r="I481" s="2">
        <f>INDEX('Main Data'!$A$1:$O$1001,MATCH('Index&amp;Match'!$A481,'Main Data'!$A$1:$A$1001,0),MATCH('Index&amp;Match'!I480,'Main Data'!$A480:$O480,0))</f>
        <v>25</v>
      </c>
      <c r="J481" s="2">
        <f>INDEX('Main Data'!$A$1:$O$1001,MATCH('Index&amp;Match'!$A481,'Main Data'!$A$1:$A$1001,0),MATCH('Index&amp;Match'!J480,'Main Data'!$A480:$O480,0))</f>
        <v>25</v>
      </c>
      <c r="K481" s="11">
        <f>INDEX('Main Data'!$A$1:$O$1001,MATCH('Index&amp;Match'!$A481,'Main Data'!$A$1:$A$1001,0),MATCH('Index&amp;Match'!K480,'Main Data'!$A480:$O480,0))</f>
        <v>49650.7</v>
      </c>
      <c r="L481" s="11">
        <f>INDEX('Main Data'!$A$1:$O$1001,MATCH('Index&amp;Match'!$A481,'Main Data'!$A$1:$A$1001,0),MATCH('Index&amp;Match'!L480,'Main Data'!$A480:$O480,0))</f>
        <v>296.18</v>
      </c>
      <c r="M481" s="11">
        <f>INDEX('Main Data'!$A$1:$O$1001,MATCH('Index&amp;Match'!$A481,'Main Data'!$A$1:$A$1001,0),MATCH('Index&amp;Match'!M480,'Main Data'!$A480:$O480,0))</f>
        <v>116.51</v>
      </c>
      <c r="N481" s="2" t="str">
        <f>INDEX('Main Data'!$A$1:$O$1001,MATCH('Index&amp;Match'!$A481,'Main Data'!$A$1:$A$1001,0),MATCH('Index&amp;Match'!N480,'Main Data'!$A480:$O480,0))</f>
        <v>No</v>
      </c>
      <c r="O481" s="2">
        <f>INDEX('Main Data'!$A$1:$O$1001,MATCH('Index&amp;Match'!$A481,'Main Data'!$A$1:$A$1001,0),MATCH('Index&amp;Match'!O480,'Main Data'!$A480:$O480,0))</f>
        <v>25</v>
      </c>
    </row>
    <row r="482" spans="1:15" x14ac:dyDescent="0.3">
      <c r="A482" s="2" t="s">
        <v>539</v>
      </c>
      <c r="B482" s="1">
        <f>INDEX('Main Data'!$A$1:$O$1001,MATCH('Index&amp;Match'!$A482,'Main Data'!$A$1:$A$1001,0),MATCH('Index&amp;Match'!B481,'Main Data'!$A481:$O481,0))</f>
        <v>45910</v>
      </c>
      <c r="C482" s="2" t="str">
        <f>INDEX('Main Data'!$A$1:$O$1001,MATCH('Index&amp;Match'!$A482,'Main Data'!$A$1:$A$1001,0),MATCH('Index&amp;Match'!C481,'Main Data'!$A481:$O481,0))</f>
        <v>Morgan</v>
      </c>
      <c r="D482" s="2" t="str">
        <f>INDEX('Main Data'!$A$1:$O$1001,MATCH('Index&amp;Match'!$A482,'Main Data'!$A$1:$A$1001,0),MATCH('Index&amp;Match'!D481,'Main Data'!$A481:$O481,0))</f>
        <v>BR-003</v>
      </c>
      <c r="E482" s="2" t="str">
        <f>INDEX('Main Data'!$A$1:$O$1001,MATCH('Index&amp;Match'!$A482,'Main Data'!$A$1:$A$1001,0),MATCH('Index&amp;Match'!E481,'Main Data'!$A481:$O481,0))</f>
        <v>West</v>
      </c>
      <c r="F482" s="2" t="str">
        <f>INDEX('Main Data'!$A$1:$O$1001,MATCH('Index&amp;Match'!$A482,'Main Data'!$A$1:$A$1001,0),MATCH('Index&amp;Match'!F481,'Main Data'!$A481:$O481,0))</f>
        <v>Personal Loan</v>
      </c>
      <c r="G482" s="2" t="str">
        <f>INDEX('Main Data'!$A$1:$O$1001,MATCH('Index&amp;Match'!$A482,'Main Data'!$A$1:$A$1001,0),MATCH('Index&amp;Match'!G481,'Main Data'!$A481:$O481,0))</f>
        <v>Walk-in</v>
      </c>
      <c r="H482" s="2" t="str">
        <f>INDEX('Main Data'!$A$1:$O$1001,MATCH('Index&amp;Match'!$A482,'Main Data'!$A$1:$A$1001,0),MATCH('Index&amp;Match'!H481,'Main Data'!$A481:$O481,0))</f>
        <v>SME</v>
      </c>
      <c r="I482" s="2">
        <f>INDEX('Main Data'!$A$1:$O$1001,MATCH('Index&amp;Match'!$A482,'Main Data'!$A$1:$A$1001,0),MATCH('Index&amp;Match'!I481,'Main Data'!$A481:$O481,0))</f>
        <v>29</v>
      </c>
      <c r="J482" s="2">
        <f>INDEX('Main Data'!$A$1:$O$1001,MATCH('Index&amp;Match'!$A482,'Main Data'!$A$1:$A$1001,0),MATCH('Index&amp;Match'!J481,'Main Data'!$A481:$O481,0))</f>
        <v>29</v>
      </c>
      <c r="K482" s="11">
        <f>INDEX('Main Data'!$A$1:$O$1001,MATCH('Index&amp;Match'!$A482,'Main Data'!$A$1:$A$1001,0),MATCH('Index&amp;Match'!K481,'Main Data'!$A481:$O481,0))</f>
        <v>38997.019999999997</v>
      </c>
      <c r="L482" s="11">
        <f>INDEX('Main Data'!$A$1:$O$1001,MATCH('Index&amp;Match'!$A482,'Main Data'!$A$1:$A$1001,0),MATCH('Index&amp;Match'!L481,'Main Data'!$A481:$O481,0))</f>
        <v>342.48</v>
      </c>
      <c r="M482" s="11">
        <f>INDEX('Main Data'!$A$1:$O$1001,MATCH('Index&amp;Match'!$A482,'Main Data'!$A$1:$A$1001,0),MATCH('Index&amp;Match'!M481,'Main Data'!$A481:$O481,0))</f>
        <v>139.77000000000001</v>
      </c>
      <c r="N482" s="2" t="str">
        <f>INDEX('Main Data'!$A$1:$O$1001,MATCH('Index&amp;Match'!$A482,'Main Data'!$A$1:$A$1001,0),MATCH('Index&amp;Match'!N481,'Main Data'!$A481:$O481,0))</f>
        <v>No</v>
      </c>
      <c r="O482" s="2">
        <f>INDEX('Main Data'!$A$1:$O$1001,MATCH('Index&amp;Match'!$A482,'Main Data'!$A$1:$A$1001,0),MATCH('Index&amp;Match'!O481,'Main Data'!$A481:$O481,0))</f>
        <v>29</v>
      </c>
    </row>
    <row r="483" spans="1:15" x14ac:dyDescent="0.3">
      <c r="A483" s="2" t="s">
        <v>540</v>
      </c>
      <c r="B483" s="1">
        <f>INDEX('Main Data'!$A$1:$O$1001,MATCH('Index&amp;Match'!$A483,'Main Data'!$A$1:$A$1001,0),MATCH('Index&amp;Match'!B482,'Main Data'!$A482:$O482,0))</f>
        <v>45902</v>
      </c>
      <c r="C483" s="2" t="str">
        <f>INDEX('Main Data'!$A$1:$O$1001,MATCH('Index&amp;Match'!$A483,'Main Data'!$A$1:$A$1001,0),MATCH('Index&amp;Match'!C482,'Main Data'!$A482:$O482,0))</f>
        <v>Sam</v>
      </c>
      <c r="D483" s="2" t="str">
        <f>INDEX('Main Data'!$A$1:$O$1001,MATCH('Index&amp;Match'!$A483,'Main Data'!$A$1:$A$1001,0),MATCH('Index&amp;Match'!D482,'Main Data'!$A482:$O482,0))</f>
        <v>BR-006</v>
      </c>
      <c r="E483" s="2" t="str">
        <f>INDEX('Main Data'!$A$1:$O$1001,MATCH('Index&amp;Match'!$A483,'Main Data'!$A$1:$A$1001,0),MATCH('Index&amp;Match'!E482,'Main Data'!$A482:$O482,0))</f>
        <v>North</v>
      </c>
      <c r="F483" s="2" t="str">
        <f>INDEX('Main Data'!$A$1:$O$1001,MATCH('Index&amp;Match'!$A483,'Main Data'!$A$1:$A$1001,0),MATCH('Index&amp;Match'!F482,'Main Data'!$A482:$O482,0))</f>
        <v>Mortgage</v>
      </c>
      <c r="G483" s="2" t="str">
        <f>INDEX('Main Data'!$A$1:$O$1001,MATCH('Index&amp;Match'!$A483,'Main Data'!$A$1:$A$1001,0),MATCH('Index&amp;Match'!G482,'Main Data'!$A482:$O482,0))</f>
        <v>Referral</v>
      </c>
      <c r="H483" s="2" t="str">
        <f>INDEX('Main Data'!$A$1:$O$1001,MATCH('Index&amp;Match'!$A483,'Main Data'!$A$1:$A$1001,0),MATCH('Index&amp;Match'!H482,'Main Data'!$A482:$O482,0))</f>
        <v>High Net Worth</v>
      </c>
      <c r="I483" s="2">
        <f>INDEX('Main Data'!$A$1:$O$1001,MATCH('Index&amp;Match'!$A483,'Main Data'!$A$1:$A$1001,0),MATCH('Index&amp;Match'!I482,'Main Data'!$A482:$O482,0))</f>
        <v>49</v>
      </c>
      <c r="J483" s="2">
        <f>INDEX('Main Data'!$A$1:$O$1001,MATCH('Index&amp;Match'!$A483,'Main Data'!$A$1:$A$1001,0),MATCH('Index&amp;Match'!J482,'Main Data'!$A482:$O482,0))</f>
        <v>49</v>
      </c>
      <c r="K483" s="11">
        <f>INDEX('Main Data'!$A$1:$O$1001,MATCH('Index&amp;Match'!$A483,'Main Data'!$A$1:$A$1001,0),MATCH('Index&amp;Match'!K482,'Main Data'!$A482:$O482,0))</f>
        <v>11679.06</v>
      </c>
      <c r="L483" s="11">
        <f>INDEX('Main Data'!$A$1:$O$1001,MATCH('Index&amp;Match'!$A483,'Main Data'!$A$1:$A$1001,0),MATCH('Index&amp;Match'!L482,'Main Data'!$A482:$O482,0))</f>
        <v>389.2</v>
      </c>
      <c r="M483" s="11">
        <f>INDEX('Main Data'!$A$1:$O$1001,MATCH('Index&amp;Match'!$A483,'Main Data'!$A$1:$A$1001,0),MATCH('Index&amp;Match'!M482,'Main Data'!$A482:$O482,0))</f>
        <v>256.16000000000003</v>
      </c>
      <c r="N483" s="2" t="str">
        <f>INDEX('Main Data'!$A$1:$O$1001,MATCH('Index&amp;Match'!$A483,'Main Data'!$A$1:$A$1001,0),MATCH('Index&amp;Match'!N482,'Main Data'!$A482:$O482,0))</f>
        <v>No</v>
      </c>
      <c r="O483" s="2">
        <f>INDEX('Main Data'!$A$1:$O$1001,MATCH('Index&amp;Match'!$A483,'Main Data'!$A$1:$A$1001,0),MATCH('Index&amp;Match'!O482,'Main Data'!$A482:$O482,0))</f>
        <v>49</v>
      </c>
    </row>
    <row r="484" spans="1:15" x14ac:dyDescent="0.3">
      <c r="A484" s="2" t="s">
        <v>541</v>
      </c>
      <c r="B484" s="1">
        <f>INDEX('Main Data'!$A$1:$O$1001,MATCH('Index&amp;Match'!$A484,'Main Data'!$A$1:$A$1001,0),MATCH('Index&amp;Match'!B483,'Main Data'!$A483:$O483,0))</f>
        <v>45993</v>
      </c>
      <c r="C484" s="2" t="str">
        <f>INDEX('Main Data'!$A$1:$O$1001,MATCH('Index&amp;Match'!$A484,'Main Data'!$A$1:$A$1001,0),MATCH('Index&amp;Match'!C483,'Main Data'!$A483:$O483,0))</f>
        <v>Casey</v>
      </c>
      <c r="D484" s="2" t="str">
        <f>INDEX('Main Data'!$A$1:$O$1001,MATCH('Index&amp;Match'!$A484,'Main Data'!$A$1:$A$1001,0),MATCH('Index&amp;Match'!D483,'Main Data'!$A483:$O483,0))</f>
        <v>BR-006</v>
      </c>
      <c r="E484" s="2" t="str">
        <f>INDEX('Main Data'!$A$1:$O$1001,MATCH('Index&amp;Match'!$A484,'Main Data'!$A$1:$A$1001,0),MATCH('Index&amp;Match'!E483,'Main Data'!$A483:$O483,0))</f>
        <v>North</v>
      </c>
      <c r="F484" s="2" t="str">
        <f>INDEX('Main Data'!$A$1:$O$1001,MATCH('Index&amp;Match'!$A484,'Main Data'!$A$1:$A$1001,0),MATCH('Index&amp;Match'!F483,'Main Data'!$A483:$O483,0))</f>
        <v>Credit Card</v>
      </c>
      <c r="G484" s="2" t="str">
        <f>INDEX('Main Data'!$A$1:$O$1001,MATCH('Index&amp;Match'!$A484,'Main Data'!$A$1:$A$1001,0),MATCH('Index&amp;Match'!G483,'Main Data'!$A483:$O483,0))</f>
        <v>Website</v>
      </c>
      <c r="H484" s="2" t="str">
        <f>INDEX('Main Data'!$A$1:$O$1001,MATCH('Index&amp;Match'!$A484,'Main Data'!$A$1:$A$1001,0),MATCH('Index&amp;Match'!H483,'Main Data'!$A483:$O483,0))</f>
        <v>Retail</v>
      </c>
      <c r="I484" s="2">
        <f>INDEX('Main Data'!$A$1:$O$1001,MATCH('Index&amp;Match'!$A484,'Main Data'!$A$1:$A$1001,0),MATCH('Index&amp;Match'!I483,'Main Data'!$A483:$O483,0))</f>
        <v>26</v>
      </c>
      <c r="J484" s="2">
        <f>INDEX('Main Data'!$A$1:$O$1001,MATCH('Index&amp;Match'!$A484,'Main Data'!$A$1:$A$1001,0),MATCH('Index&amp;Match'!J483,'Main Data'!$A483:$O483,0))</f>
        <v>26</v>
      </c>
      <c r="K484" s="11">
        <f>INDEX('Main Data'!$A$1:$O$1001,MATCH('Index&amp;Match'!$A484,'Main Data'!$A$1:$A$1001,0),MATCH('Index&amp;Match'!K483,'Main Data'!$A483:$O483,0))</f>
        <v>9213.23</v>
      </c>
      <c r="L484" s="11">
        <f>INDEX('Main Data'!$A$1:$O$1001,MATCH('Index&amp;Match'!$A484,'Main Data'!$A$1:$A$1001,0),MATCH('Index&amp;Match'!L483,'Main Data'!$A483:$O483,0))</f>
        <v>329.9</v>
      </c>
      <c r="M484" s="11">
        <f>INDEX('Main Data'!$A$1:$O$1001,MATCH('Index&amp;Match'!$A484,'Main Data'!$A$1:$A$1001,0),MATCH('Index&amp;Match'!M483,'Main Data'!$A483:$O483,0))</f>
        <v>28.03</v>
      </c>
      <c r="N484" s="2" t="str">
        <f>INDEX('Main Data'!$A$1:$O$1001,MATCH('Index&amp;Match'!$A484,'Main Data'!$A$1:$A$1001,0),MATCH('Index&amp;Match'!N483,'Main Data'!$A483:$O483,0))</f>
        <v>Yes</v>
      </c>
      <c r="O484" s="2">
        <f>INDEX('Main Data'!$A$1:$O$1001,MATCH('Index&amp;Match'!$A484,'Main Data'!$A$1:$A$1001,0),MATCH('Index&amp;Match'!O483,'Main Data'!$A483:$O483,0))</f>
        <v>26</v>
      </c>
    </row>
    <row r="485" spans="1:15" x14ac:dyDescent="0.3">
      <c r="A485" s="2" t="s">
        <v>542</v>
      </c>
      <c r="B485" s="1">
        <f>INDEX('Main Data'!$A$1:$O$1001,MATCH('Index&amp;Match'!$A485,'Main Data'!$A$1:$A$1001,0),MATCH('Index&amp;Match'!B484,'Main Data'!$A484:$O484,0))</f>
        <v>45937</v>
      </c>
      <c r="C485" s="2" t="str">
        <f>INDEX('Main Data'!$A$1:$O$1001,MATCH('Index&amp;Match'!$A485,'Main Data'!$A$1:$A$1001,0),MATCH('Index&amp;Match'!C484,'Main Data'!$A484:$O484,0))</f>
        <v>Sam</v>
      </c>
      <c r="D485" s="2" t="str">
        <f>INDEX('Main Data'!$A$1:$O$1001,MATCH('Index&amp;Match'!$A485,'Main Data'!$A$1:$A$1001,0),MATCH('Index&amp;Match'!D484,'Main Data'!$A484:$O484,0))</f>
        <v>BR-003</v>
      </c>
      <c r="E485" s="2" t="str">
        <f>INDEX('Main Data'!$A$1:$O$1001,MATCH('Index&amp;Match'!$A485,'Main Data'!$A$1:$A$1001,0),MATCH('Index&amp;Match'!E484,'Main Data'!$A484:$O484,0))</f>
        <v>West</v>
      </c>
      <c r="F485" s="2" t="str">
        <f>INDEX('Main Data'!$A$1:$O$1001,MATCH('Index&amp;Match'!$A485,'Main Data'!$A$1:$A$1001,0),MATCH('Index&amp;Match'!F484,'Main Data'!$A484:$O484,0))</f>
        <v>Mortgage</v>
      </c>
      <c r="G485" s="2" t="str">
        <f>INDEX('Main Data'!$A$1:$O$1001,MATCH('Index&amp;Match'!$A485,'Main Data'!$A$1:$A$1001,0),MATCH('Index&amp;Match'!G484,'Main Data'!$A484:$O484,0))</f>
        <v>Email Campaign</v>
      </c>
      <c r="H485" s="2" t="str">
        <f>INDEX('Main Data'!$A$1:$O$1001,MATCH('Index&amp;Match'!$A485,'Main Data'!$A$1:$A$1001,0),MATCH('Index&amp;Match'!H484,'Main Data'!$A484:$O484,0))</f>
        <v>Corporate</v>
      </c>
      <c r="I485" s="2">
        <f>INDEX('Main Data'!$A$1:$O$1001,MATCH('Index&amp;Match'!$A485,'Main Data'!$A$1:$A$1001,0),MATCH('Index&amp;Match'!I484,'Main Data'!$A484:$O484,0))</f>
        <v>45</v>
      </c>
      <c r="J485" s="2">
        <f>INDEX('Main Data'!$A$1:$O$1001,MATCH('Index&amp;Match'!$A485,'Main Data'!$A$1:$A$1001,0),MATCH('Index&amp;Match'!J484,'Main Data'!$A484:$O484,0))</f>
        <v>45</v>
      </c>
      <c r="K485" s="11">
        <f>INDEX('Main Data'!$A$1:$O$1001,MATCH('Index&amp;Match'!$A485,'Main Data'!$A$1:$A$1001,0),MATCH('Index&amp;Match'!K484,'Main Data'!$A484:$O484,0))</f>
        <v>43378.53</v>
      </c>
      <c r="L485" s="11">
        <f>INDEX('Main Data'!$A$1:$O$1001,MATCH('Index&amp;Match'!$A485,'Main Data'!$A$1:$A$1001,0),MATCH('Index&amp;Match'!L484,'Main Data'!$A484:$O484,0))</f>
        <v>293.04000000000002</v>
      </c>
      <c r="M485" s="11">
        <f>INDEX('Main Data'!$A$1:$O$1001,MATCH('Index&amp;Match'!$A485,'Main Data'!$A$1:$A$1001,0),MATCH('Index&amp;Match'!M484,'Main Data'!$A484:$O484,0))</f>
        <v>108.84</v>
      </c>
      <c r="N485" s="2" t="str">
        <f>INDEX('Main Data'!$A$1:$O$1001,MATCH('Index&amp;Match'!$A485,'Main Data'!$A$1:$A$1001,0),MATCH('Index&amp;Match'!N484,'Main Data'!$A484:$O484,0))</f>
        <v>No</v>
      </c>
      <c r="O485" s="2">
        <f>INDEX('Main Data'!$A$1:$O$1001,MATCH('Index&amp;Match'!$A485,'Main Data'!$A$1:$A$1001,0),MATCH('Index&amp;Match'!O484,'Main Data'!$A484:$O484,0))</f>
        <v>45</v>
      </c>
    </row>
    <row r="486" spans="1:15" x14ac:dyDescent="0.3">
      <c r="A486" s="2" t="s">
        <v>543</v>
      </c>
      <c r="B486" s="1">
        <f>INDEX('Main Data'!$A$1:$O$1001,MATCH('Index&amp;Match'!$A486,'Main Data'!$A$1:$A$1001,0),MATCH('Index&amp;Match'!B485,'Main Data'!$A485:$O485,0))</f>
        <v>46118</v>
      </c>
      <c r="C486" s="2" t="str">
        <f>INDEX('Main Data'!$A$1:$O$1001,MATCH('Index&amp;Match'!$A486,'Main Data'!$A$1:$A$1001,0),MATCH('Index&amp;Match'!C485,'Main Data'!$A485:$O485,0))</f>
        <v>Casey</v>
      </c>
      <c r="D486" s="2" t="str">
        <f>INDEX('Main Data'!$A$1:$O$1001,MATCH('Index&amp;Match'!$A486,'Main Data'!$A$1:$A$1001,0),MATCH('Index&amp;Match'!D485,'Main Data'!$A485:$O485,0))</f>
        <v>BR-007</v>
      </c>
      <c r="E486" s="2" t="str">
        <f>INDEX('Main Data'!$A$1:$O$1001,MATCH('Index&amp;Match'!$A486,'Main Data'!$A$1:$A$1001,0),MATCH('Index&amp;Match'!E485,'Main Data'!$A485:$O485,0))</f>
        <v>West</v>
      </c>
      <c r="F486" s="2" t="str">
        <f>INDEX('Main Data'!$A$1:$O$1001,MATCH('Index&amp;Match'!$A486,'Main Data'!$A$1:$A$1001,0),MATCH('Index&amp;Match'!F485,'Main Data'!$A485:$O485,0))</f>
        <v>Mortgage</v>
      </c>
      <c r="G486" s="2" t="str">
        <f>INDEX('Main Data'!$A$1:$O$1001,MATCH('Index&amp;Match'!$A486,'Main Data'!$A$1:$A$1001,0),MATCH('Index&amp;Match'!G485,'Main Data'!$A485:$O485,0))</f>
        <v>Email Campaign</v>
      </c>
      <c r="H486" s="2" t="str">
        <f>INDEX('Main Data'!$A$1:$O$1001,MATCH('Index&amp;Match'!$A486,'Main Data'!$A$1:$A$1001,0),MATCH('Index&amp;Match'!H485,'Main Data'!$A485:$O485,0))</f>
        <v>Retail</v>
      </c>
      <c r="I486" s="2">
        <f>INDEX('Main Data'!$A$1:$O$1001,MATCH('Index&amp;Match'!$A486,'Main Data'!$A$1:$A$1001,0),MATCH('Index&amp;Match'!I485,'Main Data'!$A485:$O485,0))</f>
        <v>51</v>
      </c>
      <c r="J486" s="2">
        <f>INDEX('Main Data'!$A$1:$O$1001,MATCH('Index&amp;Match'!$A486,'Main Data'!$A$1:$A$1001,0),MATCH('Index&amp;Match'!J485,'Main Data'!$A485:$O485,0))</f>
        <v>51</v>
      </c>
      <c r="K486" s="11">
        <f>INDEX('Main Data'!$A$1:$O$1001,MATCH('Index&amp;Match'!$A486,'Main Data'!$A$1:$A$1001,0),MATCH('Index&amp;Match'!K485,'Main Data'!$A485:$O485,0))</f>
        <v>22487.11</v>
      </c>
      <c r="L486" s="11">
        <f>INDEX('Main Data'!$A$1:$O$1001,MATCH('Index&amp;Match'!$A486,'Main Data'!$A$1:$A$1001,0),MATCH('Index&amp;Match'!L485,'Main Data'!$A485:$O485,0))</f>
        <v>387.33</v>
      </c>
      <c r="M486" s="11">
        <f>INDEX('Main Data'!$A$1:$O$1001,MATCH('Index&amp;Match'!$A486,'Main Data'!$A$1:$A$1001,0),MATCH('Index&amp;Match'!M485,'Main Data'!$A485:$O485,0))</f>
        <v>1.6</v>
      </c>
      <c r="N486" s="2" t="str">
        <f>INDEX('Main Data'!$A$1:$O$1001,MATCH('Index&amp;Match'!$A486,'Main Data'!$A$1:$A$1001,0),MATCH('Index&amp;Match'!N485,'Main Data'!$A485:$O485,0))</f>
        <v>Yes</v>
      </c>
      <c r="O486" s="2">
        <f>INDEX('Main Data'!$A$1:$O$1001,MATCH('Index&amp;Match'!$A486,'Main Data'!$A$1:$A$1001,0),MATCH('Index&amp;Match'!O485,'Main Data'!$A485:$O485,0))</f>
        <v>51</v>
      </c>
    </row>
    <row r="487" spans="1:15" x14ac:dyDescent="0.3">
      <c r="A487" s="2" t="s">
        <v>544</v>
      </c>
      <c r="B487" s="1">
        <f>INDEX('Main Data'!$A$1:$O$1001,MATCH('Index&amp;Match'!$A487,'Main Data'!$A$1:$A$1001,0),MATCH('Index&amp;Match'!B486,'Main Data'!$A486:$O486,0))</f>
        <v>46209</v>
      </c>
      <c r="C487" s="2" t="str">
        <f>INDEX('Main Data'!$A$1:$O$1001,MATCH('Index&amp;Match'!$A487,'Main Data'!$A$1:$A$1001,0),MATCH('Index&amp;Match'!C486,'Main Data'!$A486:$O486,0))</f>
        <v>Sam</v>
      </c>
      <c r="D487" s="2" t="str">
        <f>INDEX('Main Data'!$A$1:$O$1001,MATCH('Index&amp;Match'!$A487,'Main Data'!$A$1:$A$1001,0),MATCH('Index&amp;Match'!D486,'Main Data'!$A486:$O486,0))</f>
        <v>BR-003</v>
      </c>
      <c r="E487" s="2" t="str">
        <f>INDEX('Main Data'!$A$1:$O$1001,MATCH('Index&amp;Match'!$A487,'Main Data'!$A$1:$A$1001,0),MATCH('Index&amp;Match'!E486,'Main Data'!$A486:$O486,0))</f>
        <v>North</v>
      </c>
      <c r="F487" s="2" t="str">
        <f>INDEX('Main Data'!$A$1:$O$1001,MATCH('Index&amp;Match'!$A487,'Main Data'!$A$1:$A$1001,0),MATCH('Index&amp;Match'!F486,'Main Data'!$A486:$O486,0))</f>
        <v>Mortgage</v>
      </c>
      <c r="G487" s="2" t="str">
        <f>INDEX('Main Data'!$A$1:$O$1001,MATCH('Index&amp;Match'!$A487,'Main Data'!$A$1:$A$1001,0),MATCH('Index&amp;Match'!G486,'Main Data'!$A486:$O486,0))</f>
        <v>Website</v>
      </c>
      <c r="H487" s="2" t="str">
        <f>INDEX('Main Data'!$A$1:$O$1001,MATCH('Index&amp;Match'!$A487,'Main Data'!$A$1:$A$1001,0),MATCH('Index&amp;Match'!H486,'Main Data'!$A486:$O486,0))</f>
        <v>Corporate</v>
      </c>
      <c r="I487" s="2">
        <f>INDEX('Main Data'!$A$1:$O$1001,MATCH('Index&amp;Match'!$A487,'Main Data'!$A$1:$A$1001,0),MATCH('Index&amp;Match'!I486,'Main Data'!$A486:$O486,0))</f>
        <v>42</v>
      </c>
      <c r="J487" s="2">
        <f>INDEX('Main Data'!$A$1:$O$1001,MATCH('Index&amp;Match'!$A487,'Main Data'!$A$1:$A$1001,0),MATCH('Index&amp;Match'!J486,'Main Data'!$A486:$O486,0))</f>
        <v>42</v>
      </c>
      <c r="K487" s="11">
        <f>INDEX('Main Data'!$A$1:$O$1001,MATCH('Index&amp;Match'!$A487,'Main Data'!$A$1:$A$1001,0),MATCH('Index&amp;Match'!K486,'Main Data'!$A486:$O486,0))</f>
        <v>7284.11</v>
      </c>
      <c r="L487" s="11">
        <f>INDEX('Main Data'!$A$1:$O$1001,MATCH('Index&amp;Match'!$A487,'Main Data'!$A$1:$A$1001,0),MATCH('Index&amp;Match'!L486,'Main Data'!$A486:$O486,0))</f>
        <v>377.4</v>
      </c>
      <c r="M487" s="11">
        <f>INDEX('Main Data'!$A$1:$O$1001,MATCH('Index&amp;Match'!$A487,'Main Data'!$A$1:$A$1001,0),MATCH('Index&amp;Match'!M486,'Main Data'!$A486:$O486,0))</f>
        <v>19.02</v>
      </c>
      <c r="N487" s="2" t="str">
        <f>INDEX('Main Data'!$A$1:$O$1001,MATCH('Index&amp;Match'!$A487,'Main Data'!$A$1:$A$1001,0),MATCH('Index&amp;Match'!N486,'Main Data'!$A486:$O486,0))</f>
        <v>Yes</v>
      </c>
      <c r="O487" s="2">
        <f>INDEX('Main Data'!$A$1:$O$1001,MATCH('Index&amp;Match'!$A487,'Main Data'!$A$1:$A$1001,0),MATCH('Index&amp;Match'!O486,'Main Data'!$A486:$O486,0))</f>
        <v>42</v>
      </c>
    </row>
    <row r="488" spans="1:15" x14ac:dyDescent="0.3">
      <c r="A488" s="2" t="s">
        <v>545</v>
      </c>
      <c r="B488" s="1">
        <f>INDEX('Main Data'!$A$1:$O$1001,MATCH('Index&amp;Match'!$A488,'Main Data'!$A$1:$A$1001,0),MATCH('Index&amp;Match'!B487,'Main Data'!$A487:$O487,0))</f>
        <v>46183</v>
      </c>
      <c r="C488" s="2" t="str">
        <f>INDEX('Main Data'!$A$1:$O$1001,MATCH('Index&amp;Match'!$A488,'Main Data'!$A$1:$A$1001,0),MATCH('Index&amp;Match'!C487,'Main Data'!$A487:$O487,0))</f>
        <v>Taylor</v>
      </c>
      <c r="D488" s="2" t="str">
        <f>INDEX('Main Data'!$A$1:$O$1001,MATCH('Index&amp;Match'!$A488,'Main Data'!$A$1:$A$1001,0),MATCH('Index&amp;Match'!D487,'Main Data'!$A487:$O487,0))</f>
        <v>BR-008</v>
      </c>
      <c r="E488" s="2" t="str">
        <f>INDEX('Main Data'!$A$1:$O$1001,MATCH('Index&amp;Match'!$A488,'Main Data'!$A$1:$A$1001,0),MATCH('Index&amp;Match'!E487,'Main Data'!$A487:$O487,0))</f>
        <v>East</v>
      </c>
      <c r="F488" s="2" t="str">
        <f>INDEX('Main Data'!$A$1:$O$1001,MATCH('Index&amp;Match'!$A488,'Main Data'!$A$1:$A$1001,0),MATCH('Index&amp;Match'!F487,'Main Data'!$A487:$O487,0))</f>
        <v>Mortgage</v>
      </c>
      <c r="G488" s="2" t="str">
        <f>INDEX('Main Data'!$A$1:$O$1001,MATCH('Index&amp;Match'!$A488,'Main Data'!$A$1:$A$1001,0),MATCH('Index&amp;Match'!G487,'Main Data'!$A487:$O487,0))</f>
        <v>Walk-in</v>
      </c>
      <c r="H488" s="2" t="str">
        <f>INDEX('Main Data'!$A$1:$O$1001,MATCH('Index&amp;Match'!$A488,'Main Data'!$A$1:$A$1001,0),MATCH('Index&amp;Match'!H487,'Main Data'!$A487:$O487,0))</f>
        <v>SME</v>
      </c>
      <c r="I488" s="2">
        <f>INDEX('Main Data'!$A$1:$O$1001,MATCH('Index&amp;Match'!$A488,'Main Data'!$A$1:$A$1001,0),MATCH('Index&amp;Match'!I487,'Main Data'!$A487:$O487,0))</f>
        <v>22</v>
      </c>
      <c r="J488" s="2">
        <f>INDEX('Main Data'!$A$1:$O$1001,MATCH('Index&amp;Match'!$A488,'Main Data'!$A$1:$A$1001,0),MATCH('Index&amp;Match'!J487,'Main Data'!$A487:$O487,0))</f>
        <v>22</v>
      </c>
      <c r="K488" s="11">
        <f>INDEX('Main Data'!$A$1:$O$1001,MATCH('Index&amp;Match'!$A488,'Main Data'!$A$1:$A$1001,0),MATCH('Index&amp;Match'!K487,'Main Data'!$A487:$O487,0))</f>
        <v>43179.47</v>
      </c>
      <c r="L488" s="11">
        <f>INDEX('Main Data'!$A$1:$O$1001,MATCH('Index&amp;Match'!$A488,'Main Data'!$A$1:$A$1001,0),MATCH('Index&amp;Match'!L487,'Main Data'!$A487:$O487,0))</f>
        <v>333.44</v>
      </c>
      <c r="M488" s="11">
        <f>INDEX('Main Data'!$A$1:$O$1001,MATCH('Index&amp;Match'!$A488,'Main Data'!$A$1:$A$1001,0),MATCH('Index&amp;Match'!M487,'Main Data'!$A487:$O487,0))</f>
        <v>10.84</v>
      </c>
      <c r="N488" s="2" t="str">
        <f>INDEX('Main Data'!$A$1:$O$1001,MATCH('Index&amp;Match'!$A488,'Main Data'!$A$1:$A$1001,0),MATCH('Index&amp;Match'!N487,'Main Data'!$A487:$O487,0))</f>
        <v>Yes</v>
      </c>
      <c r="O488" s="2">
        <f>INDEX('Main Data'!$A$1:$O$1001,MATCH('Index&amp;Match'!$A488,'Main Data'!$A$1:$A$1001,0),MATCH('Index&amp;Match'!O487,'Main Data'!$A487:$O487,0))</f>
        <v>22</v>
      </c>
    </row>
    <row r="489" spans="1:15" x14ac:dyDescent="0.3">
      <c r="A489" s="2" t="s">
        <v>546</v>
      </c>
      <c r="B489" s="1">
        <f>INDEX('Main Data'!$A$1:$O$1001,MATCH('Index&amp;Match'!$A489,'Main Data'!$A$1:$A$1001,0),MATCH('Index&amp;Match'!B488,'Main Data'!$A488:$O488,0))</f>
        <v>45872</v>
      </c>
      <c r="C489" s="2" t="str">
        <f>INDEX('Main Data'!$A$1:$O$1001,MATCH('Index&amp;Match'!$A489,'Main Data'!$A$1:$A$1001,0),MATCH('Index&amp;Match'!C488,'Main Data'!$A488:$O488,0))</f>
        <v>Morgan</v>
      </c>
      <c r="D489" s="2" t="str">
        <f>INDEX('Main Data'!$A$1:$O$1001,MATCH('Index&amp;Match'!$A489,'Main Data'!$A$1:$A$1001,0),MATCH('Index&amp;Match'!D488,'Main Data'!$A488:$O488,0))</f>
        <v>BR-010</v>
      </c>
      <c r="E489" s="2" t="str">
        <f>INDEX('Main Data'!$A$1:$O$1001,MATCH('Index&amp;Match'!$A489,'Main Data'!$A$1:$A$1001,0),MATCH('Index&amp;Match'!E488,'Main Data'!$A488:$O488,0))</f>
        <v>Central</v>
      </c>
      <c r="F489" s="2" t="str">
        <f>INDEX('Main Data'!$A$1:$O$1001,MATCH('Index&amp;Match'!$A489,'Main Data'!$A$1:$A$1001,0),MATCH('Index&amp;Match'!F488,'Main Data'!$A488:$O488,0))</f>
        <v>Personal Loan</v>
      </c>
      <c r="G489" s="2" t="str">
        <f>INDEX('Main Data'!$A$1:$O$1001,MATCH('Index&amp;Match'!$A489,'Main Data'!$A$1:$A$1001,0),MATCH('Index&amp;Match'!G488,'Main Data'!$A488:$O488,0))</f>
        <v>Referral</v>
      </c>
      <c r="H489" s="2" t="str">
        <f>INDEX('Main Data'!$A$1:$O$1001,MATCH('Index&amp;Match'!$A489,'Main Data'!$A$1:$A$1001,0),MATCH('Index&amp;Match'!H488,'Main Data'!$A488:$O488,0))</f>
        <v>Retail</v>
      </c>
      <c r="I489" s="2">
        <f>INDEX('Main Data'!$A$1:$O$1001,MATCH('Index&amp;Match'!$A489,'Main Data'!$A$1:$A$1001,0),MATCH('Index&amp;Match'!I488,'Main Data'!$A488:$O488,0))</f>
        <v>65</v>
      </c>
      <c r="J489" s="2">
        <f>INDEX('Main Data'!$A$1:$O$1001,MATCH('Index&amp;Match'!$A489,'Main Data'!$A$1:$A$1001,0),MATCH('Index&amp;Match'!J488,'Main Data'!$A488:$O488,0))</f>
        <v>65</v>
      </c>
      <c r="K489" s="11">
        <f>INDEX('Main Data'!$A$1:$O$1001,MATCH('Index&amp;Match'!$A489,'Main Data'!$A$1:$A$1001,0),MATCH('Index&amp;Match'!K488,'Main Data'!$A488:$O488,0))</f>
        <v>40896.57</v>
      </c>
      <c r="L489" s="11">
        <f>INDEX('Main Data'!$A$1:$O$1001,MATCH('Index&amp;Match'!$A489,'Main Data'!$A$1:$A$1001,0),MATCH('Index&amp;Match'!L488,'Main Data'!$A488:$O488,0))</f>
        <v>211.91</v>
      </c>
      <c r="M489" s="11">
        <f>INDEX('Main Data'!$A$1:$O$1001,MATCH('Index&amp;Match'!$A489,'Main Data'!$A$1:$A$1001,0),MATCH('Index&amp;Match'!M488,'Main Data'!$A488:$O488,0))</f>
        <v>145.1</v>
      </c>
      <c r="N489" s="2" t="str">
        <f>INDEX('Main Data'!$A$1:$O$1001,MATCH('Index&amp;Match'!$A489,'Main Data'!$A$1:$A$1001,0),MATCH('Index&amp;Match'!N488,'Main Data'!$A488:$O488,0))</f>
        <v>Yes</v>
      </c>
      <c r="O489" s="2">
        <f>INDEX('Main Data'!$A$1:$O$1001,MATCH('Index&amp;Match'!$A489,'Main Data'!$A$1:$A$1001,0),MATCH('Index&amp;Match'!O488,'Main Data'!$A488:$O488,0))</f>
        <v>65</v>
      </c>
    </row>
    <row r="490" spans="1:15" x14ac:dyDescent="0.3">
      <c r="A490" s="2" t="s">
        <v>547</v>
      </c>
      <c r="B490" s="1">
        <f>INDEX('Main Data'!$A$1:$O$1001,MATCH('Index&amp;Match'!$A490,'Main Data'!$A$1:$A$1001,0),MATCH('Index&amp;Match'!B489,'Main Data'!$A489:$O489,0))</f>
        <v>46185</v>
      </c>
      <c r="C490" s="2" t="str">
        <f>INDEX('Main Data'!$A$1:$O$1001,MATCH('Index&amp;Match'!$A490,'Main Data'!$A$1:$A$1001,0),MATCH('Index&amp;Match'!C489,'Main Data'!$A489:$O489,0))</f>
        <v>Alex</v>
      </c>
      <c r="D490" s="2" t="str">
        <f>INDEX('Main Data'!$A$1:$O$1001,MATCH('Index&amp;Match'!$A490,'Main Data'!$A$1:$A$1001,0),MATCH('Index&amp;Match'!D489,'Main Data'!$A489:$O489,0))</f>
        <v>BR-004</v>
      </c>
      <c r="E490" s="2" t="str">
        <f>INDEX('Main Data'!$A$1:$O$1001,MATCH('Index&amp;Match'!$A490,'Main Data'!$A$1:$A$1001,0),MATCH('Index&amp;Match'!E489,'Main Data'!$A489:$O489,0))</f>
        <v>Central</v>
      </c>
      <c r="F490" s="2" t="str">
        <f>INDEX('Main Data'!$A$1:$O$1001,MATCH('Index&amp;Match'!$A490,'Main Data'!$A$1:$A$1001,0),MATCH('Index&amp;Match'!F489,'Main Data'!$A489:$O489,0))</f>
        <v>Auto Loan</v>
      </c>
      <c r="G490" s="2" t="str">
        <f>INDEX('Main Data'!$A$1:$O$1001,MATCH('Index&amp;Match'!$A490,'Main Data'!$A$1:$A$1001,0),MATCH('Index&amp;Match'!G489,'Main Data'!$A489:$O489,0))</f>
        <v>Referral</v>
      </c>
      <c r="H490" s="2" t="str">
        <f>INDEX('Main Data'!$A$1:$O$1001,MATCH('Index&amp;Match'!$A490,'Main Data'!$A$1:$A$1001,0),MATCH('Index&amp;Match'!H489,'Main Data'!$A489:$O489,0))</f>
        <v>SME</v>
      </c>
      <c r="I490" s="2">
        <f>INDEX('Main Data'!$A$1:$O$1001,MATCH('Index&amp;Match'!$A490,'Main Data'!$A$1:$A$1001,0),MATCH('Index&amp;Match'!I489,'Main Data'!$A489:$O489,0))</f>
        <v>25</v>
      </c>
      <c r="J490" s="2">
        <f>INDEX('Main Data'!$A$1:$O$1001,MATCH('Index&amp;Match'!$A490,'Main Data'!$A$1:$A$1001,0),MATCH('Index&amp;Match'!J489,'Main Data'!$A489:$O489,0))</f>
        <v>25</v>
      </c>
      <c r="K490" s="11">
        <f>INDEX('Main Data'!$A$1:$O$1001,MATCH('Index&amp;Match'!$A490,'Main Data'!$A$1:$A$1001,0),MATCH('Index&amp;Match'!K489,'Main Data'!$A489:$O489,0))</f>
        <v>49203.37</v>
      </c>
      <c r="L490" s="11">
        <f>INDEX('Main Data'!$A$1:$O$1001,MATCH('Index&amp;Match'!$A490,'Main Data'!$A$1:$A$1001,0),MATCH('Index&amp;Match'!L489,'Main Data'!$A489:$O489,0))</f>
        <v>232.62</v>
      </c>
      <c r="M490" s="11">
        <f>INDEX('Main Data'!$A$1:$O$1001,MATCH('Index&amp;Match'!$A490,'Main Data'!$A$1:$A$1001,0),MATCH('Index&amp;Match'!M489,'Main Data'!$A489:$O489,0))</f>
        <v>16.21</v>
      </c>
      <c r="N490" s="2" t="str">
        <f>INDEX('Main Data'!$A$1:$O$1001,MATCH('Index&amp;Match'!$A490,'Main Data'!$A$1:$A$1001,0),MATCH('Index&amp;Match'!N489,'Main Data'!$A489:$O489,0))</f>
        <v>Yes</v>
      </c>
      <c r="O490" s="2">
        <f>INDEX('Main Data'!$A$1:$O$1001,MATCH('Index&amp;Match'!$A490,'Main Data'!$A$1:$A$1001,0),MATCH('Index&amp;Match'!O489,'Main Data'!$A489:$O489,0))</f>
        <v>25</v>
      </c>
    </row>
    <row r="491" spans="1:15" x14ac:dyDescent="0.3">
      <c r="A491" s="2" t="s">
        <v>548</v>
      </c>
      <c r="B491" s="1">
        <f>INDEX('Main Data'!$A$1:$O$1001,MATCH('Index&amp;Match'!$A491,'Main Data'!$A$1:$A$1001,0),MATCH('Index&amp;Match'!B490,'Main Data'!$A490:$O490,0))</f>
        <v>46136</v>
      </c>
      <c r="C491" s="2" t="str">
        <f>INDEX('Main Data'!$A$1:$O$1001,MATCH('Index&amp;Match'!$A491,'Main Data'!$A$1:$A$1001,0),MATCH('Index&amp;Match'!C490,'Main Data'!$A490:$O490,0))</f>
        <v>Casey</v>
      </c>
      <c r="D491" s="2" t="str">
        <f>INDEX('Main Data'!$A$1:$O$1001,MATCH('Index&amp;Match'!$A491,'Main Data'!$A$1:$A$1001,0),MATCH('Index&amp;Match'!D490,'Main Data'!$A490:$O490,0))</f>
        <v>BR-015</v>
      </c>
      <c r="E491" s="2" t="str">
        <f>INDEX('Main Data'!$A$1:$O$1001,MATCH('Index&amp;Match'!$A491,'Main Data'!$A$1:$A$1001,0),MATCH('Index&amp;Match'!E490,'Main Data'!$A490:$O490,0))</f>
        <v>West</v>
      </c>
      <c r="F491" s="2" t="str">
        <f>INDEX('Main Data'!$A$1:$O$1001,MATCH('Index&amp;Match'!$A491,'Main Data'!$A$1:$A$1001,0),MATCH('Index&amp;Match'!F490,'Main Data'!$A490:$O490,0))</f>
        <v>Wealth Management</v>
      </c>
      <c r="G491" s="2" t="str">
        <f>INDEX('Main Data'!$A$1:$O$1001,MATCH('Index&amp;Match'!$A491,'Main Data'!$A$1:$A$1001,0),MATCH('Index&amp;Match'!G490,'Main Data'!$A490:$O490,0))</f>
        <v>Email Campaign</v>
      </c>
      <c r="H491" s="2" t="str">
        <f>INDEX('Main Data'!$A$1:$O$1001,MATCH('Index&amp;Match'!$A491,'Main Data'!$A$1:$A$1001,0),MATCH('Index&amp;Match'!H490,'Main Data'!$A490:$O490,0))</f>
        <v>High Net Worth</v>
      </c>
      <c r="I491" s="2">
        <f>INDEX('Main Data'!$A$1:$O$1001,MATCH('Index&amp;Match'!$A491,'Main Data'!$A$1:$A$1001,0),MATCH('Index&amp;Match'!I490,'Main Data'!$A490:$O490,0))</f>
        <v>47</v>
      </c>
      <c r="J491" s="2">
        <f>INDEX('Main Data'!$A$1:$O$1001,MATCH('Index&amp;Match'!$A491,'Main Data'!$A$1:$A$1001,0),MATCH('Index&amp;Match'!J490,'Main Data'!$A490:$O490,0))</f>
        <v>47</v>
      </c>
      <c r="K491" s="11">
        <f>INDEX('Main Data'!$A$1:$O$1001,MATCH('Index&amp;Match'!$A491,'Main Data'!$A$1:$A$1001,0),MATCH('Index&amp;Match'!K490,'Main Data'!$A490:$O490,0))</f>
        <v>45532.31</v>
      </c>
      <c r="L491" s="11">
        <f>INDEX('Main Data'!$A$1:$O$1001,MATCH('Index&amp;Match'!$A491,'Main Data'!$A$1:$A$1001,0),MATCH('Index&amp;Match'!L490,'Main Data'!$A490:$O490,0))</f>
        <v>486.7</v>
      </c>
      <c r="M491" s="11">
        <f>INDEX('Main Data'!$A$1:$O$1001,MATCH('Index&amp;Match'!$A491,'Main Data'!$A$1:$A$1001,0),MATCH('Index&amp;Match'!M490,'Main Data'!$A490:$O490,0))</f>
        <v>214.94</v>
      </c>
      <c r="N491" s="2" t="str">
        <f>INDEX('Main Data'!$A$1:$O$1001,MATCH('Index&amp;Match'!$A491,'Main Data'!$A$1:$A$1001,0),MATCH('Index&amp;Match'!N490,'Main Data'!$A490:$O490,0))</f>
        <v>Yes</v>
      </c>
      <c r="O491" s="2">
        <f>INDEX('Main Data'!$A$1:$O$1001,MATCH('Index&amp;Match'!$A491,'Main Data'!$A$1:$A$1001,0),MATCH('Index&amp;Match'!O490,'Main Data'!$A490:$O490,0))</f>
        <v>47</v>
      </c>
    </row>
    <row r="492" spans="1:15" x14ac:dyDescent="0.3">
      <c r="A492" s="2" t="s">
        <v>549</v>
      </c>
      <c r="B492" s="1">
        <f>INDEX('Main Data'!$A$1:$O$1001,MATCH('Index&amp;Match'!$A492,'Main Data'!$A$1:$A$1001,0),MATCH('Index&amp;Match'!B491,'Main Data'!$A491:$O491,0))</f>
        <v>46110</v>
      </c>
      <c r="C492" s="2" t="str">
        <f>INDEX('Main Data'!$A$1:$O$1001,MATCH('Index&amp;Match'!$A492,'Main Data'!$A$1:$A$1001,0),MATCH('Index&amp;Match'!C491,'Main Data'!$A491:$O491,0))</f>
        <v>Drew</v>
      </c>
      <c r="D492" s="2" t="str">
        <f>INDEX('Main Data'!$A$1:$O$1001,MATCH('Index&amp;Match'!$A492,'Main Data'!$A$1:$A$1001,0),MATCH('Index&amp;Match'!D491,'Main Data'!$A491:$O491,0))</f>
        <v>BR-015</v>
      </c>
      <c r="E492" s="2" t="str">
        <f>INDEX('Main Data'!$A$1:$O$1001,MATCH('Index&amp;Match'!$A492,'Main Data'!$A$1:$A$1001,0),MATCH('Index&amp;Match'!E491,'Main Data'!$A491:$O491,0))</f>
        <v>Central</v>
      </c>
      <c r="F492" s="2" t="str">
        <f>INDEX('Main Data'!$A$1:$O$1001,MATCH('Index&amp;Match'!$A492,'Main Data'!$A$1:$A$1001,0),MATCH('Index&amp;Match'!F491,'Main Data'!$A491:$O491,0))</f>
        <v>Mortgage</v>
      </c>
      <c r="G492" s="2" t="str">
        <f>INDEX('Main Data'!$A$1:$O$1001,MATCH('Index&amp;Match'!$A492,'Main Data'!$A$1:$A$1001,0),MATCH('Index&amp;Match'!G491,'Main Data'!$A491:$O491,0))</f>
        <v>Referral</v>
      </c>
      <c r="H492" s="2" t="str">
        <f>INDEX('Main Data'!$A$1:$O$1001,MATCH('Index&amp;Match'!$A492,'Main Data'!$A$1:$A$1001,0),MATCH('Index&amp;Match'!H491,'Main Data'!$A491:$O491,0))</f>
        <v>Corporate</v>
      </c>
      <c r="I492" s="2">
        <f>INDEX('Main Data'!$A$1:$O$1001,MATCH('Index&amp;Match'!$A492,'Main Data'!$A$1:$A$1001,0),MATCH('Index&amp;Match'!I491,'Main Data'!$A491:$O491,0))</f>
        <v>45</v>
      </c>
      <c r="J492" s="2">
        <f>INDEX('Main Data'!$A$1:$O$1001,MATCH('Index&amp;Match'!$A492,'Main Data'!$A$1:$A$1001,0),MATCH('Index&amp;Match'!J491,'Main Data'!$A491:$O491,0))</f>
        <v>45</v>
      </c>
      <c r="K492" s="11">
        <f>INDEX('Main Data'!$A$1:$O$1001,MATCH('Index&amp;Match'!$A492,'Main Data'!$A$1:$A$1001,0),MATCH('Index&amp;Match'!K491,'Main Data'!$A491:$O491,0))</f>
        <v>42663.62</v>
      </c>
      <c r="L492" s="11">
        <f>INDEX('Main Data'!$A$1:$O$1001,MATCH('Index&amp;Match'!$A492,'Main Data'!$A$1:$A$1001,0),MATCH('Index&amp;Match'!L491,'Main Data'!$A491:$O491,0))</f>
        <v>100.57</v>
      </c>
      <c r="M492" s="11">
        <f>INDEX('Main Data'!$A$1:$O$1001,MATCH('Index&amp;Match'!$A492,'Main Data'!$A$1:$A$1001,0),MATCH('Index&amp;Match'!M491,'Main Data'!$A491:$O491,0))</f>
        <v>49.92</v>
      </c>
      <c r="N492" s="2" t="str">
        <f>INDEX('Main Data'!$A$1:$O$1001,MATCH('Index&amp;Match'!$A492,'Main Data'!$A$1:$A$1001,0),MATCH('Index&amp;Match'!N491,'Main Data'!$A491:$O491,0))</f>
        <v>Yes</v>
      </c>
      <c r="O492" s="2">
        <f>INDEX('Main Data'!$A$1:$O$1001,MATCH('Index&amp;Match'!$A492,'Main Data'!$A$1:$A$1001,0),MATCH('Index&amp;Match'!O491,'Main Data'!$A491:$O491,0))</f>
        <v>45</v>
      </c>
    </row>
    <row r="493" spans="1:15" x14ac:dyDescent="0.3">
      <c r="A493" s="2" t="s">
        <v>550</v>
      </c>
      <c r="B493" s="1">
        <f>INDEX('Main Data'!$A$1:$O$1001,MATCH('Index&amp;Match'!$A493,'Main Data'!$A$1:$A$1001,0),MATCH('Index&amp;Match'!B492,'Main Data'!$A492:$O492,0))</f>
        <v>46230</v>
      </c>
      <c r="C493" s="2" t="str">
        <f>INDEX('Main Data'!$A$1:$O$1001,MATCH('Index&amp;Match'!$A493,'Main Data'!$A$1:$A$1001,0),MATCH('Index&amp;Match'!C492,'Main Data'!$A492:$O492,0))</f>
        <v>Casey</v>
      </c>
      <c r="D493" s="2" t="str">
        <f>INDEX('Main Data'!$A$1:$O$1001,MATCH('Index&amp;Match'!$A493,'Main Data'!$A$1:$A$1001,0),MATCH('Index&amp;Match'!D492,'Main Data'!$A492:$O492,0))</f>
        <v>BR-013</v>
      </c>
      <c r="E493" s="2" t="str">
        <f>INDEX('Main Data'!$A$1:$O$1001,MATCH('Index&amp;Match'!$A493,'Main Data'!$A$1:$A$1001,0),MATCH('Index&amp;Match'!E492,'Main Data'!$A492:$O492,0))</f>
        <v>North</v>
      </c>
      <c r="F493" s="2" t="str">
        <f>INDEX('Main Data'!$A$1:$O$1001,MATCH('Index&amp;Match'!$A493,'Main Data'!$A$1:$A$1001,0),MATCH('Index&amp;Match'!F492,'Main Data'!$A492:$O492,0))</f>
        <v>Mortgage</v>
      </c>
      <c r="G493" s="2" t="str">
        <f>INDEX('Main Data'!$A$1:$O$1001,MATCH('Index&amp;Match'!$A493,'Main Data'!$A$1:$A$1001,0),MATCH('Index&amp;Match'!G492,'Main Data'!$A492:$O492,0))</f>
        <v>Website</v>
      </c>
      <c r="H493" s="2" t="str">
        <f>INDEX('Main Data'!$A$1:$O$1001,MATCH('Index&amp;Match'!$A493,'Main Data'!$A$1:$A$1001,0),MATCH('Index&amp;Match'!H492,'Main Data'!$A492:$O492,0))</f>
        <v>Corporate</v>
      </c>
      <c r="I493" s="2">
        <f>INDEX('Main Data'!$A$1:$O$1001,MATCH('Index&amp;Match'!$A493,'Main Data'!$A$1:$A$1001,0),MATCH('Index&amp;Match'!I492,'Main Data'!$A492:$O492,0))</f>
        <v>28</v>
      </c>
      <c r="J493" s="2">
        <f>INDEX('Main Data'!$A$1:$O$1001,MATCH('Index&amp;Match'!$A493,'Main Data'!$A$1:$A$1001,0),MATCH('Index&amp;Match'!J492,'Main Data'!$A492:$O492,0))</f>
        <v>28</v>
      </c>
      <c r="K493" s="11">
        <f>INDEX('Main Data'!$A$1:$O$1001,MATCH('Index&amp;Match'!$A493,'Main Data'!$A$1:$A$1001,0),MATCH('Index&amp;Match'!K492,'Main Data'!$A492:$O492,0))</f>
        <v>3102.43</v>
      </c>
      <c r="L493" s="11">
        <f>INDEX('Main Data'!$A$1:$O$1001,MATCH('Index&amp;Match'!$A493,'Main Data'!$A$1:$A$1001,0),MATCH('Index&amp;Match'!L492,'Main Data'!$A492:$O492,0))</f>
        <v>170.83</v>
      </c>
      <c r="M493" s="11">
        <f>INDEX('Main Data'!$A$1:$O$1001,MATCH('Index&amp;Match'!$A493,'Main Data'!$A$1:$A$1001,0),MATCH('Index&amp;Match'!M492,'Main Data'!$A492:$O492,0))</f>
        <v>175.54</v>
      </c>
      <c r="N493" s="2" t="str">
        <f>INDEX('Main Data'!$A$1:$O$1001,MATCH('Index&amp;Match'!$A493,'Main Data'!$A$1:$A$1001,0),MATCH('Index&amp;Match'!N492,'Main Data'!$A492:$O492,0))</f>
        <v>Yes</v>
      </c>
      <c r="O493" s="2">
        <f>INDEX('Main Data'!$A$1:$O$1001,MATCH('Index&amp;Match'!$A493,'Main Data'!$A$1:$A$1001,0),MATCH('Index&amp;Match'!O492,'Main Data'!$A492:$O492,0))</f>
        <v>28</v>
      </c>
    </row>
    <row r="494" spans="1:15" x14ac:dyDescent="0.3">
      <c r="A494" s="2" t="s">
        <v>551</v>
      </c>
      <c r="B494" s="1">
        <f>INDEX('Main Data'!$A$1:$O$1001,MATCH('Index&amp;Match'!$A494,'Main Data'!$A$1:$A$1001,0),MATCH('Index&amp;Match'!B493,'Main Data'!$A493:$O493,0))</f>
        <v>46205</v>
      </c>
      <c r="C494" s="2" t="str">
        <f>INDEX('Main Data'!$A$1:$O$1001,MATCH('Index&amp;Match'!$A494,'Main Data'!$A$1:$A$1001,0),MATCH('Index&amp;Match'!C493,'Main Data'!$A493:$O493,0))</f>
        <v>Alex</v>
      </c>
      <c r="D494" s="2" t="str">
        <f>INDEX('Main Data'!$A$1:$O$1001,MATCH('Index&amp;Match'!$A494,'Main Data'!$A$1:$A$1001,0),MATCH('Index&amp;Match'!D493,'Main Data'!$A493:$O493,0))</f>
        <v>BR-001</v>
      </c>
      <c r="E494" s="2" t="str">
        <f>INDEX('Main Data'!$A$1:$O$1001,MATCH('Index&amp;Match'!$A494,'Main Data'!$A$1:$A$1001,0),MATCH('Index&amp;Match'!E493,'Main Data'!$A493:$O493,0))</f>
        <v>North</v>
      </c>
      <c r="F494" s="2" t="str">
        <f>INDEX('Main Data'!$A$1:$O$1001,MATCH('Index&amp;Match'!$A494,'Main Data'!$A$1:$A$1001,0),MATCH('Index&amp;Match'!F493,'Main Data'!$A493:$O493,0))</f>
        <v>Mortgage</v>
      </c>
      <c r="G494" s="2" t="str">
        <f>INDEX('Main Data'!$A$1:$O$1001,MATCH('Index&amp;Match'!$A494,'Main Data'!$A$1:$A$1001,0),MATCH('Index&amp;Match'!G493,'Main Data'!$A493:$O493,0))</f>
        <v>Walk-in</v>
      </c>
      <c r="H494" s="2" t="str">
        <f>INDEX('Main Data'!$A$1:$O$1001,MATCH('Index&amp;Match'!$A494,'Main Data'!$A$1:$A$1001,0),MATCH('Index&amp;Match'!H493,'Main Data'!$A493:$O493,0))</f>
        <v>SME</v>
      </c>
      <c r="I494" s="2">
        <f>INDEX('Main Data'!$A$1:$O$1001,MATCH('Index&amp;Match'!$A494,'Main Data'!$A$1:$A$1001,0),MATCH('Index&amp;Match'!I493,'Main Data'!$A493:$O493,0))</f>
        <v>21</v>
      </c>
      <c r="J494" s="2">
        <f>INDEX('Main Data'!$A$1:$O$1001,MATCH('Index&amp;Match'!$A494,'Main Data'!$A$1:$A$1001,0),MATCH('Index&amp;Match'!J493,'Main Data'!$A493:$O493,0))</f>
        <v>21</v>
      </c>
      <c r="K494" s="11">
        <f>INDEX('Main Data'!$A$1:$O$1001,MATCH('Index&amp;Match'!$A494,'Main Data'!$A$1:$A$1001,0),MATCH('Index&amp;Match'!K493,'Main Data'!$A493:$O493,0))</f>
        <v>5668.56</v>
      </c>
      <c r="L494" s="11">
        <f>INDEX('Main Data'!$A$1:$O$1001,MATCH('Index&amp;Match'!$A494,'Main Data'!$A$1:$A$1001,0),MATCH('Index&amp;Match'!L493,'Main Data'!$A493:$O493,0))</f>
        <v>271.58</v>
      </c>
      <c r="M494" s="11">
        <f>INDEX('Main Data'!$A$1:$O$1001,MATCH('Index&amp;Match'!$A494,'Main Data'!$A$1:$A$1001,0),MATCH('Index&amp;Match'!M493,'Main Data'!$A493:$O493,0))</f>
        <v>162.63</v>
      </c>
      <c r="N494" s="2" t="str">
        <f>INDEX('Main Data'!$A$1:$O$1001,MATCH('Index&amp;Match'!$A494,'Main Data'!$A$1:$A$1001,0),MATCH('Index&amp;Match'!N493,'Main Data'!$A493:$O493,0))</f>
        <v>No</v>
      </c>
      <c r="O494" s="2">
        <f>INDEX('Main Data'!$A$1:$O$1001,MATCH('Index&amp;Match'!$A494,'Main Data'!$A$1:$A$1001,0),MATCH('Index&amp;Match'!O493,'Main Data'!$A493:$O493,0))</f>
        <v>21</v>
      </c>
    </row>
    <row r="495" spans="1:15" x14ac:dyDescent="0.3">
      <c r="A495" s="2" t="s">
        <v>552</v>
      </c>
      <c r="B495" s="1">
        <f>INDEX('Main Data'!$A$1:$O$1001,MATCH('Index&amp;Match'!$A495,'Main Data'!$A$1:$A$1001,0),MATCH('Index&amp;Match'!B494,'Main Data'!$A494:$O494,0))</f>
        <v>46210</v>
      </c>
      <c r="C495" s="2" t="str">
        <f>INDEX('Main Data'!$A$1:$O$1001,MATCH('Index&amp;Match'!$A495,'Main Data'!$A$1:$A$1001,0),MATCH('Index&amp;Match'!C494,'Main Data'!$A494:$O494,0))</f>
        <v>Sam</v>
      </c>
      <c r="D495" s="2" t="str">
        <f>INDEX('Main Data'!$A$1:$O$1001,MATCH('Index&amp;Match'!$A495,'Main Data'!$A$1:$A$1001,0),MATCH('Index&amp;Match'!D494,'Main Data'!$A494:$O494,0))</f>
        <v>BR-004</v>
      </c>
      <c r="E495" s="2" t="str">
        <f>INDEX('Main Data'!$A$1:$O$1001,MATCH('Index&amp;Match'!$A495,'Main Data'!$A$1:$A$1001,0),MATCH('Index&amp;Match'!E494,'Main Data'!$A494:$O494,0))</f>
        <v>West</v>
      </c>
      <c r="F495" s="2" t="str">
        <f>INDEX('Main Data'!$A$1:$O$1001,MATCH('Index&amp;Match'!$A495,'Main Data'!$A$1:$A$1001,0),MATCH('Index&amp;Match'!F494,'Main Data'!$A494:$O494,0))</f>
        <v>Auto Loan</v>
      </c>
      <c r="G495" s="2" t="str">
        <f>INDEX('Main Data'!$A$1:$O$1001,MATCH('Index&amp;Match'!$A495,'Main Data'!$A$1:$A$1001,0),MATCH('Index&amp;Match'!G494,'Main Data'!$A494:$O494,0))</f>
        <v>Website</v>
      </c>
      <c r="H495" s="2" t="str">
        <f>INDEX('Main Data'!$A$1:$O$1001,MATCH('Index&amp;Match'!$A495,'Main Data'!$A$1:$A$1001,0),MATCH('Index&amp;Match'!H494,'Main Data'!$A494:$O494,0))</f>
        <v>High Net Worth</v>
      </c>
      <c r="I495" s="2">
        <f>INDEX('Main Data'!$A$1:$O$1001,MATCH('Index&amp;Match'!$A495,'Main Data'!$A$1:$A$1001,0),MATCH('Index&amp;Match'!I494,'Main Data'!$A494:$O494,0))</f>
        <v>40</v>
      </c>
      <c r="J495" s="2">
        <f>INDEX('Main Data'!$A$1:$O$1001,MATCH('Index&amp;Match'!$A495,'Main Data'!$A$1:$A$1001,0),MATCH('Index&amp;Match'!J494,'Main Data'!$A494:$O494,0))</f>
        <v>40</v>
      </c>
      <c r="K495" s="11">
        <f>INDEX('Main Data'!$A$1:$O$1001,MATCH('Index&amp;Match'!$A495,'Main Data'!$A$1:$A$1001,0),MATCH('Index&amp;Match'!K494,'Main Data'!$A494:$O494,0))</f>
        <v>28664.67</v>
      </c>
      <c r="L495" s="11">
        <f>INDEX('Main Data'!$A$1:$O$1001,MATCH('Index&amp;Match'!$A495,'Main Data'!$A$1:$A$1001,0),MATCH('Index&amp;Match'!L494,'Main Data'!$A494:$O494,0))</f>
        <v>426.53</v>
      </c>
      <c r="M495" s="11">
        <f>INDEX('Main Data'!$A$1:$O$1001,MATCH('Index&amp;Match'!$A495,'Main Data'!$A$1:$A$1001,0),MATCH('Index&amp;Match'!M494,'Main Data'!$A494:$O494,0))</f>
        <v>287.36</v>
      </c>
      <c r="N495" s="2" t="str">
        <f>INDEX('Main Data'!$A$1:$O$1001,MATCH('Index&amp;Match'!$A495,'Main Data'!$A$1:$A$1001,0),MATCH('Index&amp;Match'!N494,'Main Data'!$A494:$O494,0))</f>
        <v>Yes</v>
      </c>
      <c r="O495" s="2">
        <f>INDEX('Main Data'!$A$1:$O$1001,MATCH('Index&amp;Match'!$A495,'Main Data'!$A$1:$A$1001,0),MATCH('Index&amp;Match'!O494,'Main Data'!$A494:$O494,0))</f>
        <v>40</v>
      </c>
    </row>
    <row r="496" spans="1:15" x14ac:dyDescent="0.3">
      <c r="A496" s="2" t="s">
        <v>553</v>
      </c>
      <c r="B496" s="1">
        <f>INDEX('Main Data'!$A$1:$O$1001,MATCH('Index&amp;Match'!$A496,'Main Data'!$A$1:$A$1001,0),MATCH('Index&amp;Match'!B495,'Main Data'!$A495:$O495,0))</f>
        <v>46039</v>
      </c>
      <c r="C496" s="2" t="str">
        <f>INDEX('Main Data'!$A$1:$O$1001,MATCH('Index&amp;Match'!$A496,'Main Data'!$A$1:$A$1001,0),MATCH('Index&amp;Match'!C495,'Main Data'!$A495:$O495,0))</f>
        <v>Casey</v>
      </c>
      <c r="D496" s="2" t="str">
        <f>INDEX('Main Data'!$A$1:$O$1001,MATCH('Index&amp;Match'!$A496,'Main Data'!$A$1:$A$1001,0),MATCH('Index&amp;Match'!D495,'Main Data'!$A495:$O495,0))</f>
        <v>BR-014</v>
      </c>
      <c r="E496" s="2" t="str">
        <f>INDEX('Main Data'!$A$1:$O$1001,MATCH('Index&amp;Match'!$A496,'Main Data'!$A$1:$A$1001,0),MATCH('Index&amp;Match'!E495,'Main Data'!$A495:$O495,0))</f>
        <v>West</v>
      </c>
      <c r="F496" s="2" t="str">
        <f>INDEX('Main Data'!$A$1:$O$1001,MATCH('Index&amp;Match'!$A496,'Main Data'!$A$1:$A$1001,0),MATCH('Index&amp;Match'!F495,'Main Data'!$A495:$O495,0))</f>
        <v>Credit Card</v>
      </c>
      <c r="G496" s="2" t="str">
        <f>INDEX('Main Data'!$A$1:$O$1001,MATCH('Index&amp;Match'!$A496,'Main Data'!$A$1:$A$1001,0),MATCH('Index&amp;Match'!G495,'Main Data'!$A495:$O495,0))</f>
        <v>Social Media</v>
      </c>
      <c r="H496" s="2" t="str">
        <f>INDEX('Main Data'!$A$1:$O$1001,MATCH('Index&amp;Match'!$A496,'Main Data'!$A$1:$A$1001,0),MATCH('Index&amp;Match'!H495,'Main Data'!$A495:$O495,0))</f>
        <v>Retail</v>
      </c>
      <c r="I496" s="2">
        <f>INDEX('Main Data'!$A$1:$O$1001,MATCH('Index&amp;Match'!$A496,'Main Data'!$A$1:$A$1001,0),MATCH('Index&amp;Match'!I495,'Main Data'!$A495:$O495,0))</f>
        <v>64</v>
      </c>
      <c r="J496" s="2">
        <f>INDEX('Main Data'!$A$1:$O$1001,MATCH('Index&amp;Match'!$A496,'Main Data'!$A$1:$A$1001,0),MATCH('Index&amp;Match'!J495,'Main Data'!$A495:$O495,0))</f>
        <v>64</v>
      </c>
      <c r="K496" s="11">
        <f>INDEX('Main Data'!$A$1:$O$1001,MATCH('Index&amp;Match'!$A496,'Main Data'!$A$1:$A$1001,0),MATCH('Index&amp;Match'!K495,'Main Data'!$A495:$O495,0))</f>
        <v>26808.22</v>
      </c>
      <c r="L496" s="11">
        <f>INDEX('Main Data'!$A$1:$O$1001,MATCH('Index&amp;Match'!$A496,'Main Data'!$A$1:$A$1001,0),MATCH('Index&amp;Match'!L495,'Main Data'!$A495:$O495,0))</f>
        <v>123.65</v>
      </c>
      <c r="M496" s="11">
        <f>INDEX('Main Data'!$A$1:$O$1001,MATCH('Index&amp;Match'!$A496,'Main Data'!$A$1:$A$1001,0),MATCH('Index&amp;Match'!M495,'Main Data'!$A495:$O495,0))</f>
        <v>176.75</v>
      </c>
      <c r="N496" s="2" t="str">
        <f>INDEX('Main Data'!$A$1:$O$1001,MATCH('Index&amp;Match'!$A496,'Main Data'!$A$1:$A$1001,0),MATCH('Index&amp;Match'!N495,'Main Data'!$A495:$O495,0))</f>
        <v>No</v>
      </c>
      <c r="O496" s="2">
        <f>INDEX('Main Data'!$A$1:$O$1001,MATCH('Index&amp;Match'!$A496,'Main Data'!$A$1:$A$1001,0),MATCH('Index&amp;Match'!O495,'Main Data'!$A495:$O495,0))</f>
        <v>64</v>
      </c>
    </row>
    <row r="497" spans="1:15" x14ac:dyDescent="0.3">
      <c r="A497" s="2" t="s">
        <v>554</v>
      </c>
      <c r="B497" s="1">
        <f>INDEX('Main Data'!$A$1:$O$1001,MATCH('Index&amp;Match'!$A497,'Main Data'!$A$1:$A$1001,0),MATCH('Index&amp;Match'!B496,'Main Data'!$A496:$O496,0))</f>
        <v>45951</v>
      </c>
      <c r="C497" s="2" t="str">
        <f>INDEX('Main Data'!$A$1:$O$1001,MATCH('Index&amp;Match'!$A497,'Main Data'!$A$1:$A$1001,0),MATCH('Index&amp;Match'!C496,'Main Data'!$A496:$O496,0))</f>
        <v>Jamie</v>
      </c>
      <c r="D497" s="2" t="str">
        <f>INDEX('Main Data'!$A$1:$O$1001,MATCH('Index&amp;Match'!$A497,'Main Data'!$A$1:$A$1001,0),MATCH('Index&amp;Match'!D496,'Main Data'!$A496:$O496,0))</f>
        <v>BR-007</v>
      </c>
      <c r="E497" s="2" t="str">
        <f>INDEX('Main Data'!$A$1:$O$1001,MATCH('Index&amp;Match'!$A497,'Main Data'!$A$1:$A$1001,0),MATCH('Index&amp;Match'!E496,'Main Data'!$A496:$O496,0))</f>
        <v>West</v>
      </c>
      <c r="F497" s="2" t="str">
        <f>INDEX('Main Data'!$A$1:$O$1001,MATCH('Index&amp;Match'!$A497,'Main Data'!$A$1:$A$1001,0),MATCH('Index&amp;Match'!F496,'Main Data'!$A496:$O496,0))</f>
        <v>Credit Card</v>
      </c>
      <c r="G497" s="2" t="str">
        <f>INDEX('Main Data'!$A$1:$O$1001,MATCH('Index&amp;Match'!$A497,'Main Data'!$A$1:$A$1001,0),MATCH('Index&amp;Match'!G496,'Main Data'!$A496:$O496,0))</f>
        <v>Email Campaign</v>
      </c>
      <c r="H497" s="2" t="str">
        <f>INDEX('Main Data'!$A$1:$O$1001,MATCH('Index&amp;Match'!$A497,'Main Data'!$A$1:$A$1001,0),MATCH('Index&amp;Match'!H496,'Main Data'!$A496:$O496,0))</f>
        <v>Retail</v>
      </c>
      <c r="I497" s="2">
        <f>INDEX('Main Data'!$A$1:$O$1001,MATCH('Index&amp;Match'!$A497,'Main Data'!$A$1:$A$1001,0),MATCH('Index&amp;Match'!I496,'Main Data'!$A496:$O496,0))</f>
        <v>43</v>
      </c>
      <c r="J497" s="2">
        <f>INDEX('Main Data'!$A$1:$O$1001,MATCH('Index&amp;Match'!$A497,'Main Data'!$A$1:$A$1001,0),MATCH('Index&amp;Match'!J496,'Main Data'!$A496:$O496,0))</f>
        <v>43</v>
      </c>
      <c r="K497" s="11">
        <f>INDEX('Main Data'!$A$1:$O$1001,MATCH('Index&amp;Match'!$A497,'Main Data'!$A$1:$A$1001,0),MATCH('Index&amp;Match'!K496,'Main Data'!$A496:$O496,0))</f>
        <v>23169.18</v>
      </c>
      <c r="L497" s="11">
        <f>INDEX('Main Data'!$A$1:$O$1001,MATCH('Index&amp;Match'!$A497,'Main Data'!$A$1:$A$1001,0),MATCH('Index&amp;Match'!L496,'Main Data'!$A496:$O496,0))</f>
        <v>174.63</v>
      </c>
      <c r="M497" s="11">
        <f>INDEX('Main Data'!$A$1:$O$1001,MATCH('Index&amp;Match'!$A497,'Main Data'!$A$1:$A$1001,0),MATCH('Index&amp;Match'!M496,'Main Data'!$A496:$O496,0))</f>
        <v>186.67</v>
      </c>
      <c r="N497" s="2" t="str">
        <f>INDEX('Main Data'!$A$1:$O$1001,MATCH('Index&amp;Match'!$A497,'Main Data'!$A$1:$A$1001,0),MATCH('Index&amp;Match'!N496,'Main Data'!$A496:$O496,0))</f>
        <v>Yes</v>
      </c>
      <c r="O497" s="2">
        <f>INDEX('Main Data'!$A$1:$O$1001,MATCH('Index&amp;Match'!$A497,'Main Data'!$A$1:$A$1001,0),MATCH('Index&amp;Match'!O496,'Main Data'!$A496:$O496,0))</f>
        <v>43</v>
      </c>
    </row>
    <row r="498" spans="1:15" x14ac:dyDescent="0.3">
      <c r="A498" s="2" t="s">
        <v>555</v>
      </c>
      <c r="B498" s="1">
        <f>INDEX('Main Data'!$A$1:$O$1001,MATCH('Index&amp;Match'!$A498,'Main Data'!$A$1:$A$1001,0),MATCH('Index&amp;Match'!B497,'Main Data'!$A497:$O497,0))</f>
        <v>45932</v>
      </c>
      <c r="C498" s="2" t="str">
        <f>INDEX('Main Data'!$A$1:$O$1001,MATCH('Index&amp;Match'!$A498,'Main Data'!$A$1:$A$1001,0),MATCH('Index&amp;Match'!C497,'Main Data'!$A497:$O497,0))</f>
        <v>Taylor</v>
      </c>
      <c r="D498" s="2" t="str">
        <f>INDEX('Main Data'!$A$1:$O$1001,MATCH('Index&amp;Match'!$A498,'Main Data'!$A$1:$A$1001,0),MATCH('Index&amp;Match'!D497,'Main Data'!$A497:$O497,0))</f>
        <v>BR-011</v>
      </c>
      <c r="E498" s="2" t="str">
        <f>INDEX('Main Data'!$A$1:$O$1001,MATCH('Index&amp;Match'!$A498,'Main Data'!$A$1:$A$1001,0),MATCH('Index&amp;Match'!E497,'Main Data'!$A497:$O497,0))</f>
        <v>East</v>
      </c>
      <c r="F498" s="2" t="str">
        <f>INDEX('Main Data'!$A$1:$O$1001,MATCH('Index&amp;Match'!$A498,'Main Data'!$A$1:$A$1001,0),MATCH('Index&amp;Match'!F497,'Main Data'!$A497:$O497,0))</f>
        <v>Personal Loan</v>
      </c>
      <c r="G498" s="2" t="str">
        <f>INDEX('Main Data'!$A$1:$O$1001,MATCH('Index&amp;Match'!$A498,'Main Data'!$A$1:$A$1001,0),MATCH('Index&amp;Match'!G497,'Main Data'!$A497:$O497,0))</f>
        <v>Referral</v>
      </c>
      <c r="H498" s="2" t="str">
        <f>INDEX('Main Data'!$A$1:$O$1001,MATCH('Index&amp;Match'!$A498,'Main Data'!$A$1:$A$1001,0),MATCH('Index&amp;Match'!H497,'Main Data'!$A497:$O497,0))</f>
        <v>Corporate</v>
      </c>
      <c r="I498" s="2">
        <f>INDEX('Main Data'!$A$1:$O$1001,MATCH('Index&amp;Match'!$A498,'Main Data'!$A$1:$A$1001,0),MATCH('Index&amp;Match'!I497,'Main Data'!$A497:$O497,0))</f>
        <v>52</v>
      </c>
      <c r="J498" s="2">
        <f>INDEX('Main Data'!$A$1:$O$1001,MATCH('Index&amp;Match'!$A498,'Main Data'!$A$1:$A$1001,0),MATCH('Index&amp;Match'!J497,'Main Data'!$A497:$O497,0))</f>
        <v>52</v>
      </c>
      <c r="K498" s="11">
        <f>INDEX('Main Data'!$A$1:$O$1001,MATCH('Index&amp;Match'!$A498,'Main Data'!$A$1:$A$1001,0),MATCH('Index&amp;Match'!K497,'Main Data'!$A497:$O497,0))</f>
        <v>20141.07</v>
      </c>
      <c r="L498" s="11">
        <f>INDEX('Main Data'!$A$1:$O$1001,MATCH('Index&amp;Match'!$A498,'Main Data'!$A$1:$A$1001,0),MATCH('Index&amp;Match'!L497,'Main Data'!$A497:$O497,0))</f>
        <v>79.61</v>
      </c>
      <c r="M498" s="11">
        <f>INDEX('Main Data'!$A$1:$O$1001,MATCH('Index&amp;Match'!$A498,'Main Data'!$A$1:$A$1001,0),MATCH('Index&amp;Match'!M497,'Main Data'!$A497:$O497,0))</f>
        <v>171.75</v>
      </c>
      <c r="N498" s="2" t="str">
        <f>INDEX('Main Data'!$A$1:$O$1001,MATCH('Index&amp;Match'!$A498,'Main Data'!$A$1:$A$1001,0),MATCH('Index&amp;Match'!N497,'Main Data'!$A497:$O497,0))</f>
        <v>No</v>
      </c>
      <c r="O498" s="2">
        <f>INDEX('Main Data'!$A$1:$O$1001,MATCH('Index&amp;Match'!$A498,'Main Data'!$A$1:$A$1001,0),MATCH('Index&amp;Match'!O497,'Main Data'!$A497:$O497,0))</f>
        <v>52</v>
      </c>
    </row>
    <row r="499" spans="1:15" x14ac:dyDescent="0.3">
      <c r="A499" s="2" t="s">
        <v>556</v>
      </c>
      <c r="B499" s="1">
        <f>INDEX('Main Data'!$A$1:$O$1001,MATCH('Index&amp;Match'!$A499,'Main Data'!$A$1:$A$1001,0),MATCH('Index&amp;Match'!B498,'Main Data'!$A498:$O498,0))</f>
        <v>45953</v>
      </c>
      <c r="C499" s="2" t="str">
        <f>INDEX('Main Data'!$A$1:$O$1001,MATCH('Index&amp;Match'!$A499,'Main Data'!$A$1:$A$1001,0),MATCH('Index&amp;Match'!C498,'Main Data'!$A498:$O498,0))</f>
        <v>Morgan</v>
      </c>
      <c r="D499" s="2" t="str">
        <f>INDEX('Main Data'!$A$1:$O$1001,MATCH('Index&amp;Match'!$A499,'Main Data'!$A$1:$A$1001,0),MATCH('Index&amp;Match'!D498,'Main Data'!$A498:$O498,0))</f>
        <v>BR-004</v>
      </c>
      <c r="E499" s="2" t="str">
        <f>INDEX('Main Data'!$A$1:$O$1001,MATCH('Index&amp;Match'!$A499,'Main Data'!$A$1:$A$1001,0),MATCH('Index&amp;Match'!E498,'Main Data'!$A498:$O498,0))</f>
        <v>Central</v>
      </c>
      <c r="F499" s="2" t="str">
        <f>INDEX('Main Data'!$A$1:$O$1001,MATCH('Index&amp;Match'!$A499,'Main Data'!$A$1:$A$1001,0),MATCH('Index&amp;Match'!F498,'Main Data'!$A498:$O498,0))</f>
        <v>Credit Card</v>
      </c>
      <c r="G499" s="2" t="str">
        <f>INDEX('Main Data'!$A$1:$O$1001,MATCH('Index&amp;Match'!$A499,'Main Data'!$A$1:$A$1001,0),MATCH('Index&amp;Match'!G498,'Main Data'!$A498:$O498,0))</f>
        <v>Social Media</v>
      </c>
      <c r="H499" s="2" t="str">
        <f>INDEX('Main Data'!$A$1:$O$1001,MATCH('Index&amp;Match'!$A499,'Main Data'!$A$1:$A$1001,0),MATCH('Index&amp;Match'!H498,'Main Data'!$A498:$O498,0))</f>
        <v>SME</v>
      </c>
      <c r="I499" s="2">
        <f>INDEX('Main Data'!$A$1:$O$1001,MATCH('Index&amp;Match'!$A499,'Main Data'!$A$1:$A$1001,0),MATCH('Index&amp;Match'!I498,'Main Data'!$A498:$O498,0))</f>
        <v>31</v>
      </c>
      <c r="J499" s="2">
        <f>INDEX('Main Data'!$A$1:$O$1001,MATCH('Index&amp;Match'!$A499,'Main Data'!$A$1:$A$1001,0),MATCH('Index&amp;Match'!J498,'Main Data'!$A498:$O498,0))</f>
        <v>31</v>
      </c>
      <c r="K499" s="11">
        <f>INDEX('Main Data'!$A$1:$O$1001,MATCH('Index&amp;Match'!$A499,'Main Data'!$A$1:$A$1001,0),MATCH('Index&amp;Match'!K498,'Main Data'!$A498:$O498,0))</f>
        <v>21844.92</v>
      </c>
      <c r="L499" s="11">
        <f>INDEX('Main Data'!$A$1:$O$1001,MATCH('Index&amp;Match'!$A499,'Main Data'!$A$1:$A$1001,0),MATCH('Index&amp;Match'!L498,'Main Data'!$A498:$O498,0))</f>
        <v>367.69</v>
      </c>
      <c r="M499" s="11">
        <f>INDEX('Main Data'!$A$1:$O$1001,MATCH('Index&amp;Match'!$A499,'Main Data'!$A$1:$A$1001,0),MATCH('Index&amp;Match'!M498,'Main Data'!$A498:$O498,0))</f>
        <v>138.68</v>
      </c>
      <c r="N499" s="2" t="str">
        <f>INDEX('Main Data'!$A$1:$O$1001,MATCH('Index&amp;Match'!$A499,'Main Data'!$A$1:$A$1001,0),MATCH('Index&amp;Match'!N498,'Main Data'!$A498:$O498,0))</f>
        <v>No</v>
      </c>
      <c r="O499" s="2">
        <f>INDEX('Main Data'!$A$1:$O$1001,MATCH('Index&amp;Match'!$A499,'Main Data'!$A$1:$A$1001,0),MATCH('Index&amp;Match'!O498,'Main Data'!$A498:$O498,0))</f>
        <v>31</v>
      </c>
    </row>
    <row r="500" spans="1:15" x14ac:dyDescent="0.3">
      <c r="A500" s="2" t="s">
        <v>557</v>
      </c>
      <c r="B500" s="1">
        <f>INDEX('Main Data'!$A$1:$O$1001,MATCH('Index&amp;Match'!$A500,'Main Data'!$A$1:$A$1001,0),MATCH('Index&amp;Match'!B499,'Main Data'!$A499:$O499,0))</f>
        <v>46042</v>
      </c>
      <c r="C500" s="2" t="str">
        <f>INDEX('Main Data'!$A$1:$O$1001,MATCH('Index&amp;Match'!$A500,'Main Data'!$A$1:$A$1001,0),MATCH('Index&amp;Match'!C499,'Main Data'!$A499:$O499,0))</f>
        <v>Alex</v>
      </c>
      <c r="D500" s="2" t="str">
        <f>INDEX('Main Data'!$A$1:$O$1001,MATCH('Index&amp;Match'!$A500,'Main Data'!$A$1:$A$1001,0),MATCH('Index&amp;Match'!D499,'Main Data'!$A499:$O499,0))</f>
        <v>BR-013</v>
      </c>
      <c r="E500" s="2" t="str">
        <f>INDEX('Main Data'!$A$1:$O$1001,MATCH('Index&amp;Match'!$A500,'Main Data'!$A$1:$A$1001,0),MATCH('Index&amp;Match'!E499,'Main Data'!$A499:$O499,0))</f>
        <v>West</v>
      </c>
      <c r="F500" s="2" t="str">
        <f>INDEX('Main Data'!$A$1:$O$1001,MATCH('Index&amp;Match'!$A500,'Main Data'!$A$1:$A$1001,0),MATCH('Index&amp;Match'!F499,'Main Data'!$A499:$O499,0))</f>
        <v>Mortgage</v>
      </c>
      <c r="G500" s="2" t="str">
        <f>INDEX('Main Data'!$A$1:$O$1001,MATCH('Index&amp;Match'!$A500,'Main Data'!$A$1:$A$1001,0),MATCH('Index&amp;Match'!G499,'Main Data'!$A499:$O499,0))</f>
        <v>Referral</v>
      </c>
      <c r="H500" s="2" t="str">
        <f>INDEX('Main Data'!$A$1:$O$1001,MATCH('Index&amp;Match'!$A500,'Main Data'!$A$1:$A$1001,0),MATCH('Index&amp;Match'!H499,'Main Data'!$A499:$O499,0))</f>
        <v>SME</v>
      </c>
      <c r="I500" s="2">
        <f>INDEX('Main Data'!$A$1:$O$1001,MATCH('Index&amp;Match'!$A500,'Main Data'!$A$1:$A$1001,0),MATCH('Index&amp;Match'!I499,'Main Data'!$A499:$O499,0))</f>
        <v>59</v>
      </c>
      <c r="J500" s="2">
        <f>INDEX('Main Data'!$A$1:$O$1001,MATCH('Index&amp;Match'!$A500,'Main Data'!$A$1:$A$1001,0),MATCH('Index&amp;Match'!J499,'Main Data'!$A499:$O499,0))</f>
        <v>59</v>
      </c>
      <c r="K500" s="11">
        <f>INDEX('Main Data'!$A$1:$O$1001,MATCH('Index&amp;Match'!$A500,'Main Data'!$A$1:$A$1001,0),MATCH('Index&amp;Match'!K499,'Main Data'!$A499:$O499,0))</f>
        <v>28680.25</v>
      </c>
      <c r="L500" s="11">
        <f>INDEX('Main Data'!$A$1:$O$1001,MATCH('Index&amp;Match'!$A500,'Main Data'!$A$1:$A$1001,0),MATCH('Index&amp;Match'!L499,'Main Data'!$A499:$O499,0))</f>
        <v>157.19</v>
      </c>
      <c r="M500" s="11">
        <f>INDEX('Main Data'!$A$1:$O$1001,MATCH('Index&amp;Match'!$A500,'Main Data'!$A$1:$A$1001,0),MATCH('Index&amp;Match'!M499,'Main Data'!$A499:$O499,0))</f>
        <v>34.049999999999997</v>
      </c>
      <c r="N500" s="2" t="str">
        <f>INDEX('Main Data'!$A$1:$O$1001,MATCH('Index&amp;Match'!$A500,'Main Data'!$A$1:$A$1001,0),MATCH('Index&amp;Match'!N499,'Main Data'!$A499:$O499,0))</f>
        <v>No</v>
      </c>
      <c r="O500" s="2">
        <f>INDEX('Main Data'!$A$1:$O$1001,MATCH('Index&amp;Match'!$A500,'Main Data'!$A$1:$A$1001,0),MATCH('Index&amp;Match'!O499,'Main Data'!$A499:$O499,0))</f>
        <v>59</v>
      </c>
    </row>
    <row r="501" spans="1:15" x14ac:dyDescent="0.3">
      <c r="A501" s="2" t="s">
        <v>558</v>
      </c>
      <c r="B501" s="1">
        <f>INDEX('Main Data'!$A$1:$O$1001,MATCH('Index&amp;Match'!$A501,'Main Data'!$A$1:$A$1001,0),MATCH('Index&amp;Match'!B500,'Main Data'!$A500:$O500,0))</f>
        <v>46234</v>
      </c>
      <c r="C501" s="2" t="str">
        <f>INDEX('Main Data'!$A$1:$O$1001,MATCH('Index&amp;Match'!$A501,'Main Data'!$A$1:$A$1001,0),MATCH('Index&amp;Match'!C500,'Main Data'!$A500:$O500,0))</f>
        <v>Morgan</v>
      </c>
      <c r="D501" s="2" t="str">
        <f>INDEX('Main Data'!$A$1:$O$1001,MATCH('Index&amp;Match'!$A501,'Main Data'!$A$1:$A$1001,0),MATCH('Index&amp;Match'!D500,'Main Data'!$A500:$O500,0))</f>
        <v>BR-006</v>
      </c>
      <c r="E501" s="2" t="str">
        <f>INDEX('Main Data'!$A$1:$O$1001,MATCH('Index&amp;Match'!$A501,'Main Data'!$A$1:$A$1001,0),MATCH('Index&amp;Match'!E500,'Main Data'!$A500:$O500,0))</f>
        <v>South</v>
      </c>
      <c r="F501" s="2" t="str">
        <f>INDEX('Main Data'!$A$1:$O$1001,MATCH('Index&amp;Match'!$A501,'Main Data'!$A$1:$A$1001,0),MATCH('Index&amp;Match'!F500,'Main Data'!$A500:$O500,0))</f>
        <v>Mortgage</v>
      </c>
      <c r="G501" s="2" t="str">
        <f>INDEX('Main Data'!$A$1:$O$1001,MATCH('Index&amp;Match'!$A501,'Main Data'!$A$1:$A$1001,0),MATCH('Index&amp;Match'!G500,'Main Data'!$A500:$O500,0))</f>
        <v>Walk-in</v>
      </c>
      <c r="H501" s="2" t="str">
        <f>INDEX('Main Data'!$A$1:$O$1001,MATCH('Index&amp;Match'!$A501,'Main Data'!$A$1:$A$1001,0),MATCH('Index&amp;Match'!H500,'Main Data'!$A500:$O500,0))</f>
        <v>Retail</v>
      </c>
      <c r="I501" s="2">
        <f>INDEX('Main Data'!$A$1:$O$1001,MATCH('Index&amp;Match'!$A501,'Main Data'!$A$1:$A$1001,0),MATCH('Index&amp;Match'!I500,'Main Data'!$A500:$O500,0))</f>
        <v>67</v>
      </c>
      <c r="J501" s="2">
        <f>INDEX('Main Data'!$A$1:$O$1001,MATCH('Index&amp;Match'!$A501,'Main Data'!$A$1:$A$1001,0),MATCH('Index&amp;Match'!J500,'Main Data'!$A500:$O500,0))</f>
        <v>67</v>
      </c>
      <c r="K501" s="11">
        <f>INDEX('Main Data'!$A$1:$O$1001,MATCH('Index&amp;Match'!$A501,'Main Data'!$A$1:$A$1001,0),MATCH('Index&amp;Match'!K500,'Main Data'!$A500:$O500,0))</f>
        <v>602.79</v>
      </c>
      <c r="L501" s="11">
        <f>INDEX('Main Data'!$A$1:$O$1001,MATCH('Index&amp;Match'!$A501,'Main Data'!$A$1:$A$1001,0),MATCH('Index&amp;Match'!L500,'Main Data'!$A500:$O500,0))</f>
        <v>224.9</v>
      </c>
      <c r="M501" s="11">
        <f>INDEX('Main Data'!$A$1:$O$1001,MATCH('Index&amp;Match'!$A501,'Main Data'!$A$1:$A$1001,0),MATCH('Index&amp;Match'!M500,'Main Data'!$A500:$O500,0))</f>
        <v>54.34</v>
      </c>
      <c r="N501" s="2" t="str">
        <f>INDEX('Main Data'!$A$1:$O$1001,MATCH('Index&amp;Match'!$A501,'Main Data'!$A$1:$A$1001,0),MATCH('Index&amp;Match'!N500,'Main Data'!$A500:$O500,0))</f>
        <v>No</v>
      </c>
      <c r="O501" s="2">
        <f>INDEX('Main Data'!$A$1:$O$1001,MATCH('Index&amp;Match'!$A501,'Main Data'!$A$1:$A$1001,0),MATCH('Index&amp;Match'!O500,'Main Data'!$A500:$O500,0))</f>
        <v>67</v>
      </c>
    </row>
    <row r="502" spans="1:15" x14ac:dyDescent="0.3">
      <c r="A502" s="2" t="s">
        <v>559</v>
      </c>
      <c r="B502" s="1">
        <f>INDEX('Main Data'!$A$1:$O$1001,MATCH('Index&amp;Match'!$A502,'Main Data'!$A$1:$A$1001,0),MATCH('Index&amp;Match'!B501,'Main Data'!$A501:$O501,0))</f>
        <v>46162</v>
      </c>
      <c r="C502" s="2" t="str">
        <f>INDEX('Main Data'!$A$1:$O$1001,MATCH('Index&amp;Match'!$A502,'Main Data'!$A$1:$A$1001,0),MATCH('Index&amp;Match'!C501,'Main Data'!$A501:$O501,0))</f>
        <v>Jamie</v>
      </c>
      <c r="D502" s="2" t="str">
        <f>INDEX('Main Data'!$A$1:$O$1001,MATCH('Index&amp;Match'!$A502,'Main Data'!$A$1:$A$1001,0),MATCH('Index&amp;Match'!D501,'Main Data'!$A501:$O501,0))</f>
        <v>BR-009</v>
      </c>
      <c r="E502" s="2" t="str">
        <f>INDEX('Main Data'!$A$1:$O$1001,MATCH('Index&amp;Match'!$A502,'Main Data'!$A$1:$A$1001,0),MATCH('Index&amp;Match'!E501,'Main Data'!$A501:$O501,0))</f>
        <v>South</v>
      </c>
      <c r="F502" s="2" t="str">
        <f>INDEX('Main Data'!$A$1:$O$1001,MATCH('Index&amp;Match'!$A502,'Main Data'!$A$1:$A$1001,0),MATCH('Index&amp;Match'!F501,'Main Data'!$A501:$O501,0))</f>
        <v>Mortgage</v>
      </c>
      <c r="G502" s="2" t="str">
        <f>INDEX('Main Data'!$A$1:$O$1001,MATCH('Index&amp;Match'!$A502,'Main Data'!$A$1:$A$1001,0),MATCH('Index&amp;Match'!G501,'Main Data'!$A501:$O501,0))</f>
        <v>Walk-in</v>
      </c>
      <c r="H502" s="2" t="str">
        <f>INDEX('Main Data'!$A$1:$O$1001,MATCH('Index&amp;Match'!$A502,'Main Data'!$A$1:$A$1001,0),MATCH('Index&amp;Match'!H501,'Main Data'!$A501:$O501,0))</f>
        <v>High Net Worth</v>
      </c>
      <c r="I502" s="2">
        <f>INDEX('Main Data'!$A$1:$O$1001,MATCH('Index&amp;Match'!$A502,'Main Data'!$A$1:$A$1001,0),MATCH('Index&amp;Match'!I501,'Main Data'!$A501:$O501,0))</f>
        <v>74</v>
      </c>
      <c r="J502" s="2">
        <f>INDEX('Main Data'!$A$1:$O$1001,MATCH('Index&amp;Match'!$A502,'Main Data'!$A$1:$A$1001,0),MATCH('Index&amp;Match'!J501,'Main Data'!$A501:$O501,0))</f>
        <v>74</v>
      </c>
      <c r="K502" s="11">
        <f>INDEX('Main Data'!$A$1:$O$1001,MATCH('Index&amp;Match'!$A502,'Main Data'!$A$1:$A$1001,0),MATCH('Index&amp;Match'!K501,'Main Data'!$A501:$O501,0))</f>
        <v>13405.08</v>
      </c>
      <c r="L502" s="11">
        <f>INDEX('Main Data'!$A$1:$O$1001,MATCH('Index&amp;Match'!$A502,'Main Data'!$A$1:$A$1001,0),MATCH('Index&amp;Match'!L501,'Main Data'!$A501:$O501,0))</f>
        <v>249.67</v>
      </c>
      <c r="M502" s="11">
        <f>INDEX('Main Data'!$A$1:$O$1001,MATCH('Index&amp;Match'!$A502,'Main Data'!$A$1:$A$1001,0),MATCH('Index&amp;Match'!M501,'Main Data'!$A501:$O501,0))</f>
        <v>63.82</v>
      </c>
      <c r="N502" s="2" t="str">
        <f>INDEX('Main Data'!$A$1:$O$1001,MATCH('Index&amp;Match'!$A502,'Main Data'!$A$1:$A$1001,0),MATCH('Index&amp;Match'!N501,'Main Data'!$A501:$O501,0))</f>
        <v>Yes</v>
      </c>
      <c r="O502" s="2">
        <f>INDEX('Main Data'!$A$1:$O$1001,MATCH('Index&amp;Match'!$A502,'Main Data'!$A$1:$A$1001,0),MATCH('Index&amp;Match'!O501,'Main Data'!$A501:$O501,0))</f>
        <v>74</v>
      </c>
    </row>
    <row r="503" spans="1:15" x14ac:dyDescent="0.3">
      <c r="A503" s="2" t="s">
        <v>560</v>
      </c>
      <c r="B503" s="1">
        <f>INDEX('Main Data'!$A$1:$O$1001,MATCH('Index&amp;Match'!$A503,'Main Data'!$A$1:$A$1001,0),MATCH('Index&amp;Match'!B502,'Main Data'!$A502:$O502,0))</f>
        <v>45911</v>
      </c>
      <c r="C503" s="2" t="str">
        <f>INDEX('Main Data'!$A$1:$O$1001,MATCH('Index&amp;Match'!$A503,'Main Data'!$A$1:$A$1001,0),MATCH('Index&amp;Match'!C502,'Main Data'!$A502:$O502,0))</f>
        <v>Casey</v>
      </c>
      <c r="D503" s="2" t="str">
        <f>INDEX('Main Data'!$A$1:$O$1001,MATCH('Index&amp;Match'!$A503,'Main Data'!$A$1:$A$1001,0),MATCH('Index&amp;Match'!D502,'Main Data'!$A502:$O502,0))</f>
        <v>BR-001</v>
      </c>
      <c r="E503" s="2" t="str">
        <f>INDEX('Main Data'!$A$1:$O$1001,MATCH('Index&amp;Match'!$A503,'Main Data'!$A$1:$A$1001,0),MATCH('Index&amp;Match'!E502,'Main Data'!$A502:$O502,0))</f>
        <v>North</v>
      </c>
      <c r="F503" s="2" t="str">
        <f>INDEX('Main Data'!$A$1:$O$1001,MATCH('Index&amp;Match'!$A503,'Main Data'!$A$1:$A$1001,0),MATCH('Index&amp;Match'!F502,'Main Data'!$A502:$O502,0))</f>
        <v>Personal Loan</v>
      </c>
      <c r="G503" s="2" t="str">
        <f>INDEX('Main Data'!$A$1:$O$1001,MATCH('Index&amp;Match'!$A503,'Main Data'!$A$1:$A$1001,0),MATCH('Index&amp;Match'!G502,'Main Data'!$A502:$O502,0))</f>
        <v>Walk-in</v>
      </c>
      <c r="H503" s="2" t="str">
        <f>INDEX('Main Data'!$A$1:$O$1001,MATCH('Index&amp;Match'!$A503,'Main Data'!$A$1:$A$1001,0),MATCH('Index&amp;Match'!H502,'Main Data'!$A502:$O502,0))</f>
        <v>High Net Worth</v>
      </c>
      <c r="I503" s="2">
        <f>INDEX('Main Data'!$A$1:$O$1001,MATCH('Index&amp;Match'!$A503,'Main Data'!$A$1:$A$1001,0),MATCH('Index&amp;Match'!I502,'Main Data'!$A502:$O502,0))</f>
        <v>44</v>
      </c>
      <c r="J503" s="2">
        <f>INDEX('Main Data'!$A$1:$O$1001,MATCH('Index&amp;Match'!$A503,'Main Data'!$A$1:$A$1001,0),MATCH('Index&amp;Match'!J502,'Main Data'!$A502:$O502,0))</f>
        <v>44</v>
      </c>
      <c r="K503" s="11">
        <f>INDEX('Main Data'!$A$1:$O$1001,MATCH('Index&amp;Match'!$A503,'Main Data'!$A$1:$A$1001,0),MATCH('Index&amp;Match'!K502,'Main Data'!$A502:$O502,0))</f>
        <v>26154.85</v>
      </c>
      <c r="L503" s="11">
        <f>INDEX('Main Data'!$A$1:$O$1001,MATCH('Index&amp;Match'!$A503,'Main Data'!$A$1:$A$1001,0),MATCH('Index&amp;Match'!L502,'Main Data'!$A502:$O502,0))</f>
        <v>451.09</v>
      </c>
      <c r="M503" s="11">
        <f>INDEX('Main Data'!$A$1:$O$1001,MATCH('Index&amp;Match'!$A503,'Main Data'!$A$1:$A$1001,0),MATCH('Index&amp;Match'!M502,'Main Data'!$A502:$O502,0))</f>
        <v>181.08</v>
      </c>
      <c r="N503" s="2" t="str">
        <f>INDEX('Main Data'!$A$1:$O$1001,MATCH('Index&amp;Match'!$A503,'Main Data'!$A$1:$A$1001,0),MATCH('Index&amp;Match'!N502,'Main Data'!$A502:$O502,0))</f>
        <v>Yes</v>
      </c>
      <c r="O503" s="2">
        <f>INDEX('Main Data'!$A$1:$O$1001,MATCH('Index&amp;Match'!$A503,'Main Data'!$A$1:$A$1001,0),MATCH('Index&amp;Match'!O502,'Main Data'!$A502:$O502,0))</f>
        <v>44</v>
      </c>
    </row>
    <row r="504" spans="1:15" x14ac:dyDescent="0.3">
      <c r="A504" s="2" t="s">
        <v>561</v>
      </c>
      <c r="B504" s="1">
        <f>INDEX('Main Data'!$A$1:$O$1001,MATCH('Index&amp;Match'!$A504,'Main Data'!$A$1:$A$1001,0),MATCH('Index&amp;Match'!B503,'Main Data'!$A503:$O503,0))</f>
        <v>45960</v>
      </c>
      <c r="C504" s="2" t="str">
        <f>INDEX('Main Data'!$A$1:$O$1001,MATCH('Index&amp;Match'!$A504,'Main Data'!$A$1:$A$1001,0),MATCH('Index&amp;Match'!C503,'Main Data'!$A503:$O503,0))</f>
        <v>Casey</v>
      </c>
      <c r="D504" s="2" t="str">
        <f>INDEX('Main Data'!$A$1:$O$1001,MATCH('Index&amp;Match'!$A504,'Main Data'!$A$1:$A$1001,0),MATCH('Index&amp;Match'!D503,'Main Data'!$A503:$O503,0))</f>
        <v>BR-013</v>
      </c>
      <c r="E504" s="2" t="str">
        <f>INDEX('Main Data'!$A$1:$O$1001,MATCH('Index&amp;Match'!$A504,'Main Data'!$A$1:$A$1001,0),MATCH('Index&amp;Match'!E503,'Main Data'!$A503:$O503,0))</f>
        <v>Central</v>
      </c>
      <c r="F504" s="2" t="str">
        <f>INDEX('Main Data'!$A$1:$O$1001,MATCH('Index&amp;Match'!$A504,'Main Data'!$A$1:$A$1001,0),MATCH('Index&amp;Match'!F503,'Main Data'!$A503:$O503,0))</f>
        <v>Mortgage</v>
      </c>
      <c r="G504" s="2" t="str">
        <f>INDEX('Main Data'!$A$1:$O$1001,MATCH('Index&amp;Match'!$A504,'Main Data'!$A$1:$A$1001,0),MATCH('Index&amp;Match'!G503,'Main Data'!$A503:$O503,0))</f>
        <v>Referral</v>
      </c>
      <c r="H504" s="2" t="str">
        <f>INDEX('Main Data'!$A$1:$O$1001,MATCH('Index&amp;Match'!$A504,'Main Data'!$A$1:$A$1001,0),MATCH('Index&amp;Match'!H503,'Main Data'!$A503:$O503,0))</f>
        <v>Retail</v>
      </c>
      <c r="I504" s="2">
        <f>INDEX('Main Data'!$A$1:$O$1001,MATCH('Index&amp;Match'!$A504,'Main Data'!$A$1:$A$1001,0),MATCH('Index&amp;Match'!I503,'Main Data'!$A503:$O503,0))</f>
        <v>31</v>
      </c>
      <c r="J504" s="2">
        <f>INDEX('Main Data'!$A$1:$O$1001,MATCH('Index&amp;Match'!$A504,'Main Data'!$A$1:$A$1001,0),MATCH('Index&amp;Match'!J503,'Main Data'!$A503:$O503,0))</f>
        <v>31</v>
      </c>
      <c r="K504" s="11">
        <f>INDEX('Main Data'!$A$1:$O$1001,MATCH('Index&amp;Match'!$A504,'Main Data'!$A$1:$A$1001,0),MATCH('Index&amp;Match'!K503,'Main Data'!$A503:$O503,0))</f>
        <v>36249.699999999997</v>
      </c>
      <c r="L504" s="11">
        <f>INDEX('Main Data'!$A$1:$O$1001,MATCH('Index&amp;Match'!$A504,'Main Data'!$A$1:$A$1001,0),MATCH('Index&amp;Match'!L503,'Main Data'!$A503:$O503,0))</f>
        <v>235.1</v>
      </c>
      <c r="M504" s="11">
        <f>INDEX('Main Data'!$A$1:$O$1001,MATCH('Index&amp;Match'!$A504,'Main Data'!$A$1:$A$1001,0),MATCH('Index&amp;Match'!M503,'Main Data'!$A503:$O503,0))</f>
        <v>100.72</v>
      </c>
      <c r="N504" s="2" t="str">
        <f>INDEX('Main Data'!$A$1:$O$1001,MATCH('Index&amp;Match'!$A504,'Main Data'!$A$1:$A$1001,0),MATCH('Index&amp;Match'!N503,'Main Data'!$A503:$O503,0))</f>
        <v>Yes</v>
      </c>
      <c r="O504" s="2">
        <f>INDEX('Main Data'!$A$1:$O$1001,MATCH('Index&amp;Match'!$A504,'Main Data'!$A$1:$A$1001,0),MATCH('Index&amp;Match'!O503,'Main Data'!$A503:$O503,0))</f>
        <v>31</v>
      </c>
    </row>
    <row r="505" spans="1:15" x14ac:dyDescent="0.3">
      <c r="A505" s="2" t="s">
        <v>562</v>
      </c>
      <c r="B505" s="1">
        <f>INDEX('Main Data'!$A$1:$O$1001,MATCH('Index&amp;Match'!$A505,'Main Data'!$A$1:$A$1001,0),MATCH('Index&amp;Match'!B504,'Main Data'!$A504:$O504,0))</f>
        <v>45910</v>
      </c>
      <c r="C505" s="2" t="str">
        <f>INDEX('Main Data'!$A$1:$O$1001,MATCH('Index&amp;Match'!$A505,'Main Data'!$A$1:$A$1001,0),MATCH('Index&amp;Match'!C504,'Main Data'!$A504:$O504,0))</f>
        <v>Drew</v>
      </c>
      <c r="D505" s="2" t="str">
        <f>INDEX('Main Data'!$A$1:$O$1001,MATCH('Index&amp;Match'!$A505,'Main Data'!$A$1:$A$1001,0),MATCH('Index&amp;Match'!D504,'Main Data'!$A504:$O504,0))</f>
        <v>BR-005</v>
      </c>
      <c r="E505" s="2" t="str">
        <f>INDEX('Main Data'!$A$1:$O$1001,MATCH('Index&amp;Match'!$A505,'Main Data'!$A$1:$A$1001,0),MATCH('Index&amp;Match'!E504,'Main Data'!$A504:$O504,0))</f>
        <v>West</v>
      </c>
      <c r="F505" s="2" t="str">
        <f>INDEX('Main Data'!$A$1:$O$1001,MATCH('Index&amp;Match'!$A505,'Main Data'!$A$1:$A$1001,0),MATCH('Index&amp;Match'!F504,'Main Data'!$A504:$O504,0))</f>
        <v>Credit Card</v>
      </c>
      <c r="G505" s="2" t="str">
        <f>INDEX('Main Data'!$A$1:$O$1001,MATCH('Index&amp;Match'!$A505,'Main Data'!$A$1:$A$1001,0),MATCH('Index&amp;Match'!G504,'Main Data'!$A504:$O504,0))</f>
        <v>Social Media</v>
      </c>
      <c r="H505" s="2" t="str">
        <f>INDEX('Main Data'!$A$1:$O$1001,MATCH('Index&amp;Match'!$A505,'Main Data'!$A$1:$A$1001,0),MATCH('Index&amp;Match'!H504,'Main Data'!$A504:$O504,0))</f>
        <v>Retail</v>
      </c>
      <c r="I505" s="2">
        <f>INDEX('Main Data'!$A$1:$O$1001,MATCH('Index&amp;Match'!$A505,'Main Data'!$A$1:$A$1001,0),MATCH('Index&amp;Match'!I504,'Main Data'!$A504:$O504,0))</f>
        <v>49</v>
      </c>
      <c r="J505" s="2">
        <f>INDEX('Main Data'!$A$1:$O$1001,MATCH('Index&amp;Match'!$A505,'Main Data'!$A$1:$A$1001,0),MATCH('Index&amp;Match'!J504,'Main Data'!$A504:$O504,0))</f>
        <v>49</v>
      </c>
      <c r="K505" s="11">
        <f>INDEX('Main Data'!$A$1:$O$1001,MATCH('Index&amp;Match'!$A505,'Main Data'!$A$1:$A$1001,0),MATCH('Index&amp;Match'!K504,'Main Data'!$A504:$O504,0))</f>
        <v>9120.76</v>
      </c>
      <c r="L505" s="11">
        <f>INDEX('Main Data'!$A$1:$O$1001,MATCH('Index&amp;Match'!$A505,'Main Data'!$A$1:$A$1001,0),MATCH('Index&amp;Match'!L504,'Main Data'!$A504:$O504,0))</f>
        <v>115.35</v>
      </c>
      <c r="M505" s="11">
        <f>INDEX('Main Data'!$A$1:$O$1001,MATCH('Index&amp;Match'!$A505,'Main Data'!$A$1:$A$1001,0),MATCH('Index&amp;Match'!M504,'Main Data'!$A504:$O504,0))</f>
        <v>173.42</v>
      </c>
      <c r="N505" s="2" t="str">
        <f>INDEX('Main Data'!$A$1:$O$1001,MATCH('Index&amp;Match'!$A505,'Main Data'!$A$1:$A$1001,0),MATCH('Index&amp;Match'!N504,'Main Data'!$A504:$O504,0))</f>
        <v>Yes</v>
      </c>
      <c r="O505" s="2">
        <f>INDEX('Main Data'!$A$1:$O$1001,MATCH('Index&amp;Match'!$A505,'Main Data'!$A$1:$A$1001,0),MATCH('Index&amp;Match'!O504,'Main Data'!$A504:$O504,0))</f>
        <v>49</v>
      </c>
    </row>
    <row r="506" spans="1:15" x14ac:dyDescent="0.3">
      <c r="A506" s="2" t="s">
        <v>563</v>
      </c>
      <c r="B506" s="1">
        <f>INDEX('Main Data'!$A$1:$O$1001,MATCH('Index&amp;Match'!$A506,'Main Data'!$A$1:$A$1001,0),MATCH('Index&amp;Match'!B505,'Main Data'!$A505:$O505,0))</f>
        <v>45925</v>
      </c>
      <c r="C506" s="2" t="str">
        <f>INDEX('Main Data'!$A$1:$O$1001,MATCH('Index&amp;Match'!$A506,'Main Data'!$A$1:$A$1001,0),MATCH('Index&amp;Match'!C505,'Main Data'!$A505:$O505,0))</f>
        <v>Jamie</v>
      </c>
      <c r="D506" s="2" t="str">
        <f>INDEX('Main Data'!$A$1:$O$1001,MATCH('Index&amp;Match'!$A506,'Main Data'!$A$1:$A$1001,0),MATCH('Index&amp;Match'!D505,'Main Data'!$A505:$O505,0))</f>
        <v>BR-011</v>
      </c>
      <c r="E506" s="2" t="str">
        <f>INDEX('Main Data'!$A$1:$O$1001,MATCH('Index&amp;Match'!$A506,'Main Data'!$A$1:$A$1001,0),MATCH('Index&amp;Match'!E505,'Main Data'!$A505:$O505,0))</f>
        <v>South</v>
      </c>
      <c r="F506" s="2" t="str">
        <f>INDEX('Main Data'!$A$1:$O$1001,MATCH('Index&amp;Match'!$A506,'Main Data'!$A$1:$A$1001,0),MATCH('Index&amp;Match'!F505,'Main Data'!$A505:$O505,0))</f>
        <v>Auto Loan</v>
      </c>
      <c r="G506" s="2" t="str">
        <f>INDEX('Main Data'!$A$1:$O$1001,MATCH('Index&amp;Match'!$A506,'Main Data'!$A$1:$A$1001,0),MATCH('Index&amp;Match'!G505,'Main Data'!$A505:$O505,0))</f>
        <v>Walk-in</v>
      </c>
      <c r="H506" s="2" t="str">
        <f>INDEX('Main Data'!$A$1:$O$1001,MATCH('Index&amp;Match'!$A506,'Main Data'!$A$1:$A$1001,0),MATCH('Index&amp;Match'!H505,'Main Data'!$A505:$O505,0))</f>
        <v>SME</v>
      </c>
      <c r="I506" s="2">
        <f>INDEX('Main Data'!$A$1:$O$1001,MATCH('Index&amp;Match'!$A506,'Main Data'!$A$1:$A$1001,0),MATCH('Index&amp;Match'!I505,'Main Data'!$A505:$O505,0))</f>
        <v>74</v>
      </c>
      <c r="J506" s="2">
        <f>INDEX('Main Data'!$A$1:$O$1001,MATCH('Index&amp;Match'!$A506,'Main Data'!$A$1:$A$1001,0),MATCH('Index&amp;Match'!J505,'Main Data'!$A505:$O505,0))</f>
        <v>74</v>
      </c>
      <c r="K506" s="11">
        <f>INDEX('Main Data'!$A$1:$O$1001,MATCH('Index&amp;Match'!$A506,'Main Data'!$A$1:$A$1001,0),MATCH('Index&amp;Match'!K505,'Main Data'!$A505:$O505,0))</f>
        <v>27570.62</v>
      </c>
      <c r="L506" s="11">
        <f>INDEX('Main Data'!$A$1:$O$1001,MATCH('Index&amp;Match'!$A506,'Main Data'!$A$1:$A$1001,0),MATCH('Index&amp;Match'!L505,'Main Data'!$A505:$O505,0))</f>
        <v>285.94</v>
      </c>
      <c r="M506" s="11">
        <f>INDEX('Main Data'!$A$1:$O$1001,MATCH('Index&amp;Match'!$A506,'Main Data'!$A$1:$A$1001,0),MATCH('Index&amp;Match'!M505,'Main Data'!$A505:$O505,0))</f>
        <v>190.53</v>
      </c>
      <c r="N506" s="2" t="str">
        <f>INDEX('Main Data'!$A$1:$O$1001,MATCH('Index&amp;Match'!$A506,'Main Data'!$A$1:$A$1001,0),MATCH('Index&amp;Match'!N505,'Main Data'!$A505:$O505,0))</f>
        <v>Yes</v>
      </c>
      <c r="O506" s="2">
        <f>INDEX('Main Data'!$A$1:$O$1001,MATCH('Index&amp;Match'!$A506,'Main Data'!$A$1:$A$1001,0),MATCH('Index&amp;Match'!O505,'Main Data'!$A505:$O505,0))</f>
        <v>74</v>
      </c>
    </row>
    <row r="507" spans="1:15" x14ac:dyDescent="0.3">
      <c r="A507" s="2" t="s">
        <v>564</v>
      </c>
      <c r="B507" s="1">
        <f>INDEX('Main Data'!$A$1:$O$1001,MATCH('Index&amp;Match'!$A507,'Main Data'!$A$1:$A$1001,0),MATCH('Index&amp;Match'!B506,'Main Data'!$A506:$O506,0))</f>
        <v>46215</v>
      </c>
      <c r="C507" s="2" t="str">
        <f>INDEX('Main Data'!$A$1:$O$1001,MATCH('Index&amp;Match'!$A507,'Main Data'!$A$1:$A$1001,0),MATCH('Index&amp;Match'!C506,'Main Data'!$A506:$O506,0))</f>
        <v>Alex</v>
      </c>
      <c r="D507" s="2" t="str">
        <f>INDEX('Main Data'!$A$1:$O$1001,MATCH('Index&amp;Match'!$A507,'Main Data'!$A$1:$A$1001,0),MATCH('Index&amp;Match'!D506,'Main Data'!$A506:$O506,0))</f>
        <v>BR-007</v>
      </c>
      <c r="E507" s="2" t="str">
        <f>INDEX('Main Data'!$A$1:$O$1001,MATCH('Index&amp;Match'!$A507,'Main Data'!$A$1:$A$1001,0),MATCH('Index&amp;Match'!E506,'Main Data'!$A506:$O506,0))</f>
        <v>Central</v>
      </c>
      <c r="F507" s="2" t="str">
        <f>INDEX('Main Data'!$A$1:$O$1001,MATCH('Index&amp;Match'!$A507,'Main Data'!$A$1:$A$1001,0),MATCH('Index&amp;Match'!F506,'Main Data'!$A506:$O506,0))</f>
        <v>Auto Loan</v>
      </c>
      <c r="G507" s="2" t="str">
        <f>INDEX('Main Data'!$A$1:$O$1001,MATCH('Index&amp;Match'!$A507,'Main Data'!$A$1:$A$1001,0),MATCH('Index&amp;Match'!G506,'Main Data'!$A506:$O506,0))</f>
        <v>Social Media</v>
      </c>
      <c r="H507" s="2" t="str">
        <f>INDEX('Main Data'!$A$1:$O$1001,MATCH('Index&amp;Match'!$A507,'Main Data'!$A$1:$A$1001,0),MATCH('Index&amp;Match'!H506,'Main Data'!$A506:$O506,0))</f>
        <v>High Net Worth</v>
      </c>
      <c r="I507" s="2">
        <f>INDEX('Main Data'!$A$1:$O$1001,MATCH('Index&amp;Match'!$A507,'Main Data'!$A$1:$A$1001,0),MATCH('Index&amp;Match'!I506,'Main Data'!$A506:$O506,0))</f>
        <v>46</v>
      </c>
      <c r="J507" s="2">
        <f>INDEX('Main Data'!$A$1:$O$1001,MATCH('Index&amp;Match'!$A507,'Main Data'!$A$1:$A$1001,0),MATCH('Index&amp;Match'!J506,'Main Data'!$A506:$O506,0))</f>
        <v>46</v>
      </c>
      <c r="K507" s="11">
        <f>INDEX('Main Data'!$A$1:$O$1001,MATCH('Index&amp;Match'!$A507,'Main Data'!$A$1:$A$1001,0),MATCH('Index&amp;Match'!K506,'Main Data'!$A506:$O506,0))</f>
        <v>35865.75</v>
      </c>
      <c r="L507" s="11">
        <f>INDEX('Main Data'!$A$1:$O$1001,MATCH('Index&amp;Match'!$A507,'Main Data'!$A$1:$A$1001,0),MATCH('Index&amp;Match'!L506,'Main Data'!$A506:$O506,0))</f>
        <v>483.33</v>
      </c>
      <c r="M507" s="11">
        <f>INDEX('Main Data'!$A$1:$O$1001,MATCH('Index&amp;Match'!$A507,'Main Data'!$A$1:$A$1001,0),MATCH('Index&amp;Match'!M506,'Main Data'!$A506:$O506,0))</f>
        <v>121.46</v>
      </c>
      <c r="N507" s="2" t="str">
        <f>INDEX('Main Data'!$A$1:$O$1001,MATCH('Index&amp;Match'!$A507,'Main Data'!$A$1:$A$1001,0),MATCH('Index&amp;Match'!N506,'Main Data'!$A506:$O506,0))</f>
        <v>No</v>
      </c>
      <c r="O507" s="2">
        <f>INDEX('Main Data'!$A$1:$O$1001,MATCH('Index&amp;Match'!$A507,'Main Data'!$A$1:$A$1001,0),MATCH('Index&amp;Match'!O506,'Main Data'!$A506:$O506,0))</f>
        <v>46</v>
      </c>
    </row>
    <row r="508" spans="1:15" x14ac:dyDescent="0.3">
      <c r="A508" s="2" t="s">
        <v>565</v>
      </c>
      <c r="B508" s="1">
        <f>INDEX('Main Data'!$A$1:$O$1001,MATCH('Index&amp;Match'!$A508,'Main Data'!$A$1:$A$1001,0),MATCH('Index&amp;Match'!B507,'Main Data'!$A507:$O507,0))</f>
        <v>46084</v>
      </c>
      <c r="C508" s="2" t="str">
        <f>INDEX('Main Data'!$A$1:$O$1001,MATCH('Index&amp;Match'!$A508,'Main Data'!$A$1:$A$1001,0),MATCH('Index&amp;Match'!C507,'Main Data'!$A507:$O507,0))</f>
        <v>Drew</v>
      </c>
      <c r="D508" s="2" t="str">
        <f>INDEX('Main Data'!$A$1:$O$1001,MATCH('Index&amp;Match'!$A508,'Main Data'!$A$1:$A$1001,0),MATCH('Index&amp;Match'!D507,'Main Data'!$A507:$O507,0))</f>
        <v>BR-001</v>
      </c>
      <c r="E508" s="2" t="str">
        <f>INDEX('Main Data'!$A$1:$O$1001,MATCH('Index&amp;Match'!$A508,'Main Data'!$A$1:$A$1001,0),MATCH('Index&amp;Match'!E507,'Main Data'!$A507:$O507,0))</f>
        <v>North</v>
      </c>
      <c r="F508" s="2" t="str">
        <f>INDEX('Main Data'!$A$1:$O$1001,MATCH('Index&amp;Match'!$A508,'Main Data'!$A$1:$A$1001,0),MATCH('Index&amp;Match'!F507,'Main Data'!$A507:$O507,0))</f>
        <v>Wealth Management</v>
      </c>
      <c r="G508" s="2" t="str">
        <f>INDEX('Main Data'!$A$1:$O$1001,MATCH('Index&amp;Match'!$A508,'Main Data'!$A$1:$A$1001,0),MATCH('Index&amp;Match'!G507,'Main Data'!$A507:$O507,0))</f>
        <v>Referral</v>
      </c>
      <c r="H508" s="2" t="str">
        <f>INDEX('Main Data'!$A$1:$O$1001,MATCH('Index&amp;Match'!$A508,'Main Data'!$A$1:$A$1001,0),MATCH('Index&amp;Match'!H507,'Main Data'!$A507:$O507,0))</f>
        <v>Retail</v>
      </c>
      <c r="I508" s="2">
        <f>INDEX('Main Data'!$A$1:$O$1001,MATCH('Index&amp;Match'!$A508,'Main Data'!$A$1:$A$1001,0),MATCH('Index&amp;Match'!I507,'Main Data'!$A507:$O507,0))</f>
        <v>36</v>
      </c>
      <c r="J508" s="2">
        <f>INDEX('Main Data'!$A$1:$O$1001,MATCH('Index&amp;Match'!$A508,'Main Data'!$A$1:$A$1001,0),MATCH('Index&amp;Match'!J507,'Main Data'!$A507:$O507,0))</f>
        <v>36</v>
      </c>
      <c r="K508" s="11">
        <f>INDEX('Main Data'!$A$1:$O$1001,MATCH('Index&amp;Match'!$A508,'Main Data'!$A$1:$A$1001,0),MATCH('Index&amp;Match'!K507,'Main Data'!$A507:$O507,0))</f>
        <v>22509.07</v>
      </c>
      <c r="L508" s="11">
        <f>INDEX('Main Data'!$A$1:$O$1001,MATCH('Index&amp;Match'!$A508,'Main Data'!$A$1:$A$1001,0),MATCH('Index&amp;Match'!L507,'Main Data'!$A507:$O507,0))</f>
        <v>323.45999999999998</v>
      </c>
      <c r="M508" s="11">
        <f>INDEX('Main Data'!$A$1:$O$1001,MATCH('Index&amp;Match'!$A508,'Main Data'!$A$1:$A$1001,0),MATCH('Index&amp;Match'!M507,'Main Data'!$A507:$O507,0))</f>
        <v>101.27</v>
      </c>
      <c r="N508" s="2" t="str">
        <f>INDEX('Main Data'!$A$1:$O$1001,MATCH('Index&amp;Match'!$A508,'Main Data'!$A$1:$A$1001,0),MATCH('Index&amp;Match'!N507,'Main Data'!$A507:$O507,0))</f>
        <v>Yes</v>
      </c>
      <c r="O508" s="2">
        <f>INDEX('Main Data'!$A$1:$O$1001,MATCH('Index&amp;Match'!$A508,'Main Data'!$A$1:$A$1001,0),MATCH('Index&amp;Match'!O507,'Main Data'!$A507:$O507,0))</f>
        <v>36</v>
      </c>
    </row>
    <row r="509" spans="1:15" x14ac:dyDescent="0.3">
      <c r="A509" s="2" t="s">
        <v>566</v>
      </c>
      <c r="B509" s="1">
        <f>INDEX('Main Data'!$A$1:$O$1001,MATCH('Index&amp;Match'!$A509,'Main Data'!$A$1:$A$1001,0),MATCH('Index&amp;Match'!B508,'Main Data'!$A508:$O508,0))</f>
        <v>46235</v>
      </c>
      <c r="C509" s="2" t="str">
        <f>INDEX('Main Data'!$A$1:$O$1001,MATCH('Index&amp;Match'!$A509,'Main Data'!$A$1:$A$1001,0),MATCH('Index&amp;Match'!C508,'Main Data'!$A508:$O508,0))</f>
        <v>Taylor</v>
      </c>
      <c r="D509" s="2" t="str">
        <f>INDEX('Main Data'!$A$1:$O$1001,MATCH('Index&amp;Match'!$A509,'Main Data'!$A$1:$A$1001,0),MATCH('Index&amp;Match'!D508,'Main Data'!$A508:$O508,0))</f>
        <v>BR-014</v>
      </c>
      <c r="E509" s="2" t="str">
        <f>INDEX('Main Data'!$A$1:$O$1001,MATCH('Index&amp;Match'!$A509,'Main Data'!$A$1:$A$1001,0),MATCH('Index&amp;Match'!E508,'Main Data'!$A508:$O508,0))</f>
        <v>East</v>
      </c>
      <c r="F509" s="2" t="str">
        <f>INDEX('Main Data'!$A$1:$O$1001,MATCH('Index&amp;Match'!$A509,'Main Data'!$A$1:$A$1001,0),MATCH('Index&amp;Match'!F508,'Main Data'!$A508:$O508,0))</f>
        <v>Credit Card</v>
      </c>
      <c r="G509" s="2" t="str">
        <f>INDEX('Main Data'!$A$1:$O$1001,MATCH('Index&amp;Match'!$A509,'Main Data'!$A$1:$A$1001,0),MATCH('Index&amp;Match'!G508,'Main Data'!$A508:$O508,0))</f>
        <v>Social Media</v>
      </c>
      <c r="H509" s="2" t="str">
        <f>INDEX('Main Data'!$A$1:$O$1001,MATCH('Index&amp;Match'!$A509,'Main Data'!$A$1:$A$1001,0),MATCH('Index&amp;Match'!H508,'Main Data'!$A508:$O508,0))</f>
        <v>Retail</v>
      </c>
      <c r="I509" s="2">
        <f>INDEX('Main Data'!$A$1:$O$1001,MATCH('Index&amp;Match'!$A509,'Main Data'!$A$1:$A$1001,0),MATCH('Index&amp;Match'!I508,'Main Data'!$A508:$O508,0))</f>
        <v>55</v>
      </c>
      <c r="J509" s="2">
        <f>INDEX('Main Data'!$A$1:$O$1001,MATCH('Index&amp;Match'!$A509,'Main Data'!$A$1:$A$1001,0),MATCH('Index&amp;Match'!J508,'Main Data'!$A508:$O508,0))</f>
        <v>55</v>
      </c>
      <c r="K509" s="11">
        <f>INDEX('Main Data'!$A$1:$O$1001,MATCH('Index&amp;Match'!$A509,'Main Data'!$A$1:$A$1001,0),MATCH('Index&amp;Match'!K508,'Main Data'!$A508:$O508,0))</f>
        <v>1840.52</v>
      </c>
      <c r="L509" s="11">
        <f>INDEX('Main Data'!$A$1:$O$1001,MATCH('Index&amp;Match'!$A509,'Main Data'!$A$1:$A$1001,0),MATCH('Index&amp;Match'!L508,'Main Data'!$A508:$O508,0))</f>
        <v>492.52</v>
      </c>
      <c r="M509" s="11">
        <f>INDEX('Main Data'!$A$1:$O$1001,MATCH('Index&amp;Match'!$A509,'Main Data'!$A$1:$A$1001,0),MATCH('Index&amp;Match'!M508,'Main Data'!$A508:$O508,0))</f>
        <v>194.3</v>
      </c>
      <c r="N509" s="2" t="str">
        <f>INDEX('Main Data'!$A$1:$O$1001,MATCH('Index&amp;Match'!$A509,'Main Data'!$A$1:$A$1001,0),MATCH('Index&amp;Match'!N508,'Main Data'!$A508:$O508,0))</f>
        <v>Yes</v>
      </c>
      <c r="O509" s="2">
        <f>INDEX('Main Data'!$A$1:$O$1001,MATCH('Index&amp;Match'!$A509,'Main Data'!$A$1:$A$1001,0),MATCH('Index&amp;Match'!O508,'Main Data'!$A508:$O508,0))</f>
        <v>55</v>
      </c>
    </row>
    <row r="510" spans="1:15" x14ac:dyDescent="0.3">
      <c r="A510" s="2" t="s">
        <v>567</v>
      </c>
      <c r="B510" s="1">
        <f>INDEX('Main Data'!$A$1:$O$1001,MATCH('Index&amp;Match'!$A510,'Main Data'!$A$1:$A$1001,0),MATCH('Index&amp;Match'!B509,'Main Data'!$A509:$O509,0))</f>
        <v>45939</v>
      </c>
      <c r="C510" s="2" t="str">
        <f>INDEX('Main Data'!$A$1:$O$1001,MATCH('Index&amp;Match'!$A510,'Main Data'!$A$1:$A$1001,0),MATCH('Index&amp;Match'!C509,'Main Data'!$A509:$O509,0))</f>
        <v>Drew</v>
      </c>
      <c r="D510" s="2" t="str">
        <f>INDEX('Main Data'!$A$1:$O$1001,MATCH('Index&amp;Match'!$A510,'Main Data'!$A$1:$A$1001,0),MATCH('Index&amp;Match'!D509,'Main Data'!$A509:$O509,0))</f>
        <v>BR-004</v>
      </c>
      <c r="E510" s="2" t="str">
        <f>INDEX('Main Data'!$A$1:$O$1001,MATCH('Index&amp;Match'!$A510,'Main Data'!$A$1:$A$1001,0),MATCH('Index&amp;Match'!E509,'Main Data'!$A509:$O509,0))</f>
        <v>Central</v>
      </c>
      <c r="F510" s="2" t="str">
        <f>INDEX('Main Data'!$A$1:$O$1001,MATCH('Index&amp;Match'!$A510,'Main Data'!$A$1:$A$1001,0),MATCH('Index&amp;Match'!F509,'Main Data'!$A509:$O509,0))</f>
        <v>Mortgage</v>
      </c>
      <c r="G510" s="2" t="str">
        <f>INDEX('Main Data'!$A$1:$O$1001,MATCH('Index&amp;Match'!$A510,'Main Data'!$A$1:$A$1001,0),MATCH('Index&amp;Match'!G509,'Main Data'!$A509:$O509,0))</f>
        <v>Referral</v>
      </c>
      <c r="H510" s="2" t="str">
        <f>INDEX('Main Data'!$A$1:$O$1001,MATCH('Index&amp;Match'!$A510,'Main Data'!$A$1:$A$1001,0),MATCH('Index&amp;Match'!H509,'Main Data'!$A509:$O509,0))</f>
        <v>Corporate</v>
      </c>
      <c r="I510" s="2">
        <f>INDEX('Main Data'!$A$1:$O$1001,MATCH('Index&amp;Match'!$A510,'Main Data'!$A$1:$A$1001,0),MATCH('Index&amp;Match'!I509,'Main Data'!$A509:$O509,0))</f>
        <v>40</v>
      </c>
      <c r="J510" s="2">
        <f>INDEX('Main Data'!$A$1:$O$1001,MATCH('Index&amp;Match'!$A510,'Main Data'!$A$1:$A$1001,0),MATCH('Index&amp;Match'!J509,'Main Data'!$A509:$O509,0))</f>
        <v>40</v>
      </c>
      <c r="K510" s="11">
        <f>INDEX('Main Data'!$A$1:$O$1001,MATCH('Index&amp;Match'!$A510,'Main Data'!$A$1:$A$1001,0),MATCH('Index&amp;Match'!K509,'Main Data'!$A509:$O509,0))</f>
        <v>22738.77</v>
      </c>
      <c r="L510" s="11">
        <f>INDEX('Main Data'!$A$1:$O$1001,MATCH('Index&amp;Match'!$A510,'Main Data'!$A$1:$A$1001,0),MATCH('Index&amp;Match'!L509,'Main Data'!$A509:$O509,0))</f>
        <v>428.5</v>
      </c>
      <c r="M510" s="11">
        <f>INDEX('Main Data'!$A$1:$O$1001,MATCH('Index&amp;Match'!$A510,'Main Data'!$A$1:$A$1001,0),MATCH('Index&amp;Match'!M509,'Main Data'!$A509:$O509,0))</f>
        <v>55.25</v>
      </c>
      <c r="N510" s="2" t="str">
        <f>INDEX('Main Data'!$A$1:$O$1001,MATCH('Index&amp;Match'!$A510,'Main Data'!$A$1:$A$1001,0),MATCH('Index&amp;Match'!N509,'Main Data'!$A509:$O509,0))</f>
        <v>No</v>
      </c>
      <c r="O510" s="2">
        <f>INDEX('Main Data'!$A$1:$O$1001,MATCH('Index&amp;Match'!$A510,'Main Data'!$A$1:$A$1001,0),MATCH('Index&amp;Match'!O509,'Main Data'!$A509:$O509,0))</f>
        <v>40</v>
      </c>
    </row>
    <row r="511" spans="1:15" x14ac:dyDescent="0.3">
      <c r="A511" s="2" t="s">
        <v>568</v>
      </c>
      <c r="B511" s="1">
        <f>INDEX('Main Data'!$A$1:$O$1001,MATCH('Index&amp;Match'!$A511,'Main Data'!$A$1:$A$1001,0),MATCH('Index&amp;Match'!B510,'Main Data'!$A510:$O510,0))</f>
        <v>46024</v>
      </c>
      <c r="C511" s="2" t="str">
        <f>INDEX('Main Data'!$A$1:$O$1001,MATCH('Index&amp;Match'!$A511,'Main Data'!$A$1:$A$1001,0),MATCH('Index&amp;Match'!C510,'Main Data'!$A510:$O510,0))</f>
        <v>Jordan</v>
      </c>
      <c r="D511" s="2" t="str">
        <f>INDEX('Main Data'!$A$1:$O$1001,MATCH('Index&amp;Match'!$A511,'Main Data'!$A$1:$A$1001,0),MATCH('Index&amp;Match'!D510,'Main Data'!$A510:$O510,0))</f>
        <v>BR-006</v>
      </c>
      <c r="E511" s="2" t="str">
        <f>INDEX('Main Data'!$A$1:$O$1001,MATCH('Index&amp;Match'!$A511,'Main Data'!$A$1:$A$1001,0),MATCH('Index&amp;Match'!E510,'Main Data'!$A510:$O510,0))</f>
        <v>Central</v>
      </c>
      <c r="F511" s="2" t="str">
        <f>INDEX('Main Data'!$A$1:$O$1001,MATCH('Index&amp;Match'!$A511,'Main Data'!$A$1:$A$1001,0),MATCH('Index&amp;Match'!F510,'Main Data'!$A510:$O510,0))</f>
        <v>Auto Loan</v>
      </c>
      <c r="G511" s="2" t="str">
        <f>INDEX('Main Data'!$A$1:$O$1001,MATCH('Index&amp;Match'!$A511,'Main Data'!$A$1:$A$1001,0),MATCH('Index&amp;Match'!G510,'Main Data'!$A510:$O510,0))</f>
        <v>Referral</v>
      </c>
      <c r="H511" s="2" t="str">
        <f>INDEX('Main Data'!$A$1:$O$1001,MATCH('Index&amp;Match'!$A511,'Main Data'!$A$1:$A$1001,0),MATCH('Index&amp;Match'!H510,'Main Data'!$A510:$O510,0))</f>
        <v>Retail</v>
      </c>
      <c r="I511" s="2">
        <f>INDEX('Main Data'!$A$1:$O$1001,MATCH('Index&amp;Match'!$A511,'Main Data'!$A$1:$A$1001,0),MATCH('Index&amp;Match'!I510,'Main Data'!$A510:$O510,0))</f>
        <v>66</v>
      </c>
      <c r="J511" s="2">
        <f>INDEX('Main Data'!$A$1:$O$1001,MATCH('Index&amp;Match'!$A511,'Main Data'!$A$1:$A$1001,0),MATCH('Index&amp;Match'!J510,'Main Data'!$A510:$O510,0))</f>
        <v>66</v>
      </c>
      <c r="K511" s="11">
        <f>INDEX('Main Data'!$A$1:$O$1001,MATCH('Index&amp;Match'!$A511,'Main Data'!$A$1:$A$1001,0),MATCH('Index&amp;Match'!K510,'Main Data'!$A510:$O510,0))</f>
        <v>15174.02</v>
      </c>
      <c r="L511" s="11">
        <f>INDEX('Main Data'!$A$1:$O$1001,MATCH('Index&amp;Match'!$A511,'Main Data'!$A$1:$A$1001,0),MATCH('Index&amp;Match'!L510,'Main Data'!$A510:$O510,0))</f>
        <v>66.180000000000007</v>
      </c>
      <c r="M511" s="11">
        <f>INDEX('Main Data'!$A$1:$O$1001,MATCH('Index&amp;Match'!$A511,'Main Data'!$A$1:$A$1001,0),MATCH('Index&amp;Match'!M510,'Main Data'!$A510:$O510,0))</f>
        <v>158.47999999999999</v>
      </c>
      <c r="N511" s="2" t="str">
        <f>INDEX('Main Data'!$A$1:$O$1001,MATCH('Index&amp;Match'!$A511,'Main Data'!$A$1:$A$1001,0),MATCH('Index&amp;Match'!N510,'Main Data'!$A510:$O510,0))</f>
        <v>No</v>
      </c>
      <c r="O511" s="2">
        <f>INDEX('Main Data'!$A$1:$O$1001,MATCH('Index&amp;Match'!$A511,'Main Data'!$A$1:$A$1001,0),MATCH('Index&amp;Match'!O510,'Main Data'!$A510:$O510,0))</f>
        <v>66</v>
      </c>
    </row>
    <row r="512" spans="1:15" x14ac:dyDescent="0.3">
      <c r="A512" s="2" t="s">
        <v>569</v>
      </c>
      <c r="B512" s="1">
        <f>INDEX('Main Data'!$A$1:$O$1001,MATCH('Index&amp;Match'!$A512,'Main Data'!$A$1:$A$1001,0),MATCH('Index&amp;Match'!B511,'Main Data'!$A511:$O511,0))</f>
        <v>46000</v>
      </c>
      <c r="C512" s="2" t="str">
        <f>INDEX('Main Data'!$A$1:$O$1001,MATCH('Index&amp;Match'!$A512,'Main Data'!$A$1:$A$1001,0),MATCH('Index&amp;Match'!C511,'Main Data'!$A511:$O511,0))</f>
        <v>Alex</v>
      </c>
      <c r="D512" s="2" t="str">
        <f>INDEX('Main Data'!$A$1:$O$1001,MATCH('Index&amp;Match'!$A512,'Main Data'!$A$1:$A$1001,0),MATCH('Index&amp;Match'!D511,'Main Data'!$A511:$O511,0))</f>
        <v>BR-002</v>
      </c>
      <c r="E512" s="2" t="str">
        <f>INDEX('Main Data'!$A$1:$O$1001,MATCH('Index&amp;Match'!$A512,'Main Data'!$A$1:$A$1001,0),MATCH('Index&amp;Match'!E511,'Main Data'!$A511:$O511,0))</f>
        <v>East</v>
      </c>
      <c r="F512" s="2" t="str">
        <f>INDEX('Main Data'!$A$1:$O$1001,MATCH('Index&amp;Match'!$A512,'Main Data'!$A$1:$A$1001,0),MATCH('Index&amp;Match'!F511,'Main Data'!$A511:$O511,0))</f>
        <v>Credit Card</v>
      </c>
      <c r="G512" s="2" t="str">
        <f>INDEX('Main Data'!$A$1:$O$1001,MATCH('Index&amp;Match'!$A512,'Main Data'!$A$1:$A$1001,0),MATCH('Index&amp;Match'!G511,'Main Data'!$A511:$O511,0))</f>
        <v>Email Campaign</v>
      </c>
      <c r="H512" s="2" t="str">
        <f>INDEX('Main Data'!$A$1:$O$1001,MATCH('Index&amp;Match'!$A512,'Main Data'!$A$1:$A$1001,0),MATCH('Index&amp;Match'!H511,'Main Data'!$A511:$O511,0))</f>
        <v>Retail</v>
      </c>
      <c r="I512" s="2">
        <f>INDEX('Main Data'!$A$1:$O$1001,MATCH('Index&amp;Match'!$A512,'Main Data'!$A$1:$A$1001,0),MATCH('Index&amp;Match'!I511,'Main Data'!$A511:$O511,0))</f>
        <v>23</v>
      </c>
      <c r="J512" s="2">
        <f>INDEX('Main Data'!$A$1:$O$1001,MATCH('Index&amp;Match'!$A512,'Main Data'!$A$1:$A$1001,0),MATCH('Index&amp;Match'!J511,'Main Data'!$A511:$O511,0))</f>
        <v>23</v>
      </c>
      <c r="K512" s="11">
        <f>INDEX('Main Data'!$A$1:$O$1001,MATCH('Index&amp;Match'!$A512,'Main Data'!$A$1:$A$1001,0),MATCH('Index&amp;Match'!K511,'Main Data'!$A511:$O511,0))</f>
        <v>46517.66</v>
      </c>
      <c r="L512" s="11">
        <f>INDEX('Main Data'!$A$1:$O$1001,MATCH('Index&amp;Match'!$A512,'Main Data'!$A$1:$A$1001,0),MATCH('Index&amp;Match'!L511,'Main Data'!$A511:$O511,0))</f>
        <v>346.28</v>
      </c>
      <c r="M512" s="11">
        <f>INDEX('Main Data'!$A$1:$O$1001,MATCH('Index&amp;Match'!$A512,'Main Data'!$A$1:$A$1001,0),MATCH('Index&amp;Match'!M511,'Main Data'!$A511:$O511,0))</f>
        <v>45.05</v>
      </c>
      <c r="N512" s="2" t="str">
        <f>INDEX('Main Data'!$A$1:$O$1001,MATCH('Index&amp;Match'!$A512,'Main Data'!$A$1:$A$1001,0),MATCH('Index&amp;Match'!N511,'Main Data'!$A511:$O511,0))</f>
        <v>No</v>
      </c>
      <c r="O512" s="2">
        <f>INDEX('Main Data'!$A$1:$O$1001,MATCH('Index&amp;Match'!$A512,'Main Data'!$A$1:$A$1001,0),MATCH('Index&amp;Match'!O511,'Main Data'!$A511:$O511,0))</f>
        <v>23</v>
      </c>
    </row>
    <row r="513" spans="1:15" x14ac:dyDescent="0.3">
      <c r="A513" s="2" t="s">
        <v>570</v>
      </c>
      <c r="B513" s="1">
        <f>INDEX('Main Data'!$A$1:$O$1001,MATCH('Index&amp;Match'!$A513,'Main Data'!$A$1:$A$1001,0),MATCH('Index&amp;Match'!B512,'Main Data'!$A512:$O512,0))</f>
        <v>46139</v>
      </c>
      <c r="C513" s="2" t="str">
        <f>INDEX('Main Data'!$A$1:$O$1001,MATCH('Index&amp;Match'!$A513,'Main Data'!$A$1:$A$1001,0),MATCH('Index&amp;Match'!C512,'Main Data'!$A512:$O512,0))</f>
        <v>Jordan</v>
      </c>
      <c r="D513" s="2" t="str">
        <f>INDEX('Main Data'!$A$1:$O$1001,MATCH('Index&amp;Match'!$A513,'Main Data'!$A$1:$A$1001,0),MATCH('Index&amp;Match'!D512,'Main Data'!$A512:$O512,0))</f>
        <v>BR-010</v>
      </c>
      <c r="E513" s="2" t="str">
        <f>INDEX('Main Data'!$A$1:$O$1001,MATCH('Index&amp;Match'!$A513,'Main Data'!$A$1:$A$1001,0),MATCH('Index&amp;Match'!E512,'Main Data'!$A512:$O512,0))</f>
        <v>Central</v>
      </c>
      <c r="F513" s="2" t="str">
        <f>INDEX('Main Data'!$A$1:$O$1001,MATCH('Index&amp;Match'!$A513,'Main Data'!$A$1:$A$1001,0),MATCH('Index&amp;Match'!F512,'Main Data'!$A512:$O512,0))</f>
        <v>Auto Loan</v>
      </c>
      <c r="G513" s="2" t="str">
        <f>INDEX('Main Data'!$A$1:$O$1001,MATCH('Index&amp;Match'!$A513,'Main Data'!$A$1:$A$1001,0),MATCH('Index&amp;Match'!G512,'Main Data'!$A512:$O512,0))</f>
        <v>Referral</v>
      </c>
      <c r="H513" s="2" t="str">
        <f>INDEX('Main Data'!$A$1:$O$1001,MATCH('Index&amp;Match'!$A513,'Main Data'!$A$1:$A$1001,0),MATCH('Index&amp;Match'!H512,'Main Data'!$A512:$O512,0))</f>
        <v>High Net Worth</v>
      </c>
      <c r="I513" s="2">
        <f>INDEX('Main Data'!$A$1:$O$1001,MATCH('Index&amp;Match'!$A513,'Main Data'!$A$1:$A$1001,0),MATCH('Index&amp;Match'!I512,'Main Data'!$A512:$O512,0))</f>
        <v>21</v>
      </c>
      <c r="J513" s="2">
        <f>INDEX('Main Data'!$A$1:$O$1001,MATCH('Index&amp;Match'!$A513,'Main Data'!$A$1:$A$1001,0),MATCH('Index&amp;Match'!J512,'Main Data'!$A512:$O512,0))</f>
        <v>21</v>
      </c>
      <c r="K513" s="11">
        <f>INDEX('Main Data'!$A$1:$O$1001,MATCH('Index&amp;Match'!$A513,'Main Data'!$A$1:$A$1001,0),MATCH('Index&amp;Match'!K512,'Main Data'!$A512:$O512,0))</f>
        <v>6668.36</v>
      </c>
      <c r="L513" s="11">
        <f>INDEX('Main Data'!$A$1:$O$1001,MATCH('Index&amp;Match'!$A513,'Main Data'!$A$1:$A$1001,0),MATCH('Index&amp;Match'!L512,'Main Data'!$A512:$O512,0))</f>
        <v>179.05</v>
      </c>
      <c r="M513" s="11">
        <f>INDEX('Main Data'!$A$1:$O$1001,MATCH('Index&amp;Match'!$A513,'Main Data'!$A$1:$A$1001,0),MATCH('Index&amp;Match'!M512,'Main Data'!$A512:$O512,0))</f>
        <v>204.44</v>
      </c>
      <c r="N513" s="2" t="str">
        <f>INDEX('Main Data'!$A$1:$O$1001,MATCH('Index&amp;Match'!$A513,'Main Data'!$A$1:$A$1001,0),MATCH('Index&amp;Match'!N512,'Main Data'!$A512:$O512,0))</f>
        <v>No</v>
      </c>
      <c r="O513" s="2">
        <f>INDEX('Main Data'!$A$1:$O$1001,MATCH('Index&amp;Match'!$A513,'Main Data'!$A$1:$A$1001,0),MATCH('Index&amp;Match'!O512,'Main Data'!$A512:$O512,0))</f>
        <v>21</v>
      </c>
    </row>
    <row r="514" spans="1:15" x14ac:dyDescent="0.3">
      <c r="A514" s="2" t="s">
        <v>571</v>
      </c>
      <c r="B514" s="1">
        <f>INDEX('Main Data'!$A$1:$O$1001,MATCH('Index&amp;Match'!$A514,'Main Data'!$A$1:$A$1001,0),MATCH('Index&amp;Match'!B513,'Main Data'!$A513:$O513,0))</f>
        <v>46046</v>
      </c>
      <c r="C514" s="2" t="str">
        <f>INDEX('Main Data'!$A$1:$O$1001,MATCH('Index&amp;Match'!$A514,'Main Data'!$A$1:$A$1001,0),MATCH('Index&amp;Match'!C513,'Main Data'!$A513:$O513,0))</f>
        <v>Jamie</v>
      </c>
      <c r="D514" s="2" t="str">
        <f>INDEX('Main Data'!$A$1:$O$1001,MATCH('Index&amp;Match'!$A514,'Main Data'!$A$1:$A$1001,0),MATCH('Index&amp;Match'!D513,'Main Data'!$A513:$O513,0))</f>
        <v>BR-005</v>
      </c>
      <c r="E514" s="2" t="str">
        <f>INDEX('Main Data'!$A$1:$O$1001,MATCH('Index&amp;Match'!$A514,'Main Data'!$A$1:$A$1001,0),MATCH('Index&amp;Match'!E513,'Main Data'!$A513:$O513,0))</f>
        <v>North</v>
      </c>
      <c r="F514" s="2" t="str">
        <f>INDEX('Main Data'!$A$1:$O$1001,MATCH('Index&amp;Match'!$A514,'Main Data'!$A$1:$A$1001,0),MATCH('Index&amp;Match'!F513,'Main Data'!$A513:$O513,0))</f>
        <v>Mortgage</v>
      </c>
      <c r="G514" s="2" t="str">
        <f>INDEX('Main Data'!$A$1:$O$1001,MATCH('Index&amp;Match'!$A514,'Main Data'!$A$1:$A$1001,0),MATCH('Index&amp;Match'!G513,'Main Data'!$A513:$O513,0))</f>
        <v>Referral</v>
      </c>
      <c r="H514" s="2" t="str">
        <f>INDEX('Main Data'!$A$1:$O$1001,MATCH('Index&amp;Match'!$A514,'Main Data'!$A$1:$A$1001,0),MATCH('Index&amp;Match'!H513,'Main Data'!$A513:$O513,0))</f>
        <v>SME</v>
      </c>
      <c r="I514" s="2">
        <f>INDEX('Main Data'!$A$1:$O$1001,MATCH('Index&amp;Match'!$A514,'Main Data'!$A$1:$A$1001,0),MATCH('Index&amp;Match'!I513,'Main Data'!$A513:$O513,0))</f>
        <v>73</v>
      </c>
      <c r="J514" s="2">
        <f>INDEX('Main Data'!$A$1:$O$1001,MATCH('Index&amp;Match'!$A514,'Main Data'!$A$1:$A$1001,0),MATCH('Index&amp;Match'!J513,'Main Data'!$A513:$O513,0))</f>
        <v>73</v>
      </c>
      <c r="K514" s="11">
        <f>INDEX('Main Data'!$A$1:$O$1001,MATCH('Index&amp;Match'!$A514,'Main Data'!$A$1:$A$1001,0),MATCH('Index&amp;Match'!K513,'Main Data'!$A513:$O513,0))</f>
        <v>32797.56</v>
      </c>
      <c r="L514" s="11">
        <f>INDEX('Main Data'!$A$1:$O$1001,MATCH('Index&amp;Match'!$A514,'Main Data'!$A$1:$A$1001,0),MATCH('Index&amp;Match'!L513,'Main Data'!$A513:$O513,0))</f>
        <v>301.83</v>
      </c>
      <c r="M514" s="11">
        <f>INDEX('Main Data'!$A$1:$O$1001,MATCH('Index&amp;Match'!$A514,'Main Data'!$A$1:$A$1001,0),MATCH('Index&amp;Match'!M513,'Main Data'!$A513:$O513,0))</f>
        <v>50.72</v>
      </c>
      <c r="N514" s="2" t="str">
        <f>INDEX('Main Data'!$A$1:$O$1001,MATCH('Index&amp;Match'!$A514,'Main Data'!$A$1:$A$1001,0),MATCH('Index&amp;Match'!N513,'Main Data'!$A513:$O513,0))</f>
        <v>Yes</v>
      </c>
      <c r="O514" s="2">
        <f>INDEX('Main Data'!$A$1:$O$1001,MATCH('Index&amp;Match'!$A514,'Main Data'!$A$1:$A$1001,0),MATCH('Index&amp;Match'!O513,'Main Data'!$A513:$O513,0))</f>
        <v>73</v>
      </c>
    </row>
    <row r="515" spans="1:15" x14ac:dyDescent="0.3">
      <c r="A515" s="2" t="s">
        <v>572</v>
      </c>
      <c r="B515" s="1">
        <f>INDEX('Main Data'!$A$1:$O$1001,MATCH('Index&amp;Match'!$A515,'Main Data'!$A$1:$A$1001,0),MATCH('Index&amp;Match'!B514,'Main Data'!$A514:$O514,0))</f>
        <v>46184</v>
      </c>
      <c r="C515" s="2" t="str">
        <f>INDEX('Main Data'!$A$1:$O$1001,MATCH('Index&amp;Match'!$A515,'Main Data'!$A$1:$A$1001,0),MATCH('Index&amp;Match'!C514,'Main Data'!$A514:$O514,0))</f>
        <v>Sam</v>
      </c>
      <c r="D515" s="2" t="str">
        <f>INDEX('Main Data'!$A$1:$O$1001,MATCH('Index&amp;Match'!$A515,'Main Data'!$A$1:$A$1001,0),MATCH('Index&amp;Match'!D514,'Main Data'!$A514:$O514,0))</f>
        <v>BR-011</v>
      </c>
      <c r="E515" s="2" t="str">
        <f>INDEX('Main Data'!$A$1:$O$1001,MATCH('Index&amp;Match'!$A515,'Main Data'!$A$1:$A$1001,0),MATCH('Index&amp;Match'!E514,'Main Data'!$A514:$O514,0))</f>
        <v>North</v>
      </c>
      <c r="F515" s="2" t="str">
        <f>INDEX('Main Data'!$A$1:$O$1001,MATCH('Index&amp;Match'!$A515,'Main Data'!$A$1:$A$1001,0),MATCH('Index&amp;Match'!F514,'Main Data'!$A514:$O514,0))</f>
        <v>Auto Loan</v>
      </c>
      <c r="G515" s="2" t="str">
        <f>INDEX('Main Data'!$A$1:$O$1001,MATCH('Index&amp;Match'!$A515,'Main Data'!$A$1:$A$1001,0),MATCH('Index&amp;Match'!G514,'Main Data'!$A514:$O514,0))</f>
        <v>Website</v>
      </c>
      <c r="H515" s="2" t="str">
        <f>INDEX('Main Data'!$A$1:$O$1001,MATCH('Index&amp;Match'!$A515,'Main Data'!$A$1:$A$1001,0),MATCH('Index&amp;Match'!H514,'Main Data'!$A514:$O514,0))</f>
        <v>High Net Worth</v>
      </c>
      <c r="I515" s="2">
        <f>INDEX('Main Data'!$A$1:$O$1001,MATCH('Index&amp;Match'!$A515,'Main Data'!$A$1:$A$1001,0),MATCH('Index&amp;Match'!I514,'Main Data'!$A514:$O514,0))</f>
        <v>67</v>
      </c>
      <c r="J515" s="2">
        <f>INDEX('Main Data'!$A$1:$O$1001,MATCH('Index&amp;Match'!$A515,'Main Data'!$A$1:$A$1001,0),MATCH('Index&amp;Match'!J514,'Main Data'!$A514:$O514,0))</f>
        <v>67</v>
      </c>
      <c r="K515" s="11">
        <f>INDEX('Main Data'!$A$1:$O$1001,MATCH('Index&amp;Match'!$A515,'Main Data'!$A$1:$A$1001,0),MATCH('Index&amp;Match'!K514,'Main Data'!$A514:$O514,0))</f>
        <v>3109.63</v>
      </c>
      <c r="L515" s="11">
        <f>INDEX('Main Data'!$A$1:$O$1001,MATCH('Index&amp;Match'!$A515,'Main Data'!$A$1:$A$1001,0),MATCH('Index&amp;Match'!L514,'Main Data'!$A514:$O514,0))</f>
        <v>175.71</v>
      </c>
      <c r="M515" s="11">
        <f>INDEX('Main Data'!$A$1:$O$1001,MATCH('Index&amp;Match'!$A515,'Main Data'!$A$1:$A$1001,0),MATCH('Index&amp;Match'!M514,'Main Data'!$A514:$O514,0))</f>
        <v>265.12</v>
      </c>
      <c r="N515" s="2" t="str">
        <f>INDEX('Main Data'!$A$1:$O$1001,MATCH('Index&amp;Match'!$A515,'Main Data'!$A$1:$A$1001,0),MATCH('Index&amp;Match'!N514,'Main Data'!$A514:$O514,0))</f>
        <v>Yes</v>
      </c>
      <c r="O515" s="2">
        <f>INDEX('Main Data'!$A$1:$O$1001,MATCH('Index&amp;Match'!$A515,'Main Data'!$A$1:$A$1001,0),MATCH('Index&amp;Match'!O514,'Main Data'!$A514:$O514,0))</f>
        <v>67</v>
      </c>
    </row>
    <row r="516" spans="1:15" x14ac:dyDescent="0.3">
      <c r="A516" s="2" t="s">
        <v>573</v>
      </c>
      <c r="B516" s="1">
        <f>INDEX('Main Data'!$A$1:$O$1001,MATCH('Index&amp;Match'!$A516,'Main Data'!$A$1:$A$1001,0),MATCH('Index&amp;Match'!B515,'Main Data'!$A515:$O515,0))</f>
        <v>46212</v>
      </c>
      <c r="C516" s="2" t="str">
        <f>INDEX('Main Data'!$A$1:$O$1001,MATCH('Index&amp;Match'!$A516,'Main Data'!$A$1:$A$1001,0),MATCH('Index&amp;Match'!C515,'Main Data'!$A515:$O515,0))</f>
        <v>Jordan</v>
      </c>
      <c r="D516" s="2" t="str">
        <f>INDEX('Main Data'!$A$1:$O$1001,MATCH('Index&amp;Match'!$A516,'Main Data'!$A$1:$A$1001,0),MATCH('Index&amp;Match'!D515,'Main Data'!$A515:$O515,0))</f>
        <v>BR-010</v>
      </c>
      <c r="E516" s="2" t="str">
        <f>INDEX('Main Data'!$A$1:$O$1001,MATCH('Index&amp;Match'!$A516,'Main Data'!$A$1:$A$1001,0),MATCH('Index&amp;Match'!E515,'Main Data'!$A515:$O515,0))</f>
        <v>East</v>
      </c>
      <c r="F516" s="2" t="str">
        <f>INDEX('Main Data'!$A$1:$O$1001,MATCH('Index&amp;Match'!$A516,'Main Data'!$A$1:$A$1001,0),MATCH('Index&amp;Match'!F515,'Main Data'!$A515:$O515,0))</f>
        <v>Wealth Management</v>
      </c>
      <c r="G516" s="2" t="str">
        <f>INDEX('Main Data'!$A$1:$O$1001,MATCH('Index&amp;Match'!$A516,'Main Data'!$A$1:$A$1001,0),MATCH('Index&amp;Match'!G515,'Main Data'!$A515:$O515,0))</f>
        <v>Walk-in</v>
      </c>
      <c r="H516" s="2" t="str">
        <f>INDEX('Main Data'!$A$1:$O$1001,MATCH('Index&amp;Match'!$A516,'Main Data'!$A$1:$A$1001,0),MATCH('Index&amp;Match'!H515,'Main Data'!$A515:$O515,0))</f>
        <v>SME</v>
      </c>
      <c r="I516" s="2">
        <f>INDEX('Main Data'!$A$1:$O$1001,MATCH('Index&amp;Match'!$A516,'Main Data'!$A$1:$A$1001,0),MATCH('Index&amp;Match'!I515,'Main Data'!$A515:$O515,0))</f>
        <v>21</v>
      </c>
      <c r="J516" s="2">
        <f>INDEX('Main Data'!$A$1:$O$1001,MATCH('Index&amp;Match'!$A516,'Main Data'!$A$1:$A$1001,0),MATCH('Index&amp;Match'!J515,'Main Data'!$A515:$O515,0))</f>
        <v>21</v>
      </c>
      <c r="K516" s="11">
        <f>INDEX('Main Data'!$A$1:$O$1001,MATCH('Index&amp;Match'!$A516,'Main Data'!$A$1:$A$1001,0),MATCH('Index&amp;Match'!K515,'Main Data'!$A515:$O515,0))</f>
        <v>22585.439999999999</v>
      </c>
      <c r="L516" s="11">
        <f>INDEX('Main Data'!$A$1:$O$1001,MATCH('Index&amp;Match'!$A516,'Main Data'!$A$1:$A$1001,0),MATCH('Index&amp;Match'!L515,'Main Data'!$A515:$O515,0))</f>
        <v>206.99</v>
      </c>
      <c r="M516" s="11">
        <f>INDEX('Main Data'!$A$1:$O$1001,MATCH('Index&amp;Match'!$A516,'Main Data'!$A$1:$A$1001,0),MATCH('Index&amp;Match'!M515,'Main Data'!$A515:$O515,0))</f>
        <v>112.3</v>
      </c>
      <c r="N516" s="2" t="str">
        <f>INDEX('Main Data'!$A$1:$O$1001,MATCH('Index&amp;Match'!$A516,'Main Data'!$A$1:$A$1001,0),MATCH('Index&amp;Match'!N515,'Main Data'!$A515:$O515,0))</f>
        <v>No</v>
      </c>
      <c r="O516" s="2">
        <f>INDEX('Main Data'!$A$1:$O$1001,MATCH('Index&amp;Match'!$A516,'Main Data'!$A$1:$A$1001,0),MATCH('Index&amp;Match'!O515,'Main Data'!$A515:$O515,0))</f>
        <v>21</v>
      </c>
    </row>
    <row r="517" spans="1:15" x14ac:dyDescent="0.3">
      <c r="A517" s="2" t="s">
        <v>574</v>
      </c>
      <c r="B517" s="1">
        <f>INDEX('Main Data'!$A$1:$O$1001,MATCH('Index&amp;Match'!$A517,'Main Data'!$A$1:$A$1001,0),MATCH('Index&amp;Match'!B516,'Main Data'!$A516:$O516,0))</f>
        <v>46053</v>
      </c>
      <c r="C517" s="2" t="str">
        <f>INDEX('Main Data'!$A$1:$O$1001,MATCH('Index&amp;Match'!$A517,'Main Data'!$A$1:$A$1001,0),MATCH('Index&amp;Match'!C516,'Main Data'!$A516:$O516,0))</f>
        <v>Taylor</v>
      </c>
      <c r="D517" s="2" t="str">
        <f>INDEX('Main Data'!$A$1:$O$1001,MATCH('Index&amp;Match'!$A517,'Main Data'!$A$1:$A$1001,0),MATCH('Index&amp;Match'!D516,'Main Data'!$A516:$O516,0))</f>
        <v>BR-001</v>
      </c>
      <c r="E517" s="2" t="str">
        <f>INDEX('Main Data'!$A$1:$O$1001,MATCH('Index&amp;Match'!$A517,'Main Data'!$A$1:$A$1001,0),MATCH('Index&amp;Match'!E516,'Main Data'!$A516:$O516,0))</f>
        <v>West</v>
      </c>
      <c r="F517" s="2" t="str">
        <f>INDEX('Main Data'!$A$1:$O$1001,MATCH('Index&amp;Match'!$A517,'Main Data'!$A$1:$A$1001,0),MATCH('Index&amp;Match'!F516,'Main Data'!$A516:$O516,0))</f>
        <v>Wealth Management</v>
      </c>
      <c r="G517" s="2" t="str">
        <f>INDEX('Main Data'!$A$1:$O$1001,MATCH('Index&amp;Match'!$A517,'Main Data'!$A$1:$A$1001,0),MATCH('Index&amp;Match'!G516,'Main Data'!$A516:$O516,0))</f>
        <v>Email Campaign</v>
      </c>
      <c r="H517" s="2" t="str">
        <f>INDEX('Main Data'!$A$1:$O$1001,MATCH('Index&amp;Match'!$A517,'Main Data'!$A$1:$A$1001,0),MATCH('Index&amp;Match'!H516,'Main Data'!$A516:$O516,0))</f>
        <v>Corporate</v>
      </c>
      <c r="I517" s="2">
        <f>INDEX('Main Data'!$A$1:$O$1001,MATCH('Index&amp;Match'!$A517,'Main Data'!$A$1:$A$1001,0),MATCH('Index&amp;Match'!I516,'Main Data'!$A516:$O516,0))</f>
        <v>37</v>
      </c>
      <c r="J517" s="2">
        <f>INDEX('Main Data'!$A$1:$O$1001,MATCH('Index&amp;Match'!$A517,'Main Data'!$A$1:$A$1001,0),MATCH('Index&amp;Match'!J516,'Main Data'!$A516:$O516,0))</f>
        <v>37</v>
      </c>
      <c r="K517" s="11">
        <f>INDEX('Main Data'!$A$1:$O$1001,MATCH('Index&amp;Match'!$A517,'Main Data'!$A$1:$A$1001,0),MATCH('Index&amp;Match'!K516,'Main Data'!$A516:$O516,0))</f>
        <v>27921.98</v>
      </c>
      <c r="L517" s="11">
        <f>INDEX('Main Data'!$A$1:$O$1001,MATCH('Index&amp;Match'!$A517,'Main Data'!$A$1:$A$1001,0),MATCH('Index&amp;Match'!L516,'Main Data'!$A516:$O516,0))</f>
        <v>465.43</v>
      </c>
      <c r="M517" s="11">
        <f>INDEX('Main Data'!$A$1:$O$1001,MATCH('Index&amp;Match'!$A517,'Main Data'!$A$1:$A$1001,0),MATCH('Index&amp;Match'!M516,'Main Data'!$A516:$O516,0))</f>
        <v>37.19</v>
      </c>
      <c r="N517" s="2" t="str">
        <f>INDEX('Main Data'!$A$1:$O$1001,MATCH('Index&amp;Match'!$A517,'Main Data'!$A$1:$A$1001,0),MATCH('Index&amp;Match'!N516,'Main Data'!$A516:$O516,0))</f>
        <v>No</v>
      </c>
      <c r="O517" s="2">
        <f>INDEX('Main Data'!$A$1:$O$1001,MATCH('Index&amp;Match'!$A517,'Main Data'!$A$1:$A$1001,0),MATCH('Index&amp;Match'!O516,'Main Data'!$A516:$O516,0))</f>
        <v>37</v>
      </c>
    </row>
    <row r="518" spans="1:15" x14ac:dyDescent="0.3">
      <c r="A518" s="2" t="s">
        <v>575</v>
      </c>
      <c r="B518" s="1">
        <f>INDEX('Main Data'!$A$1:$O$1001,MATCH('Index&amp;Match'!$A518,'Main Data'!$A$1:$A$1001,0),MATCH('Index&amp;Match'!B517,'Main Data'!$A517:$O517,0))</f>
        <v>46007</v>
      </c>
      <c r="C518" s="2" t="str">
        <f>INDEX('Main Data'!$A$1:$O$1001,MATCH('Index&amp;Match'!$A518,'Main Data'!$A$1:$A$1001,0),MATCH('Index&amp;Match'!C517,'Main Data'!$A517:$O517,0))</f>
        <v>Drew</v>
      </c>
      <c r="D518" s="2" t="str">
        <f>INDEX('Main Data'!$A$1:$O$1001,MATCH('Index&amp;Match'!$A518,'Main Data'!$A$1:$A$1001,0),MATCH('Index&amp;Match'!D517,'Main Data'!$A517:$O517,0))</f>
        <v>BR-006</v>
      </c>
      <c r="E518" s="2" t="str">
        <f>INDEX('Main Data'!$A$1:$O$1001,MATCH('Index&amp;Match'!$A518,'Main Data'!$A$1:$A$1001,0),MATCH('Index&amp;Match'!E517,'Main Data'!$A517:$O517,0))</f>
        <v>South</v>
      </c>
      <c r="F518" s="2" t="str">
        <f>INDEX('Main Data'!$A$1:$O$1001,MATCH('Index&amp;Match'!$A518,'Main Data'!$A$1:$A$1001,0),MATCH('Index&amp;Match'!F517,'Main Data'!$A517:$O517,0))</f>
        <v>Auto Loan</v>
      </c>
      <c r="G518" s="2" t="str">
        <f>INDEX('Main Data'!$A$1:$O$1001,MATCH('Index&amp;Match'!$A518,'Main Data'!$A$1:$A$1001,0),MATCH('Index&amp;Match'!G517,'Main Data'!$A517:$O517,0))</f>
        <v>Email Campaign</v>
      </c>
      <c r="H518" s="2" t="str">
        <f>INDEX('Main Data'!$A$1:$O$1001,MATCH('Index&amp;Match'!$A518,'Main Data'!$A$1:$A$1001,0),MATCH('Index&amp;Match'!H517,'Main Data'!$A517:$O517,0))</f>
        <v>Retail</v>
      </c>
      <c r="I518" s="2">
        <f>INDEX('Main Data'!$A$1:$O$1001,MATCH('Index&amp;Match'!$A518,'Main Data'!$A$1:$A$1001,0),MATCH('Index&amp;Match'!I517,'Main Data'!$A517:$O517,0))</f>
        <v>22</v>
      </c>
      <c r="J518" s="2">
        <f>INDEX('Main Data'!$A$1:$O$1001,MATCH('Index&amp;Match'!$A518,'Main Data'!$A$1:$A$1001,0),MATCH('Index&amp;Match'!J517,'Main Data'!$A517:$O517,0))</f>
        <v>22</v>
      </c>
      <c r="K518" s="11">
        <f>INDEX('Main Data'!$A$1:$O$1001,MATCH('Index&amp;Match'!$A518,'Main Data'!$A$1:$A$1001,0),MATCH('Index&amp;Match'!K517,'Main Data'!$A517:$O517,0))</f>
        <v>15248.77</v>
      </c>
      <c r="L518" s="11">
        <f>INDEX('Main Data'!$A$1:$O$1001,MATCH('Index&amp;Match'!$A518,'Main Data'!$A$1:$A$1001,0),MATCH('Index&amp;Match'!L517,'Main Data'!$A517:$O517,0))</f>
        <v>142.99</v>
      </c>
      <c r="M518" s="11">
        <f>INDEX('Main Data'!$A$1:$O$1001,MATCH('Index&amp;Match'!$A518,'Main Data'!$A$1:$A$1001,0),MATCH('Index&amp;Match'!M517,'Main Data'!$A517:$O517,0))</f>
        <v>44.87</v>
      </c>
      <c r="N518" s="2" t="str">
        <f>INDEX('Main Data'!$A$1:$O$1001,MATCH('Index&amp;Match'!$A518,'Main Data'!$A$1:$A$1001,0),MATCH('Index&amp;Match'!N517,'Main Data'!$A517:$O517,0))</f>
        <v>No</v>
      </c>
      <c r="O518" s="2">
        <f>INDEX('Main Data'!$A$1:$O$1001,MATCH('Index&amp;Match'!$A518,'Main Data'!$A$1:$A$1001,0),MATCH('Index&amp;Match'!O517,'Main Data'!$A517:$O517,0))</f>
        <v>22</v>
      </c>
    </row>
    <row r="519" spans="1:15" x14ac:dyDescent="0.3">
      <c r="A519" s="2" t="s">
        <v>576</v>
      </c>
      <c r="B519" s="1">
        <f>INDEX('Main Data'!$A$1:$O$1001,MATCH('Index&amp;Match'!$A519,'Main Data'!$A$1:$A$1001,0),MATCH('Index&amp;Match'!B518,'Main Data'!$A518:$O518,0))</f>
        <v>46062</v>
      </c>
      <c r="C519" s="2" t="str">
        <f>INDEX('Main Data'!$A$1:$O$1001,MATCH('Index&amp;Match'!$A519,'Main Data'!$A$1:$A$1001,0),MATCH('Index&amp;Match'!C518,'Main Data'!$A518:$O518,0))</f>
        <v>Sam</v>
      </c>
      <c r="D519" s="2" t="str">
        <f>INDEX('Main Data'!$A$1:$O$1001,MATCH('Index&amp;Match'!$A519,'Main Data'!$A$1:$A$1001,0),MATCH('Index&amp;Match'!D518,'Main Data'!$A518:$O518,0))</f>
        <v>BR-006</v>
      </c>
      <c r="E519" s="2" t="str">
        <f>INDEX('Main Data'!$A$1:$O$1001,MATCH('Index&amp;Match'!$A519,'Main Data'!$A$1:$A$1001,0),MATCH('Index&amp;Match'!E518,'Main Data'!$A518:$O518,0))</f>
        <v>West</v>
      </c>
      <c r="F519" s="2" t="str">
        <f>INDEX('Main Data'!$A$1:$O$1001,MATCH('Index&amp;Match'!$A519,'Main Data'!$A$1:$A$1001,0),MATCH('Index&amp;Match'!F518,'Main Data'!$A518:$O518,0))</f>
        <v>Credit Card</v>
      </c>
      <c r="G519" s="2" t="str">
        <f>INDEX('Main Data'!$A$1:$O$1001,MATCH('Index&amp;Match'!$A519,'Main Data'!$A$1:$A$1001,0),MATCH('Index&amp;Match'!G518,'Main Data'!$A518:$O518,0))</f>
        <v>Email Campaign</v>
      </c>
      <c r="H519" s="2" t="str">
        <f>INDEX('Main Data'!$A$1:$O$1001,MATCH('Index&amp;Match'!$A519,'Main Data'!$A$1:$A$1001,0),MATCH('Index&amp;Match'!H518,'Main Data'!$A518:$O518,0))</f>
        <v>Corporate</v>
      </c>
      <c r="I519" s="2">
        <f>INDEX('Main Data'!$A$1:$O$1001,MATCH('Index&amp;Match'!$A519,'Main Data'!$A$1:$A$1001,0),MATCH('Index&amp;Match'!I518,'Main Data'!$A518:$O518,0))</f>
        <v>49</v>
      </c>
      <c r="J519" s="2">
        <f>INDEX('Main Data'!$A$1:$O$1001,MATCH('Index&amp;Match'!$A519,'Main Data'!$A$1:$A$1001,0),MATCH('Index&amp;Match'!J518,'Main Data'!$A518:$O518,0))</f>
        <v>49</v>
      </c>
      <c r="K519" s="11">
        <f>INDEX('Main Data'!$A$1:$O$1001,MATCH('Index&amp;Match'!$A519,'Main Data'!$A$1:$A$1001,0),MATCH('Index&amp;Match'!K518,'Main Data'!$A518:$O518,0))</f>
        <v>23026.240000000002</v>
      </c>
      <c r="L519" s="11">
        <f>INDEX('Main Data'!$A$1:$O$1001,MATCH('Index&amp;Match'!$A519,'Main Data'!$A$1:$A$1001,0),MATCH('Index&amp;Match'!L518,'Main Data'!$A518:$O518,0))</f>
        <v>443.35</v>
      </c>
      <c r="M519" s="11">
        <f>INDEX('Main Data'!$A$1:$O$1001,MATCH('Index&amp;Match'!$A519,'Main Data'!$A$1:$A$1001,0),MATCH('Index&amp;Match'!M518,'Main Data'!$A518:$O518,0))</f>
        <v>98.77</v>
      </c>
      <c r="N519" s="2" t="str">
        <f>INDEX('Main Data'!$A$1:$O$1001,MATCH('Index&amp;Match'!$A519,'Main Data'!$A$1:$A$1001,0),MATCH('Index&amp;Match'!N518,'Main Data'!$A518:$O518,0))</f>
        <v>Yes</v>
      </c>
      <c r="O519" s="2">
        <f>INDEX('Main Data'!$A$1:$O$1001,MATCH('Index&amp;Match'!$A519,'Main Data'!$A$1:$A$1001,0),MATCH('Index&amp;Match'!O518,'Main Data'!$A518:$O518,0))</f>
        <v>49</v>
      </c>
    </row>
    <row r="520" spans="1:15" x14ac:dyDescent="0.3">
      <c r="A520" s="2" t="s">
        <v>577</v>
      </c>
      <c r="B520" s="1">
        <f>INDEX('Main Data'!$A$1:$O$1001,MATCH('Index&amp;Match'!$A520,'Main Data'!$A$1:$A$1001,0),MATCH('Index&amp;Match'!B519,'Main Data'!$A519:$O519,0))</f>
        <v>46130</v>
      </c>
      <c r="C520" s="2" t="str">
        <f>INDEX('Main Data'!$A$1:$O$1001,MATCH('Index&amp;Match'!$A520,'Main Data'!$A$1:$A$1001,0),MATCH('Index&amp;Match'!C519,'Main Data'!$A519:$O519,0))</f>
        <v>Drew</v>
      </c>
      <c r="D520" s="2" t="str">
        <f>INDEX('Main Data'!$A$1:$O$1001,MATCH('Index&amp;Match'!$A520,'Main Data'!$A$1:$A$1001,0),MATCH('Index&amp;Match'!D519,'Main Data'!$A519:$O519,0))</f>
        <v>BR-013</v>
      </c>
      <c r="E520" s="2" t="str">
        <f>INDEX('Main Data'!$A$1:$O$1001,MATCH('Index&amp;Match'!$A520,'Main Data'!$A$1:$A$1001,0),MATCH('Index&amp;Match'!E519,'Main Data'!$A519:$O519,0))</f>
        <v>Central</v>
      </c>
      <c r="F520" s="2" t="str">
        <f>INDEX('Main Data'!$A$1:$O$1001,MATCH('Index&amp;Match'!$A520,'Main Data'!$A$1:$A$1001,0),MATCH('Index&amp;Match'!F519,'Main Data'!$A519:$O519,0))</f>
        <v>Credit Card</v>
      </c>
      <c r="G520" s="2" t="str">
        <f>INDEX('Main Data'!$A$1:$O$1001,MATCH('Index&amp;Match'!$A520,'Main Data'!$A$1:$A$1001,0),MATCH('Index&amp;Match'!G519,'Main Data'!$A519:$O519,0))</f>
        <v>Website</v>
      </c>
      <c r="H520" s="2" t="str">
        <f>INDEX('Main Data'!$A$1:$O$1001,MATCH('Index&amp;Match'!$A520,'Main Data'!$A$1:$A$1001,0),MATCH('Index&amp;Match'!H519,'Main Data'!$A519:$O519,0))</f>
        <v>SME</v>
      </c>
      <c r="I520" s="2">
        <f>INDEX('Main Data'!$A$1:$O$1001,MATCH('Index&amp;Match'!$A520,'Main Data'!$A$1:$A$1001,0),MATCH('Index&amp;Match'!I519,'Main Data'!$A519:$O519,0))</f>
        <v>40</v>
      </c>
      <c r="J520" s="2">
        <f>INDEX('Main Data'!$A$1:$O$1001,MATCH('Index&amp;Match'!$A520,'Main Data'!$A$1:$A$1001,0),MATCH('Index&amp;Match'!J519,'Main Data'!$A519:$O519,0))</f>
        <v>40</v>
      </c>
      <c r="K520" s="11">
        <f>INDEX('Main Data'!$A$1:$O$1001,MATCH('Index&amp;Match'!$A520,'Main Data'!$A$1:$A$1001,0),MATCH('Index&amp;Match'!K519,'Main Data'!$A519:$O519,0))</f>
        <v>8595.91</v>
      </c>
      <c r="L520" s="11">
        <f>INDEX('Main Data'!$A$1:$O$1001,MATCH('Index&amp;Match'!$A520,'Main Data'!$A$1:$A$1001,0),MATCH('Index&amp;Match'!L519,'Main Data'!$A519:$O519,0))</f>
        <v>63.71</v>
      </c>
      <c r="M520" s="11">
        <f>INDEX('Main Data'!$A$1:$O$1001,MATCH('Index&amp;Match'!$A520,'Main Data'!$A$1:$A$1001,0),MATCH('Index&amp;Match'!M519,'Main Data'!$A519:$O519,0))</f>
        <v>192.32</v>
      </c>
      <c r="N520" s="2" t="str">
        <f>INDEX('Main Data'!$A$1:$O$1001,MATCH('Index&amp;Match'!$A520,'Main Data'!$A$1:$A$1001,0),MATCH('Index&amp;Match'!N519,'Main Data'!$A519:$O519,0))</f>
        <v>No</v>
      </c>
      <c r="O520" s="2">
        <f>INDEX('Main Data'!$A$1:$O$1001,MATCH('Index&amp;Match'!$A520,'Main Data'!$A$1:$A$1001,0),MATCH('Index&amp;Match'!O519,'Main Data'!$A519:$O519,0))</f>
        <v>40</v>
      </c>
    </row>
    <row r="521" spans="1:15" x14ac:dyDescent="0.3">
      <c r="A521" s="2" t="s">
        <v>578</v>
      </c>
      <c r="B521" s="1">
        <f>INDEX('Main Data'!$A$1:$O$1001,MATCH('Index&amp;Match'!$A521,'Main Data'!$A$1:$A$1001,0),MATCH('Index&amp;Match'!B520,'Main Data'!$A520:$O520,0))</f>
        <v>45998</v>
      </c>
      <c r="C521" s="2" t="str">
        <f>INDEX('Main Data'!$A$1:$O$1001,MATCH('Index&amp;Match'!$A521,'Main Data'!$A$1:$A$1001,0),MATCH('Index&amp;Match'!C520,'Main Data'!$A520:$O520,0))</f>
        <v>Jordan</v>
      </c>
      <c r="D521" s="2" t="str">
        <f>INDEX('Main Data'!$A$1:$O$1001,MATCH('Index&amp;Match'!$A521,'Main Data'!$A$1:$A$1001,0),MATCH('Index&amp;Match'!D520,'Main Data'!$A520:$O520,0))</f>
        <v>BR-015</v>
      </c>
      <c r="E521" s="2" t="str">
        <f>INDEX('Main Data'!$A$1:$O$1001,MATCH('Index&amp;Match'!$A521,'Main Data'!$A$1:$A$1001,0),MATCH('Index&amp;Match'!E520,'Main Data'!$A520:$O520,0))</f>
        <v>South</v>
      </c>
      <c r="F521" s="2" t="str">
        <f>INDEX('Main Data'!$A$1:$O$1001,MATCH('Index&amp;Match'!$A521,'Main Data'!$A$1:$A$1001,0),MATCH('Index&amp;Match'!F520,'Main Data'!$A520:$O520,0))</f>
        <v>Credit Card</v>
      </c>
      <c r="G521" s="2" t="str">
        <f>INDEX('Main Data'!$A$1:$O$1001,MATCH('Index&amp;Match'!$A521,'Main Data'!$A$1:$A$1001,0),MATCH('Index&amp;Match'!G520,'Main Data'!$A520:$O520,0))</f>
        <v>Referral</v>
      </c>
      <c r="H521" s="2" t="str">
        <f>INDEX('Main Data'!$A$1:$O$1001,MATCH('Index&amp;Match'!$A521,'Main Data'!$A$1:$A$1001,0),MATCH('Index&amp;Match'!H520,'Main Data'!$A520:$O520,0))</f>
        <v>High Net Worth</v>
      </c>
      <c r="I521" s="2">
        <f>INDEX('Main Data'!$A$1:$O$1001,MATCH('Index&amp;Match'!$A521,'Main Data'!$A$1:$A$1001,0),MATCH('Index&amp;Match'!I520,'Main Data'!$A520:$O520,0))</f>
        <v>26</v>
      </c>
      <c r="J521" s="2">
        <f>INDEX('Main Data'!$A$1:$O$1001,MATCH('Index&amp;Match'!$A521,'Main Data'!$A$1:$A$1001,0),MATCH('Index&amp;Match'!J520,'Main Data'!$A520:$O520,0))</f>
        <v>26</v>
      </c>
      <c r="K521" s="11">
        <f>INDEX('Main Data'!$A$1:$O$1001,MATCH('Index&amp;Match'!$A521,'Main Data'!$A$1:$A$1001,0),MATCH('Index&amp;Match'!K520,'Main Data'!$A520:$O520,0))</f>
        <v>15554.13</v>
      </c>
      <c r="L521" s="11">
        <f>INDEX('Main Data'!$A$1:$O$1001,MATCH('Index&amp;Match'!$A521,'Main Data'!$A$1:$A$1001,0),MATCH('Index&amp;Match'!L520,'Main Data'!$A520:$O520,0))</f>
        <v>90.89</v>
      </c>
      <c r="M521" s="11">
        <f>INDEX('Main Data'!$A$1:$O$1001,MATCH('Index&amp;Match'!$A521,'Main Data'!$A$1:$A$1001,0),MATCH('Index&amp;Match'!M520,'Main Data'!$A520:$O520,0))</f>
        <v>230.9</v>
      </c>
      <c r="N521" s="2" t="str">
        <f>INDEX('Main Data'!$A$1:$O$1001,MATCH('Index&amp;Match'!$A521,'Main Data'!$A$1:$A$1001,0),MATCH('Index&amp;Match'!N520,'Main Data'!$A520:$O520,0))</f>
        <v>Yes</v>
      </c>
      <c r="O521" s="2">
        <f>INDEX('Main Data'!$A$1:$O$1001,MATCH('Index&amp;Match'!$A521,'Main Data'!$A$1:$A$1001,0),MATCH('Index&amp;Match'!O520,'Main Data'!$A520:$O520,0))</f>
        <v>26</v>
      </c>
    </row>
    <row r="522" spans="1:15" x14ac:dyDescent="0.3">
      <c r="A522" s="2" t="s">
        <v>579</v>
      </c>
      <c r="B522" s="1">
        <f>INDEX('Main Data'!$A$1:$O$1001,MATCH('Index&amp;Match'!$A522,'Main Data'!$A$1:$A$1001,0),MATCH('Index&amp;Match'!B521,'Main Data'!$A521:$O521,0))</f>
        <v>46174</v>
      </c>
      <c r="C522" s="2" t="str">
        <f>INDEX('Main Data'!$A$1:$O$1001,MATCH('Index&amp;Match'!$A522,'Main Data'!$A$1:$A$1001,0),MATCH('Index&amp;Match'!C521,'Main Data'!$A521:$O521,0))</f>
        <v>Drew</v>
      </c>
      <c r="D522" s="2" t="str">
        <f>INDEX('Main Data'!$A$1:$O$1001,MATCH('Index&amp;Match'!$A522,'Main Data'!$A$1:$A$1001,0),MATCH('Index&amp;Match'!D521,'Main Data'!$A521:$O521,0))</f>
        <v>BR-015</v>
      </c>
      <c r="E522" s="2" t="str">
        <f>INDEX('Main Data'!$A$1:$O$1001,MATCH('Index&amp;Match'!$A522,'Main Data'!$A$1:$A$1001,0),MATCH('Index&amp;Match'!E521,'Main Data'!$A521:$O521,0))</f>
        <v>East</v>
      </c>
      <c r="F522" s="2" t="str">
        <f>INDEX('Main Data'!$A$1:$O$1001,MATCH('Index&amp;Match'!$A522,'Main Data'!$A$1:$A$1001,0),MATCH('Index&amp;Match'!F521,'Main Data'!$A521:$O521,0))</f>
        <v>Auto Loan</v>
      </c>
      <c r="G522" s="2" t="str">
        <f>INDEX('Main Data'!$A$1:$O$1001,MATCH('Index&amp;Match'!$A522,'Main Data'!$A$1:$A$1001,0),MATCH('Index&amp;Match'!G521,'Main Data'!$A521:$O521,0))</f>
        <v>Walk-in</v>
      </c>
      <c r="H522" s="2" t="str">
        <f>INDEX('Main Data'!$A$1:$O$1001,MATCH('Index&amp;Match'!$A522,'Main Data'!$A$1:$A$1001,0),MATCH('Index&amp;Match'!H521,'Main Data'!$A521:$O521,0))</f>
        <v>High Net Worth</v>
      </c>
      <c r="I522" s="2">
        <f>INDEX('Main Data'!$A$1:$O$1001,MATCH('Index&amp;Match'!$A522,'Main Data'!$A$1:$A$1001,0),MATCH('Index&amp;Match'!I521,'Main Data'!$A521:$O521,0))</f>
        <v>28</v>
      </c>
      <c r="J522" s="2">
        <f>INDEX('Main Data'!$A$1:$O$1001,MATCH('Index&amp;Match'!$A522,'Main Data'!$A$1:$A$1001,0),MATCH('Index&amp;Match'!J521,'Main Data'!$A521:$O521,0))</f>
        <v>28</v>
      </c>
      <c r="K522" s="11">
        <f>INDEX('Main Data'!$A$1:$O$1001,MATCH('Index&amp;Match'!$A522,'Main Data'!$A$1:$A$1001,0),MATCH('Index&amp;Match'!K521,'Main Data'!$A521:$O521,0))</f>
        <v>31244.76</v>
      </c>
      <c r="L522" s="11">
        <f>INDEX('Main Data'!$A$1:$O$1001,MATCH('Index&amp;Match'!$A522,'Main Data'!$A$1:$A$1001,0),MATCH('Index&amp;Match'!L521,'Main Data'!$A521:$O521,0))</f>
        <v>434.6</v>
      </c>
      <c r="M522" s="11">
        <f>INDEX('Main Data'!$A$1:$O$1001,MATCH('Index&amp;Match'!$A522,'Main Data'!$A$1:$A$1001,0),MATCH('Index&amp;Match'!M521,'Main Data'!$A521:$O521,0))</f>
        <v>146.49</v>
      </c>
      <c r="N522" s="2" t="str">
        <f>INDEX('Main Data'!$A$1:$O$1001,MATCH('Index&amp;Match'!$A522,'Main Data'!$A$1:$A$1001,0),MATCH('Index&amp;Match'!N521,'Main Data'!$A521:$O521,0))</f>
        <v>Yes</v>
      </c>
      <c r="O522" s="2">
        <f>INDEX('Main Data'!$A$1:$O$1001,MATCH('Index&amp;Match'!$A522,'Main Data'!$A$1:$A$1001,0),MATCH('Index&amp;Match'!O521,'Main Data'!$A521:$O521,0))</f>
        <v>28</v>
      </c>
    </row>
    <row r="523" spans="1:15" x14ac:dyDescent="0.3">
      <c r="A523" s="2" t="s">
        <v>580</v>
      </c>
      <c r="B523" s="1">
        <f>INDEX('Main Data'!$A$1:$O$1001,MATCH('Index&amp;Match'!$A523,'Main Data'!$A$1:$A$1001,0),MATCH('Index&amp;Match'!B522,'Main Data'!$A522:$O522,0))</f>
        <v>46081</v>
      </c>
      <c r="C523" s="2" t="str">
        <f>INDEX('Main Data'!$A$1:$O$1001,MATCH('Index&amp;Match'!$A523,'Main Data'!$A$1:$A$1001,0),MATCH('Index&amp;Match'!C522,'Main Data'!$A522:$O522,0))</f>
        <v>Jamie</v>
      </c>
      <c r="D523" s="2" t="str">
        <f>INDEX('Main Data'!$A$1:$O$1001,MATCH('Index&amp;Match'!$A523,'Main Data'!$A$1:$A$1001,0),MATCH('Index&amp;Match'!D522,'Main Data'!$A522:$O522,0))</f>
        <v>BR-004</v>
      </c>
      <c r="E523" s="2" t="str">
        <f>INDEX('Main Data'!$A$1:$O$1001,MATCH('Index&amp;Match'!$A523,'Main Data'!$A$1:$A$1001,0),MATCH('Index&amp;Match'!E522,'Main Data'!$A522:$O522,0))</f>
        <v>East</v>
      </c>
      <c r="F523" s="2" t="str">
        <f>INDEX('Main Data'!$A$1:$O$1001,MATCH('Index&amp;Match'!$A523,'Main Data'!$A$1:$A$1001,0),MATCH('Index&amp;Match'!F522,'Main Data'!$A522:$O522,0))</f>
        <v>Credit Card</v>
      </c>
      <c r="G523" s="2" t="str">
        <f>INDEX('Main Data'!$A$1:$O$1001,MATCH('Index&amp;Match'!$A523,'Main Data'!$A$1:$A$1001,0),MATCH('Index&amp;Match'!G522,'Main Data'!$A522:$O522,0))</f>
        <v>Social Media</v>
      </c>
      <c r="H523" s="2" t="str">
        <f>INDEX('Main Data'!$A$1:$O$1001,MATCH('Index&amp;Match'!$A523,'Main Data'!$A$1:$A$1001,0),MATCH('Index&amp;Match'!H522,'Main Data'!$A522:$O522,0))</f>
        <v>Corporate</v>
      </c>
      <c r="I523" s="2">
        <f>INDEX('Main Data'!$A$1:$O$1001,MATCH('Index&amp;Match'!$A523,'Main Data'!$A$1:$A$1001,0),MATCH('Index&amp;Match'!I522,'Main Data'!$A522:$O522,0))</f>
        <v>49</v>
      </c>
      <c r="J523" s="2">
        <f>INDEX('Main Data'!$A$1:$O$1001,MATCH('Index&amp;Match'!$A523,'Main Data'!$A$1:$A$1001,0),MATCH('Index&amp;Match'!J522,'Main Data'!$A522:$O522,0))</f>
        <v>49</v>
      </c>
      <c r="K523" s="11">
        <f>INDEX('Main Data'!$A$1:$O$1001,MATCH('Index&amp;Match'!$A523,'Main Data'!$A$1:$A$1001,0),MATCH('Index&amp;Match'!K522,'Main Data'!$A522:$O522,0))</f>
        <v>15439.1</v>
      </c>
      <c r="L523" s="11">
        <f>INDEX('Main Data'!$A$1:$O$1001,MATCH('Index&amp;Match'!$A523,'Main Data'!$A$1:$A$1001,0),MATCH('Index&amp;Match'!L522,'Main Data'!$A522:$O522,0))</f>
        <v>333.75</v>
      </c>
      <c r="M523" s="11">
        <f>INDEX('Main Data'!$A$1:$O$1001,MATCH('Index&amp;Match'!$A523,'Main Data'!$A$1:$A$1001,0),MATCH('Index&amp;Match'!M522,'Main Data'!$A522:$O522,0))</f>
        <v>67.540000000000006</v>
      </c>
      <c r="N523" s="2" t="str">
        <f>INDEX('Main Data'!$A$1:$O$1001,MATCH('Index&amp;Match'!$A523,'Main Data'!$A$1:$A$1001,0),MATCH('Index&amp;Match'!N522,'Main Data'!$A522:$O522,0))</f>
        <v>Yes</v>
      </c>
      <c r="O523" s="2">
        <f>INDEX('Main Data'!$A$1:$O$1001,MATCH('Index&amp;Match'!$A523,'Main Data'!$A$1:$A$1001,0),MATCH('Index&amp;Match'!O522,'Main Data'!$A522:$O522,0))</f>
        <v>49</v>
      </c>
    </row>
    <row r="524" spans="1:15" x14ac:dyDescent="0.3">
      <c r="A524" s="2" t="s">
        <v>581</v>
      </c>
      <c r="B524" s="1">
        <f>INDEX('Main Data'!$A$1:$O$1001,MATCH('Index&amp;Match'!$A524,'Main Data'!$A$1:$A$1001,0),MATCH('Index&amp;Match'!B523,'Main Data'!$A523:$O523,0))</f>
        <v>46092</v>
      </c>
      <c r="C524" s="2" t="str">
        <f>INDEX('Main Data'!$A$1:$O$1001,MATCH('Index&amp;Match'!$A524,'Main Data'!$A$1:$A$1001,0),MATCH('Index&amp;Match'!C523,'Main Data'!$A523:$O523,0))</f>
        <v>Sam</v>
      </c>
      <c r="D524" s="2" t="str">
        <f>INDEX('Main Data'!$A$1:$O$1001,MATCH('Index&amp;Match'!$A524,'Main Data'!$A$1:$A$1001,0),MATCH('Index&amp;Match'!D523,'Main Data'!$A523:$O523,0))</f>
        <v>BR-013</v>
      </c>
      <c r="E524" s="2" t="str">
        <f>INDEX('Main Data'!$A$1:$O$1001,MATCH('Index&amp;Match'!$A524,'Main Data'!$A$1:$A$1001,0),MATCH('Index&amp;Match'!E523,'Main Data'!$A523:$O523,0))</f>
        <v>South</v>
      </c>
      <c r="F524" s="2" t="str">
        <f>INDEX('Main Data'!$A$1:$O$1001,MATCH('Index&amp;Match'!$A524,'Main Data'!$A$1:$A$1001,0),MATCH('Index&amp;Match'!F523,'Main Data'!$A523:$O523,0))</f>
        <v>Mortgage</v>
      </c>
      <c r="G524" s="2" t="str">
        <f>INDEX('Main Data'!$A$1:$O$1001,MATCH('Index&amp;Match'!$A524,'Main Data'!$A$1:$A$1001,0),MATCH('Index&amp;Match'!G523,'Main Data'!$A523:$O523,0))</f>
        <v>Referral</v>
      </c>
      <c r="H524" s="2" t="str">
        <f>INDEX('Main Data'!$A$1:$O$1001,MATCH('Index&amp;Match'!$A524,'Main Data'!$A$1:$A$1001,0),MATCH('Index&amp;Match'!H523,'Main Data'!$A523:$O523,0))</f>
        <v>SME</v>
      </c>
      <c r="I524" s="2">
        <f>INDEX('Main Data'!$A$1:$O$1001,MATCH('Index&amp;Match'!$A524,'Main Data'!$A$1:$A$1001,0),MATCH('Index&amp;Match'!I523,'Main Data'!$A523:$O523,0))</f>
        <v>68</v>
      </c>
      <c r="J524" s="2">
        <f>INDEX('Main Data'!$A$1:$O$1001,MATCH('Index&amp;Match'!$A524,'Main Data'!$A$1:$A$1001,0),MATCH('Index&amp;Match'!J523,'Main Data'!$A523:$O523,0))</f>
        <v>68</v>
      </c>
      <c r="K524" s="11">
        <f>INDEX('Main Data'!$A$1:$O$1001,MATCH('Index&amp;Match'!$A524,'Main Data'!$A$1:$A$1001,0),MATCH('Index&amp;Match'!K523,'Main Data'!$A523:$O523,0))</f>
        <v>45037.279999999999</v>
      </c>
      <c r="L524" s="11">
        <f>INDEX('Main Data'!$A$1:$O$1001,MATCH('Index&amp;Match'!$A524,'Main Data'!$A$1:$A$1001,0),MATCH('Index&amp;Match'!L523,'Main Data'!$A523:$O523,0))</f>
        <v>386.26</v>
      </c>
      <c r="M524" s="11">
        <f>INDEX('Main Data'!$A$1:$O$1001,MATCH('Index&amp;Match'!$A524,'Main Data'!$A$1:$A$1001,0),MATCH('Index&amp;Match'!M523,'Main Data'!$A523:$O523,0))</f>
        <v>109.85</v>
      </c>
      <c r="N524" s="2" t="str">
        <f>INDEX('Main Data'!$A$1:$O$1001,MATCH('Index&amp;Match'!$A524,'Main Data'!$A$1:$A$1001,0),MATCH('Index&amp;Match'!N523,'Main Data'!$A523:$O523,0))</f>
        <v>Yes</v>
      </c>
      <c r="O524" s="2">
        <f>INDEX('Main Data'!$A$1:$O$1001,MATCH('Index&amp;Match'!$A524,'Main Data'!$A$1:$A$1001,0),MATCH('Index&amp;Match'!O523,'Main Data'!$A523:$O523,0))</f>
        <v>68</v>
      </c>
    </row>
    <row r="525" spans="1:15" x14ac:dyDescent="0.3">
      <c r="A525" s="2" t="s">
        <v>582</v>
      </c>
      <c r="B525" s="1">
        <f>INDEX('Main Data'!$A$1:$O$1001,MATCH('Index&amp;Match'!$A525,'Main Data'!$A$1:$A$1001,0),MATCH('Index&amp;Match'!B524,'Main Data'!$A524:$O524,0))</f>
        <v>46211</v>
      </c>
      <c r="C525" s="2" t="str">
        <f>INDEX('Main Data'!$A$1:$O$1001,MATCH('Index&amp;Match'!$A525,'Main Data'!$A$1:$A$1001,0),MATCH('Index&amp;Match'!C524,'Main Data'!$A524:$O524,0))</f>
        <v>Jamie</v>
      </c>
      <c r="D525" s="2" t="str">
        <f>INDEX('Main Data'!$A$1:$O$1001,MATCH('Index&amp;Match'!$A525,'Main Data'!$A$1:$A$1001,0),MATCH('Index&amp;Match'!D524,'Main Data'!$A524:$O524,0))</f>
        <v>BR-008</v>
      </c>
      <c r="E525" s="2" t="str">
        <f>INDEX('Main Data'!$A$1:$O$1001,MATCH('Index&amp;Match'!$A525,'Main Data'!$A$1:$A$1001,0),MATCH('Index&amp;Match'!E524,'Main Data'!$A524:$O524,0))</f>
        <v>North</v>
      </c>
      <c r="F525" s="2" t="str">
        <f>INDEX('Main Data'!$A$1:$O$1001,MATCH('Index&amp;Match'!$A525,'Main Data'!$A$1:$A$1001,0),MATCH('Index&amp;Match'!F524,'Main Data'!$A524:$O524,0))</f>
        <v>Wealth Management</v>
      </c>
      <c r="G525" s="2" t="str">
        <f>INDEX('Main Data'!$A$1:$O$1001,MATCH('Index&amp;Match'!$A525,'Main Data'!$A$1:$A$1001,0),MATCH('Index&amp;Match'!G524,'Main Data'!$A524:$O524,0))</f>
        <v>Website</v>
      </c>
      <c r="H525" s="2" t="str">
        <f>INDEX('Main Data'!$A$1:$O$1001,MATCH('Index&amp;Match'!$A525,'Main Data'!$A$1:$A$1001,0),MATCH('Index&amp;Match'!H524,'Main Data'!$A524:$O524,0))</f>
        <v>Corporate</v>
      </c>
      <c r="I525" s="2">
        <f>INDEX('Main Data'!$A$1:$O$1001,MATCH('Index&amp;Match'!$A525,'Main Data'!$A$1:$A$1001,0),MATCH('Index&amp;Match'!I524,'Main Data'!$A524:$O524,0))</f>
        <v>71</v>
      </c>
      <c r="J525" s="2">
        <f>INDEX('Main Data'!$A$1:$O$1001,MATCH('Index&amp;Match'!$A525,'Main Data'!$A$1:$A$1001,0),MATCH('Index&amp;Match'!J524,'Main Data'!$A524:$O524,0))</f>
        <v>71</v>
      </c>
      <c r="K525" s="11">
        <f>INDEX('Main Data'!$A$1:$O$1001,MATCH('Index&amp;Match'!$A525,'Main Data'!$A$1:$A$1001,0),MATCH('Index&amp;Match'!K524,'Main Data'!$A524:$O524,0))</f>
        <v>31606.14</v>
      </c>
      <c r="L525" s="11">
        <f>INDEX('Main Data'!$A$1:$O$1001,MATCH('Index&amp;Match'!$A525,'Main Data'!$A$1:$A$1001,0),MATCH('Index&amp;Match'!L524,'Main Data'!$A524:$O524,0))</f>
        <v>144.24</v>
      </c>
      <c r="M525" s="11">
        <f>INDEX('Main Data'!$A$1:$O$1001,MATCH('Index&amp;Match'!$A525,'Main Data'!$A$1:$A$1001,0),MATCH('Index&amp;Match'!M524,'Main Data'!$A524:$O524,0))</f>
        <v>149.66999999999999</v>
      </c>
      <c r="N525" s="2" t="str">
        <f>INDEX('Main Data'!$A$1:$O$1001,MATCH('Index&amp;Match'!$A525,'Main Data'!$A$1:$A$1001,0),MATCH('Index&amp;Match'!N524,'Main Data'!$A524:$O524,0))</f>
        <v>Yes</v>
      </c>
      <c r="O525" s="2">
        <f>INDEX('Main Data'!$A$1:$O$1001,MATCH('Index&amp;Match'!$A525,'Main Data'!$A$1:$A$1001,0),MATCH('Index&amp;Match'!O524,'Main Data'!$A524:$O524,0))</f>
        <v>71</v>
      </c>
    </row>
    <row r="526" spans="1:15" x14ac:dyDescent="0.3">
      <c r="A526" s="2" t="s">
        <v>583</v>
      </c>
      <c r="B526" s="1">
        <f>INDEX('Main Data'!$A$1:$O$1001,MATCH('Index&amp;Match'!$A526,'Main Data'!$A$1:$A$1001,0),MATCH('Index&amp;Match'!B525,'Main Data'!$A525:$O525,0))</f>
        <v>46078</v>
      </c>
      <c r="C526" s="2" t="str">
        <f>INDEX('Main Data'!$A$1:$O$1001,MATCH('Index&amp;Match'!$A526,'Main Data'!$A$1:$A$1001,0),MATCH('Index&amp;Match'!C525,'Main Data'!$A525:$O525,0))</f>
        <v>Jordan</v>
      </c>
      <c r="D526" s="2" t="str">
        <f>INDEX('Main Data'!$A$1:$O$1001,MATCH('Index&amp;Match'!$A526,'Main Data'!$A$1:$A$1001,0),MATCH('Index&amp;Match'!D525,'Main Data'!$A525:$O525,0))</f>
        <v>BR-004</v>
      </c>
      <c r="E526" s="2" t="str">
        <f>INDEX('Main Data'!$A$1:$O$1001,MATCH('Index&amp;Match'!$A526,'Main Data'!$A$1:$A$1001,0),MATCH('Index&amp;Match'!E525,'Main Data'!$A525:$O525,0))</f>
        <v>South</v>
      </c>
      <c r="F526" s="2" t="str">
        <f>INDEX('Main Data'!$A$1:$O$1001,MATCH('Index&amp;Match'!$A526,'Main Data'!$A$1:$A$1001,0),MATCH('Index&amp;Match'!F525,'Main Data'!$A525:$O525,0))</f>
        <v>Mortgage</v>
      </c>
      <c r="G526" s="2" t="str">
        <f>INDEX('Main Data'!$A$1:$O$1001,MATCH('Index&amp;Match'!$A526,'Main Data'!$A$1:$A$1001,0),MATCH('Index&amp;Match'!G525,'Main Data'!$A525:$O525,0))</f>
        <v>Referral</v>
      </c>
      <c r="H526" s="2" t="str">
        <f>INDEX('Main Data'!$A$1:$O$1001,MATCH('Index&amp;Match'!$A526,'Main Data'!$A$1:$A$1001,0),MATCH('Index&amp;Match'!H525,'Main Data'!$A525:$O525,0))</f>
        <v>Corporate</v>
      </c>
      <c r="I526" s="2">
        <f>INDEX('Main Data'!$A$1:$O$1001,MATCH('Index&amp;Match'!$A526,'Main Data'!$A$1:$A$1001,0),MATCH('Index&amp;Match'!I525,'Main Data'!$A525:$O525,0))</f>
        <v>53</v>
      </c>
      <c r="J526" s="2">
        <f>INDEX('Main Data'!$A$1:$O$1001,MATCH('Index&amp;Match'!$A526,'Main Data'!$A$1:$A$1001,0),MATCH('Index&amp;Match'!J525,'Main Data'!$A525:$O525,0))</f>
        <v>53</v>
      </c>
      <c r="K526" s="11">
        <f>INDEX('Main Data'!$A$1:$O$1001,MATCH('Index&amp;Match'!$A526,'Main Data'!$A$1:$A$1001,0),MATCH('Index&amp;Match'!K525,'Main Data'!$A525:$O525,0))</f>
        <v>22213.13</v>
      </c>
      <c r="L526" s="11">
        <f>INDEX('Main Data'!$A$1:$O$1001,MATCH('Index&amp;Match'!$A526,'Main Data'!$A$1:$A$1001,0),MATCH('Index&amp;Match'!L525,'Main Data'!$A525:$O525,0))</f>
        <v>291.69</v>
      </c>
      <c r="M526" s="11">
        <f>INDEX('Main Data'!$A$1:$O$1001,MATCH('Index&amp;Match'!$A526,'Main Data'!$A$1:$A$1001,0),MATCH('Index&amp;Match'!M525,'Main Data'!$A525:$O525,0))</f>
        <v>156.79</v>
      </c>
      <c r="N526" s="2" t="str">
        <f>INDEX('Main Data'!$A$1:$O$1001,MATCH('Index&amp;Match'!$A526,'Main Data'!$A$1:$A$1001,0),MATCH('Index&amp;Match'!N525,'Main Data'!$A525:$O525,0))</f>
        <v>Yes</v>
      </c>
      <c r="O526" s="2">
        <f>INDEX('Main Data'!$A$1:$O$1001,MATCH('Index&amp;Match'!$A526,'Main Data'!$A$1:$A$1001,0),MATCH('Index&amp;Match'!O525,'Main Data'!$A525:$O525,0))</f>
        <v>53</v>
      </c>
    </row>
    <row r="527" spans="1:15" x14ac:dyDescent="0.3">
      <c r="A527" s="2" t="s">
        <v>584</v>
      </c>
      <c r="B527" s="1">
        <f>INDEX('Main Data'!$A$1:$O$1001,MATCH('Index&amp;Match'!$A527,'Main Data'!$A$1:$A$1001,0),MATCH('Index&amp;Match'!B526,'Main Data'!$A526:$O526,0))</f>
        <v>46097</v>
      </c>
      <c r="C527" s="2" t="str">
        <f>INDEX('Main Data'!$A$1:$O$1001,MATCH('Index&amp;Match'!$A527,'Main Data'!$A$1:$A$1001,0),MATCH('Index&amp;Match'!C526,'Main Data'!$A526:$O526,0))</f>
        <v>Jamie</v>
      </c>
      <c r="D527" s="2" t="str">
        <f>INDEX('Main Data'!$A$1:$O$1001,MATCH('Index&amp;Match'!$A527,'Main Data'!$A$1:$A$1001,0),MATCH('Index&amp;Match'!D526,'Main Data'!$A526:$O526,0))</f>
        <v>BR-008</v>
      </c>
      <c r="E527" s="2" t="str">
        <f>INDEX('Main Data'!$A$1:$O$1001,MATCH('Index&amp;Match'!$A527,'Main Data'!$A$1:$A$1001,0),MATCH('Index&amp;Match'!E526,'Main Data'!$A526:$O526,0))</f>
        <v>Central</v>
      </c>
      <c r="F527" s="2" t="str">
        <f>INDEX('Main Data'!$A$1:$O$1001,MATCH('Index&amp;Match'!$A527,'Main Data'!$A$1:$A$1001,0),MATCH('Index&amp;Match'!F526,'Main Data'!$A526:$O526,0))</f>
        <v>Credit Card</v>
      </c>
      <c r="G527" s="2" t="str">
        <f>INDEX('Main Data'!$A$1:$O$1001,MATCH('Index&amp;Match'!$A527,'Main Data'!$A$1:$A$1001,0),MATCH('Index&amp;Match'!G526,'Main Data'!$A526:$O526,0))</f>
        <v>Referral</v>
      </c>
      <c r="H527" s="2" t="str">
        <f>INDEX('Main Data'!$A$1:$O$1001,MATCH('Index&amp;Match'!$A527,'Main Data'!$A$1:$A$1001,0),MATCH('Index&amp;Match'!H526,'Main Data'!$A526:$O526,0))</f>
        <v>Retail</v>
      </c>
      <c r="I527" s="2">
        <f>INDEX('Main Data'!$A$1:$O$1001,MATCH('Index&amp;Match'!$A527,'Main Data'!$A$1:$A$1001,0),MATCH('Index&amp;Match'!I526,'Main Data'!$A526:$O526,0))</f>
        <v>23</v>
      </c>
      <c r="J527" s="2">
        <f>INDEX('Main Data'!$A$1:$O$1001,MATCH('Index&amp;Match'!$A527,'Main Data'!$A$1:$A$1001,0),MATCH('Index&amp;Match'!J526,'Main Data'!$A526:$O526,0))</f>
        <v>23</v>
      </c>
      <c r="K527" s="11">
        <f>INDEX('Main Data'!$A$1:$O$1001,MATCH('Index&amp;Match'!$A527,'Main Data'!$A$1:$A$1001,0),MATCH('Index&amp;Match'!K526,'Main Data'!$A526:$O526,0))</f>
        <v>2418.4699999999998</v>
      </c>
      <c r="L527" s="11">
        <f>INDEX('Main Data'!$A$1:$O$1001,MATCH('Index&amp;Match'!$A527,'Main Data'!$A$1:$A$1001,0),MATCH('Index&amp;Match'!L526,'Main Data'!$A526:$O526,0))</f>
        <v>381.75</v>
      </c>
      <c r="M527" s="11">
        <f>INDEX('Main Data'!$A$1:$O$1001,MATCH('Index&amp;Match'!$A527,'Main Data'!$A$1:$A$1001,0),MATCH('Index&amp;Match'!M526,'Main Data'!$A526:$O526,0))</f>
        <v>64.92</v>
      </c>
      <c r="N527" s="2" t="str">
        <f>INDEX('Main Data'!$A$1:$O$1001,MATCH('Index&amp;Match'!$A527,'Main Data'!$A$1:$A$1001,0),MATCH('Index&amp;Match'!N526,'Main Data'!$A526:$O526,0))</f>
        <v>Yes</v>
      </c>
      <c r="O527" s="2">
        <f>INDEX('Main Data'!$A$1:$O$1001,MATCH('Index&amp;Match'!$A527,'Main Data'!$A$1:$A$1001,0),MATCH('Index&amp;Match'!O526,'Main Data'!$A526:$O526,0))</f>
        <v>23</v>
      </c>
    </row>
    <row r="528" spans="1:15" x14ac:dyDescent="0.3">
      <c r="A528" s="2" t="s">
        <v>585</v>
      </c>
      <c r="B528" s="1">
        <f>INDEX('Main Data'!$A$1:$O$1001,MATCH('Index&amp;Match'!$A528,'Main Data'!$A$1:$A$1001,0),MATCH('Index&amp;Match'!B527,'Main Data'!$A527:$O527,0))</f>
        <v>45912</v>
      </c>
      <c r="C528" s="2" t="str">
        <f>INDEX('Main Data'!$A$1:$O$1001,MATCH('Index&amp;Match'!$A528,'Main Data'!$A$1:$A$1001,0),MATCH('Index&amp;Match'!C527,'Main Data'!$A527:$O527,0))</f>
        <v>Taylor</v>
      </c>
      <c r="D528" s="2" t="str">
        <f>INDEX('Main Data'!$A$1:$O$1001,MATCH('Index&amp;Match'!$A528,'Main Data'!$A$1:$A$1001,0),MATCH('Index&amp;Match'!D527,'Main Data'!$A527:$O527,0))</f>
        <v>BR-015</v>
      </c>
      <c r="E528" s="2" t="str">
        <f>INDEX('Main Data'!$A$1:$O$1001,MATCH('Index&amp;Match'!$A528,'Main Data'!$A$1:$A$1001,0),MATCH('Index&amp;Match'!E527,'Main Data'!$A527:$O527,0))</f>
        <v>North</v>
      </c>
      <c r="F528" s="2" t="str">
        <f>INDEX('Main Data'!$A$1:$O$1001,MATCH('Index&amp;Match'!$A528,'Main Data'!$A$1:$A$1001,0),MATCH('Index&amp;Match'!F527,'Main Data'!$A527:$O527,0))</f>
        <v>Mortgage</v>
      </c>
      <c r="G528" s="2" t="str">
        <f>INDEX('Main Data'!$A$1:$O$1001,MATCH('Index&amp;Match'!$A528,'Main Data'!$A$1:$A$1001,0),MATCH('Index&amp;Match'!G527,'Main Data'!$A527:$O527,0))</f>
        <v>Website</v>
      </c>
      <c r="H528" s="2" t="str">
        <f>INDEX('Main Data'!$A$1:$O$1001,MATCH('Index&amp;Match'!$A528,'Main Data'!$A$1:$A$1001,0),MATCH('Index&amp;Match'!H527,'Main Data'!$A527:$O527,0))</f>
        <v>Corporate</v>
      </c>
      <c r="I528" s="2">
        <f>INDEX('Main Data'!$A$1:$O$1001,MATCH('Index&amp;Match'!$A528,'Main Data'!$A$1:$A$1001,0),MATCH('Index&amp;Match'!I527,'Main Data'!$A527:$O527,0))</f>
        <v>55</v>
      </c>
      <c r="J528" s="2">
        <f>INDEX('Main Data'!$A$1:$O$1001,MATCH('Index&amp;Match'!$A528,'Main Data'!$A$1:$A$1001,0),MATCH('Index&amp;Match'!J527,'Main Data'!$A527:$O527,0))</f>
        <v>55</v>
      </c>
      <c r="K528" s="11">
        <f>INDEX('Main Data'!$A$1:$O$1001,MATCH('Index&amp;Match'!$A528,'Main Data'!$A$1:$A$1001,0),MATCH('Index&amp;Match'!K527,'Main Data'!$A527:$O527,0))</f>
        <v>25227.64</v>
      </c>
      <c r="L528" s="11">
        <f>INDEX('Main Data'!$A$1:$O$1001,MATCH('Index&amp;Match'!$A528,'Main Data'!$A$1:$A$1001,0),MATCH('Index&amp;Match'!L527,'Main Data'!$A527:$O527,0))</f>
        <v>332.29</v>
      </c>
      <c r="M528" s="11">
        <f>INDEX('Main Data'!$A$1:$O$1001,MATCH('Index&amp;Match'!$A528,'Main Data'!$A$1:$A$1001,0),MATCH('Index&amp;Match'!M527,'Main Data'!$A527:$O527,0))</f>
        <v>144.22999999999999</v>
      </c>
      <c r="N528" s="2" t="str">
        <f>INDEX('Main Data'!$A$1:$O$1001,MATCH('Index&amp;Match'!$A528,'Main Data'!$A$1:$A$1001,0),MATCH('Index&amp;Match'!N527,'Main Data'!$A527:$O527,0))</f>
        <v>Yes</v>
      </c>
      <c r="O528" s="2">
        <f>INDEX('Main Data'!$A$1:$O$1001,MATCH('Index&amp;Match'!$A528,'Main Data'!$A$1:$A$1001,0),MATCH('Index&amp;Match'!O527,'Main Data'!$A527:$O527,0))</f>
        <v>55</v>
      </c>
    </row>
    <row r="529" spans="1:15" x14ac:dyDescent="0.3">
      <c r="A529" s="2" t="s">
        <v>586</v>
      </c>
      <c r="B529" s="1">
        <f>INDEX('Main Data'!$A$1:$O$1001,MATCH('Index&amp;Match'!$A529,'Main Data'!$A$1:$A$1001,0),MATCH('Index&amp;Match'!B528,'Main Data'!$A528:$O528,0))</f>
        <v>46153</v>
      </c>
      <c r="C529" s="2" t="str">
        <f>INDEX('Main Data'!$A$1:$O$1001,MATCH('Index&amp;Match'!$A529,'Main Data'!$A$1:$A$1001,0),MATCH('Index&amp;Match'!C528,'Main Data'!$A528:$O528,0))</f>
        <v>Jordan</v>
      </c>
      <c r="D529" s="2" t="str">
        <f>INDEX('Main Data'!$A$1:$O$1001,MATCH('Index&amp;Match'!$A529,'Main Data'!$A$1:$A$1001,0),MATCH('Index&amp;Match'!D528,'Main Data'!$A528:$O528,0))</f>
        <v>BR-013</v>
      </c>
      <c r="E529" s="2" t="str">
        <f>INDEX('Main Data'!$A$1:$O$1001,MATCH('Index&amp;Match'!$A529,'Main Data'!$A$1:$A$1001,0),MATCH('Index&amp;Match'!E528,'Main Data'!$A528:$O528,0))</f>
        <v>East</v>
      </c>
      <c r="F529" s="2" t="str">
        <f>INDEX('Main Data'!$A$1:$O$1001,MATCH('Index&amp;Match'!$A529,'Main Data'!$A$1:$A$1001,0),MATCH('Index&amp;Match'!F528,'Main Data'!$A528:$O528,0))</f>
        <v>Credit Card</v>
      </c>
      <c r="G529" s="2" t="str">
        <f>INDEX('Main Data'!$A$1:$O$1001,MATCH('Index&amp;Match'!$A529,'Main Data'!$A$1:$A$1001,0),MATCH('Index&amp;Match'!G528,'Main Data'!$A528:$O528,0))</f>
        <v>Email Campaign</v>
      </c>
      <c r="H529" s="2" t="str">
        <f>INDEX('Main Data'!$A$1:$O$1001,MATCH('Index&amp;Match'!$A529,'Main Data'!$A$1:$A$1001,0),MATCH('Index&amp;Match'!H528,'Main Data'!$A528:$O528,0))</f>
        <v>Retail</v>
      </c>
      <c r="I529" s="2">
        <f>INDEX('Main Data'!$A$1:$O$1001,MATCH('Index&amp;Match'!$A529,'Main Data'!$A$1:$A$1001,0),MATCH('Index&amp;Match'!I528,'Main Data'!$A528:$O528,0))</f>
        <v>25</v>
      </c>
      <c r="J529" s="2">
        <f>INDEX('Main Data'!$A$1:$O$1001,MATCH('Index&amp;Match'!$A529,'Main Data'!$A$1:$A$1001,0),MATCH('Index&amp;Match'!J528,'Main Data'!$A528:$O528,0))</f>
        <v>25</v>
      </c>
      <c r="K529" s="11">
        <f>INDEX('Main Data'!$A$1:$O$1001,MATCH('Index&amp;Match'!$A529,'Main Data'!$A$1:$A$1001,0),MATCH('Index&amp;Match'!K528,'Main Data'!$A528:$O528,0))</f>
        <v>38356.42</v>
      </c>
      <c r="L529" s="11">
        <f>INDEX('Main Data'!$A$1:$O$1001,MATCH('Index&amp;Match'!$A529,'Main Data'!$A$1:$A$1001,0),MATCH('Index&amp;Match'!L528,'Main Data'!$A528:$O528,0))</f>
        <v>262.26</v>
      </c>
      <c r="M529" s="11">
        <f>INDEX('Main Data'!$A$1:$O$1001,MATCH('Index&amp;Match'!$A529,'Main Data'!$A$1:$A$1001,0),MATCH('Index&amp;Match'!M528,'Main Data'!$A528:$O528,0))</f>
        <v>131.56</v>
      </c>
      <c r="N529" s="2" t="str">
        <f>INDEX('Main Data'!$A$1:$O$1001,MATCH('Index&amp;Match'!$A529,'Main Data'!$A$1:$A$1001,0),MATCH('Index&amp;Match'!N528,'Main Data'!$A528:$O528,0))</f>
        <v>No</v>
      </c>
      <c r="O529" s="2">
        <f>INDEX('Main Data'!$A$1:$O$1001,MATCH('Index&amp;Match'!$A529,'Main Data'!$A$1:$A$1001,0),MATCH('Index&amp;Match'!O528,'Main Data'!$A528:$O528,0))</f>
        <v>25</v>
      </c>
    </row>
    <row r="530" spans="1:15" x14ac:dyDescent="0.3">
      <c r="A530" s="2" t="s">
        <v>587</v>
      </c>
      <c r="B530" s="1">
        <f>INDEX('Main Data'!$A$1:$O$1001,MATCH('Index&amp;Match'!$A530,'Main Data'!$A$1:$A$1001,0),MATCH('Index&amp;Match'!B529,'Main Data'!$A529:$O529,0))</f>
        <v>46134</v>
      </c>
      <c r="C530" s="2" t="str">
        <f>INDEX('Main Data'!$A$1:$O$1001,MATCH('Index&amp;Match'!$A530,'Main Data'!$A$1:$A$1001,0),MATCH('Index&amp;Match'!C529,'Main Data'!$A529:$O529,0))</f>
        <v>Jordan</v>
      </c>
      <c r="D530" s="2" t="str">
        <f>INDEX('Main Data'!$A$1:$O$1001,MATCH('Index&amp;Match'!$A530,'Main Data'!$A$1:$A$1001,0),MATCH('Index&amp;Match'!D529,'Main Data'!$A529:$O529,0))</f>
        <v>BR-008</v>
      </c>
      <c r="E530" s="2" t="str">
        <f>INDEX('Main Data'!$A$1:$O$1001,MATCH('Index&amp;Match'!$A530,'Main Data'!$A$1:$A$1001,0),MATCH('Index&amp;Match'!E529,'Main Data'!$A529:$O529,0))</f>
        <v>South</v>
      </c>
      <c r="F530" s="2" t="str">
        <f>INDEX('Main Data'!$A$1:$O$1001,MATCH('Index&amp;Match'!$A530,'Main Data'!$A$1:$A$1001,0),MATCH('Index&amp;Match'!F529,'Main Data'!$A529:$O529,0))</f>
        <v>Auto Loan</v>
      </c>
      <c r="G530" s="2" t="str">
        <f>INDEX('Main Data'!$A$1:$O$1001,MATCH('Index&amp;Match'!$A530,'Main Data'!$A$1:$A$1001,0),MATCH('Index&amp;Match'!G529,'Main Data'!$A529:$O529,0))</f>
        <v>Email Campaign</v>
      </c>
      <c r="H530" s="2" t="str">
        <f>INDEX('Main Data'!$A$1:$O$1001,MATCH('Index&amp;Match'!$A530,'Main Data'!$A$1:$A$1001,0),MATCH('Index&amp;Match'!H529,'Main Data'!$A529:$O529,0))</f>
        <v>Retail</v>
      </c>
      <c r="I530" s="2">
        <f>INDEX('Main Data'!$A$1:$O$1001,MATCH('Index&amp;Match'!$A530,'Main Data'!$A$1:$A$1001,0),MATCH('Index&amp;Match'!I529,'Main Data'!$A529:$O529,0))</f>
        <v>47</v>
      </c>
      <c r="J530" s="2">
        <f>INDEX('Main Data'!$A$1:$O$1001,MATCH('Index&amp;Match'!$A530,'Main Data'!$A$1:$A$1001,0),MATCH('Index&amp;Match'!J529,'Main Data'!$A529:$O529,0))</f>
        <v>47</v>
      </c>
      <c r="K530" s="11">
        <f>INDEX('Main Data'!$A$1:$O$1001,MATCH('Index&amp;Match'!$A530,'Main Data'!$A$1:$A$1001,0),MATCH('Index&amp;Match'!K529,'Main Data'!$A529:$O529,0))</f>
        <v>13645.1</v>
      </c>
      <c r="L530" s="11">
        <f>INDEX('Main Data'!$A$1:$O$1001,MATCH('Index&amp;Match'!$A530,'Main Data'!$A$1:$A$1001,0),MATCH('Index&amp;Match'!L529,'Main Data'!$A529:$O529,0))</f>
        <v>481.9</v>
      </c>
      <c r="M530" s="11">
        <f>INDEX('Main Data'!$A$1:$O$1001,MATCH('Index&amp;Match'!$A530,'Main Data'!$A$1:$A$1001,0),MATCH('Index&amp;Match'!M529,'Main Data'!$A529:$O529,0))</f>
        <v>191.82</v>
      </c>
      <c r="N530" s="2" t="str">
        <f>INDEX('Main Data'!$A$1:$O$1001,MATCH('Index&amp;Match'!$A530,'Main Data'!$A$1:$A$1001,0),MATCH('Index&amp;Match'!N529,'Main Data'!$A529:$O529,0))</f>
        <v>No</v>
      </c>
      <c r="O530" s="2">
        <f>INDEX('Main Data'!$A$1:$O$1001,MATCH('Index&amp;Match'!$A530,'Main Data'!$A$1:$A$1001,0),MATCH('Index&amp;Match'!O529,'Main Data'!$A529:$O529,0))</f>
        <v>47</v>
      </c>
    </row>
    <row r="531" spans="1:15" x14ac:dyDescent="0.3">
      <c r="A531" s="2" t="s">
        <v>588</v>
      </c>
      <c r="B531" s="1">
        <f>INDEX('Main Data'!$A$1:$O$1001,MATCH('Index&amp;Match'!$A531,'Main Data'!$A$1:$A$1001,0),MATCH('Index&amp;Match'!B530,'Main Data'!$A530:$O530,0))</f>
        <v>46009</v>
      </c>
      <c r="C531" s="2" t="str">
        <f>INDEX('Main Data'!$A$1:$O$1001,MATCH('Index&amp;Match'!$A531,'Main Data'!$A$1:$A$1001,0),MATCH('Index&amp;Match'!C530,'Main Data'!$A530:$O530,0))</f>
        <v>Jordan</v>
      </c>
      <c r="D531" s="2" t="str">
        <f>INDEX('Main Data'!$A$1:$O$1001,MATCH('Index&amp;Match'!$A531,'Main Data'!$A$1:$A$1001,0),MATCH('Index&amp;Match'!D530,'Main Data'!$A530:$O530,0))</f>
        <v>BR-005</v>
      </c>
      <c r="E531" s="2" t="str">
        <f>INDEX('Main Data'!$A$1:$O$1001,MATCH('Index&amp;Match'!$A531,'Main Data'!$A$1:$A$1001,0),MATCH('Index&amp;Match'!E530,'Main Data'!$A530:$O530,0))</f>
        <v>West</v>
      </c>
      <c r="F531" s="2" t="str">
        <f>INDEX('Main Data'!$A$1:$O$1001,MATCH('Index&amp;Match'!$A531,'Main Data'!$A$1:$A$1001,0),MATCH('Index&amp;Match'!F530,'Main Data'!$A530:$O530,0))</f>
        <v>Mortgage</v>
      </c>
      <c r="G531" s="2" t="str">
        <f>INDEX('Main Data'!$A$1:$O$1001,MATCH('Index&amp;Match'!$A531,'Main Data'!$A$1:$A$1001,0),MATCH('Index&amp;Match'!G530,'Main Data'!$A530:$O530,0))</f>
        <v>Walk-in</v>
      </c>
      <c r="H531" s="2" t="str">
        <f>INDEX('Main Data'!$A$1:$O$1001,MATCH('Index&amp;Match'!$A531,'Main Data'!$A$1:$A$1001,0),MATCH('Index&amp;Match'!H530,'Main Data'!$A530:$O530,0))</f>
        <v>High Net Worth</v>
      </c>
      <c r="I531" s="2">
        <f>INDEX('Main Data'!$A$1:$O$1001,MATCH('Index&amp;Match'!$A531,'Main Data'!$A$1:$A$1001,0),MATCH('Index&amp;Match'!I530,'Main Data'!$A530:$O530,0))</f>
        <v>64</v>
      </c>
      <c r="J531" s="2">
        <f>INDEX('Main Data'!$A$1:$O$1001,MATCH('Index&amp;Match'!$A531,'Main Data'!$A$1:$A$1001,0),MATCH('Index&amp;Match'!J530,'Main Data'!$A530:$O530,0))</f>
        <v>64</v>
      </c>
      <c r="K531" s="11">
        <f>INDEX('Main Data'!$A$1:$O$1001,MATCH('Index&amp;Match'!$A531,'Main Data'!$A$1:$A$1001,0),MATCH('Index&amp;Match'!K530,'Main Data'!$A530:$O530,0))</f>
        <v>40435.29</v>
      </c>
      <c r="L531" s="11">
        <f>INDEX('Main Data'!$A$1:$O$1001,MATCH('Index&amp;Match'!$A531,'Main Data'!$A$1:$A$1001,0),MATCH('Index&amp;Match'!L530,'Main Data'!$A530:$O530,0))</f>
        <v>354.27</v>
      </c>
      <c r="M531" s="11">
        <f>INDEX('Main Data'!$A$1:$O$1001,MATCH('Index&amp;Match'!$A531,'Main Data'!$A$1:$A$1001,0),MATCH('Index&amp;Match'!M530,'Main Data'!$A530:$O530,0))</f>
        <v>279.33</v>
      </c>
      <c r="N531" s="2" t="str">
        <f>INDEX('Main Data'!$A$1:$O$1001,MATCH('Index&amp;Match'!$A531,'Main Data'!$A$1:$A$1001,0),MATCH('Index&amp;Match'!N530,'Main Data'!$A530:$O530,0))</f>
        <v>Yes</v>
      </c>
      <c r="O531" s="2">
        <f>INDEX('Main Data'!$A$1:$O$1001,MATCH('Index&amp;Match'!$A531,'Main Data'!$A$1:$A$1001,0),MATCH('Index&amp;Match'!O530,'Main Data'!$A530:$O530,0))</f>
        <v>64</v>
      </c>
    </row>
    <row r="532" spans="1:15" x14ac:dyDescent="0.3">
      <c r="A532" s="2" t="s">
        <v>589</v>
      </c>
      <c r="B532" s="1">
        <f>INDEX('Main Data'!$A$1:$O$1001,MATCH('Index&amp;Match'!$A532,'Main Data'!$A$1:$A$1001,0),MATCH('Index&amp;Match'!B531,'Main Data'!$A531:$O531,0))</f>
        <v>46081</v>
      </c>
      <c r="C532" s="2" t="str">
        <f>INDEX('Main Data'!$A$1:$O$1001,MATCH('Index&amp;Match'!$A532,'Main Data'!$A$1:$A$1001,0),MATCH('Index&amp;Match'!C531,'Main Data'!$A531:$O531,0))</f>
        <v>Alex</v>
      </c>
      <c r="D532" s="2" t="str">
        <f>INDEX('Main Data'!$A$1:$O$1001,MATCH('Index&amp;Match'!$A532,'Main Data'!$A$1:$A$1001,0),MATCH('Index&amp;Match'!D531,'Main Data'!$A531:$O531,0))</f>
        <v>BR-013</v>
      </c>
      <c r="E532" s="2" t="str">
        <f>INDEX('Main Data'!$A$1:$O$1001,MATCH('Index&amp;Match'!$A532,'Main Data'!$A$1:$A$1001,0),MATCH('Index&amp;Match'!E531,'Main Data'!$A531:$O531,0))</f>
        <v>West</v>
      </c>
      <c r="F532" s="2" t="str">
        <f>INDEX('Main Data'!$A$1:$O$1001,MATCH('Index&amp;Match'!$A532,'Main Data'!$A$1:$A$1001,0),MATCH('Index&amp;Match'!F531,'Main Data'!$A531:$O531,0))</f>
        <v>Auto Loan</v>
      </c>
      <c r="G532" s="2" t="str">
        <f>INDEX('Main Data'!$A$1:$O$1001,MATCH('Index&amp;Match'!$A532,'Main Data'!$A$1:$A$1001,0),MATCH('Index&amp;Match'!G531,'Main Data'!$A531:$O531,0))</f>
        <v>Walk-in</v>
      </c>
      <c r="H532" s="2" t="str">
        <f>INDEX('Main Data'!$A$1:$O$1001,MATCH('Index&amp;Match'!$A532,'Main Data'!$A$1:$A$1001,0),MATCH('Index&amp;Match'!H531,'Main Data'!$A531:$O531,0))</f>
        <v>Retail</v>
      </c>
      <c r="I532" s="2">
        <f>INDEX('Main Data'!$A$1:$O$1001,MATCH('Index&amp;Match'!$A532,'Main Data'!$A$1:$A$1001,0),MATCH('Index&amp;Match'!I531,'Main Data'!$A531:$O531,0))</f>
        <v>32</v>
      </c>
      <c r="J532" s="2">
        <f>INDEX('Main Data'!$A$1:$O$1001,MATCH('Index&amp;Match'!$A532,'Main Data'!$A$1:$A$1001,0),MATCH('Index&amp;Match'!J531,'Main Data'!$A531:$O531,0))</f>
        <v>32</v>
      </c>
      <c r="K532" s="11">
        <f>INDEX('Main Data'!$A$1:$O$1001,MATCH('Index&amp;Match'!$A532,'Main Data'!$A$1:$A$1001,0),MATCH('Index&amp;Match'!K531,'Main Data'!$A531:$O531,0))</f>
        <v>12964.43</v>
      </c>
      <c r="L532" s="11">
        <f>INDEX('Main Data'!$A$1:$O$1001,MATCH('Index&amp;Match'!$A532,'Main Data'!$A$1:$A$1001,0),MATCH('Index&amp;Match'!L531,'Main Data'!$A531:$O531,0))</f>
        <v>458.49</v>
      </c>
      <c r="M532" s="11">
        <f>INDEX('Main Data'!$A$1:$O$1001,MATCH('Index&amp;Match'!$A532,'Main Data'!$A$1:$A$1001,0),MATCH('Index&amp;Match'!M531,'Main Data'!$A531:$O531,0))</f>
        <v>157.88</v>
      </c>
      <c r="N532" s="2" t="str">
        <f>INDEX('Main Data'!$A$1:$O$1001,MATCH('Index&amp;Match'!$A532,'Main Data'!$A$1:$A$1001,0),MATCH('Index&amp;Match'!N531,'Main Data'!$A531:$O531,0))</f>
        <v>Yes</v>
      </c>
      <c r="O532" s="2">
        <f>INDEX('Main Data'!$A$1:$O$1001,MATCH('Index&amp;Match'!$A532,'Main Data'!$A$1:$A$1001,0),MATCH('Index&amp;Match'!O531,'Main Data'!$A531:$O531,0))</f>
        <v>32</v>
      </c>
    </row>
    <row r="533" spans="1:15" x14ac:dyDescent="0.3">
      <c r="A533" s="2" t="s">
        <v>590</v>
      </c>
      <c r="B533" s="1">
        <f>INDEX('Main Data'!$A$1:$O$1001,MATCH('Index&amp;Match'!$A533,'Main Data'!$A$1:$A$1001,0),MATCH('Index&amp;Match'!B532,'Main Data'!$A532:$O532,0))</f>
        <v>46230</v>
      </c>
      <c r="C533" s="2" t="str">
        <f>INDEX('Main Data'!$A$1:$O$1001,MATCH('Index&amp;Match'!$A533,'Main Data'!$A$1:$A$1001,0),MATCH('Index&amp;Match'!C532,'Main Data'!$A532:$O532,0))</f>
        <v>Drew</v>
      </c>
      <c r="D533" s="2" t="str">
        <f>INDEX('Main Data'!$A$1:$O$1001,MATCH('Index&amp;Match'!$A533,'Main Data'!$A$1:$A$1001,0),MATCH('Index&amp;Match'!D532,'Main Data'!$A532:$O532,0))</f>
        <v>BR-015</v>
      </c>
      <c r="E533" s="2" t="str">
        <f>INDEX('Main Data'!$A$1:$O$1001,MATCH('Index&amp;Match'!$A533,'Main Data'!$A$1:$A$1001,0),MATCH('Index&amp;Match'!E532,'Main Data'!$A532:$O532,0))</f>
        <v>Central</v>
      </c>
      <c r="F533" s="2" t="str">
        <f>INDEX('Main Data'!$A$1:$O$1001,MATCH('Index&amp;Match'!$A533,'Main Data'!$A$1:$A$1001,0),MATCH('Index&amp;Match'!F532,'Main Data'!$A532:$O532,0))</f>
        <v>Auto Loan</v>
      </c>
      <c r="G533" s="2" t="str">
        <f>INDEX('Main Data'!$A$1:$O$1001,MATCH('Index&amp;Match'!$A533,'Main Data'!$A$1:$A$1001,0),MATCH('Index&amp;Match'!G532,'Main Data'!$A532:$O532,0))</f>
        <v>Email Campaign</v>
      </c>
      <c r="H533" s="2" t="str">
        <f>INDEX('Main Data'!$A$1:$O$1001,MATCH('Index&amp;Match'!$A533,'Main Data'!$A$1:$A$1001,0),MATCH('Index&amp;Match'!H532,'Main Data'!$A532:$O532,0))</f>
        <v>Retail</v>
      </c>
      <c r="I533" s="2">
        <f>INDEX('Main Data'!$A$1:$O$1001,MATCH('Index&amp;Match'!$A533,'Main Data'!$A$1:$A$1001,0),MATCH('Index&amp;Match'!I532,'Main Data'!$A532:$O532,0))</f>
        <v>40</v>
      </c>
      <c r="J533" s="2">
        <f>INDEX('Main Data'!$A$1:$O$1001,MATCH('Index&amp;Match'!$A533,'Main Data'!$A$1:$A$1001,0),MATCH('Index&amp;Match'!J532,'Main Data'!$A532:$O532,0))</f>
        <v>40</v>
      </c>
      <c r="K533" s="11">
        <f>INDEX('Main Data'!$A$1:$O$1001,MATCH('Index&amp;Match'!$A533,'Main Data'!$A$1:$A$1001,0),MATCH('Index&amp;Match'!K532,'Main Data'!$A532:$O532,0))</f>
        <v>41275.449999999997</v>
      </c>
      <c r="L533" s="11">
        <f>INDEX('Main Data'!$A$1:$O$1001,MATCH('Index&amp;Match'!$A533,'Main Data'!$A$1:$A$1001,0),MATCH('Index&amp;Match'!L532,'Main Data'!$A532:$O532,0))</f>
        <v>378.4</v>
      </c>
      <c r="M533" s="11">
        <f>INDEX('Main Data'!$A$1:$O$1001,MATCH('Index&amp;Match'!$A533,'Main Data'!$A$1:$A$1001,0),MATCH('Index&amp;Match'!M532,'Main Data'!$A532:$O532,0))</f>
        <v>144.68</v>
      </c>
      <c r="N533" s="2" t="str">
        <f>INDEX('Main Data'!$A$1:$O$1001,MATCH('Index&amp;Match'!$A533,'Main Data'!$A$1:$A$1001,0),MATCH('Index&amp;Match'!N532,'Main Data'!$A532:$O532,0))</f>
        <v>No</v>
      </c>
      <c r="O533" s="2">
        <f>INDEX('Main Data'!$A$1:$O$1001,MATCH('Index&amp;Match'!$A533,'Main Data'!$A$1:$A$1001,0),MATCH('Index&amp;Match'!O532,'Main Data'!$A532:$O532,0))</f>
        <v>40</v>
      </c>
    </row>
    <row r="534" spans="1:15" x14ac:dyDescent="0.3">
      <c r="A534" s="2" t="s">
        <v>591</v>
      </c>
      <c r="B534" s="1">
        <f>INDEX('Main Data'!$A$1:$O$1001,MATCH('Index&amp;Match'!$A534,'Main Data'!$A$1:$A$1001,0),MATCH('Index&amp;Match'!B533,'Main Data'!$A533:$O533,0))</f>
        <v>46155</v>
      </c>
      <c r="C534" s="2" t="str">
        <f>INDEX('Main Data'!$A$1:$O$1001,MATCH('Index&amp;Match'!$A534,'Main Data'!$A$1:$A$1001,0),MATCH('Index&amp;Match'!C533,'Main Data'!$A533:$O533,0))</f>
        <v>Alex</v>
      </c>
      <c r="D534" s="2" t="str">
        <f>INDEX('Main Data'!$A$1:$O$1001,MATCH('Index&amp;Match'!$A534,'Main Data'!$A$1:$A$1001,0),MATCH('Index&amp;Match'!D533,'Main Data'!$A533:$O533,0))</f>
        <v>BR-004</v>
      </c>
      <c r="E534" s="2" t="str">
        <f>INDEX('Main Data'!$A$1:$O$1001,MATCH('Index&amp;Match'!$A534,'Main Data'!$A$1:$A$1001,0),MATCH('Index&amp;Match'!E533,'Main Data'!$A533:$O533,0))</f>
        <v>West</v>
      </c>
      <c r="F534" s="2" t="str">
        <f>INDEX('Main Data'!$A$1:$O$1001,MATCH('Index&amp;Match'!$A534,'Main Data'!$A$1:$A$1001,0),MATCH('Index&amp;Match'!F533,'Main Data'!$A533:$O533,0))</f>
        <v>Personal Loan</v>
      </c>
      <c r="G534" s="2" t="str">
        <f>INDEX('Main Data'!$A$1:$O$1001,MATCH('Index&amp;Match'!$A534,'Main Data'!$A$1:$A$1001,0),MATCH('Index&amp;Match'!G533,'Main Data'!$A533:$O533,0))</f>
        <v>Social Media</v>
      </c>
      <c r="H534" s="2" t="str">
        <f>INDEX('Main Data'!$A$1:$O$1001,MATCH('Index&amp;Match'!$A534,'Main Data'!$A$1:$A$1001,0),MATCH('Index&amp;Match'!H533,'Main Data'!$A533:$O533,0))</f>
        <v>High Net Worth</v>
      </c>
      <c r="I534" s="2">
        <f>INDEX('Main Data'!$A$1:$O$1001,MATCH('Index&amp;Match'!$A534,'Main Data'!$A$1:$A$1001,0),MATCH('Index&amp;Match'!I533,'Main Data'!$A533:$O533,0))</f>
        <v>65</v>
      </c>
      <c r="J534" s="2">
        <f>INDEX('Main Data'!$A$1:$O$1001,MATCH('Index&amp;Match'!$A534,'Main Data'!$A$1:$A$1001,0),MATCH('Index&amp;Match'!J533,'Main Data'!$A533:$O533,0))</f>
        <v>65</v>
      </c>
      <c r="K534" s="11">
        <f>INDEX('Main Data'!$A$1:$O$1001,MATCH('Index&amp;Match'!$A534,'Main Data'!$A$1:$A$1001,0),MATCH('Index&amp;Match'!K533,'Main Data'!$A533:$O533,0))</f>
        <v>4720.78</v>
      </c>
      <c r="L534" s="11">
        <f>INDEX('Main Data'!$A$1:$O$1001,MATCH('Index&amp;Match'!$A534,'Main Data'!$A$1:$A$1001,0),MATCH('Index&amp;Match'!L533,'Main Data'!$A533:$O533,0))</f>
        <v>380.96</v>
      </c>
      <c r="M534" s="11">
        <f>INDEX('Main Data'!$A$1:$O$1001,MATCH('Index&amp;Match'!$A534,'Main Data'!$A$1:$A$1001,0),MATCH('Index&amp;Match'!M533,'Main Data'!$A533:$O533,0))</f>
        <v>82.22</v>
      </c>
      <c r="N534" s="2" t="str">
        <f>INDEX('Main Data'!$A$1:$O$1001,MATCH('Index&amp;Match'!$A534,'Main Data'!$A$1:$A$1001,0),MATCH('Index&amp;Match'!N533,'Main Data'!$A533:$O533,0))</f>
        <v>Yes</v>
      </c>
      <c r="O534" s="2">
        <f>INDEX('Main Data'!$A$1:$O$1001,MATCH('Index&amp;Match'!$A534,'Main Data'!$A$1:$A$1001,0),MATCH('Index&amp;Match'!O533,'Main Data'!$A533:$O533,0))</f>
        <v>65</v>
      </c>
    </row>
    <row r="535" spans="1:15" x14ac:dyDescent="0.3">
      <c r="A535" s="2" t="s">
        <v>592</v>
      </c>
      <c r="B535" s="1">
        <f>INDEX('Main Data'!$A$1:$O$1001,MATCH('Index&amp;Match'!$A535,'Main Data'!$A$1:$A$1001,0),MATCH('Index&amp;Match'!B534,'Main Data'!$A534:$O534,0))</f>
        <v>46069</v>
      </c>
      <c r="C535" s="2" t="str">
        <f>INDEX('Main Data'!$A$1:$O$1001,MATCH('Index&amp;Match'!$A535,'Main Data'!$A$1:$A$1001,0),MATCH('Index&amp;Match'!C534,'Main Data'!$A534:$O534,0))</f>
        <v>Alex</v>
      </c>
      <c r="D535" s="2" t="str">
        <f>INDEX('Main Data'!$A$1:$O$1001,MATCH('Index&amp;Match'!$A535,'Main Data'!$A$1:$A$1001,0),MATCH('Index&amp;Match'!D534,'Main Data'!$A534:$O534,0))</f>
        <v>BR-012</v>
      </c>
      <c r="E535" s="2" t="str">
        <f>INDEX('Main Data'!$A$1:$O$1001,MATCH('Index&amp;Match'!$A535,'Main Data'!$A$1:$A$1001,0),MATCH('Index&amp;Match'!E534,'Main Data'!$A534:$O534,0))</f>
        <v>South</v>
      </c>
      <c r="F535" s="2" t="str">
        <f>INDEX('Main Data'!$A$1:$O$1001,MATCH('Index&amp;Match'!$A535,'Main Data'!$A$1:$A$1001,0),MATCH('Index&amp;Match'!F534,'Main Data'!$A534:$O534,0))</f>
        <v>Credit Card</v>
      </c>
      <c r="G535" s="2" t="str">
        <f>INDEX('Main Data'!$A$1:$O$1001,MATCH('Index&amp;Match'!$A535,'Main Data'!$A$1:$A$1001,0),MATCH('Index&amp;Match'!G534,'Main Data'!$A534:$O534,0))</f>
        <v>Referral</v>
      </c>
      <c r="H535" s="2" t="str">
        <f>INDEX('Main Data'!$A$1:$O$1001,MATCH('Index&amp;Match'!$A535,'Main Data'!$A$1:$A$1001,0),MATCH('Index&amp;Match'!H534,'Main Data'!$A534:$O534,0))</f>
        <v>Corporate</v>
      </c>
      <c r="I535" s="2">
        <f>INDEX('Main Data'!$A$1:$O$1001,MATCH('Index&amp;Match'!$A535,'Main Data'!$A$1:$A$1001,0),MATCH('Index&amp;Match'!I534,'Main Data'!$A534:$O534,0))</f>
        <v>40</v>
      </c>
      <c r="J535" s="2">
        <f>INDEX('Main Data'!$A$1:$O$1001,MATCH('Index&amp;Match'!$A535,'Main Data'!$A$1:$A$1001,0),MATCH('Index&amp;Match'!J534,'Main Data'!$A534:$O534,0))</f>
        <v>40</v>
      </c>
      <c r="K535" s="11">
        <f>INDEX('Main Data'!$A$1:$O$1001,MATCH('Index&amp;Match'!$A535,'Main Data'!$A$1:$A$1001,0),MATCH('Index&amp;Match'!K534,'Main Data'!$A534:$O534,0))</f>
        <v>43376.09</v>
      </c>
      <c r="L535" s="11">
        <f>INDEX('Main Data'!$A$1:$O$1001,MATCH('Index&amp;Match'!$A535,'Main Data'!$A$1:$A$1001,0),MATCH('Index&amp;Match'!L534,'Main Data'!$A534:$O534,0))</f>
        <v>86.01</v>
      </c>
      <c r="M535" s="11">
        <f>INDEX('Main Data'!$A$1:$O$1001,MATCH('Index&amp;Match'!$A535,'Main Data'!$A$1:$A$1001,0),MATCH('Index&amp;Match'!M534,'Main Data'!$A534:$O534,0))</f>
        <v>169.19</v>
      </c>
      <c r="N535" s="2" t="str">
        <f>INDEX('Main Data'!$A$1:$O$1001,MATCH('Index&amp;Match'!$A535,'Main Data'!$A$1:$A$1001,0),MATCH('Index&amp;Match'!N534,'Main Data'!$A534:$O534,0))</f>
        <v>Yes</v>
      </c>
      <c r="O535" s="2">
        <f>INDEX('Main Data'!$A$1:$O$1001,MATCH('Index&amp;Match'!$A535,'Main Data'!$A$1:$A$1001,0),MATCH('Index&amp;Match'!O534,'Main Data'!$A534:$O534,0))</f>
        <v>40</v>
      </c>
    </row>
    <row r="536" spans="1:15" x14ac:dyDescent="0.3">
      <c r="A536" s="2" t="s">
        <v>593</v>
      </c>
      <c r="B536" s="1">
        <f>INDEX('Main Data'!$A$1:$O$1001,MATCH('Index&amp;Match'!$A536,'Main Data'!$A$1:$A$1001,0),MATCH('Index&amp;Match'!B535,'Main Data'!$A535:$O535,0))</f>
        <v>46007</v>
      </c>
      <c r="C536" s="2" t="str">
        <f>INDEX('Main Data'!$A$1:$O$1001,MATCH('Index&amp;Match'!$A536,'Main Data'!$A$1:$A$1001,0),MATCH('Index&amp;Match'!C535,'Main Data'!$A535:$O535,0))</f>
        <v>Taylor</v>
      </c>
      <c r="D536" s="2" t="str">
        <f>INDEX('Main Data'!$A$1:$O$1001,MATCH('Index&amp;Match'!$A536,'Main Data'!$A$1:$A$1001,0),MATCH('Index&amp;Match'!D535,'Main Data'!$A535:$O535,0))</f>
        <v>BR-013</v>
      </c>
      <c r="E536" s="2" t="str">
        <f>INDEX('Main Data'!$A$1:$O$1001,MATCH('Index&amp;Match'!$A536,'Main Data'!$A$1:$A$1001,0),MATCH('Index&amp;Match'!E535,'Main Data'!$A535:$O535,0))</f>
        <v>South</v>
      </c>
      <c r="F536" s="2" t="str">
        <f>INDEX('Main Data'!$A$1:$O$1001,MATCH('Index&amp;Match'!$A536,'Main Data'!$A$1:$A$1001,0),MATCH('Index&amp;Match'!F535,'Main Data'!$A535:$O535,0))</f>
        <v>Wealth Management</v>
      </c>
      <c r="G536" s="2" t="str">
        <f>INDEX('Main Data'!$A$1:$O$1001,MATCH('Index&amp;Match'!$A536,'Main Data'!$A$1:$A$1001,0),MATCH('Index&amp;Match'!G535,'Main Data'!$A535:$O535,0))</f>
        <v>Social Media</v>
      </c>
      <c r="H536" s="2" t="str">
        <f>INDEX('Main Data'!$A$1:$O$1001,MATCH('Index&amp;Match'!$A536,'Main Data'!$A$1:$A$1001,0),MATCH('Index&amp;Match'!H535,'Main Data'!$A535:$O535,0))</f>
        <v>SME</v>
      </c>
      <c r="I536" s="2">
        <f>INDEX('Main Data'!$A$1:$O$1001,MATCH('Index&amp;Match'!$A536,'Main Data'!$A$1:$A$1001,0),MATCH('Index&amp;Match'!I535,'Main Data'!$A535:$O535,0))</f>
        <v>29</v>
      </c>
      <c r="J536" s="2">
        <f>INDEX('Main Data'!$A$1:$O$1001,MATCH('Index&amp;Match'!$A536,'Main Data'!$A$1:$A$1001,0),MATCH('Index&amp;Match'!J535,'Main Data'!$A535:$O535,0))</f>
        <v>29</v>
      </c>
      <c r="K536" s="11">
        <f>INDEX('Main Data'!$A$1:$O$1001,MATCH('Index&amp;Match'!$A536,'Main Data'!$A$1:$A$1001,0),MATCH('Index&amp;Match'!K535,'Main Data'!$A535:$O535,0))</f>
        <v>25209.73</v>
      </c>
      <c r="L536" s="11">
        <f>INDEX('Main Data'!$A$1:$O$1001,MATCH('Index&amp;Match'!$A536,'Main Data'!$A$1:$A$1001,0),MATCH('Index&amp;Match'!L535,'Main Data'!$A535:$O535,0))</f>
        <v>211.76</v>
      </c>
      <c r="M536" s="11">
        <f>INDEX('Main Data'!$A$1:$O$1001,MATCH('Index&amp;Match'!$A536,'Main Data'!$A$1:$A$1001,0),MATCH('Index&amp;Match'!M535,'Main Data'!$A535:$O535,0))</f>
        <v>85.5</v>
      </c>
      <c r="N536" s="2" t="str">
        <f>INDEX('Main Data'!$A$1:$O$1001,MATCH('Index&amp;Match'!$A536,'Main Data'!$A$1:$A$1001,0),MATCH('Index&amp;Match'!N535,'Main Data'!$A535:$O535,0))</f>
        <v>Yes</v>
      </c>
      <c r="O536" s="2">
        <f>INDEX('Main Data'!$A$1:$O$1001,MATCH('Index&amp;Match'!$A536,'Main Data'!$A$1:$A$1001,0),MATCH('Index&amp;Match'!O535,'Main Data'!$A535:$O535,0))</f>
        <v>29</v>
      </c>
    </row>
    <row r="537" spans="1:15" x14ac:dyDescent="0.3">
      <c r="A537" s="2" t="s">
        <v>594</v>
      </c>
      <c r="B537" s="1">
        <f>INDEX('Main Data'!$A$1:$O$1001,MATCH('Index&amp;Match'!$A537,'Main Data'!$A$1:$A$1001,0),MATCH('Index&amp;Match'!B536,'Main Data'!$A536:$O536,0))</f>
        <v>46209</v>
      </c>
      <c r="C537" s="2" t="str">
        <f>INDEX('Main Data'!$A$1:$O$1001,MATCH('Index&amp;Match'!$A537,'Main Data'!$A$1:$A$1001,0),MATCH('Index&amp;Match'!C536,'Main Data'!$A536:$O536,0))</f>
        <v>Sam</v>
      </c>
      <c r="D537" s="2" t="str">
        <f>INDEX('Main Data'!$A$1:$O$1001,MATCH('Index&amp;Match'!$A537,'Main Data'!$A$1:$A$1001,0),MATCH('Index&amp;Match'!D536,'Main Data'!$A536:$O536,0))</f>
        <v>BR-002</v>
      </c>
      <c r="E537" s="2" t="str">
        <f>INDEX('Main Data'!$A$1:$O$1001,MATCH('Index&amp;Match'!$A537,'Main Data'!$A$1:$A$1001,0),MATCH('Index&amp;Match'!E536,'Main Data'!$A536:$O536,0))</f>
        <v>West</v>
      </c>
      <c r="F537" s="2" t="str">
        <f>INDEX('Main Data'!$A$1:$O$1001,MATCH('Index&amp;Match'!$A537,'Main Data'!$A$1:$A$1001,0),MATCH('Index&amp;Match'!F536,'Main Data'!$A536:$O536,0))</f>
        <v>Credit Card</v>
      </c>
      <c r="G537" s="2" t="str">
        <f>INDEX('Main Data'!$A$1:$O$1001,MATCH('Index&amp;Match'!$A537,'Main Data'!$A$1:$A$1001,0),MATCH('Index&amp;Match'!G536,'Main Data'!$A536:$O536,0))</f>
        <v>Referral</v>
      </c>
      <c r="H537" s="2" t="str">
        <f>INDEX('Main Data'!$A$1:$O$1001,MATCH('Index&amp;Match'!$A537,'Main Data'!$A$1:$A$1001,0),MATCH('Index&amp;Match'!H536,'Main Data'!$A536:$O536,0))</f>
        <v>SME</v>
      </c>
      <c r="I537" s="2">
        <f>INDEX('Main Data'!$A$1:$O$1001,MATCH('Index&amp;Match'!$A537,'Main Data'!$A$1:$A$1001,0),MATCH('Index&amp;Match'!I536,'Main Data'!$A536:$O536,0))</f>
        <v>59</v>
      </c>
      <c r="J537" s="2">
        <f>INDEX('Main Data'!$A$1:$O$1001,MATCH('Index&amp;Match'!$A537,'Main Data'!$A$1:$A$1001,0),MATCH('Index&amp;Match'!J536,'Main Data'!$A536:$O536,0))</f>
        <v>59</v>
      </c>
      <c r="K537" s="11">
        <f>INDEX('Main Data'!$A$1:$O$1001,MATCH('Index&amp;Match'!$A537,'Main Data'!$A$1:$A$1001,0),MATCH('Index&amp;Match'!K536,'Main Data'!$A536:$O536,0))</f>
        <v>15178.61</v>
      </c>
      <c r="L537" s="11">
        <f>INDEX('Main Data'!$A$1:$O$1001,MATCH('Index&amp;Match'!$A537,'Main Data'!$A$1:$A$1001,0),MATCH('Index&amp;Match'!L536,'Main Data'!$A536:$O536,0))</f>
        <v>436.27</v>
      </c>
      <c r="M537" s="11">
        <f>INDEX('Main Data'!$A$1:$O$1001,MATCH('Index&amp;Match'!$A537,'Main Data'!$A$1:$A$1001,0),MATCH('Index&amp;Match'!M536,'Main Data'!$A536:$O536,0))</f>
        <v>54.45</v>
      </c>
      <c r="N537" s="2" t="str">
        <f>INDEX('Main Data'!$A$1:$O$1001,MATCH('Index&amp;Match'!$A537,'Main Data'!$A$1:$A$1001,0),MATCH('Index&amp;Match'!N536,'Main Data'!$A536:$O536,0))</f>
        <v>No</v>
      </c>
      <c r="O537" s="2">
        <f>INDEX('Main Data'!$A$1:$O$1001,MATCH('Index&amp;Match'!$A537,'Main Data'!$A$1:$A$1001,0),MATCH('Index&amp;Match'!O536,'Main Data'!$A536:$O536,0))</f>
        <v>59</v>
      </c>
    </row>
    <row r="538" spans="1:15" x14ac:dyDescent="0.3">
      <c r="A538" s="2" t="s">
        <v>595</v>
      </c>
      <c r="B538" s="1">
        <f>INDEX('Main Data'!$A$1:$O$1001,MATCH('Index&amp;Match'!$A538,'Main Data'!$A$1:$A$1001,0),MATCH('Index&amp;Match'!B537,'Main Data'!$A537:$O537,0))</f>
        <v>46107</v>
      </c>
      <c r="C538" s="2" t="str">
        <f>INDEX('Main Data'!$A$1:$O$1001,MATCH('Index&amp;Match'!$A538,'Main Data'!$A$1:$A$1001,0),MATCH('Index&amp;Match'!C537,'Main Data'!$A537:$O537,0))</f>
        <v>Drew</v>
      </c>
      <c r="D538" s="2" t="str">
        <f>INDEX('Main Data'!$A$1:$O$1001,MATCH('Index&amp;Match'!$A538,'Main Data'!$A$1:$A$1001,0),MATCH('Index&amp;Match'!D537,'Main Data'!$A537:$O537,0))</f>
        <v>BR-011</v>
      </c>
      <c r="E538" s="2" t="str">
        <f>INDEX('Main Data'!$A$1:$O$1001,MATCH('Index&amp;Match'!$A538,'Main Data'!$A$1:$A$1001,0),MATCH('Index&amp;Match'!E537,'Main Data'!$A537:$O537,0))</f>
        <v>South</v>
      </c>
      <c r="F538" s="2" t="str">
        <f>INDEX('Main Data'!$A$1:$O$1001,MATCH('Index&amp;Match'!$A538,'Main Data'!$A$1:$A$1001,0),MATCH('Index&amp;Match'!F537,'Main Data'!$A537:$O537,0))</f>
        <v>Wealth Management</v>
      </c>
      <c r="G538" s="2" t="str">
        <f>INDEX('Main Data'!$A$1:$O$1001,MATCH('Index&amp;Match'!$A538,'Main Data'!$A$1:$A$1001,0),MATCH('Index&amp;Match'!G537,'Main Data'!$A537:$O537,0))</f>
        <v>Email Campaign</v>
      </c>
      <c r="H538" s="2" t="str">
        <f>INDEX('Main Data'!$A$1:$O$1001,MATCH('Index&amp;Match'!$A538,'Main Data'!$A$1:$A$1001,0),MATCH('Index&amp;Match'!H537,'Main Data'!$A537:$O537,0))</f>
        <v>SME</v>
      </c>
      <c r="I538" s="2">
        <f>INDEX('Main Data'!$A$1:$O$1001,MATCH('Index&amp;Match'!$A538,'Main Data'!$A$1:$A$1001,0),MATCH('Index&amp;Match'!I537,'Main Data'!$A537:$O537,0))</f>
        <v>24</v>
      </c>
      <c r="J538" s="2">
        <f>INDEX('Main Data'!$A$1:$O$1001,MATCH('Index&amp;Match'!$A538,'Main Data'!$A$1:$A$1001,0),MATCH('Index&amp;Match'!J537,'Main Data'!$A537:$O537,0))</f>
        <v>24</v>
      </c>
      <c r="K538" s="11">
        <f>INDEX('Main Data'!$A$1:$O$1001,MATCH('Index&amp;Match'!$A538,'Main Data'!$A$1:$A$1001,0),MATCH('Index&amp;Match'!K537,'Main Data'!$A537:$O537,0))</f>
        <v>13623.11</v>
      </c>
      <c r="L538" s="11">
        <f>INDEX('Main Data'!$A$1:$O$1001,MATCH('Index&amp;Match'!$A538,'Main Data'!$A$1:$A$1001,0),MATCH('Index&amp;Match'!L537,'Main Data'!$A537:$O537,0))</f>
        <v>154.66999999999999</v>
      </c>
      <c r="M538" s="11">
        <f>INDEX('Main Data'!$A$1:$O$1001,MATCH('Index&amp;Match'!$A538,'Main Data'!$A$1:$A$1001,0),MATCH('Index&amp;Match'!M537,'Main Data'!$A537:$O537,0))</f>
        <v>76.83</v>
      </c>
      <c r="N538" s="2" t="str">
        <f>INDEX('Main Data'!$A$1:$O$1001,MATCH('Index&amp;Match'!$A538,'Main Data'!$A$1:$A$1001,0),MATCH('Index&amp;Match'!N537,'Main Data'!$A537:$O537,0))</f>
        <v>Yes</v>
      </c>
      <c r="O538" s="2">
        <f>INDEX('Main Data'!$A$1:$O$1001,MATCH('Index&amp;Match'!$A538,'Main Data'!$A$1:$A$1001,0),MATCH('Index&amp;Match'!O537,'Main Data'!$A537:$O537,0))</f>
        <v>24</v>
      </c>
    </row>
    <row r="539" spans="1:15" x14ac:dyDescent="0.3">
      <c r="A539" s="2" t="s">
        <v>596</v>
      </c>
      <c r="B539" s="1">
        <f>INDEX('Main Data'!$A$1:$O$1001,MATCH('Index&amp;Match'!$A539,'Main Data'!$A$1:$A$1001,0),MATCH('Index&amp;Match'!B538,'Main Data'!$A538:$O538,0))</f>
        <v>46063</v>
      </c>
      <c r="C539" s="2" t="str">
        <f>INDEX('Main Data'!$A$1:$O$1001,MATCH('Index&amp;Match'!$A539,'Main Data'!$A$1:$A$1001,0),MATCH('Index&amp;Match'!C538,'Main Data'!$A538:$O538,0))</f>
        <v>Jamie</v>
      </c>
      <c r="D539" s="2" t="str">
        <f>INDEX('Main Data'!$A$1:$O$1001,MATCH('Index&amp;Match'!$A539,'Main Data'!$A$1:$A$1001,0),MATCH('Index&amp;Match'!D538,'Main Data'!$A538:$O538,0))</f>
        <v>BR-015</v>
      </c>
      <c r="E539" s="2" t="str">
        <f>INDEX('Main Data'!$A$1:$O$1001,MATCH('Index&amp;Match'!$A539,'Main Data'!$A$1:$A$1001,0),MATCH('Index&amp;Match'!E538,'Main Data'!$A538:$O538,0))</f>
        <v>Central</v>
      </c>
      <c r="F539" s="2" t="str">
        <f>INDEX('Main Data'!$A$1:$O$1001,MATCH('Index&amp;Match'!$A539,'Main Data'!$A$1:$A$1001,0),MATCH('Index&amp;Match'!F538,'Main Data'!$A538:$O538,0))</f>
        <v>Credit Card</v>
      </c>
      <c r="G539" s="2" t="str">
        <f>INDEX('Main Data'!$A$1:$O$1001,MATCH('Index&amp;Match'!$A539,'Main Data'!$A$1:$A$1001,0),MATCH('Index&amp;Match'!G538,'Main Data'!$A538:$O538,0))</f>
        <v>Walk-in</v>
      </c>
      <c r="H539" s="2" t="str">
        <f>INDEX('Main Data'!$A$1:$O$1001,MATCH('Index&amp;Match'!$A539,'Main Data'!$A$1:$A$1001,0),MATCH('Index&amp;Match'!H538,'Main Data'!$A538:$O538,0))</f>
        <v>Corporate</v>
      </c>
      <c r="I539" s="2">
        <f>INDEX('Main Data'!$A$1:$O$1001,MATCH('Index&amp;Match'!$A539,'Main Data'!$A$1:$A$1001,0),MATCH('Index&amp;Match'!I538,'Main Data'!$A538:$O538,0))</f>
        <v>71</v>
      </c>
      <c r="J539" s="2">
        <f>INDEX('Main Data'!$A$1:$O$1001,MATCH('Index&amp;Match'!$A539,'Main Data'!$A$1:$A$1001,0),MATCH('Index&amp;Match'!J538,'Main Data'!$A538:$O538,0))</f>
        <v>71</v>
      </c>
      <c r="K539" s="11">
        <f>INDEX('Main Data'!$A$1:$O$1001,MATCH('Index&amp;Match'!$A539,'Main Data'!$A$1:$A$1001,0),MATCH('Index&amp;Match'!K538,'Main Data'!$A538:$O538,0))</f>
        <v>21884.52</v>
      </c>
      <c r="L539" s="11">
        <f>INDEX('Main Data'!$A$1:$O$1001,MATCH('Index&amp;Match'!$A539,'Main Data'!$A$1:$A$1001,0),MATCH('Index&amp;Match'!L538,'Main Data'!$A538:$O538,0))</f>
        <v>101.98</v>
      </c>
      <c r="M539" s="11">
        <f>INDEX('Main Data'!$A$1:$O$1001,MATCH('Index&amp;Match'!$A539,'Main Data'!$A$1:$A$1001,0),MATCH('Index&amp;Match'!M538,'Main Data'!$A538:$O538,0))</f>
        <v>167.19</v>
      </c>
      <c r="N539" s="2" t="str">
        <f>INDEX('Main Data'!$A$1:$O$1001,MATCH('Index&amp;Match'!$A539,'Main Data'!$A$1:$A$1001,0),MATCH('Index&amp;Match'!N538,'Main Data'!$A538:$O538,0))</f>
        <v>Yes</v>
      </c>
      <c r="O539" s="2">
        <f>INDEX('Main Data'!$A$1:$O$1001,MATCH('Index&amp;Match'!$A539,'Main Data'!$A$1:$A$1001,0),MATCH('Index&amp;Match'!O538,'Main Data'!$A538:$O538,0))</f>
        <v>71</v>
      </c>
    </row>
    <row r="540" spans="1:15" x14ac:dyDescent="0.3">
      <c r="A540" s="2" t="s">
        <v>597</v>
      </c>
      <c r="B540" s="1">
        <f>INDEX('Main Data'!$A$1:$O$1001,MATCH('Index&amp;Match'!$A540,'Main Data'!$A$1:$A$1001,0),MATCH('Index&amp;Match'!B539,'Main Data'!$A539:$O539,0))</f>
        <v>46090</v>
      </c>
      <c r="C540" s="2" t="str">
        <f>INDEX('Main Data'!$A$1:$O$1001,MATCH('Index&amp;Match'!$A540,'Main Data'!$A$1:$A$1001,0),MATCH('Index&amp;Match'!C539,'Main Data'!$A539:$O539,0))</f>
        <v>Casey</v>
      </c>
      <c r="D540" s="2" t="str">
        <f>INDEX('Main Data'!$A$1:$O$1001,MATCH('Index&amp;Match'!$A540,'Main Data'!$A$1:$A$1001,0),MATCH('Index&amp;Match'!D539,'Main Data'!$A539:$O539,0))</f>
        <v>BR-003</v>
      </c>
      <c r="E540" s="2" t="str">
        <f>INDEX('Main Data'!$A$1:$O$1001,MATCH('Index&amp;Match'!$A540,'Main Data'!$A$1:$A$1001,0),MATCH('Index&amp;Match'!E539,'Main Data'!$A539:$O539,0))</f>
        <v>North</v>
      </c>
      <c r="F540" s="2" t="str">
        <f>INDEX('Main Data'!$A$1:$O$1001,MATCH('Index&amp;Match'!$A540,'Main Data'!$A$1:$A$1001,0),MATCH('Index&amp;Match'!F539,'Main Data'!$A539:$O539,0))</f>
        <v>Auto Loan</v>
      </c>
      <c r="G540" s="2" t="str">
        <f>INDEX('Main Data'!$A$1:$O$1001,MATCH('Index&amp;Match'!$A540,'Main Data'!$A$1:$A$1001,0),MATCH('Index&amp;Match'!G539,'Main Data'!$A539:$O539,0))</f>
        <v>Walk-in</v>
      </c>
      <c r="H540" s="2" t="str">
        <f>INDEX('Main Data'!$A$1:$O$1001,MATCH('Index&amp;Match'!$A540,'Main Data'!$A$1:$A$1001,0),MATCH('Index&amp;Match'!H539,'Main Data'!$A539:$O539,0))</f>
        <v>Retail</v>
      </c>
      <c r="I540" s="2">
        <f>INDEX('Main Data'!$A$1:$O$1001,MATCH('Index&amp;Match'!$A540,'Main Data'!$A$1:$A$1001,0),MATCH('Index&amp;Match'!I539,'Main Data'!$A539:$O539,0))</f>
        <v>74</v>
      </c>
      <c r="J540" s="2">
        <f>INDEX('Main Data'!$A$1:$O$1001,MATCH('Index&amp;Match'!$A540,'Main Data'!$A$1:$A$1001,0),MATCH('Index&amp;Match'!J539,'Main Data'!$A539:$O539,0))</f>
        <v>74</v>
      </c>
      <c r="K540" s="11">
        <f>INDEX('Main Data'!$A$1:$O$1001,MATCH('Index&amp;Match'!$A540,'Main Data'!$A$1:$A$1001,0),MATCH('Index&amp;Match'!K539,'Main Data'!$A539:$O539,0))</f>
        <v>49952.95</v>
      </c>
      <c r="L540" s="11">
        <f>INDEX('Main Data'!$A$1:$O$1001,MATCH('Index&amp;Match'!$A540,'Main Data'!$A$1:$A$1001,0),MATCH('Index&amp;Match'!L539,'Main Data'!$A539:$O539,0))</f>
        <v>196.75</v>
      </c>
      <c r="M540" s="11">
        <f>INDEX('Main Data'!$A$1:$O$1001,MATCH('Index&amp;Match'!$A540,'Main Data'!$A$1:$A$1001,0),MATCH('Index&amp;Match'!M539,'Main Data'!$A539:$O539,0))</f>
        <v>29.73</v>
      </c>
      <c r="N540" s="2" t="str">
        <f>INDEX('Main Data'!$A$1:$O$1001,MATCH('Index&amp;Match'!$A540,'Main Data'!$A$1:$A$1001,0),MATCH('Index&amp;Match'!N539,'Main Data'!$A539:$O539,0))</f>
        <v>Yes</v>
      </c>
      <c r="O540" s="2">
        <f>INDEX('Main Data'!$A$1:$O$1001,MATCH('Index&amp;Match'!$A540,'Main Data'!$A$1:$A$1001,0),MATCH('Index&amp;Match'!O539,'Main Data'!$A539:$O539,0))</f>
        <v>74</v>
      </c>
    </row>
    <row r="541" spans="1:15" x14ac:dyDescent="0.3">
      <c r="A541" s="2" t="s">
        <v>598</v>
      </c>
      <c r="B541" s="1">
        <f>INDEX('Main Data'!$A$1:$O$1001,MATCH('Index&amp;Match'!$A541,'Main Data'!$A$1:$A$1001,0),MATCH('Index&amp;Match'!B540,'Main Data'!$A540:$O540,0))</f>
        <v>45905</v>
      </c>
      <c r="C541" s="2" t="str">
        <f>INDEX('Main Data'!$A$1:$O$1001,MATCH('Index&amp;Match'!$A541,'Main Data'!$A$1:$A$1001,0),MATCH('Index&amp;Match'!C540,'Main Data'!$A540:$O540,0))</f>
        <v>Jordan</v>
      </c>
      <c r="D541" s="2" t="str">
        <f>INDEX('Main Data'!$A$1:$O$1001,MATCH('Index&amp;Match'!$A541,'Main Data'!$A$1:$A$1001,0),MATCH('Index&amp;Match'!D540,'Main Data'!$A540:$O540,0))</f>
        <v>BR-003</v>
      </c>
      <c r="E541" s="2" t="str">
        <f>INDEX('Main Data'!$A$1:$O$1001,MATCH('Index&amp;Match'!$A541,'Main Data'!$A$1:$A$1001,0),MATCH('Index&amp;Match'!E540,'Main Data'!$A540:$O540,0))</f>
        <v>Central</v>
      </c>
      <c r="F541" s="2" t="str">
        <f>INDEX('Main Data'!$A$1:$O$1001,MATCH('Index&amp;Match'!$A541,'Main Data'!$A$1:$A$1001,0),MATCH('Index&amp;Match'!F540,'Main Data'!$A540:$O540,0))</f>
        <v>Mortgage</v>
      </c>
      <c r="G541" s="2" t="str">
        <f>INDEX('Main Data'!$A$1:$O$1001,MATCH('Index&amp;Match'!$A541,'Main Data'!$A$1:$A$1001,0),MATCH('Index&amp;Match'!G540,'Main Data'!$A540:$O540,0))</f>
        <v>Social Media</v>
      </c>
      <c r="H541" s="2" t="str">
        <f>INDEX('Main Data'!$A$1:$O$1001,MATCH('Index&amp;Match'!$A541,'Main Data'!$A$1:$A$1001,0),MATCH('Index&amp;Match'!H540,'Main Data'!$A540:$O540,0))</f>
        <v>SME</v>
      </c>
      <c r="I541" s="2">
        <f>INDEX('Main Data'!$A$1:$O$1001,MATCH('Index&amp;Match'!$A541,'Main Data'!$A$1:$A$1001,0),MATCH('Index&amp;Match'!I540,'Main Data'!$A540:$O540,0))</f>
        <v>39</v>
      </c>
      <c r="J541" s="2">
        <f>INDEX('Main Data'!$A$1:$O$1001,MATCH('Index&amp;Match'!$A541,'Main Data'!$A$1:$A$1001,0),MATCH('Index&amp;Match'!J540,'Main Data'!$A540:$O540,0))</f>
        <v>39</v>
      </c>
      <c r="K541" s="11">
        <f>INDEX('Main Data'!$A$1:$O$1001,MATCH('Index&amp;Match'!$A541,'Main Data'!$A$1:$A$1001,0),MATCH('Index&amp;Match'!K540,'Main Data'!$A540:$O540,0))</f>
        <v>11406.21</v>
      </c>
      <c r="L541" s="11">
        <f>INDEX('Main Data'!$A$1:$O$1001,MATCH('Index&amp;Match'!$A541,'Main Data'!$A$1:$A$1001,0),MATCH('Index&amp;Match'!L540,'Main Data'!$A540:$O540,0))</f>
        <v>149.19999999999999</v>
      </c>
      <c r="M541" s="11">
        <f>INDEX('Main Data'!$A$1:$O$1001,MATCH('Index&amp;Match'!$A541,'Main Data'!$A$1:$A$1001,0),MATCH('Index&amp;Match'!M540,'Main Data'!$A540:$O540,0))</f>
        <v>91.23</v>
      </c>
      <c r="N541" s="2" t="str">
        <f>INDEX('Main Data'!$A$1:$O$1001,MATCH('Index&amp;Match'!$A541,'Main Data'!$A$1:$A$1001,0),MATCH('Index&amp;Match'!N540,'Main Data'!$A540:$O540,0))</f>
        <v>Yes</v>
      </c>
      <c r="O541" s="2">
        <f>INDEX('Main Data'!$A$1:$O$1001,MATCH('Index&amp;Match'!$A541,'Main Data'!$A$1:$A$1001,0),MATCH('Index&amp;Match'!O540,'Main Data'!$A540:$O540,0))</f>
        <v>39</v>
      </c>
    </row>
    <row r="542" spans="1:15" x14ac:dyDescent="0.3">
      <c r="A542" s="2" t="s">
        <v>599</v>
      </c>
      <c r="B542" s="1">
        <f>INDEX('Main Data'!$A$1:$O$1001,MATCH('Index&amp;Match'!$A542,'Main Data'!$A$1:$A$1001,0),MATCH('Index&amp;Match'!B541,'Main Data'!$A541:$O541,0))</f>
        <v>46019</v>
      </c>
      <c r="C542" s="2" t="str">
        <f>INDEX('Main Data'!$A$1:$O$1001,MATCH('Index&amp;Match'!$A542,'Main Data'!$A$1:$A$1001,0),MATCH('Index&amp;Match'!C541,'Main Data'!$A541:$O541,0))</f>
        <v>Jamie</v>
      </c>
      <c r="D542" s="2" t="str">
        <f>INDEX('Main Data'!$A$1:$O$1001,MATCH('Index&amp;Match'!$A542,'Main Data'!$A$1:$A$1001,0),MATCH('Index&amp;Match'!D541,'Main Data'!$A541:$O541,0))</f>
        <v>BR-004</v>
      </c>
      <c r="E542" s="2" t="str">
        <f>INDEX('Main Data'!$A$1:$O$1001,MATCH('Index&amp;Match'!$A542,'Main Data'!$A$1:$A$1001,0),MATCH('Index&amp;Match'!E541,'Main Data'!$A541:$O541,0))</f>
        <v>Central</v>
      </c>
      <c r="F542" s="2" t="str">
        <f>INDEX('Main Data'!$A$1:$O$1001,MATCH('Index&amp;Match'!$A542,'Main Data'!$A$1:$A$1001,0),MATCH('Index&amp;Match'!F541,'Main Data'!$A541:$O541,0))</f>
        <v>Mortgage</v>
      </c>
      <c r="G542" s="2" t="str">
        <f>INDEX('Main Data'!$A$1:$O$1001,MATCH('Index&amp;Match'!$A542,'Main Data'!$A$1:$A$1001,0),MATCH('Index&amp;Match'!G541,'Main Data'!$A541:$O541,0))</f>
        <v>Walk-in</v>
      </c>
      <c r="H542" s="2" t="str">
        <f>INDEX('Main Data'!$A$1:$O$1001,MATCH('Index&amp;Match'!$A542,'Main Data'!$A$1:$A$1001,0),MATCH('Index&amp;Match'!H541,'Main Data'!$A541:$O541,0))</f>
        <v>Corporate</v>
      </c>
      <c r="I542" s="2">
        <f>INDEX('Main Data'!$A$1:$O$1001,MATCH('Index&amp;Match'!$A542,'Main Data'!$A$1:$A$1001,0),MATCH('Index&amp;Match'!I541,'Main Data'!$A541:$O541,0))</f>
        <v>58</v>
      </c>
      <c r="J542" s="2">
        <f>INDEX('Main Data'!$A$1:$O$1001,MATCH('Index&amp;Match'!$A542,'Main Data'!$A$1:$A$1001,0),MATCH('Index&amp;Match'!J541,'Main Data'!$A541:$O541,0))</f>
        <v>58</v>
      </c>
      <c r="K542" s="11">
        <f>INDEX('Main Data'!$A$1:$O$1001,MATCH('Index&amp;Match'!$A542,'Main Data'!$A$1:$A$1001,0),MATCH('Index&amp;Match'!K541,'Main Data'!$A541:$O541,0))</f>
        <v>5609.22</v>
      </c>
      <c r="L542" s="11">
        <f>INDEX('Main Data'!$A$1:$O$1001,MATCH('Index&amp;Match'!$A542,'Main Data'!$A$1:$A$1001,0),MATCH('Index&amp;Match'!L541,'Main Data'!$A541:$O541,0))</f>
        <v>466.38</v>
      </c>
      <c r="M542" s="11">
        <f>INDEX('Main Data'!$A$1:$O$1001,MATCH('Index&amp;Match'!$A542,'Main Data'!$A$1:$A$1001,0),MATCH('Index&amp;Match'!M541,'Main Data'!$A541:$O541,0))</f>
        <v>98.47</v>
      </c>
      <c r="N542" s="2" t="str">
        <f>INDEX('Main Data'!$A$1:$O$1001,MATCH('Index&amp;Match'!$A542,'Main Data'!$A$1:$A$1001,0),MATCH('Index&amp;Match'!N541,'Main Data'!$A541:$O541,0))</f>
        <v>Yes</v>
      </c>
      <c r="O542" s="2">
        <f>INDEX('Main Data'!$A$1:$O$1001,MATCH('Index&amp;Match'!$A542,'Main Data'!$A$1:$A$1001,0),MATCH('Index&amp;Match'!O541,'Main Data'!$A541:$O541,0))</f>
        <v>58</v>
      </c>
    </row>
    <row r="543" spans="1:15" x14ac:dyDescent="0.3">
      <c r="A543" s="2" t="s">
        <v>600</v>
      </c>
      <c r="B543" s="1">
        <f>INDEX('Main Data'!$A$1:$O$1001,MATCH('Index&amp;Match'!$A543,'Main Data'!$A$1:$A$1001,0),MATCH('Index&amp;Match'!B542,'Main Data'!$A542:$O542,0))</f>
        <v>45929</v>
      </c>
      <c r="C543" s="2" t="str">
        <f>INDEX('Main Data'!$A$1:$O$1001,MATCH('Index&amp;Match'!$A543,'Main Data'!$A$1:$A$1001,0),MATCH('Index&amp;Match'!C542,'Main Data'!$A542:$O542,0))</f>
        <v>Jordan</v>
      </c>
      <c r="D543" s="2" t="str">
        <f>INDEX('Main Data'!$A$1:$O$1001,MATCH('Index&amp;Match'!$A543,'Main Data'!$A$1:$A$1001,0),MATCH('Index&amp;Match'!D542,'Main Data'!$A542:$O542,0))</f>
        <v>BR-004</v>
      </c>
      <c r="E543" s="2" t="str">
        <f>INDEX('Main Data'!$A$1:$O$1001,MATCH('Index&amp;Match'!$A543,'Main Data'!$A$1:$A$1001,0),MATCH('Index&amp;Match'!E542,'Main Data'!$A542:$O542,0))</f>
        <v>South</v>
      </c>
      <c r="F543" s="2" t="str">
        <f>INDEX('Main Data'!$A$1:$O$1001,MATCH('Index&amp;Match'!$A543,'Main Data'!$A$1:$A$1001,0),MATCH('Index&amp;Match'!F542,'Main Data'!$A542:$O542,0))</f>
        <v>Personal Loan</v>
      </c>
      <c r="G543" s="2" t="str">
        <f>INDEX('Main Data'!$A$1:$O$1001,MATCH('Index&amp;Match'!$A543,'Main Data'!$A$1:$A$1001,0),MATCH('Index&amp;Match'!G542,'Main Data'!$A542:$O542,0))</f>
        <v>Email Campaign</v>
      </c>
      <c r="H543" s="2" t="str">
        <f>INDEX('Main Data'!$A$1:$O$1001,MATCH('Index&amp;Match'!$A543,'Main Data'!$A$1:$A$1001,0),MATCH('Index&amp;Match'!H542,'Main Data'!$A542:$O542,0))</f>
        <v>Retail</v>
      </c>
      <c r="I543" s="2">
        <f>INDEX('Main Data'!$A$1:$O$1001,MATCH('Index&amp;Match'!$A543,'Main Data'!$A$1:$A$1001,0),MATCH('Index&amp;Match'!I542,'Main Data'!$A542:$O542,0))</f>
        <v>47</v>
      </c>
      <c r="J543" s="2">
        <f>INDEX('Main Data'!$A$1:$O$1001,MATCH('Index&amp;Match'!$A543,'Main Data'!$A$1:$A$1001,0),MATCH('Index&amp;Match'!J542,'Main Data'!$A542:$O542,0))</f>
        <v>47</v>
      </c>
      <c r="K543" s="11">
        <f>INDEX('Main Data'!$A$1:$O$1001,MATCH('Index&amp;Match'!$A543,'Main Data'!$A$1:$A$1001,0),MATCH('Index&amp;Match'!K542,'Main Data'!$A542:$O542,0))</f>
        <v>29459.24</v>
      </c>
      <c r="L543" s="11">
        <f>INDEX('Main Data'!$A$1:$O$1001,MATCH('Index&amp;Match'!$A543,'Main Data'!$A$1:$A$1001,0),MATCH('Index&amp;Match'!L542,'Main Data'!$A542:$O542,0))</f>
        <v>440.58</v>
      </c>
      <c r="M543" s="11">
        <f>INDEX('Main Data'!$A$1:$O$1001,MATCH('Index&amp;Match'!$A543,'Main Data'!$A$1:$A$1001,0),MATCH('Index&amp;Match'!M542,'Main Data'!$A542:$O542,0))</f>
        <v>7.33</v>
      </c>
      <c r="N543" s="2" t="str">
        <f>INDEX('Main Data'!$A$1:$O$1001,MATCH('Index&amp;Match'!$A543,'Main Data'!$A$1:$A$1001,0),MATCH('Index&amp;Match'!N542,'Main Data'!$A542:$O542,0))</f>
        <v>Yes</v>
      </c>
      <c r="O543" s="2">
        <f>INDEX('Main Data'!$A$1:$O$1001,MATCH('Index&amp;Match'!$A543,'Main Data'!$A$1:$A$1001,0),MATCH('Index&amp;Match'!O542,'Main Data'!$A542:$O542,0))</f>
        <v>47</v>
      </c>
    </row>
    <row r="544" spans="1:15" x14ac:dyDescent="0.3">
      <c r="A544" s="2" t="s">
        <v>601</v>
      </c>
      <c r="B544" s="1">
        <f>INDEX('Main Data'!$A$1:$O$1001,MATCH('Index&amp;Match'!$A544,'Main Data'!$A$1:$A$1001,0),MATCH('Index&amp;Match'!B543,'Main Data'!$A543:$O543,0))</f>
        <v>45905</v>
      </c>
      <c r="C544" s="2" t="str">
        <f>INDEX('Main Data'!$A$1:$O$1001,MATCH('Index&amp;Match'!$A544,'Main Data'!$A$1:$A$1001,0),MATCH('Index&amp;Match'!C543,'Main Data'!$A543:$O543,0))</f>
        <v>Taylor</v>
      </c>
      <c r="D544" s="2" t="str">
        <f>INDEX('Main Data'!$A$1:$O$1001,MATCH('Index&amp;Match'!$A544,'Main Data'!$A$1:$A$1001,0),MATCH('Index&amp;Match'!D543,'Main Data'!$A543:$O543,0))</f>
        <v>BR-010</v>
      </c>
      <c r="E544" s="2" t="str">
        <f>INDEX('Main Data'!$A$1:$O$1001,MATCH('Index&amp;Match'!$A544,'Main Data'!$A$1:$A$1001,0),MATCH('Index&amp;Match'!E543,'Main Data'!$A543:$O543,0))</f>
        <v>North</v>
      </c>
      <c r="F544" s="2" t="str">
        <f>INDEX('Main Data'!$A$1:$O$1001,MATCH('Index&amp;Match'!$A544,'Main Data'!$A$1:$A$1001,0),MATCH('Index&amp;Match'!F543,'Main Data'!$A543:$O543,0))</f>
        <v>Wealth Management</v>
      </c>
      <c r="G544" s="2" t="str">
        <f>INDEX('Main Data'!$A$1:$O$1001,MATCH('Index&amp;Match'!$A544,'Main Data'!$A$1:$A$1001,0),MATCH('Index&amp;Match'!G543,'Main Data'!$A543:$O543,0))</f>
        <v>Social Media</v>
      </c>
      <c r="H544" s="2" t="str">
        <f>INDEX('Main Data'!$A$1:$O$1001,MATCH('Index&amp;Match'!$A544,'Main Data'!$A$1:$A$1001,0),MATCH('Index&amp;Match'!H543,'Main Data'!$A543:$O543,0))</f>
        <v>High Net Worth</v>
      </c>
      <c r="I544" s="2">
        <f>INDEX('Main Data'!$A$1:$O$1001,MATCH('Index&amp;Match'!$A544,'Main Data'!$A$1:$A$1001,0),MATCH('Index&amp;Match'!I543,'Main Data'!$A543:$O543,0))</f>
        <v>65</v>
      </c>
      <c r="J544" s="2">
        <f>INDEX('Main Data'!$A$1:$O$1001,MATCH('Index&amp;Match'!$A544,'Main Data'!$A$1:$A$1001,0),MATCH('Index&amp;Match'!J543,'Main Data'!$A543:$O543,0))</f>
        <v>65</v>
      </c>
      <c r="K544" s="11">
        <f>INDEX('Main Data'!$A$1:$O$1001,MATCH('Index&amp;Match'!$A544,'Main Data'!$A$1:$A$1001,0),MATCH('Index&amp;Match'!K543,'Main Data'!$A543:$O543,0))</f>
        <v>24682.85</v>
      </c>
      <c r="L544" s="11">
        <f>INDEX('Main Data'!$A$1:$O$1001,MATCH('Index&amp;Match'!$A544,'Main Data'!$A$1:$A$1001,0),MATCH('Index&amp;Match'!L543,'Main Data'!$A543:$O543,0))</f>
        <v>274.86</v>
      </c>
      <c r="M544" s="11">
        <f>INDEX('Main Data'!$A$1:$O$1001,MATCH('Index&amp;Match'!$A544,'Main Data'!$A$1:$A$1001,0),MATCH('Index&amp;Match'!M543,'Main Data'!$A543:$O543,0))</f>
        <v>58.72</v>
      </c>
      <c r="N544" s="2" t="str">
        <f>INDEX('Main Data'!$A$1:$O$1001,MATCH('Index&amp;Match'!$A544,'Main Data'!$A$1:$A$1001,0),MATCH('Index&amp;Match'!N543,'Main Data'!$A543:$O543,0))</f>
        <v>Yes</v>
      </c>
      <c r="O544" s="2">
        <f>INDEX('Main Data'!$A$1:$O$1001,MATCH('Index&amp;Match'!$A544,'Main Data'!$A$1:$A$1001,0),MATCH('Index&amp;Match'!O543,'Main Data'!$A543:$O543,0))</f>
        <v>65</v>
      </c>
    </row>
    <row r="545" spans="1:15" x14ac:dyDescent="0.3">
      <c r="A545" s="2" t="s">
        <v>602</v>
      </c>
      <c r="B545" s="1">
        <f>INDEX('Main Data'!$A$1:$O$1001,MATCH('Index&amp;Match'!$A545,'Main Data'!$A$1:$A$1001,0),MATCH('Index&amp;Match'!B544,'Main Data'!$A544:$O544,0))</f>
        <v>45973</v>
      </c>
      <c r="C545" s="2" t="str">
        <f>INDEX('Main Data'!$A$1:$O$1001,MATCH('Index&amp;Match'!$A545,'Main Data'!$A$1:$A$1001,0),MATCH('Index&amp;Match'!C544,'Main Data'!$A544:$O544,0))</f>
        <v>Jordan</v>
      </c>
      <c r="D545" s="2" t="str">
        <f>INDEX('Main Data'!$A$1:$O$1001,MATCH('Index&amp;Match'!$A545,'Main Data'!$A$1:$A$1001,0),MATCH('Index&amp;Match'!D544,'Main Data'!$A544:$O544,0))</f>
        <v>BR-011</v>
      </c>
      <c r="E545" s="2" t="str">
        <f>INDEX('Main Data'!$A$1:$O$1001,MATCH('Index&amp;Match'!$A545,'Main Data'!$A$1:$A$1001,0),MATCH('Index&amp;Match'!E544,'Main Data'!$A544:$O544,0))</f>
        <v>South</v>
      </c>
      <c r="F545" s="2" t="str">
        <f>INDEX('Main Data'!$A$1:$O$1001,MATCH('Index&amp;Match'!$A545,'Main Data'!$A$1:$A$1001,0),MATCH('Index&amp;Match'!F544,'Main Data'!$A544:$O544,0))</f>
        <v>Wealth Management</v>
      </c>
      <c r="G545" s="2" t="str">
        <f>INDEX('Main Data'!$A$1:$O$1001,MATCH('Index&amp;Match'!$A545,'Main Data'!$A$1:$A$1001,0),MATCH('Index&amp;Match'!G544,'Main Data'!$A544:$O544,0))</f>
        <v>Referral</v>
      </c>
      <c r="H545" s="2" t="str">
        <f>INDEX('Main Data'!$A$1:$O$1001,MATCH('Index&amp;Match'!$A545,'Main Data'!$A$1:$A$1001,0),MATCH('Index&amp;Match'!H544,'Main Data'!$A544:$O544,0))</f>
        <v>SME</v>
      </c>
      <c r="I545" s="2">
        <f>INDEX('Main Data'!$A$1:$O$1001,MATCH('Index&amp;Match'!$A545,'Main Data'!$A$1:$A$1001,0),MATCH('Index&amp;Match'!I544,'Main Data'!$A544:$O544,0))</f>
        <v>63</v>
      </c>
      <c r="J545" s="2">
        <f>INDEX('Main Data'!$A$1:$O$1001,MATCH('Index&amp;Match'!$A545,'Main Data'!$A$1:$A$1001,0),MATCH('Index&amp;Match'!J544,'Main Data'!$A544:$O544,0))</f>
        <v>63</v>
      </c>
      <c r="K545" s="11">
        <f>INDEX('Main Data'!$A$1:$O$1001,MATCH('Index&amp;Match'!$A545,'Main Data'!$A$1:$A$1001,0),MATCH('Index&amp;Match'!K544,'Main Data'!$A544:$O544,0))</f>
        <v>26447.72</v>
      </c>
      <c r="L545" s="11">
        <f>INDEX('Main Data'!$A$1:$O$1001,MATCH('Index&amp;Match'!$A545,'Main Data'!$A$1:$A$1001,0),MATCH('Index&amp;Match'!L544,'Main Data'!$A544:$O544,0))</f>
        <v>77.599999999999994</v>
      </c>
      <c r="M545" s="11">
        <f>INDEX('Main Data'!$A$1:$O$1001,MATCH('Index&amp;Match'!$A545,'Main Data'!$A$1:$A$1001,0),MATCH('Index&amp;Match'!M544,'Main Data'!$A544:$O544,0))</f>
        <v>165.35</v>
      </c>
      <c r="N545" s="2" t="str">
        <f>INDEX('Main Data'!$A$1:$O$1001,MATCH('Index&amp;Match'!$A545,'Main Data'!$A$1:$A$1001,0),MATCH('Index&amp;Match'!N544,'Main Data'!$A544:$O544,0))</f>
        <v>No</v>
      </c>
      <c r="O545" s="2">
        <f>INDEX('Main Data'!$A$1:$O$1001,MATCH('Index&amp;Match'!$A545,'Main Data'!$A$1:$A$1001,0),MATCH('Index&amp;Match'!O544,'Main Data'!$A544:$O544,0))</f>
        <v>63</v>
      </c>
    </row>
    <row r="546" spans="1:15" x14ac:dyDescent="0.3">
      <c r="A546" s="2" t="s">
        <v>603</v>
      </c>
      <c r="B546" s="1">
        <f>INDEX('Main Data'!$A$1:$O$1001,MATCH('Index&amp;Match'!$A546,'Main Data'!$A$1:$A$1001,0),MATCH('Index&amp;Match'!B545,'Main Data'!$A545:$O545,0))</f>
        <v>46183</v>
      </c>
      <c r="C546" s="2" t="str">
        <f>INDEX('Main Data'!$A$1:$O$1001,MATCH('Index&amp;Match'!$A546,'Main Data'!$A$1:$A$1001,0),MATCH('Index&amp;Match'!C545,'Main Data'!$A545:$O545,0))</f>
        <v>Alex</v>
      </c>
      <c r="D546" s="2" t="str">
        <f>INDEX('Main Data'!$A$1:$O$1001,MATCH('Index&amp;Match'!$A546,'Main Data'!$A$1:$A$1001,0),MATCH('Index&amp;Match'!D545,'Main Data'!$A545:$O545,0))</f>
        <v>BR-011</v>
      </c>
      <c r="E546" s="2" t="str">
        <f>INDEX('Main Data'!$A$1:$O$1001,MATCH('Index&amp;Match'!$A546,'Main Data'!$A$1:$A$1001,0),MATCH('Index&amp;Match'!E545,'Main Data'!$A545:$O545,0))</f>
        <v>East</v>
      </c>
      <c r="F546" s="2" t="str">
        <f>INDEX('Main Data'!$A$1:$O$1001,MATCH('Index&amp;Match'!$A546,'Main Data'!$A$1:$A$1001,0),MATCH('Index&amp;Match'!F545,'Main Data'!$A545:$O545,0))</f>
        <v>Wealth Management</v>
      </c>
      <c r="G546" s="2" t="str">
        <f>INDEX('Main Data'!$A$1:$O$1001,MATCH('Index&amp;Match'!$A546,'Main Data'!$A$1:$A$1001,0),MATCH('Index&amp;Match'!G545,'Main Data'!$A545:$O545,0))</f>
        <v>Walk-in</v>
      </c>
      <c r="H546" s="2" t="str">
        <f>INDEX('Main Data'!$A$1:$O$1001,MATCH('Index&amp;Match'!$A546,'Main Data'!$A$1:$A$1001,0),MATCH('Index&amp;Match'!H545,'Main Data'!$A545:$O545,0))</f>
        <v>Retail</v>
      </c>
      <c r="I546" s="2">
        <f>INDEX('Main Data'!$A$1:$O$1001,MATCH('Index&amp;Match'!$A546,'Main Data'!$A$1:$A$1001,0),MATCH('Index&amp;Match'!I545,'Main Data'!$A545:$O545,0))</f>
        <v>33</v>
      </c>
      <c r="J546" s="2">
        <f>INDEX('Main Data'!$A$1:$O$1001,MATCH('Index&amp;Match'!$A546,'Main Data'!$A$1:$A$1001,0),MATCH('Index&amp;Match'!J545,'Main Data'!$A545:$O545,0))</f>
        <v>33</v>
      </c>
      <c r="K546" s="11">
        <f>INDEX('Main Data'!$A$1:$O$1001,MATCH('Index&amp;Match'!$A546,'Main Data'!$A$1:$A$1001,0),MATCH('Index&amp;Match'!K545,'Main Data'!$A545:$O545,0))</f>
        <v>33513.300000000003</v>
      </c>
      <c r="L546" s="11">
        <f>INDEX('Main Data'!$A$1:$O$1001,MATCH('Index&amp;Match'!$A546,'Main Data'!$A$1:$A$1001,0),MATCH('Index&amp;Match'!L545,'Main Data'!$A545:$O545,0))</f>
        <v>371.55</v>
      </c>
      <c r="M546" s="11">
        <f>INDEX('Main Data'!$A$1:$O$1001,MATCH('Index&amp;Match'!$A546,'Main Data'!$A$1:$A$1001,0),MATCH('Index&amp;Match'!M545,'Main Data'!$A545:$O545,0))</f>
        <v>166.15</v>
      </c>
      <c r="N546" s="2" t="str">
        <f>INDEX('Main Data'!$A$1:$O$1001,MATCH('Index&amp;Match'!$A546,'Main Data'!$A$1:$A$1001,0),MATCH('Index&amp;Match'!N545,'Main Data'!$A545:$O545,0))</f>
        <v>No</v>
      </c>
      <c r="O546" s="2">
        <f>INDEX('Main Data'!$A$1:$O$1001,MATCH('Index&amp;Match'!$A546,'Main Data'!$A$1:$A$1001,0),MATCH('Index&amp;Match'!O545,'Main Data'!$A545:$O545,0))</f>
        <v>33</v>
      </c>
    </row>
    <row r="547" spans="1:15" x14ac:dyDescent="0.3">
      <c r="A547" s="2" t="s">
        <v>604</v>
      </c>
      <c r="B547" s="1">
        <f>INDEX('Main Data'!$A$1:$O$1001,MATCH('Index&amp;Match'!$A547,'Main Data'!$A$1:$A$1001,0),MATCH('Index&amp;Match'!B546,'Main Data'!$A546:$O546,0))</f>
        <v>45921</v>
      </c>
      <c r="C547" s="2" t="str">
        <f>INDEX('Main Data'!$A$1:$O$1001,MATCH('Index&amp;Match'!$A547,'Main Data'!$A$1:$A$1001,0),MATCH('Index&amp;Match'!C546,'Main Data'!$A546:$O546,0))</f>
        <v>Drew</v>
      </c>
      <c r="D547" s="2" t="str">
        <f>INDEX('Main Data'!$A$1:$O$1001,MATCH('Index&amp;Match'!$A547,'Main Data'!$A$1:$A$1001,0),MATCH('Index&amp;Match'!D546,'Main Data'!$A546:$O546,0))</f>
        <v>BR-005</v>
      </c>
      <c r="E547" s="2" t="str">
        <f>INDEX('Main Data'!$A$1:$O$1001,MATCH('Index&amp;Match'!$A547,'Main Data'!$A$1:$A$1001,0),MATCH('Index&amp;Match'!E546,'Main Data'!$A546:$O546,0))</f>
        <v>South</v>
      </c>
      <c r="F547" s="2" t="str">
        <f>INDEX('Main Data'!$A$1:$O$1001,MATCH('Index&amp;Match'!$A547,'Main Data'!$A$1:$A$1001,0),MATCH('Index&amp;Match'!F546,'Main Data'!$A546:$O546,0))</f>
        <v>Auto Loan</v>
      </c>
      <c r="G547" s="2" t="str">
        <f>INDEX('Main Data'!$A$1:$O$1001,MATCH('Index&amp;Match'!$A547,'Main Data'!$A$1:$A$1001,0),MATCH('Index&amp;Match'!G546,'Main Data'!$A546:$O546,0))</f>
        <v>Website</v>
      </c>
      <c r="H547" s="2" t="str">
        <f>INDEX('Main Data'!$A$1:$O$1001,MATCH('Index&amp;Match'!$A547,'Main Data'!$A$1:$A$1001,0),MATCH('Index&amp;Match'!H546,'Main Data'!$A546:$O546,0))</f>
        <v>SME</v>
      </c>
      <c r="I547" s="2">
        <f>INDEX('Main Data'!$A$1:$O$1001,MATCH('Index&amp;Match'!$A547,'Main Data'!$A$1:$A$1001,0),MATCH('Index&amp;Match'!I546,'Main Data'!$A546:$O546,0))</f>
        <v>33</v>
      </c>
      <c r="J547" s="2">
        <f>INDEX('Main Data'!$A$1:$O$1001,MATCH('Index&amp;Match'!$A547,'Main Data'!$A$1:$A$1001,0),MATCH('Index&amp;Match'!J546,'Main Data'!$A546:$O546,0))</f>
        <v>33</v>
      </c>
      <c r="K547" s="11">
        <f>INDEX('Main Data'!$A$1:$O$1001,MATCH('Index&amp;Match'!$A547,'Main Data'!$A$1:$A$1001,0),MATCH('Index&amp;Match'!K546,'Main Data'!$A546:$O546,0))</f>
        <v>13723.63</v>
      </c>
      <c r="L547" s="11">
        <f>INDEX('Main Data'!$A$1:$O$1001,MATCH('Index&amp;Match'!$A547,'Main Data'!$A$1:$A$1001,0),MATCH('Index&amp;Match'!L546,'Main Data'!$A546:$O546,0))</f>
        <v>330.54</v>
      </c>
      <c r="M547" s="11">
        <f>INDEX('Main Data'!$A$1:$O$1001,MATCH('Index&amp;Match'!$A547,'Main Data'!$A$1:$A$1001,0),MATCH('Index&amp;Match'!M546,'Main Data'!$A546:$O546,0))</f>
        <v>58.48</v>
      </c>
      <c r="N547" s="2" t="str">
        <f>INDEX('Main Data'!$A$1:$O$1001,MATCH('Index&amp;Match'!$A547,'Main Data'!$A$1:$A$1001,0),MATCH('Index&amp;Match'!N546,'Main Data'!$A546:$O546,0))</f>
        <v>No</v>
      </c>
      <c r="O547" s="2">
        <f>INDEX('Main Data'!$A$1:$O$1001,MATCH('Index&amp;Match'!$A547,'Main Data'!$A$1:$A$1001,0),MATCH('Index&amp;Match'!O546,'Main Data'!$A546:$O546,0))</f>
        <v>33</v>
      </c>
    </row>
    <row r="548" spans="1:15" x14ac:dyDescent="0.3">
      <c r="A548" s="2" t="s">
        <v>605</v>
      </c>
      <c r="B548" s="1">
        <f>INDEX('Main Data'!$A$1:$O$1001,MATCH('Index&amp;Match'!$A548,'Main Data'!$A$1:$A$1001,0),MATCH('Index&amp;Match'!B547,'Main Data'!$A547:$O547,0))</f>
        <v>45963</v>
      </c>
      <c r="C548" s="2" t="str">
        <f>INDEX('Main Data'!$A$1:$O$1001,MATCH('Index&amp;Match'!$A548,'Main Data'!$A$1:$A$1001,0),MATCH('Index&amp;Match'!C547,'Main Data'!$A547:$O547,0))</f>
        <v>Casey</v>
      </c>
      <c r="D548" s="2" t="str">
        <f>INDEX('Main Data'!$A$1:$O$1001,MATCH('Index&amp;Match'!$A548,'Main Data'!$A$1:$A$1001,0),MATCH('Index&amp;Match'!D547,'Main Data'!$A547:$O547,0))</f>
        <v>BR-004</v>
      </c>
      <c r="E548" s="2" t="str">
        <f>INDEX('Main Data'!$A$1:$O$1001,MATCH('Index&amp;Match'!$A548,'Main Data'!$A$1:$A$1001,0),MATCH('Index&amp;Match'!E547,'Main Data'!$A547:$O547,0))</f>
        <v>South</v>
      </c>
      <c r="F548" s="2" t="str">
        <f>INDEX('Main Data'!$A$1:$O$1001,MATCH('Index&amp;Match'!$A548,'Main Data'!$A$1:$A$1001,0),MATCH('Index&amp;Match'!F547,'Main Data'!$A547:$O547,0))</f>
        <v>Wealth Management</v>
      </c>
      <c r="G548" s="2" t="str">
        <f>INDEX('Main Data'!$A$1:$O$1001,MATCH('Index&amp;Match'!$A548,'Main Data'!$A$1:$A$1001,0),MATCH('Index&amp;Match'!G547,'Main Data'!$A547:$O547,0))</f>
        <v>Walk-in</v>
      </c>
      <c r="H548" s="2" t="str">
        <f>INDEX('Main Data'!$A$1:$O$1001,MATCH('Index&amp;Match'!$A548,'Main Data'!$A$1:$A$1001,0),MATCH('Index&amp;Match'!H547,'Main Data'!$A547:$O547,0))</f>
        <v>SME</v>
      </c>
      <c r="I548" s="2">
        <f>INDEX('Main Data'!$A$1:$O$1001,MATCH('Index&amp;Match'!$A548,'Main Data'!$A$1:$A$1001,0),MATCH('Index&amp;Match'!I547,'Main Data'!$A547:$O547,0))</f>
        <v>42</v>
      </c>
      <c r="J548" s="2">
        <f>INDEX('Main Data'!$A$1:$O$1001,MATCH('Index&amp;Match'!$A548,'Main Data'!$A$1:$A$1001,0),MATCH('Index&amp;Match'!J547,'Main Data'!$A547:$O547,0))</f>
        <v>42</v>
      </c>
      <c r="K548" s="11">
        <f>INDEX('Main Data'!$A$1:$O$1001,MATCH('Index&amp;Match'!$A548,'Main Data'!$A$1:$A$1001,0),MATCH('Index&amp;Match'!K547,'Main Data'!$A547:$O547,0))</f>
        <v>45577.919999999998</v>
      </c>
      <c r="L548" s="11">
        <f>INDEX('Main Data'!$A$1:$O$1001,MATCH('Index&amp;Match'!$A548,'Main Data'!$A$1:$A$1001,0),MATCH('Index&amp;Match'!L547,'Main Data'!$A547:$O547,0))</f>
        <v>486.75</v>
      </c>
      <c r="M548" s="11">
        <f>INDEX('Main Data'!$A$1:$O$1001,MATCH('Index&amp;Match'!$A548,'Main Data'!$A$1:$A$1001,0),MATCH('Index&amp;Match'!M547,'Main Data'!$A547:$O547,0))</f>
        <v>174.98</v>
      </c>
      <c r="N548" s="2" t="str">
        <f>INDEX('Main Data'!$A$1:$O$1001,MATCH('Index&amp;Match'!$A548,'Main Data'!$A$1:$A$1001,0),MATCH('Index&amp;Match'!N547,'Main Data'!$A547:$O547,0))</f>
        <v>No</v>
      </c>
      <c r="O548" s="2">
        <f>INDEX('Main Data'!$A$1:$O$1001,MATCH('Index&amp;Match'!$A548,'Main Data'!$A$1:$A$1001,0),MATCH('Index&amp;Match'!O547,'Main Data'!$A547:$O547,0))</f>
        <v>42</v>
      </c>
    </row>
    <row r="549" spans="1:15" x14ac:dyDescent="0.3">
      <c r="A549" s="2" t="s">
        <v>606</v>
      </c>
      <c r="B549" s="1">
        <f>INDEX('Main Data'!$A$1:$O$1001,MATCH('Index&amp;Match'!$A549,'Main Data'!$A$1:$A$1001,0),MATCH('Index&amp;Match'!B548,'Main Data'!$A548:$O548,0))</f>
        <v>46095</v>
      </c>
      <c r="C549" s="2" t="str">
        <f>INDEX('Main Data'!$A$1:$O$1001,MATCH('Index&amp;Match'!$A549,'Main Data'!$A$1:$A$1001,0),MATCH('Index&amp;Match'!C548,'Main Data'!$A548:$O548,0))</f>
        <v>Morgan</v>
      </c>
      <c r="D549" s="2" t="str">
        <f>INDEX('Main Data'!$A$1:$O$1001,MATCH('Index&amp;Match'!$A549,'Main Data'!$A$1:$A$1001,0),MATCH('Index&amp;Match'!D548,'Main Data'!$A548:$O548,0))</f>
        <v>BR-011</v>
      </c>
      <c r="E549" s="2" t="str">
        <f>INDEX('Main Data'!$A$1:$O$1001,MATCH('Index&amp;Match'!$A549,'Main Data'!$A$1:$A$1001,0),MATCH('Index&amp;Match'!E548,'Main Data'!$A548:$O548,0))</f>
        <v>South</v>
      </c>
      <c r="F549" s="2" t="str">
        <f>INDEX('Main Data'!$A$1:$O$1001,MATCH('Index&amp;Match'!$A549,'Main Data'!$A$1:$A$1001,0),MATCH('Index&amp;Match'!F548,'Main Data'!$A548:$O548,0))</f>
        <v>Mortgage</v>
      </c>
      <c r="G549" s="2" t="str">
        <f>INDEX('Main Data'!$A$1:$O$1001,MATCH('Index&amp;Match'!$A549,'Main Data'!$A$1:$A$1001,0),MATCH('Index&amp;Match'!G548,'Main Data'!$A548:$O548,0))</f>
        <v>Referral</v>
      </c>
      <c r="H549" s="2" t="str">
        <f>INDEX('Main Data'!$A$1:$O$1001,MATCH('Index&amp;Match'!$A549,'Main Data'!$A$1:$A$1001,0),MATCH('Index&amp;Match'!H548,'Main Data'!$A548:$O548,0))</f>
        <v>SME</v>
      </c>
      <c r="I549" s="2">
        <f>INDEX('Main Data'!$A$1:$O$1001,MATCH('Index&amp;Match'!$A549,'Main Data'!$A$1:$A$1001,0),MATCH('Index&amp;Match'!I548,'Main Data'!$A548:$O548,0))</f>
        <v>48</v>
      </c>
      <c r="J549" s="2">
        <f>INDEX('Main Data'!$A$1:$O$1001,MATCH('Index&amp;Match'!$A549,'Main Data'!$A$1:$A$1001,0),MATCH('Index&amp;Match'!J548,'Main Data'!$A548:$O548,0))</f>
        <v>48</v>
      </c>
      <c r="K549" s="11">
        <f>INDEX('Main Data'!$A$1:$O$1001,MATCH('Index&amp;Match'!$A549,'Main Data'!$A$1:$A$1001,0),MATCH('Index&amp;Match'!K548,'Main Data'!$A548:$O548,0))</f>
        <v>22065.77</v>
      </c>
      <c r="L549" s="11">
        <f>INDEX('Main Data'!$A$1:$O$1001,MATCH('Index&amp;Match'!$A549,'Main Data'!$A$1:$A$1001,0),MATCH('Index&amp;Match'!L548,'Main Data'!$A548:$O548,0))</f>
        <v>301.52999999999997</v>
      </c>
      <c r="M549" s="11">
        <f>INDEX('Main Data'!$A$1:$O$1001,MATCH('Index&amp;Match'!$A549,'Main Data'!$A$1:$A$1001,0),MATCH('Index&amp;Match'!M548,'Main Data'!$A548:$O548,0))</f>
        <v>154.36000000000001</v>
      </c>
      <c r="N549" s="2" t="str">
        <f>INDEX('Main Data'!$A$1:$O$1001,MATCH('Index&amp;Match'!$A549,'Main Data'!$A$1:$A$1001,0),MATCH('Index&amp;Match'!N548,'Main Data'!$A548:$O548,0))</f>
        <v>Yes</v>
      </c>
      <c r="O549" s="2">
        <f>INDEX('Main Data'!$A$1:$O$1001,MATCH('Index&amp;Match'!$A549,'Main Data'!$A$1:$A$1001,0),MATCH('Index&amp;Match'!O548,'Main Data'!$A548:$O548,0))</f>
        <v>48</v>
      </c>
    </row>
    <row r="550" spans="1:15" x14ac:dyDescent="0.3">
      <c r="A550" s="2" t="s">
        <v>607</v>
      </c>
      <c r="B550" s="1">
        <f>INDEX('Main Data'!$A$1:$O$1001,MATCH('Index&amp;Match'!$A550,'Main Data'!$A$1:$A$1001,0),MATCH('Index&amp;Match'!B549,'Main Data'!$A549:$O549,0))</f>
        <v>46016</v>
      </c>
      <c r="C550" s="2" t="str">
        <f>INDEX('Main Data'!$A$1:$O$1001,MATCH('Index&amp;Match'!$A550,'Main Data'!$A$1:$A$1001,0),MATCH('Index&amp;Match'!C549,'Main Data'!$A549:$O549,0))</f>
        <v>Jordan</v>
      </c>
      <c r="D550" s="2" t="str">
        <f>INDEX('Main Data'!$A$1:$O$1001,MATCH('Index&amp;Match'!$A550,'Main Data'!$A$1:$A$1001,0),MATCH('Index&amp;Match'!D549,'Main Data'!$A549:$O549,0))</f>
        <v>BR-014</v>
      </c>
      <c r="E550" s="2" t="str">
        <f>INDEX('Main Data'!$A$1:$O$1001,MATCH('Index&amp;Match'!$A550,'Main Data'!$A$1:$A$1001,0),MATCH('Index&amp;Match'!E549,'Main Data'!$A549:$O549,0))</f>
        <v>North</v>
      </c>
      <c r="F550" s="2" t="str">
        <f>INDEX('Main Data'!$A$1:$O$1001,MATCH('Index&amp;Match'!$A550,'Main Data'!$A$1:$A$1001,0),MATCH('Index&amp;Match'!F549,'Main Data'!$A549:$O549,0))</f>
        <v>Auto Loan</v>
      </c>
      <c r="G550" s="2" t="str">
        <f>INDEX('Main Data'!$A$1:$O$1001,MATCH('Index&amp;Match'!$A550,'Main Data'!$A$1:$A$1001,0),MATCH('Index&amp;Match'!G549,'Main Data'!$A549:$O549,0))</f>
        <v>Social Media</v>
      </c>
      <c r="H550" s="2" t="str">
        <f>INDEX('Main Data'!$A$1:$O$1001,MATCH('Index&amp;Match'!$A550,'Main Data'!$A$1:$A$1001,0),MATCH('Index&amp;Match'!H549,'Main Data'!$A549:$O549,0))</f>
        <v>Retail</v>
      </c>
      <c r="I550" s="2">
        <f>INDEX('Main Data'!$A$1:$O$1001,MATCH('Index&amp;Match'!$A550,'Main Data'!$A$1:$A$1001,0),MATCH('Index&amp;Match'!I549,'Main Data'!$A549:$O549,0))</f>
        <v>72</v>
      </c>
      <c r="J550" s="2">
        <f>INDEX('Main Data'!$A$1:$O$1001,MATCH('Index&amp;Match'!$A550,'Main Data'!$A$1:$A$1001,0),MATCH('Index&amp;Match'!J549,'Main Data'!$A549:$O549,0))</f>
        <v>72</v>
      </c>
      <c r="K550" s="11">
        <f>INDEX('Main Data'!$A$1:$O$1001,MATCH('Index&amp;Match'!$A550,'Main Data'!$A$1:$A$1001,0),MATCH('Index&amp;Match'!K549,'Main Data'!$A549:$O549,0))</f>
        <v>6889.77</v>
      </c>
      <c r="L550" s="11">
        <f>INDEX('Main Data'!$A$1:$O$1001,MATCH('Index&amp;Match'!$A550,'Main Data'!$A$1:$A$1001,0),MATCH('Index&amp;Match'!L549,'Main Data'!$A549:$O549,0))</f>
        <v>201.38</v>
      </c>
      <c r="M550" s="11">
        <f>INDEX('Main Data'!$A$1:$O$1001,MATCH('Index&amp;Match'!$A550,'Main Data'!$A$1:$A$1001,0),MATCH('Index&amp;Match'!M549,'Main Data'!$A549:$O549,0))</f>
        <v>83.58</v>
      </c>
      <c r="N550" s="2" t="str">
        <f>INDEX('Main Data'!$A$1:$O$1001,MATCH('Index&amp;Match'!$A550,'Main Data'!$A$1:$A$1001,0),MATCH('Index&amp;Match'!N549,'Main Data'!$A549:$O549,0))</f>
        <v>No</v>
      </c>
      <c r="O550" s="2">
        <f>INDEX('Main Data'!$A$1:$O$1001,MATCH('Index&amp;Match'!$A550,'Main Data'!$A$1:$A$1001,0),MATCH('Index&amp;Match'!O549,'Main Data'!$A549:$O549,0))</f>
        <v>72</v>
      </c>
    </row>
    <row r="551" spans="1:15" x14ac:dyDescent="0.3">
      <c r="A551" s="2" t="s">
        <v>608</v>
      </c>
      <c r="B551" s="1">
        <f>INDEX('Main Data'!$A$1:$O$1001,MATCH('Index&amp;Match'!$A551,'Main Data'!$A$1:$A$1001,0),MATCH('Index&amp;Match'!B550,'Main Data'!$A550:$O550,0))</f>
        <v>46233</v>
      </c>
      <c r="C551" s="2" t="str">
        <f>INDEX('Main Data'!$A$1:$O$1001,MATCH('Index&amp;Match'!$A551,'Main Data'!$A$1:$A$1001,0),MATCH('Index&amp;Match'!C550,'Main Data'!$A550:$O550,0))</f>
        <v>Jamie</v>
      </c>
      <c r="D551" s="2" t="str">
        <f>INDEX('Main Data'!$A$1:$O$1001,MATCH('Index&amp;Match'!$A551,'Main Data'!$A$1:$A$1001,0),MATCH('Index&amp;Match'!D550,'Main Data'!$A550:$O550,0))</f>
        <v>BR-010</v>
      </c>
      <c r="E551" s="2" t="str">
        <f>INDEX('Main Data'!$A$1:$O$1001,MATCH('Index&amp;Match'!$A551,'Main Data'!$A$1:$A$1001,0),MATCH('Index&amp;Match'!E550,'Main Data'!$A550:$O550,0))</f>
        <v>South</v>
      </c>
      <c r="F551" s="2" t="str">
        <f>INDEX('Main Data'!$A$1:$O$1001,MATCH('Index&amp;Match'!$A551,'Main Data'!$A$1:$A$1001,0),MATCH('Index&amp;Match'!F550,'Main Data'!$A550:$O550,0))</f>
        <v>Credit Card</v>
      </c>
      <c r="G551" s="2" t="str">
        <f>INDEX('Main Data'!$A$1:$O$1001,MATCH('Index&amp;Match'!$A551,'Main Data'!$A$1:$A$1001,0),MATCH('Index&amp;Match'!G550,'Main Data'!$A550:$O550,0))</f>
        <v>Referral</v>
      </c>
      <c r="H551" s="2" t="str">
        <f>INDEX('Main Data'!$A$1:$O$1001,MATCH('Index&amp;Match'!$A551,'Main Data'!$A$1:$A$1001,0),MATCH('Index&amp;Match'!H550,'Main Data'!$A550:$O550,0))</f>
        <v>Corporate</v>
      </c>
      <c r="I551" s="2">
        <f>INDEX('Main Data'!$A$1:$O$1001,MATCH('Index&amp;Match'!$A551,'Main Data'!$A$1:$A$1001,0),MATCH('Index&amp;Match'!I550,'Main Data'!$A550:$O550,0))</f>
        <v>67</v>
      </c>
      <c r="J551" s="2">
        <f>INDEX('Main Data'!$A$1:$O$1001,MATCH('Index&amp;Match'!$A551,'Main Data'!$A$1:$A$1001,0),MATCH('Index&amp;Match'!J550,'Main Data'!$A550:$O550,0))</f>
        <v>67</v>
      </c>
      <c r="K551" s="11">
        <f>INDEX('Main Data'!$A$1:$O$1001,MATCH('Index&amp;Match'!$A551,'Main Data'!$A$1:$A$1001,0),MATCH('Index&amp;Match'!K550,'Main Data'!$A550:$O550,0))</f>
        <v>37243.79</v>
      </c>
      <c r="L551" s="11">
        <f>INDEX('Main Data'!$A$1:$O$1001,MATCH('Index&amp;Match'!$A551,'Main Data'!$A$1:$A$1001,0),MATCH('Index&amp;Match'!L550,'Main Data'!$A550:$O550,0))</f>
        <v>283.56</v>
      </c>
      <c r="M551" s="11">
        <f>INDEX('Main Data'!$A$1:$O$1001,MATCH('Index&amp;Match'!$A551,'Main Data'!$A$1:$A$1001,0),MATCH('Index&amp;Match'!M550,'Main Data'!$A550:$O550,0))</f>
        <v>149.68</v>
      </c>
      <c r="N551" s="2" t="str">
        <f>INDEX('Main Data'!$A$1:$O$1001,MATCH('Index&amp;Match'!$A551,'Main Data'!$A$1:$A$1001,0),MATCH('Index&amp;Match'!N550,'Main Data'!$A550:$O550,0))</f>
        <v>Yes</v>
      </c>
      <c r="O551" s="2">
        <f>INDEX('Main Data'!$A$1:$O$1001,MATCH('Index&amp;Match'!$A551,'Main Data'!$A$1:$A$1001,0),MATCH('Index&amp;Match'!O550,'Main Data'!$A550:$O550,0))</f>
        <v>67</v>
      </c>
    </row>
    <row r="552" spans="1:15" x14ac:dyDescent="0.3">
      <c r="A552" s="2" t="s">
        <v>609</v>
      </c>
      <c r="B552" s="1">
        <f>INDEX('Main Data'!$A$1:$O$1001,MATCH('Index&amp;Match'!$A552,'Main Data'!$A$1:$A$1001,0),MATCH('Index&amp;Match'!B551,'Main Data'!$A551:$O551,0))</f>
        <v>45960</v>
      </c>
      <c r="C552" s="2" t="str">
        <f>INDEX('Main Data'!$A$1:$O$1001,MATCH('Index&amp;Match'!$A552,'Main Data'!$A$1:$A$1001,0),MATCH('Index&amp;Match'!C551,'Main Data'!$A551:$O551,0))</f>
        <v>Alex</v>
      </c>
      <c r="D552" s="2" t="str">
        <f>INDEX('Main Data'!$A$1:$O$1001,MATCH('Index&amp;Match'!$A552,'Main Data'!$A$1:$A$1001,0),MATCH('Index&amp;Match'!D551,'Main Data'!$A551:$O551,0))</f>
        <v>BR-008</v>
      </c>
      <c r="E552" s="2" t="str">
        <f>INDEX('Main Data'!$A$1:$O$1001,MATCH('Index&amp;Match'!$A552,'Main Data'!$A$1:$A$1001,0),MATCH('Index&amp;Match'!E551,'Main Data'!$A551:$O551,0))</f>
        <v>North</v>
      </c>
      <c r="F552" s="2" t="str">
        <f>INDEX('Main Data'!$A$1:$O$1001,MATCH('Index&amp;Match'!$A552,'Main Data'!$A$1:$A$1001,0),MATCH('Index&amp;Match'!F551,'Main Data'!$A551:$O551,0))</f>
        <v>Wealth Management</v>
      </c>
      <c r="G552" s="2" t="str">
        <f>INDEX('Main Data'!$A$1:$O$1001,MATCH('Index&amp;Match'!$A552,'Main Data'!$A$1:$A$1001,0),MATCH('Index&amp;Match'!G551,'Main Data'!$A551:$O551,0))</f>
        <v>Website</v>
      </c>
      <c r="H552" s="2" t="str">
        <f>INDEX('Main Data'!$A$1:$O$1001,MATCH('Index&amp;Match'!$A552,'Main Data'!$A$1:$A$1001,0),MATCH('Index&amp;Match'!H551,'Main Data'!$A551:$O551,0))</f>
        <v>Retail</v>
      </c>
      <c r="I552" s="2">
        <f>INDEX('Main Data'!$A$1:$O$1001,MATCH('Index&amp;Match'!$A552,'Main Data'!$A$1:$A$1001,0),MATCH('Index&amp;Match'!I551,'Main Data'!$A551:$O551,0))</f>
        <v>73</v>
      </c>
      <c r="J552" s="2">
        <f>INDEX('Main Data'!$A$1:$O$1001,MATCH('Index&amp;Match'!$A552,'Main Data'!$A$1:$A$1001,0),MATCH('Index&amp;Match'!J551,'Main Data'!$A551:$O551,0))</f>
        <v>73</v>
      </c>
      <c r="K552" s="11">
        <f>INDEX('Main Data'!$A$1:$O$1001,MATCH('Index&amp;Match'!$A552,'Main Data'!$A$1:$A$1001,0),MATCH('Index&amp;Match'!K551,'Main Data'!$A551:$O551,0))</f>
        <v>32333.67</v>
      </c>
      <c r="L552" s="11">
        <f>INDEX('Main Data'!$A$1:$O$1001,MATCH('Index&amp;Match'!$A552,'Main Data'!$A$1:$A$1001,0),MATCH('Index&amp;Match'!L551,'Main Data'!$A551:$O551,0))</f>
        <v>490.67</v>
      </c>
      <c r="M552" s="11">
        <f>INDEX('Main Data'!$A$1:$O$1001,MATCH('Index&amp;Match'!$A552,'Main Data'!$A$1:$A$1001,0),MATCH('Index&amp;Match'!M551,'Main Data'!$A551:$O551,0))</f>
        <v>192.27</v>
      </c>
      <c r="N552" s="2" t="str">
        <f>INDEX('Main Data'!$A$1:$O$1001,MATCH('Index&amp;Match'!$A552,'Main Data'!$A$1:$A$1001,0),MATCH('Index&amp;Match'!N551,'Main Data'!$A551:$O551,0))</f>
        <v>Yes</v>
      </c>
      <c r="O552" s="2">
        <f>INDEX('Main Data'!$A$1:$O$1001,MATCH('Index&amp;Match'!$A552,'Main Data'!$A$1:$A$1001,0),MATCH('Index&amp;Match'!O551,'Main Data'!$A551:$O551,0))</f>
        <v>73</v>
      </c>
    </row>
    <row r="553" spans="1:15" x14ac:dyDescent="0.3">
      <c r="A553" s="2" t="s">
        <v>610</v>
      </c>
      <c r="B553" s="1">
        <f>INDEX('Main Data'!$A$1:$O$1001,MATCH('Index&amp;Match'!$A553,'Main Data'!$A$1:$A$1001,0),MATCH('Index&amp;Match'!B552,'Main Data'!$A552:$O552,0))</f>
        <v>45875</v>
      </c>
      <c r="C553" s="2" t="str">
        <f>INDEX('Main Data'!$A$1:$O$1001,MATCH('Index&amp;Match'!$A553,'Main Data'!$A$1:$A$1001,0),MATCH('Index&amp;Match'!C552,'Main Data'!$A552:$O552,0))</f>
        <v>Morgan</v>
      </c>
      <c r="D553" s="2" t="str">
        <f>INDEX('Main Data'!$A$1:$O$1001,MATCH('Index&amp;Match'!$A553,'Main Data'!$A$1:$A$1001,0),MATCH('Index&amp;Match'!D552,'Main Data'!$A552:$O552,0))</f>
        <v>BR-006</v>
      </c>
      <c r="E553" s="2" t="str">
        <f>INDEX('Main Data'!$A$1:$O$1001,MATCH('Index&amp;Match'!$A553,'Main Data'!$A$1:$A$1001,0),MATCH('Index&amp;Match'!E552,'Main Data'!$A552:$O552,0))</f>
        <v>West</v>
      </c>
      <c r="F553" s="2" t="str">
        <f>INDEX('Main Data'!$A$1:$O$1001,MATCH('Index&amp;Match'!$A553,'Main Data'!$A$1:$A$1001,0),MATCH('Index&amp;Match'!F552,'Main Data'!$A552:$O552,0))</f>
        <v>Wealth Management</v>
      </c>
      <c r="G553" s="2" t="str">
        <f>INDEX('Main Data'!$A$1:$O$1001,MATCH('Index&amp;Match'!$A553,'Main Data'!$A$1:$A$1001,0),MATCH('Index&amp;Match'!G552,'Main Data'!$A552:$O552,0))</f>
        <v>Email Campaign</v>
      </c>
      <c r="H553" s="2" t="str">
        <f>INDEX('Main Data'!$A$1:$O$1001,MATCH('Index&amp;Match'!$A553,'Main Data'!$A$1:$A$1001,0),MATCH('Index&amp;Match'!H552,'Main Data'!$A552:$O552,0))</f>
        <v>SME</v>
      </c>
      <c r="I553" s="2">
        <f>INDEX('Main Data'!$A$1:$O$1001,MATCH('Index&amp;Match'!$A553,'Main Data'!$A$1:$A$1001,0),MATCH('Index&amp;Match'!I552,'Main Data'!$A552:$O552,0))</f>
        <v>65</v>
      </c>
      <c r="J553" s="2">
        <f>INDEX('Main Data'!$A$1:$O$1001,MATCH('Index&amp;Match'!$A553,'Main Data'!$A$1:$A$1001,0),MATCH('Index&amp;Match'!J552,'Main Data'!$A552:$O552,0))</f>
        <v>65</v>
      </c>
      <c r="K553" s="11">
        <f>INDEX('Main Data'!$A$1:$O$1001,MATCH('Index&amp;Match'!$A553,'Main Data'!$A$1:$A$1001,0),MATCH('Index&amp;Match'!K552,'Main Data'!$A552:$O552,0))</f>
        <v>16129.3</v>
      </c>
      <c r="L553" s="11">
        <f>INDEX('Main Data'!$A$1:$O$1001,MATCH('Index&amp;Match'!$A553,'Main Data'!$A$1:$A$1001,0),MATCH('Index&amp;Match'!L552,'Main Data'!$A552:$O552,0))</f>
        <v>363.36</v>
      </c>
      <c r="M553" s="11">
        <f>INDEX('Main Data'!$A$1:$O$1001,MATCH('Index&amp;Match'!$A553,'Main Data'!$A$1:$A$1001,0),MATCH('Index&amp;Match'!M552,'Main Data'!$A552:$O552,0))</f>
        <v>91.79</v>
      </c>
      <c r="N553" s="2" t="str">
        <f>INDEX('Main Data'!$A$1:$O$1001,MATCH('Index&amp;Match'!$A553,'Main Data'!$A$1:$A$1001,0),MATCH('Index&amp;Match'!N552,'Main Data'!$A552:$O552,0))</f>
        <v>No</v>
      </c>
      <c r="O553" s="2">
        <f>INDEX('Main Data'!$A$1:$O$1001,MATCH('Index&amp;Match'!$A553,'Main Data'!$A$1:$A$1001,0),MATCH('Index&amp;Match'!O552,'Main Data'!$A552:$O552,0))</f>
        <v>65</v>
      </c>
    </row>
    <row r="554" spans="1:15" x14ac:dyDescent="0.3">
      <c r="A554" s="2" t="s">
        <v>611</v>
      </c>
      <c r="B554" s="1">
        <f>INDEX('Main Data'!$A$1:$O$1001,MATCH('Index&amp;Match'!$A554,'Main Data'!$A$1:$A$1001,0),MATCH('Index&amp;Match'!B553,'Main Data'!$A553:$O553,0))</f>
        <v>45926</v>
      </c>
      <c r="C554" s="2" t="str">
        <f>INDEX('Main Data'!$A$1:$O$1001,MATCH('Index&amp;Match'!$A554,'Main Data'!$A$1:$A$1001,0),MATCH('Index&amp;Match'!C553,'Main Data'!$A553:$O553,0))</f>
        <v>Casey</v>
      </c>
      <c r="D554" s="2" t="str">
        <f>INDEX('Main Data'!$A$1:$O$1001,MATCH('Index&amp;Match'!$A554,'Main Data'!$A$1:$A$1001,0),MATCH('Index&amp;Match'!D553,'Main Data'!$A553:$O553,0))</f>
        <v>BR-006</v>
      </c>
      <c r="E554" s="2" t="str">
        <f>INDEX('Main Data'!$A$1:$O$1001,MATCH('Index&amp;Match'!$A554,'Main Data'!$A$1:$A$1001,0),MATCH('Index&amp;Match'!E553,'Main Data'!$A553:$O553,0))</f>
        <v>East</v>
      </c>
      <c r="F554" s="2" t="str">
        <f>INDEX('Main Data'!$A$1:$O$1001,MATCH('Index&amp;Match'!$A554,'Main Data'!$A$1:$A$1001,0),MATCH('Index&amp;Match'!F553,'Main Data'!$A553:$O553,0))</f>
        <v>Credit Card</v>
      </c>
      <c r="G554" s="2" t="str">
        <f>INDEX('Main Data'!$A$1:$O$1001,MATCH('Index&amp;Match'!$A554,'Main Data'!$A$1:$A$1001,0),MATCH('Index&amp;Match'!G553,'Main Data'!$A553:$O553,0))</f>
        <v>Walk-in</v>
      </c>
      <c r="H554" s="2" t="str">
        <f>INDEX('Main Data'!$A$1:$O$1001,MATCH('Index&amp;Match'!$A554,'Main Data'!$A$1:$A$1001,0),MATCH('Index&amp;Match'!H553,'Main Data'!$A553:$O553,0))</f>
        <v>Retail</v>
      </c>
      <c r="I554" s="2">
        <f>INDEX('Main Data'!$A$1:$O$1001,MATCH('Index&amp;Match'!$A554,'Main Data'!$A$1:$A$1001,0),MATCH('Index&amp;Match'!I553,'Main Data'!$A553:$O553,0))</f>
        <v>42</v>
      </c>
      <c r="J554" s="2">
        <f>INDEX('Main Data'!$A$1:$O$1001,MATCH('Index&amp;Match'!$A554,'Main Data'!$A$1:$A$1001,0),MATCH('Index&amp;Match'!J553,'Main Data'!$A553:$O553,0))</f>
        <v>42</v>
      </c>
      <c r="K554" s="11">
        <f>INDEX('Main Data'!$A$1:$O$1001,MATCH('Index&amp;Match'!$A554,'Main Data'!$A$1:$A$1001,0),MATCH('Index&amp;Match'!K553,'Main Data'!$A553:$O553,0))</f>
        <v>31265.18</v>
      </c>
      <c r="L554" s="11">
        <f>INDEX('Main Data'!$A$1:$O$1001,MATCH('Index&amp;Match'!$A554,'Main Data'!$A$1:$A$1001,0),MATCH('Index&amp;Match'!L553,'Main Data'!$A553:$O553,0))</f>
        <v>352.39</v>
      </c>
      <c r="M554" s="11">
        <f>INDEX('Main Data'!$A$1:$O$1001,MATCH('Index&amp;Match'!$A554,'Main Data'!$A$1:$A$1001,0),MATCH('Index&amp;Match'!M553,'Main Data'!$A553:$O553,0))</f>
        <v>47.69</v>
      </c>
      <c r="N554" s="2" t="str">
        <f>INDEX('Main Data'!$A$1:$O$1001,MATCH('Index&amp;Match'!$A554,'Main Data'!$A$1:$A$1001,0),MATCH('Index&amp;Match'!N553,'Main Data'!$A553:$O553,0))</f>
        <v>No</v>
      </c>
      <c r="O554" s="2">
        <f>INDEX('Main Data'!$A$1:$O$1001,MATCH('Index&amp;Match'!$A554,'Main Data'!$A$1:$A$1001,0),MATCH('Index&amp;Match'!O553,'Main Data'!$A553:$O553,0))</f>
        <v>42</v>
      </c>
    </row>
    <row r="555" spans="1:15" x14ac:dyDescent="0.3">
      <c r="A555" s="2" t="s">
        <v>612</v>
      </c>
      <c r="B555" s="1">
        <f>INDEX('Main Data'!$A$1:$O$1001,MATCH('Index&amp;Match'!$A555,'Main Data'!$A$1:$A$1001,0),MATCH('Index&amp;Match'!B554,'Main Data'!$A554:$O554,0))</f>
        <v>45879</v>
      </c>
      <c r="C555" s="2" t="str">
        <f>INDEX('Main Data'!$A$1:$O$1001,MATCH('Index&amp;Match'!$A555,'Main Data'!$A$1:$A$1001,0),MATCH('Index&amp;Match'!C554,'Main Data'!$A554:$O554,0))</f>
        <v>Morgan</v>
      </c>
      <c r="D555" s="2" t="str">
        <f>INDEX('Main Data'!$A$1:$O$1001,MATCH('Index&amp;Match'!$A555,'Main Data'!$A$1:$A$1001,0),MATCH('Index&amp;Match'!D554,'Main Data'!$A554:$O554,0))</f>
        <v>BR-008</v>
      </c>
      <c r="E555" s="2" t="str">
        <f>INDEX('Main Data'!$A$1:$O$1001,MATCH('Index&amp;Match'!$A555,'Main Data'!$A$1:$A$1001,0),MATCH('Index&amp;Match'!E554,'Main Data'!$A554:$O554,0))</f>
        <v>North</v>
      </c>
      <c r="F555" s="2" t="str">
        <f>INDEX('Main Data'!$A$1:$O$1001,MATCH('Index&amp;Match'!$A555,'Main Data'!$A$1:$A$1001,0),MATCH('Index&amp;Match'!F554,'Main Data'!$A554:$O554,0))</f>
        <v>Wealth Management</v>
      </c>
      <c r="G555" s="2" t="str">
        <f>INDEX('Main Data'!$A$1:$O$1001,MATCH('Index&amp;Match'!$A555,'Main Data'!$A$1:$A$1001,0),MATCH('Index&amp;Match'!G554,'Main Data'!$A554:$O554,0))</f>
        <v>Social Media</v>
      </c>
      <c r="H555" s="2" t="str">
        <f>INDEX('Main Data'!$A$1:$O$1001,MATCH('Index&amp;Match'!$A555,'Main Data'!$A$1:$A$1001,0),MATCH('Index&amp;Match'!H554,'Main Data'!$A554:$O554,0))</f>
        <v>High Net Worth</v>
      </c>
      <c r="I555" s="2">
        <f>INDEX('Main Data'!$A$1:$O$1001,MATCH('Index&amp;Match'!$A555,'Main Data'!$A$1:$A$1001,0),MATCH('Index&amp;Match'!I554,'Main Data'!$A554:$O554,0))</f>
        <v>63</v>
      </c>
      <c r="J555" s="2">
        <f>INDEX('Main Data'!$A$1:$O$1001,MATCH('Index&amp;Match'!$A555,'Main Data'!$A$1:$A$1001,0),MATCH('Index&amp;Match'!J554,'Main Data'!$A554:$O554,0))</f>
        <v>63</v>
      </c>
      <c r="K555" s="11">
        <f>INDEX('Main Data'!$A$1:$O$1001,MATCH('Index&amp;Match'!$A555,'Main Data'!$A$1:$A$1001,0),MATCH('Index&amp;Match'!K554,'Main Data'!$A554:$O554,0))</f>
        <v>11383.17</v>
      </c>
      <c r="L555" s="11">
        <f>INDEX('Main Data'!$A$1:$O$1001,MATCH('Index&amp;Match'!$A555,'Main Data'!$A$1:$A$1001,0),MATCH('Index&amp;Match'!L554,'Main Data'!$A554:$O554,0))</f>
        <v>158.31</v>
      </c>
      <c r="M555" s="11">
        <f>INDEX('Main Data'!$A$1:$O$1001,MATCH('Index&amp;Match'!$A555,'Main Data'!$A$1:$A$1001,0),MATCH('Index&amp;Match'!M554,'Main Data'!$A554:$O554,0))</f>
        <v>282.54000000000002</v>
      </c>
      <c r="N555" s="2" t="str">
        <f>INDEX('Main Data'!$A$1:$O$1001,MATCH('Index&amp;Match'!$A555,'Main Data'!$A$1:$A$1001,0),MATCH('Index&amp;Match'!N554,'Main Data'!$A554:$O554,0))</f>
        <v>No</v>
      </c>
      <c r="O555" s="2">
        <f>INDEX('Main Data'!$A$1:$O$1001,MATCH('Index&amp;Match'!$A555,'Main Data'!$A$1:$A$1001,0),MATCH('Index&amp;Match'!O554,'Main Data'!$A554:$O554,0))</f>
        <v>63</v>
      </c>
    </row>
    <row r="556" spans="1:15" x14ac:dyDescent="0.3">
      <c r="A556" s="2" t="s">
        <v>613</v>
      </c>
      <c r="B556" s="1">
        <f>INDEX('Main Data'!$A$1:$O$1001,MATCH('Index&amp;Match'!$A556,'Main Data'!$A$1:$A$1001,0),MATCH('Index&amp;Match'!B555,'Main Data'!$A555:$O555,0))</f>
        <v>45890</v>
      </c>
      <c r="C556" s="2" t="str">
        <f>INDEX('Main Data'!$A$1:$O$1001,MATCH('Index&amp;Match'!$A556,'Main Data'!$A$1:$A$1001,0),MATCH('Index&amp;Match'!C555,'Main Data'!$A555:$O555,0))</f>
        <v>Alex</v>
      </c>
      <c r="D556" s="2" t="str">
        <f>INDEX('Main Data'!$A$1:$O$1001,MATCH('Index&amp;Match'!$A556,'Main Data'!$A$1:$A$1001,0),MATCH('Index&amp;Match'!D555,'Main Data'!$A555:$O555,0))</f>
        <v>BR-007</v>
      </c>
      <c r="E556" s="2" t="str">
        <f>INDEX('Main Data'!$A$1:$O$1001,MATCH('Index&amp;Match'!$A556,'Main Data'!$A$1:$A$1001,0),MATCH('Index&amp;Match'!E555,'Main Data'!$A555:$O555,0))</f>
        <v>West</v>
      </c>
      <c r="F556" s="2" t="str">
        <f>INDEX('Main Data'!$A$1:$O$1001,MATCH('Index&amp;Match'!$A556,'Main Data'!$A$1:$A$1001,0),MATCH('Index&amp;Match'!F555,'Main Data'!$A555:$O555,0))</f>
        <v>Credit Card</v>
      </c>
      <c r="G556" s="2" t="str">
        <f>INDEX('Main Data'!$A$1:$O$1001,MATCH('Index&amp;Match'!$A556,'Main Data'!$A$1:$A$1001,0),MATCH('Index&amp;Match'!G555,'Main Data'!$A555:$O555,0))</f>
        <v>Email Campaign</v>
      </c>
      <c r="H556" s="2" t="str">
        <f>INDEX('Main Data'!$A$1:$O$1001,MATCH('Index&amp;Match'!$A556,'Main Data'!$A$1:$A$1001,0),MATCH('Index&amp;Match'!H555,'Main Data'!$A555:$O555,0))</f>
        <v>Corporate</v>
      </c>
      <c r="I556" s="2">
        <f>INDEX('Main Data'!$A$1:$O$1001,MATCH('Index&amp;Match'!$A556,'Main Data'!$A$1:$A$1001,0),MATCH('Index&amp;Match'!I555,'Main Data'!$A555:$O555,0))</f>
        <v>39</v>
      </c>
      <c r="J556" s="2">
        <f>INDEX('Main Data'!$A$1:$O$1001,MATCH('Index&amp;Match'!$A556,'Main Data'!$A$1:$A$1001,0),MATCH('Index&amp;Match'!J555,'Main Data'!$A555:$O555,0))</f>
        <v>39</v>
      </c>
      <c r="K556" s="11">
        <f>INDEX('Main Data'!$A$1:$O$1001,MATCH('Index&amp;Match'!$A556,'Main Data'!$A$1:$A$1001,0),MATCH('Index&amp;Match'!K555,'Main Data'!$A555:$O555,0))</f>
        <v>22519.55</v>
      </c>
      <c r="L556" s="11">
        <f>INDEX('Main Data'!$A$1:$O$1001,MATCH('Index&amp;Match'!$A556,'Main Data'!$A$1:$A$1001,0),MATCH('Index&amp;Match'!L555,'Main Data'!$A555:$O555,0))</f>
        <v>384.62</v>
      </c>
      <c r="M556" s="11">
        <f>INDEX('Main Data'!$A$1:$O$1001,MATCH('Index&amp;Match'!$A556,'Main Data'!$A$1:$A$1001,0),MATCH('Index&amp;Match'!M555,'Main Data'!$A555:$O555,0))</f>
        <v>120.75</v>
      </c>
      <c r="N556" s="2" t="str">
        <f>INDEX('Main Data'!$A$1:$O$1001,MATCH('Index&amp;Match'!$A556,'Main Data'!$A$1:$A$1001,0),MATCH('Index&amp;Match'!N555,'Main Data'!$A555:$O555,0))</f>
        <v>Yes</v>
      </c>
      <c r="O556" s="2">
        <f>INDEX('Main Data'!$A$1:$O$1001,MATCH('Index&amp;Match'!$A556,'Main Data'!$A$1:$A$1001,0),MATCH('Index&amp;Match'!O555,'Main Data'!$A555:$O555,0))</f>
        <v>39</v>
      </c>
    </row>
    <row r="557" spans="1:15" x14ac:dyDescent="0.3">
      <c r="A557" s="2" t="s">
        <v>614</v>
      </c>
      <c r="B557" s="1">
        <f>INDEX('Main Data'!$A$1:$O$1001,MATCH('Index&amp;Match'!$A557,'Main Data'!$A$1:$A$1001,0),MATCH('Index&amp;Match'!B556,'Main Data'!$A556:$O556,0))</f>
        <v>46194</v>
      </c>
      <c r="C557" s="2" t="str">
        <f>INDEX('Main Data'!$A$1:$O$1001,MATCH('Index&amp;Match'!$A557,'Main Data'!$A$1:$A$1001,0),MATCH('Index&amp;Match'!C556,'Main Data'!$A556:$O556,0))</f>
        <v>Drew</v>
      </c>
      <c r="D557" s="2" t="str">
        <f>INDEX('Main Data'!$A$1:$O$1001,MATCH('Index&amp;Match'!$A557,'Main Data'!$A$1:$A$1001,0),MATCH('Index&amp;Match'!D556,'Main Data'!$A556:$O556,0))</f>
        <v>BR-015</v>
      </c>
      <c r="E557" s="2" t="str">
        <f>INDEX('Main Data'!$A$1:$O$1001,MATCH('Index&amp;Match'!$A557,'Main Data'!$A$1:$A$1001,0),MATCH('Index&amp;Match'!E556,'Main Data'!$A556:$O556,0))</f>
        <v>North</v>
      </c>
      <c r="F557" s="2" t="str">
        <f>INDEX('Main Data'!$A$1:$O$1001,MATCH('Index&amp;Match'!$A557,'Main Data'!$A$1:$A$1001,0),MATCH('Index&amp;Match'!F556,'Main Data'!$A556:$O556,0))</f>
        <v>Auto Loan</v>
      </c>
      <c r="G557" s="2" t="str">
        <f>INDEX('Main Data'!$A$1:$O$1001,MATCH('Index&amp;Match'!$A557,'Main Data'!$A$1:$A$1001,0),MATCH('Index&amp;Match'!G556,'Main Data'!$A556:$O556,0))</f>
        <v>Referral</v>
      </c>
      <c r="H557" s="2" t="str">
        <f>INDEX('Main Data'!$A$1:$O$1001,MATCH('Index&amp;Match'!$A557,'Main Data'!$A$1:$A$1001,0),MATCH('Index&amp;Match'!H556,'Main Data'!$A556:$O556,0))</f>
        <v>Retail</v>
      </c>
      <c r="I557" s="2">
        <f>INDEX('Main Data'!$A$1:$O$1001,MATCH('Index&amp;Match'!$A557,'Main Data'!$A$1:$A$1001,0),MATCH('Index&amp;Match'!I556,'Main Data'!$A556:$O556,0))</f>
        <v>28</v>
      </c>
      <c r="J557" s="2">
        <f>INDEX('Main Data'!$A$1:$O$1001,MATCH('Index&amp;Match'!$A557,'Main Data'!$A$1:$A$1001,0),MATCH('Index&amp;Match'!J556,'Main Data'!$A556:$O556,0))</f>
        <v>28</v>
      </c>
      <c r="K557" s="11">
        <f>INDEX('Main Data'!$A$1:$O$1001,MATCH('Index&amp;Match'!$A557,'Main Data'!$A$1:$A$1001,0),MATCH('Index&amp;Match'!K556,'Main Data'!$A556:$O556,0))</f>
        <v>45020.92</v>
      </c>
      <c r="L557" s="11">
        <f>INDEX('Main Data'!$A$1:$O$1001,MATCH('Index&amp;Match'!$A557,'Main Data'!$A$1:$A$1001,0),MATCH('Index&amp;Match'!L556,'Main Data'!$A556:$O556,0))</f>
        <v>387.62</v>
      </c>
      <c r="M557" s="11">
        <f>INDEX('Main Data'!$A$1:$O$1001,MATCH('Index&amp;Match'!$A557,'Main Data'!$A$1:$A$1001,0),MATCH('Index&amp;Match'!M556,'Main Data'!$A556:$O556,0))</f>
        <v>21.05</v>
      </c>
      <c r="N557" s="2" t="str">
        <f>INDEX('Main Data'!$A$1:$O$1001,MATCH('Index&amp;Match'!$A557,'Main Data'!$A$1:$A$1001,0),MATCH('Index&amp;Match'!N556,'Main Data'!$A556:$O556,0))</f>
        <v>No</v>
      </c>
      <c r="O557" s="2">
        <f>INDEX('Main Data'!$A$1:$O$1001,MATCH('Index&amp;Match'!$A557,'Main Data'!$A$1:$A$1001,0),MATCH('Index&amp;Match'!O556,'Main Data'!$A556:$O556,0))</f>
        <v>28</v>
      </c>
    </row>
    <row r="558" spans="1:15" x14ac:dyDescent="0.3">
      <c r="A558" s="2" t="s">
        <v>615</v>
      </c>
      <c r="B558" s="1">
        <f>INDEX('Main Data'!$A$1:$O$1001,MATCH('Index&amp;Match'!$A558,'Main Data'!$A$1:$A$1001,0),MATCH('Index&amp;Match'!B557,'Main Data'!$A557:$O557,0))</f>
        <v>46012</v>
      </c>
      <c r="C558" s="2" t="str">
        <f>INDEX('Main Data'!$A$1:$O$1001,MATCH('Index&amp;Match'!$A558,'Main Data'!$A$1:$A$1001,0),MATCH('Index&amp;Match'!C557,'Main Data'!$A557:$O557,0))</f>
        <v>Drew</v>
      </c>
      <c r="D558" s="2" t="str">
        <f>INDEX('Main Data'!$A$1:$O$1001,MATCH('Index&amp;Match'!$A558,'Main Data'!$A$1:$A$1001,0),MATCH('Index&amp;Match'!D557,'Main Data'!$A557:$O557,0))</f>
        <v>BR-010</v>
      </c>
      <c r="E558" s="2" t="str">
        <f>INDEX('Main Data'!$A$1:$O$1001,MATCH('Index&amp;Match'!$A558,'Main Data'!$A$1:$A$1001,0),MATCH('Index&amp;Match'!E557,'Main Data'!$A557:$O557,0))</f>
        <v>North</v>
      </c>
      <c r="F558" s="2" t="str">
        <f>INDEX('Main Data'!$A$1:$O$1001,MATCH('Index&amp;Match'!$A558,'Main Data'!$A$1:$A$1001,0),MATCH('Index&amp;Match'!F557,'Main Data'!$A557:$O557,0))</f>
        <v>Mortgage</v>
      </c>
      <c r="G558" s="2" t="str">
        <f>INDEX('Main Data'!$A$1:$O$1001,MATCH('Index&amp;Match'!$A558,'Main Data'!$A$1:$A$1001,0),MATCH('Index&amp;Match'!G557,'Main Data'!$A557:$O557,0))</f>
        <v>Social Media</v>
      </c>
      <c r="H558" s="2" t="str">
        <f>INDEX('Main Data'!$A$1:$O$1001,MATCH('Index&amp;Match'!$A558,'Main Data'!$A$1:$A$1001,0),MATCH('Index&amp;Match'!H557,'Main Data'!$A557:$O557,0))</f>
        <v>High Net Worth</v>
      </c>
      <c r="I558" s="2">
        <f>INDEX('Main Data'!$A$1:$O$1001,MATCH('Index&amp;Match'!$A558,'Main Data'!$A$1:$A$1001,0),MATCH('Index&amp;Match'!I557,'Main Data'!$A557:$O557,0))</f>
        <v>72</v>
      </c>
      <c r="J558" s="2">
        <f>INDEX('Main Data'!$A$1:$O$1001,MATCH('Index&amp;Match'!$A558,'Main Data'!$A$1:$A$1001,0),MATCH('Index&amp;Match'!J557,'Main Data'!$A557:$O557,0))</f>
        <v>72</v>
      </c>
      <c r="K558" s="11">
        <f>INDEX('Main Data'!$A$1:$O$1001,MATCH('Index&amp;Match'!$A558,'Main Data'!$A$1:$A$1001,0),MATCH('Index&amp;Match'!K557,'Main Data'!$A557:$O557,0))</f>
        <v>7109.94</v>
      </c>
      <c r="L558" s="11">
        <f>INDEX('Main Data'!$A$1:$O$1001,MATCH('Index&amp;Match'!$A558,'Main Data'!$A$1:$A$1001,0),MATCH('Index&amp;Match'!L557,'Main Data'!$A557:$O557,0))</f>
        <v>192.78</v>
      </c>
      <c r="M558" s="11">
        <f>INDEX('Main Data'!$A$1:$O$1001,MATCH('Index&amp;Match'!$A558,'Main Data'!$A$1:$A$1001,0),MATCH('Index&amp;Match'!M557,'Main Data'!$A557:$O557,0))</f>
        <v>171.81</v>
      </c>
      <c r="N558" s="2" t="str">
        <f>INDEX('Main Data'!$A$1:$O$1001,MATCH('Index&amp;Match'!$A558,'Main Data'!$A$1:$A$1001,0),MATCH('Index&amp;Match'!N557,'Main Data'!$A557:$O557,0))</f>
        <v>No</v>
      </c>
      <c r="O558" s="2">
        <f>INDEX('Main Data'!$A$1:$O$1001,MATCH('Index&amp;Match'!$A558,'Main Data'!$A$1:$A$1001,0),MATCH('Index&amp;Match'!O557,'Main Data'!$A557:$O557,0))</f>
        <v>72</v>
      </c>
    </row>
    <row r="559" spans="1:15" x14ac:dyDescent="0.3">
      <c r="A559" s="2" t="s">
        <v>616</v>
      </c>
      <c r="B559" s="1">
        <f>INDEX('Main Data'!$A$1:$O$1001,MATCH('Index&amp;Match'!$A559,'Main Data'!$A$1:$A$1001,0),MATCH('Index&amp;Match'!B558,'Main Data'!$A558:$O558,0))</f>
        <v>46094</v>
      </c>
      <c r="C559" s="2" t="str">
        <f>INDEX('Main Data'!$A$1:$O$1001,MATCH('Index&amp;Match'!$A559,'Main Data'!$A$1:$A$1001,0),MATCH('Index&amp;Match'!C558,'Main Data'!$A558:$O558,0))</f>
        <v>Sam</v>
      </c>
      <c r="D559" s="2" t="str">
        <f>INDEX('Main Data'!$A$1:$O$1001,MATCH('Index&amp;Match'!$A559,'Main Data'!$A$1:$A$1001,0),MATCH('Index&amp;Match'!D558,'Main Data'!$A558:$O558,0))</f>
        <v>BR-014</v>
      </c>
      <c r="E559" s="2" t="str">
        <f>INDEX('Main Data'!$A$1:$O$1001,MATCH('Index&amp;Match'!$A559,'Main Data'!$A$1:$A$1001,0),MATCH('Index&amp;Match'!E558,'Main Data'!$A558:$O558,0))</f>
        <v>East</v>
      </c>
      <c r="F559" s="2" t="str">
        <f>INDEX('Main Data'!$A$1:$O$1001,MATCH('Index&amp;Match'!$A559,'Main Data'!$A$1:$A$1001,0),MATCH('Index&amp;Match'!F558,'Main Data'!$A558:$O558,0))</f>
        <v>Credit Card</v>
      </c>
      <c r="G559" s="2" t="str">
        <f>INDEX('Main Data'!$A$1:$O$1001,MATCH('Index&amp;Match'!$A559,'Main Data'!$A$1:$A$1001,0),MATCH('Index&amp;Match'!G558,'Main Data'!$A558:$O558,0))</f>
        <v>Email Campaign</v>
      </c>
      <c r="H559" s="2" t="str">
        <f>INDEX('Main Data'!$A$1:$O$1001,MATCH('Index&amp;Match'!$A559,'Main Data'!$A$1:$A$1001,0),MATCH('Index&amp;Match'!H558,'Main Data'!$A558:$O558,0))</f>
        <v>Corporate</v>
      </c>
      <c r="I559" s="2">
        <f>INDEX('Main Data'!$A$1:$O$1001,MATCH('Index&amp;Match'!$A559,'Main Data'!$A$1:$A$1001,0),MATCH('Index&amp;Match'!I558,'Main Data'!$A558:$O558,0))</f>
        <v>28</v>
      </c>
      <c r="J559" s="2">
        <f>INDEX('Main Data'!$A$1:$O$1001,MATCH('Index&amp;Match'!$A559,'Main Data'!$A$1:$A$1001,0),MATCH('Index&amp;Match'!J558,'Main Data'!$A558:$O558,0))</f>
        <v>28</v>
      </c>
      <c r="K559" s="11">
        <f>INDEX('Main Data'!$A$1:$O$1001,MATCH('Index&amp;Match'!$A559,'Main Data'!$A$1:$A$1001,0),MATCH('Index&amp;Match'!K558,'Main Data'!$A558:$O558,0))</f>
        <v>19641.47</v>
      </c>
      <c r="L559" s="11">
        <f>INDEX('Main Data'!$A$1:$O$1001,MATCH('Index&amp;Match'!$A559,'Main Data'!$A$1:$A$1001,0),MATCH('Index&amp;Match'!L558,'Main Data'!$A558:$O558,0))</f>
        <v>267.67</v>
      </c>
      <c r="M559" s="11">
        <f>INDEX('Main Data'!$A$1:$O$1001,MATCH('Index&amp;Match'!$A559,'Main Data'!$A$1:$A$1001,0),MATCH('Index&amp;Match'!M558,'Main Data'!$A558:$O558,0))</f>
        <v>100.12</v>
      </c>
      <c r="N559" s="2" t="str">
        <f>INDEX('Main Data'!$A$1:$O$1001,MATCH('Index&amp;Match'!$A559,'Main Data'!$A$1:$A$1001,0),MATCH('Index&amp;Match'!N558,'Main Data'!$A558:$O558,0))</f>
        <v>Yes</v>
      </c>
      <c r="O559" s="2">
        <f>INDEX('Main Data'!$A$1:$O$1001,MATCH('Index&amp;Match'!$A559,'Main Data'!$A$1:$A$1001,0),MATCH('Index&amp;Match'!O558,'Main Data'!$A558:$O558,0))</f>
        <v>28</v>
      </c>
    </row>
    <row r="560" spans="1:15" x14ac:dyDescent="0.3">
      <c r="A560" s="2" t="s">
        <v>617</v>
      </c>
      <c r="B560" s="1">
        <f>INDEX('Main Data'!$A$1:$O$1001,MATCH('Index&amp;Match'!$A560,'Main Data'!$A$1:$A$1001,0),MATCH('Index&amp;Match'!B559,'Main Data'!$A559:$O559,0))</f>
        <v>45979</v>
      </c>
      <c r="C560" s="2" t="str">
        <f>INDEX('Main Data'!$A$1:$O$1001,MATCH('Index&amp;Match'!$A560,'Main Data'!$A$1:$A$1001,0),MATCH('Index&amp;Match'!C559,'Main Data'!$A559:$O559,0))</f>
        <v>Drew</v>
      </c>
      <c r="D560" s="2" t="str">
        <f>INDEX('Main Data'!$A$1:$O$1001,MATCH('Index&amp;Match'!$A560,'Main Data'!$A$1:$A$1001,0),MATCH('Index&amp;Match'!D559,'Main Data'!$A559:$O559,0))</f>
        <v>BR-011</v>
      </c>
      <c r="E560" s="2" t="str">
        <f>INDEX('Main Data'!$A$1:$O$1001,MATCH('Index&amp;Match'!$A560,'Main Data'!$A$1:$A$1001,0),MATCH('Index&amp;Match'!E559,'Main Data'!$A559:$O559,0))</f>
        <v>Central</v>
      </c>
      <c r="F560" s="2" t="str">
        <f>INDEX('Main Data'!$A$1:$O$1001,MATCH('Index&amp;Match'!$A560,'Main Data'!$A$1:$A$1001,0),MATCH('Index&amp;Match'!F559,'Main Data'!$A559:$O559,0))</f>
        <v>Personal Loan</v>
      </c>
      <c r="G560" s="2" t="str">
        <f>INDEX('Main Data'!$A$1:$O$1001,MATCH('Index&amp;Match'!$A560,'Main Data'!$A$1:$A$1001,0),MATCH('Index&amp;Match'!G559,'Main Data'!$A559:$O559,0))</f>
        <v>Social Media</v>
      </c>
      <c r="H560" s="2" t="str">
        <f>INDEX('Main Data'!$A$1:$O$1001,MATCH('Index&amp;Match'!$A560,'Main Data'!$A$1:$A$1001,0),MATCH('Index&amp;Match'!H559,'Main Data'!$A559:$O559,0))</f>
        <v>High Net Worth</v>
      </c>
      <c r="I560" s="2">
        <f>INDEX('Main Data'!$A$1:$O$1001,MATCH('Index&amp;Match'!$A560,'Main Data'!$A$1:$A$1001,0),MATCH('Index&amp;Match'!I559,'Main Data'!$A559:$O559,0))</f>
        <v>62</v>
      </c>
      <c r="J560" s="2">
        <f>INDEX('Main Data'!$A$1:$O$1001,MATCH('Index&amp;Match'!$A560,'Main Data'!$A$1:$A$1001,0),MATCH('Index&amp;Match'!J559,'Main Data'!$A559:$O559,0))</f>
        <v>62</v>
      </c>
      <c r="K560" s="11">
        <f>INDEX('Main Data'!$A$1:$O$1001,MATCH('Index&amp;Match'!$A560,'Main Data'!$A$1:$A$1001,0),MATCH('Index&amp;Match'!K559,'Main Data'!$A559:$O559,0))</f>
        <v>41146.550000000003</v>
      </c>
      <c r="L560" s="11">
        <f>INDEX('Main Data'!$A$1:$O$1001,MATCH('Index&amp;Match'!$A560,'Main Data'!$A$1:$A$1001,0),MATCH('Index&amp;Match'!L559,'Main Data'!$A559:$O559,0))</f>
        <v>182.57</v>
      </c>
      <c r="M560" s="11">
        <f>INDEX('Main Data'!$A$1:$O$1001,MATCH('Index&amp;Match'!$A560,'Main Data'!$A$1:$A$1001,0),MATCH('Index&amp;Match'!M559,'Main Data'!$A559:$O559,0))</f>
        <v>256.68</v>
      </c>
      <c r="N560" s="2" t="str">
        <f>INDEX('Main Data'!$A$1:$O$1001,MATCH('Index&amp;Match'!$A560,'Main Data'!$A$1:$A$1001,0),MATCH('Index&amp;Match'!N559,'Main Data'!$A559:$O559,0))</f>
        <v>Yes</v>
      </c>
      <c r="O560" s="2">
        <f>INDEX('Main Data'!$A$1:$O$1001,MATCH('Index&amp;Match'!$A560,'Main Data'!$A$1:$A$1001,0),MATCH('Index&amp;Match'!O559,'Main Data'!$A559:$O559,0))</f>
        <v>62</v>
      </c>
    </row>
    <row r="561" spans="1:15" x14ac:dyDescent="0.3">
      <c r="A561" s="2" t="s">
        <v>618</v>
      </c>
      <c r="B561" s="1">
        <f>INDEX('Main Data'!$A$1:$O$1001,MATCH('Index&amp;Match'!$A561,'Main Data'!$A$1:$A$1001,0),MATCH('Index&amp;Match'!B560,'Main Data'!$A560:$O560,0))</f>
        <v>46194</v>
      </c>
      <c r="C561" s="2" t="str">
        <f>INDEX('Main Data'!$A$1:$O$1001,MATCH('Index&amp;Match'!$A561,'Main Data'!$A$1:$A$1001,0),MATCH('Index&amp;Match'!C560,'Main Data'!$A560:$O560,0))</f>
        <v>Sam</v>
      </c>
      <c r="D561" s="2" t="str">
        <f>INDEX('Main Data'!$A$1:$O$1001,MATCH('Index&amp;Match'!$A561,'Main Data'!$A$1:$A$1001,0),MATCH('Index&amp;Match'!D560,'Main Data'!$A560:$O560,0))</f>
        <v>BR-012</v>
      </c>
      <c r="E561" s="2" t="str">
        <f>INDEX('Main Data'!$A$1:$O$1001,MATCH('Index&amp;Match'!$A561,'Main Data'!$A$1:$A$1001,0),MATCH('Index&amp;Match'!E560,'Main Data'!$A560:$O560,0))</f>
        <v>Central</v>
      </c>
      <c r="F561" s="2" t="str">
        <f>INDEX('Main Data'!$A$1:$O$1001,MATCH('Index&amp;Match'!$A561,'Main Data'!$A$1:$A$1001,0),MATCH('Index&amp;Match'!F560,'Main Data'!$A560:$O560,0))</f>
        <v>Credit Card</v>
      </c>
      <c r="G561" s="2" t="str">
        <f>INDEX('Main Data'!$A$1:$O$1001,MATCH('Index&amp;Match'!$A561,'Main Data'!$A$1:$A$1001,0),MATCH('Index&amp;Match'!G560,'Main Data'!$A560:$O560,0))</f>
        <v>Website</v>
      </c>
      <c r="H561" s="2" t="str">
        <f>INDEX('Main Data'!$A$1:$O$1001,MATCH('Index&amp;Match'!$A561,'Main Data'!$A$1:$A$1001,0),MATCH('Index&amp;Match'!H560,'Main Data'!$A560:$O560,0))</f>
        <v>Corporate</v>
      </c>
      <c r="I561" s="2">
        <f>INDEX('Main Data'!$A$1:$O$1001,MATCH('Index&amp;Match'!$A561,'Main Data'!$A$1:$A$1001,0),MATCH('Index&amp;Match'!I560,'Main Data'!$A560:$O560,0))</f>
        <v>46</v>
      </c>
      <c r="J561" s="2">
        <f>INDEX('Main Data'!$A$1:$O$1001,MATCH('Index&amp;Match'!$A561,'Main Data'!$A$1:$A$1001,0),MATCH('Index&amp;Match'!J560,'Main Data'!$A560:$O560,0))</f>
        <v>46</v>
      </c>
      <c r="K561" s="11">
        <f>INDEX('Main Data'!$A$1:$O$1001,MATCH('Index&amp;Match'!$A561,'Main Data'!$A$1:$A$1001,0),MATCH('Index&amp;Match'!K560,'Main Data'!$A560:$O560,0))</f>
        <v>48489.8</v>
      </c>
      <c r="L561" s="11">
        <f>INDEX('Main Data'!$A$1:$O$1001,MATCH('Index&amp;Match'!$A561,'Main Data'!$A$1:$A$1001,0),MATCH('Index&amp;Match'!L560,'Main Data'!$A560:$O560,0))</f>
        <v>166.42</v>
      </c>
      <c r="M561" s="11">
        <f>INDEX('Main Data'!$A$1:$O$1001,MATCH('Index&amp;Match'!$A561,'Main Data'!$A$1:$A$1001,0),MATCH('Index&amp;Match'!M560,'Main Data'!$A560:$O560,0))</f>
        <v>106.14</v>
      </c>
      <c r="N561" s="2" t="str">
        <f>INDEX('Main Data'!$A$1:$O$1001,MATCH('Index&amp;Match'!$A561,'Main Data'!$A$1:$A$1001,0),MATCH('Index&amp;Match'!N560,'Main Data'!$A560:$O560,0))</f>
        <v>Yes</v>
      </c>
      <c r="O561" s="2">
        <f>INDEX('Main Data'!$A$1:$O$1001,MATCH('Index&amp;Match'!$A561,'Main Data'!$A$1:$A$1001,0),MATCH('Index&amp;Match'!O560,'Main Data'!$A560:$O560,0))</f>
        <v>46</v>
      </c>
    </row>
    <row r="562" spans="1:15" x14ac:dyDescent="0.3">
      <c r="A562" s="2" t="s">
        <v>619</v>
      </c>
      <c r="B562" s="1">
        <f>INDEX('Main Data'!$A$1:$O$1001,MATCH('Index&amp;Match'!$A562,'Main Data'!$A$1:$A$1001,0),MATCH('Index&amp;Match'!B561,'Main Data'!$A561:$O561,0))</f>
        <v>45986</v>
      </c>
      <c r="C562" s="2" t="str">
        <f>INDEX('Main Data'!$A$1:$O$1001,MATCH('Index&amp;Match'!$A562,'Main Data'!$A$1:$A$1001,0),MATCH('Index&amp;Match'!C561,'Main Data'!$A561:$O561,0))</f>
        <v>Morgan</v>
      </c>
      <c r="D562" s="2" t="str">
        <f>INDEX('Main Data'!$A$1:$O$1001,MATCH('Index&amp;Match'!$A562,'Main Data'!$A$1:$A$1001,0),MATCH('Index&amp;Match'!D561,'Main Data'!$A561:$O561,0))</f>
        <v>BR-010</v>
      </c>
      <c r="E562" s="2" t="str">
        <f>INDEX('Main Data'!$A$1:$O$1001,MATCH('Index&amp;Match'!$A562,'Main Data'!$A$1:$A$1001,0),MATCH('Index&amp;Match'!E561,'Main Data'!$A561:$O561,0))</f>
        <v>North</v>
      </c>
      <c r="F562" s="2" t="str">
        <f>INDEX('Main Data'!$A$1:$O$1001,MATCH('Index&amp;Match'!$A562,'Main Data'!$A$1:$A$1001,0),MATCH('Index&amp;Match'!F561,'Main Data'!$A561:$O561,0))</f>
        <v>Wealth Management</v>
      </c>
      <c r="G562" s="2" t="str">
        <f>INDEX('Main Data'!$A$1:$O$1001,MATCH('Index&amp;Match'!$A562,'Main Data'!$A$1:$A$1001,0),MATCH('Index&amp;Match'!G561,'Main Data'!$A561:$O561,0))</f>
        <v>Website</v>
      </c>
      <c r="H562" s="2" t="str">
        <f>INDEX('Main Data'!$A$1:$O$1001,MATCH('Index&amp;Match'!$A562,'Main Data'!$A$1:$A$1001,0),MATCH('Index&amp;Match'!H561,'Main Data'!$A561:$O561,0))</f>
        <v>Retail</v>
      </c>
      <c r="I562" s="2">
        <f>INDEX('Main Data'!$A$1:$O$1001,MATCH('Index&amp;Match'!$A562,'Main Data'!$A$1:$A$1001,0),MATCH('Index&amp;Match'!I561,'Main Data'!$A561:$O561,0))</f>
        <v>68</v>
      </c>
      <c r="J562" s="2">
        <f>INDEX('Main Data'!$A$1:$O$1001,MATCH('Index&amp;Match'!$A562,'Main Data'!$A$1:$A$1001,0),MATCH('Index&amp;Match'!J561,'Main Data'!$A561:$O561,0))</f>
        <v>68</v>
      </c>
      <c r="K562" s="11">
        <f>INDEX('Main Data'!$A$1:$O$1001,MATCH('Index&amp;Match'!$A562,'Main Data'!$A$1:$A$1001,0),MATCH('Index&amp;Match'!K561,'Main Data'!$A561:$O561,0))</f>
        <v>22969.34</v>
      </c>
      <c r="L562" s="11">
        <f>INDEX('Main Data'!$A$1:$O$1001,MATCH('Index&amp;Match'!$A562,'Main Data'!$A$1:$A$1001,0),MATCH('Index&amp;Match'!L561,'Main Data'!$A561:$O561,0))</f>
        <v>61.65</v>
      </c>
      <c r="M562" s="11">
        <f>INDEX('Main Data'!$A$1:$O$1001,MATCH('Index&amp;Match'!$A562,'Main Data'!$A$1:$A$1001,0),MATCH('Index&amp;Match'!M561,'Main Data'!$A561:$O561,0))</f>
        <v>51.05</v>
      </c>
      <c r="N562" s="2" t="str">
        <f>INDEX('Main Data'!$A$1:$O$1001,MATCH('Index&amp;Match'!$A562,'Main Data'!$A$1:$A$1001,0),MATCH('Index&amp;Match'!N561,'Main Data'!$A561:$O561,0))</f>
        <v>No</v>
      </c>
      <c r="O562" s="2">
        <f>INDEX('Main Data'!$A$1:$O$1001,MATCH('Index&amp;Match'!$A562,'Main Data'!$A$1:$A$1001,0),MATCH('Index&amp;Match'!O561,'Main Data'!$A561:$O561,0))</f>
        <v>68</v>
      </c>
    </row>
    <row r="563" spans="1:15" x14ac:dyDescent="0.3">
      <c r="A563" s="2" t="s">
        <v>620</v>
      </c>
      <c r="B563" s="1">
        <f>INDEX('Main Data'!$A$1:$O$1001,MATCH('Index&amp;Match'!$A563,'Main Data'!$A$1:$A$1001,0),MATCH('Index&amp;Match'!B562,'Main Data'!$A562:$O562,0))</f>
        <v>45972</v>
      </c>
      <c r="C563" s="2" t="str">
        <f>INDEX('Main Data'!$A$1:$O$1001,MATCH('Index&amp;Match'!$A563,'Main Data'!$A$1:$A$1001,0),MATCH('Index&amp;Match'!C562,'Main Data'!$A562:$O562,0))</f>
        <v>Taylor</v>
      </c>
      <c r="D563" s="2" t="str">
        <f>INDEX('Main Data'!$A$1:$O$1001,MATCH('Index&amp;Match'!$A563,'Main Data'!$A$1:$A$1001,0),MATCH('Index&amp;Match'!D562,'Main Data'!$A562:$O562,0))</f>
        <v>BR-013</v>
      </c>
      <c r="E563" s="2" t="str">
        <f>INDEX('Main Data'!$A$1:$O$1001,MATCH('Index&amp;Match'!$A563,'Main Data'!$A$1:$A$1001,0),MATCH('Index&amp;Match'!E562,'Main Data'!$A562:$O562,0))</f>
        <v>South</v>
      </c>
      <c r="F563" s="2" t="str">
        <f>INDEX('Main Data'!$A$1:$O$1001,MATCH('Index&amp;Match'!$A563,'Main Data'!$A$1:$A$1001,0),MATCH('Index&amp;Match'!F562,'Main Data'!$A562:$O562,0))</f>
        <v>Auto Loan</v>
      </c>
      <c r="G563" s="2" t="str">
        <f>INDEX('Main Data'!$A$1:$O$1001,MATCH('Index&amp;Match'!$A563,'Main Data'!$A$1:$A$1001,0),MATCH('Index&amp;Match'!G562,'Main Data'!$A562:$O562,0))</f>
        <v>Walk-in</v>
      </c>
      <c r="H563" s="2" t="str">
        <f>INDEX('Main Data'!$A$1:$O$1001,MATCH('Index&amp;Match'!$A563,'Main Data'!$A$1:$A$1001,0),MATCH('Index&amp;Match'!H562,'Main Data'!$A562:$O562,0))</f>
        <v>High Net Worth</v>
      </c>
      <c r="I563" s="2">
        <f>INDEX('Main Data'!$A$1:$O$1001,MATCH('Index&amp;Match'!$A563,'Main Data'!$A$1:$A$1001,0),MATCH('Index&amp;Match'!I562,'Main Data'!$A562:$O562,0))</f>
        <v>71</v>
      </c>
      <c r="J563" s="2">
        <f>INDEX('Main Data'!$A$1:$O$1001,MATCH('Index&amp;Match'!$A563,'Main Data'!$A$1:$A$1001,0),MATCH('Index&amp;Match'!J562,'Main Data'!$A562:$O562,0))</f>
        <v>71</v>
      </c>
      <c r="K563" s="11">
        <f>INDEX('Main Data'!$A$1:$O$1001,MATCH('Index&amp;Match'!$A563,'Main Data'!$A$1:$A$1001,0),MATCH('Index&amp;Match'!K562,'Main Data'!$A562:$O562,0))</f>
        <v>25596.48</v>
      </c>
      <c r="L563" s="11">
        <f>INDEX('Main Data'!$A$1:$O$1001,MATCH('Index&amp;Match'!$A563,'Main Data'!$A$1:$A$1001,0),MATCH('Index&amp;Match'!L562,'Main Data'!$A562:$O562,0))</f>
        <v>178.35</v>
      </c>
      <c r="M563" s="11">
        <f>INDEX('Main Data'!$A$1:$O$1001,MATCH('Index&amp;Match'!$A563,'Main Data'!$A$1:$A$1001,0),MATCH('Index&amp;Match'!M562,'Main Data'!$A562:$O562,0))</f>
        <v>202.7</v>
      </c>
      <c r="N563" s="2" t="str">
        <f>INDEX('Main Data'!$A$1:$O$1001,MATCH('Index&amp;Match'!$A563,'Main Data'!$A$1:$A$1001,0),MATCH('Index&amp;Match'!N562,'Main Data'!$A562:$O562,0))</f>
        <v>Yes</v>
      </c>
      <c r="O563" s="2">
        <f>INDEX('Main Data'!$A$1:$O$1001,MATCH('Index&amp;Match'!$A563,'Main Data'!$A$1:$A$1001,0),MATCH('Index&amp;Match'!O562,'Main Data'!$A562:$O562,0))</f>
        <v>71</v>
      </c>
    </row>
    <row r="564" spans="1:15" x14ac:dyDescent="0.3">
      <c r="A564" s="2" t="s">
        <v>621</v>
      </c>
      <c r="B564" s="1">
        <f>INDEX('Main Data'!$A$1:$O$1001,MATCH('Index&amp;Match'!$A564,'Main Data'!$A$1:$A$1001,0),MATCH('Index&amp;Match'!B563,'Main Data'!$A563:$O563,0))</f>
        <v>45978</v>
      </c>
      <c r="C564" s="2" t="str">
        <f>INDEX('Main Data'!$A$1:$O$1001,MATCH('Index&amp;Match'!$A564,'Main Data'!$A$1:$A$1001,0),MATCH('Index&amp;Match'!C563,'Main Data'!$A563:$O563,0))</f>
        <v>Jamie</v>
      </c>
      <c r="D564" s="2" t="str">
        <f>INDEX('Main Data'!$A$1:$O$1001,MATCH('Index&amp;Match'!$A564,'Main Data'!$A$1:$A$1001,0),MATCH('Index&amp;Match'!D563,'Main Data'!$A563:$O563,0))</f>
        <v>BR-008</v>
      </c>
      <c r="E564" s="2" t="str">
        <f>INDEX('Main Data'!$A$1:$O$1001,MATCH('Index&amp;Match'!$A564,'Main Data'!$A$1:$A$1001,0),MATCH('Index&amp;Match'!E563,'Main Data'!$A563:$O563,0))</f>
        <v>West</v>
      </c>
      <c r="F564" s="2" t="str">
        <f>INDEX('Main Data'!$A$1:$O$1001,MATCH('Index&amp;Match'!$A564,'Main Data'!$A$1:$A$1001,0),MATCH('Index&amp;Match'!F563,'Main Data'!$A563:$O563,0))</f>
        <v>Auto Loan</v>
      </c>
      <c r="G564" s="2" t="str">
        <f>INDEX('Main Data'!$A$1:$O$1001,MATCH('Index&amp;Match'!$A564,'Main Data'!$A$1:$A$1001,0),MATCH('Index&amp;Match'!G563,'Main Data'!$A563:$O563,0))</f>
        <v>Walk-in</v>
      </c>
      <c r="H564" s="2" t="str">
        <f>INDEX('Main Data'!$A$1:$O$1001,MATCH('Index&amp;Match'!$A564,'Main Data'!$A$1:$A$1001,0),MATCH('Index&amp;Match'!H563,'Main Data'!$A563:$O563,0))</f>
        <v>SME</v>
      </c>
      <c r="I564" s="2">
        <f>INDEX('Main Data'!$A$1:$O$1001,MATCH('Index&amp;Match'!$A564,'Main Data'!$A$1:$A$1001,0),MATCH('Index&amp;Match'!I563,'Main Data'!$A563:$O563,0))</f>
        <v>46</v>
      </c>
      <c r="J564" s="2">
        <f>INDEX('Main Data'!$A$1:$O$1001,MATCH('Index&amp;Match'!$A564,'Main Data'!$A$1:$A$1001,0),MATCH('Index&amp;Match'!J563,'Main Data'!$A563:$O563,0))</f>
        <v>46</v>
      </c>
      <c r="K564" s="11">
        <f>INDEX('Main Data'!$A$1:$O$1001,MATCH('Index&amp;Match'!$A564,'Main Data'!$A$1:$A$1001,0),MATCH('Index&amp;Match'!K563,'Main Data'!$A563:$O563,0))</f>
        <v>28822.51</v>
      </c>
      <c r="L564" s="11">
        <f>INDEX('Main Data'!$A$1:$O$1001,MATCH('Index&amp;Match'!$A564,'Main Data'!$A$1:$A$1001,0),MATCH('Index&amp;Match'!L563,'Main Data'!$A563:$O563,0))</f>
        <v>299.29000000000002</v>
      </c>
      <c r="M564" s="11">
        <f>INDEX('Main Data'!$A$1:$O$1001,MATCH('Index&amp;Match'!$A564,'Main Data'!$A$1:$A$1001,0),MATCH('Index&amp;Match'!M563,'Main Data'!$A563:$O563,0))</f>
        <v>108.52</v>
      </c>
      <c r="N564" s="2" t="str">
        <f>INDEX('Main Data'!$A$1:$O$1001,MATCH('Index&amp;Match'!$A564,'Main Data'!$A$1:$A$1001,0),MATCH('Index&amp;Match'!N563,'Main Data'!$A563:$O563,0))</f>
        <v>Yes</v>
      </c>
      <c r="O564" s="2">
        <f>INDEX('Main Data'!$A$1:$O$1001,MATCH('Index&amp;Match'!$A564,'Main Data'!$A$1:$A$1001,0),MATCH('Index&amp;Match'!O563,'Main Data'!$A563:$O563,0))</f>
        <v>46</v>
      </c>
    </row>
    <row r="565" spans="1:15" x14ac:dyDescent="0.3">
      <c r="A565" s="2" t="s">
        <v>622</v>
      </c>
      <c r="B565" s="1">
        <f>INDEX('Main Data'!$A$1:$O$1001,MATCH('Index&amp;Match'!$A565,'Main Data'!$A$1:$A$1001,0),MATCH('Index&amp;Match'!B564,'Main Data'!$A564:$O564,0))</f>
        <v>45919</v>
      </c>
      <c r="C565" s="2" t="str">
        <f>INDEX('Main Data'!$A$1:$O$1001,MATCH('Index&amp;Match'!$A565,'Main Data'!$A$1:$A$1001,0),MATCH('Index&amp;Match'!C564,'Main Data'!$A564:$O564,0))</f>
        <v>Jamie</v>
      </c>
      <c r="D565" s="2" t="str">
        <f>INDEX('Main Data'!$A$1:$O$1001,MATCH('Index&amp;Match'!$A565,'Main Data'!$A$1:$A$1001,0),MATCH('Index&amp;Match'!D564,'Main Data'!$A564:$O564,0))</f>
        <v>BR-014</v>
      </c>
      <c r="E565" s="2" t="str">
        <f>INDEX('Main Data'!$A$1:$O$1001,MATCH('Index&amp;Match'!$A565,'Main Data'!$A$1:$A$1001,0),MATCH('Index&amp;Match'!E564,'Main Data'!$A564:$O564,0))</f>
        <v>South</v>
      </c>
      <c r="F565" s="2" t="str">
        <f>INDEX('Main Data'!$A$1:$O$1001,MATCH('Index&amp;Match'!$A565,'Main Data'!$A$1:$A$1001,0),MATCH('Index&amp;Match'!F564,'Main Data'!$A564:$O564,0))</f>
        <v>Credit Card</v>
      </c>
      <c r="G565" s="2" t="str">
        <f>INDEX('Main Data'!$A$1:$O$1001,MATCH('Index&amp;Match'!$A565,'Main Data'!$A$1:$A$1001,0),MATCH('Index&amp;Match'!G564,'Main Data'!$A564:$O564,0))</f>
        <v>Website</v>
      </c>
      <c r="H565" s="2" t="str">
        <f>INDEX('Main Data'!$A$1:$O$1001,MATCH('Index&amp;Match'!$A565,'Main Data'!$A$1:$A$1001,0),MATCH('Index&amp;Match'!H564,'Main Data'!$A564:$O564,0))</f>
        <v>High Net Worth</v>
      </c>
      <c r="I565" s="2">
        <f>INDEX('Main Data'!$A$1:$O$1001,MATCH('Index&amp;Match'!$A565,'Main Data'!$A$1:$A$1001,0),MATCH('Index&amp;Match'!I564,'Main Data'!$A564:$O564,0))</f>
        <v>43</v>
      </c>
      <c r="J565" s="2">
        <f>INDEX('Main Data'!$A$1:$O$1001,MATCH('Index&amp;Match'!$A565,'Main Data'!$A$1:$A$1001,0),MATCH('Index&amp;Match'!J564,'Main Data'!$A564:$O564,0))</f>
        <v>43</v>
      </c>
      <c r="K565" s="11">
        <f>INDEX('Main Data'!$A$1:$O$1001,MATCH('Index&amp;Match'!$A565,'Main Data'!$A$1:$A$1001,0),MATCH('Index&amp;Match'!K564,'Main Data'!$A564:$O564,0))</f>
        <v>46651.23</v>
      </c>
      <c r="L565" s="11">
        <f>INDEX('Main Data'!$A$1:$O$1001,MATCH('Index&amp;Match'!$A565,'Main Data'!$A$1:$A$1001,0),MATCH('Index&amp;Match'!L564,'Main Data'!$A564:$O564,0))</f>
        <v>50.72</v>
      </c>
      <c r="M565" s="11">
        <f>INDEX('Main Data'!$A$1:$O$1001,MATCH('Index&amp;Match'!$A565,'Main Data'!$A$1:$A$1001,0),MATCH('Index&amp;Match'!M564,'Main Data'!$A564:$O564,0))</f>
        <v>69.91</v>
      </c>
      <c r="N565" s="2" t="str">
        <f>INDEX('Main Data'!$A$1:$O$1001,MATCH('Index&amp;Match'!$A565,'Main Data'!$A$1:$A$1001,0),MATCH('Index&amp;Match'!N564,'Main Data'!$A564:$O564,0))</f>
        <v>Yes</v>
      </c>
      <c r="O565" s="2">
        <f>INDEX('Main Data'!$A$1:$O$1001,MATCH('Index&amp;Match'!$A565,'Main Data'!$A$1:$A$1001,0),MATCH('Index&amp;Match'!O564,'Main Data'!$A564:$O564,0))</f>
        <v>43</v>
      </c>
    </row>
    <row r="566" spans="1:15" x14ac:dyDescent="0.3">
      <c r="A566" s="2" t="s">
        <v>623</v>
      </c>
      <c r="B566" s="1">
        <f>INDEX('Main Data'!$A$1:$O$1001,MATCH('Index&amp;Match'!$A566,'Main Data'!$A$1:$A$1001,0),MATCH('Index&amp;Match'!B565,'Main Data'!$A565:$O565,0))</f>
        <v>46226</v>
      </c>
      <c r="C566" s="2" t="str">
        <f>INDEX('Main Data'!$A$1:$O$1001,MATCH('Index&amp;Match'!$A566,'Main Data'!$A$1:$A$1001,0),MATCH('Index&amp;Match'!C565,'Main Data'!$A565:$O565,0))</f>
        <v>Morgan</v>
      </c>
      <c r="D566" s="2" t="str">
        <f>INDEX('Main Data'!$A$1:$O$1001,MATCH('Index&amp;Match'!$A566,'Main Data'!$A$1:$A$1001,0),MATCH('Index&amp;Match'!D565,'Main Data'!$A565:$O565,0))</f>
        <v>BR-002</v>
      </c>
      <c r="E566" s="2" t="str">
        <f>INDEX('Main Data'!$A$1:$O$1001,MATCH('Index&amp;Match'!$A566,'Main Data'!$A$1:$A$1001,0),MATCH('Index&amp;Match'!E565,'Main Data'!$A565:$O565,0))</f>
        <v>South</v>
      </c>
      <c r="F566" s="2" t="str">
        <f>INDEX('Main Data'!$A$1:$O$1001,MATCH('Index&amp;Match'!$A566,'Main Data'!$A$1:$A$1001,0),MATCH('Index&amp;Match'!F565,'Main Data'!$A565:$O565,0))</f>
        <v>Mortgage</v>
      </c>
      <c r="G566" s="2" t="str">
        <f>INDEX('Main Data'!$A$1:$O$1001,MATCH('Index&amp;Match'!$A566,'Main Data'!$A$1:$A$1001,0),MATCH('Index&amp;Match'!G565,'Main Data'!$A565:$O565,0))</f>
        <v>Social Media</v>
      </c>
      <c r="H566" s="2" t="str">
        <f>INDEX('Main Data'!$A$1:$O$1001,MATCH('Index&amp;Match'!$A566,'Main Data'!$A$1:$A$1001,0),MATCH('Index&amp;Match'!H565,'Main Data'!$A565:$O565,0))</f>
        <v>Corporate</v>
      </c>
      <c r="I566" s="2">
        <f>INDEX('Main Data'!$A$1:$O$1001,MATCH('Index&amp;Match'!$A566,'Main Data'!$A$1:$A$1001,0),MATCH('Index&amp;Match'!I565,'Main Data'!$A565:$O565,0))</f>
        <v>63</v>
      </c>
      <c r="J566" s="2">
        <f>INDEX('Main Data'!$A$1:$O$1001,MATCH('Index&amp;Match'!$A566,'Main Data'!$A$1:$A$1001,0),MATCH('Index&amp;Match'!J565,'Main Data'!$A565:$O565,0))</f>
        <v>63</v>
      </c>
      <c r="K566" s="11">
        <f>INDEX('Main Data'!$A$1:$O$1001,MATCH('Index&amp;Match'!$A566,'Main Data'!$A$1:$A$1001,0),MATCH('Index&amp;Match'!K565,'Main Data'!$A565:$O565,0))</f>
        <v>42981.24</v>
      </c>
      <c r="L566" s="11">
        <f>INDEX('Main Data'!$A$1:$O$1001,MATCH('Index&amp;Match'!$A566,'Main Data'!$A$1:$A$1001,0),MATCH('Index&amp;Match'!L565,'Main Data'!$A565:$O565,0))</f>
        <v>177.45</v>
      </c>
      <c r="M566" s="11">
        <f>INDEX('Main Data'!$A$1:$O$1001,MATCH('Index&amp;Match'!$A566,'Main Data'!$A$1:$A$1001,0),MATCH('Index&amp;Match'!M565,'Main Data'!$A565:$O565,0))</f>
        <v>114.73</v>
      </c>
      <c r="N566" s="2" t="str">
        <f>INDEX('Main Data'!$A$1:$O$1001,MATCH('Index&amp;Match'!$A566,'Main Data'!$A$1:$A$1001,0),MATCH('Index&amp;Match'!N565,'Main Data'!$A565:$O565,0))</f>
        <v>Yes</v>
      </c>
      <c r="O566" s="2">
        <f>INDEX('Main Data'!$A$1:$O$1001,MATCH('Index&amp;Match'!$A566,'Main Data'!$A$1:$A$1001,0),MATCH('Index&amp;Match'!O565,'Main Data'!$A565:$O565,0))</f>
        <v>63</v>
      </c>
    </row>
    <row r="567" spans="1:15" x14ac:dyDescent="0.3">
      <c r="A567" s="2" t="s">
        <v>624</v>
      </c>
      <c r="B567" s="1">
        <f>INDEX('Main Data'!$A$1:$O$1001,MATCH('Index&amp;Match'!$A567,'Main Data'!$A$1:$A$1001,0),MATCH('Index&amp;Match'!B566,'Main Data'!$A566:$O566,0))</f>
        <v>46147</v>
      </c>
      <c r="C567" s="2" t="str">
        <f>INDEX('Main Data'!$A$1:$O$1001,MATCH('Index&amp;Match'!$A567,'Main Data'!$A$1:$A$1001,0),MATCH('Index&amp;Match'!C566,'Main Data'!$A566:$O566,0))</f>
        <v>Jordan</v>
      </c>
      <c r="D567" s="2" t="str">
        <f>INDEX('Main Data'!$A$1:$O$1001,MATCH('Index&amp;Match'!$A567,'Main Data'!$A$1:$A$1001,0),MATCH('Index&amp;Match'!D566,'Main Data'!$A566:$O566,0))</f>
        <v>BR-009</v>
      </c>
      <c r="E567" s="2" t="str">
        <f>INDEX('Main Data'!$A$1:$O$1001,MATCH('Index&amp;Match'!$A567,'Main Data'!$A$1:$A$1001,0),MATCH('Index&amp;Match'!E566,'Main Data'!$A566:$O566,0))</f>
        <v>North</v>
      </c>
      <c r="F567" s="2" t="str">
        <f>INDEX('Main Data'!$A$1:$O$1001,MATCH('Index&amp;Match'!$A567,'Main Data'!$A$1:$A$1001,0),MATCH('Index&amp;Match'!F566,'Main Data'!$A566:$O566,0))</f>
        <v>Personal Loan</v>
      </c>
      <c r="G567" s="2" t="str">
        <f>INDEX('Main Data'!$A$1:$O$1001,MATCH('Index&amp;Match'!$A567,'Main Data'!$A$1:$A$1001,0),MATCH('Index&amp;Match'!G566,'Main Data'!$A566:$O566,0))</f>
        <v>Website</v>
      </c>
      <c r="H567" s="2" t="str">
        <f>INDEX('Main Data'!$A$1:$O$1001,MATCH('Index&amp;Match'!$A567,'Main Data'!$A$1:$A$1001,0),MATCH('Index&amp;Match'!H566,'Main Data'!$A566:$O566,0))</f>
        <v>Retail</v>
      </c>
      <c r="I567" s="2">
        <f>INDEX('Main Data'!$A$1:$O$1001,MATCH('Index&amp;Match'!$A567,'Main Data'!$A$1:$A$1001,0),MATCH('Index&amp;Match'!I566,'Main Data'!$A566:$O566,0))</f>
        <v>33</v>
      </c>
      <c r="J567" s="2">
        <f>INDEX('Main Data'!$A$1:$O$1001,MATCH('Index&amp;Match'!$A567,'Main Data'!$A$1:$A$1001,0),MATCH('Index&amp;Match'!J566,'Main Data'!$A566:$O566,0))</f>
        <v>33</v>
      </c>
      <c r="K567" s="11">
        <f>INDEX('Main Data'!$A$1:$O$1001,MATCH('Index&amp;Match'!$A567,'Main Data'!$A$1:$A$1001,0),MATCH('Index&amp;Match'!K566,'Main Data'!$A566:$O566,0))</f>
        <v>8944.76</v>
      </c>
      <c r="L567" s="11">
        <f>INDEX('Main Data'!$A$1:$O$1001,MATCH('Index&amp;Match'!$A567,'Main Data'!$A$1:$A$1001,0),MATCH('Index&amp;Match'!L566,'Main Data'!$A566:$O566,0))</f>
        <v>446.63</v>
      </c>
      <c r="M567" s="11">
        <f>INDEX('Main Data'!$A$1:$O$1001,MATCH('Index&amp;Match'!$A567,'Main Data'!$A$1:$A$1001,0),MATCH('Index&amp;Match'!M566,'Main Data'!$A566:$O566,0))</f>
        <v>164.31</v>
      </c>
      <c r="N567" s="2" t="str">
        <f>INDEX('Main Data'!$A$1:$O$1001,MATCH('Index&amp;Match'!$A567,'Main Data'!$A$1:$A$1001,0),MATCH('Index&amp;Match'!N566,'Main Data'!$A566:$O566,0))</f>
        <v>No</v>
      </c>
      <c r="O567" s="2">
        <f>INDEX('Main Data'!$A$1:$O$1001,MATCH('Index&amp;Match'!$A567,'Main Data'!$A$1:$A$1001,0),MATCH('Index&amp;Match'!O566,'Main Data'!$A566:$O566,0))</f>
        <v>33</v>
      </c>
    </row>
    <row r="568" spans="1:15" x14ac:dyDescent="0.3">
      <c r="A568" s="2" t="s">
        <v>625</v>
      </c>
      <c r="B568" s="1">
        <f>INDEX('Main Data'!$A$1:$O$1001,MATCH('Index&amp;Match'!$A568,'Main Data'!$A$1:$A$1001,0),MATCH('Index&amp;Match'!B567,'Main Data'!$A567:$O567,0))</f>
        <v>45911</v>
      </c>
      <c r="C568" s="2" t="str">
        <f>INDEX('Main Data'!$A$1:$O$1001,MATCH('Index&amp;Match'!$A568,'Main Data'!$A$1:$A$1001,0),MATCH('Index&amp;Match'!C567,'Main Data'!$A567:$O567,0))</f>
        <v>Jordan</v>
      </c>
      <c r="D568" s="2" t="str">
        <f>INDEX('Main Data'!$A$1:$O$1001,MATCH('Index&amp;Match'!$A568,'Main Data'!$A$1:$A$1001,0),MATCH('Index&amp;Match'!D567,'Main Data'!$A567:$O567,0))</f>
        <v>BR-001</v>
      </c>
      <c r="E568" s="2" t="str">
        <f>INDEX('Main Data'!$A$1:$O$1001,MATCH('Index&amp;Match'!$A568,'Main Data'!$A$1:$A$1001,0),MATCH('Index&amp;Match'!E567,'Main Data'!$A567:$O567,0))</f>
        <v>North</v>
      </c>
      <c r="F568" s="2" t="str">
        <f>INDEX('Main Data'!$A$1:$O$1001,MATCH('Index&amp;Match'!$A568,'Main Data'!$A$1:$A$1001,0),MATCH('Index&amp;Match'!F567,'Main Data'!$A567:$O567,0))</f>
        <v>Auto Loan</v>
      </c>
      <c r="G568" s="2" t="str">
        <f>INDEX('Main Data'!$A$1:$O$1001,MATCH('Index&amp;Match'!$A568,'Main Data'!$A$1:$A$1001,0),MATCH('Index&amp;Match'!G567,'Main Data'!$A567:$O567,0))</f>
        <v>Walk-in</v>
      </c>
      <c r="H568" s="2" t="str">
        <f>INDEX('Main Data'!$A$1:$O$1001,MATCH('Index&amp;Match'!$A568,'Main Data'!$A$1:$A$1001,0),MATCH('Index&amp;Match'!H567,'Main Data'!$A567:$O567,0))</f>
        <v>Corporate</v>
      </c>
      <c r="I568" s="2">
        <f>INDEX('Main Data'!$A$1:$O$1001,MATCH('Index&amp;Match'!$A568,'Main Data'!$A$1:$A$1001,0),MATCH('Index&amp;Match'!I567,'Main Data'!$A567:$O567,0))</f>
        <v>48</v>
      </c>
      <c r="J568" s="2">
        <f>INDEX('Main Data'!$A$1:$O$1001,MATCH('Index&amp;Match'!$A568,'Main Data'!$A$1:$A$1001,0),MATCH('Index&amp;Match'!J567,'Main Data'!$A567:$O567,0))</f>
        <v>48</v>
      </c>
      <c r="K568" s="11">
        <f>INDEX('Main Data'!$A$1:$O$1001,MATCH('Index&amp;Match'!$A568,'Main Data'!$A$1:$A$1001,0),MATCH('Index&amp;Match'!K567,'Main Data'!$A567:$O567,0))</f>
        <v>22119.51</v>
      </c>
      <c r="L568" s="11">
        <f>INDEX('Main Data'!$A$1:$O$1001,MATCH('Index&amp;Match'!$A568,'Main Data'!$A$1:$A$1001,0),MATCH('Index&amp;Match'!L567,'Main Data'!$A567:$O567,0))</f>
        <v>317.14</v>
      </c>
      <c r="M568" s="11">
        <f>INDEX('Main Data'!$A$1:$O$1001,MATCH('Index&amp;Match'!$A568,'Main Data'!$A$1:$A$1001,0),MATCH('Index&amp;Match'!M567,'Main Data'!$A567:$O567,0))</f>
        <v>5.71</v>
      </c>
      <c r="N568" s="2" t="str">
        <f>INDEX('Main Data'!$A$1:$O$1001,MATCH('Index&amp;Match'!$A568,'Main Data'!$A$1:$A$1001,0),MATCH('Index&amp;Match'!N567,'Main Data'!$A567:$O567,0))</f>
        <v>Yes</v>
      </c>
      <c r="O568" s="2">
        <f>INDEX('Main Data'!$A$1:$O$1001,MATCH('Index&amp;Match'!$A568,'Main Data'!$A$1:$A$1001,0),MATCH('Index&amp;Match'!O567,'Main Data'!$A567:$O567,0))</f>
        <v>48</v>
      </c>
    </row>
    <row r="569" spans="1:15" x14ac:dyDescent="0.3">
      <c r="A569" s="2" t="s">
        <v>626</v>
      </c>
      <c r="B569" s="1">
        <f>INDEX('Main Data'!$A$1:$O$1001,MATCH('Index&amp;Match'!$A569,'Main Data'!$A$1:$A$1001,0),MATCH('Index&amp;Match'!B568,'Main Data'!$A568:$O568,0))</f>
        <v>46214</v>
      </c>
      <c r="C569" s="2" t="str">
        <f>INDEX('Main Data'!$A$1:$O$1001,MATCH('Index&amp;Match'!$A569,'Main Data'!$A$1:$A$1001,0),MATCH('Index&amp;Match'!C568,'Main Data'!$A568:$O568,0))</f>
        <v>Drew</v>
      </c>
      <c r="D569" s="2" t="str">
        <f>INDEX('Main Data'!$A$1:$O$1001,MATCH('Index&amp;Match'!$A569,'Main Data'!$A$1:$A$1001,0),MATCH('Index&amp;Match'!D568,'Main Data'!$A568:$O568,0))</f>
        <v>BR-015</v>
      </c>
      <c r="E569" s="2" t="str">
        <f>INDEX('Main Data'!$A$1:$O$1001,MATCH('Index&amp;Match'!$A569,'Main Data'!$A$1:$A$1001,0),MATCH('Index&amp;Match'!E568,'Main Data'!$A568:$O568,0))</f>
        <v>North</v>
      </c>
      <c r="F569" s="2" t="str">
        <f>INDEX('Main Data'!$A$1:$O$1001,MATCH('Index&amp;Match'!$A569,'Main Data'!$A$1:$A$1001,0),MATCH('Index&amp;Match'!F568,'Main Data'!$A568:$O568,0))</f>
        <v>Wealth Management</v>
      </c>
      <c r="G569" s="2" t="str">
        <f>INDEX('Main Data'!$A$1:$O$1001,MATCH('Index&amp;Match'!$A569,'Main Data'!$A$1:$A$1001,0),MATCH('Index&amp;Match'!G568,'Main Data'!$A568:$O568,0))</f>
        <v>Website</v>
      </c>
      <c r="H569" s="2" t="str">
        <f>INDEX('Main Data'!$A$1:$O$1001,MATCH('Index&amp;Match'!$A569,'Main Data'!$A$1:$A$1001,0),MATCH('Index&amp;Match'!H568,'Main Data'!$A568:$O568,0))</f>
        <v>High Net Worth</v>
      </c>
      <c r="I569" s="2">
        <f>INDEX('Main Data'!$A$1:$O$1001,MATCH('Index&amp;Match'!$A569,'Main Data'!$A$1:$A$1001,0),MATCH('Index&amp;Match'!I568,'Main Data'!$A568:$O568,0))</f>
        <v>29</v>
      </c>
      <c r="J569" s="2">
        <f>INDEX('Main Data'!$A$1:$O$1001,MATCH('Index&amp;Match'!$A569,'Main Data'!$A$1:$A$1001,0),MATCH('Index&amp;Match'!J568,'Main Data'!$A568:$O568,0))</f>
        <v>29</v>
      </c>
      <c r="K569" s="11">
        <f>INDEX('Main Data'!$A$1:$O$1001,MATCH('Index&amp;Match'!$A569,'Main Data'!$A$1:$A$1001,0),MATCH('Index&amp;Match'!K568,'Main Data'!$A568:$O568,0))</f>
        <v>23468.02</v>
      </c>
      <c r="L569" s="11">
        <f>INDEX('Main Data'!$A$1:$O$1001,MATCH('Index&amp;Match'!$A569,'Main Data'!$A$1:$A$1001,0),MATCH('Index&amp;Match'!L568,'Main Data'!$A568:$O568,0))</f>
        <v>323.54000000000002</v>
      </c>
      <c r="M569" s="11">
        <f>INDEX('Main Data'!$A$1:$O$1001,MATCH('Index&amp;Match'!$A569,'Main Data'!$A$1:$A$1001,0),MATCH('Index&amp;Match'!M568,'Main Data'!$A568:$O568,0))</f>
        <v>189.26</v>
      </c>
      <c r="N569" s="2" t="str">
        <f>INDEX('Main Data'!$A$1:$O$1001,MATCH('Index&amp;Match'!$A569,'Main Data'!$A$1:$A$1001,0),MATCH('Index&amp;Match'!N568,'Main Data'!$A568:$O568,0))</f>
        <v>No</v>
      </c>
      <c r="O569" s="2">
        <f>INDEX('Main Data'!$A$1:$O$1001,MATCH('Index&amp;Match'!$A569,'Main Data'!$A$1:$A$1001,0),MATCH('Index&amp;Match'!O568,'Main Data'!$A568:$O568,0))</f>
        <v>29</v>
      </c>
    </row>
    <row r="570" spans="1:15" x14ac:dyDescent="0.3">
      <c r="A570" s="2" t="s">
        <v>627</v>
      </c>
      <c r="B570" s="1">
        <f>INDEX('Main Data'!$A$1:$O$1001,MATCH('Index&amp;Match'!$A570,'Main Data'!$A$1:$A$1001,0),MATCH('Index&amp;Match'!B569,'Main Data'!$A569:$O569,0))</f>
        <v>46203</v>
      </c>
      <c r="C570" s="2" t="str">
        <f>INDEX('Main Data'!$A$1:$O$1001,MATCH('Index&amp;Match'!$A570,'Main Data'!$A$1:$A$1001,0),MATCH('Index&amp;Match'!C569,'Main Data'!$A569:$O569,0))</f>
        <v>Jamie</v>
      </c>
      <c r="D570" s="2" t="str">
        <f>INDEX('Main Data'!$A$1:$O$1001,MATCH('Index&amp;Match'!$A570,'Main Data'!$A$1:$A$1001,0),MATCH('Index&amp;Match'!D569,'Main Data'!$A569:$O569,0))</f>
        <v>BR-008</v>
      </c>
      <c r="E570" s="2" t="str">
        <f>INDEX('Main Data'!$A$1:$O$1001,MATCH('Index&amp;Match'!$A570,'Main Data'!$A$1:$A$1001,0),MATCH('Index&amp;Match'!E569,'Main Data'!$A569:$O569,0))</f>
        <v>North</v>
      </c>
      <c r="F570" s="2" t="str">
        <f>INDEX('Main Data'!$A$1:$O$1001,MATCH('Index&amp;Match'!$A570,'Main Data'!$A$1:$A$1001,0),MATCH('Index&amp;Match'!F569,'Main Data'!$A569:$O569,0))</f>
        <v>Wealth Management</v>
      </c>
      <c r="G570" s="2" t="str">
        <f>INDEX('Main Data'!$A$1:$O$1001,MATCH('Index&amp;Match'!$A570,'Main Data'!$A$1:$A$1001,0),MATCH('Index&amp;Match'!G569,'Main Data'!$A569:$O569,0))</f>
        <v>Website</v>
      </c>
      <c r="H570" s="2" t="str">
        <f>INDEX('Main Data'!$A$1:$O$1001,MATCH('Index&amp;Match'!$A570,'Main Data'!$A$1:$A$1001,0),MATCH('Index&amp;Match'!H569,'Main Data'!$A569:$O569,0))</f>
        <v>High Net Worth</v>
      </c>
      <c r="I570" s="2">
        <f>INDEX('Main Data'!$A$1:$O$1001,MATCH('Index&amp;Match'!$A570,'Main Data'!$A$1:$A$1001,0),MATCH('Index&amp;Match'!I569,'Main Data'!$A569:$O569,0))</f>
        <v>40</v>
      </c>
      <c r="J570" s="2">
        <f>INDEX('Main Data'!$A$1:$O$1001,MATCH('Index&amp;Match'!$A570,'Main Data'!$A$1:$A$1001,0),MATCH('Index&amp;Match'!J569,'Main Data'!$A569:$O569,0))</f>
        <v>40</v>
      </c>
      <c r="K570" s="11">
        <f>INDEX('Main Data'!$A$1:$O$1001,MATCH('Index&amp;Match'!$A570,'Main Data'!$A$1:$A$1001,0),MATCH('Index&amp;Match'!K569,'Main Data'!$A569:$O569,0))</f>
        <v>39560.26</v>
      </c>
      <c r="L570" s="11">
        <f>INDEX('Main Data'!$A$1:$O$1001,MATCH('Index&amp;Match'!$A570,'Main Data'!$A$1:$A$1001,0),MATCH('Index&amp;Match'!L569,'Main Data'!$A569:$O569,0))</f>
        <v>231.51</v>
      </c>
      <c r="M570" s="11">
        <f>INDEX('Main Data'!$A$1:$O$1001,MATCH('Index&amp;Match'!$A570,'Main Data'!$A$1:$A$1001,0),MATCH('Index&amp;Match'!M569,'Main Data'!$A569:$O569,0))</f>
        <v>104.88</v>
      </c>
      <c r="N570" s="2" t="str">
        <f>INDEX('Main Data'!$A$1:$O$1001,MATCH('Index&amp;Match'!$A570,'Main Data'!$A$1:$A$1001,0),MATCH('Index&amp;Match'!N569,'Main Data'!$A569:$O569,0))</f>
        <v>No</v>
      </c>
      <c r="O570" s="2">
        <f>INDEX('Main Data'!$A$1:$O$1001,MATCH('Index&amp;Match'!$A570,'Main Data'!$A$1:$A$1001,0),MATCH('Index&amp;Match'!O569,'Main Data'!$A569:$O569,0))</f>
        <v>40</v>
      </c>
    </row>
    <row r="571" spans="1:15" x14ac:dyDescent="0.3">
      <c r="A571" s="2" t="s">
        <v>628</v>
      </c>
      <c r="B571" s="1">
        <f>INDEX('Main Data'!$A$1:$O$1001,MATCH('Index&amp;Match'!$A571,'Main Data'!$A$1:$A$1001,0),MATCH('Index&amp;Match'!B570,'Main Data'!$A570:$O570,0))</f>
        <v>46069</v>
      </c>
      <c r="C571" s="2" t="str">
        <f>INDEX('Main Data'!$A$1:$O$1001,MATCH('Index&amp;Match'!$A571,'Main Data'!$A$1:$A$1001,0),MATCH('Index&amp;Match'!C570,'Main Data'!$A570:$O570,0))</f>
        <v>Jamie</v>
      </c>
      <c r="D571" s="2" t="str">
        <f>INDEX('Main Data'!$A$1:$O$1001,MATCH('Index&amp;Match'!$A571,'Main Data'!$A$1:$A$1001,0),MATCH('Index&amp;Match'!D570,'Main Data'!$A570:$O570,0))</f>
        <v>BR-012</v>
      </c>
      <c r="E571" s="2" t="str">
        <f>INDEX('Main Data'!$A$1:$O$1001,MATCH('Index&amp;Match'!$A571,'Main Data'!$A$1:$A$1001,0),MATCH('Index&amp;Match'!E570,'Main Data'!$A570:$O570,0))</f>
        <v>Central</v>
      </c>
      <c r="F571" s="2" t="str">
        <f>INDEX('Main Data'!$A$1:$O$1001,MATCH('Index&amp;Match'!$A571,'Main Data'!$A$1:$A$1001,0),MATCH('Index&amp;Match'!F570,'Main Data'!$A570:$O570,0))</f>
        <v>Mortgage</v>
      </c>
      <c r="G571" s="2" t="str">
        <f>INDEX('Main Data'!$A$1:$O$1001,MATCH('Index&amp;Match'!$A571,'Main Data'!$A$1:$A$1001,0),MATCH('Index&amp;Match'!G570,'Main Data'!$A570:$O570,0))</f>
        <v>Social Media</v>
      </c>
      <c r="H571" s="2" t="str">
        <f>INDEX('Main Data'!$A$1:$O$1001,MATCH('Index&amp;Match'!$A571,'Main Data'!$A$1:$A$1001,0),MATCH('Index&amp;Match'!H570,'Main Data'!$A570:$O570,0))</f>
        <v>SME</v>
      </c>
      <c r="I571" s="2">
        <f>INDEX('Main Data'!$A$1:$O$1001,MATCH('Index&amp;Match'!$A571,'Main Data'!$A$1:$A$1001,0),MATCH('Index&amp;Match'!I570,'Main Data'!$A570:$O570,0))</f>
        <v>39</v>
      </c>
      <c r="J571" s="2">
        <f>INDEX('Main Data'!$A$1:$O$1001,MATCH('Index&amp;Match'!$A571,'Main Data'!$A$1:$A$1001,0),MATCH('Index&amp;Match'!J570,'Main Data'!$A570:$O570,0))</f>
        <v>39</v>
      </c>
      <c r="K571" s="11">
        <f>INDEX('Main Data'!$A$1:$O$1001,MATCH('Index&amp;Match'!$A571,'Main Data'!$A$1:$A$1001,0),MATCH('Index&amp;Match'!K570,'Main Data'!$A570:$O570,0))</f>
        <v>30343.200000000001</v>
      </c>
      <c r="L571" s="11">
        <f>INDEX('Main Data'!$A$1:$O$1001,MATCH('Index&amp;Match'!$A571,'Main Data'!$A$1:$A$1001,0),MATCH('Index&amp;Match'!L570,'Main Data'!$A570:$O570,0))</f>
        <v>354.41</v>
      </c>
      <c r="M571" s="11">
        <f>INDEX('Main Data'!$A$1:$O$1001,MATCH('Index&amp;Match'!$A571,'Main Data'!$A$1:$A$1001,0),MATCH('Index&amp;Match'!M570,'Main Data'!$A570:$O570,0))</f>
        <v>58.53</v>
      </c>
      <c r="N571" s="2" t="str">
        <f>INDEX('Main Data'!$A$1:$O$1001,MATCH('Index&amp;Match'!$A571,'Main Data'!$A$1:$A$1001,0),MATCH('Index&amp;Match'!N570,'Main Data'!$A570:$O570,0))</f>
        <v>No</v>
      </c>
      <c r="O571" s="2">
        <f>INDEX('Main Data'!$A$1:$O$1001,MATCH('Index&amp;Match'!$A571,'Main Data'!$A$1:$A$1001,0),MATCH('Index&amp;Match'!O570,'Main Data'!$A570:$O570,0))</f>
        <v>39</v>
      </c>
    </row>
    <row r="572" spans="1:15" x14ac:dyDescent="0.3">
      <c r="A572" s="2" t="s">
        <v>629</v>
      </c>
      <c r="B572" s="1">
        <f>INDEX('Main Data'!$A$1:$O$1001,MATCH('Index&amp;Match'!$A572,'Main Data'!$A$1:$A$1001,0),MATCH('Index&amp;Match'!B571,'Main Data'!$A571:$O571,0))</f>
        <v>46022</v>
      </c>
      <c r="C572" s="2" t="str">
        <f>INDEX('Main Data'!$A$1:$O$1001,MATCH('Index&amp;Match'!$A572,'Main Data'!$A$1:$A$1001,0),MATCH('Index&amp;Match'!C571,'Main Data'!$A571:$O571,0))</f>
        <v>Sam</v>
      </c>
      <c r="D572" s="2" t="str">
        <f>INDEX('Main Data'!$A$1:$O$1001,MATCH('Index&amp;Match'!$A572,'Main Data'!$A$1:$A$1001,0),MATCH('Index&amp;Match'!D571,'Main Data'!$A571:$O571,0))</f>
        <v>BR-011</v>
      </c>
      <c r="E572" s="2" t="str">
        <f>INDEX('Main Data'!$A$1:$O$1001,MATCH('Index&amp;Match'!$A572,'Main Data'!$A$1:$A$1001,0),MATCH('Index&amp;Match'!E571,'Main Data'!$A571:$O571,0))</f>
        <v>North</v>
      </c>
      <c r="F572" s="2" t="str">
        <f>INDEX('Main Data'!$A$1:$O$1001,MATCH('Index&amp;Match'!$A572,'Main Data'!$A$1:$A$1001,0),MATCH('Index&amp;Match'!F571,'Main Data'!$A571:$O571,0))</f>
        <v>Auto Loan</v>
      </c>
      <c r="G572" s="2" t="str">
        <f>INDEX('Main Data'!$A$1:$O$1001,MATCH('Index&amp;Match'!$A572,'Main Data'!$A$1:$A$1001,0),MATCH('Index&amp;Match'!G571,'Main Data'!$A571:$O571,0))</f>
        <v>Email Campaign</v>
      </c>
      <c r="H572" s="2" t="str">
        <f>INDEX('Main Data'!$A$1:$O$1001,MATCH('Index&amp;Match'!$A572,'Main Data'!$A$1:$A$1001,0),MATCH('Index&amp;Match'!H571,'Main Data'!$A571:$O571,0))</f>
        <v>Retail</v>
      </c>
      <c r="I572" s="2">
        <f>INDEX('Main Data'!$A$1:$O$1001,MATCH('Index&amp;Match'!$A572,'Main Data'!$A$1:$A$1001,0),MATCH('Index&amp;Match'!I571,'Main Data'!$A571:$O571,0))</f>
        <v>68</v>
      </c>
      <c r="J572" s="2">
        <f>INDEX('Main Data'!$A$1:$O$1001,MATCH('Index&amp;Match'!$A572,'Main Data'!$A$1:$A$1001,0),MATCH('Index&amp;Match'!J571,'Main Data'!$A571:$O571,0))</f>
        <v>68</v>
      </c>
      <c r="K572" s="11">
        <f>INDEX('Main Data'!$A$1:$O$1001,MATCH('Index&amp;Match'!$A572,'Main Data'!$A$1:$A$1001,0),MATCH('Index&amp;Match'!K571,'Main Data'!$A571:$O571,0))</f>
        <v>32883.910000000003</v>
      </c>
      <c r="L572" s="11">
        <f>INDEX('Main Data'!$A$1:$O$1001,MATCH('Index&amp;Match'!$A572,'Main Data'!$A$1:$A$1001,0),MATCH('Index&amp;Match'!L571,'Main Data'!$A571:$O571,0))</f>
        <v>135.47</v>
      </c>
      <c r="M572" s="11">
        <f>INDEX('Main Data'!$A$1:$O$1001,MATCH('Index&amp;Match'!$A572,'Main Data'!$A$1:$A$1001,0),MATCH('Index&amp;Match'!M571,'Main Data'!$A571:$O571,0))</f>
        <v>78.52</v>
      </c>
      <c r="N572" s="2" t="str">
        <f>INDEX('Main Data'!$A$1:$O$1001,MATCH('Index&amp;Match'!$A572,'Main Data'!$A$1:$A$1001,0),MATCH('Index&amp;Match'!N571,'Main Data'!$A571:$O571,0))</f>
        <v>Yes</v>
      </c>
      <c r="O572" s="2">
        <f>INDEX('Main Data'!$A$1:$O$1001,MATCH('Index&amp;Match'!$A572,'Main Data'!$A$1:$A$1001,0),MATCH('Index&amp;Match'!O571,'Main Data'!$A571:$O571,0))</f>
        <v>68</v>
      </c>
    </row>
    <row r="573" spans="1:15" x14ac:dyDescent="0.3">
      <c r="A573" s="2" t="s">
        <v>630</v>
      </c>
      <c r="B573" s="1">
        <f>INDEX('Main Data'!$A$1:$O$1001,MATCH('Index&amp;Match'!$A573,'Main Data'!$A$1:$A$1001,0),MATCH('Index&amp;Match'!B572,'Main Data'!$A572:$O572,0))</f>
        <v>45971</v>
      </c>
      <c r="C573" s="2" t="str">
        <f>INDEX('Main Data'!$A$1:$O$1001,MATCH('Index&amp;Match'!$A573,'Main Data'!$A$1:$A$1001,0),MATCH('Index&amp;Match'!C572,'Main Data'!$A572:$O572,0))</f>
        <v>Taylor</v>
      </c>
      <c r="D573" s="2" t="str">
        <f>INDEX('Main Data'!$A$1:$O$1001,MATCH('Index&amp;Match'!$A573,'Main Data'!$A$1:$A$1001,0),MATCH('Index&amp;Match'!D572,'Main Data'!$A572:$O572,0))</f>
        <v>BR-012</v>
      </c>
      <c r="E573" s="2" t="str">
        <f>INDEX('Main Data'!$A$1:$O$1001,MATCH('Index&amp;Match'!$A573,'Main Data'!$A$1:$A$1001,0),MATCH('Index&amp;Match'!E572,'Main Data'!$A572:$O572,0))</f>
        <v>Central</v>
      </c>
      <c r="F573" s="2" t="str">
        <f>INDEX('Main Data'!$A$1:$O$1001,MATCH('Index&amp;Match'!$A573,'Main Data'!$A$1:$A$1001,0),MATCH('Index&amp;Match'!F572,'Main Data'!$A572:$O572,0))</f>
        <v>Credit Card</v>
      </c>
      <c r="G573" s="2" t="str">
        <f>INDEX('Main Data'!$A$1:$O$1001,MATCH('Index&amp;Match'!$A573,'Main Data'!$A$1:$A$1001,0),MATCH('Index&amp;Match'!G572,'Main Data'!$A572:$O572,0))</f>
        <v>Walk-in</v>
      </c>
      <c r="H573" s="2" t="str">
        <f>INDEX('Main Data'!$A$1:$O$1001,MATCH('Index&amp;Match'!$A573,'Main Data'!$A$1:$A$1001,0),MATCH('Index&amp;Match'!H572,'Main Data'!$A572:$O572,0))</f>
        <v>Retail</v>
      </c>
      <c r="I573" s="2">
        <f>INDEX('Main Data'!$A$1:$O$1001,MATCH('Index&amp;Match'!$A573,'Main Data'!$A$1:$A$1001,0),MATCH('Index&amp;Match'!I572,'Main Data'!$A572:$O572,0))</f>
        <v>59</v>
      </c>
      <c r="J573" s="2">
        <f>INDEX('Main Data'!$A$1:$O$1001,MATCH('Index&amp;Match'!$A573,'Main Data'!$A$1:$A$1001,0),MATCH('Index&amp;Match'!J572,'Main Data'!$A572:$O572,0))</f>
        <v>59</v>
      </c>
      <c r="K573" s="11">
        <f>INDEX('Main Data'!$A$1:$O$1001,MATCH('Index&amp;Match'!$A573,'Main Data'!$A$1:$A$1001,0),MATCH('Index&amp;Match'!K572,'Main Data'!$A572:$O572,0))</f>
        <v>49910.9</v>
      </c>
      <c r="L573" s="11">
        <f>INDEX('Main Data'!$A$1:$O$1001,MATCH('Index&amp;Match'!$A573,'Main Data'!$A$1:$A$1001,0),MATCH('Index&amp;Match'!L572,'Main Data'!$A572:$O572,0))</f>
        <v>418.44</v>
      </c>
      <c r="M573" s="11">
        <f>INDEX('Main Data'!$A$1:$O$1001,MATCH('Index&amp;Match'!$A573,'Main Data'!$A$1:$A$1001,0),MATCH('Index&amp;Match'!M572,'Main Data'!$A572:$O572,0))</f>
        <v>68.400000000000006</v>
      </c>
      <c r="N573" s="2" t="str">
        <f>INDEX('Main Data'!$A$1:$O$1001,MATCH('Index&amp;Match'!$A573,'Main Data'!$A$1:$A$1001,0),MATCH('Index&amp;Match'!N572,'Main Data'!$A572:$O572,0))</f>
        <v>Yes</v>
      </c>
      <c r="O573" s="2">
        <f>INDEX('Main Data'!$A$1:$O$1001,MATCH('Index&amp;Match'!$A573,'Main Data'!$A$1:$A$1001,0),MATCH('Index&amp;Match'!O572,'Main Data'!$A572:$O572,0))</f>
        <v>59</v>
      </c>
    </row>
    <row r="574" spans="1:15" x14ac:dyDescent="0.3">
      <c r="A574" s="2" t="s">
        <v>631</v>
      </c>
      <c r="B574" s="1">
        <f>INDEX('Main Data'!$A$1:$O$1001,MATCH('Index&amp;Match'!$A574,'Main Data'!$A$1:$A$1001,0),MATCH('Index&amp;Match'!B573,'Main Data'!$A573:$O573,0))</f>
        <v>46132</v>
      </c>
      <c r="C574" s="2" t="str">
        <f>INDEX('Main Data'!$A$1:$O$1001,MATCH('Index&amp;Match'!$A574,'Main Data'!$A$1:$A$1001,0),MATCH('Index&amp;Match'!C573,'Main Data'!$A573:$O573,0))</f>
        <v>Alex</v>
      </c>
      <c r="D574" s="2" t="str">
        <f>INDEX('Main Data'!$A$1:$O$1001,MATCH('Index&amp;Match'!$A574,'Main Data'!$A$1:$A$1001,0),MATCH('Index&amp;Match'!D573,'Main Data'!$A573:$O573,0))</f>
        <v>BR-012</v>
      </c>
      <c r="E574" s="2" t="str">
        <f>INDEX('Main Data'!$A$1:$O$1001,MATCH('Index&amp;Match'!$A574,'Main Data'!$A$1:$A$1001,0),MATCH('Index&amp;Match'!E573,'Main Data'!$A573:$O573,0))</f>
        <v>Central</v>
      </c>
      <c r="F574" s="2" t="str">
        <f>INDEX('Main Data'!$A$1:$O$1001,MATCH('Index&amp;Match'!$A574,'Main Data'!$A$1:$A$1001,0),MATCH('Index&amp;Match'!F573,'Main Data'!$A573:$O573,0))</f>
        <v>Wealth Management</v>
      </c>
      <c r="G574" s="2" t="str">
        <f>INDEX('Main Data'!$A$1:$O$1001,MATCH('Index&amp;Match'!$A574,'Main Data'!$A$1:$A$1001,0),MATCH('Index&amp;Match'!G573,'Main Data'!$A573:$O573,0))</f>
        <v>Social Media</v>
      </c>
      <c r="H574" s="2" t="str">
        <f>INDEX('Main Data'!$A$1:$O$1001,MATCH('Index&amp;Match'!$A574,'Main Data'!$A$1:$A$1001,0),MATCH('Index&amp;Match'!H573,'Main Data'!$A573:$O573,0))</f>
        <v>High Net Worth</v>
      </c>
      <c r="I574" s="2">
        <f>INDEX('Main Data'!$A$1:$O$1001,MATCH('Index&amp;Match'!$A574,'Main Data'!$A$1:$A$1001,0),MATCH('Index&amp;Match'!I573,'Main Data'!$A573:$O573,0))</f>
        <v>71</v>
      </c>
      <c r="J574" s="2">
        <f>INDEX('Main Data'!$A$1:$O$1001,MATCH('Index&amp;Match'!$A574,'Main Data'!$A$1:$A$1001,0),MATCH('Index&amp;Match'!J573,'Main Data'!$A573:$O573,0))</f>
        <v>71</v>
      </c>
      <c r="K574" s="11">
        <f>INDEX('Main Data'!$A$1:$O$1001,MATCH('Index&amp;Match'!$A574,'Main Data'!$A$1:$A$1001,0),MATCH('Index&amp;Match'!K573,'Main Data'!$A573:$O573,0))</f>
        <v>4210.5200000000004</v>
      </c>
      <c r="L574" s="11">
        <f>INDEX('Main Data'!$A$1:$O$1001,MATCH('Index&amp;Match'!$A574,'Main Data'!$A$1:$A$1001,0),MATCH('Index&amp;Match'!L573,'Main Data'!$A573:$O573,0))</f>
        <v>102.51</v>
      </c>
      <c r="M574" s="11">
        <f>INDEX('Main Data'!$A$1:$O$1001,MATCH('Index&amp;Match'!$A574,'Main Data'!$A$1:$A$1001,0),MATCH('Index&amp;Match'!M573,'Main Data'!$A573:$O573,0))</f>
        <v>249.68</v>
      </c>
      <c r="N574" s="2" t="str">
        <f>INDEX('Main Data'!$A$1:$O$1001,MATCH('Index&amp;Match'!$A574,'Main Data'!$A$1:$A$1001,0),MATCH('Index&amp;Match'!N573,'Main Data'!$A573:$O573,0))</f>
        <v>Yes</v>
      </c>
      <c r="O574" s="2">
        <f>INDEX('Main Data'!$A$1:$O$1001,MATCH('Index&amp;Match'!$A574,'Main Data'!$A$1:$A$1001,0),MATCH('Index&amp;Match'!O573,'Main Data'!$A573:$O573,0))</f>
        <v>71</v>
      </c>
    </row>
    <row r="575" spans="1:15" x14ac:dyDescent="0.3">
      <c r="A575" s="2" t="s">
        <v>632</v>
      </c>
      <c r="B575" s="1">
        <f>INDEX('Main Data'!$A$1:$O$1001,MATCH('Index&amp;Match'!$A575,'Main Data'!$A$1:$A$1001,0),MATCH('Index&amp;Match'!B574,'Main Data'!$A574:$O574,0))</f>
        <v>46195</v>
      </c>
      <c r="C575" s="2" t="str">
        <f>INDEX('Main Data'!$A$1:$O$1001,MATCH('Index&amp;Match'!$A575,'Main Data'!$A$1:$A$1001,0),MATCH('Index&amp;Match'!C574,'Main Data'!$A574:$O574,0))</f>
        <v>Jordan</v>
      </c>
      <c r="D575" s="2" t="str">
        <f>INDEX('Main Data'!$A$1:$O$1001,MATCH('Index&amp;Match'!$A575,'Main Data'!$A$1:$A$1001,0),MATCH('Index&amp;Match'!D574,'Main Data'!$A574:$O574,0))</f>
        <v>BR-004</v>
      </c>
      <c r="E575" s="2" t="str">
        <f>INDEX('Main Data'!$A$1:$O$1001,MATCH('Index&amp;Match'!$A575,'Main Data'!$A$1:$A$1001,0),MATCH('Index&amp;Match'!E574,'Main Data'!$A574:$O574,0))</f>
        <v>North</v>
      </c>
      <c r="F575" s="2" t="str">
        <f>INDEX('Main Data'!$A$1:$O$1001,MATCH('Index&amp;Match'!$A575,'Main Data'!$A$1:$A$1001,0),MATCH('Index&amp;Match'!F574,'Main Data'!$A574:$O574,0))</f>
        <v>Mortgage</v>
      </c>
      <c r="G575" s="2" t="str">
        <f>INDEX('Main Data'!$A$1:$O$1001,MATCH('Index&amp;Match'!$A575,'Main Data'!$A$1:$A$1001,0),MATCH('Index&amp;Match'!G574,'Main Data'!$A574:$O574,0))</f>
        <v>Website</v>
      </c>
      <c r="H575" s="2" t="str">
        <f>INDEX('Main Data'!$A$1:$O$1001,MATCH('Index&amp;Match'!$A575,'Main Data'!$A$1:$A$1001,0),MATCH('Index&amp;Match'!H574,'Main Data'!$A574:$O574,0))</f>
        <v>Retail</v>
      </c>
      <c r="I575" s="2">
        <f>INDEX('Main Data'!$A$1:$O$1001,MATCH('Index&amp;Match'!$A575,'Main Data'!$A$1:$A$1001,0),MATCH('Index&amp;Match'!I574,'Main Data'!$A574:$O574,0))</f>
        <v>32</v>
      </c>
      <c r="J575" s="2">
        <f>INDEX('Main Data'!$A$1:$O$1001,MATCH('Index&amp;Match'!$A575,'Main Data'!$A$1:$A$1001,0),MATCH('Index&amp;Match'!J574,'Main Data'!$A574:$O574,0))</f>
        <v>32</v>
      </c>
      <c r="K575" s="11">
        <f>INDEX('Main Data'!$A$1:$O$1001,MATCH('Index&amp;Match'!$A575,'Main Data'!$A$1:$A$1001,0),MATCH('Index&amp;Match'!K574,'Main Data'!$A574:$O574,0))</f>
        <v>11538.99</v>
      </c>
      <c r="L575" s="11">
        <f>INDEX('Main Data'!$A$1:$O$1001,MATCH('Index&amp;Match'!$A575,'Main Data'!$A$1:$A$1001,0),MATCH('Index&amp;Match'!L574,'Main Data'!$A574:$O574,0))</f>
        <v>345.2</v>
      </c>
      <c r="M575" s="11">
        <f>INDEX('Main Data'!$A$1:$O$1001,MATCH('Index&amp;Match'!$A575,'Main Data'!$A$1:$A$1001,0),MATCH('Index&amp;Match'!M574,'Main Data'!$A574:$O574,0))</f>
        <v>54.96</v>
      </c>
      <c r="N575" s="2" t="str">
        <f>INDEX('Main Data'!$A$1:$O$1001,MATCH('Index&amp;Match'!$A575,'Main Data'!$A$1:$A$1001,0),MATCH('Index&amp;Match'!N574,'Main Data'!$A574:$O574,0))</f>
        <v>Yes</v>
      </c>
      <c r="O575" s="2">
        <f>INDEX('Main Data'!$A$1:$O$1001,MATCH('Index&amp;Match'!$A575,'Main Data'!$A$1:$A$1001,0),MATCH('Index&amp;Match'!O574,'Main Data'!$A574:$O574,0))</f>
        <v>32</v>
      </c>
    </row>
    <row r="576" spans="1:15" x14ac:dyDescent="0.3">
      <c r="A576" s="2" t="s">
        <v>633</v>
      </c>
      <c r="B576" s="1">
        <f>INDEX('Main Data'!$A$1:$O$1001,MATCH('Index&amp;Match'!$A576,'Main Data'!$A$1:$A$1001,0),MATCH('Index&amp;Match'!B575,'Main Data'!$A575:$O575,0))</f>
        <v>45929</v>
      </c>
      <c r="C576" s="2" t="str">
        <f>INDEX('Main Data'!$A$1:$O$1001,MATCH('Index&amp;Match'!$A576,'Main Data'!$A$1:$A$1001,0),MATCH('Index&amp;Match'!C575,'Main Data'!$A575:$O575,0))</f>
        <v>Jamie</v>
      </c>
      <c r="D576" s="2" t="str">
        <f>INDEX('Main Data'!$A$1:$O$1001,MATCH('Index&amp;Match'!$A576,'Main Data'!$A$1:$A$1001,0),MATCH('Index&amp;Match'!D575,'Main Data'!$A575:$O575,0))</f>
        <v>BR-004</v>
      </c>
      <c r="E576" s="2" t="str">
        <f>INDEX('Main Data'!$A$1:$O$1001,MATCH('Index&amp;Match'!$A576,'Main Data'!$A$1:$A$1001,0),MATCH('Index&amp;Match'!E575,'Main Data'!$A575:$O575,0))</f>
        <v>East</v>
      </c>
      <c r="F576" s="2" t="str">
        <f>INDEX('Main Data'!$A$1:$O$1001,MATCH('Index&amp;Match'!$A576,'Main Data'!$A$1:$A$1001,0),MATCH('Index&amp;Match'!F575,'Main Data'!$A575:$O575,0))</f>
        <v>Auto Loan</v>
      </c>
      <c r="G576" s="2" t="str">
        <f>INDEX('Main Data'!$A$1:$O$1001,MATCH('Index&amp;Match'!$A576,'Main Data'!$A$1:$A$1001,0),MATCH('Index&amp;Match'!G575,'Main Data'!$A575:$O575,0))</f>
        <v>Website</v>
      </c>
      <c r="H576" s="2" t="str">
        <f>INDEX('Main Data'!$A$1:$O$1001,MATCH('Index&amp;Match'!$A576,'Main Data'!$A$1:$A$1001,0),MATCH('Index&amp;Match'!H575,'Main Data'!$A575:$O575,0))</f>
        <v>SME</v>
      </c>
      <c r="I576" s="2">
        <f>INDEX('Main Data'!$A$1:$O$1001,MATCH('Index&amp;Match'!$A576,'Main Data'!$A$1:$A$1001,0),MATCH('Index&amp;Match'!I575,'Main Data'!$A575:$O575,0))</f>
        <v>35</v>
      </c>
      <c r="J576" s="2">
        <f>INDEX('Main Data'!$A$1:$O$1001,MATCH('Index&amp;Match'!$A576,'Main Data'!$A$1:$A$1001,0),MATCH('Index&amp;Match'!J575,'Main Data'!$A575:$O575,0))</f>
        <v>35</v>
      </c>
      <c r="K576" s="11">
        <f>INDEX('Main Data'!$A$1:$O$1001,MATCH('Index&amp;Match'!$A576,'Main Data'!$A$1:$A$1001,0),MATCH('Index&amp;Match'!K575,'Main Data'!$A575:$O575,0))</f>
        <v>20690.849999999999</v>
      </c>
      <c r="L576" s="11">
        <f>INDEX('Main Data'!$A$1:$O$1001,MATCH('Index&amp;Match'!$A576,'Main Data'!$A$1:$A$1001,0),MATCH('Index&amp;Match'!L575,'Main Data'!$A575:$O575,0))</f>
        <v>203.52</v>
      </c>
      <c r="M576" s="11">
        <f>INDEX('Main Data'!$A$1:$O$1001,MATCH('Index&amp;Match'!$A576,'Main Data'!$A$1:$A$1001,0),MATCH('Index&amp;Match'!M575,'Main Data'!$A575:$O575,0))</f>
        <v>146.63</v>
      </c>
      <c r="N576" s="2" t="str">
        <f>INDEX('Main Data'!$A$1:$O$1001,MATCH('Index&amp;Match'!$A576,'Main Data'!$A$1:$A$1001,0),MATCH('Index&amp;Match'!N575,'Main Data'!$A575:$O575,0))</f>
        <v>Yes</v>
      </c>
      <c r="O576" s="2">
        <f>INDEX('Main Data'!$A$1:$O$1001,MATCH('Index&amp;Match'!$A576,'Main Data'!$A$1:$A$1001,0),MATCH('Index&amp;Match'!O575,'Main Data'!$A575:$O575,0))</f>
        <v>35</v>
      </c>
    </row>
    <row r="577" spans="1:15" x14ac:dyDescent="0.3">
      <c r="A577" s="2" t="s">
        <v>634</v>
      </c>
      <c r="B577" s="1">
        <f>INDEX('Main Data'!$A$1:$O$1001,MATCH('Index&amp;Match'!$A577,'Main Data'!$A$1:$A$1001,0),MATCH('Index&amp;Match'!B576,'Main Data'!$A576:$O576,0))</f>
        <v>46107</v>
      </c>
      <c r="C577" s="2" t="str">
        <f>INDEX('Main Data'!$A$1:$O$1001,MATCH('Index&amp;Match'!$A577,'Main Data'!$A$1:$A$1001,0),MATCH('Index&amp;Match'!C576,'Main Data'!$A576:$O576,0))</f>
        <v>Sam</v>
      </c>
      <c r="D577" s="2" t="str">
        <f>INDEX('Main Data'!$A$1:$O$1001,MATCH('Index&amp;Match'!$A577,'Main Data'!$A$1:$A$1001,0),MATCH('Index&amp;Match'!D576,'Main Data'!$A576:$O576,0))</f>
        <v>BR-005</v>
      </c>
      <c r="E577" s="2" t="str">
        <f>INDEX('Main Data'!$A$1:$O$1001,MATCH('Index&amp;Match'!$A577,'Main Data'!$A$1:$A$1001,0),MATCH('Index&amp;Match'!E576,'Main Data'!$A576:$O576,0))</f>
        <v>West</v>
      </c>
      <c r="F577" s="2" t="str">
        <f>INDEX('Main Data'!$A$1:$O$1001,MATCH('Index&amp;Match'!$A577,'Main Data'!$A$1:$A$1001,0),MATCH('Index&amp;Match'!F576,'Main Data'!$A576:$O576,0))</f>
        <v>Auto Loan</v>
      </c>
      <c r="G577" s="2" t="str">
        <f>INDEX('Main Data'!$A$1:$O$1001,MATCH('Index&amp;Match'!$A577,'Main Data'!$A$1:$A$1001,0),MATCH('Index&amp;Match'!G576,'Main Data'!$A576:$O576,0))</f>
        <v>Email Campaign</v>
      </c>
      <c r="H577" s="2" t="str">
        <f>INDEX('Main Data'!$A$1:$O$1001,MATCH('Index&amp;Match'!$A577,'Main Data'!$A$1:$A$1001,0),MATCH('Index&amp;Match'!H576,'Main Data'!$A576:$O576,0))</f>
        <v>Corporate</v>
      </c>
      <c r="I577" s="2">
        <f>INDEX('Main Data'!$A$1:$O$1001,MATCH('Index&amp;Match'!$A577,'Main Data'!$A$1:$A$1001,0),MATCH('Index&amp;Match'!I576,'Main Data'!$A576:$O576,0))</f>
        <v>51</v>
      </c>
      <c r="J577" s="2">
        <f>INDEX('Main Data'!$A$1:$O$1001,MATCH('Index&amp;Match'!$A577,'Main Data'!$A$1:$A$1001,0),MATCH('Index&amp;Match'!J576,'Main Data'!$A576:$O576,0))</f>
        <v>51</v>
      </c>
      <c r="K577" s="11">
        <f>INDEX('Main Data'!$A$1:$O$1001,MATCH('Index&amp;Match'!$A577,'Main Data'!$A$1:$A$1001,0),MATCH('Index&amp;Match'!K576,'Main Data'!$A576:$O576,0))</f>
        <v>17715.23</v>
      </c>
      <c r="L577" s="11">
        <f>INDEX('Main Data'!$A$1:$O$1001,MATCH('Index&amp;Match'!$A577,'Main Data'!$A$1:$A$1001,0),MATCH('Index&amp;Match'!L576,'Main Data'!$A576:$O576,0))</f>
        <v>386.38</v>
      </c>
      <c r="M577" s="11">
        <f>INDEX('Main Data'!$A$1:$O$1001,MATCH('Index&amp;Match'!$A577,'Main Data'!$A$1:$A$1001,0),MATCH('Index&amp;Match'!M576,'Main Data'!$A576:$O576,0))</f>
        <v>18.809999999999999</v>
      </c>
      <c r="N577" s="2" t="str">
        <f>INDEX('Main Data'!$A$1:$O$1001,MATCH('Index&amp;Match'!$A577,'Main Data'!$A$1:$A$1001,0),MATCH('Index&amp;Match'!N576,'Main Data'!$A576:$O576,0))</f>
        <v>No</v>
      </c>
      <c r="O577" s="2">
        <f>INDEX('Main Data'!$A$1:$O$1001,MATCH('Index&amp;Match'!$A577,'Main Data'!$A$1:$A$1001,0),MATCH('Index&amp;Match'!O576,'Main Data'!$A576:$O576,0))</f>
        <v>51</v>
      </c>
    </row>
    <row r="578" spans="1:15" x14ac:dyDescent="0.3">
      <c r="A578" s="2" t="s">
        <v>635</v>
      </c>
      <c r="B578" s="1">
        <f>INDEX('Main Data'!$A$1:$O$1001,MATCH('Index&amp;Match'!$A578,'Main Data'!$A$1:$A$1001,0),MATCH('Index&amp;Match'!B577,'Main Data'!$A577:$O577,0))</f>
        <v>45943</v>
      </c>
      <c r="C578" s="2" t="str">
        <f>INDEX('Main Data'!$A$1:$O$1001,MATCH('Index&amp;Match'!$A578,'Main Data'!$A$1:$A$1001,0),MATCH('Index&amp;Match'!C577,'Main Data'!$A577:$O577,0))</f>
        <v>Casey</v>
      </c>
      <c r="D578" s="2" t="str">
        <f>INDEX('Main Data'!$A$1:$O$1001,MATCH('Index&amp;Match'!$A578,'Main Data'!$A$1:$A$1001,0),MATCH('Index&amp;Match'!D577,'Main Data'!$A577:$O577,0))</f>
        <v>BR-008</v>
      </c>
      <c r="E578" s="2" t="str">
        <f>INDEX('Main Data'!$A$1:$O$1001,MATCH('Index&amp;Match'!$A578,'Main Data'!$A$1:$A$1001,0),MATCH('Index&amp;Match'!E577,'Main Data'!$A577:$O577,0))</f>
        <v>South</v>
      </c>
      <c r="F578" s="2" t="str">
        <f>INDEX('Main Data'!$A$1:$O$1001,MATCH('Index&amp;Match'!$A578,'Main Data'!$A$1:$A$1001,0),MATCH('Index&amp;Match'!F577,'Main Data'!$A577:$O577,0))</f>
        <v>Auto Loan</v>
      </c>
      <c r="G578" s="2" t="str">
        <f>INDEX('Main Data'!$A$1:$O$1001,MATCH('Index&amp;Match'!$A578,'Main Data'!$A$1:$A$1001,0),MATCH('Index&amp;Match'!G577,'Main Data'!$A577:$O577,0))</f>
        <v>Walk-in</v>
      </c>
      <c r="H578" s="2" t="str">
        <f>INDEX('Main Data'!$A$1:$O$1001,MATCH('Index&amp;Match'!$A578,'Main Data'!$A$1:$A$1001,0),MATCH('Index&amp;Match'!H577,'Main Data'!$A577:$O577,0))</f>
        <v>Retail</v>
      </c>
      <c r="I578" s="2">
        <f>INDEX('Main Data'!$A$1:$O$1001,MATCH('Index&amp;Match'!$A578,'Main Data'!$A$1:$A$1001,0),MATCH('Index&amp;Match'!I577,'Main Data'!$A577:$O577,0))</f>
        <v>34</v>
      </c>
      <c r="J578" s="2">
        <f>INDEX('Main Data'!$A$1:$O$1001,MATCH('Index&amp;Match'!$A578,'Main Data'!$A$1:$A$1001,0),MATCH('Index&amp;Match'!J577,'Main Data'!$A577:$O577,0))</f>
        <v>34</v>
      </c>
      <c r="K578" s="11">
        <f>INDEX('Main Data'!$A$1:$O$1001,MATCH('Index&amp;Match'!$A578,'Main Data'!$A$1:$A$1001,0),MATCH('Index&amp;Match'!K577,'Main Data'!$A577:$O577,0))</f>
        <v>1571.46</v>
      </c>
      <c r="L578" s="11">
        <f>INDEX('Main Data'!$A$1:$O$1001,MATCH('Index&amp;Match'!$A578,'Main Data'!$A$1:$A$1001,0),MATCH('Index&amp;Match'!L577,'Main Data'!$A577:$O577,0))</f>
        <v>297.39</v>
      </c>
      <c r="M578" s="11">
        <f>INDEX('Main Data'!$A$1:$O$1001,MATCH('Index&amp;Match'!$A578,'Main Data'!$A$1:$A$1001,0),MATCH('Index&amp;Match'!M577,'Main Data'!$A577:$O577,0))</f>
        <v>190.28</v>
      </c>
      <c r="N578" s="2" t="str">
        <f>INDEX('Main Data'!$A$1:$O$1001,MATCH('Index&amp;Match'!$A578,'Main Data'!$A$1:$A$1001,0),MATCH('Index&amp;Match'!N577,'Main Data'!$A577:$O577,0))</f>
        <v>Yes</v>
      </c>
      <c r="O578" s="2">
        <f>INDEX('Main Data'!$A$1:$O$1001,MATCH('Index&amp;Match'!$A578,'Main Data'!$A$1:$A$1001,0),MATCH('Index&amp;Match'!O577,'Main Data'!$A577:$O577,0))</f>
        <v>34</v>
      </c>
    </row>
    <row r="579" spans="1:15" x14ac:dyDescent="0.3">
      <c r="A579" s="2" t="s">
        <v>636</v>
      </c>
      <c r="B579" s="1">
        <f>INDEX('Main Data'!$A$1:$O$1001,MATCH('Index&amp;Match'!$A579,'Main Data'!$A$1:$A$1001,0),MATCH('Index&amp;Match'!B578,'Main Data'!$A578:$O578,0))</f>
        <v>46205</v>
      </c>
      <c r="C579" s="2" t="str">
        <f>INDEX('Main Data'!$A$1:$O$1001,MATCH('Index&amp;Match'!$A579,'Main Data'!$A$1:$A$1001,0),MATCH('Index&amp;Match'!C578,'Main Data'!$A578:$O578,0))</f>
        <v>Sam</v>
      </c>
      <c r="D579" s="2" t="str">
        <f>INDEX('Main Data'!$A$1:$O$1001,MATCH('Index&amp;Match'!$A579,'Main Data'!$A$1:$A$1001,0),MATCH('Index&amp;Match'!D578,'Main Data'!$A578:$O578,0))</f>
        <v>BR-005</v>
      </c>
      <c r="E579" s="2" t="str">
        <f>INDEX('Main Data'!$A$1:$O$1001,MATCH('Index&amp;Match'!$A579,'Main Data'!$A$1:$A$1001,0),MATCH('Index&amp;Match'!E578,'Main Data'!$A578:$O578,0))</f>
        <v>Central</v>
      </c>
      <c r="F579" s="2" t="str">
        <f>INDEX('Main Data'!$A$1:$O$1001,MATCH('Index&amp;Match'!$A579,'Main Data'!$A$1:$A$1001,0),MATCH('Index&amp;Match'!F578,'Main Data'!$A578:$O578,0))</f>
        <v>Auto Loan</v>
      </c>
      <c r="G579" s="2" t="str">
        <f>INDEX('Main Data'!$A$1:$O$1001,MATCH('Index&amp;Match'!$A579,'Main Data'!$A$1:$A$1001,0),MATCH('Index&amp;Match'!G578,'Main Data'!$A578:$O578,0))</f>
        <v>Walk-in</v>
      </c>
      <c r="H579" s="2" t="str">
        <f>INDEX('Main Data'!$A$1:$O$1001,MATCH('Index&amp;Match'!$A579,'Main Data'!$A$1:$A$1001,0),MATCH('Index&amp;Match'!H578,'Main Data'!$A578:$O578,0))</f>
        <v>High Net Worth</v>
      </c>
      <c r="I579" s="2">
        <f>INDEX('Main Data'!$A$1:$O$1001,MATCH('Index&amp;Match'!$A579,'Main Data'!$A$1:$A$1001,0),MATCH('Index&amp;Match'!I578,'Main Data'!$A578:$O578,0))</f>
        <v>31</v>
      </c>
      <c r="J579" s="2">
        <f>INDEX('Main Data'!$A$1:$O$1001,MATCH('Index&amp;Match'!$A579,'Main Data'!$A$1:$A$1001,0),MATCH('Index&amp;Match'!J578,'Main Data'!$A578:$O578,0))</f>
        <v>31</v>
      </c>
      <c r="K579" s="11">
        <f>INDEX('Main Data'!$A$1:$O$1001,MATCH('Index&amp;Match'!$A579,'Main Data'!$A$1:$A$1001,0),MATCH('Index&amp;Match'!K578,'Main Data'!$A578:$O578,0))</f>
        <v>5042.99</v>
      </c>
      <c r="L579" s="11">
        <f>INDEX('Main Data'!$A$1:$O$1001,MATCH('Index&amp;Match'!$A579,'Main Data'!$A$1:$A$1001,0),MATCH('Index&amp;Match'!L578,'Main Data'!$A578:$O578,0))</f>
        <v>253.56</v>
      </c>
      <c r="M579" s="11">
        <f>INDEX('Main Data'!$A$1:$O$1001,MATCH('Index&amp;Match'!$A579,'Main Data'!$A$1:$A$1001,0),MATCH('Index&amp;Match'!M578,'Main Data'!$A578:$O578,0))</f>
        <v>186.69</v>
      </c>
      <c r="N579" s="2" t="str">
        <f>INDEX('Main Data'!$A$1:$O$1001,MATCH('Index&amp;Match'!$A579,'Main Data'!$A$1:$A$1001,0),MATCH('Index&amp;Match'!N578,'Main Data'!$A578:$O578,0))</f>
        <v>Yes</v>
      </c>
      <c r="O579" s="2">
        <f>INDEX('Main Data'!$A$1:$O$1001,MATCH('Index&amp;Match'!$A579,'Main Data'!$A$1:$A$1001,0),MATCH('Index&amp;Match'!O578,'Main Data'!$A578:$O578,0))</f>
        <v>31</v>
      </c>
    </row>
    <row r="580" spans="1:15" x14ac:dyDescent="0.3">
      <c r="A580" s="2" t="s">
        <v>637</v>
      </c>
      <c r="B580" s="1">
        <f>INDEX('Main Data'!$A$1:$O$1001,MATCH('Index&amp;Match'!$A580,'Main Data'!$A$1:$A$1001,0),MATCH('Index&amp;Match'!B579,'Main Data'!$A579:$O579,0))</f>
        <v>46177</v>
      </c>
      <c r="C580" s="2" t="str">
        <f>INDEX('Main Data'!$A$1:$O$1001,MATCH('Index&amp;Match'!$A580,'Main Data'!$A$1:$A$1001,0),MATCH('Index&amp;Match'!C579,'Main Data'!$A579:$O579,0))</f>
        <v>Jordan</v>
      </c>
      <c r="D580" s="2" t="str">
        <f>INDEX('Main Data'!$A$1:$O$1001,MATCH('Index&amp;Match'!$A580,'Main Data'!$A$1:$A$1001,0),MATCH('Index&amp;Match'!D579,'Main Data'!$A579:$O579,0))</f>
        <v>BR-008</v>
      </c>
      <c r="E580" s="2" t="str">
        <f>INDEX('Main Data'!$A$1:$O$1001,MATCH('Index&amp;Match'!$A580,'Main Data'!$A$1:$A$1001,0),MATCH('Index&amp;Match'!E579,'Main Data'!$A579:$O579,0))</f>
        <v>West</v>
      </c>
      <c r="F580" s="2" t="str">
        <f>INDEX('Main Data'!$A$1:$O$1001,MATCH('Index&amp;Match'!$A580,'Main Data'!$A$1:$A$1001,0),MATCH('Index&amp;Match'!F579,'Main Data'!$A579:$O579,0))</f>
        <v>Auto Loan</v>
      </c>
      <c r="G580" s="2" t="str">
        <f>INDEX('Main Data'!$A$1:$O$1001,MATCH('Index&amp;Match'!$A580,'Main Data'!$A$1:$A$1001,0),MATCH('Index&amp;Match'!G579,'Main Data'!$A579:$O579,0))</f>
        <v>Referral</v>
      </c>
      <c r="H580" s="2" t="str">
        <f>INDEX('Main Data'!$A$1:$O$1001,MATCH('Index&amp;Match'!$A580,'Main Data'!$A$1:$A$1001,0),MATCH('Index&amp;Match'!H579,'Main Data'!$A579:$O579,0))</f>
        <v>Corporate</v>
      </c>
      <c r="I580" s="2">
        <f>INDEX('Main Data'!$A$1:$O$1001,MATCH('Index&amp;Match'!$A580,'Main Data'!$A$1:$A$1001,0),MATCH('Index&amp;Match'!I579,'Main Data'!$A579:$O579,0))</f>
        <v>46</v>
      </c>
      <c r="J580" s="2">
        <f>INDEX('Main Data'!$A$1:$O$1001,MATCH('Index&amp;Match'!$A580,'Main Data'!$A$1:$A$1001,0),MATCH('Index&amp;Match'!J579,'Main Data'!$A579:$O579,0))</f>
        <v>46</v>
      </c>
      <c r="K580" s="11">
        <f>INDEX('Main Data'!$A$1:$O$1001,MATCH('Index&amp;Match'!$A580,'Main Data'!$A$1:$A$1001,0),MATCH('Index&amp;Match'!K579,'Main Data'!$A579:$O579,0))</f>
        <v>34207.19</v>
      </c>
      <c r="L580" s="11">
        <f>INDEX('Main Data'!$A$1:$O$1001,MATCH('Index&amp;Match'!$A580,'Main Data'!$A$1:$A$1001,0),MATCH('Index&amp;Match'!L579,'Main Data'!$A579:$O579,0))</f>
        <v>126.24</v>
      </c>
      <c r="M580" s="11">
        <f>INDEX('Main Data'!$A$1:$O$1001,MATCH('Index&amp;Match'!$A580,'Main Data'!$A$1:$A$1001,0),MATCH('Index&amp;Match'!M579,'Main Data'!$A579:$O579,0))</f>
        <v>141.34</v>
      </c>
      <c r="N580" s="2" t="str">
        <f>INDEX('Main Data'!$A$1:$O$1001,MATCH('Index&amp;Match'!$A580,'Main Data'!$A$1:$A$1001,0),MATCH('Index&amp;Match'!N579,'Main Data'!$A579:$O579,0))</f>
        <v>Yes</v>
      </c>
      <c r="O580" s="2">
        <f>INDEX('Main Data'!$A$1:$O$1001,MATCH('Index&amp;Match'!$A580,'Main Data'!$A$1:$A$1001,0),MATCH('Index&amp;Match'!O579,'Main Data'!$A579:$O579,0))</f>
        <v>46</v>
      </c>
    </row>
    <row r="581" spans="1:15" x14ac:dyDescent="0.3">
      <c r="A581" s="2" t="s">
        <v>638</v>
      </c>
      <c r="B581" s="1">
        <f>INDEX('Main Data'!$A$1:$O$1001,MATCH('Index&amp;Match'!$A581,'Main Data'!$A$1:$A$1001,0),MATCH('Index&amp;Match'!B580,'Main Data'!$A580:$O580,0))</f>
        <v>45998</v>
      </c>
      <c r="C581" s="2" t="str">
        <f>INDEX('Main Data'!$A$1:$O$1001,MATCH('Index&amp;Match'!$A581,'Main Data'!$A$1:$A$1001,0),MATCH('Index&amp;Match'!C580,'Main Data'!$A580:$O580,0))</f>
        <v>Jordan</v>
      </c>
      <c r="D581" s="2" t="str">
        <f>INDEX('Main Data'!$A$1:$O$1001,MATCH('Index&amp;Match'!$A581,'Main Data'!$A$1:$A$1001,0),MATCH('Index&amp;Match'!D580,'Main Data'!$A580:$O580,0))</f>
        <v>BR-015</v>
      </c>
      <c r="E581" s="2" t="str">
        <f>INDEX('Main Data'!$A$1:$O$1001,MATCH('Index&amp;Match'!$A581,'Main Data'!$A$1:$A$1001,0),MATCH('Index&amp;Match'!E580,'Main Data'!$A580:$O580,0))</f>
        <v>East</v>
      </c>
      <c r="F581" s="2" t="str">
        <f>INDEX('Main Data'!$A$1:$O$1001,MATCH('Index&amp;Match'!$A581,'Main Data'!$A$1:$A$1001,0),MATCH('Index&amp;Match'!F580,'Main Data'!$A580:$O580,0))</f>
        <v>Wealth Management</v>
      </c>
      <c r="G581" s="2" t="str">
        <f>INDEX('Main Data'!$A$1:$O$1001,MATCH('Index&amp;Match'!$A581,'Main Data'!$A$1:$A$1001,0),MATCH('Index&amp;Match'!G580,'Main Data'!$A580:$O580,0))</f>
        <v>Walk-in</v>
      </c>
      <c r="H581" s="2" t="str">
        <f>INDEX('Main Data'!$A$1:$O$1001,MATCH('Index&amp;Match'!$A581,'Main Data'!$A$1:$A$1001,0),MATCH('Index&amp;Match'!H580,'Main Data'!$A580:$O580,0))</f>
        <v>Corporate</v>
      </c>
      <c r="I581" s="2">
        <f>INDEX('Main Data'!$A$1:$O$1001,MATCH('Index&amp;Match'!$A581,'Main Data'!$A$1:$A$1001,0),MATCH('Index&amp;Match'!I580,'Main Data'!$A580:$O580,0))</f>
        <v>62</v>
      </c>
      <c r="J581" s="2">
        <f>INDEX('Main Data'!$A$1:$O$1001,MATCH('Index&amp;Match'!$A581,'Main Data'!$A$1:$A$1001,0),MATCH('Index&amp;Match'!J580,'Main Data'!$A580:$O580,0))</f>
        <v>62</v>
      </c>
      <c r="K581" s="11">
        <f>INDEX('Main Data'!$A$1:$O$1001,MATCH('Index&amp;Match'!$A581,'Main Data'!$A$1:$A$1001,0),MATCH('Index&amp;Match'!K580,'Main Data'!$A580:$O580,0))</f>
        <v>44026.559999999998</v>
      </c>
      <c r="L581" s="11">
        <f>INDEX('Main Data'!$A$1:$O$1001,MATCH('Index&amp;Match'!$A581,'Main Data'!$A$1:$A$1001,0),MATCH('Index&amp;Match'!L580,'Main Data'!$A580:$O580,0))</f>
        <v>336.57</v>
      </c>
      <c r="M581" s="11">
        <f>INDEX('Main Data'!$A$1:$O$1001,MATCH('Index&amp;Match'!$A581,'Main Data'!$A$1:$A$1001,0),MATCH('Index&amp;Match'!M580,'Main Data'!$A580:$O580,0))</f>
        <v>59.61</v>
      </c>
      <c r="N581" s="2" t="str">
        <f>INDEX('Main Data'!$A$1:$O$1001,MATCH('Index&amp;Match'!$A581,'Main Data'!$A$1:$A$1001,0),MATCH('Index&amp;Match'!N580,'Main Data'!$A580:$O580,0))</f>
        <v>Yes</v>
      </c>
      <c r="O581" s="2">
        <f>INDEX('Main Data'!$A$1:$O$1001,MATCH('Index&amp;Match'!$A581,'Main Data'!$A$1:$A$1001,0),MATCH('Index&amp;Match'!O580,'Main Data'!$A580:$O580,0))</f>
        <v>62</v>
      </c>
    </row>
    <row r="582" spans="1:15" x14ac:dyDescent="0.3">
      <c r="A582" s="2" t="s">
        <v>639</v>
      </c>
      <c r="B582" s="1">
        <f>INDEX('Main Data'!$A$1:$O$1001,MATCH('Index&amp;Match'!$A582,'Main Data'!$A$1:$A$1001,0),MATCH('Index&amp;Match'!B581,'Main Data'!$A581:$O581,0))</f>
        <v>46038</v>
      </c>
      <c r="C582" s="2" t="str">
        <f>INDEX('Main Data'!$A$1:$O$1001,MATCH('Index&amp;Match'!$A582,'Main Data'!$A$1:$A$1001,0),MATCH('Index&amp;Match'!C581,'Main Data'!$A581:$O581,0))</f>
        <v>Sam</v>
      </c>
      <c r="D582" s="2" t="str">
        <f>INDEX('Main Data'!$A$1:$O$1001,MATCH('Index&amp;Match'!$A582,'Main Data'!$A$1:$A$1001,0),MATCH('Index&amp;Match'!D581,'Main Data'!$A581:$O581,0))</f>
        <v>BR-010</v>
      </c>
      <c r="E582" s="2" t="str">
        <f>INDEX('Main Data'!$A$1:$O$1001,MATCH('Index&amp;Match'!$A582,'Main Data'!$A$1:$A$1001,0),MATCH('Index&amp;Match'!E581,'Main Data'!$A581:$O581,0))</f>
        <v>South</v>
      </c>
      <c r="F582" s="2" t="str">
        <f>INDEX('Main Data'!$A$1:$O$1001,MATCH('Index&amp;Match'!$A582,'Main Data'!$A$1:$A$1001,0),MATCH('Index&amp;Match'!F581,'Main Data'!$A581:$O581,0))</f>
        <v>Mortgage</v>
      </c>
      <c r="G582" s="2" t="str">
        <f>INDEX('Main Data'!$A$1:$O$1001,MATCH('Index&amp;Match'!$A582,'Main Data'!$A$1:$A$1001,0),MATCH('Index&amp;Match'!G581,'Main Data'!$A581:$O581,0))</f>
        <v>Email Campaign</v>
      </c>
      <c r="H582" s="2" t="str">
        <f>INDEX('Main Data'!$A$1:$O$1001,MATCH('Index&amp;Match'!$A582,'Main Data'!$A$1:$A$1001,0),MATCH('Index&amp;Match'!H581,'Main Data'!$A581:$O581,0))</f>
        <v>SME</v>
      </c>
      <c r="I582" s="2">
        <f>INDEX('Main Data'!$A$1:$O$1001,MATCH('Index&amp;Match'!$A582,'Main Data'!$A$1:$A$1001,0),MATCH('Index&amp;Match'!I581,'Main Data'!$A581:$O581,0))</f>
        <v>47</v>
      </c>
      <c r="J582" s="2">
        <f>INDEX('Main Data'!$A$1:$O$1001,MATCH('Index&amp;Match'!$A582,'Main Data'!$A$1:$A$1001,0),MATCH('Index&amp;Match'!J581,'Main Data'!$A581:$O581,0))</f>
        <v>47</v>
      </c>
      <c r="K582" s="11">
        <f>INDEX('Main Data'!$A$1:$O$1001,MATCH('Index&amp;Match'!$A582,'Main Data'!$A$1:$A$1001,0),MATCH('Index&amp;Match'!K581,'Main Data'!$A581:$O581,0))</f>
        <v>25954.240000000002</v>
      </c>
      <c r="L582" s="11">
        <f>INDEX('Main Data'!$A$1:$O$1001,MATCH('Index&amp;Match'!$A582,'Main Data'!$A$1:$A$1001,0),MATCH('Index&amp;Match'!L581,'Main Data'!$A581:$O581,0))</f>
        <v>488.65</v>
      </c>
      <c r="M582" s="11">
        <f>INDEX('Main Data'!$A$1:$O$1001,MATCH('Index&amp;Match'!$A582,'Main Data'!$A$1:$A$1001,0),MATCH('Index&amp;Match'!M581,'Main Data'!$A581:$O581,0))</f>
        <v>82.42</v>
      </c>
      <c r="N582" s="2" t="str">
        <f>INDEX('Main Data'!$A$1:$O$1001,MATCH('Index&amp;Match'!$A582,'Main Data'!$A$1:$A$1001,0),MATCH('Index&amp;Match'!N581,'Main Data'!$A581:$O581,0))</f>
        <v>No</v>
      </c>
      <c r="O582" s="2">
        <f>INDEX('Main Data'!$A$1:$O$1001,MATCH('Index&amp;Match'!$A582,'Main Data'!$A$1:$A$1001,0),MATCH('Index&amp;Match'!O581,'Main Data'!$A581:$O581,0))</f>
        <v>47</v>
      </c>
    </row>
    <row r="583" spans="1:15" x14ac:dyDescent="0.3">
      <c r="A583" s="2" t="s">
        <v>640</v>
      </c>
      <c r="B583" s="1">
        <f>INDEX('Main Data'!$A$1:$O$1001,MATCH('Index&amp;Match'!$A583,'Main Data'!$A$1:$A$1001,0),MATCH('Index&amp;Match'!B582,'Main Data'!$A582:$O582,0))</f>
        <v>46118</v>
      </c>
      <c r="C583" s="2" t="str">
        <f>INDEX('Main Data'!$A$1:$O$1001,MATCH('Index&amp;Match'!$A583,'Main Data'!$A$1:$A$1001,0),MATCH('Index&amp;Match'!C582,'Main Data'!$A582:$O582,0))</f>
        <v>Alex</v>
      </c>
      <c r="D583" s="2" t="str">
        <f>INDEX('Main Data'!$A$1:$O$1001,MATCH('Index&amp;Match'!$A583,'Main Data'!$A$1:$A$1001,0),MATCH('Index&amp;Match'!D582,'Main Data'!$A582:$O582,0))</f>
        <v>BR-001</v>
      </c>
      <c r="E583" s="2" t="str">
        <f>INDEX('Main Data'!$A$1:$O$1001,MATCH('Index&amp;Match'!$A583,'Main Data'!$A$1:$A$1001,0),MATCH('Index&amp;Match'!E582,'Main Data'!$A582:$O582,0))</f>
        <v>South</v>
      </c>
      <c r="F583" s="2" t="str">
        <f>INDEX('Main Data'!$A$1:$O$1001,MATCH('Index&amp;Match'!$A583,'Main Data'!$A$1:$A$1001,0),MATCH('Index&amp;Match'!F582,'Main Data'!$A582:$O582,0))</f>
        <v>Auto Loan</v>
      </c>
      <c r="G583" s="2" t="str">
        <f>INDEX('Main Data'!$A$1:$O$1001,MATCH('Index&amp;Match'!$A583,'Main Data'!$A$1:$A$1001,0),MATCH('Index&amp;Match'!G582,'Main Data'!$A582:$O582,0))</f>
        <v>Referral</v>
      </c>
      <c r="H583" s="2" t="str">
        <f>INDEX('Main Data'!$A$1:$O$1001,MATCH('Index&amp;Match'!$A583,'Main Data'!$A$1:$A$1001,0),MATCH('Index&amp;Match'!H582,'Main Data'!$A582:$O582,0))</f>
        <v>High Net Worth</v>
      </c>
      <c r="I583" s="2">
        <f>INDEX('Main Data'!$A$1:$O$1001,MATCH('Index&amp;Match'!$A583,'Main Data'!$A$1:$A$1001,0),MATCH('Index&amp;Match'!I582,'Main Data'!$A582:$O582,0))</f>
        <v>31</v>
      </c>
      <c r="J583" s="2">
        <f>INDEX('Main Data'!$A$1:$O$1001,MATCH('Index&amp;Match'!$A583,'Main Data'!$A$1:$A$1001,0),MATCH('Index&amp;Match'!J582,'Main Data'!$A582:$O582,0))</f>
        <v>31</v>
      </c>
      <c r="K583" s="11">
        <f>INDEX('Main Data'!$A$1:$O$1001,MATCH('Index&amp;Match'!$A583,'Main Data'!$A$1:$A$1001,0),MATCH('Index&amp;Match'!K582,'Main Data'!$A582:$O582,0))</f>
        <v>27189.96</v>
      </c>
      <c r="L583" s="11">
        <f>INDEX('Main Data'!$A$1:$O$1001,MATCH('Index&amp;Match'!$A583,'Main Data'!$A$1:$A$1001,0),MATCH('Index&amp;Match'!L582,'Main Data'!$A582:$O582,0))</f>
        <v>421.52</v>
      </c>
      <c r="M583" s="11">
        <f>INDEX('Main Data'!$A$1:$O$1001,MATCH('Index&amp;Match'!$A583,'Main Data'!$A$1:$A$1001,0),MATCH('Index&amp;Match'!M582,'Main Data'!$A582:$O582,0))</f>
        <v>67.14</v>
      </c>
      <c r="N583" s="2" t="str">
        <f>INDEX('Main Data'!$A$1:$O$1001,MATCH('Index&amp;Match'!$A583,'Main Data'!$A$1:$A$1001,0),MATCH('Index&amp;Match'!N582,'Main Data'!$A582:$O582,0))</f>
        <v>Yes</v>
      </c>
      <c r="O583" s="2">
        <f>INDEX('Main Data'!$A$1:$O$1001,MATCH('Index&amp;Match'!$A583,'Main Data'!$A$1:$A$1001,0),MATCH('Index&amp;Match'!O582,'Main Data'!$A582:$O582,0))</f>
        <v>31</v>
      </c>
    </row>
    <row r="584" spans="1:15" x14ac:dyDescent="0.3">
      <c r="A584" s="2" t="s">
        <v>641</v>
      </c>
      <c r="B584" s="1">
        <f>INDEX('Main Data'!$A$1:$O$1001,MATCH('Index&amp;Match'!$A584,'Main Data'!$A$1:$A$1001,0),MATCH('Index&amp;Match'!B583,'Main Data'!$A583:$O583,0))</f>
        <v>45874</v>
      </c>
      <c r="C584" s="2" t="str">
        <f>INDEX('Main Data'!$A$1:$O$1001,MATCH('Index&amp;Match'!$A584,'Main Data'!$A$1:$A$1001,0),MATCH('Index&amp;Match'!C583,'Main Data'!$A583:$O583,0))</f>
        <v>Morgan</v>
      </c>
      <c r="D584" s="2" t="str">
        <f>INDEX('Main Data'!$A$1:$O$1001,MATCH('Index&amp;Match'!$A584,'Main Data'!$A$1:$A$1001,0),MATCH('Index&amp;Match'!D583,'Main Data'!$A583:$O583,0))</f>
        <v>BR-012</v>
      </c>
      <c r="E584" s="2" t="str">
        <f>INDEX('Main Data'!$A$1:$O$1001,MATCH('Index&amp;Match'!$A584,'Main Data'!$A$1:$A$1001,0),MATCH('Index&amp;Match'!E583,'Main Data'!$A583:$O583,0))</f>
        <v>Central</v>
      </c>
      <c r="F584" s="2" t="str">
        <f>INDEX('Main Data'!$A$1:$O$1001,MATCH('Index&amp;Match'!$A584,'Main Data'!$A$1:$A$1001,0),MATCH('Index&amp;Match'!F583,'Main Data'!$A583:$O583,0))</f>
        <v>Personal Loan</v>
      </c>
      <c r="G584" s="2" t="str">
        <f>INDEX('Main Data'!$A$1:$O$1001,MATCH('Index&amp;Match'!$A584,'Main Data'!$A$1:$A$1001,0),MATCH('Index&amp;Match'!G583,'Main Data'!$A583:$O583,0))</f>
        <v>Referral</v>
      </c>
      <c r="H584" s="2" t="str">
        <f>INDEX('Main Data'!$A$1:$O$1001,MATCH('Index&amp;Match'!$A584,'Main Data'!$A$1:$A$1001,0),MATCH('Index&amp;Match'!H583,'Main Data'!$A583:$O583,0))</f>
        <v>Retail</v>
      </c>
      <c r="I584" s="2">
        <f>INDEX('Main Data'!$A$1:$O$1001,MATCH('Index&amp;Match'!$A584,'Main Data'!$A$1:$A$1001,0),MATCH('Index&amp;Match'!I583,'Main Data'!$A583:$O583,0))</f>
        <v>58</v>
      </c>
      <c r="J584" s="2">
        <f>INDEX('Main Data'!$A$1:$O$1001,MATCH('Index&amp;Match'!$A584,'Main Data'!$A$1:$A$1001,0),MATCH('Index&amp;Match'!J583,'Main Data'!$A583:$O583,0))</f>
        <v>58</v>
      </c>
      <c r="K584" s="11">
        <f>INDEX('Main Data'!$A$1:$O$1001,MATCH('Index&amp;Match'!$A584,'Main Data'!$A$1:$A$1001,0),MATCH('Index&amp;Match'!K583,'Main Data'!$A583:$O583,0))</f>
        <v>13127.12</v>
      </c>
      <c r="L584" s="11">
        <f>INDEX('Main Data'!$A$1:$O$1001,MATCH('Index&amp;Match'!$A584,'Main Data'!$A$1:$A$1001,0),MATCH('Index&amp;Match'!L583,'Main Data'!$A583:$O583,0))</f>
        <v>77</v>
      </c>
      <c r="M584" s="11">
        <f>INDEX('Main Data'!$A$1:$O$1001,MATCH('Index&amp;Match'!$A584,'Main Data'!$A$1:$A$1001,0),MATCH('Index&amp;Match'!M583,'Main Data'!$A583:$O583,0))</f>
        <v>186.51</v>
      </c>
      <c r="N584" s="2" t="str">
        <f>INDEX('Main Data'!$A$1:$O$1001,MATCH('Index&amp;Match'!$A584,'Main Data'!$A$1:$A$1001,0),MATCH('Index&amp;Match'!N583,'Main Data'!$A583:$O583,0))</f>
        <v>Yes</v>
      </c>
      <c r="O584" s="2">
        <f>INDEX('Main Data'!$A$1:$O$1001,MATCH('Index&amp;Match'!$A584,'Main Data'!$A$1:$A$1001,0),MATCH('Index&amp;Match'!O583,'Main Data'!$A583:$O583,0))</f>
        <v>58</v>
      </c>
    </row>
    <row r="585" spans="1:15" x14ac:dyDescent="0.3">
      <c r="A585" s="2" t="s">
        <v>642</v>
      </c>
      <c r="B585" s="1">
        <f>INDEX('Main Data'!$A$1:$O$1001,MATCH('Index&amp;Match'!$A585,'Main Data'!$A$1:$A$1001,0),MATCH('Index&amp;Match'!B584,'Main Data'!$A584:$O584,0))</f>
        <v>46096</v>
      </c>
      <c r="C585" s="2" t="str">
        <f>INDEX('Main Data'!$A$1:$O$1001,MATCH('Index&amp;Match'!$A585,'Main Data'!$A$1:$A$1001,0),MATCH('Index&amp;Match'!C584,'Main Data'!$A584:$O584,0))</f>
        <v>Jordan</v>
      </c>
      <c r="D585" s="2" t="str">
        <f>INDEX('Main Data'!$A$1:$O$1001,MATCH('Index&amp;Match'!$A585,'Main Data'!$A$1:$A$1001,0),MATCH('Index&amp;Match'!D584,'Main Data'!$A584:$O584,0))</f>
        <v>BR-015</v>
      </c>
      <c r="E585" s="2" t="str">
        <f>INDEX('Main Data'!$A$1:$O$1001,MATCH('Index&amp;Match'!$A585,'Main Data'!$A$1:$A$1001,0),MATCH('Index&amp;Match'!E584,'Main Data'!$A584:$O584,0))</f>
        <v>North</v>
      </c>
      <c r="F585" s="2" t="str">
        <f>INDEX('Main Data'!$A$1:$O$1001,MATCH('Index&amp;Match'!$A585,'Main Data'!$A$1:$A$1001,0),MATCH('Index&amp;Match'!F584,'Main Data'!$A584:$O584,0))</f>
        <v>Personal Loan</v>
      </c>
      <c r="G585" s="2" t="str">
        <f>INDEX('Main Data'!$A$1:$O$1001,MATCH('Index&amp;Match'!$A585,'Main Data'!$A$1:$A$1001,0),MATCH('Index&amp;Match'!G584,'Main Data'!$A584:$O584,0))</f>
        <v>Website</v>
      </c>
      <c r="H585" s="2" t="str">
        <f>INDEX('Main Data'!$A$1:$O$1001,MATCH('Index&amp;Match'!$A585,'Main Data'!$A$1:$A$1001,0),MATCH('Index&amp;Match'!H584,'Main Data'!$A584:$O584,0))</f>
        <v>High Net Worth</v>
      </c>
      <c r="I585" s="2">
        <f>INDEX('Main Data'!$A$1:$O$1001,MATCH('Index&amp;Match'!$A585,'Main Data'!$A$1:$A$1001,0),MATCH('Index&amp;Match'!I584,'Main Data'!$A584:$O584,0))</f>
        <v>54</v>
      </c>
      <c r="J585" s="2">
        <f>INDEX('Main Data'!$A$1:$O$1001,MATCH('Index&amp;Match'!$A585,'Main Data'!$A$1:$A$1001,0),MATCH('Index&amp;Match'!J584,'Main Data'!$A584:$O584,0))</f>
        <v>54</v>
      </c>
      <c r="K585" s="11">
        <f>INDEX('Main Data'!$A$1:$O$1001,MATCH('Index&amp;Match'!$A585,'Main Data'!$A$1:$A$1001,0),MATCH('Index&amp;Match'!K584,'Main Data'!$A584:$O584,0))</f>
        <v>38509.879999999997</v>
      </c>
      <c r="L585" s="11">
        <f>INDEX('Main Data'!$A$1:$O$1001,MATCH('Index&amp;Match'!$A585,'Main Data'!$A$1:$A$1001,0),MATCH('Index&amp;Match'!L584,'Main Data'!$A584:$O584,0))</f>
        <v>219.3</v>
      </c>
      <c r="M585" s="11">
        <f>INDEX('Main Data'!$A$1:$O$1001,MATCH('Index&amp;Match'!$A585,'Main Data'!$A$1:$A$1001,0),MATCH('Index&amp;Match'!M584,'Main Data'!$A584:$O584,0))</f>
        <v>146.43</v>
      </c>
      <c r="N585" s="2" t="str">
        <f>INDEX('Main Data'!$A$1:$O$1001,MATCH('Index&amp;Match'!$A585,'Main Data'!$A$1:$A$1001,0),MATCH('Index&amp;Match'!N584,'Main Data'!$A584:$O584,0))</f>
        <v>No</v>
      </c>
      <c r="O585" s="2">
        <f>INDEX('Main Data'!$A$1:$O$1001,MATCH('Index&amp;Match'!$A585,'Main Data'!$A$1:$A$1001,0),MATCH('Index&amp;Match'!O584,'Main Data'!$A584:$O584,0))</f>
        <v>54</v>
      </c>
    </row>
    <row r="586" spans="1:15" x14ac:dyDescent="0.3">
      <c r="A586" s="2" t="s">
        <v>643</v>
      </c>
      <c r="B586" s="1">
        <f>INDEX('Main Data'!$A$1:$O$1001,MATCH('Index&amp;Match'!$A586,'Main Data'!$A$1:$A$1001,0),MATCH('Index&amp;Match'!B585,'Main Data'!$A585:$O585,0))</f>
        <v>46227</v>
      </c>
      <c r="C586" s="2" t="str">
        <f>INDEX('Main Data'!$A$1:$O$1001,MATCH('Index&amp;Match'!$A586,'Main Data'!$A$1:$A$1001,0),MATCH('Index&amp;Match'!C585,'Main Data'!$A585:$O585,0))</f>
        <v>Sam</v>
      </c>
      <c r="D586" s="2" t="str">
        <f>INDEX('Main Data'!$A$1:$O$1001,MATCH('Index&amp;Match'!$A586,'Main Data'!$A$1:$A$1001,0),MATCH('Index&amp;Match'!D585,'Main Data'!$A585:$O585,0))</f>
        <v>BR-010</v>
      </c>
      <c r="E586" s="2" t="str">
        <f>INDEX('Main Data'!$A$1:$O$1001,MATCH('Index&amp;Match'!$A586,'Main Data'!$A$1:$A$1001,0),MATCH('Index&amp;Match'!E585,'Main Data'!$A585:$O585,0))</f>
        <v>East</v>
      </c>
      <c r="F586" s="2" t="str">
        <f>INDEX('Main Data'!$A$1:$O$1001,MATCH('Index&amp;Match'!$A586,'Main Data'!$A$1:$A$1001,0),MATCH('Index&amp;Match'!F585,'Main Data'!$A585:$O585,0))</f>
        <v>Mortgage</v>
      </c>
      <c r="G586" s="2" t="str">
        <f>INDEX('Main Data'!$A$1:$O$1001,MATCH('Index&amp;Match'!$A586,'Main Data'!$A$1:$A$1001,0),MATCH('Index&amp;Match'!G585,'Main Data'!$A585:$O585,0))</f>
        <v>Website</v>
      </c>
      <c r="H586" s="2" t="str">
        <f>INDEX('Main Data'!$A$1:$O$1001,MATCH('Index&amp;Match'!$A586,'Main Data'!$A$1:$A$1001,0),MATCH('Index&amp;Match'!H585,'Main Data'!$A585:$O585,0))</f>
        <v>Corporate</v>
      </c>
      <c r="I586" s="2">
        <f>INDEX('Main Data'!$A$1:$O$1001,MATCH('Index&amp;Match'!$A586,'Main Data'!$A$1:$A$1001,0),MATCH('Index&amp;Match'!I585,'Main Data'!$A585:$O585,0))</f>
        <v>63</v>
      </c>
      <c r="J586" s="2">
        <f>INDEX('Main Data'!$A$1:$O$1001,MATCH('Index&amp;Match'!$A586,'Main Data'!$A$1:$A$1001,0),MATCH('Index&amp;Match'!J585,'Main Data'!$A585:$O585,0))</f>
        <v>63</v>
      </c>
      <c r="K586" s="11">
        <f>INDEX('Main Data'!$A$1:$O$1001,MATCH('Index&amp;Match'!$A586,'Main Data'!$A$1:$A$1001,0),MATCH('Index&amp;Match'!K585,'Main Data'!$A585:$O585,0))</f>
        <v>37713.83</v>
      </c>
      <c r="L586" s="11">
        <f>INDEX('Main Data'!$A$1:$O$1001,MATCH('Index&amp;Match'!$A586,'Main Data'!$A$1:$A$1001,0),MATCH('Index&amp;Match'!L585,'Main Data'!$A585:$O585,0))</f>
        <v>466.51</v>
      </c>
      <c r="M586" s="11">
        <f>INDEX('Main Data'!$A$1:$O$1001,MATCH('Index&amp;Match'!$A586,'Main Data'!$A$1:$A$1001,0),MATCH('Index&amp;Match'!M585,'Main Data'!$A585:$O585,0))</f>
        <v>126.09</v>
      </c>
      <c r="N586" s="2" t="str">
        <f>INDEX('Main Data'!$A$1:$O$1001,MATCH('Index&amp;Match'!$A586,'Main Data'!$A$1:$A$1001,0),MATCH('Index&amp;Match'!N585,'Main Data'!$A585:$O585,0))</f>
        <v>Yes</v>
      </c>
      <c r="O586" s="2">
        <f>INDEX('Main Data'!$A$1:$O$1001,MATCH('Index&amp;Match'!$A586,'Main Data'!$A$1:$A$1001,0),MATCH('Index&amp;Match'!O585,'Main Data'!$A585:$O585,0))</f>
        <v>63</v>
      </c>
    </row>
    <row r="587" spans="1:15" x14ac:dyDescent="0.3">
      <c r="A587" s="2" t="s">
        <v>644</v>
      </c>
      <c r="B587" s="1">
        <f>INDEX('Main Data'!$A$1:$O$1001,MATCH('Index&amp;Match'!$A587,'Main Data'!$A$1:$A$1001,0),MATCH('Index&amp;Match'!B586,'Main Data'!$A586:$O586,0))</f>
        <v>46164</v>
      </c>
      <c r="C587" s="2" t="str">
        <f>INDEX('Main Data'!$A$1:$O$1001,MATCH('Index&amp;Match'!$A587,'Main Data'!$A$1:$A$1001,0),MATCH('Index&amp;Match'!C586,'Main Data'!$A586:$O586,0))</f>
        <v>Jamie</v>
      </c>
      <c r="D587" s="2" t="str">
        <f>INDEX('Main Data'!$A$1:$O$1001,MATCH('Index&amp;Match'!$A587,'Main Data'!$A$1:$A$1001,0),MATCH('Index&amp;Match'!D586,'Main Data'!$A586:$O586,0))</f>
        <v>BR-009</v>
      </c>
      <c r="E587" s="2" t="str">
        <f>INDEX('Main Data'!$A$1:$O$1001,MATCH('Index&amp;Match'!$A587,'Main Data'!$A$1:$A$1001,0),MATCH('Index&amp;Match'!E586,'Main Data'!$A586:$O586,0))</f>
        <v>Central</v>
      </c>
      <c r="F587" s="2" t="str">
        <f>INDEX('Main Data'!$A$1:$O$1001,MATCH('Index&amp;Match'!$A587,'Main Data'!$A$1:$A$1001,0),MATCH('Index&amp;Match'!F586,'Main Data'!$A586:$O586,0))</f>
        <v>Credit Card</v>
      </c>
      <c r="G587" s="2" t="str">
        <f>INDEX('Main Data'!$A$1:$O$1001,MATCH('Index&amp;Match'!$A587,'Main Data'!$A$1:$A$1001,0),MATCH('Index&amp;Match'!G586,'Main Data'!$A586:$O586,0))</f>
        <v>Walk-in</v>
      </c>
      <c r="H587" s="2" t="str">
        <f>INDEX('Main Data'!$A$1:$O$1001,MATCH('Index&amp;Match'!$A587,'Main Data'!$A$1:$A$1001,0),MATCH('Index&amp;Match'!H586,'Main Data'!$A586:$O586,0))</f>
        <v>High Net Worth</v>
      </c>
      <c r="I587" s="2">
        <f>INDEX('Main Data'!$A$1:$O$1001,MATCH('Index&amp;Match'!$A587,'Main Data'!$A$1:$A$1001,0),MATCH('Index&amp;Match'!I586,'Main Data'!$A586:$O586,0))</f>
        <v>39</v>
      </c>
      <c r="J587" s="2">
        <f>INDEX('Main Data'!$A$1:$O$1001,MATCH('Index&amp;Match'!$A587,'Main Data'!$A$1:$A$1001,0),MATCH('Index&amp;Match'!J586,'Main Data'!$A586:$O586,0))</f>
        <v>39</v>
      </c>
      <c r="K587" s="11">
        <f>INDEX('Main Data'!$A$1:$O$1001,MATCH('Index&amp;Match'!$A587,'Main Data'!$A$1:$A$1001,0),MATCH('Index&amp;Match'!K586,'Main Data'!$A586:$O586,0))</f>
        <v>29624.1</v>
      </c>
      <c r="L587" s="11">
        <f>INDEX('Main Data'!$A$1:$O$1001,MATCH('Index&amp;Match'!$A587,'Main Data'!$A$1:$A$1001,0),MATCH('Index&amp;Match'!L586,'Main Data'!$A586:$O586,0))</f>
        <v>276.37</v>
      </c>
      <c r="M587" s="11">
        <f>INDEX('Main Data'!$A$1:$O$1001,MATCH('Index&amp;Match'!$A587,'Main Data'!$A$1:$A$1001,0),MATCH('Index&amp;Match'!M586,'Main Data'!$A586:$O586,0))</f>
        <v>220.27</v>
      </c>
      <c r="N587" s="2" t="str">
        <f>INDEX('Main Data'!$A$1:$O$1001,MATCH('Index&amp;Match'!$A587,'Main Data'!$A$1:$A$1001,0),MATCH('Index&amp;Match'!N586,'Main Data'!$A586:$O586,0))</f>
        <v>Yes</v>
      </c>
      <c r="O587" s="2">
        <f>INDEX('Main Data'!$A$1:$O$1001,MATCH('Index&amp;Match'!$A587,'Main Data'!$A$1:$A$1001,0),MATCH('Index&amp;Match'!O586,'Main Data'!$A586:$O586,0))</f>
        <v>39</v>
      </c>
    </row>
    <row r="588" spans="1:15" x14ac:dyDescent="0.3">
      <c r="A588" s="2" t="s">
        <v>645</v>
      </c>
      <c r="B588" s="1">
        <f>INDEX('Main Data'!$A$1:$O$1001,MATCH('Index&amp;Match'!$A588,'Main Data'!$A$1:$A$1001,0),MATCH('Index&amp;Match'!B587,'Main Data'!$A587:$O587,0))</f>
        <v>46121</v>
      </c>
      <c r="C588" s="2" t="str">
        <f>INDEX('Main Data'!$A$1:$O$1001,MATCH('Index&amp;Match'!$A588,'Main Data'!$A$1:$A$1001,0),MATCH('Index&amp;Match'!C587,'Main Data'!$A587:$O587,0))</f>
        <v>Sam</v>
      </c>
      <c r="D588" s="2" t="str">
        <f>INDEX('Main Data'!$A$1:$O$1001,MATCH('Index&amp;Match'!$A588,'Main Data'!$A$1:$A$1001,0),MATCH('Index&amp;Match'!D587,'Main Data'!$A587:$O587,0))</f>
        <v>BR-006</v>
      </c>
      <c r="E588" s="2" t="str">
        <f>INDEX('Main Data'!$A$1:$O$1001,MATCH('Index&amp;Match'!$A588,'Main Data'!$A$1:$A$1001,0),MATCH('Index&amp;Match'!E587,'Main Data'!$A587:$O587,0))</f>
        <v>East</v>
      </c>
      <c r="F588" s="2" t="str">
        <f>INDEX('Main Data'!$A$1:$O$1001,MATCH('Index&amp;Match'!$A588,'Main Data'!$A$1:$A$1001,0),MATCH('Index&amp;Match'!F587,'Main Data'!$A587:$O587,0))</f>
        <v>Credit Card</v>
      </c>
      <c r="G588" s="2" t="str">
        <f>INDEX('Main Data'!$A$1:$O$1001,MATCH('Index&amp;Match'!$A588,'Main Data'!$A$1:$A$1001,0),MATCH('Index&amp;Match'!G587,'Main Data'!$A587:$O587,0))</f>
        <v>Referral</v>
      </c>
      <c r="H588" s="2" t="str">
        <f>INDEX('Main Data'!$A$1:$O$1001,MATCH('Index&amp;Match'!$A588,'Main Data'!$A$1:$A$1001,0),MATCH('Index&amp;Match'!H587,'Main Data'!$A587:$O587,0))</f>
        <v>Retail</v>
      </c>
      <c r="I588" s="2">
        <f>INDEX('Main Data'!$A$1:$O$1001,MATCH('Index&amp;Match'!$A588,'Main Data'!$A$1:$A$1001,0),MATCH('Index&amp;Match'!I587,'Main Data'!$A587:$O587,0))</f>
        <v>26</v>
      </c>
      <c r="J588" s="2">
        <f>INDEX('Main Data'!$A$1:$O$1001,MATCH('Index&amp;Match'!$A588,'Main Data'!$A$1:$A$1001,0),MATCH('Index&amp;Match'!J587,'Main Data'!$A587:$O587,0))</f>
        <v>26</v>
      </c>
      <c r="K588" s="11">
        <f>INDEX('Main Data'!$A$1:$O$1001,MATCH('Index&amp;Match'!$A588,'Main Data'!$A$1:$A$1001,0),MATCH('Index&amp;Match'!K587,'Main Data'!$A587:$O587,0))</f>
        <v>11026.88</v>
      </c>
      <c r="L588" s="11">
        <f>INDEX('Main Data'!$A$1:$O$1001,MATCH('Index&amp;Match'!$A588,'Main Data'!$A$1:$A$1001,0),MATCH('Index&amp;Match'!L587,'Main Data'!$A587:$O587,0))</f>
        <v>347.95</v>
      </c>
      <c r="M588" s="11">
        <f>INDEX('Main Data'!$A$1:$O$1001,MATCH('Index&amp;Match'!$A588,'Main Data'!$A$1:$A$1001,0),MATCH('Index&amp;Match'!M587,'Main Data'!$A587:$O587,0))</f>
        <v>74.22</v>
      </c>
      <c r="N588" s="2" t="str">
        <f>INDEX('Main Data'!$A$1:$O$1001,MATCH('Index&amp;Match'!$A588,'Main Data'!$A$1:$A$1001,0),MATCH('Index&amp;Match'!N587,'Main Data'!$A587:$O587,0))</f>
        <v>Yes</v>
      </c>
      <c r="O588" s="2">
        <f>INDEX('Main Data'!$A$1:$O$1001,MATCH('Index&amp;Match'!$A588,'Main Data'!$A$1:$A$1001,0),MATCH('Index&amp;Match'!O587,'Main Data'!$A587:$O587,0))</f>
        <v>26</v>
      </c>
    </row>
    <row r="589" spans="1:15" x14ac:dyDescent="0.3">
      <c r="A589" s="2" t="s">
        <v>646</v>
      </c>
      <c r="B589" s="1">
        <f>INDEX('Main Data'!$A$1:$O$1001,MATCH('Index&amp;Match'!$A589,'Main Data'!$A$1:$A$1001,0),MATCH('Index&amp;Match'!B588,'Main Data'!$A588:$O588,0))</f>
        <v>46120</v>
      </c>
      <c r="C589" s="2" t="str">
        <f>INDEX('Main Data'!$A$1:$O$1001,MATCH('Index&amp;Match'!$A589,'Main Data'!$A$1:$A$1001,0),MATCH('Index&amp;Match'!C588,'Main Data'!$A588:$O588,0))</f>
        <v>Taylor</v>
      </c>
      <c r="D589" s="2" t="str">
        <f>INDEX('Main Data'!$A$1:$O$1001,MATCH('Index&amp;Match'!$A589,'Main Data'!$A$1:$A$1001,0),MATCH('Index&amp;Match'!D588,'Main Data'!$A588:$O588,0))</f>
        <v>BR-003</v>
      </c>
      <c r="E589" s="2" t="str">
        <f>INDEX('Main Data'!$A$1:$O$1001,MATCH('Index&amp;Match'!$A589,'Main Data'!$A$1:$A$1001,0),MATCH('Index&amp;Match'!E588,'Main Data'!$A588:$O588,0))</f>
        <v>North</v>
      </c>
      <c r="F589" s="2" t="str">
        <f>INDEX('Main Data'!$A$1:$O$1001,MATCH('Index&amp;Match'!$A589,'Main Data'!$A$1:$A$1001,0),MATCH('Index&amp;Match'!F588,'Main Data'!$A588:$O588,0))</f>
        <v>Credit Card</v>
      </c>
      <c r="G589" s="2" t="str">
        <f>INDEX('Main Data'!$A$1:$O$1001,MATCH('Index&amp;Match'!$A589,'Main Data'!$A$1:$A$1001,0),MATCH('Index&amp;Match'!G588,'Main Data'!$A588:$O588,0))</f>
        <v>Website</v>
      </c>
      <c r="H589" s="2" t="str">
        <f>INDEX('Main Data'!$A$1:$O$1001,MATCH('Index&amp;Match'!$A589,'Main Data'!$A$1:$A$1001,0),MATCH('Index&amp;Match'!H588,'Main Data'!$A588:$O588,0))</f>
        <v>Retail</v>
      </c>
      <c r="I589" s="2">
        <f>INDEX('Main Data'!$A$1:$O$1001,MATCH('Index&amp;Match'!$A589,'Main Data'!$A$1:$A$1001,0),MATCH('Index&amp;Match'!I588,'Main Data'!$A588:$O588,0))</f>
        <v>66</v>
      </c>
      <c r="J589" s="2">
        <f>INDEX('Main Data'!$A$1:$O$1001,MATCH('Index&amp;Match'!$A589,'Main Data'!$A$1:$A$1001,0),MATCH('Index&amp;Match'!J588,'Main Data'!$A588:$O588,0))</f>
        <v>66</v>
      </c>
      <c r="K589" s="11">
        <f>INDEX('Main Data'!$A$1:$O$1001,MATCH('Index&amp;Match'!$A589,'Main Data'!$A$1:$A$1001,0),MATCH('Index&amp;Match'!K588,'Main Data'!$A588:$O588,0))</f>
        <v>5302.4</v>
      </c>
      <c r="L589" s="11">
        <f>INDEX('Main Data'!$A$1:$O$1001,MATCH('Index&amp;Match'!$A589,'Main Data'!$A$1:$A$1001,0),MATCH('Index&amp;Match'!L588,'Main Data'!$A588:$O588,0))</f>
        <v>460.67</v>
      </c>
      <c r="M589" s="11">
        <f>INDEX('Main Data'!$A$1:$O$1001,MATCH('Index&amp;Match'!$A589,'Main Data'!$A$1:$A$1001,0),MATCH('Index&amp;Match'!M588,'Main Data'!$A588:$O588,0))</f>
        <v>144.02000000000001</v>
      </c>
      <c r="N589" s="2" t="str">
        <f>INDEX('Main Data'!$A$1:$O$1001,MATCH('Index&amp;Match'!$A589,'Main Data'!$A$1:$A$1001,0),MATCH('Index&amp;Match'!N588,'Main Data'!$A588:$O588,0))</f>
        <v>Yes</v>
      </c>
      <c r="O589" s="2">
        <f>INDEX('Main Data'!$A$1:$O$1001,MATCH('Index&amp;Match'!$A589,'Main Data'!$A$1:$A$1001,0),MATCH('Index&amp;Match'!O588,'Main Data'!$A588:$O588,0))</f>
        <v>66</v>
      </c>
    </row>
    <row r="590" spans="1:15" x14ac:dyDescent="0.3">
      <c r="A590" s="2" t="s">
        <v>647</v>
      </c>
      <c r="B590" s="1">
        <f>INDEX('Main Data'!$A$1:$O$1001,MATCH('Index&amp;Match'!$A590,'Main Data'!$A$1:$A$1001,0),MATCH('Index&amp;Match'!B589,'Main Data'!$A589:$O589,0))</f>
        <v>45871</v>
      </c>
      <c r="C590" s="2" t="str">
        <f>INDEX('Main Data'!$A$1:$O$1001,MATCH('Index&amp;Match'!$A590,'Main Data'!$A$1:$A$1001,0),MATCH('Index&amp;Match'!C589,'Main Data'!$A589:$O589,0))</f>
        <v>Morgan</v>
      </c>
      <c r="D590" s="2" t="str">
        <f>INDEX('Main Data'!$A$1:$O$1001,MATCH('Index&amp;Match'!$A590,'Main Data'!$A$1:$A$1001,0),MATCH('Index&amp;Match'!D589,'Main Data'!$A589:$O589,0))</f>
        <v>BR-013</v>
      </c>
      <c r="E590" s="2" t="str">
        <f>INDEX('Main Data'!$A$1:$O$1001,MATCH('Index&amp;Match'!$A590,'Main Data'!$A$1:$A$1001,0),MATCH('Index&amp;Match'!E589,'Main Data'!$A589:$O589,0))</f>
        <v>North</v>
      </c>
      <c r="F590" s="2" t="str">
        <f>INDEX('Main Data'!$A$1:$O$1001,MATCH('Index&amp;Match'!$A590,'Main Data'!$A$1:$A$1001,0),MATCH('Index&amp;Match'!F589,'Main Data'!$A589:$O589,0))</f>
        <v>Personal Loan</v>
      </c>
      <c r="G590" s="2" t="str">
        <f>INDEX('Main Data'!$A$1:$O$1001,MATCH('Index&amp;Match'!$A590,'Main Data'!$A$1:$A$1001,0),MATCH('Index&amp;Match'!G589,'Main Data'!$A589:$O589,0))</f>
        <v>Email Campaign</v>
      </c>
      <c r="H590" s="2" t="str">
        <f>INDEX('Main Data'!$A$1:$O$1001,MATCH('Index&amp;Match'!$A590,'Main Data'!$A$1:$A$1001,0),MATCH('Index&amp;Match'!H589,'Main Data'!$A589:$O589,0))</f>
        <v>SME</v>
      </c>
      <c r="I590" s="2">
        <f>INDEX('Main Data'!$A$1:$O$1001,MATCH('Index&amp;Match'!$A590,'Main Data'!$A$1:$A$1001,0),MATCH('Index&amp;Match'!I589,'Main Data'!$A589:$O589,0))</f>
        <v>72</v>
      </c>
      <c r="J590" s="2">
        <f>INDEX('Main Data'!$A$1:$O$1001,MATCH('Index&amp;Match'!$A590,'Main Data'!$A$1:$A$1001,0),MATCH('Index&amp;Match'!J589,'Main Data'!$A589:$O589,0))</f>
        <v>72</v>
      </c>
      <c r="K590" s="11">
        <f>INDEX('Main Data'!$A$1:$O$1001,MATCH('Index&amp;Match'!$A590,'Main Data'!$A$1:$A$1001,0),MATCH('Index&amp;Match'!K589,'Main Data'!$A589:$O589,0))</f>
        <v>3679.81</v>
      </c>
      <c r="L590" s="11">
        <f>INDEX('Main Data'!$A$1:$O$1001,MATCH('Index&amp;Match'!$A590,'Main Data'!$A$1:$A$1001,0),MATCH('Index&amp;Match'!L589,'Main Data'!$A589:$O589,0))</f>
        <v>443.21</v>
      </c>
      <c r="M590" s="11">
        <f>INDEX('Main Data'!$A$1:$O$1001,MATCH('Index&amp;Match'!$A590,'Main Data'!$A$1:$A$1001,0),MATCH('Index&amp;Match'!M589,'Main Data'!$A589:$O589,0))</f>
        <v>135.19999999999999</v>
      </c>
      <c r="N590" s="2" t="str">
        <f>INDEX('Main Data'!$A$1:$O$1001,MATCH('Index&amp;Match'!$A590,'Main Data'!$A$1:$A$1001,0),MATCH('Index&amp;Match'!N589,'Main Data'!$A589:$O589,0))</f>
        <v>Yes</v>
      </c>
      <c r="O590" s="2">
        <f>INDEX('Main Data'!$A$1:$O$1001,MATCH('Index&amp;Match'!$A590,'Main Data'!$A$1:$A$1001,0),MATCH('Index&amp;Match'!O589,'Main Data'!$A589:$O589,0))</f>
        <v>72</v>
      </c>
    </row>
    <row r="591" spans="1:15" x14ac:dyDescent="0.3">
      <c r="A591" s="2" t="s">
        <v>648</v>
      </c>
      <c r="B591" s="1">
        <f>INDEX('Main Data'!$A$1:$O$1001,MATCH('Index&amp;Match'!$A591,'Main Data'!$A$1:$A$1001,0),MATCH('Index&amp;Match'!B590,'Main Data'!$A590:$O590,0))</f>
        <v>45932</v>
      </c>
      <c r="C591" s="2" t="str">
        <f>INDEX('Main Data'!$A$1:$O$1001,MATCH('Index&amp;Match'!$A591,'Main Data'!$A$1:$A$1001,0),MATCH('Index&amp;Match'!C590,'Main Data'!$A590:$O590,0))</f>
        <v>Casey</v>
      </c>
      <c r="D591" s="2" t="str">
        <f>INDEX('Main Data'!$A$1:$O$1001,MATCH('Index&amp;Match'!$A591,'Main Data'!$A$1:$A$1001,0),MATCH('Index&amp;Match'!D590,'Main Data'!$A590:$O590,0))</f>
        <v>BR-014</v>
      </c>
      <c r="E591" s="2" t="str">
        <f>INDEX('Main Data'!$A$1:$O$1001,MATCH('Index&amp;Match'!$A591,'Main Data'!$A$1:$A$1001,0),MATCH('Index&amp;Match'!E590,'Main Data'!$A590:$O590,0))</f>
        <v>Central</v>
      </c>
      <c r="F591" s="2" t="str">
        <f>INDEX('Main Data'!$A$1:$O$1001,MATCH('Index&amp;Match'!$A591,'Main Data'!$A$1:$A$1001,0),MATCH('Index&amp;Match'!F590,'Main Data'!$A590:$O590,0))</f>
        <v>Credit Card</v>
      </c>
      <c r="G591" s="2" t="str">
        <f>INDEX('Main Data'!$A$1:$O$1001,MATCH('Index&amp;Match'!$A591,'Main Data'!$A$1:$A$1001,0),MATCH('Index&amp;Match'!G590,'Main Data'!$A590:$O590,0))</f>
        <v>Website</v>
      </c>
      <c r="H591" s="2" t="str">
        <f>INDEX('Main Data'!$A$1:$O$1001,MATCH('Index&amp;Match'!$A591,'Main Data'!$A$1:$A$1001,0),MATCH('Index&amp;Match'!H590,'Main Data'!$A590:$O590,0))</f>
        <v>Retail</v>
      </c>
      <c r="I591" s="2">
        <f>INDEX('Main Data'!$A$1:$O$1001,MATCH('Index&amp;Match'!$A591,'Main Data'!$A$1:$A$1001,0),MATCH('Index&amp;Match'!I590,'Main Data'!$A590:$O590,0))</f>
        <v>58</v>
      </c>
      <c r="J591" s="2">
        <f>INDEX('Main Data'!$A$1:$O$1001,MATCH('Index&amp;Match'!$A591,'Main Data'!$A$1:$A$1001,0),MATCH('Index&amp;Match'!J590,'Main Data'!$A590:$O590,0))</f>
        <v>58</v>
      </c>
      <c r="K591" s="11">
        <f>INDEX('Main Data'!$A$1:$O$1001,MATCH('Index&amp;Match'!$A591,'Main Data'!$A$1:$A$1001,0),MATCH('Index&amp;Match'!K590,'Main Data'!$A590:$O590,0))</f>
        <v>29838.46</v>
      </c>
      <c r="L591" s="11">
        <f>INDEX('Main Data'!$A$1:$O$1001,MATCH('Index&amp;Match'!$A591,'Main Data'!$A$1:$A$1001,0),MATCH('Index&amp;Match'!L590,'Main Data'!$A590:$O590,0))</f>
        <v>275.82</v>
      </c>
      <c r="M591" s="11">
        <f>INDEX('Main Data'!$A$1:$O$1001,MATCH('Index&amp;Match'!$A591,'Main Data'!$A$1:$A$1001,0),MATCH('Index&amp;Match'!M590,'Main Data'!$A590:$O590,0))</f>
        <v>141.13</v>
      </c>
      <c r="N591" s="2" t="str">
        <f>INDEX('Main Data'!$A$1:$O$1001,MATCH('Index&amp;Match'!$A591,'Main Data'!$A$1:$A$1001,0),MATCH('Index&amp;Match'!N590,'Main Data'!$A590:$O590,0))</f>
        <v>Yes</v>
      </c>
      <c r="O591" s="2">
        <f>INDEX('Main Data'!$A$1:$O$1001,MATCH('Index&amp;Match'!$A591,'Main Data'!$A$1:$A$1001,0),MATCH('Index&amp;Match'!O590,'Main Data'!$A590:$O590,0))</f>
        <v>58</v>
      </c>
    </row>
    <row r="592" spans="1:15" x14ac:dyDescent="0.3">
      <c r="A592" s="2" t="s">
        <v>649</v>
      </c>
      <c r="B592" s="1">
        <f>INDEX('Main Data'!$A$1:$O$1001,MATCH('Index&amp;Match'!$A592,'Main Data'!$A$1:$A$1001,0),MATCH('Index&amp;Match'!B591,'Main Data'!$A591:$O591,0))</f>
        <v>46105</v>
      </c>
      <c r="C592" s="2" t="str">
        <f>INDEX('Main Data'!$A$1:$O$1001,MATCH('Index&amp;Match'!$A592,'Main Data'!$A$1:$A$1001,0),MATCH('Index&amp;Match'!C591,'Main Data'!$A591:$O591,0))</f>
        <v>Alex</v>
      </c>
      <c r="D592" s="2" t="str">
        <f>INDEX('Main Data'!$A$1:$O$1001,MATCH('Index&amp;Match'!$A592,'Main Data'!$A$1:$A$1001,0),MATCH('Index&amp;Match'!D591,'Main Data'!$A591:$O591,0))</f>
        <v>BR-008</v>
      </c>
      <c r="E592" s="2" t="str">
        <f>INDEX('Main Data'!$A$1:$O$1001,MATCH('Index&amp;Match'!$A592,'Main Data'!$A$1:$A$1001,0),MATCH('Index&amp;Match'!E591,'Main Data'!$A591:$O591,0))</f>
        <v>North</v>
      </c>
      <c r="F592" s="2" t="str">
        <f>INDEX('Main Data'!$A$1:$O$1001,MATCH('Index&amp;Match'!$A592,'Main Data'!$A$1:$A$1001,0),MATCH('Index&amp;Match'!F591,'Main Data'!$A591:$O591,0))</f>
        <v>Wealth Management</v>
      </c>
      <c r="G592" s="2" t="str">
        <f>INDEX('Main Data'!$A$1:$O$1001,MATCH('Index&amp;Match'!$A592,'Main Data'!$A$1:$A$1001,0),MATCH('Index&amp;Match'!G591,'Main Data'!$A591:$O591,0))</f>
        <v>Website</v>
      </c>
      <c r="H592" s="2" t="str">
        <f>INDEX('Main Data'!$A$1:$O$1001,MATCH('Index&amp;Match'!$A592,'Main Data'!$A$1:$A$1001,0),MATCH('Index&amp;Match'!H591,'Main Data'!$A591:$O591,0))</f>
        <v>Retail</v>
      </c>
      <c r="I592" s="2">
        <f>INDEX('Main Data'!$A$1:$O$1001,MATCH('Index&amp;Match'!$A592,'Main Data'!$A$1:$A$1001,0),MATCH('Index&amp;Match'!I591,'Main Data'!$A591:$O591,0))</f>
        <v>69</v>
      </c>
      <c r="J592" s="2">
        <f>INDEX('Main Data'!$A$1:$O$1001,MATCH('Index&amp;Match'!$A592,'Main Data'!$A$1:$A$1001,0),MATCH('Index&amp;Match'!J591,'Main Data'!$A591:$O591,0))</f>
        <v>69</v>
      </c>
      <c r="K592" s="11">
        <f>INDEX('Main Data'!$A$1:$O$1001,MATCH('Index&amp;Match'!$A592,'Main Data'!$A$1:$A$1001,0),MATCH('Index&amp;Match'!K591,'Main Data'!$A591:$O591,0))</f>
        <v>41339.25</v>
      </c>
      <c r="L592" s="11">
        <f>INDEX('Main Data'!$A$1:$O$1001,MATCH('Index&amp;Match'!$A592,'Main Data'!$A$1:$A$1001,0),MATCH('Index&amp;Match'!L591,'Main Data'!$A591:$O591,0))</f>
        <v>246.94</v>
      </c>
      <c r="M592" s="11">
        <f>INDEX('Main Data'!$A$1:$O$1001,MATCH('Index&amp;Match'!$A592,'Main Data'!$A$1:$A$1001,0),MATCH('Index&amp;Match'!M591,'Main Data'!$A591:$O591,0))</f>
        <v>97.85</v>
      </c>
      <c r="N592" s="2" t="str">
        <f>INDEX('Main Data'!$A$1:$O$1001,MATCH('Index&amp;Match'!$A592,'Main Data'!$A$1:$A$1001,0),MATCH('Index&amp;Match'!N591,'Main Data'!$A591:$O591,0))</f>
        <v>No</v>
      </c>
      <c r="O592" s="2">
        <f>INDEX('Main Data'!$A$1:$O$1001,MATCH('Index&amp;Match'!$A592,'Main Data'!$A$1:$A$1001,0),MATCH('Index&amp;Match'!O591,'Main Data'!$A591:$O591,0))</f>
        <v>69</v>
      </c>
    </row>
    <row r="593" spans="1:15" x14ac:dyDescent="0.3">
      <c r="A593" s="2" t="s">
        <v>650</v>
      </c>
      <c r="B593" s="1">
        <f>INDEX('Main Data'!$A$1:$O$1001,MATCH('Index&amp;Match'!$A593,'Main Data'!$A$1:$A$1001,0),MATCH('Index&amp;Match'!B592,'Main Data'!$A592:$O592,0))</f>
        <v>46120</v>
      </c>
      <c r="C593" s="2" t="str">
        <f>INDEX('Main Data'!$A$1:$O$1001,MATCH('Index&amp;Match'!$A593,'Main Data'!$A$1:$A$1001,0),MATCH('Index&amp;Match'!C592,'Main Data'!$A592:$O592,0))</f>
        <v>Drew</v>
      </c>
      <c r="D593" s="2" t="str">
        <f>INDEX('Main Data'!$A$1:$O$1001,MATCH('Index&amp;Match'!$A593,'Main Data'!$A$1:$A$1001,0),MATCH('Index&amp;Match'!D592,'Main Data'!$A592:$O592,0))</f>
        <v>BR-009</v>
      </c>
      <c r="E593" s="2" t="str">
        <f>INDEX('Main Data'!$A$1:$O$1001,MATCH('Index&amp;Match'!$A593,'Main Data'!$A$1:$A$1001,0),MATCH('Index&amp;Match'!E592,'Main Data'!$A592:$O592,0))</f>
        <v>West</v>
      </c>
      <c r="F593" s="2" t="str">
        <f>INDEX('Main Data'!$A$1:$O$1001,MATCH('Index&amp;Match'!$A593,'Main Data'!$A$1:$A$1001,0),MATCH('Index&amp;Match'!F592,'Main Data'!$A592:$O592,0))</f>
        <v>Auto Loan</v>
      </c>
      <c r="G593" s="2" t="str">
        <f>INDEX('Main Data'!$A$1:$O$1001,MATCH('Index&amp;Match'!$A593,'Main Data'!$A$1:$A$1001,0),MATCH('Index&amp;Match'!G592,'Main Data'!$A592:$O592,0))</f>
        <v>Referral</v>
      </c>
      <c r="H593" s="2" t="str">
        <f>INDEX('Main Data'!$A$1:$O$1001,MATCH('Index&amp;Match'!$A593,'Main Data'!$A$1:$A$1001,0),MATCH('Index&amp;Match'!H592,'Main Data'!$A592:$O592,0))</f>
        <v>High Net Worth</v>
      </c>
      <c r="I593" s="2">
        <f>INDEX('Main Data'!$A$1:$O$1001,MATCH('Index&amp;Match'!$A593,'Main Data'!$A$1:$A$1001,0),MATCH('Index&amp;Match'!I592,'Main Data'!$A592:$O592,0))</f>
        <v>62</v>
      </c>
      <c r="J593" s="2">
        <f>INDEX('Main Data'!$A$1:$O$1001,MATCH('Index&amp;Match'!$A593,'Main Data'!$A$1:$A$1001,0),MATCH('Index&amp;Match'!J592,'Main Data'!$A592:$O592,0))</f>
        <v>62</v>
      </c>
      <c r="K593" s="11">
        <f>INDEX('Main Data'!$A$1:$O$1001,MATCH('Index&amp;Match'!$A593,'Main Data'!$A$1:$A$1001,0),MATCH('Index&amp;Match'!K592,'Main Data'!$A592:$O592,0))</f>
        <v>42987.360000000001</v>
      </c>
      <c r="L593" s="11">
        <f>INDEX('Main Data'!$A$1:$O$1001,MATCH('Index&amp;Match'!$A593,'Main Data'!$A$1:$A$1001,0),MATCH('Index&amp;Match'!L592,'Main Data'!$A592:$O592,0))</f>
        <v>202.86</v>
      </c>
      <c r="M593" s="11">
        <f>INDEX('Main Data'!$A$1:$O$1001,MATCH('Index&amp;Match'!$A593,'Main Data'!$A$1:$A$1001,0),MATCH('Index&amp;Match'!M592,'Main Data'!$A592:$O592,0))</f>
        <v>114.88</v>
      </c>
      <c r="N593" s="2" t="str">
        <f>INDEX('Main Data'!$A$1:$O$1001,MATCH('Index&amp;Match'!$A593,'Main Data'!$A$1:$A$1001,0),MATCH('Index&amp;Match'!N592,'Main Data'!$A592:$O592,0))</f>
        <v>Yes</v>
      </c>
      <c r="O593" s="2">
        <f>INDEX('Main Data'!$A$1:$O$1001,MATCH('Index&amp;Match'!$A593,'Main Data'!$A$1:$A$1001,0),MATCH('Index&amp;Match'!O592,'Main Data'!$A592:$O592,0))</f>
        <v>62</v>
      </c>
    </row>
    <row r="594" spans="1:15" x14ac:dyDescent="0.3">
      <c r="A594" s="2" t="s">
        <v>651</v>
      </c>
      <c r="B594" s="1">
        <f>INDEX('Main Data'!$A$1:$O$1001,MATCH('Index&amp;Match'!$A594,'Main Data'!$A$1:$A$1001,0),MATCH('Index&amp;Match'!B593,'Main Data'!$A593:$O593,0))</f>
        <v>45876</v>
      </c>
      <c r="C594" s="2" t="str">
        <f>INDEX('Main Data'!$A$1:$O$1001,MATCH('Index&amp;Match'!$A594,'Main Data'!$A$1:$A$1001,0),MATCH('Index&amp;Match'!C593,'Main Data'!$A593:$O593,0))</f>
        <v>Casey</v>
      </c>
      <c r="D594" s="2" t="str">
        <f>INDEX('Main Data'!$A$1:$O$1001,MATCH('Index&amp;Match'!$A594,'Main Data'!$A$1:$A$1001,0),MATCH('Index&amp;Match'!D593,'Main Data'!$A593:$O593,0))</f>
        <v>BR-006</v>
      </c>
      <c r="E594" s="2" t="str">
        <f>INDEX('Main Data'!$A$1:$O$1001,MATCH('Index&amp;Match'!$A594,'Main Data'!$A$1:$A$1001,0),MATCH('Index&amp;Match'!E593,'Main Data'!$A593:$O593,0))</f>
        <v>South</v>
      </c>
      <c r="F594" s="2" t="str">
        <f>INDEX('Main Data'!$A$1:$O$1001,MATCH('Index&amp;Match'!$A594,'Main Data'!$A$1:$A$1001,0),MATCH('Index&amp;Match'!F593,'Main Data'!$A593:$O593,0))</f>
        <v>Personal Loan</v>
      </c>
      <c r="G594" s="2" t="str">
        <f>INDEX('Main Data'!$A$1:$O$1001,MATCH('Index&amp;Match'!$A594,'Main Data'!$A$1:$A$1001,0),MATCH('Index&amp;Match'!G593,'Main Data'!$A593:$O593,0))</f>
        <v>Referral</v>
      </c>
      <c r="H594" s="2" t="str">
        <f>INDEX('Main Data'!$A$1:$O$1001,MATCH('Index&amp;Match'!$A594,'Main Data'!$A$1:$A$1001,0),MATCH('Index&amp;Match'!H593,'Main Data'!$A593:$O593,0))</f>
        <v>High Net Worth</v>
      </c>
      <c r="I594" s="2">
        <f>INDEX('Main Data'!$A$1:$O$1001,MATCH('Index&amp;Match'!$A594,'Main Data'!$A$1:$A$1001,0),MATCH('Index&amp;Match'!I593,'Main Data'!$A593:$O593,0))</f>
        <v>48</v>
      </c>
      <c r="J594" s="2">
        <f>INDEX('Main Data'!$A$1:$O$1001,MATCH('Index&amp;Match'!$A594,'Main Data'!$A$1:$A$1001,0),MATCH('Index&amp;Match'!J593,'Main Data'!$A593:$O593,0))</f>
        <v>48</v>
      </c>
      <c r="K594" s="11">
        <f>INDEX('Main Data'!$A$1:$O$1001,MATCH('Index&amp;Match'!$A594,'Main Data'!$A$1:$A$1001,0),MATCH('Index&amp;Match'!K593,'Main Data'!$A593:$O593,0))</f>
        <v>23449.29</v>
      </c>
      <c r="L594" s="11">
        <f>INDEX('Main Data'!$A$1:$O$1001,MATCH('Index&amp;Match'!$A594,'Main Data'!$A$1:$A$1001,0),MATCH('Index&amp;Match'!L593,'Main Data'!$A593:$O593,0))</f>
        <v>373.56</v>
      </c>
      <c r="M594" s="11">
        <f>INDEX('Main Data'!$A$1:$O$1001,MATCH('Index&amp;Match'!$A594,'Main Data'!$A$1:$A$1001,0),MATCH('Index&amp;Match'!M593,'Main Data'!$A593:$O593,0))</f>
        <v>66.63</v>
      </c>
      <c r="N594" s="2" t="str">
        <f>INDEX('Main Data'!$A$1:$O$1001,MATCH('Index&amp;Match'!$A594,'Main Data'!$A$1:$A$1001,0),MATCH('Index&amp;Match'!N593,'Main Data'!$A593:$O593,0))</f>
        <v>No</v>
      </c>
      <c r="O594" s="2">
        <f>INDEX('Main Data'!$A$1:$O$1001,MATCH('Index&amp;Match'!$A594,'Main Data'!$A$1:$A$1001,0),MATCH('Index&amp;Match'!O593,'Main Data'!$A593:$O593,0))</f>
        <v>48</v>
      </c>
    </row>
    <row r="595" spans="1:15" x14ac:dyDescent="0.3">
      <c r="A595" s="2" t="s">
        <v>652</v>
      </c>
      <c r="B595" s="1">
        <f>INDEX('Main Data'!$A$1:$O$1001,MATCH('Index&amp;Match'!$A595,'Main Data'!$A$1:$A$1001,0),MATCH('Index&amp;Match'!B594,'Main Data'!$A594:$O594,0))</f>
        <v>46058</v>
      </c>
      <c r="C595" s="2" t="str">
        <f>INDEX('Main Data'!$A$1:$O$1001,MATCH('Index&amp;Match'!$A595,'Main Data'!$A$1:$A$1001,0),MATCH('Index&amp;Match'!C594,'Main Data'!$A594:$O594,0))</f>
        <v>Morgan</v>
      </c>
      <c r="D595" s="2" t="str">
        <f>INDEX('Main Data'!$A$1:$O$1001,MATCH('Index&amp;Match'!$A595,'Main Data'!$A$1:$A$1001,0),MATCH('Index&amp;Match'!D594,'Main Data'!$A594:$O594,0))</f>
        <v>BR-011</v>
      </c>
      <c r="E595" s="2" t="str">
        <f>INDEX('Main Data'!$A$1:$O$1001,MATCH('Index&amp;Match'!$A595,'Main Data'!$A$1:$A$1001,0),MATCH('Index&amp;Match'!E594,'Main Data'!$A594:$O594,0))</f>
        <v>Central</v>
      </c>
      <c r="F595" s="2" t="str">
        <f>INDEX('Main Data'!$A$1:$O$1001,MATCH('Index&amp;Match'!$A595,'Main Data'!$A$1:$A$1001,0),MATCH('Index&amp;Match'!F594,'Main Data'!$A594:$O594,0))</f>
        <v>Mortgage</v>
      </c>
      <c r="G595" s="2" t="str">
        <f>INDEX('Main Data'!$A$1:$O$1001,MATCH('Index&amp;Match'!$A595,'Main Data'!$A$1:$A$1001,0),MATCH('Index&amp;Match'!G594,'Main Data'!$A594:$O594,0))</f>
        <v>Social Media</v>
      </c>
      <c r="H595" s="2" t="str">
        <f>INDEX('Main Data'!$A$1:$O$1001,MATCH('Index&amp;Match'!$A595,'Main Data'!$A$1:$A$1001,0),MATCH('Index&amp;Match'!H594,'Main Data'!$A594:$O594,0))</f>
        <v>Corporate</v>
      </c>
      <c r="I595" s="2">
        <f>INDEX('Main Data'!$A$1:$O$1001,MATCH('Index&amp;Match'!$A595,'Main Data'!$A$1:$A$1001,0),MATCH('Index&amp;Match'!I594,'Main Data'!$A594:$O594,0))</f>
        <v>21</v>
      </c>
      <c r="J595" s="2">
        <f>INDEX('Main Data'!$A$1:$O$1001,MATCH('Index&amp;Match'!$A595,'Main Data'!$A$1:$A$1001,0),MATCH('Index&amp;Match'!J594,'Main Data'!$A594:$O594,0))</f>
        <v>21</v>
      </c>
      <c r="K595" s="11">
        <f>INDEX('Main Data'!$A$1:$O$1001,MATCH('Index&amp;Match'!$A595,'Main Data'!$A$1:$A$1001,0),MATCH('Index&amp;Match'!K594,'Main Data'!$A594:$O594,0))</f>
        <v>39321.43</v>
      </c>
      <c r="L595" s="11">
        <f>INDEX('Main Data'!$A$1:$O$1001,MATCH('Index&amp;Match'!$A595,'Main Data'!$A$1:$A$1001,0),MATCH('Index&amp;Match'!L594,'Main Data'!$A594:$O594,0))</f>
        <v>179.14</v>
      </c>
      <c r="M595" s="11">
        <f>INDEX('Main Data'!$A$1:$O$1001,MATCH('Index&amp;Match'!$A595,'Main Data'!$A$1:$A$1001,0),MATCH('Index&amp;Match'!M594,'Main Data'!$A594:$O594,0))</f>
        <v>164.93</v>
      </c>
      <c r="N595" s="2" t="str">
        <f>INDEX('Main Data'!$A$1:$O$1001,MATCH('Index&amp;Match'!$A595,'Main Data'!$A$1:$A$1001,0),MATCH('Index&amp;Match'!N594,'Main Data'!$A594:$O594,0))</f>
        <v>No</v>
      </c>
      <c r="O595" s="2">
        <f>INDEX('Main Data'!$A$1:$O$1001,MATCH('Index&amp;Match'!$A595,'Main Data'!$A$1:$A$1001,0),MATCH('Index&amp;Match'!O594,'Main Data'!$A594:$O594,0))</f>
        <v>21</v>
      </c>
    </row>
    <row r="596" spans="1:15" x14ac:dyDescent="0.3">
      <c r="A596" s="2" t="s">
        <v>653</v>
      </c>
      <c r="B596" s="1">
        <f>INDEX('Main Data'!$A$1:$O$1001,MATCH('Index&amp;Match'!$A596,'Main Data'!$A$1:$A$1001,0),MATCH('Index&amp;Match'!B595,'Main Data'!$A595:$O595,0))</f>
        <v>46022</v>
      </c>
      <c r="C596" s="2" t="str">
        <f>INDEX('Main Data'!$A$1:$O$1001,MATCH('Index&amp;Match'!$A596,'Main Data'!$A$1:$A$1001,0),MATCH('Index&amp;Match'!C595,'Main Data'!$A595:$O595,0))</f>
        <v>Morgan</v>
      </c>
      <c r="D596" s="2" t="str">
        <f>INDEX('Main Data'!$A$1:$O$1001,MATCH('Index&amp;Match'!$A596,'Main Data'!$A$1:$A$1001,0),MATCH('Index&amp;Match'!D595,'Main Data'!$A595:$O595,0))</f>
        <v>BR-007</v>
      </c>
      <c r="E596" s="2" t="str">
        <f>INDEX('Main Data'!$A$1:$O$1001,MATCH('Index&amp;Match'!$A596,'Main Data'!$A$1:$A$1001,0),MATCH('Index&amp;Match'!E595,'Main Data'!$A595:$O595,0))</f>
        <v>East</v>
      </c>
      <c r="F596" s="2" t="str">
        <f>INDEX('Main Data'!$A$1:$O$1001,MATCH('Index&amp;Match'!$A596,'Main Data'!$A$1:$A$1001,0),MATCH('Index&amp;Match'!F595,'Main Data'!$A595:$O595,0))</f>
        <v>Mortgage</v>
      </c>
      <c r="G596" s="2" t="str">
        <f>INDEX('Main Data'!$A$1:$O$1001,MATCH('Index&amp;Match'!$A596,'Main Data'!$A$1:$A$1001,0),MATCH('Index&amp;Match'!G595,'Main Data'!$A595:$O595,0))</f>
        <v>Email Campaign</v>
      </c>
      <c r="H596" s="2" t="str">
        <f>INDEX('Main Data'!$A$1:$O$1001,MATCH('Index&amp;Match'!$A596,'Main Data'!$A$1:$A$1001,0),MATCH('Index&amp;Match'!H595,'Main Data'!$A595:$O595,0))</f>
        <v>SME</v>
      </c>
      <c r="I596" s="2">
        <f>INDEX('Main Data'!$A$1:$O$1001,MATCH('Index&amp;Match'!$A596,'Main Data'!$A$1:$A$1001,0),MATCH('Index&amp;Match'!I595,'Main Data'!$A595:$O595,0))</f>
        <v>55</v>
      </c>
      <c r="J596" s="2">
        <f>INDEX('Main Data'!$A$1:$O$1001,MATCH('Index&amp;Match'!$A596,'Main Data'!$A$1:$A$1001,0),MATCH('Index&amp;Match'!J595,'Main Data'!$A595:$O595,0))</f>
        <v>55</v>
      </c>
      <c r="K596" s="11">
        <f>INDEX('Main Data'!$A$1:$O$1001,MATCH('Index&amp;Match'!$A596,'Main Data'!$A$1:$A$1001,0),MATCH('Index&amp;Match'!K595,'Main Data'!$A595:$O595,0))</f>
        <v>47370.57</v>
      </c>
      <c r="L596" s="11">
        <f>INDEX('Main Data'!$A$1:$O$1001,MATCH('Index&amp;Match'!$A596,'Main Data'!$A$1:$A$1001,0),MATCH('Index&amp;Match'!L595,'Main Data'!$A595:$O595,0))</f>
        <v>162.44999999999999</v>
      </c>
      <c r="M596" s="11">
        <f>INDEX('Main Data'!$A$1:$O$1001,MATCH('Index&amp;Match'!$A596,'Main Data'!$A$1:$A$1001,0),MATCH('Index&amp;Match'!M595,'Main Data'!$A595:$O595,0))</f>
        <v>121.67</v>
      </c>
      <c r="N596" s="2" t="str">
        <f>INDEX('Main Data'!$A$1:$O$1001,MATCH('Index&amp;Match'!$A596,'Main Data'!$A$1:$A$1001,0),MATCH('Index&amp;Match'!N595,'Main Data'!$A595:$O595,0))</f>
        <v>Yes</v>
      </c>
      <c r="O596" s="2">
        <f>INDEX('Main Data'!$A$1:$O$1001,MATCH('Index&amp;Match'!$A596,'Main Data'!$A$1:$A$1001,0),MATCH('Index&amp;Match'!O595,'Main Data'!$A595:$O595,0))</f>
        <v>55</v>
      </c>
    </row>
    <row r="597" spans="1:15" x14ac:dyDescent="0.3">
      <c r="A597" s="2" t="s">
        <v>654</v>
      </c>
      <c r="B597" s="1">
        <f>INDEX('Main Data'!$A$1:$O$1001,MATCH('Index&amp;Match'!$A597,'Main Data'!$A$1:$A$1001,0),MATCH('Index&amp;Match'!B596,'Main Data'!$A596:$O596,0))</f>
        <v>46196</v>
      </c>
      <c r="C597" s="2" t="str">
        <f>INDEX('Main Data'!$A$1:$O$1001,MATCH('Index&amp;Match'!$A597,'Main Data'!$A$1:$A$1001,0),MATCH('Index&amp;Match'!C596,'Main Data'!$A596:$O596,0))</f>
        <v>Morgan</v>
      </c>
      <c r="D597" s="2" t="str">
        <f>INDEX('Main Data'!$A$1:$O$1001,MATCH('Index&amp;Match'!$A597,'Main Data'!$A$1:$A$1001,0),MATCH('Index&amp;Match'!D596,'Main Data'!$A596:$O596,0))</f>
        <v>BR-001</v>
      </c>
      <c r="E597" s="2" t="str">
        <f>INDEX('Main Data'!$A$1:$O$1001,MATCH('Index&amp;Match'!$A597,'Main Data'!$A$1:$A$1001,0),MATCH('Index&amp;Match'!E596,'Main Data'!$A596:$O596,0))</f>
        <v>West</v>
      </c>
      <c r="F597" s="2" t="str">
        <f>INDEX('Main Data'!$A$1:$O$1001,MATCH('Index&amp;Match'!$A597,'Main Data'!$A$1:$A$1001,0),MATCH('Index&amp;Match'!F596,'Main Data'!$A596:$O596,0))</f>
        <v>Auto Loan</v>
      </c>
      <c r="G597" s="2" t="str">
        <f>INDEX('Main Data'!$A$1:$O$1001,MATCH('Index&amp;Match'!$A597,'Main Data'!$A$1:$A$1001,0),MATCH('Index&amp;Match'!G596,'Main Data'!$A596:$O596,0))</f>
        <v>Referral</v>
      </c>
      <c r="H597" s="2" t="str">
        <f>INDEX('Main Data'!$A$1:$O$1001,MATCH('Index&amp;Match'!$A597,'Main Data'!$A$1:$A$1001,0),MATCH('Index&amp;Match'!H596,'Main Data'!$A596:$O596,0))</f>
        <v>High Net Worth</v>
      </c>
      <c r="I597" s="2">
        <f>INDEX('Main Data'!$A$1:$O$1001,MATCH('Index&amp;Match'!$A597,'Main Data'!$A$1:$A$1001,0),MATCH('Index&amp;Match'!I596,'Main Data'!$A596:$O596,0))</f>
        <v>60</v>
      </c>
      <c r="J597" s="2">
        <f>INDEX('Main Data'!$A$1:$O$1001,MATCH('Index&amp;Match'!$A597,'Main Data'!$A$1:$A$1001,0),MATCH('Index&amp;Match'!J596,'Main Data'!$A596:$O596,0))</f>
        <v>60</v>
      </c>
      <c r="K597" s="11">
        <f>INDEX('Main Data'!$A$1:$O$1001,MATCH('Index&amp;Match'!$A597,'Main Data'!$A$1:$A$1001,0),MATCH('Index&amp;Match'!K596,'Main Data'!$A596:$O596,0))</f>
        <v>14120.92</v>
      </c>
      <c r="L597" s="11">
        <f>INDEX('Main Data'!$A$1:$O$1001,MATCH('Index&amp;Match'!$A597,'Main Data'!$A$1:$A$1001,0),MATCH('Index&amp;Match'!L596,'Main Data'!$A596:$O596,0))</f>
        <v>210.31</v>
      </c>
      <c r="M597" s="11">
        <f>INDEX('Main Data'!$A$1:$O$1001,MATCH('Index&amp;Match'!$A597,'Main Data'!$A$1:$A$1001,0),MATCH('Index&amp;Match'!M596,'Main Data'!$A596:$O596,0))</f>
        <v>133.30000000000001</v>
      </c>
      <c r="N597" s="2" t="str">
        <f>INDEX('Main Data'!$A$1:$O$1001,MATCH('Index&amp;Match'!$A597,'Main Data'!$A$1:$A$1001,0),MATCH('Index&amp;Match'!N596,'Main Data'!$A596:$O596,0))</f>
        <v>Yes</v>
      </c>
      <c r="O597" s="2">
        <f>INDEX('Main Data'!$A$1:$O$1001,MATCH('Index&amp;Match'!$A597,'Main Data'!$A$1:$A$1001,0),MATCH('Index&amp;Match'!O596,'Main Data'!$A596:$O596,0))</f>
        <v>60</v>
      </c>
    </row>
    <row r="598" spans="1:15" x14ac:dyDescent="0.3">
      <c r="A598" s="2" t="s">
        <v>655</v>
      </c>
      <c r="B598" s="1">
        <f>INDEX('Main Data'!$A$1:$O$1001,MATCH('Index&amp;Match'!$A598,'Main Data'!$A$1:$A$1001,0),MATCH('Index&amp;Match'!B597,'Main Data'!$A597:$O597,0))</f>
        <v>45924</v>
      </c>
      <c r="C598" s="2" t="str">
        <f>INDEX('Main Data'!$A$1:$O$1001,MATCH('Index&amp;Match'!$A598,'Main Data'!$A$1:$A$1001,0),MATCH('Index&amp;Match'!C597,'Main Data'!$A597:$O597,0))</f>
        <v>Casey</v>
      </c>
      <c r="D598" s="2" t="str">
        <f>INDEX('Main Data'!$A$1:$O$1001,MATCH('Index&amp;Match'!$A598,'Main Data'!$A$1:$A$1001,0),MATCH('Index&amp;Match'!D597,'Main Data'!$A597:$O597,0))</f>
        <v>BR-014</v>
      </c>
      <c r="E598" s="2" t="str">
        <f>INDEX('Main Data'!$A$1:$O$1001,MATCH('Index&amp;Match'!$A598,'Main Data'!$A$1:$A$1001,0),MATCH('Index&amp;Match'!E597,'Main Data'!$A597:$O597,0))</f>
        <v>Central</v>
      </c>
      <c r="F598" s="2" t="str">
        <f>INDEX('Main Data'!$A$1:$O$1001,MATCH('Index&amp;Match'!$A598,'Main Data'!$A$1:$A$1001,0),MATCH('Index&amp;Match'!F597,'Main Data'!$A597:$O597,0))</f>
        <v>Personal Loan</v>
      </c>
      <c r="G598" s="2" t="str">
        <f>INDEX('Main Data'!$A$1:$O$1001,MATCH('Index&amp;Match'!$A598,'Main Data'!$A$1:$A$1001,0),MATCH('Index&amp;Match'!G597,'Main Data'!$A597:$O597,0))</f>
        <v>Walk-in</v>
      </c>
      <c r="H598" s="2" t="str">
        <f>INDEX('Main Data'!$A$1:$O$1001,MATCH('Index&amp;Match'!$A598,'Main Data'!$A$1:$A$1001,0),MATCH('Index&amp;Match'!H597,'Main Data'!$A597:$O597,0))</f>
        <v>Retail</v>
      </c>
      <c r="I598" s="2">
        <f>INDEX('Main Data'!$A$1:$O$1001,MATCH('Index&amp;Match'!$A598,'Main Data'!$A$1:$A$1001,0),MATCH('Index&amp;Match'!I597,'Main Data'!$A597:$O597,0))</f>
        <v>28</v>
      </c>
      <c r="J598" s="2">
        <f>INDEX('Main Data'!$A$1:$O$1001,MATCH('Index&amp;Match'!$A598,'Main Data'!$A$1:$A$1001,0),MATCH('Index&amp;Match'!J597,'Main Data'!$A597:$O597,0))</f>
        <v>28</v>
      </c>
      <c r="K598" s="11">
        <f>INDEX('Main Data'!$A$1:$O$1001,MATCH('Index&amp;Match'!$A598,'Main Data'!$A$1:$A$1001,0),MATCH('Index&amp;Match'!K597,'Main Data'!$A597:$O597,0))</f>
        <v>20199.04</v>
      </c>
      <c r="L598" s="11">
        <f>INDEX('Main Data'!$A$1:$O$1001,MATCH('Index&amp;Match'!$A598,'Main Data'!$A$1:$A$1001,0),MATCH('Index&amp;Match'!L597,'Main Data'!$A597:$O597,0))</f>
        <v>129.75</v>
      </c>
      <c r="M598" s="11">
        <f>INDEX('Main Data'!$A$1:$O$1001,MATCH('Index&amp;Match'!$A598,'Main Data'!$A$1:$A$1001,0),MATCH('Index&amp;Match'!M597,'Main Data'!$A597:$O597,0))</f>
        <v>188.8</v>
      </c>
      <c r="N598" s="2" t="str">
        <f>INDEX('Main Data'!$A$1:$O$1001,MATCH('Index&amp;Match'!$A598,'Main Data'!$A$1:$A$1001,0),MATCH('Index&amp;Match'!N597,'Main Data'!$A597:$O597,0))</f>
        <v>Yes</v>
      </c>
      <c r="O598" s="2">
        <f>INDEX('Main Data'!$A$1:$O$1001,MATCH('Index&amp;Match'!$A598,'Main Data'!$A$1:$A$1001,0),MATCH('Index&amp;Match'!O597,'Main Data'!$A597:$O597,0))</f>
        <v>28</v>
      </c>
    </row>
    <row r="599" spans="1:15" x14ac:dyDescent="0.3">
      <c r="A599" s="2" t="s">
        <v>656</v>
      </c>
      <c r="B599" s="1">
        <f>INDEX('Main Data'!$A$1:$O$1001,MATCH('Index&amp;Match'!$A599,'Main Data'!$A$1:$A$1001,0),MATCH('Index&amp;Match'!B598,'Main Data'!$A598:$O598,0))</f>
        <v>45871</v>
      </c>
      <c r="C599" s="2" t="str">
        <f>INDEX('Main Data'!$A$1:$O$1001,MATCH('Index&amp;Match'!$A599,'Main Data'!$A$1:$A$1001,0),MATCH('Index&amp;Match'!C598,'Main Data'!$A598:$O598,0))</f>
        <v>Jamie</v>
      </c>
      <c r="D599" s="2" t="str">
        <f>INDEX('Main Data'!$A$1:$O$1001,MATCH('Index&amp;Match'!$A599,'Main Data'!$A$1:$A$1001,0),MATCH('Index&amp;Match'!D598,'Main Data'!$A598:$O598,0))</f>
        <v>BR-005</v>
      </c>
      <c r="E599" s="2" t="str">
        <f>INDEX('Main Data'!$A$1:$O$1001,MATCH('Index&amp;Match'!$A599,'Main Data'!$A$1:$A$1001,0),MATCH('Index&amp;Match'!E598,'Main Data'!$A598:$O598,0))</f>
        <v>North</v>
      </c>
      <c r="F599" s="2" t="str">
        <f>INDEX('Main Data'!$A$1:$O$1001,MATCH('Index&amp;Match'!$A599,'Main Data'!$A$1:$A$1001,0),MATCH('Index&amp;Match'!F598,'Main Data'!$A598:$O598,0))</f>
        <v>Credit Card</v>
      </c>
      <c r="G599" s="2" t="str">
        <f>INDEX('Main Data'!$A$1:$O$1001,MATCH('Index&amp;Match'!$A599,'Main Data'!$A$1:$A$1001,0),MATCH('Index&amp;Match'!G598,'Main Data'!$A598:$O598,0))</f>
        <v>Email Campaign</v>
      </c>
      <c r="H599" s="2" t="str">
        <f>INDEX('Main Data'!$A$1:$O$1001,MATCH('Index&amp;Match'!$A599,'Main Data'!$A$1:$A$1001,0),MATCH('Index&amp;Match'!H598,'Main Data'!$A598:$O598,0))</f>
        <v>Corporate</v>
      </c>
      <c r="I599" s="2">
        <f>INDEX('Main Data'!$A$1:$O$1001,MATCH('Index&amp;Match'!$A599,'Main Data'!$A$1:$A$1001,0),MATCH('Index&amp;Match'!I598,'Main Data'!$A598:$O598,0))</f>
        <v>72</v>
      </c>
      <c r="J599" s="2">
        <f>INDEX('Main Data'!$A$1:$O$1001,MATCH('Index&amp;Match'!$A599,'Main Data'!$A$1:$A$1001,0),MATCH('Index&amp;Match'!J598,'Main Data'!$A598:$O598,0))</f>
        <v>72</v>
      </c>
      <c r="K599" s="11">
        <f>INDEX('Main Data'!$A$1:$O$1001,MATCH('Index&amp;Match'!$A599,'Main Data'!$A$1:$A$1001,0),MATCH('Index&amp;Match'!K598,'Main Data'!$A598:$O598,0))</f>
        <v>46608.21</v>
      </c>
      <c r="L599" s="11">
        <f>INDEX('Main Data'!$A$1:$O$1001,MATCH('Index&amp;Match'!$A599,'Main Data'!$A$1:$A$1001,0),MATCH('Index&amp;Match'!L598,'Main Data'!$A598:$O598,0))</f>
        <v>362.8</v>
      </c>
      <c r="M599" s="11">
        <f>INDEX('Main Data'!$A$1:$O$1001,MATCH('Index&amp;Match'!$A599,'Main Data'!$A$1:$A$1001,0),MATCH('Index&amp;Match'!M598,'Main Data'!$A598:$O598,0))</f>
        <v>9.57</v>
      </c>
      <c r="N599" s="2" t="str">
        <f>INDEX('Main Data'!$A$1:$O$1001,MATCH('Index&amp;Match'!$A599,'Main Data'!$A$1:$A$1001,0),MATCH('Index&amp;Match'!N598,'Main Data'!$A598:$O598,0))</f>
        <v>No</v>
      </c>
      <c r="O599" s="2">
        <f>INDEX('Main Data'!$A$1:$O$1001,MATCH('Index&amp;Match'!$A599,'Main Data'!$A$1:$A$1001,0),MATCH('Index&amp;Match'!O598,'Main Data'!$A598:$O598,0))</f>
        <v>72</v>
      </c>
    </row>
    <row r="600" spans="1:15" x14ac:dyDescent="0.3">
      <c r="A600" s="2" t="s">
        <v>657</v>
      </c>
      <c r="B600" s="1">
        <f>INDEX('Main Data'!$A$1:$O$1001,MATCH('Index&amp;Match'!$A600,'Main Data'!$A$1:$A$1001,0),MATCH('Index&amp;Match'!B599,'Main Data'!$A599:$O599,0))</f>
        <v>46041</v>
      </c>
      <c r="C600" s="2" t="str">
        <f>INDEX('Main Data'!$A$1:$O$1001,MATCH('Index&amp;Match'!$A600,'Main Data'!$A$1:$A$1001,0),MATCH('Index&amp;Match'!C599,'Main Data'!$A599:$O599,0))</f>
        <v>Morgan</v>
      </c>
      <c r="D600" s="2" t="str">
        <f>INDEX('Main Data'!$A$1:$O$1001,MATCH('Index&amp;Match'!$A600,'Main Data'!$A$1:$A$1001,0),MATCH('Index&amp;Match'!D599,'Main Data'!$A599:$O599,0))</f>
        <v>BR-005</v>
      </c>
      <c r="E600" s="2" t="str">
        <f>INDEX('Main Data'!$A$1:$O$1001,MATCH('Index&amp;Match'!$A600,'Main Data'!$A$1:$A$1001,0),MATCH('Index&amp;Match'!E599,'Main Data'!$A599:$O599,0))</f>
        <v>North</v>
      </c>
      <c r="F600" s="2" t="str">
        <f>INDEX('Main Data'!$A$1:$O$1001,MATCH('Index&amp;Match'!$A600,'Main Data'!$A$1:$A$1001,0),MATCH('Index&amp;Match'!F599,'Main Data'!$A599:$O599,0))</f>
        <v>Credit Card</v>
      </c>
      <c r="G600" s="2" t="str">
        <f>INDEX('Main Data'!$A$1:$O$1001,MATCH('Index&amp;Match'!$A600,'Main Data'!$A$1:$A$1001,0),MATCH('Index&amp;Match'!G599,'Main Data'!$A599:$O599,0))</f>
        <v>Email Campaign</v>
      </c>
      <c r="H600" s="2" t="str">
        <f>INDEX('Main Data'!$A$1:$O$1001,MATCH('Index&amp;Match'!$A600,'Main Data'!$A$1:$A$1001,0),MATCH('Index&amp;Match'!H599,'Main Data'!$A599:$O599,0))</f>
        <v>High Net Worth</v>
      </c>
      <c r="I600" s="2">
        <f>INDEX('Main Data'!$A$1:$O$1001,MATCH('Index&amp;Match'!$A600,'Main Data'!$A$1:$A$1001,0),MATCH('Index&amp;Match'!I599,'Main Data'!$A599:$O599,0))</f>
        <v>74</v>
      </c>
      <c r="J600" s="2">
        <f>INDEX('Main Data'!$A$1:$O$1001,MATCH('Index&amp;Match'!$A600,'Main Data'!$A$1:$A$1001,0),MATCH('Index&amp;Match'!J599,'Main Data'!$A599:$O599,0))</f>
        <v>74</v>
      </c>
      <c r="K600" s="11">
        <f>INDEX('Main Data'!$A$1:$O$1001,MATCH('Index&amp;Match'!$A600,'Main Data'!$A$1:$A$1001,0),MATCH('Index&amp;Match'!K599,'Main Data'!$A599:$O599,0))</f>
        <v>17242.43</v>
      </c>
      <c r="L600" s="11">
        <f>INDEX('Main Data'!$A$1:$O$1001,MATCH('Index&amp;Match'!$A600,'Main Data'!$A$1:$A$1001,0),MATCH('Index&amp;Match'!L599,'Main Data'!$A599:$O599,0))</f>
        <v>327.31</v>
      </c>
      <c r="M600" s="11">
        <f>INDEX('Main Data'!$A$1:$O$1001,MATCH('Index&amp;Match'!$A600,'Main Data'!$A$1:$A$1001,0),MATCH('Index&amp;Match'!M599,'Main Data'!$A599:$O599,0))</f>
        <v>255.04</v>
      </c>
      <c r="N600" s="2" t="str">
        <f>INDEX('Main Data'!$A$1:$O$1001,MATCH('Index&amp;Match'!$A600,'Main Data'!$A$1:$A$1001,0),MATCH('Index&amp;Match'!N599,'Main Data'!$A599:$O599,0))</f>
        <v>Yes</v>
      </c>
      <c r="O600" s="2">
        <f>INDEX('Main Data'!$A$1:$O$1001,MATCH('Index&amp;Match'!$A600,'Main Data'!$A$1:$A$1001,0),MATCH('Index&amp;Match'!O599,'Main Data'!$A599:$O599,0))</f>
        <v>74</v>
      </c>
    </row>
    <row r="601" spans="1:15" x14ac:dyDescent="0.3">
      <c r="A601" s="2" t="s">
        <v>658</v>
      </c>
      <c r="B601" s="1">
        <f>INDEX('Main Data'!$A$1:$O$1001,MATCH('Index&amp;Match'!$A601,'Main Data'!$A$1:$A$1001,0),MATCH('Index&amp;Match'!B600,'Main Data'!$A600:$O600,0))</f>
        <v>45912</v>
      </c>
      <c r="C601" s="2" t="str">
        <f>INDEX('Main Data'!$A$1:$O$1001,MATCH('Index&amp;Match'!$A601,'Main Data'!$A$1:$A$1001,0),MATCH('Index&amp;Match'!C600,'Main Data'!$A600:$O600,0))</f>
        <v>Sam</v>
      </c>
      <c r="D601" s="2" t="str">
        <f>INDEX('Main Data'!$A$1:$O$1001,MATCH('Index&amp;Match'!$A601,'Main Data'!$A$1:$A$1001,0),MATCH('Index&amp;Match'!D600,'Main Data'!$A600:$O600,0))</f>
        <v>BR-010</v>
      </c>
      <c r="E601" s="2" t="str">
        <f>INDEX('Main Data'!$A$1:$O$1001,MATCH('Index&amp;Match'!$A601,'Main Data'!$A$1:$A$1001,0),MATCH('Index&amp;Match'!E600,'Main Data'!$A600:$O600,0))</f>
        <v>North</v>
      </c>
      <c r="F601" s="2" t="str">
        <f>INDEX('Main Data'!$A$1:$O$1001,MATCH('Index&amp;Match'!$A601,'Main Data'!$A$1:$A$1001,0),MATCH('Index&amp;Match'!F600,'Main Data'!$A600:$O600,0))</f>
        <v>Wealth Management</v>
      </c>
      <c r="G601" s="2" t="str">
        <f>INDEX('Main Data'!$A$1:$O$1001,MATCH('Index&amp;Match'!$A601,'Main Data'!$A$1:$A$1001,0),MATCH('Index&amp;Match'!G600,'Main Data'!$A600:$O600,0))</f>
        <v>Referral</v>
      </c>
      <c r="H601" s="2" t="str">
        <f>INDEX('Main Data'!$A$1:$O$1001,MATCH('Index&amp;Match'!$A601,'Main Data'!$A$1:$A$1001,0),MATCH('Index&amp;Match'!H600,'Main Data'!$A600:$O600,0))</f>
        <v>SME</v>
      </c>
      <c r="I601" s="2">
        <f>INDEX('Main Data'!$A$1:$O$1001,MATCH('Index&amp;Match'!$A601,'Main Data'!$A$1:$A$1001,0),MATCH('Index&amp;Match'!I600,'Main Data'!$A600:$O600,0))</f>
        <v>67</v>
      </c>
      <c r="J601" s="2">
        <f>INDEX('Main Data'!$A$1:$O$1001,MATCH('Index&amp;Match'!$A601,'Main Data'!$A$1:$A$1001,0),MATCH('Index&amp;Match'!J600,'Main Data'!$A600:$O600,0))</f>
        <v>67</v>
      </c>
      <c r="K601" s="11">
        <f>INDEX('Main Data'!$A$1:$O$1001,MATCH('Index&amp;Match'!$A601,'Main Data'!$A$1:$A$1001,0),MATCH('Index&amp;Match'!K600,'Main Data'!$A600:$O600,0))</f>
        <v>45736.88</v>
      </c>
      <c r="L601" s="11">
        <f>INDEX('Main Data'!$A$1:$O$1001,MATCH('Index&amp;Match'!$A601,'Main Data'!$A$1:$A$1001,0),MATCH('Index&amp;Match'!L600,'Main Data'!$A600:$O600,0))</f>
        <v>267.3</v>
      </c>
      <c r="M601" s="11">
        <f>INDEX('Main Data'!$A$1:$O$1001,MATCH('Index&amp;Match'!$A601,'Main Data'!$A$1:$A$1001,0),MATCH('Index&amp;Match'!M600,'Main Data'!$A600:$O600,0))</f>
        <v>199.52</v>
      </c>
      <c r="N601" s="2" t="str">
        <f>INDEX('Main Data'!$A$1:$O$1001,MATCH('Index&amp;Match'!$A601,'Main Data'!$A$1:$A$1001,0),MATCH('Index&amp;Match'!N600,'Main Data'!$A600:$O600,0))</f>
        <v>No</v>
      </c>
      <c r="O601" s="2">
        <f>INDEX('Main Data'!$A$1:$O$1001,MATCH('Index&amp;Match'!$A601,'Main Data'!$A$1:$A$1001,0),MATCH('Index&amp;Match'!O600,'Main Data'!$A600:$O600,0))</f>
        <v>67</v>
      </c>
    </row>
    <row r="602" spans="1:15" x14ac:dyDescent="0.3">
      <c r="A602" s="2" t="s">
        <v>659</v>
      </c>
      <c r="B602" s="1">
        <f>INDEX('Main Data'!$A$1:$O$1001,MATCH('Index&amp;Match'!$A602,'Main Data'!$A$1:$A$1001,0),MATCH('Index&amp;Match'!B601,'Main Data'!$A601:$O601,0))</f>
        <v>45896</v>
      </c>
      <c r="C602" s="2" t="str">
        <f>INDEX('Main Data'!$A$1:$O$1001,MATCH('Index&amp;Match'!$A602,'Main Data'!$A$1:$A$1001,0),MATCH('Index&amp;Match'!C601,'Main Data'!$A601:$O601,0))</f>
        <v>Casey</v>
      </c>
      <c r="D602" s="2" t="str">
        <f>INDEX('Main Data'!$A$1:$O$1001,MATCH('Index&amp;Match'!$A602,'Main Data'!$A$1:$A$1001,0),MATCH('Index&amp;Match'!D601,'Main Data'!$A601:$O601,0))</f>
        <v>BR-014</v>
      </c>
      <c r="E602" s="2" t="str">
        <f>INDEX('Main Data'!$A$1:$O$1001,MATCH('Index&amp;Match'!$A602,'Main Data'!$A$1:$A$1001,0),MATCH('Index&amp;Match'!E601,'Main Data'!$A601:$O601,0))</f>
        <v>North</v>
      </c>
      <c r="F602" s="2" t="str">
        <f>INDEX('Main Data'!$A$1:$O$1001,MATCH('Index&amp;Match'!$A602,'Main Data'!$A$1:$A$1001,0),MATCH('Index&amp;Match'!F601,'Main Data'!$A601:$O601,0))</f>
        <v>Wealth Management</v>
      </c>
      <c r="G602" s="2" t="str">
        <f>INDEX('Main Data'!$A$1:$O$1001,MATCH('Index&amp;Match'!$A602,'Main Data'!$A$1:$A$1001,0),MATCH('Index&amp;Match'!G601,'Main Data'!$A601:$O601,0))</f>
        <v>Email Campaign</v>
      </c>
      <c r="H602" s="2" t="str">
        <f>INDEX('Main Data'!$A$1:$O$1001,MATCH('Index&amp;Match'!$A602,'Main Data'!$A$1:$A$1001,0),MATCH('Index&amp;Match'!H601,'Main Data'!$A601:$O601,0))</f>
        <v>SME</v>
      </c>
      <c r="I602" s="2">
        <f>INDEX('Main Data'!$A$1:$O$1001,MATCH('Index&amp;Match'!$A602,'Main Data'!$A$1:$A$1001,0),MATCH('Index&amp;Match'!I601,'Main Data'!$A601:$O601,0))</f>
        <v>27</v>
      </c>
      <c r="J602" s="2">
        <f>INDEX('Main Data'!$A$1:$O$1001,MATCH('Index&amp;Match'!$A602,'Main Data'!$A$1:$A$1001,0),MATCH('Index&amp;Match'!J601,'Main Data'!$A601:$O601,0))</f>
        <v>27</v>
      </c>
      <c r="K602" s="11">
        <f>INDEX('Main Data'!$A$1:$O$1001,MATCH('Index&amp;Match'!$A602,'Main Data'!$A$1:$A$1001,0),MATCH('Index&amp;Match'!K601,'Main Data'!$A601:$O601,0))</f>
        <v>49061.72</v>
      </c>
      <c r="L602" s="11">
        <f>INDEX('Main Data'!$A$1:$O$1001,MATCH('Index&amp;Match'!$A602,'Main Data'!$A$1:$A$1001,0),MATCH('Index&amp;Match'!L601,'Main Data'!$A601:$O601,0))</f>
        <v>225.65</v>
      </c>
      <c r="M602" s="11">
        <f>INDEX('Main Data'!$A$1:$O$1001,MATCH('Index&amp;Match'!$A602,'Main Data'!$A$1:$A$1001,0),MATCH('Index&amp;Match'!M601,'Main Data'!$A601:$O601,0))</f>
        <v>177.39</v>
      </c>
      <c r="N602" s="2" t="str">
        <f>INDEX('Main Data'!$A$1:$O$1001,MATCH('Index&amp;Match'!$A602,'Main Data'!$A$1:$A$1001,0),MATCH('Index&amp;Match'!N601,'Main Data'!$A601:$O601,0))</f>
        <v>Yes</v>
      </c>
      <c r="O602" s="2">
        <f>INDEX('Main Data'!$A$1:$O$1001,MATCH('Index&amp;Match'!$A602,'Main Data'!$A$1:$A$1001,0),MATCH('Index&amp;Match'!O601,'Main Data'!$A601:$O601,0))</f>
        <v>27</v>
      </c>
    </row>
    <row r="603" spans="1:15" x14ac:dyDescent="0.3">
      <c r="A603" s="2" t="s">
        <v>660</v>
      </c>
      <c r="B603" s="1">
        <f>INDEX('Main Data'!$A$1:$O$1001,MATCH('Index&amp;Match'!$A603,'Main Data'!$A$1:$A$1001,0),MATCH('Index&amp;Match'!B602,'Main Data'!$A602:$O602,0))</f>
        <v>46187</v>
      </c>
      <c r="C603" s="2" t="str">
        <f>INDEX('Main Data'!$A$1:$O$1001,MATCH('Index&amp;Match'!$A603,'Main Data'!$A$1:$A$1001,0),MATCH('Index&amp;Match'!C602,'Main Data'!$A602:$O602,0))</f>
        <v>Drew</v>
      </c>
      <c r="D603" s="2" t="str">
        <f>INDEX('Main Data'!$A$1:$O$1001,MATCH('Index&amp;Match'!$A603,'Main Data'!$A$1:$A$1001,0),MATCH('Index&amp;Match'!D602,'Main Data'!$A602:$O602,0))</f>
        <v>BR-004</v>
      </c>
      <c r="E603" s="2" t="str">
        <f>INDEX('Main Data'!$A$1:$O$1001,MATCH('Index&amp;Match'!$A603,'Main Data'!$A$1:$A$1001,0),MATCH('Index&amp;Match'!E602,'Main Data'!$A602:$O602,0))</f>
        <v>East</v>
      </c>
      <c r="F603" s="2" t="str">
        <f>INDEX('Main Data'!$A$1:$O$1001,MATCH('Index&amp;Match'!$A603,'Main Data'!$A$1:$A$1001,0),MATCH('Index&amp;Match'!F602,'Main Data'!$A602:$O602,0))</f>
        <v>Credit Card</v>
      </c>
      <c r="G603" s="2" t="str">
        <f>INDEX('Main Data'!$A$1:$O$1001,MATCH('Index&amp;Match'!$A603,'Main Data'!$A$1:$A$1001,0),MATCH('Index&amp;Match'!G602,'Main Data'!$A602:$O602,0))</f>
        <v>Referral</v>
      </c>
      <c r="H603" s="2" t="str">
        <f>INDEX('Main Data'!$A$1:$O$1001,MATCH('Index&amp;Match'!$A603,'Main Data'!$A$1:$A$1001,0),MATCH('Index&amp;Match'!H602,'Main Data'!$A602:$O602,0))</f>
        <v>Corporate</v>
      </c>
      <c r="I603" s="2">
        <f>INDEX('Main Data'!$A$1:$O$1001,MATCH('Index&amp;Match'!$A603,'Main Data'!$A$1:$A$1001,0),MATCH('Index&amp;Match'!I602,'Main Data'!$A602:$O602,0))</f>
        <v>31</v>
      </c>
      <c r="J603" s="2">
        <f>INDEX('Main Data'!$A$1:$O$1001,MATCH('Index&amp;Match'!$A603,'Main Data'!$A$1:$A$1001,0),MATCH('Index&amp;Match'!J602,'Main Data'!$A602:$O602,0))</f>
        <v>31</v>
      </c>
      <c r="K603" s="11">
        <f>INDEX('Main Data'!$A$1:$O$1001,MATCH('Index&amp;Match'!$A603,'Main Data'!$A$1:$A$1001,0),MATCH('Index&amp;Match'!K602,'Main Data'!$A602:$O602,0))</f>
        <v>33259.629999999997</v>
      </c>
      <c r="L603" s="11">
        <f>INDEX('Main Data'!$A$1:$O$1001,MATCH('Index&amp;Match'!$A603,'Main Data'!$A$1:$A$1001,0),MATCH('Index&amp;Match'!L602,'Main Data'!$A602:$O602,0))</f>
        <v>459.08</v>
      </c>
      <c r="M603" s="11">
        <f>INDEX('Main Data'!$A$1:$O$1001,MATCH('Index&amp;Match'!$A603,'Main Data'!$A$1:$A$1001,0),MATCH('Index&amp;Match'!M602,'Main Data'!$A602:$O602,0))</f>
        <v>162.09</v>
      </c>
      <c r="N603" s="2" t="str">
        <f>INDEX('Main Data'!$A$1:$O$1001,MATCH('Index&amp;Match'!$A603,'Main Data'!$A$1:$A$1001,0),MATCH('Index&amp;Match'!N602,'Main Data'!$A602:$O602,0))</f>
        <v>No</v>
      </c>
      <c r="O603" s="2">
        <f>INDEX('Main Data'!$A$1:$O$1001,MATCH('Index&amp;Match'!$A603,'Main Data'!$A$1:$A$1001,0),MATCH('Index&amp;Match'!O602,'Main Data'!$A602:$O602,0))</f>
        <v>31</v>
      </c>
    </row>
    <row r="604" spans="1:15" x14ac:dyDescent="0.3">
      <c r="A604" s="2" t="s">
        <v>661</v>
      </c>
      <c r="B604" s="1">
        <f>INDEX('Main Data'!$A$1:$O$1001,MATCH('Index&amp;Match'!$A604,'Main Data'!$A$1:$A$1001,0),MATCH('Index&amp;Match'!B603,'Main Data'!$A603:$O603,0))</f>
        <v>46098</v>
      </c>
      <c r="C604" s="2" t="str">
        <f>INDEX('Main Data'!$A$1:$O$1001,MATCH('Index&amp;Match'!$A604,'Main Data'!$A$1:$A$1001,0),MATCH('Index&amp;Match'!C603,'Main Data'!$A603:$O603,0))</f>
        <v>Morgan</v>
      </c>
      <c r="D604" s="2" t="str">
        <f>INDEX('Main Data'!$A$1:$O$1001,MATCH('Index&amp;Match'!$A604,'Main Data'!$A$1:$A$1001,0),MATCH('Index&amp;Match'!D603,'Main Data'!$A603:$O603,0))</f>
        <v>BR-006</v>
      </c>
      <c r="E604" s="2" t="str">
        <f>INDEX('Main Data'!$A$1:$O$1001,MATCH('Index&amp;Match'!$A604,'Main Data'!$A$1:$A$1001,0),MATCH('Index&amp;Match'!E603,'Main Data'!$A603:$O603,0))</f>
        <v>West</v>
      </c>
      <c r="F604" s="2" t="str">
        <f>INDEX('Main Data'!$A$1:$O$1001,MATCH('Index&amp;Match'!$A604,'Main Data'!$A$1:$A$1001,0),MATCH('Index&amp;Match'!F603,'Main Data'!$A603:$O603,0))</f>
        <v>Mortgage</v>
      </c>
      <c r="G604" s="2" t="str">
        <f>INDEX('Main Data'!$A$1:$O$1001,MATCH('Index&amp;Match'!$A604,'Main Data'!$A$1:$A$1001,0),MATCH('Index&amp;Match'!G603,'Main Data'!$A603:$O603,0))</f>
        <v>Website</v>
      </c>
      <c r="H604" s="2" t="str">
        <f>INDEX('Main Data'!$A$1:$O$1001,MATCH('Index&amp;Match'!$A604,'Main Data'!$A$1:$A$1001,0),MATCH('Index&amp;Match'!H603,'Main Data'!$A603:$O603,0))</f>
        <v>Corporate</v>
      </c>
      <c r="I604" s="2">
        <f>INDEX('Main Data'!$A$1:$O$1001,MATCH('Index&amp;Match'!$A604,'Main Data'!$A$1:$A$1001,0),MATCH('Index&amp;Match'!I603,'Main Data'!$A603:$O603,0))</f>
        <v>59</v>
      </c>
      <c r="J604" s="2">
        <f>INDEX('Main Data'!$A$1:$O$1001,MATCH('Index&amp;Match'!$A604,'Main Data'!$A$1:$A$1001,0),MATCH('Index&amp;Match'!J603,'Main Data'!$A603:$O603,0))</f>
        <v>59</v>
      </c>
      <c r="K604" s="11">
        <f>INDEX('Main Data'!$A$1:$O$1001,MATCH('Index&amp;Match'!$A604,'Main Data'!$A$1:$A$1001,0),MATCH('Index&amp;Match'!K603,'Main Data'!$A603:$O603,0))</f>
        <v>40936.07</v>
      </c>
      <c r="L604" s="11">
        <f>INDEX('Main Data'!$A$1:$O$1001,MATCH('Index&amp;Match'!$A604,'Main Data'!$A$1:$A$1001,0),MATCH('Index&amp;Match'!L603,'Main Data'!$A603:$O603,0))</f>
        <v>63.11</v>
      </c>
      <c r="M604" s="11">
        <f>INDEX('Main Data'!$A$1:$O$1001,MATCH('Index&amp;Match'!$A604,'Main Data'!$A$1:$A$1001,0),MATCH('Index&amp;Match'!M603,'Main Data'!$A603:$O603,0))</f>
        <v>74.86</v>
      </c>
      <c r="N604" s="2" t="str">
        <f>INDEX('Main Data'!$A$1:$O$1001,MATCH('Index&amp;Match'!$A604,'Main Data'!$A$1:$A$1001,0),MATCH('Index&amp;Match'!N603,'Main Data'!$A603:$O603,0))</f>
        <v>Yes</v>
      </c>
      <c r="O604" s="2">
        <f>INDEX('Main Data'!$A$1:$O$1001,MATCH('Index&amp;Match'!$A604,'Main Data'!$A$1:$A$1001,0),MATCH('Index&amp;Match'!O603,'Main Data'!$A603:$O603,0))</f>
        <v>59</v>
      </c>
    </row>
    <row r="605" spans="1:15" x14ac:dyDescent="0.3">
      <c r="A605" s="2" t="s">
        <v>662</v>
      </c>
      <c r="B605" s="1">
        <f>INDEX('Main Data'!$A$1:$O$1001,MATCH('Index&amp;Match'!$A605,'Main Data'!$A$1:$A$1001,0),MATCH('Index&amp;Match'!B604,'Main Data'!$A604:$O604,0))</f>
        <v>45879</v>
      </c>
      <c r="C605" s="2" t="str">
        <f>INDEX('Main Data'!$A$1:$O$1001,MATCH('Index&amp;Match'!$A605,'Main Data'!$A$1:$A$1001,0),MATCH('Index&amp;Match'!C604,'Main Data'!$A604:$O604,0))</f>
        <v>Sam</v>
      </c>
      <c r="D605" s="2" t="str">
        <f>INDEX('Main Data'!$A$1:$O$1001,MATCH('Index&amp;Match'!$A605,'Main Data'!$A$1:$A$1001,0),MATCH('Index&amp;Match'!D604,'Main Data'!$A604:$O604,0))</f>
        <v>BR-007</v>
      </c>
      <c r="E605" s="2" t="str">
        <f>INDEX('Main Data'!$A$1:$O$1001,MATCH('Index&amp;Match'!$A605,'Main Data'!$A$1:$A$1001,0),MATCH('Index&amp;Match'!E604,'Main Data'!$A604:$O604,0))</f>
        <v>South</v>
      </c>
      <c r="F605" s="2" t="str">
        <f>INDEX('Main Data'!$A$1:$O$1001,MATCH('Index&amp;Match'!$A605,'Main Data'!$A$1:$A$1001,0),MATCH('Index&amp;Match'!F604,'Main Data'!$A604:$O604,0))</f>
        <v>Mortgage</v>
      </c>
      <c r="G605" s="2" t="str">
        <f>INDEX('Main Data'!$A$1:$O$1001,MATCH('Index&amp;Match'!$A605,'Main Data'!$A$1:$A$1001,0),MATCH('Index&amp;Match'!G604,'Main Data'!$A604:$O604,0))</f>
        <v>Social Media</v>
      </c>
      <c r="H605" s="2" t="str">
        <f>INDEX('Main Data'!$A$1:$O$1001,MATCH('Index&amp;Match'!$A605,'Main Data'!$A$1:$A$1001,0),MATCH('Index&amp;Match'!H604,'Main Data'!$A604:$O604,0))</f>
        <v>Corporate</v>
      </c>
      <c r="I605" s="2">
        <f>INDEX('Main Data'!$A$1:$O$1001,MATCH('Index&amp;Match'!$A605,'Main Data'!$A$1:$A$1001,0),MATCH('Index&amp;Match'!I604,'Main Data'!$A604:$O604,0))</f>
        <v>24</v>
      </c>
      <c r="J605" s="2">
        <f>INDEX('Main Data'!$A$1:$O$1001,MATCH('Index&amp;Match'!$A605,'Main Data'!$A$1:$A$1001,0),MATCH('Index&amp;Match'!J604,'Main Data'!$A604:$O604,0))</f>
        <v>24</v>
      </c>
      <c r="K605" s="11">
        <f>INDEX('Main Data'!$A$1:$O$1001,MATCH('Index&amp;Match'!$A605,'Main Data'!$A$1:$A$1001,0),MATCH('Index&amp;Match'!K604,'Main Data'!$A604:$O604,0))</f>
        <v>37602.51</v>
      </c>
      <c r="L605" s="11">
        <f>INDEX('Main Data'!$A$1:$O$1001,MATCH('Index&amp;Match'!$A605,'Main Data'!$A$1:$A$1001,0),MATCH('Index&amp;Match'!L604,'Main Data'!$A604:$O604,0))</f>
        <v>396.1</v>
      </c>
      <c r="M605" s="11">
        <f>INDEX('Main Data'!$A$1:$O$1001,MATCH('Index&amp;Match'!$A605,'Main Data'!$A$1:$A$1001,0),MATCH('Index&amp;Match'!M604,'Main Data'!$A604:$O604,0))</f>
        <v>46.26</v>
      </c>
      <c r="N605" s="2" t="str">
        <f>INDEX('Main Data'!$A$1:$O$1001,MATCH('Index&amp;Match'!$A605,'Main Data'!$A$1:$A$1001,0),MATCH('Index&amp;Match'!N604,'Main Data'!$A604:$O604,0))</f>
        <v>Yes</v>
      </c>
      <c r="O605" s="2">
        <f>INDEX('Main Data'!$A$1:$O$1001,MATCH('Index&amp;Match'!$A605,'Main Data'!$A$1:$A$1001,0),MATCH('Index&amp;Match'!O604,'Main Data'!$A604:$O604,0))</f>
        <v>24</v>
      </c>
    </row>
    <row r="606" spans="1:15" x14ac:dyDescent="0.3">
      <c r="A606" s="2" t="s">
        <v>663</v>
      </c>
      <c r="B606" s="1">
        <f>INDEX('Main Data'!$A$1:$O$1001,MATCH('Index&amp;Match'!$A606,'Main Data'!$A$1:$A$1001,0),MATCH('Index&amp;Match'!B605,'Main Data'!$A605:$O605,0))</f>
        <v>46060</v>
      </c>
      <c r="C606" s="2" t="str">
        <f>INDEX('Main Data'!$A$1:$O$1001,MATCH('Index&amp;Match'!$A606,'Main Data'!$A$1:$A$1001,0),MATCH('Index&amp;Match'!C605,'Main Data'!$A605:$O605,0))</f>
        <v>Jamie</v>
      </c>
      <c r="D606" s="2" t="str">
        <f>INDEX('Main Data'!$A$1:$O$1001,MATCH('Index&amp;Match'!$A606,'Main Data'!$A$1:$A$1001,0),MATCH('Index&amp;Match'!D605,'Main Data'!$A605:$O605,0))</f>
        <v>BR-009</v>
      </c>
      <c r="E606" s="2" t="str">
        <f>INDEX('Main Data'!$A$1:$O$1001,MATCH('Index&amp;Match'!$A606,'Main Data'!$A$1:$A$1001,0),MATCH('Index&amp;Match'!E605,'Main Data'!$A605:$O605,0))</f>
        <v>East</v>
      </c>
      <c r="F606" s="2" t="str">
        <f>INDEX('Main Data'!$A$1:$O$1001,MATCH('Index&amp;Match'!$A606,'Main Data'!$A$1:$A$1001,0),MATCH('Index&amp;Match'!F605,'Main Data'!$A605:$O605,0))</f>
        <v>Wealth Management</v>
      </c>
      <c r="G606" s="2" t="str">
        <f>INDEX('Main Data'!$A$1:$O$1001,MATCH('Index&amp;Match'!$A606,'Main Data'!$A$1:$A$1001,0),MATCH('Index&amp;Match'!G605,'Main Data'!$A605:$O605,0))</f>
        <v>Website</v>
      </c>
      <c r="H606" s="2" t="str">
        <f>INDEX('Main Data'!$A$1:$O$1001,MATCH('Index&amp;Match'!$A606,'Main Data'!$A$1:$A$1001,0),MATCH('Index&amp;Match'!H605,'Main Data'!$A605:$O605,0))</f>
        <v>Corporate</v>
      </c>
      <c r="I606" s="2">
        <f>INDEX('Main Data'!$A$1:$O$1001,MATCH('Index&amp;Match'!$A606,'Main Data'!$A$1:$A$1001,0),MATCH('Index&amp;Match'!I605,'Main Data'!$A605:$O605,0))</f>
        <v>45</v>
      </c>
      <c r="J606" s="2">
        <f>INDEX('Main Data'!$A$1:$O$1001,MATCH('Index&amp;Match'!$A606,'Main Data'!$A$1:$A$1001,0),MATCH('Index&amp;Match'!J605,'Main Data'!$A605:$O605,0))</f>
        <v>45</v>
      </c>
      <c r="K606" s="11">
        <f>INDEX('Main Data'!$A$1:$O$1001,MATCH('Index&amp;Match'!$A606,'Main Data'!$A$1:$A$1001,0),MATCH('Index&amp;Match'!K605,'Main Data'!$A605:$O605,0))</f>
        <v>35126.949999999997</v>
      </c>
      <c r="L606" s="11">
        <f>INDEX('Main Data'!$A$1:$O$1001,MATCH('Index&amp;Match'!$A606,'Main Data'!$A$1:$A$1001,0),MATCH('Index&amp;Match'!L605,'Main Data'!$A605:$O605,0))</f>
        <v>455.86</v>
      </c>
      <c r="M606" s="11">
        <f>INDEX('Main Data'!$A$1:$O$1001,MATCH('Index&amp;Match'!$A606,'Main Data'!$A$1:$A$1001,0),MATCH('Index&amp;Match'!M605,'Main Data'!$A605:$O605,0))</f>
        <v>146.97</v>
      </c>
      <c r="N606" s="2" t="str">
        <f>INDEX('Main Data'!$A$1:$O$1001,MATCH('Index&amp;Match'!$A606,'Main Data'!$A$1:$A$1001,0),MATCH('Index&amp;Match'!N605,'Main Data'!$A605:$O605,0))</f>
        <v>Yes</v>
      </c>
      <c r="O606" s="2">
        <f>INDEX('Main Data'!$A$1:$O$1001,MATCH('Index&amp;Match'!$A606,'Main Data'!$A$1:$A$1001,0),MATCH('Index&amp;Match'!O605,'Main Data'!$A605:$O605,0))</f>
        <v>45</v>
      </c>
    </row>
    <row r="607" spans="1:15" x14ac:dyDescent="0.3">
      <c r="A607" s="2" t="s">
        <v>664</v>
      </c>
      <c r="B607" s="1">
        <f>INDEX('Main Data'!$A$1:$O$1001,MATCH('Index&amp;Match'!$A607,'Main Data'!$A$1:$A$1001,0),MATCH('Index&amp;Match'!B606,'Main Data'!$A606:$O606,0))</f>
        <v>46206</v>
      </c>
      <c r="C607" s="2" t="str">
        <f>INDEX('Main Data'!$A$1:$O$1001,MATCH('Index&amp;Match'!$A607,'Main Data'!$A$1:$A$1001,0),MATCH('Index&amp;Match'!C606,'Main Data'!$A606:$O606,0))</f>
        <v>Taylor</v>
      </c>
      <c r="D607" s="2" t="str">
        <f>INDEX('Main Data'!$A$1:$O$1001,MATCH('Index&amp;Match'!$A607,'Main Data'!$A$1:$A$1001,0),MATCH('Index&amp;Match'!D606,'Main Data'!$A606:$O606,0))</f>
        <v>BR-001</v>
      </c>
      <c r="E607" s="2" t="str">
        <f>INDEX('Main Data'!$A$1:$O$1001,MATCH('Index&amp;Match'!$A607,'Main Data'!$A$1:$A$1001,0),MATCH('Index&amp;Match'!E606,'Main Data'!$A606:$O606,0))</f>
        <v>East</v>
      </c>
      <c r="F607" s="2" t="str">
        <f>INDEX('Main Data'!$A$1:$O$1001,MATCH('Index&amp;Match'!$A607,'Main Data'!$A$1:$A$1001,0),MATCH('Index&amp;Match'!F606,'Main Data'!$A606:$O606,0))</f>
        <v>Auto Loan</v>
      </c>
      <c r="G607" s="2" t="str">
        <f>INDEX('Main Data'!$A$1:$O$1001,MATCH('Index&amp;Match'!$A607,'Main Data'!$A$1:$A$1001,0),MATCH('Index&amp;Match'!G606,'Main Data'!$A606:$O606,0))</f>
        <v>Referral</v>
      </c>
      <c r="H607" s="2" t="str">
        <f>INDEX('Main Data'!$A$1:$O$1001,MATCH('Index&amp;Match'!$A607,'Main Data'!$A$1:$A$1001,0),MATCH('Index&amp;Match'!H606,'Main Data'!$A606:$O606,0))</f>
        <v>Corporate</v>
      </c>
      <c r="I607" s="2">
        <f>INDEX('Main Data'!$A$1:$O$1001,MATCH('Index&amp;Match'!$A607,'Main Data'!$A$1:$A$1001,0),MATCH('Index&amp;Match'!I606,'Main Data'!$A606:$O606,0))</f>
        <v>32</v>
      </c>
      <c r="J607" s="2">
        <f>INDEX('Main Data'!$A$1:$O$1001,MATCH('Index&amp;Match'!$A607,'Main Data'!$A$1:$A$1001,0),MATCH('Index&amp;Match'!J606,'Main Data'!$A606:$O606,0))</f>
        <v>32</v>
      </c>
      <c r="K607" s="11">
        <f>INDEX('Main Data'!$A$1:$O$1001,MATCH('Index&amp;Match'!$A607,'Main Data'!$A$1:$A$1001,0),MATCH('Index&amp;Match'!K606,'Main Data'!$A606:$O606,0))</f>
        <v>15693.09</v>
      </c>
      <c r="L607" s="11">
        <f>INDEX('Main Data'!$A$1:$O$1001,MATCH('Index&amp;Match'!$A607,'Main Data'!$A$1:$A$1001,0),MATCH('Index&amp;Match'!L606,'Main Data'!$A606:$O606,0))</f>
        <v>250.86</v>
      </c>
      <c r="M607" s="11">
        <f>INDEX('Main Data'!$A$1:$O$1001,MATCH('Index&amp;Match'!$A607,'Main Data'!$A$1:$A$1001,0),MATCH('Index&amp;Match'!M606,'Main Data'!$A606:$O606,0))</f>
        <v>60.92</v>
      </c>
      <c r="N607" s="2" t="str">
        <f>INDEX('Main Data'!$A$1:$O$1001,MATCH('Index&amp;Match'!$A607,'Main Data'!$A$1:$A$1001,0),MATCH('Index&amp;Match'!N606,'Main Data'!$A606:$O606,0))</f>
        <v>Yes</v>
      </c>
      <c r="O607" s="2">
        <f>INDEX('Main Data'!$A$1:$O$1001,MATCH('Index&amp;Match'!$A607,'Main Data'!$A$1:$A$1001,0),MATCH('Index&amp;Match'!O606,'Main Data'!$A606:$O606,0))</f>
        <v>32</v>
      </c>
    </row>
    <row r="608" spans="1:15" x14ac:dyDescent="0.3">
      <c r="A608" s="2" t="s">
        <v>665</v>
      </c>
      <c r="B608" s="1">
        <f>INDEX('Main Data'!$A$1:$O$1001,MATCH('Index&amp;Match'!$A608,'Main Data'!$A$1:$A$1001,0),MATCH('Index&amp;Match'!B607,'Main Data'!$A607:$O607,0))</f>
        <v>46113</v>
      </c>
      <c r="C608" s="2" t="str">
        <f>INDEX('Main Data'!$A$1:$O$1001,MATCH('Index&amp;Match'!$A608,'Main Data'!$A$1:$A$1001,0),MATCH('Index&amp;Match'!C607,'Main Data'!$A607:$O607,0))</f>
        <v>Jamie</v>
      </c>
      <c r="D608" s="2" t="str">
        <f>INDEX('Main Data'!$A$1:$O$1001,MATCH('Index&amp;Match'!$A608,'Main Data'!$A$1:$A$1001,0),MATCH('Index&amp;Match'!D607,'Main Data'!$A607:$O607,0))</f>
        <v>BR-015</v>
      </c>
      <c r="E608" s="2" t="str">
        <f>INDEX('Main Data'!$A$1:$O$1001,MATCH('Index&amp;Match'!$A608,'Main Data'!$A$1:$A$1001,0),MATCH('Index&amp;Match'!E607,'Main Data'!$A607:$O607,0))</f>
        <v>South</v>
      </c>
      <c r="F608" s="2" t="str">
        <f>INDEX('Main Data'!$A$1:$O$1001,MATCH('Index&amp;Match'!$A608,'Main Data'!$A$1:$A$1001,0),MATCH('Index&amp;Match'!F607,'Main Data'!$A607:$O607,0))</f>
        <v>Credit Card</v>
      </c>
      <c r="G608" s="2" t="str">
        <f>INDEX('Main Data'!$A$1:$O$1001,MATCH('Index&amp;Match'!$A608,'Main Data'!$A$1:$A$1001,0),MATCH('Index&amp;Match'!G607,'Main Data'!$A607:$O607,0))</f>
        <v>Referral</v>
      </c>
      <c r="H608" s="2" t="str">
        <f>INDEX('Main Data'!$A$1:$O$1001,MATCH('Index&amp;Match'!$A608,'Main Data'!$A$1:$A$1001,0),MATCH('Index&amp;Match'!H607,'Main Data'!$A607:$O607,0))</f>
        <v>Retail</v>
      </c>
      <c r="I608" s="2">
        <f>INDEX('Main Data'!$A$1:$O$1001,MATCH('Index&amp;Match'!$A608,'Main Data'!$A$1:$A$1001,0),MATCH('Index&amp;Match'!I607,'Main Data'!$A607:$O607,0))</f>
        <v>46</v>
      </c>
      <c r="J608" s="2">
        <f>INDEX('Main Data'!$A$1:$O$1001,MATCH('Index&amp;Match'!$A608,'Main Data'!$A$1:$A$1001,0),MATCH('Index&amp;Match'!J607,'Main Data'!$A607:$O607,0))</f>
        <v>46</v>
      </c>
      <c r="K608" s="11">
        <f>INDEX('Main Data'!$A$1:$O$1001,MATCH('Index&amp;Match'!$A608,'Main Data'!$A$1:$A$1001,0),MATCH('Index&amp;Match'!K607,'Main Data'!$A607:$O607,0))</f>
        <v>3326.17</v>
      </c>
      <c r="L608" s="11">
        <f>INDEX('Main Data'!$A$1:$O$1001,MATCH('Index&amp;Match'!$A608,'Main Data'!$A$1:$A$1001,0),MATCH('Index&amp;Match'!L607,'Main Data'!$A607:$O607,0))</f>
        <v>297.81</v>
      </c>
      <c r="M608" s="11">
        <f>INDEX('Main Data'!$A$1:$O$1001,MATCH('Index&amp;Match'!$A608,'Main Data'!$A$1:$A$1001,0),MATCH('Index&amp;Match'!M607,'Main Data'!$A607:$O607,0))</f>
        <v>35.21</v>
      </c>
      <c r="N608" s="2" t="str">
        <f>INDEX('Main Data'!$A$1:$O$1001,MATCH('Index&amp;Match'!$A608,'Main Data'!$A$1:$A$1001,0),MATCH('Index&amp;Match'!N607,'Main Data'!$A607:$O607,0))</f>
        <v>Yes</v>
      </c>
      <c r="O608" s="2">
        <f>INDEX('Main Data'!$A$1:$O$1001,MATCH('Index&amp;Match'!$A608,'Main Data'!$A$1:$A$1001,0),MATCH('Index&amp;Match'!O607,'Main Data'!$A607:$O607,0))</f>
        <v>46</v>
      </c>
    </row>
    <row r="609" spans="1:15" x14ac:dyDescent="0.3">
      <c r="A609" s="2" t="s">
        <v>666</v>
      </c>
      <c r="B609" s="1">
        <f>INDEX('Main Data'!$A$1:$O$1001,MATCH('Index&amp;Match'!$A609,'Main Data'!$A$1:$A$1001,0),MATCH('Index&amp;Match'!B608,'Main Data'!$A608:$O608,0))</f>
        <v>45870</v>
      </c>
      <c r="C609" s="2" t="str">
        <f>INDEX('Main Data'!$A$1:$O$1001,MATCH('Index&amp;Match'!$A609,'Main Data'!$A$1:$A$1001,0),MATCH('Index&amp;Match'!C608,'Main Data'!$A608:$O608,0))</f>
        <v>Drew</v>
      </c>
      <c r="D609" s="2" t="str">
        <f>INDEX('Main Data'!$A$1:$O$1001,MATCH('Index&amp;Match'!$A609,'Main Data'!$A$1:$A$1001,0),MATCH('Index&amp;Match'!D608,'Main Data'!$A608:$O608,0))</f>
        <v>BR-006</v>
      </c>
      <c r="E609" s="2" t="str">
        <f>INDEX('Main Data'!$A$1:$O$1001,MATCH('Index&amp;Match'!$A609,'Main Data'!$A$1:$A$1001,0),MATCH('Index&amp;Match'!E608,'Main Data'!$A608:$O608,0))</f>
        <v>South</v>
      </c>
      <c r="F609" s="2" t="str">
        <f>INDEX('Main Data'!$A$1:$O$1001,MATCH('Index&amp;Match'!$A609,'Main Data'!$A$1:$A$1001,0),MATCH('Index&amp;Match'!F608,'Main Data'!$A608:$O608,0))</f>
        <v>Wealth Management</v>
      </c>
      <c r="G609" s="2" t="str">
        <f>INDEX('Main Data'!$A$1:$O$1001,MATCH('Index&amp;Match'!$A609,'Main Data'!$A$1:$A$1001,0),MATCH('Index&amp;Match'!G608,'Main Data'!$A608:$O608,0))</f>
        <v>Website</v>
      </c>
      <c r="H609" s="2" t="str">
        <f>INDEX('Main Data'!$A$1:$O$1001,MATCH('Index&amp;Match'!$A609,'Main Data'!$A$1:$A$1001,0),MATCH('Index&amp;Match'!H608,'Main Data'!$A608:$O608,0))</f>
        <v>Retail</v>
      </c>
      <c r="I609" s="2">
        <f>INDEX('Main Data'!$A$1:$O$1001,MATCH('Index&amp;Match'!$A609,'Main Data'!$A$1:$A$1001,0),MATCH('Index&amp;Match'!I608,'Main Data'!$A608:$O608,0))</f>
        <v>58</v>
      </c>
      <c r="J609" s="2">
        <f>INDEX('Main Data'!$A$1:$O$1001,MATCH('Index&amp;Match'!$A609,'Main Data'!$A$1:$A$1001,0),MATCH('Index&amp;Match'!J608,'Main Data'!$A608:$O608,0))</f>
        <v>58</v>
      </c>
      <c r="K609" s="11">
        <f>INDEX('Main Data'!$A$1:$O$1001,MATCH('Index&amp;Match'!$A609,'Main Data'!$A$1:$A$1001,0),MATCH('Index&amp;Match'!K608,'Main Data'!$A608:$O608,0))</f>
        <v>17481.060000000001</v>
      </c>
      <c r="L609" s="11">
        <f>INDEX('Main Data'!$A$1:$O$1001,MATCH('Index&amp;Match'!$A609,'Main Data'!$A$1:$A$1001,0),MATCH('Index&amp;Match'!L608,'Main Data'!$A608:$O608,0))</f>
        <v>475.01</v>
      </c>
      <c r="M609" s="11">
        <f>INDEX('Main Data'!$A$1:$O$1001,MATCH('Index&amp;Match'!$A609,'Main Data'!$A$1:$A$1001,0),MATCH('Index&amp;Match'!M608,'Main Data'!$A608:$O608,0))</f>
        <v>157.31</v>
      </c>
      <c r="N609" s="2" t="str">
        <f>INDEX('Main Data'!$A$1:$O$1001,MATCH('Index&amp;Match'!$A609,'Main Data'!$A$1:$A$1001,0),MATCH('Index&amp;Match'!N608,'Main Data'!$A608:$O608,0))</f>
        <v>No</v>
      </c>
      <c r="O609" s="2">
        <f>INDEX('Main Data'!$A$1:$O$1001,MATCH('Index&amp;Match'!$A609,'Main Data'!$A$1:$A$1001,0),MATCH('Index&amp;Match'!O608,'Main Data'!$A608:$O608,0))</f>
        <v>58</v>
      </c>
    </row>
    <row r="610" spans="1:15" x14ac:dyDescent="0.3">
      <c r="A610" s="2" t="s">
        <v>667</v>
      </c>
      <c r="B610" s="1">
        <f>INDEX('Main Data'!$A$1:$O$1001,MATCH('Index&amp;Match'!$A610,'Main Data'!$A$1:$A$1001,0),MATCH('Index&amp;Match'!B609,'Main Data'!$A609:$O609,0))</f>
        <v>46099</v>
      </c>
      <c r="C610" s="2" t="str">
        <f>INDEX('Main Data'!$A$1:$O$1001,MATCH('Index&amp;Match'!$A610,'Main Data'!$A$1:$A$1001,0),MATCH('Index&amp;Match'!C609,'Main Data'!$A609:$O609,0))</f>
        <v>Morgan</v>
      </c>
      <c r="D610" s="2" t="str">
        <f>INDEX('Main Data'!$A$1:$O$1001,MATCH('Index&amp;Match'!$A610,'Main Data'!$A$1:$A$1001,0),MATCH('Index&amp;Match'!D609,'Main Data'!$A609:$O609,0))</f>
        <v>BR-007</v>
      </c>
      <c r="E610" s="2" t="str">
        <f>INDEX('Main Data'!$A$1:$O$1001,MATCH('Index&amp;Match'!$A610,'Main Data'!$A$1:$A$1001,0),MATCH('Index&amp;Match'!E609,'Main Data'!$A609:$O609,0))</f>
        <v>North</v>
      </c>
      <c r="F610" s="2" t="str">
        <f>INDEX('Main Data'!$A$1:$O$1001,MATCH('Index&amp;Match'!$A610,'Main Data'!$A$1:$A$1001,0),MATCH('Index&amp;Match'!F609,'Main Data'!$A609:$O609,0))</f>
        <v>Wealth Management</v>
      </c>
      <c r="G610" s="2" t="str">
        <f>INDEX('Main Data'!$A$1:$O$1001,MATCH('Index&amp;Match'!$A610,'Main Data'!$A$1:$A$1001,0),MATCH('Index&amp;Match'!G609,'Main Data'!$A609:$O609,0))</f>
        <v>Walk-in</v>
      </c>
      <c r="H610" s="2" t="str">
        <f>INDEX('Main Data'!$A$1:$O$1001,MATCH('Index&amp;Match'!$A610,'Main Data'!$A$1:$A$1001,0),MATCH('Index&amp;Match'!H609,'Main Data'!$A609:$O609,0))</f>
        <v>High Net Worth</v>
      </c>
      <c r="I610" s="2">
        <f>INDEX('Main Data'!$A$1:$O$1001,MATCH('Index&amp;Match'!$A610,'Main Data'!$A$1:$A$1001,0),MATCH('Index&amp;Match'!I609,'Main Data'!$A609:$O609,0))</f>
        <v>66</v>
      </c>
      <c r="J610" s="2">
        <f>INDEX('Main Data'!$A$1:$O$1001,MATCH('Index&amp;Match'!$A610,'Main Data'!$A$1:$A$1001,0),MATCH('Index&amp;Match'!J609,'Main Data'!$A609:$O609,0))</f>
        <v>66</v>
      </c>
      <c r="K610" s="11">
        <f>INDEX('Main Data'!$A$1:$O$1001,MATCH('Index&amp;Match'!$A610,'Main Data'!$A$1:$A$1001,0),MATCH('Index&amp;Match'!K609,'Main Data'!$A609:$O609,0))</f>
        <v>33513.33</v>
      </c>
      <c r="L610" s="11">
        <f>INDEX('Main Data'!$A$1:$O$1001,MATCH('Index&amp;Match'!$A610,'Main Data'!$A$1:$A$1001,0),MATCH('Index&amp;Match'!L609,'Main Data'!$A609:$O609,0))</f>
        <v>145.52000000000001</v>
      </c>
      <c r="M610" s="11">
        <f>INDEX('Main Data'!$A$1:$O$1001,MATCH('Index&amp;Match'!$A610,'Main Data'!$A$1:$A$1001,0),MATCH('Index&amp;Match'!M609,'Main Data'!$A609:$O609,0))</f>
        <v>93.76</v>
      </c>
      <c r="N610" s="2" t="str">
        <f>INDEX('Main Data'!$A$1:$O$1001,MATCH('Index&amp;Match'!$A610,'Main Data'!$A$1:$A$1001,0),MATCH('Index&amp;Match'!N609,'Main Data'!$A609:$O609,0))</f>
        <v>No</v>
      </c>
      <c r="O610" s="2">
        <f>INDEX('Main Data'!$A$1:$O$1001,MATCH('Index&amp;Match'!$A610,'Main Data'!$A$1:$A$1001,0),MATCH('Index&amp;Match'!O609,'Main Data'!$A609:$O609,0))</f>
        <v>66</v>
      </c>
    </row>
    <row r="611" spans="1:15" x14ac:dyDescent="0.3">
      <c r="A611" s="2" t="s">
        <v>668</v>
      </c>
      <c r="B611" s="1">
        <f>INDEX('Main Data'!$A$1:$O$1001,MATCH('Index&amp;Match'!$A611,'Main Data'!$A$1:$A$1001,0),MATCH('Index&amp;Match'!B610,'Main Data'!$A610:$O610,0))</f>
        <v>46013</v>
      </c>
      <c r="C611" s="2" t="str">
        <f>INDEX('Main Data'!$A$1:$O$1001,MATCH('Index&amp;Match'!$A611,'Main Data'!$A$1:$A$1001,0),MATCH('Index&amp;Match'!C610,'Main Data'!$A610:$O610,0))</f>
        <v>Drew</v>
      </c>
      <c r="D611" s="2" t="str">
        <f>INDEX('Main Data'!$A$1:$O$1001,MATCH('Index&amp;Match'!$A611,'Main Data'!$A$1:$A$1001,0),MATCH('Index&amp;Match'!D610,'Main Data'!$A610:$O610,0))</f>
        <v>BR-003</v>
      </c>
      <c r="E611" s="2" t="str">
        <f>INDEX('Main Data'!$A$1:$O$1001,MATCH('Index&amp;Match'!$A611,'Main Data'!$A$1:$A$1001,0),MATCH('Index&amp;Match'!E610,'Main Data'!$A610:$O610,0))</f>
        <v>East</v>
      </c>
      <c r="F611" s="2" t="str">
        <f>INDEX('Main Data'!$A$1:$O$1001,MATCH('Index&amp;Match'!$A611,'Main Data'!$A$1:$A$1001,0),MATCH('Index&amp;Match'!F610,'Main Data'!$A610:$O610,0))</f>
        <v>Credit Card</v>
      </c>
      <c r="G611" s="2" t="str">
        <f>INDEX('Main Data'!$A$1:$O$1001,MATCH('Index&amp;Match'!$A611,'Main Data'!$A$1:$A$1001,0),MATCH('Index&amp;Match'!G610,'Main Data'!$A610:$O610,0))</f>
        <v>Walk-in</v>
      </c>
      <c r="H611" s="2" t="str">
        <f>INDEX('Main Data'!$A$1:$O$1001,MATCH('Index&amp;Match'!$A611,'Main Data'!$A$1:$A$1001,0),MATCH('Index&amp;Match'!H610,'Main Data'!$A610:$O610,0))</f>
        <v>SME</v>
      </c>
      <c r="I611" s="2">
        <f>INDEX('Main Data'!$A$1:$O$1001,MATCH('Index&amp;Match'!$A611,'Main Data'!$A$1:$A$1001,0),MATCH('Index&amp;Match'!I610,'Main Data'!$A610:$O610,0))</f>
        <v>32</v>
      </c>
      <c r="J611" s="2">
        <f>INDEX('Main Data'!$A$1:$O$1001,MATCH('Index&amp;Match'!$A611,'Main Data'!$A$1:$A$1001,0),MATCH('Index&amp;Match'!J610,'Main Data'!$A610:$O610,0))</f>
        <v>32</v>
      </c>
      <c r="K611" s="11">
        <f>INDEX('Main Data'!$A$1:$O$1001,MATCH('Index&amp;Match'!$A611,'Main Data'!$A$1:$A$1001,0),MATCH('Index&amp;Match'!K610,'Main Data'!$A610:$O610,0))</f>
        <v>5575.2</v>
      </c>
      <c r="L611" s="11">
        <f>INDEX('Main Data'!$A$1:$O$1001,MATCH('Index&amp;Match'!$A611,'Main Data'!$A$1:$A$1001,0),MATCH('Index&amp;Match'!L610,'Main Data'!$A610:$O610,0))</f>
        <v>284.06</v>
      </c>
      <c r="M611" s="11">
        <f>INDEX('Main Data'!$A$1:$O$1001,MATCH('Index&amp;Match'!$A611,'Main Data'!$A$1:$A$1001,0),MATCH('Index&amp;Match'!M610,'Main Data'!$A610:$O610,0))</f>
        <v>182.89</v>
      </c>
      <c r="N611" s="2" t="str">
        <f>INDEX('Main Data'!$A$1:$O$1001,MATCH('Index&amp;Match'!$A611,'Main Data'!$A$1:$A$1001,0),MATCH('Index&amp;Match'!N610,'Main Data'!$A610:$O610,0))</f>
        <v>No</v>
      </c>
      <c r="O611" s="2">
        <f>INDEX('Main Data'!$A$1:$O$1001,MATCH('Index&amp;Match'!$A611,'Main Data'!$A$1:$A$1001,0),MATCH('Index&amp;Match'!O610,'Main Data'!$A610:$O610,0))</f>
        <v>32</v>
      </c>
    </row>
    <row r="612" spans="1:15" x14ac:dyDescent="0.3">
      <c r="A612" s="2" t="s">
        <v>669</v>
      </c>
      <c r="B612" s="1">
        <f>INDEX('Main Data'!$A$1:$O$1001,MATCH('Index&amp;Match'!$A612,'Main Data'!$A$1:$A$1001,0),MATCH('Index&amp;Match'!B611,'Main Data'!$A611:$O611,0))</f>
        <v>46197</v>
      </c>
      <c r="C612" s="2" t="str">
        <f>INDEX('Main Data'!$A$1:$O$1001,MATCH('Index&amp;Match'!$A612,'Main Data'!$A$1:$A$1001,0),MATCH('Index&amp;Match'!C611,'Main Data'!$A611:$O611,0))</f>
        <v>Casey</v>
      </c>
      <c r="D612" s="2" t="str">
        <f>INDEX('Main Data'!$A$1:$O$1001,MATCH('Index&amp;Match'!$A612,'Main Data'!$A$1:$A$1001,0),MATCH('Index&amp;Match'!D611,'Main Data'!$A611:$O611,0))</f>
        <v>BR-008</v>
      </c>
      <c r="E612" s="2" t="str">
        <f>INDEX('Main Data'!$A$1:$O$1001,MATCH('Index&amp;Match'!$A612,'Main Data'!$A$1:$A$1001,0),MATCH('Index&amp;Match'!E611,'Main Data'!$A611:$O611,0))</f>
        <v>Central</v>
      </c>
      <c r="F612" s="2" t="str">
        <f>INDEX('Main Data'!$A$1:$O$1001,MATCH('Index&amp;Match'!$A612,'Main Data'!$A$1:$A$1001,0),MATCH('Index&amp;Match'!F611,'Main Data'!$A611:$O611,0))</f>
        <v>Credit Card</v>
      </c>
      <c r="G612" s="2" t="str">
        <f>INDEX('Main Data'!$A$1:$O$1001,MATCH('Index&amp;Match'!$A612,'Main Data'!$A$1:$A$1001,0),MATCH('Index&amp;Match'!G611,'Main Data'!$A611:$O611,0))</f>
        <v>Walk-in</v>
      </c>
      <c r="H612" s="2" t="str">
        <f>INDEX('Main Data'!$A$1:$O$1001,MATCH('Index&amp;Match'!$A612,'Main Data'!$A$1:$A$1001,0),MATCH('Index&amp;Match'!H611,'Main Data'!$A611:$O611,0))</f>
        <v>Retail</v>
      </c>
      <c r="I612" s="2">
        <f>INDEX('Main Data'!$A$1:$O$1001,MATCH('Index&amp;Match'!$A612,'Main Data'!$A$1:$A$1001,0),MATCH('Index&amp;Match'!I611,'Main Data'!$A611:$O611,0))</f>
        <v>63</v>
      </c>
      <c r="J612" s="2">
        <f>INDEX('Main Data'!$A$1:$O$1001,MATCH('Index&amp;Match'!$A612,'Main Data'!$A$1:$A$1001,0),MATCH('Index&amp;Match'!J611,'Main Data'!$A611:$O611,0))</f>
        <v>63</v>
      </c>
      <c r="K612" s="11">
        <f>INDEX('Main Data'!$A$1:$O$1001,MATCH('Index&amp;Match'!$A612,'Main Data'!$A$1:$A$1001,0),MATCH('Index&amp;Match'!K611,'Main Data'!$A611:$O611,0))</f>
        <v>1089.94</v>
      </c>
      <c r="L612" s="11">
        <f>INDEX('Main Data'!$A$1:$O$1001,MATCH('Index&amp;Match'!$A612,'Main Data'!$A$1:$A$1001,0),MATCH('Index&amp;Match'!L611,'Main Data'!$A611:$O611,0))</f>
        <v>263.62</v>
      </c>
      <c r="M612" s="11">
        <f>INDEX('Main Data'!$A$1:$O$1001,MATCH('Index&amp;Match'!$A612,'Main Data'!$A$1:$A$1001,0),MATCH('Index&amp;Match'!M611,'Main Data'!$A611:$O611,0))</f>
        <v>168.13</v>
      </c>
      <c r="N612" s="2" t="str">
        <f>INDEX('Main Data'!$A$1:$O$1001,MATCH('Index&amp;Match'!$A612,'Main Data'!$A$1:$A$1001,0),MATCH('Index&amp;Match'!N611,'Main Data'!$A611:$O611,0))</f>
        <v>Yes</v>
      </c>
      <c r="O612" s="2">
        <f>INDEX('Main Data'!$A$1:$O$1001,MATCH('Index&amp;Match'!$A612,'Main Data'!$A$1:$A$1001,0),MATCH('Index&amp;Match'!O611,'Main Data'!$A611:$O611,0))</f>
        <v>63</v>
      </c>
    </row>
    <row r="613" spans="1:15" x14ac:dyDescent="0.3">
      <c r="A613" s="2" t="s">
        <v>670</v>
      </c>
      <c r="B613" s="1">
        <f>INDEX('Main Data'!$A$1:$O$1001,MATCH('Index&amp;Match'!$A613,'Main Data'!$A$1:$A$1001,0),MATCH('Index&amp;Match'!B612,'Main Data'!$A612:$O612,0))</f>
        <v>46196</v>
      </c>
      <c r="C613" s="2" t="str">
        <f>INDEX('Main Data'!$A$1:$O$1001,MATCH('Index&amp;Match'!$A613,'Main Data'!$A$1:$A$1001,0),MATCH('Index&amp;Match'!C612,'Main Data'!$A612:$O612,0))</f>
        <v>Jordan</v>
      </c>
      <c r="D613" s="2" t="str">
        <f>INDEX('Main Data'!$A$1:$O$1001,MATCH('Index&amp;Match'!$A613,'Main Data'!$A$1:$A$1001,0),MATCH('Index&amp;Match'!D612,'Main Data'!$A612:$O612,0))</f>
        <v>BR-015</v>
      </c>
      <c r="E613" s="2" t="str">
        <f>INDEX('Main Data'!$A$1:$O$1001,MATCH('Index&amp;Match'!$A613,'Main Data'!$A$1:$A$1001,0),MATCH('Index&amp;Match'!E612,'Main Data'!$A612:$O612,0))</f>
        <v>South</v>
      </c>
      <c r="F613" s="2" t="str">
        <f>INDEX('Main Data'!$A$1:$O$1001,MATCH('Index&amp;Match'!$A613,'Main Data'!$A$1:$A$1001,0),MATCH('Index&amp;Match'!F612,'Main Data'!$A612:$O612,0))</f>
        <v>Mortgage</v>
      </c>
      <c r="G613" s="2" t="str">
        <f>INDEX('Main Data'!$A$1:$O$1001,MATCH('Index&amp;Match'!$A613,'Main Data'!$A$1:$A$1001,0),MATCH('Index&amp;Match'!G612,'Main Data'!$A612:$O612,0))</f>
        <v>Referral</v>
      </c>
      <c r="H613" s="2" t="str">
        <f>INDEX('Main Data'!$A$1:$O$1001,MATCH('Index&amp;Match'!$A613,'Main Data'!$A$1:$A$1001,0),MATCH('Index&amp;Match'!H612,'Main Data'!$A612:$O612,0))</f>
        <v>Retail</v>
      </c>
      <c r="I613" s="2">
        <f>INDEX('Main Data'!$A$1:$O$1001,MATCH('Index&amp;Match'!$A613,'Main Data'!$A$1:$A$1001,0),MATCH('Index&amp;Match'!I612,'Main Data'!$A612:$O612,0))</f>
        <v>71</v>
      </c>
      <c r="J613" s="2">
        <f>INDEX('Main Data'!$A$1:$O$1001,MATCH('Index&amp;Match'!$A613,'Main Data'!$A$1:$A$1001,0),MATCH('Index&amp;Match'!J612,'Main Data'!$A612:$O612,0))</f>
        <v>71</v>
      </c>
      <c r="K613" s="11">
        <f>INDEX('Main Data'!$A$1:$O$1001,MATCH('Index&amp;Match'!$A613,'Main Data'!$A$1:$A$1001,0),MATCH('Index&amp;Match'!K612,'Main Data'!$A612:$O612,0))</f>
        <v>7414.77</v>
      </c>
      <c r="L613" s="11">
        <f>INDEX('Main Data'!$A$1:$O$1001,MATCH('Index&amp;Match'!$A613,'Main Data'!$A$1:$A$1001,0),MATCH('Index&amp;Match'!L612,'Main Data'!$A612:$O612,0))</f>
        <v>166.28</v>
      </c>
      <c r="M613" s="11">
        <f>INDEX('Main Data'!$A$1:$O$1001,MATCH('Index&amp;Match'!$A613,'Main Data'!$A$1:$A$1001,0),MATCH('Index&amp;Match'!M612,'Main Data'!$A612:$O612,0))</f>
        <v>169.53</v>
      </c>
      <c r="N613" s="2" t="str">
        <f>INDEX('Main Data'!$A$1:$O$1001,MATCH('Index&amp;Match'!$A613,'Main Data'!$A$1:$A$1001,0),MATCH('Index&amp;Match'!N612,'Main Data'!$A612:$O612,0))</f>
        <v>Yes</v>
      </c>
      <c r="O613" s="2">
        <f>INDEX('Main Data'!$A$1:$O$1001,MATCH('Index&amp;Match'!$A613,'Main Data'!$A$1:$A$1001,0),MATCH('Index&amp;Match'!O612,'Main Data'!$A612:$O612,0))</f>
        <v>71</v>
      </c>
    </row>
    <row r="614" spans="1:15" x14ac:dyDescent="0.3">
      <c r="A614" s="2" t="s">
        <v>671</v>
      </c>
      <c r="B614" s="1">
        <f>INDEX('Main Data'!$A$1:$O$1001,MATCH('Index&amp;Match'!$A614,'Main Data'!$A$1:$A$1001,0),MATCH('Index&amp;Match'!B613,'Main Data'!$A613:$O613,0))</f>
        <v>46103</v>
      </c>
      <c r="C614" s="2" t="str">
        <f>INDEX('Main Data'!$A$1:$O$1001,MATCH('Index&amp;Match'!$A614,'Main Data'!$A$1:$A$1001,0),MATCH('Index&amp;Match'!C613,'Main Data'!$A613:$O613,0))</f>
        <v>Morgan</v>
      </c>
      <c r="D614" s="2" t="str">
        <f>INDEX('Main Data'!$A$1:$O$1001,MATCH('Index&amp;Match'!$A614,'Main Data'!$A$1:$A$1001,0),MATCH('Index&amp;Match'!D613,'Main Data'!$A613:$O613,0))</f>
        <v>BR-005</v>
      </c>
      <c r="E614" s="2" t="str">
        <f>INDEX('Main Data'!$A$1:$O$1001,MATCH('Index&amp;Match'!$A614,'Main Data'!$A$1:$A$1001,0),MATCH('Index&amp;Match'!E613,'Main Data'!$A613:$O613,0))</f>
        <v>South</v>
      </c>
      <c r="F614" s="2" t="str">
        <f>INDEX('Main Data'!$A$1:$O$1001,MATCH('Index&amp;Match'!$A614,'Main Data'!$A$1:$A$1001,0),MATCH('Index&amp;Match'!F613,'Main Data'!$A613:$O613,0))</f>
        <v>Auto Loan</v>
      </c>
      <c r="G614" s="2" t="str">
        <f>INDEX('Main Data'!$A$1:$O$1001,MATCH('Index&amp;Match'!$A614,'Main Data'!$A$1:$A$1001,0),MATCH('Index&amp;Match'!G613,'Main Data'!$A613:$O613,0))</f>
        <v>Email Campaign</v>
      </c>
      <c r="H614" s="2" t="str">
        <f>INDEX('Main Data'!$A$1:$O$1001,MATCH('Index&amp;Match'!$A614,'Main Data'!$A$1:$A$1001,0),MATCH('Index&amp;Match'!H613,'Main Data'!$A613:$O613,0))</f>
        <v>Retail</v>
      </c>
      <c r="I614" s="2">
        <f>INDEX('Main Data'!$A$1:$O$1001,MATCH('Index&amp;Match'!$A614,'Main Data'!$A$1:$A$1001,0),MATCH('Index&amp;Match'!I613,'Main Data'!$A613:$O613,0))</f>
        <v>73</v>
      </c>
      <c r="J614" s="2">
        <f>INDEX('Main Data'!$A$1:$O$1001,MATCH('Index&amp;Match'!$A614,'Main Data'!$A$1:$A$1001,0),MATCH('Index&amp;Match'!J613,'Main Data'!$A613:$O613,0))</f>
        <v>73</v>
      </c>
      <c r="K614" s="11">
        <f>INDEX('Main Data'!$A$1:$O$1001,MATCH('Index&amp;Match'!$A614,'Main Data'!$A$1:$A$1001,0),MATCH('Index&amp;Match'!K613,'Main Data'!$A613:$O613,0))</f>
        <v>35928.93</v>
      </c>
      <c r="L614" s="11">
        <f>INDEX('Main Data'!$A$1:$O$1001,MATCH('Index&amp;Match'!$A614,'Main Data'!$A$1:$A$1001,0),MATCH('Index&amp;Match'!L613,'Main Data'!$A613:$O613,0))</f>
        <v>418.37</v>
      </c>
      <c r="M614" s="11">
        <f>INDEX('Main Data'!$A$1:$O$1001,MATCH('Index&amp;Match'!$A614,'Main Data'!$A$1:$A$1001,0),MATCH('Index&amp;Match'!M613,'Main Data'!$A613:$O613,0))</f>
        <v>154.31</v>
      </c>
      <c r="N614" s="2" t="str">
        <f>INDEX('Main Data'!$A$1:$O$1001,MATCH('Index&amp;Match'!$A614,'Main Data'!$A$1:$A$1001,0),MATCH('Index&amp;Match'!N613,'Main Data'!$A613:$O613,0))</f>
        <v>Yes</v>
      </c>
      <c r="O614" s="2">
        <f>INDEX('Main Data'!$A$1:$O$1001,MATCH('Index&amp;Match'!$A614,'Main Data'!$A$1:$A$1001,0),MATCH('Index&amp;Match'!O613,'Main Data'!$A613:$O613,0))</f>
        <v>73</v>
      </c>
    </row>
    <row r="615" spans="1:15" x14ac:dyDescent="0.3">
      <c r="A615" s="2" t="s">
        <v>672</v>
      </c>
      <c r="B615" s="1">
        <f>INDEX('Main Data'!$A$1:$O$1001,MATCH('Index&amp;Match'!$A615,'Main Data'!$A$1:$A$1001,0),MATCH('Index&amp;Match'!B614,'Main Data'!$A614:$O614,0))</f>
        <v>46221</v>
      </c>
      <c r="C615" s="2" t="str">
        <f>INDEX('Main Data'!$A$1:$O$1001,MATCH('Index&amp;Match'!$A615,'Main Data'!$A$1:$A$1001,0),MATCH('Index&amp;Match'!C614,'Main Data'!$A614:$O614,0))</f>
        <v>Jordan</v>
      </c>
      <c r="D615" s="2" t="str">
        <f>INDEX('Main Data'!$A$1:$O$1001,MATCH('Index&amp;Match'!$A615,'Main Data'!$A$1:$A$1001,0),MATCH('Index&amp;Match'!D614,'Main Data'!$A614:$O614,0))</f>
        <v>BR-015</v>
      </c>
      <c r="E615" s="2" t="str">
        <f>INDEX('Main Data'!$A$1:$O$1001,MATCH('Index&amp;Match'!$A615,'Main Data'!$A$1:$A$1001,0),MATCH('Index&amp;Match'!E614,'Main Data'!$A614:$O614,0))</f>
        <v>West</v>
      </c>
      <c r="F615" s="2" t="str">
        <f>INDEX('Main Data'!$A$1:$O$1001,MATCH('Index&amp;Match'!$A615,'Main Data'!$A$1:$A$1001,0),MATCH('Index&amp;Match'!F614,'Main Data'!$A614:$O614,0))</f>
        <v>Auto Loan</v>
      </c>
      <c r="G615" s="2" t="str">
        <f>INDEX('Main Data'!$A$1:$O$1001,MATCH('Index&amp;Match'!$A615,'Main Data'!$A$1:$A$1001,0),MATCH('Index&amp;Match'!G614,'Main Data'!$A614:$O614,0))</f>
        <v>Referral</v>
      </c>
      <c r="H615" s="2" t="str">
        <f>INDEX('Main Data'!$A$1:$O$1001,MATCH('Index&amp;Match'!$A615,'Main Data'!$A$1:$A$1001,0),MATCH('Index&amp;Match'!H614,'Main Data'!$A614:$O614,0))</f>
        <v>High Net Worth</v>
      </c>
      <c r="I615" s="2">
        <f>INDEX('Main Data'!$A$1:$O$1001,MATCH('Index&amp;Match'!$A615,'Main Data'!$A$1:$A$1001,0),MATCH('Index&amp;Match'!I614,'Main Data'!$A614:$O614,0))</f>
        <v>57</v>
      </c>
      <c r="J615" s="2">
        <f>INDEX('Main Data'!$A$1:$O$1001,MATCH('Index&amp;Match'!$A615,'Main Data'!$A$1:$A$1001,0),MATCH('Index&amp;Match'!J614,'Main Data'!$A614:$O614,0))</f>
        <v>57</v>
      </c>
      <c r="K615" s="11">
        <f>INDEX('Main Data'!$A$1:$O$1001,MATCH('Index&amp;Match'!$A615,'Main Data'!$A$1:$A$1001,0),MATCH('Index&amp;Match'!K614,'Main Data'!$A614:$O614,0))</f>
        <v>48653.29</v>
      </c>
      <c r="L615" s="11">
        <f>INDEX('Main Data'!$A$1:$O$1001,MATCH('Index&amp;Match'!$A615,'Main Data'!$A$1:$A$1001,0),MATCH('Index&amp;Match'!L614,'Main Data'!$A614:$O614,0))</f>
        <v>454.82</v>
      </c>
      <c r="M615" s="11">
        <f>INDEX('Main Data'!$A$1:$O$1001,MATCH('Index&amp;Match'!$A615,'Main Data'!$A$1:$A$1001,0),MATCH('Index&amp;Match'!M614,'Main Data'!$A614:$O614,0))</f>
        <v>264.27</v>
      </c>
      <c r="N615" s="2" t="str">
        <f>INDEX('Main Data'!$A$1:$O$1001,MATCH('Index&amp;Match'!$A615,'Main Data'!$A$1:$A$1001,0),MATCH('Index&amp;Match'!N614,'Main Data'!$A614:$O614,0))</f>
        <v>Yes</v>
      </c>
      <c r="O615" s="2">
        <f>INDEX('Main Data'!$A$1:$O$1001,MATCH('Index&amp;Match'!$A615,'Main Data'!$A$1:$A$1001,0),MATCH('Index&amp;Match'!O614,'Main Data'!$A614:$O614,0))</f>
        <v>57</v>
      </c>
    </row>
    <row r="616" spans="1:15" x14ac:dyDescent="0.3">
      <c r="A616" s="2" t="s">
        <v>673</v>
      </c>
      <c r="B616" s="1">
        <f>INDEX('Main Data'!$A$1:$O$1001,MATCH('Index&amp;Match'!$A616,'Main Data'!$A$1:$A$1001,0),MATCH('Index&amp;Match'!B615,'Main Data'!$A615:$O615,0))</f>
        <v>46167</v>
      </c>
      <c r="C616" s="2" t="str">
        <f>INDEX('Main Data'!$A$1:$O$1001,MATCH('Index&amp;Match'!$A616,'Main Data'!$A$1:$A$1001,0),MATCH('Index&amp;Match'!C615,'Main Data'!$A615:$O615,0))</f>
        <v>Sam</v>
      </c>
      <c r="D616" s="2" t="str">
        <f>INDEX('Main Data'!$A$1:$O$1001,MATCH('Index&amp;Match'!$A616,'Main Data'!$A$1:$A$1001,0),MATCH('Index&amp;Match'!D615,'Main Data'!$A615:$O615,0))</f>
        <v>BR-009</v>
      </c>
      <c r="E616" s="2" t="str">
        <f>INDEX('Main Data'!$A$1:$O$1001,MATCH('Index&amp;Match'!$A616,'Main Data'!$A$1:$A$1001,0),MATCH('Index&amp;Match'!E615,'Main Data'!$A615:$O615,0))</f>
        <v>Central</v>
      </c>
      <c r="F616" s="2" t="str">
        <f>INDEX('Main Data'!$A$1:$O$1001,MATCH('Index&amp;Match'!$A616,'Main Data'!$A$1:$A$1001,0),MATCH('Index&amp;Match'!F615,'Main Data'!$A615:$O615,0))</f>
        <v>Credit Card</v>
      </c>
      <c r="G616" s="2" t="str">
        <f>INDEX('Main Data'!$A$1:$O$1001,MATCH('Index&amp;Match'!$A616,'Main Data'!$A$1:$A$1001,0),MATCH('Index&amp;Match'!G615,'Main Data'!$A615:$O615,0))</f>
        <v>Email Campaign</v>
      </c>
      <c r="H616" s="2" t="str">
        <f>INDEX('Main Data'!$A$1:$O$1001,MATCH('Index&amp;Match'!$A616,'Main Data'!$A$1:$A$1001,0),MATCH('Index&amp;Match'!H615,'Main Data'!$A615:$O615,0))</f>
        <v>Corporate</v>
      </c>
      <c r="I616" s="2">
        <f>INDEX('Main Data'!$A$1:$O$1001,MATCH('Index&amp;Match'!$A616,'Main Data'!$A$1:$A$1001,0),MATCH('Index&amp;Match'!I615,'Main Data'!$A615:$O615,0))</f>
        <v>66</v>
      </c>
      <c r="J616" s="2">
        <f>INDEX('Main Data'!$A$1:$O$1001,MATCH('Index&amp;Match'!$A616,'Main Data'!$A$1:$A$1001,0),MATCH('Index&amp;Match'!J615,'Main Data'!$A615:$O615,0))</f>
        <v>66</v>
      </c>
      <c r="K616" s="11">
        <f>INDEX('Main Data'!$A$1:$O$1001,MATCH('Index&amp;Match'!$A616,'Main Data'!$A$1:$A$1001,0),MATCH('Index&amp;Match'!K615,'Main Data'!$A615:$O615,0))</f>
        <v>49161.7</v>
      </c>
      <c r="L616" s="11">
        <f>INDEX('Main Data'!$A$1:$O$1001,MATCH('Index&amp;Match'!$A616,'Main Data'!$A$1:$A$1001,0),MATCH('Index&amp;Match'!L615,'Main Data'!$A615:$O615,0))</f>
        <v>401.87</v>
      </c>
      <c r="M616" s="11">
        <f>INDEX('Main Data'!$A$1:$O$1001,MATCH('Index&amp;Match'!$A616,'Main Data'!$A$1:$A$1001,0),MATCH('Index&amp;Match'!M615,'Main Data'!$A615:$O615,0))</f>
        <v>161.15</v>
      </c>
      <c r="N616" s="2" t="str">
        <f>INDEX('Main Data'!$A$1:$O$1001,MATCH('Index&amp;Match'!$A616,'Main Data'!$A$1:$A$1001,0),MATCH('Index&amp;Match'!N615,'Main Data'!$A615:$O615,0))</f>
        <v>Yes</v>
      </c>
      <c r="O616" s="2">
        <f>INDEX('Main Data'!$A$1:$O$1001,MATCH('Index&amp;Match'!$A616,'Main Data'!$A$1:$A$1001,0),MATCH('Index&amp;Match'!O615,'Main Data'!$A615:$O615,0))</f>
        <v>66</v>
      </c>
    </row>
    <row r="617" spans="1:15" x14ac:dyDescent="0.3">
      <c r="A617" s="2" t="s">
        <v>674</v>
      </c>
      <c r="B617" s="1">
        <f>INDEX('Main Data'!$A$1:$O$1001,MATCH('Index&amp;Match'!$A617,'Main Data'!$A$1:$A$1001,0),MATCH('Index&amp;Match'!B616,'Main Data'!$A616:$O616,0))</f>
        <v>46193</v>
      </c>
      <c r="C617" s="2" t="str">
        <f>INDEX('Main Data'!$A$1:$O$1001,MATCH('Index&amp;Match'!$A617,'Main Data'!$A$1:$A$1001,0),MATCH('Index&amp;Match'!C616,'Main Data'!$A616:$O616,0))</f>
        <v>Taylor</v>
      </c>
      <c r="D617" s="2" t="str">
        <f>INDEX('Main Data'!$A$1:$O$1001,MATCH('Index&amp;Match'!$A617,'Main Data'!$A$1:$A$1001,0),MATCH('Index&amp;Match'!D616,'Main Data'!$A616:$O616,0))</f>
        <v>BR-005</v>
      </c>
      <c r="E617" s="2" t="str">
        <f>INDEX('Main Data'!$A$1:$O$1001,MATCH('Index&amp;Match'!$A617,'Main Data'!$A$1:$A$1001,0),MATCH('Index&amp;Match'!E616,'Main Data'!$A616:$O616,0))</f>
        <v>Central</v>
      </c>
      <c r="F617" s="2" t="str">
        <f>INDEX('Main Data'!$A$1:$O$1001,MATCH('Index&amp;Match'!$A617,'Main Data'!$A$1:$A$1001,0),MATCH('Index&amp;Match'!F616,'Main Data'!$A616:$O616,0))</f>
        <v>Personal Loan</v>
      </c>
      <c r="G617" s="2" t="str">
        <f>INDEX('Main Data'!$A$1:$O$1001,MATCH('Index&amp;Match'!$A617,'Main Data'!$A$1:$A$1001,0),MATCH('Index&amp;Match'!G616,'Main Data'!$A616:$O616,0))</f>
        <v>Website</v>
      </c>
      <c r="H617" s="2" t="str">
        <f>INDEX('Main Data'!$A$1:$O$1001,MATCH('Index&amp;Match'!$A617,'Main Data'!$A$1:$A$1001,0),MATCH('Index&amp;Match'!H616,'Main Data'!$A616:$O616,0))</f>
        <v>High Net Worth</v>
      </c>
      <c r="I617" s="2">
        <f>INDEX('Main Data'!$A$1:$O$1001,MATCH('Index&amp;Match'!$A617,'Main Data'!$A$1:$A$1001,0),MATCH('Index&amp;Match'!I616,'Main Data'!$A616:$O616,0))</f>
        <v>73</v>
      </c>
      <c r="J617" s="2">
        <f>INDEX('Main Data'!$A$1:$O$1001,MATCH('Index&amp;Match'!$A617,'Main Data'!$A$1:$A$1001,0),MATCH('Index&amp;Match'!J616,'Main Data'!$A616:$O616,0))</f>
        <v>73</v>
      </c>
      <c r="K617" s="11">
        <f>INDEX('Main Data'!$A$1:$O$1001,MATCH('Index&amp;Match'!$A617,'Main Data'!$A$1:$A$1001,0),MATCH('Index&amp;Match'!K616,'Main Data'!$A616:$O616,0))</f>
        <v>24951.97</v>
      </c>
      <c r="L617" s="11">
        <f>INDEX('Main Data'!$A$1:$O$1001,MATCH('Index&amp;Match'!$A617,'Main Data'!$A$1:$A$1001,0),MATCH('Index&amp;Match'!L616,'Main Data'!$A616:$O616,0))</f>
        <v>137.91</v>
      </c>
      <c r="M617" s="11">
        <f>INDEX('Main Data'!$A$1:$O$1001,MATCH('Index&amp;Match'!$A617,'Main Data'!$A$1:$A$1001,0),MATCH('Index&amp;Match'!M616,'Main Data'!$A616:$O616,0))</f>
        <v>180.75</v>
      </c>
      <c r="N617" s="2" t="str">
        <f>INDEX('Main Data'!$A$1:$O$1001,MATCH('Index&amp;Match'!$A617,'Main Data'!$A$1:$A$1001,0),MATCH('Index&amp;Match'!N616,'Main Data'!$A616:$O616,0))</f>
        <v>Yes</v>
      </c>
      <c r="O617" s="2">
        <f>INDEX('Main Data'!$A$1:$O$1001,MATCH('Index&amp;Match'!$A617,'Main Data'!$A$1:$A$1001,0),MATCH('Index&amp;Match'!O616,'Main Data'!$A616:$O616,0))</f>
        <v>73</v>
      </c>
    </row>
    <row r="618" spans="1:15" x14ac:dyDescent="0.3">
      <c r="A618" s="2" t="s">
        <v>675</v>
      </c>
      <c r="B618" s="1">
        <f>INDEX('Main Data'!$A$1:$O$1001,MATCH('Index&amp;Match'!$A618,'Main Data'!$A$1:$A$1001,0),MATCH('Index&amp;Match'!B617,'Main Data'!$A617:$O617,0))</f>
        <v>45976</v>
      </c>
      <c r="C618" s="2" t="str">
        <f>INDEX('Main Data'!$A$1:$O$1001,MATCH('Index&amp;Match'!$A618,'Main Data'!$A$1:$A$1001,0),MATCH('Index&amp;Match'!C617,'Main Data'!$A617:$O617,0))</f>
        <v>Alex</v>
      </c>
      <c r="D618" s="2" t="str">
        <f>INDEX('Main Data'!$A$1:$O$1001,MATCH('Index&amp;Match'!$A618,'Main Data'!$A$1:$A$1001,0),MATCH('Index&amp;Match'!D617,'Main Data'!$A617:$O617,0))</f>
        <v>BR-009</v>
      </c>
      <c r="E618" s="2" t="str">
        <f>INDEX('Main Data'!$A$1:$O$1001,MATCH('Index&amp;Match'!$A618,'Main Data'!$A$1:$A$1001,0),MATCH('Index&amp;Match'!E617,'Main Data'!$A617:$O617,0))</f>
        <v>South</v>
      </c>
      <c r="F618" s="2" t="str">
        <f>INDEX('Main Data'!$A$1:$O$1001,MATCH('Index&amp;Match'!$A618,'Main Data'!$A$1:$A$1001,0),MATCH('Index&amp;Match'!F617,'Main Data'!$A617:$O617,0))</f>
        <v>Wealth Management</v>
      </c>
      <c r="G618" s="2" t="str">
        <f>INDEX('Main Data'!$A$1:$O$1001,MATCH('Index&amp;Match'!$A618,'Main Data'!$A$1:$A$1001,0),MATCH('Index&amp;Match'!G617,'Main Data'!$A617:$O617,0))</f>
        <v>Social Media</v>
      </c>
      <c r="H618" s="2" t="str">
        <f>INDEX('Main Data'!$A$1:$O$1001,MATCH('Index&amp;Match'!$A618,'Main Data'!$A$1:$A$1001,0),MATCH('Index&amp;Match'!H617,'Main Data'!$A617:$O617,0))</f>
        <v>SME</v>
      </c>
      <c r="I618" s="2">
        <f>INDEX('Main Data'!$A$1:$O$1001,MATCH('Index&amp;Match'!$A618,'Main Data'!$A$1:$A$1001,0),MATCH('Index&amp;Match'!I617,'Main Data'!$A617:$O617,0))</f>
        <v>44</v>
      </c>
      <c r="J618" s="2">
        <f>INDEX('Main Data'!$A$1:$O$1001,MATCH('Index&amp;Match'!$A618,'Main Data'!$A$1:$A$1001,0),MATCH('Index&amp;Match'!J617,'Main Data'!$A617:$O617,0))</f>
        <v>44</v>
      </c>
      <c r="K618" s="11">
        <f>INDEX('Main Data'!$A$1:$O$1001,MATCH('Index&amp;Match'!$A618,'Main Data'!$A$1:$A$1001,0),MATCH('Index&amp;Match'!K617,'Main Data'!$A617:$O617,0))</f>
        <v>43532.94</v>
      </c>
      <c r="L618" s="11">
        <f>INDEX('Main Data'!$A$1:$O$1001,MATCH('Index&amp;Match'!$A618,'Main Data'!$A$1:$A$1001,0),MATCH('Index&amp;Match'!L617,'Main Data'!$A617:$O617,0))</f>
        <v>89.04</v>
      </c>
      <c r="M618" s="11">
        <f>INDEX('Main Data'!$A$1:$O$1001,MATCH('Index&amp;Match'!$A618,'Main Data'!$A$1:$A$1001,0),MATCH('Index&amp;Match'!M617,'Main Data'!$A617:$O617,0))</f>
        <v>59.16</v>
      </c>
      <c r="N618" s="2" t="str">
        <f>INDEX('Main Data'!$A$1:$O$1001,MATCH('Index&amp;Match'!$A618,'Main Data'!$A$1:$A$1001,0),MATCH('Index&amp;Match'!N617,'Main Data'!$A617:$O617,0))</f>
        <v>Yes</v>
      </c>
      <c r="O618" s="2">
        <f>INDEX('Main Data'!$A$1:$O$1001,MATCH('Index&amp;Match'!$A618,'Main Data'!$A$1:$A$1001,0),MATCH('Index&amp;Match'!O617,'Main Data'!$A617:$O617,0))</f>
        <v>44</v>
      </c>
    </row>
    <row r="619" spans="1:15" x14ac:dyDescent="0.3">
      <c r="A619" s="2" t="s">
        <v>676</v>
      </c>
      <c r="B619" s="1">
        <f>INDEX('Main Data'!$A$1:$O$1001,MATCH('Index&amp;Match'!$A619,'Main Data'!$A$1:$A$1001,0),MATCH('Index&amp;Match'!B618,'Main Data'!$A618:$O618,0))</f>
        <v>46091</v>
      </c>
      <c r="C619" s="2" t="str">
        <f>INDEX('Main Data'!$A$1:$O$1001,MATCH('Index&amp;Match'!$A619,'Main Data'!$A$1:$A$1001,0),MATCH('Index&amp;Match'!C618,'Main Data'!$A618:$O618,0))</f>
        <v>Drew</v>
      </c>
      <c r="D619" s="2" t="str">
        <f>INDEX('Main Data'!$A$1:$O$1001,MATCH('Index&amp;Match'!$A619,'Main Data'!$A$1:$A$1001,0),MATCH('Index&amp;Match'!D618,'Main Data'!$A618:$O618,0))</f>
        <v>BR-010</v>
      </c>
      <c r="E619" s="2" t="str">
        <f>INDEX('Main Data'!$A$1:$O$1001,MATCH('Index&amp;Match'!$A619,'Main Data'!$A$1:$A$1001,0),MATCH('Index&amp;Match'!E618,'Main Data'!$A618:$O618,0))</f>
        <v>North</v>
      </c>
      <c r="F619" s="2" t="str">
        <f>INDEX('Main Data'!$A$1:$O$1001,MATCH('Index&amp;Match'!$A619,'Main Data'!$A$1:$A$1001,0),MATCH('Index&amp;Match'!F618,'Main Data'!$A618:$O618,0))</f>
        <v>Wealth Management</v>
      </c>
      <c r="G619" s="2" t="str">
        <f>INDEX('Main Data'!$A$1:$O$1001,MATCH('Index&amp;Match'!$A619,'Main Data'!$A$1:$A$1001,0),MATCH('Index&amp;Match'!G618,'Main Data'!$A618:$O618,0))</f>
        <v>Email Campaign</v>
      </c>
      <c r="H619" s="2" t="str">
        <f>INDEX('Main Data'!$A$1:$O$1001,MATCH('Index&amp;Match'!$A619,'Main Data'!$A$1:$A$1001,0),MATCH('Index&amp;Match'!H618,'Main Data'!$A618:$O618,0))</f>
        <v>SME</v>
      </c>
      <c r="I619" s="2">
        <f>INDEX('Main Data'!$A$1:$O$1001,MATCH('Index&amp;Match'!$A619,'Main Data'!$A$1:$A$1001,0),MATCH('Index&amp;Match'!I618,'Main Data'!$A618:$O618,0))</f>
        <v>36</v>
      </c>
      <c r="J619" s="2">
        <f>INDEX('Main Data'!$A$1:$O$1001,MATCH('Index&amp;Match'!$A619,'Main Data'!$A$1:$A$1001,0),MATCH('Index&amp;Match'!J618,'Main Data'!$A618:$O618,0))</f>
        <v>36</v>
      </c>
      <c r="K619" s="11">
        <f>INDEX('Main Data'!$A$1:$O$1001,MATCH('Index&amp;Match'!$A619,'Main Data'!$A$1:$A$1001,0),MATCH('Index&amp;Match'!K618,'Main Data'!$A618:$O618,0))</f>
        <v>36972.910000000003</v>
      </c>
      <c r="L619" s="11">
        <f>INDEX('Main Data'!$A$1:$O$1001,MATCH('Index&amp;Match'!$A619,'Main Data'!$A$1:$A$1001,0),MATCH('Index&amp;Match'!L618,'Main Data'!$A618:$O618,0))</f>
        <v>322.45</v>
      </c>
      <c r="M619" s="11">
        <f>INDEX('Main Data'!$A$1:$O$1001,MATCH('Index&amp;Match'!$A619,'Main Data'!$A$1:$A$1001,0),MATCH('Index&amp;Match'!M618,'Main Data'!$A618:$O618,0))</f>
        <v>177.64</v>
      </c>
      <c r="N619" s="2" t="str">
        <f>INDEX('Main Data'!$A$1:$O$1001,MATCH('Index&amp;Match'!$A619,'Main Data'!$A$1:$A$1001,0),MATCH('Index&amp;Match'!N618,'Main Data'!$A618:$O618,0))</f>
        <v>Yes</v>
      </c>
      <c r="O619" s="2">
        <f>INDEX('Main Data'!$A$1:$O$1001,MATCH('Index&amp;Match'!$A619,'Main Data'!$A$1:$A$1001,0),MATCH('Index&amp;Match'!O618,'Main Data'!$A618:$O618,0))</f>
        <v>36</v>
      </c>
    </row>
    <row r="620" spans="1:15" x14ac:dyDescent="0.3">
      <c r="A620" s="2" t="s">
        <v>677</v>
      </c>
      <c r="B620" s="1">
        <f>INDEX('Main Data'!$A$1:$O$1001,MATCH('Index&amp;Match'!$A620,'Main Data'!$A$1:$A$1001,0),MATCH('Index&amp;Match'!B619,'Main Data'!$A619:$O619,0))</f>
        <v>46130</v>
      </c>
      <c r="C620" s="2" t="str">
        <f>INDEX('Main Data'!$A$1:$O$1001,MATCH('Index&amp;Match'!$A620,'Main Data'!$A$1:$A$1001,0),MATCH('Index&amp;Match'!C619,'Main Data'!$A619:$O619,0))</f>
        <v>Jamie</v>
      </c>
      <c r="D620" s="2" t="str">
        <f>INDEX('Main Data'!$A$1:$O$1001,MATCH('Index&amp;Match'!$A620,'Main Data'!$A$1:$A$1001,0),MATCH('Index&amp;Match'!D619,'Main Data'!$A619:$O619,0))</f>
        <v>BR-004</v>
      </c>
      <c r="E620" s="2" t="str">
        <f>INDEX('Main Data'!$A$1:$O$1001,MATCH('Index&amp;Match'!$A620,'Main Data'!$A$1:$A$1001,0),MATCH('Index&amp;Match'!E619,'Main Data'!$A619:$O619,0))</f>
        <v>West</v>
      </c>
      <c r="F620" s="2" t="str">
        <f>INDEX('Main Data'!$A$1:$O$1001,MATCH('Index&amp;Match'!$A620,'Main Data'!$A$1:$A$1001,0),MATCH('Index&amp;Match'!F619,'Main Data'!$A619:$O619,0))</f>
        <v>Credit Card</v>
      </c>
      <c r="G620" s="2" t="str">
        <f>INDEX('Main Data'!$A$1:$O$1001,MATCH('Index&amp;Match'!$A620,'Main Data'!$A$1:$A$1001,0),MATCH('Index&amp;Match'!G619,'Main Data'!$A619:$O619,0))</f>
        <v>Walk-in</v>
      </c>
      <c r="H620" s="2" t="str">
        <f>INDEX('Main Data'!$A$1:$O$1001,MATCH('Index&amp;Match'!$A620,'Main Data'!$A$1:$A$1001,0),MATCH('Index&amp;Match'!H619,'Main Data'!$A619:$O619,0))</f>
        <v>SME</v>
      </c>
      <c r="I620" s="2">
        <f>INDEX('Main Data'!$A$1:$O$1001,MATCH('Index&amp;Match'!$A620,'Main Data'!$A$1:$A$1001,0),MATCH('Index&amp;Match'!I619,'Main Data'!$A619:$O619,0))</f>
        <v>33</v>
      </c>
      <c r="J620" s="2">
        <f>INDEX('Main Data'!$A$1:$O$1001,MATCH('Index&amp;Match'!$A620,'Main Data'!$A$1:$A$1001,0),MATCH('Index&amp;Match'!J619,'Main Data'!$A619:$O619,0))</f>
        <v>33</v>
      </c>
      <c r="K620" s="11">
        <f>INDEX('Main Data'!$A$1:$O$1001,MATCH('Index&amp;Match'!$A620,'Main Data'!$A$1:$A$1001,0),MATCH('Index&amp;Match'!K619,'Main Data'!$A619:$O619,0))</f>
        <v>25301.49</v>
      </c>
      <c r="L620" s="11">
        <f>INDEX('Main Data'!$A$1:$O$1001,MATCH('Index&amp;Match'!$A620,'Main Data'!$A$1:$A$1001,0),MATCH('Index&amp;Match'!L619,'Main Data'!$A619:$O619,0))</f>
        <v>75.69</v>
      </c>
      <c r="M620" s="11">
        <f>INDEX('Main Data'!$A$1:$O$1001,MATCH('Index&amp;Match'!$A620,'Main Data'!$A$1:$A$1001,0),MATCH('Index&amp;Match'!M619,'Main Data'!$A619:$O619,0))</f>
        <v>168.12</v>
      </c>
      <c r="N620" s="2" t="str">
        <f>INDEX('Main Data'!$A$1:$O$1001,MATCH('Index&amp;Match'!$A620,'Main Data'!$A$1:$A$1001,0),MATCH('Index&amp;Match'!N619,'Main Data'!$A619:$O619,0))</f>
        <v>Yes</v>
      </c>
      <c r="O620" s="2">
        <f>INDEX('Main Data'!$A$1:$O$1001,MATCH('Index&amp;Match'!$A620,'Main Data'!$A$1:$A$1001,0),MATCH('Index&amp;Match'!O619,'Main Data'!$A619:$O619,0))</f>
        <v>33</v>
      </c>
    </row>
    <row r="621" spans="1:15" x14ac:dyDescent="0.3">
      <c r="A621" s="2" t="s">
        <v>678</v>
      </c>
      <c r="B621" s="1">
        <f>INDEX('Main Data'!$A$1:$O$1001,MATCH('Index&amp;Match'!$A621,'Main Data'!$A$1:$A$1001,0),MATCH('Index&amp;Match'!B620,'Main Data'!$A620:$O620,0))</f>
        <v>46225</v>
      </c>
      <c r="C621" s="2" t="str">
        <f>INDEX('Main Data'!$A$1:$O$1001,MATCH('Index&amp;Match'!$A621,'Main Data'!$A$1:$A$1001,0),MATCH('Index&amp;Match'!C620,'Main Data'!$A620:$O620,0))</f>
        <v>Taylor</v>
      </c>
      <c r="D621" s="2" t="str">
        <f>INDEX('Main Data'!$A$1:$O$1001,MATCH('Index&amp;Match'!$A621,'Main Data'!$A$1:$A$1001,0),MATCH('Index&amp;Match'!D620,'Main Data'!$A620:$O620,0))</f>
        <v>BR-009</v>
      </c>
      <c r="E621" s="2" t="str">
        <f>INDEX('Main Data'!$A$1:$O$1001,MATCH('Index&amp;Match'!$A621,'Main Data'!$A$1:$A$1001,0),MATCH('Index&amp;Match'!E620,'Main Data'!$A620:$O620,0))</f>
        <v>Central</v>
      </c>
      <c r="F621" s="2" t="str">
        <f>INDEX('Main Data'!$A$1:$O$1001,MATCH('Index&amp;Match'!$A621,'Main Data'!$A$1:$A$1001,0),MATCH('Index&amp;Match'!F620,'Main Data'!$A620:$O620,0))</f>
        <v>Personal Loan</v>
      </c>
      <c r="G621" s="2" t="str">
        <f>INDEX('Main Data'!$A$1:$O$1001,MATCH('Index&amp;Match'!$A621,'Main Data'!$A$1:$A$1001,0),MATCH('Index&amp;Match'!G620,'Main Data'!$A620:$O620,0))</f>
        <v>Referral</v>
      </c>
      <c r="H621" s="2" t="str">
        <f>INDEX('Main Data'!$A$1:$O$1001,MATCH('Index&amp;Match'!$A621,'Main Data'!$A$1:$A$1001,0),MATCH('Index&amp;Match'!H620,'Main Data'!$A620:$O620,0))</f>
        <v>SME</v>
      </c>
      <c r="I621" s="2">
        <f>INDEX('Main Data'!$A$1:$O$1001,MATCH('Index&amp;Match'!$A621,'Main Data'!$A$1:$A$1001,0),MATCH('Index&amp;Match'!I620,'Main Data'!$A620:$O620,0))</f>
        <v>45</v>
      </c>
      <c r="J621" s="2">
        <f>INDEX('Main Data'!$A$1:$O$1001,MATCH('Index&amp;Match'!$A621,'Main Data'!$A$1:$A$1001,0),MATCH('Index&amp;Match'!J620,'Main Data'!$A620:$O620,0))</f>
        <v>45</v>
      </c>
      <c r="K621" s="11">
        <f>INDEX('Main Data'!$A$1:$O$1001,MATCH('Index&amp;Match'!$A621,'Main Data'!$A$1:$A$1001,0),MATCH('Index&amp;Match'!K620,'Main Data'!$A620:$O620,0))</f>
        <v>28851.65</v>
      </c>
      <c r="L621" s="11">
        <f>INDEX('Main Data'!$A$1:$O$1001,MATCH('Index&amp;Match'!$A621,'Main Data'!$A$1:$A$1001,0),MATCH('Index&amp;Match'!L620,'Main Data'!$A620:$O620,0))</f>
        <v>352.77</v>
      </c>
      <c r="M621" s="11">
        <f>INDEX('Main Data'!$A$1:$O$1001,MATCH('Index&amp;Match'!$A621,'Main Data'!$A$1:$A$1001,0),MATCH('Index&amp;Match'!M620,'Main Data'!$A620:$O620,0))</f>
        <v>94.58</v>
      </c>
      <c r="N621" s="2" t="str">
        <f>INDEX('Main Data'!$A$1:$O$1001,MATCH('Index&amp;Match'!$A621,'Main Data'!$A$1:$A$1001,0),MATCH('Index&amp;Match'!N620,'Main Data'!$A620:$O620,0))</f>
        <v>No</v>
      </c>
      <c r="O621" s="2">
        <f>INDEX('Main Data'!$A$1:$O$1001,MATCH('Index&amp;Match'!$A621,'Main Data'!$A$1:$A$1001,0),MATCH('Index&amp;Match'!O620,'Main Data'!$A620:$O620,0))</f>
        <v>45</v>
      </c>
    </row>
    <row r="622" spans="1:15" x14ac:dyDescent="0.3">
      <c r="A622" s="2" t="s">
        <v>679</v>
      </c>
      <c r="B622" s="1">
        <f>INDEX('Main Data'!$A$1:$O$1001,MATCH('Index&amp;Match'!$A622,'Main Data'!$A$1:$A$1001,0),MATCH('Index&amp;Match'!B621,'Main Data'!$A621:$O621,0))</f>
        <v>46151</v>
      </c>
      <c r="C622" s="2" t="str">
        <f>INDEX('Main Data'!$A$1:$O$1001,MATCH('Index&amp;Match'!$A622,'Main Data'!$A$1:$A$1001,0),MATCH('Index&amp;Match'!C621,'Main Data'!$A621:$O621,0))</f>
        <v>Morgan</v>
      </c>
      <c r="D622" s="2" t="str">
        <f>INDEX('Main Data'!$A$1:$O$1001,MATCH('Index&amp;Match'!$A622,'Main Data'!$A$1:$A$1001,0),MATCH('Index&amp;Match'!D621,'Main Data'!$A621:$O621,0))</f>
        <v>BR-005</v>
      </c>
      <c r="E622" s="2" t="str">
        <f>INDEX('Main Data'!$A$1:$O$1001,MATCH('Index&amp;Match'!$A622,'Main Data'!$A$1:$A$1001,0),MATCH('Index&amp;Match'!E621,'Main Data'!$A621:$O621,0))</f>
        <v>South</v>
      </c>
      <c r="F622" s="2" t="str">
        <f>INDEX('Main Data'!$A$1:$O$1001,MATCH('Index&amp;Match'!$A622,'Main Data'!$A$1:$A$1001,0),MATCH('Index&amp;Match'!F621,'Main Data'!$A621:$O621,0))</f>
        <v>Mortgage</v>
      </c>
      <c r="G622" s="2" t="str">
        <f>INDEX('Main Data'!$A$1:$O$1001,MATCH('Index&amp;Match'!$A622,'Main Data'!$A$1:$A$1001,0),MATCH('Index&amp;Match'!G621,'Main Data'!$A621:$O621,0))</f>
        <v>Website</v>
      </c>
      <c r="H622" s="2" t="str">
        <f>INDEX('Main Data'!$A$1:$O$1001,MATCH('Index&amp;Match'!$A622,'Main Data'!$A$1:$A$1001,0),MATCH('Index&amp;Match'!H621,'Main Data'!$A621:$O621,0))</f>
        <v>Retail</v>
      </c>
      <c r="I622" s="2">
        <f>INDEX('Main Data'!$A$1:$O$1001,MATCH('Index&amp;Match'!$A622,'Main Data'!$A$1:$A$1001,0),MATCH('Index&amp;Match'!I621,'Main Data'!$A621:$O621,0))</f>
        <v>74</v>
      </c>
      <c r="J622" s="2">
        <f>INDEX('Main Data'!$A$1:$O$1001,MATCH('Index&amp;Match'!$A622,'Main Data'!$A$1:$A$1001,0),MATCH('Index&amp;Match'!J621,'Main Data'!$A621:$O621,0))</f>
        <v>74</v>
      </c>
      <c r="K622" s="11">
        <f>INDEX('Main Data'!$A$1:$O$1001,MATCH('Index&amp;Match'!$A622,'Main Data'!$A$1:$A$1001,0),MATCH('Index&amp;Match'!K621,'Main Data'!$A621:$O621,0))</f>
        <v>7292.74</v>
      </c>
      <c r="L622" s="11">
        <f>INDEX('Main Data'!$A$1:$O$1001,MATCH('Index&amp;Match'!$A622,'Main Data'!$A$1:$A$1001,0),MATCH('Index&amp;Match'!L621,'Main Data'!$A621:$O621,0))</f>
        <v>288.69</v>
      </c>
      <c r="M622" s="11">
        <f>INDEX('Main Data'!$A$1:$O$1001,MATCH('Index&amp;Match'!$A622,'Main Data'!$A$1:$A$1001,0),MATCH('Index&amp;Match'!M621,'Main Data'!$A621:$O621,0))</f>
        <v>7.82</v>
      </c>
      <c r="N622" s="2" t="str">
        <f>INDEX('Main Data'!$A$1:$O$1001,MATCH('Index&amp;Match'!$A622,'Main Data'!$A$1:$A$1001,0),MATCH('Index&amp;Match'!N621,'Main Data'!$A621:$O621,0))</f>
        <v>Yes</v>
      </c>
      <c r="O622" s="2">
        <f>INDEX('Main Data'!$A$1:$O$1001,MATCH('Index&amp;Match'!$A622,'Main Data'!$A$1:$A$1001,0),MATCH('Index&amp;Match'!O621,'Main Data'!$A621:$O621,0))</f>
        <v>74</v>
      </c>
    </row>
    <row r="623" spans="1:15" x14ac:dyDescent="0.3">
      <c r="A623" s="2" t="s">
        <v>680</v>
      </c>
      <c r="B623" s="1">
        <f>INDEX('Main Data'!$A$1:$O$1001,MATCH('Index&amp;Match'!$A623,'Main Data'!$A$1:$A$1001,0),MATCH('Index&amp;Match'!B622,'Main Data'!$A622:$O622,0))</f>
        <v>46013</v>
      </c>
      <c r="C623" s="2" t="str">
        <f>INDEX('Main Data'!$A$1:$O$1001,MATCH('Index&amp;Match'!$A623,'Main Data'!$A$1:$A$1001,0),MATCH('Index&amp;Match'!C622,'Main Data'!$A622:$O622,0))</f>
        <v>Jordan</v>
      </c>
      <c r="D623" s="2" t="str">
        <f>INDEX('Main Data'!$A$1:$O$1001,MATCH('Index&amp;Match'!$A623,'Main Data'!$A$1:$A$1001,0),MATCH('Index&amp;Match'!D622,'Main Data'!$A622:$O622,0))</f>
        <v>BR-010</v>
      </c>
      <c r="E623" s="2" t="str">
        <f>INDEX('Main Data'!$A$1:$O$1001,MATCH('Index&amp;Match'!$A623,'Main Data'!$A$1:$A$1001,0),MATCH('Index&amp;Match'!E622,'Main Data'!$A622:$O622,0))</f>
        <v>Central</v>
      </c>
      <c r="F623" s="2" t="str">
        <f>INDEX('Main Data'!$A$1:$O$1001,MATCH('Index&amp;Match'!$A623,'Main Data'!$A$1:$A$1001,0),MATCH('Index&amp;Match'!F622,'Main Data'!$A622:$O622,0))</f>
        <v>Credit Card</v>
      </c>
      <c r="G623" s="2" t="str">
        <f>INDEX('Main Data'!$A$1:$O$1001,MATCH('Index&amp;Match'!$A623,'Main Data'!$A$1:$A$1001,0),MATCH('Index&amp;Match'!G622,'Main Data'!$A622:$O622,0))</f>
        <v>Walk-in</v>
      </c>
      <c r="H623" s="2" t="str">
        <f>INDEX('Main Data'!$A$1:$O$1001,MATCH('Index&amp;Match'!$A623,'Main Data'!$A$1:$A$1001,0),MATCH('Index&amp;Match'!H622,'Main Data'!$A622:$O622,0))</f>
        <v>Retail</v>
      </c>
      <c r="I623" s="2">
        <f>INDEX('Main Data'!$A$1:$O$1001,MATCH('Index&amp;Match'!$A623,'Main Data'!$A$1:$A$1001,0),MATCH('Index&amp;Match'!I622,'Main Data'!$A622:$O622,0))</f>
        <v>74</v>
      </c>
      <c r="J623" s="2">
        <f>INDEX('Main Data'!$A$1:$O$1001,MATCH('Index&amp;Match'!$A623,'Main Data'!$A$1:$A$1001,0),MATCH('Index&amp;Match'!J622,'Main Data'!$A622:$O622,0))</f>
        <v>74</v>
      </c>
      <c r="K623" s="11">
        <f>INDEX('Main Data'!$A$1:$O$1001,MATCH('Index&amp;Match'!$A623,'Main Data'!$A$1:$A$1001,0),MATCH('Index&amp;Match'!K622,'Main Data'!$A622:$O622,0))</f>
        <v>46914.239999999998</v>
      </c>
      <c r="L623" s="11">
        <f>INDEX('Main Data'!$A$1:$O$1001,MATCH('Index&amp;Match'!$A623,'Main Data'!$A$1:$A$1001,0),MATCH('Index&amp;Match'!L622,'Main Data'!$A622:$O622,0))</f>
        <v>348.25</v>
      </c>
      <c r="M623" s="11">
        <f>INDEX('Main Data'!$A$1:$O$1001,MATCH('Index&amp;Match'!$A623,'Main Data'!$A$1:$A$1001,0),MATCH('Index&amp;Match'!M622,'Main Data'!$A622:$O622,0))</f>
        <v>127.71</v>
      </c>
      <c r="N623" s="2" t="str">
        <f>INDEX('Main Data'!$A$1:$O$1001,MATCH('Index&amp;Match'!$A623,'Main Data'!$A$1:$A$1001,0),MATCH('Index&amp;Match'!N622,'Main Data'!$A622:$O622,0))</f>
        <v>No</v>
      </c>
      <c r="O623" s="2">
        <f>INDEX('Main Data'!$A$1:$O$1001,MATCH('Index&amp;Match'!$A623,'Main Data'!$A$1:$A$1001,0),MATCH('Index&amp;Match'!O622,'Main Data'!$A622:$O622,0))</f>
        <v>74</v>
      </c>
    </row>
    <row r="624" spans="1:15" x14ac:dyDescent="0.3">
      <c r="A624" s="2" t="s">
        <v>681</v>
      </c>
      <c r="B624" s="1">
        <f>INDEX('Main Data'!$A$1:$O$1001,MATCH('Index&amp;Match'!$A624,'Main Data'!$A$1:$A$1001,0),MATCH('Index&amp;Match'!B623,'Main Data'!$A623:$O623,0))</f>
        <v>46109</v>
      </c>
      <c r="C624" s="2" t="str">
        <f>INDEX('Main Data'!$A$1:$O$1001,MATCH('Index&amp;Match'!$A624,'Main Data'!$A$1:$A$1001,0),MATCH('Index&amp;Match'!C623,'Main Data'!$A623:$O623,0))</f>
        <v>Jamie</v>
      </c>
      <c r="D624" s="2" t="str">
        <f>INDEX('Main Data'!$A$1:$O$1001,MATCH('Index&amp;Match'!$A624,'Main Data'!$A$1:$A$1001,0),MATCH('Index&amp;Match'!D623,'Main Data'!$A623:$O623,0))</f>
        <v>BR-009</v>
      </c>
      <c r="E624" s="2" t="str">
        <f>INDEX('Main Data'!$A$1:$O$1001,MATCH('Index&amp;Match'!$A624,'Main Data'!$A$1:$A$1001,0),MATCH('Index&amp;Match'!E623,'Main Data'!$A623:$O623,0))</f>
        <v>West</v>
      </c>
      <c r="F624" s="2" t="str">
        <f>INDEX('Main Data'!$A$1:$O$1001,MATCH('Index&amp;Match'!$A624,'Main Data'!$A$1:$A$1001,0),MATCH('Index&amp;Match'!F623,'Main Data'!$A623:$O623,0))</f>
        <v>Credit Card</v>
      </c>
      <c r="G624" s="2" t="str">
        <f>INDEX('Main Data'!$A$1:$O$1001,MATCH('Index&amp;Match'!$A624,'Main Data'!$A$1:$A$1001,0),MATCH('Index&amp;Match'!G623,'Main Data'!$A623:$O623,0))</f>
        <v>Website</v>
      </c>
      <c r="H624" s="2" t="str">
        <f>INDEX('Main Data'!$A$1:$O$1001,MATCH('Index&amp;Match'!$A624,'Main Data'!$A$1:$A$1001,0),MATCH('Index&amp;Match'!H623,'Main Data'!$A623:$O623,0))</f>
        <v>High Net Worth</v>
      </c>
      <c r="I624" s="2">
        <f>INDEX('Main Data'!$A$1:$O$1001,MATCH('Index&amp;Match'!$A624,'Main Data'!$A$1:$A$1001,0),MATCH('Index&amp;Match'!I623,'Main Data'!$A623:$O623,0))</f>
        <v>72</v>
      </c>
      <c r="J624" s="2">
        <f>INDEX('Main Data'!$A$1:$O$1001,MATCH('Index&amp;Match'!$A624,'Main Data'!$A$1:$A$1001,0),MATCH('Index&amp;Match'!J623,'Main Data'!$A623:$O623,0))</f>
        <v>72</v>
      </c>
      <c r="K624" s="11">
        <f>INDEX('Main Data'!$A$1:$O$1001,MATCH('Index&amp;Match'!$A624,'Main Data'!$A$1:$A$1001,0),MATCH('Index&amp;Match'!K623,'Main Data'!$A623:$O623,0))</f>
        <v>17920.52</v>
      </c>
      <c r="L624" s="11">
        <f>INDEX('Main Data'!$A$1:$O$1001,MATCH('Index&amp;Match'!$A624,'Main Data'!$A$1:$A$1001,0),MATCH('Index&amp;Match'!L623,'Main Data'!$A623:$O623,0))</f>
        <v>315.58</v>
      </c>
      <c r="M624" s="11">
        <f>INDEX('Main Data'!$A$1:$O$1001,MATCH('Index&amp;Match'!$A624,'Main Data'!$A$1:$A$1001,0),MATCH('Index&amp;Match'!M623,'Main Data'!$A623:$O623,0))</f>
        <v>15.18</v>
      </c>
      <c r="N624" s="2" t="str">
        <f>INDEX('Main Data'!$A$1:$O$1001,MATCH('Index&amp;Match'!$A624,'Main Data'!$A$1:$A$1001,0),MATCH('Index&amp;Match'!N623,'Main Data'!$A623:$O623,0))</f>
        <v>No</v>
      </c>
      <c r="O624" s="2">
        <f>INDEX('Main Data'!$A$1:$O$1001,MATCH('Index&amp;Match'!$A624,'Main Data'!$A$1:$A$1001,0),MATCH('Index&amp;Match'!O623,'Main Data'!$A623:$O623,0))</f>
        <v>72</v>
      </c>
    </row>
    <row r="625" spans="1:15" x14ac:dyDescent="0.3">
      <c r="A625" s="2" t="s">
        <v>682</v>
      </c>
      <c r="B625" s="1">
        <f>INDEX('Main Data'!$A$1:$O$1001,MATCH('Index&amp;Match'!$A625,'Main Data'!$A$1:$A$1001,0),MATCH('Index&amp;Match'!B624,'Main Data'!$A624:$O624,0))</f>
        <v>46113</v>
      </c>
      <c r="C625" s="2" t="str">
        <f>INDEX('Main Data'!$A$1:$O$1001,MATCH('Index&amp;Match'!$A625,'Main Data'!$A$1:$A$1001,0),MATCH('Index&amp;Match'!C624,'Main Data'!$A624:$O624,0))</f>
        <v>Jordan</v>
      </c>
      <c r="D625" s="2" t="str">
        <f>INDEX('Main Data'!$A$1:$O$1001,MATCH('Index&amp;Match'!$A625,'Main Data'!$A$1:$A$1001,0),MATCH('Index&amp;Match'!D624,'Main Data'!$A624:$O624,0))</f>
        <v>BR-003</v>
      </c>
      <c r="E625" s="2" t="str">
        <f>INDEX('Main Data'!$A$1:$O$1001,MATCH('Index&amp;Match'!$A625,'Main Data'!$A$1:$A$1001,0),MATCH('Index&amp;Match'!E624,'Main Data'!$A624:$O624,0))</f>
        <v>West</v>
      </c>
      <c r="F625" s="2" t="str">
        <f>INDEX('Main Data'!$A$1:$O$1001,MATCH('Index&amp;Match'!$A625,'Main Data'!$A$1:$A$1001,0),MATCH('Index&amp;Match'!F624,'Main Data'!$A624:$O624,0))</f>
        <v>Wealth Management</v>
      </c>
      <c r="G625" s="2" t="str">
        <f>INDEX('Main Data'!$A$1:$O$1001,MATCH('Index&amp;Match'!$A625,'Main Data'!$A$1:$A$1001,0),MATCH('Index&amp;Match'!G624,'Main Data'!$A624:$O624,0))</f>
        <v>Social Media</v>
      </c>
      <c r="H625" s="2" t="str">
        <f>INDEX('Main Data'!$A$1:$O$1001,MATCH('Index&amp;Match'!$A625,'Main Data'!$A$1:$A$1001,0),MATCH('Index&amp;Match'!H624,'Main Data'!$A624:$O624,0))</f>
        <v>Corporate</v>
      </c>
      <c r="I625" s="2">
        <f>INDEX('Main Data'!$A$1:$O$1001,MATCH('Index&amp;Match'!$A625,'Main Data'!$A$1:$A$1001,0),MATCH('Index&amp;Match'!I624,'Main Data'!$A624:$O624,0))</f>
        <v>74</v>
      </c>
      <c r="J625" s="2">
        <f>INDEX('Main Data'!$A$1:$O$1001,MATCH('Index&amp;Match'!$A625,'Main Data'!$A$1:$A$1001,0),MATCH('Index&amp;Match'!J624,'Main Data'!$A624:$O624,0))</f>
        <v>74</v>
      </c>
      <c r="K625" s="11">
        <f>INDEX('Main Data'!$A$1:$O$1001,MATCH('Index&amp;Match'!$A625,'Main Data'!$A$1:$A$1001,0),MATCH('Index&amp;Match'!K624,'Main Data'!$A624:$O624,0))</f>
        <v>22584.39</v>
      </c>
      <c r="L625" s="11">
        <f>INDEX('Main Data'!$A$1:$O$1001,MATCH('Index&amp;Match'!$A625,'Main Data'!$A$1:$A$1001,0),MATCH('Index&amp;Match'!L624,'Main Data'!$A624:$O624,0))</f>
        <v>240.22</v>
      </c>
      <c r="M625" s="11">
        <f>INDEX('Main Data'!$A$1:$O$1001,MATCH('Index&amp;Match'!$A625,'Main Data'!$A$1:$A$1001,0),MATCH('Index&amp;Match'!M624,'Main Data'!$A624:$O624,0))</f>
        <v>185.26</v>
      </c>
      <c r="N625" s="2" t="str">
        <f>INDEX('Main Data'!$A$1:$O$1001,MATCH('Index&amp;Match'!$A625,'Main Data'!$A$1:$A$1001,0),MATCH('Index&amp;Match'!N624,'Main Data'!$A624:$O624,0))</f>
        <v>Yes</v>
      </c>
      <c r="O625" s="2">
        <f>INDEX('Main Data'!$A$1:$O$1001,MATCH('Index&amp;Match'!$A625,'Main Data'!$A$1:$A$1001,0),MATCH('Index&amp;Match'!O624,'Main Data'!$A624:$O624,0))</f>
        <v>74</v>
      </c>
    </row>
    <row r="626" spans="1:15" x14ac:dyDescent="0.3">
      <c r="A626" s="2" t="s">
        <v>683</v>
      </c>
      <c r="B626" s="1">
        <f>INDEX('Main Data'!$A$1:$O$1001,MATCH('Index&amp;Match'!$A626,'Main Data'!$A$1:$A$1001,0),MATCH('Index&amp;Match'!B625,'Main Data'!$A625:$O625,0))</f>
        <v>45904</v>
      </c>
      <c r="C626" s="2" t="str">
        <f>INDEX('Main Data'!$A$1:$O$1001,MATCH('Index&amp;Match'!$A626,'Main Data'!$A$1:$A$1001,0),MATCH('Index&amp;Match'!C625,'Main Data'!$A625:$O625,0))</f>
        <v>Casey</v>
      </c>
      <c r="D626" s="2" t="str">
        <f>INDEX('Main Data'!$A$1:$O$1001,MATCH('Index&amp;Match'!$A626,'Main Data'!$A$1:$A$1001,0),MATCH('Index&amp;Match'!D625,'Main Data'!$A625:$O625,0))</f>
        <v>BR-015</v>
      </c>
      <c r="E626" s="2" t="str">
        <f>INDEX('Main Data'!$A$1:$O$1001,MATCH('Index&amp;Match'!$A626,'Main Data'!$A$1:$A$1001,0),MATCH('Index&amp;Match'!E625,'Main Data'!$A625:$O625,0))</f>
        <v>East</v>
      </c>
      <c r="F626" s="2" t="str">
        <f>INDEX('Main Data'!$A$1:$O$1001,MATCH('Index&amp;Match'!$A626,'Main Data'!$A$1:$A$1001,0),MATCH('Index&amp;Match'!F625,'Main Data'!$A625:$O625,0))</f>
        <v>Credit Card</v>
      </c>
      <c r="G626" s="2" t="str">
        <f>INDEX('Main Data'!$A$1:$O$1001,MATCH('Index&amp;Match'!$A626,'Main Data'!$A$1:$A$1001,0),MATCH('Index&amp;Match'!G625,'Main Data'!$A625:$O625,0))</f>
        <v>Referral</v>
      </c>
      <c r="H626" s="2" t="str">
        <f>INDEX('Main Data'!$A$1:$O$1001,MATCH('Index&amp;Match'!$A626,'Main Data'!$A$1:$A$1001,0),MATCH('Index&amp;Match'!H625,'Main Data'!$A625:$O625,0))</f>
        <v>SME</v>
      </c>
      <c r="I626" s="2">
        <f>INDEX('Main Data'!$A$1:$O$1001,MATCH('Index&amp;Match'!$A626,'Main Data'!$A$1:$A$1001,0),MATCH('Index&amp;Match'!I625,'Main Data'!$A625:$O625,0))</f>
        <v>24</v>
      </c>
      <c r="J626" s="2">
        <f>INDEX('Main Data'!$A$1:$O$1001,MATCH('Index&amp;Match'!$A626,'Main Data'!$A$1:$A$1001,0),MATCH('Index&amp;Match'!J625,'Main Data'!$A625:$O625,0))</f>
        <v>24</v>
      </c>
      <c r="K626" s="11">
        <f>INDEX('Main Data'!$A$1:$O$1001,MATCH('Index&amp;Match'!$A626,'Main Data'!$A$1:$A$1001,0),MATCH('Index&amp;Match'!K625,'Main Data'!$A625:$O625,0))</f>
        <v>33747.18</v>
      </c>
      <c r="L626" s="11">
        <f>INDEX('Main Data'!$A$1:$O$1001,MATCH('Index&amp;Match'!$A626,'Main Data'!$A$1:$A$1001,0),MATCH('Index&amp;Match'!L625,'Main Data'!$A625:$O625,0))</f>
        <v>140.38999999999999</v>
      </c>
      <c r="M626" s="11">
        <f>INDEX('Main Data'!$A$1:$O$1001,MATCH('Index&amp;Match'!$A626,'Main Data'!$A$1:$A$1001,0),MATCH('Index&amp;Match'!M625,'Main Data'!$A625:$O625,0))</f>
        <v>192.33</v>
      </c>
      <c r="N626" s="2" t="str">
        <f>INDEX('Main Data'!$A$1:$O$1001,MATCH('Index&amp;Match'!$A626,'Main Data'!$A$1:$A$1001,0),MATCH('Index&amp;Match'!N625,'Main Data'!$A625:$O625,0))</f>
        <v>Yes</v>
      </c>
      <c r="O626" s="2">
        <f>INDEX('Main Data'!$A$1:$O$1001,MATCH('Index&amp;Match'!$A626,'Main Data'!$A$1:$A$1001,0),MATCH('Index&amp;Match'!O625,'Main Data'!$A625:$O625,0))</f>
        <v>24</v>
      </c>
    </row>
    <row r="627" spans="1:15" x14ac:dyDescent="0.3">
      <c r="A627" s="2" t="s">
        <v>684</v>
      </c>
      <c r="B627" s="1">
        <f>INDEX('Main Data'!$A$1:$O$1001,MATCH('Index&amp;Match'!$A627,'Main Data'!$A$1:$A$1001,0),MATCH('Index&amp;Match'!B626,'Main Data'!$A626:$O626,0))</f>
        <v>46029</v>
      </c>
      <c r="C627" s="2" t="str">
        <f>INDEX('Main Data'!$A$1:$O$1001,MATCH('Index&amp;Match'!$A627,'Main Data'!$A$1:$A$1001,0),MATCH('Index&amp;Match'!C626,'Main Data'!$A626:$O626,0))</f>
        <v>Jordan</v>
      </c>
      <c r="D627" s="2" t="str">
        <f>INDEX('Main Data'!$A$1:$O$1001,MATCH('Index&amp;Match'!$A627,'Main Data'!$A$1:$A$1001,0),MATCH('Index&amp;Match'!D626,'Main Data'!$A626:$O626,0))</f>
        <v>BR-004</v>
      </c>
      <c r="E627" s="2" t="str">
        <f>INDEX('Main Data'!$A$1:$O$1001,MATCH('Index&amp;Match'!$A627,'Main Data'!$A$1:$A$1001,0),MATCH('Index&amp;Match'!E626,'Main Data'!$A626:$O626,0))</f>
        <v>South</v>
      </c>
      <c r="F627" s="2" t="str">
        <f>INDEX('Main Data'!$A$1:$O$1001,MATCH('Index&amp;Match'!$A627,'Main Data'!$A$1:$A$1001,0),MATCH('Index&amp;Match'!F626,'Main Data'!$A626:$O626,0))</f>
        <v>Credit Card</v>
      </c>
      <c r="G627" s="2" t="str">
        <f>INDEX('Main Data'!$A$1:$O$1001,MATCH('Index&amp;Match'!$A627,'Main Data'!$A$1:$A$1001,0),MATCH('Index&amp;Match'!G626,'Main Data'!$A626:$O626,0))</f>
        <v>Referral</v>
      </c>
      <c r="H627" s="2" t="str">
        <f>INDEX('Main Data'!$A$1:$O$1001,MATCH('Index&amp;Match'!$A627,'Main Data'!$A$1:$A$1001,0),MATCH('Index&amp;Match'!H626,'Main Data'!$A626:$O626,0))</f>
        <v>High Net Worth</v>
      </c>
      <c r="I627" s="2">
        <f>INDEX('Main Data'!$A$1:$O$1001,MATCH('Index&amp;Match'!$A627,'Main Data'!$A$1:$A$1001,0),MATCH('Index&amp;Match'!I626,'Main Data'!$A626:$O626,0))</f>
        <v>31</v>
      </c>
      <c r="J627" s="2">
        <f>INDEX('Main Data'!$A$1:$O$1001,MATCH('Index&amp;Match'!$A627,'Main Data'!$A$1:$A$1001,0),MATCH('Index&amp;Match'!J626,'Main Data'!$A626:$O626,0))</f>
        <v>31</v>
      </c>
      <c r="K627" s="11">
        <f>INDEX('Main Data'!$A$1:$O$1001,MATCH('Index&amp;Match'!$A627,'Main Data'!$A$1:$A$1001,0),MATCH('Index&amp;Match'!K626,'Main Data'!$A626:$O626,0))</f>
        <v>17028.169999999998</v>
      </c>
      <c r="L627" s="11">
        <f>INDEX('Main Data'!$A$1:$O$1001,MATCH('Index&amp;Match'!$A627,'Main Data'!$A$1:$A$1001,0),MATCH('Index&amp;Match'!L626,'Main Data'!$A626:$O626,0))</f>
        <v>187.57</v>
      </c>
      <c r="M627" s="11">
        <f>INDEX('Main Data'!$A$1:$O$1001,MATCH('Index&amp;Match'!$A627,'Main Data'!$A$1:$A$1001,0),MATCH('Index&amp;Match'!M626,'Main Data'!$A626:$O626,0))</f>
        <v>56.85</v>
      </c>
      <c r="N627" s="2" t="str">
        <f>INDEX('Main Data'!$A$1:$O$1001,MATCH('Index&amp;Match'!$A627,'Main Data'!$A$1:$A$1001,0),MATCH('Index&amp;Match'!N626,'Main Data'!$A626:$O626,0))</f>
        <v>Yes</v>
      </c>
      <c r="O627" s="2">
        <f>INDEX('Main Data'!$A$1:$O$1001,MATCH('Index&amp;Match'!$A627,'Main Data'!$A$1:$A$1001,0),MATCH('Index&amp;Match'!O626,'Main Data'!$A626:$O626,0))</f>
        <v>31</v>
      </c>
    </row>
    <row r="628" spans="1:15" x14ac:dyDescent="0.3">
      <c r="A628" s="2" t="s">
        <v>685</v>
      </c>
      <c r="B628" s="1">
        <f>INDEX('Main Data'!$A$1:$O$1001,MATCH('Index&amp;Match'!$A628,'Main Data'!$A$1:$A$1001,0),MATCH('Index&amp;Match'!B627,'Main Data'!$A627:$O627,0))</f>
        <v>46186</v>
      </c>
      <c r="C628" s="2" t="str">
        <f>INDEX('Main Data'!$A$1:$O$1001,MATCH('Index&amp;Match'!$A628,'Main Data'!$A$1:$A$1001,0),MATCH('Index&amp;Match'!C627,'Main Data'!$A627:$O627,0))</f>
        <v>Casey</v>
      </c>
      <c r="D628" s="2" t="str">
        <f>INDEX('Main Data'!$A$1:$O$1001,MATCH('Index&amp;Match'!$A628,'Main Data'!$A$1:$A$1001,0),MATCH('Index&amp;Match'!D627,'Main Data'!$A627:$O627,0))</f>
        <v>BR-009</v>
      </c>
      <c r="E628" s="2" t="str">
        <f>INDEX('Main Data'!$A$1:$O$1001,MATCH('Index&amp;Match'!$A628,'Main Data'!$A$1:$A$1001,0),MATCH('Index&amp;Match'!E627,'Main Data'!$A627:$O627,0))</f>
        <v>West</v>
      </c>
      <c r="F628" s="2" t="str">
        <f>INDEX('Main Data'!$A$1:$O$1001,MATCH('Index&amp;Match'!$A628,'Main Data'!$A$1:$A$1001,0),MATCH('Index&amp;Match'!F627,'Main Data'!$A627:$O627,0))</f>
        <v>Credit Card</v>
      </c>
      <c r="G628" s="2" t="str">
        <f>INDEX('Main Data'!$A$1:$O$1001,MATCH('Index&amp;Match'!$A628,'Main Data'!$A$1:$A$1001,0),MATCH('Index&amp;Match'!G627,'Main Data'!$A627:$O627,0))</f>
        <v>Social Media</v>
      </c>
      <c r="H628" s="2" t="str">
        <f>INDEX('Main Data'!$A$1:$O$1001,MATCH('Index&amp;Match'!$A628,'Main Data'!$A$1:$A$1001,0),MATCH('Index&amp;Match'!H627,'Main Data'!$A627:$O627,0))</f>
        <v>Retail</v>
      </c>
      <c r="I628" s="2">
        <f>INDEX('Main Data'!$A$1:$O$1001,MATCH('Index&amp;Match'!$A628,'Main Data'!$A$1:$A$1001,0),MATCH('Index&amp;Match'!I627,'Main Data'!$A627:$O627,0))</f>
        <v>52</v>
      </c>
      <c r="J628" s="2">
        <f>INDEX('Main Data'!$A$1:$O$1001,MATCH('Index&amp;Match'!$A628,'Main Data'!$A$1:$A$1001,0),MATCH('Index&amp;Match'!J627,'Main Data'!$A627:$O627,0))</f>
        <v>52</v>
      </c>
      <c r="K628" s="11">
        <f>INDEX('Main Data'!$A$1:$O$1001,MATCH('Index&amp;Match'!$A628,'Main Data'!$A$1:$A$1001,0),MATCH('Index&amp;Match'!K627,'Main Data'!$A627:$O627,0))</f>
        <v>13085.83</v>
      </c>
      <c r="L628" s="11">
        <f>INDEX('Main Data'!$A$1:$O$1001,MATCH('Index&amp;Match'!$A628,'Main Data'!$A$1:$A$1001,0),MATCH('Index&amp;Match'!L627,'Main Data'!$A627:$O627,0))</f>
        <v>286.02999999999997</v>
      </c>
      <c r="M628" s="11">
        <f>INDEX('Main Data'!$A$1:$O$1001,MATCH('Index&amp;Match'!$A628,'Main Data'!$A$1:$A$1001,0),MATCH('Index&amp;Match'!M627,'Main Data'!$A627:$O627,0))</f>
        <v>135.28</v>
      </c>
      <c r="N628" s="2" t="str">
        <f>INDEX('Main Data'!$A$1:$O$1001,MATCH('Index&amp;Match'!$A628,'Main Data'!$A$1:$A$1001,0),MATCH('Index&amp;Match'!N627,'Main Data'!$A627:$O627,0))</f>
        <v>No</v>
      </c>
      <c r="O628" s="2">
        <f>INDEX('Main Data'!$A$1:$O$1001,MATCH('Index&amp;Match'!$A628,'Main Data'!$A$1:$A$1001,0),MATCH('Index&amp;Match'!O627,'Main Data'!$A627:$O627,0))</f>
        <v>52</v>
      </c>
    </row>
    <row r="629" spans="1:15" x14ac:dyDescent="0.3">
      <c r="A629" s="2" t="s">
        <v>686</v>
      </c>
      <c r="B629" s="1">
        <f>INDEX('Main Data'!$A$1:$O$1001,MATCH('Index&amp;Match'!$A629,'Main Data'!$A$1:$A$1001,0),MATCH('Index&amp;Match'!B628,'Main Data'!$A628:$O628,0))</f>
        <v>46185</v>
      </c>
      <c r="C629" s="2" t="str">
        <f>INDEX('Main Data'!$A$1:$O$1001,MATCH('Index&amp;Match'!$A629,'Main Data'!$A$1:$A$1001,0),MATCH('Index&amp;Match'!C628,'Main Data'!$A628:$O628,0))</f>
        <v>Sam</v>
      </c>
      <c r="D629" s="2" t="str">
        <f>INDEX('Main Data'!$A$1:$O$1001,MATCH('Index&amp;Match'!$A629,'Main Data'!$A$1:$A$1001,0),MATCH('Index&amp;Match'!D628,'Main Data'!$A628:$O628,0))</f>
        <v>BR-010</v>
      </c>
      <c r="E629" s="2" t="str">
        <f>INDEX('Main Data'!$A$1:$O$1001,MATCH('Index&amp;Match'!$A629,'Main Data'!$A$1:$A$1001,0),MATCH('Index&amp;Match'!E628,'Main Data'!$A628:$O628,0))</f>
        <v>East</v>
      </c>
      <c r="F629" s="2" t="str">
        <f>INDEX('Main Data'!$A$1:$O$1001,MATCH('Index&amp;Match'!$A629,'Main Data'!$A$1:$A$1001,0),MATCH('Index&amp;Match'!F628,'Main Data'!$A628:$O628,0))</f>
        <v>Wealth Management</v>
      </c>
      <c r="G629" s="2" t="str">
        <f>INDEX('Main Data'!$A$1:$O$1001,MATCH('Index&amp;Match'!$A629,'Main Data'!$A$1:$A$1001,0),MATCH('Index&amp;Match'!G628,'Main Data'!$A628:$O628,0))</f>
        <v>Referral</v>
      </c>
      <c r="H629" s="2" t="str">
        <f>INDEX('Main Data'!$A$1:$O$1001,MATCH('Index&amp;Match'!$A629,'Main Data'!$A$1:$A$1001,0),MATCH('Index&amp;Match'!H628,'Main Data'!$A628:$O628,0))</f>
        <v>Retail</v>
      </c>
      <c r="I629" s="2">
        <f>INDEX('Main Data'!$A$1:$O$1001,MATCH('Index&amp;Match'!$A629,'Main Data'!$A$1:$A$1001,0),MATCH('Index&amp;Match'!I628,'Main Data'!$A628:$O628,0))</f>
        <v>69</v>
      </c>
      <c r="J629" s="2">
        <f>INDEX('Main Data'!$A$1:$O$1001,MATCH('Index&amp;Match'!$A629,'Main Data'!$A$1:$A$1001,0),MATCH('Index&amp;Match'!J628,'Main Data'!$A628:$O628,0))</f>
        <v>69</v>
      </c>
      <c r="K629" s="11">
        <f>INDEX('Main Data'!$A$1:$O$1001,MATCH('Index&amp;Match'!$A629,'Main Data'!$A$1:$A$1001,0),MATCH('Index&amp;Match'!K628,'Main Data'!$A628:$O628,0))</f>
        <v>31736.94</v>
      </c>
      <c r="L629" s="11">
        <f>INDEX('Main Data'!$A$1:$O$1001,MATCH('Index&amp;Match'!$A629,'Main Data'!$A$1:$A$1001,0),MATCH('Index&amp;Match'!L628,'Main Data'!$A628:$O628,0))</f>
        <v>343.34</v>
      </c>
      <c r="M629" s="11">
        <f>INDEX('Main Data'!$A$1:$O$1001,MATCH('Index&amp;Match'!$A629,'Main Data'!$A$1:$A$1001,0),MATCH('Index&amp;Match'!M628,'Main Data'!$A628:$O628,0))</f>
        <v>18.45</v>
      </c>
      <c r="N629" s="2" t="str">
        <f>INDEX('Main Data'!$A$1:$O$1001,MATCH('Index&amp;Match'!$A629,'Main Data'!$A$1:$A$1001,0),MATCH('Index&amp;Match'!N628,'Main Data'!$A628:$O628,0))</f>
        <v>Yes</v>
      </c>
      <c r="O629" s="2">
        <f>INDEX('Main Data'!$A$1:$O$1001,MATCH('Index&amp;Match'!$A629,'Main Data'!$A$1:$A$1001,0),MATCH('Index&amp;Match'!O628,'Main Data'!$A628:$O628,0))</f>
        <v>69</v>
      </c>
    </row>
    <row r="630" spans="1:15" x14ac:dyDescent="0.3">
      <c r="A630" s="2" t="s">
        <v>687</v>
      </c>
      <c r="B630" s="1">
        <f>INDEX('Main Data'!$A$1:$O$1001,MATCH('Index&amp;Match'!$A630,'Main Data'!$A$1:$A$1001,0),MATCH('Index&amp;Match'!B629,'Main Data'!$A629:$O629,0))</f>
        <v>45984</v>
      </c>
      <c r="C630" s="2" t="str">
        <f>INDEX('Main Data'!$A$1:$O$1001,MATCH('Index&amp;Match'!$A630,'Main Data'!$A$1:$A$1001,0),MATCH('Index&amp;Match'!C629,'Main Data'!$A629:$O629,0))</f>
        <v>Jamie</v>
      </c>
      <c r="D630" s="2" t="str">
        <f>INDEX('Main Data'!$A$1:$O$1001,MATCH('Index&amp;Match'!$A630,'Main Data'!$A$1:$A$1001,0),MATCH('Index&amp;Match'!D629,'Main Data'!$A629:$O629,0))</f>
        <v>BR-011</v>
      </c>
      <c r="E630" s="2" t="str">
        <f>INDEX('Main Data'!$A$1:$O$1001,MATCH('Index&amp;Match'!$A630,'Main Data'!$A$1:$A$1001,0),MATCH('Index&amp;Match'!E629,'Main Data'!$A629:$O629,0))</f>
        <v>East</v>
      </c>
      <c r="F630" s="2" t="str">
        <f>INDEX('Main Data'!$A$1:$O$1001,MATCH('Index&amp;Match'!$A630,'Main Data'!$A$1:$A$1001,0),MATCH('Index&amp;Match'!F629,'Main Data'!$A629:$O629,0))</f>
        <v>Mortgage</v>
      </c>
      <c r="G630" s="2" t="str">
        <f>INDEX('Main Data'!$A$1:$O$1001,MATCH('Index&amp;Match'!$A630,'Main Data'!$A$1:$A$1001,0),MATCH('Index&amp;Match'!G629,'Main Data'!$A629:$O629,0))</f>
        <v>Email Campaign</v>
      </c>
      <c r="H630" s="2" t="str">
        <f>INDEX('Main Data'!$A$1:$O$1001,MATCH('Index&amp;Match'!$A630,'Main Data'!$A$1:$A$1001,0),MATCH('Index&amp;Match'!H629,'Main Data'!$A629:$O629,0))</f>
        <v>Corporate</v>
      </c>
      <c r="I630" s="2">
        <f>INDEX('Main Data'!$A$1:$O$1001,MATCH('Index&amp;Match'!$A630,'Main Data'!$A$1:$A$1001,0),MATCH('Index&amp;Match'!I629,'Main Data'!$A629:$O629,0))</f>
        <v>27</v>
      </c>
      <c r="J630" s="2">
        <f>INDEX('Main Data'!$A$1:$O$1001,MATCH('Index&amp;Match'!$A630,'Main Data'!$A$1:$A$1001,0),MATCH('Index&amp;Match'!J629,'Main Data'!$A629:$O629,0))</f>
        <v>27</v>
      </c>
      <c r="K630" s="11">
        <f>INDEX('Main Data'!$A$1:$O$1001,MATCH('Index&amp;Match'!$A630,'Main Data'!$A$1:$A$1001,0),MATCH('Index&amp;Match'!K629,'Main Data'!$A629:$O629,0))</f>
        <v>1736.71</v>
      </c>
      <c r="L630" s="11">
        <f>INDEX('Main Data'!$A$1:$O$1001,MATCH('Index&amp;Match'!$A630,'Main Data'!$A$1:$A$1001,0),MATCH('Index&amp;Match'!L629,'Main Data'!$A629:$O629,0))</f>
        <v>400.77</v>
      </c>
      <c r="M630" s="11">
        <f>INDEX('Main Data'!$A$1:$O$1001,MATCH('Index&amp;Match'!$A630,'Main Data'!$A$1:$A$1001,0),MATCH('Index&amp;Match'!M629,'Main Data'!$A629:$O629,0))</f>
        <v>145.9</v>
      </c>
      <c r="N630" s="2" t="str">
        <f>INDEX('Main Data'!$A$1:$O$1001,MATCH('Index&amp;Match'!$A630,'Main Data'!$A$1:$A$1001,0),MATCH('Index&amp;Match'!N629,'Main Data'!$A629:$O629,0))</f>
        <v>No</v>
      </c>
      <c r="O630" s="2">
        <f>INDEX('Main Data'!$A$1:$O$1001,MATCH('Index&amp;Match'!$A630,'Main Data'!$A$1:$A$1001,0),MATCH('Index&amp;Match'!O629,'Main Data'!$A629:$O629,0))</f>
        <v>27</v>
      </c>
    </row>
    <row r="631" spans="1:15" x14ac:dyDescent="0.3">
      <c r="A631" s="2" t="s">
        <v>688</v>
      </c>
      <c r="B631" s="1">
        <f>INDEX('Main Data'!$A$1:$O$1001,MATCH('Index&amp;Match'!$A631,'Main Data'!$A$1:$A$1001,0),MATCH('Index&amp;Match'!B630,'Main Data'!$A630:$O630,0))</f>
        <v>45994</v>
      </c>
      <c r="C631" s="2" t="str">
        <f>INDEX('Main Data'!$A$1:$O$1001,MATCH('Index&amp;Match'!$A631,'Main Data'!$A$1:$A$1001,0),MATCH('Index&amp;Match'!C630,'Main Data'!$A630:$O630,0))</f>
        <v>Jamie</v>
      </c>
      <c r="D631" s="2" t="str">
        <f>INDEX('Main Data'!$A$1:$O$1001,MATCH('Index&amp;Match'!$A631,'Main Data'!$A$1:$A$1001,0),MATCH('Index&amp;Match'!D630,'Main Data'!$A630:$O630,0))</f>
        <v>BR-006</v>
      </c>
      <c r="E631" s="2" t="str">
        <f>INDEX('Main Data'!$A$1:$O$1001,MATCH('Index&amp;Match'!$A631,'Main Data'!$A$1:$A$1001,0),MATCH('Index&amp;Match'!E630,'Main Data'!$A630:$O630,0))</f>
        <v>Central</v>
      </c>
      <c r="F631" s="2" t="str">
        <f>INDEX('Main Data'!$A$1:$O$1001,MATCH('Index&amp;Match'!$A631,'Main Data'!$A$1:$A$1001,0),MATCH('Index&amp;Match'!F630,'Main Data'!$A630:$O630,0))</f>
        <v>Mortgage</v>
      </c>
      <c r="G631" s="2" t="str">
        <f>INDEX('Main Data'!$A$1:$O$1001,MATCH('Index&amp;Match'!$A631,'Main Data'!$A$1:$A$1001,0),MATCH('Index&amp;Match'!G630,'Main Data'!$A630:$O630,0))</f>
        <v>Website</v>
      </c>
      <c r="H631" s="2" t="str">
        <f>INDEX('Main Data'!$A$1:$O$1001,MATCH('Index&amp;Match'!$A631,'Main Data'!$A$1:$A$1001,0),MATCH('Index&amp;Match'!H630,'Main Data'!$A630:$O630,0))</f>
        <v>Corporate</v>
      </c>
      <c r="I631" s="2">
        <f>INDEX('Main Data'!$A$1:$O$1001,MATCH('Index&amp;Match'!$A631,'Main Data'!$A$1:$A$1001,0),MATCH('Index&amp;Match'!I630,'Main Data'!$A630:$O630,0))</f>
        <v>66</v>
      </c>
      <c r="J631" s="2">
        <f>INDEX('Main Data'!$A$1:$O$1001,MATCH('Index&amp;Match'!$A631,'Main Data'!$A$1:$A$1001,0),MATCH('Index&amp;Match'!J630,'Main Data'!$A630:$O630,0))</f>
        <v>66</v>
      </c>
      <c r="K631" s="11">
        <f>INDEX('Main Data'!$A$1:$O$1001,MATCH('Index&amp;Match'!$A631,'Main Data'!$A$1:$A$1001,0),MATCH('Index&amp;Match'!K630,'Main Data'!$A630:$O630,0))</f>
        <v>36175.89</v>
      </c>
      <c r="L631" s="11">
        <f>INDEX('Main Data'!$A$1:$O$1001,MATCH('Index&amp;Match'!$A631,'Main Data'!$A$1:$A$1001,0),MATCH('Index&amp;Match'!L630,'Main Data'!$A630:$O630,0))</f>
        <v>395.23</v>
      </c>
      <c r="M631" s="11">
        <f>INDEX('Main Data'!$A$1:$O$1001,MATCH('Index&amp;Match'!$A631,'Main Data'!$A$1:$A$1001,0),MATCH('Index&amp;Match'!M630,'Main Data'!$A630:$O630,0))</f>
        <v>69.459999999999994</v>
      </c>
      <c r="N631" s="2" t="str">
        <f>INDEX('Main Data'!$A$1:$O$1001,MATCH('Index&amp;Match'!$A631,'Main Data'!$A$1:$A$1001,0),MATCH('Index&amp;Match'!N630,'Main Data'!$A630:$O630,0))</f>
        <v>Yes</v>
      </c>
      <c r="O631" s="2">
        <f>INDEX('Main Data'!$A$1:$O$1001,MATCH('Index&amp;Match'!$A631,'Main Data'!$A$1:$A$1001,0),MATCH('Index&amp;Match'!O630,'Main Data'!$A630:$O630,0))</f>
        <v>66</v>
      </c>
    </row>
    <row r="632" spans="1:15" x14ac:dyDescent="0.3">
      <c r="A632" s="2" t="s">
        <v>689</v>
      </c>
      <c r="B632" s="1">
        <f>INDEX('Main Data'!$A$1:$O$1001,MATCH('Index&amp;Match'!$A632,'Main Data'!$A$1:$A$1001,0),MATCH('Index&amp;Match'!B631,'Main Data'!$A631:$O631,0))</f>
        <v>46082</v>
      </c>
      <c r="C632" s="2" t="str">
        <f>INDEX('Main Data'!$A$1:$O$1001,MATCH('Index&amp;Match'!$A632,'Main Data'!$A$1:$A$1001,0),MATCH('Index&amp;Match'!C631,'Main Data'!$A631:$O631,0))</f>
        <v>Alex</v>
      </c>
      <c r="D632" s="2" t="str">
        <f>INDEX('Main Data'!$A$1:$O$1001,MATCH('Index&amp;Match'!$A632,'Main Data'!$A$1:$A$1001,0),MATCH('Index&amp;Match'!D631,'Main Data'!$A631:$O631,0))</f>
        <v>BR-002</v>
      </c>
      <c r="E632" s="2" t="str">
        <f>INDEX('Main Data'!$A$1:$O$1001,MATCH('Index&amp;Match'!$A632,'Main Data'!$A$1:$A$1001,0),MATCH('Index&amp;Match'!E631,'Main Data'!$A631:$O631,0))</f>
        <v>Central</v>
      </c>
      <c r="F632" s="2" t="str">
        <f>INDEX('Main Data'!$A$1:$O$1001,MATCH('Index&amp;Match'!$A632,'Main Data'!$A$1:$A$1001,0),MATCH('Index&amp;Match'!F631,'Main Data'!$A631:$O631,0))</f>
        <v>Credit Card</v>
      </c>
      <c r="G632" s="2" t="str">
        <f>INDEX('Main Data'!$A$1:$O$1001,MATCH('Index&amp;Match'!$A632,'Main Data'!$A$1:$A$1001,0),MATCH('Index&amp;Match'!G631,'Main Data'!$A631:$O631,0))</f>
        <v>Walk-in</v>
      </c>
      <c r="H632" s="2" t="str">
        <f>INDEX('Main Data'!$A$1:$O$1001,MATCH('Index&amp;Match'!$A632,'Main Data'!$A$1:$A$1001,0),MATCH('Index&amp;Match'!H631,'Main Data'!$A631:$O631,0))</f>
        <v>Corporate</v>
      </c>
      <c r="I632" s="2">
        <f>INDEX('Main Data'!$A$1:$O$1001,MATCH('Index&amp;Match'!$A632,'Main Data'!$A$1:$A$1001,0),MATCH('Index&amp;Match'!I631,'Main Data'!$A631:$O631,0))</f>
        <v>31</v>
      </c>
      <c r="J632" s="2">
        <f>INDEX('Main Data'!$A$1:$O$1001,MATCH('Index&amp;Match'!$A632,'Main Data'!$A$1:$A$1001,0),MATCH('Index&amp;Match'!J631,'Main Data'!$A631:$O631,0))</f>
        <v>31</v>
      </c>
      <c r="K632" s="11">
        <f>INDEX('Main Data'!$A$1:$O$1001,MATCH('Index&amp;Match'!$A632,'Main Data'!$A$1:$A$1001,0),MATCH('Index&amp;Match'!K631,'Main Data'!$A631:$O631,0))</f>
        <v>25944.16</v>
      </c>
      <c r="L632" s="11">
        <f>INDEX('Main Data'!$A$1:$O$1001,MATCH('Index&amp;Match'!$A632,'Main Data'!$A$1:$A$1001,0),MATCH('Index&amp;Match'!L631,'Main Data'!$A631:$O631,0))</f>
        <v>487.71</v>
      </c>
      <c r="M632" s="11">
        <f>INDEX('Main Data'!$A$1:$O$1001,MATCH('Index&amp;Match'!$A632,'Main Data'!$A$1:$A$1001,0),MATCH('Index&amp;Match'!M631,'Main Data'!$A631:$O631,0))</f>
        <v>136.21</v>
      </c>
      <c r="N632" s="2" t="str">
        <f>INDEX('Main Data'!$A$1:$O$1001,MATCH('Index&amp;Match'!$A632,'Main Data'!$A$1:$A$1001,0),MATCH('Index&amp;Match'!N631,'Main Data'!$A631:$O631,0))</f>
        <v>No</v>
      </c>
      <c r="O632" s="2">
        <f>INDEX('Main Data'!$A$1:$O$1001,MATCH('Index&amp;Match'!$A632,'Main Data'!$A$1:$A$1001,0),MATCH('Index&amp;Match'!O631,'Main Data'!$A631:$O631,0))</f>
        <v>31</v>
      </c>
    </row>
    <row r="633" spans="1:15" x14ac:dyDescent="0.3">
      <c r="A633" s="2" t="s">
        <v>690</v>
      </c>
      <c r="B633" s="1">
        <f>INDEX('Main Data'!$A$1:$O$1001,MATCH('Index&amp;Match'!$A633,'Main Data'!$A$1:$A$1001,0),MATCH('Index&amp;Match'!B632,'Main Data'!$A632:$O632,0))</f>
        <v>45919</v>
      </c>
      <c r="C633" s="2" t="str">
        <f>INDEX('Main Data'!$A$1:$O$1001,MATCH('Index&amp;Match'!$A633,'Main Data'!$A$1:$A$1001,0),MATCH('Index&amp;Match'!C632,'Main Data'!$A632:$O632,0))</f>
        <v>Morgan</v>
      </c>
      <c r="D633" s="2" t="str">
        <f>INDEX('Main Data'!$A$1:$O$1001,MATCH('Index&amp;Match'!$A633,'Main Data'!$A$1:$A$1001,0),MATCH('Index&amp;Match'!D632,'Main Data'!$A632:$O632,0))</f>
        <v>BR-007</v>
      </c>
      <c r="E633" s="2" t="str">
        <f>INDEX('Main Data'!$A$1:$O$1001,MATCH('Index&amp;Match'!$A633,'Main Data'!$A$1:$A$1001,0),MATCH('Index&amp;Match'!E632,'Main Data'!$A632:$O632,0))</f>
        <v>East</v>
      </c>
      <c r="F633" s="2" t="str">
        <f>INDEX('Main Data'!$A$1:$O$1001,MATCH('Index&amp;Match'!$A633,'Main Data'!$A$1:$A$1001,0),MATCH('Index&amp;Match'!F632,'Main Data'!$A632:$O632,0))</f>
        <v>Wealth Management</v>
      </c>
      <c r="G633" s="2" t="str">
        <f>INDEX('Main Data'!$A$1:$O$1001,MATCH('Index&amp;Match'!$A633,'Main Data'!$A$1:$A$1001,0),MATCH('Index&amp;Match'!G632,'Main Data'!$A632:$O632,0))</f>
        <v>Social Media</v>
      </c>
      <c r="H633" s="2" t="str">
        <f>INDEX('Main Data'!$A$1:$O$1001,MATCH('Index&amp;Match'!$A633,'Main Data'!$A$1:$A$1001,0),MATCH('Index&amp;Match'!H632,'Main Data'!$A632:$O632,0))</f>
        <v>High Net Worth</v>
      </c>
      <c r="I633" s="2">
        <f>INDEX('Main Data'!$A$1:$O$1001,MATCH('Index&amp;Match'!$A633,'Main Data'!$A$1:$A$1001,0),MATCH('Index&amp;Match'!I632,'Main Data'!$A632:$O632,0))</f>
        <v>48</v>
      </c>
      <c r="J633" s="2">
        <f>INDEX('Main Data'!$A$1:$O$1001,MATCH('Index&amp;Match'!$A633,'Main Data'!$A$1:$A$1001,0),MATCH('Index&amp;Match'!J632,'Main Data'!$A632:$O632,0))</f>
        <v>48</v>
      </c>
      <c r="K633" s="11">
        <f>INDEX('Main Data'!$A$1:$O$1001,MATCH('Index&amp;Match'!$A633,'Main Data'!$A$1:$A$1001,0),MATCH('Index&amp;Match'!K632,'Main Data'!$A632:$O632,0))</f>
        <v>30484.81</v>
      </c>
      <c r="L633" s="11">
        <f>INDEX('Main Data'!$A$1:$O$1001,MATCH('Index&amp;Match'!$A633,'Main Data'!$A$1:$A$1001,0),MATCH('Index&amp;Match'!L632,'Main Data'!$A632:$O632,0))</f>
        <v>178.63</v>
      </c>
      <c r="M633" s="11">
        <f>INDEX('Main Data'!$A$1:$O$1001,MATCH('Index&amp;Match'!$A633,'Main Data'!$A$1:$A$1001,0),MATCH('Index&amp;Match'!M632,'Main Data'!$A632:$O632,0))</f>
        <v>111.87</v>
      </c>
      <c r="N633" s="2" t="str">
        <f>INDEX('Main Data'!$A$1:$O$1001,MATCH('Index&amp;Match'!$A633,'Main Data'!$A$1:$A$1001,0),MATCH('Index&amp;Match'!N632,'Main Data'!$A632:$O632,0))</f>
        <v>No</v>
      </c>
      <c r="O633" s="2">
        <f>INDEX('Main Data'!$A$1:$O$1001,MATCH('Index&amp;Match'!$A633,'Main Data'!$A$1:$A$1001,0),MATCH('Index&amp;Match'!O632,'Main Data'!$A632:$O632,0))</f>
        <v>48</v>
      </c>
    </row>
    <row r="634" spans="1:15" x14ac:dyDescent="0.3">
      <c r="A634" s="2" t="s">
        <v>691</v>
      </c>
      <c r="B634" s="1">
        <f>INDEX('Main Data'!$A$1:$O$1001,MATCH('Index&amp;Match'!$A634,'Main Data'!$A$1:$A$1001,0),MATCH('Index&amp;Match'!B633,'Main Data'!$A633:$O633,0))</f>
        <v>46021</v>
      </c>
      <c r="C634" s="2" t="str">
        <f>INDEX('Main Data'!$A$1:$O$1001,MATCH('Index&amp;Match'!$A634,'Main Data'!$A$1:$A$1001,0),MATCH('Index&amp;Match'!C633,'Main Data'!$A633:$O633,0))</f>
        <v>Casey</v>
      </c>
      <c r="D634" s="2" t="str">
        <f>INDEX('Main Data'!$A$1:$O$1001,MATCH('Index&amp;Match'!$A634,'Main Data'!$A$1:$A$1001,0),MATCH('Index&amp;Match'!D633,'Main Data'!$A633:$O633,0))</f>
        <v>BR-002</v>
      </c>
      <c r="E634" s="2" t="str">
        <f>INDEX('Main Data'!$A$1:$O$1001,MATCH('Index&amp;Match'!$A634,'Main Data'!$A$1:$A$1001,0),MATCH('Index&amp;Match'!E633,'Main Data'!$A633:$O633,0))</f>
        <v>Central</v>
      </c>
      <c r="F634" s="2" t="str">
        <f>INDEX('Main Data'!$A$1:$O$1001,MATCH('Index&amp;Match'!$A634,'Main Data'!$A$1:$A$1001,0),MATCH('Index&amp;Match'!F633,'Main Data'!$A633:$O633,0))</f>
        <v>Mortgage</v>
      </c>
      <c r="G634" s="2" t="str">
        <f>INDEX('Main Data'!$A$1:$O$1001,MATCH('Index&amp;Match'!$A634,'Main Data'!$A$1:$A$1001,0),MATCH('Index&amp;Match'!G633,'Main Data'!$A633:$O633,0))</f>
        <v>Email Campaign</v>
      </c>
      <c r="H634" s="2" t="str">
        <f>INDEX('Main Data'!$A$1:$O$1001,MATCH('Index&amp;Match'!$A634,'Main Data'!$A$1:$A$1001,0),MATCH('Index&amp;Match'!H633,'Main Data'!$A633:$O633,0))</f>
        <v>Retail</v>
      </c>
      <c r="I634" s="2">
        <f>INDEX('Main Data'!$A$1:$O$1001,MATCH('Index&amp;Match'!$A634,'Main Data'!$A$1:$A$1001,0),MATCH('Index&amp;Match'!I633,'Main Data'!$A633:$O633,0))</f>
        <v>74</v>
      </c>
      <c r="J634" s="2">
        <f>INDEX('Main Data'!$A$1:$O$1001,MATCH('Index&amp;Match'!$A634,'Main Data'!$A$1:$A$1001,0),MATCH('Index&amp;Match'!J633,'Main Data'!$A633:$O633,0))</f>
        <v>74</v>
      </c>
      <c r="K634" s="11">
        <f>INDEX('Main Data'!$A$1:$O$1001,MATCH('Index&amp;Match'!$A634,'Main Data'!$A$1:$A$1001,0),MATCH('Index&amp;Match'!K633,'Main Data'!$A633:$O633,0))</f>
        <v>31778.07</v>
      </c>
      <c r="L634" s="11">
        <f>INDEX('Main Data'!$A$1:$O$1001,MATCH('Index&amp;Match'!$A634,'Main Data'!$A$1:$A$1001,0),MATCH('Index&amp;Match'!L633,'Main Data'!$A633:$O633,0))</f>
        <v>82</v>
      </c>
      <c r="M634" s="11">
        <f>INDEX('Main Data'!$A$1:$O$1001,MATCH('Index&amp;Match'!$A634,'Main Data'!$A$1:$A$1001,0),MATCH('Index&amp;Match'!M633,'Main Data'!$A633:$O633,0))</f>
        <v>29.11</v>
      </c>
      <c r="N634" s="2" t="str">
        <f>INDEX('Main Data'!$A$1:$O$1001,MATCH('Index&amp;Match'!$A634,'Main Data'!$A$1:$A$1001,0),MATCH('Index&amp;Match'!N633,'Main Data'!$A633:$O633,0))</f>
        <v>Yes</v>
      </c>
      <c r="O634" s="2">
        <f>INDEX('Main Data'!$A$1:$O$1001,MATCH('Index&amp;Match'!$A634,'Main Data'!$A$1:$A$1001,0),MATCH('Index&amp;Match'!O633,'Main Data'!$A633:$O633,0))</f>
        <v>74</v>
      </c>
    </row>
    <row r="635" spans="1:15" x14ac:dyDescent="0.3">
      <c r="A635" s="2" t="s">
        <v>692</v>
      </c>
      <c r="B635" s="1">
        <f>INDEX('Main Data'!$A$1:$O$1001,MATCH('Index&amp;Match'!$A635,'Main Data'!$A$1:$A$1001,0),MATCH('Index&amp;Match'!B634,'Main Data'!$A634:$O634,0))</f>
        <v>46026</v>
      </c>
      <c r="C635" s="2" t="str">
        <f>INDEX('Main Data'!$A$1:$O$1001,MATCH('Index&amp;Match'!$A635,'Main Data'!$A$1:$A$1001,0),MATCH('Index&amp;Match'!C634,'Main Data'!$A634:$O634,0))</f>
        <v>Alex</v>
      </c>
      <c r="D635" s="2" t="str">
        <f>INDEX('Main Data'!$A$1:$O$1001,MATCH('Index&amp;Match'!$A635,'Main Data'!$A$1:$A$1001,0),MATCH('Index&amp;Match'!D634,'Main Data'!$A634:$O634,0))</f>
        <v>BR-011</v>
      </c>
      <c r="E635" s="2" t="str">
        <f>INDEX('Main Data'!$A$1:$O$1001,MATCH('Index&amp;Match'!$A635,'Main Data'!$A$1:$A$1001,0),MATCH('Index&amp;Match'!E634,'Main Data'!$A634:$O634,0))</f>
        <v>West</v>
      </c>
      <c r="F635" s="2" t="str">
        <f>INDEX('Main Data'!$A$1:$O$1001,MATCH('Index&amp;Match'!$A635,'Main Data'!$A$1:$A$1001,0),MATCH('Index&amp;Match'!F634,'Main Data'!$A634:$O634,0))</f>
        <v>Mortgage</v>
      </c>
      <c r="G635" s="2" t="str">
        <f>INDEX('Main Data'!$A$1:$O$1001,MATCH('Index&amp;Match'!$A635,'Main Data'!$A$1:$A$1001,0),MATCH('Index&amp;Match'!G634,'Main Data'!$A634:$O634,0))</f>
        <v>Walk-in</v>
      </c>
      <c r="H635" s="2" t="str">
        <f>INDEX('Main Data'!$A$1:$O$1001,MATCH('Index&amp;Match'!$A635,'Main Data'!$A$1:$A$1001,0),MATCH('Index&amp;Match'!H634,'Main Data'!$A634:$O634,0))</f>
        <v>Retail</v>
      </c>
      <c r="I635" s="2">
        <f>INDEX('Main Data'!$A$1:$O$1001,MATCH('Index&amp;Match'!$A635,'Main Data'!$A$1:$A$1001,0),MATCH('Index&amp;Match'!I634,'Main Data'!$A634:$O634,0))</f>
        <v>61</v>
      </c>
      <c r="J635" s="2">
        <f>INDEX('Main Data'!$A$1:$O$1001,MATCH('Index&amp;Match'!$A635,'Main Data'!$A$1:$A$1001,0),MATCH('Index&amp;Match'!J634,'Main Data'!$A634:$O634,0))</f>
        <v>61</v>
      </c>
      <c r="K635" s="11">
        <f>INDEX('Main Data'!$A$1:$O$1001,MATCH('Index&amp;Match'!$A635,'Main Data'!$A$1:$A$1001,0),MATCH('Index&amp;Match'!K634,'Main Data'!$A634:$O634,0))</f>
        <v>26588.98</v>
      </c>
      <c r="L635" s="11">
        <f>INDEX('Main Data'!$A$1:$O$1001,MATCH('Index&amp;Match'!$A635,'Main Data'!$A$1:$A$1001,0),MATCH('Index&amp;Match'!L634,'Main Data'!$A634:$O634,0))</f>
        <v>205.55</v>
      </c>
      <c r="M635" s="11">
        <f>INDEX('Main Data'!$A$1:$O$1001,MATCH('Index&amp;Match'!$A635,'Main Data'!$A$1:$A$1001,0),MATCH('Index&amp;Match'!M634,'Main Data'!$A634:$O634,0))</f>
        <v>81.22</v>
      </c>
      <c r="N635" s="2" t="str">
        <f>INDEX('Main Data'!$A$1:$O$1001,MATCH('Index&amp;Match'!$A635,'Main Data'!$A$1:$A$1001,0),MATCH('Index&amp;Match'!N634,'Main Data'!$A634:$O634,0))</f>
        <v>Yes</v>
      </c>
      <c r="O635" s="2">
        <f>INDEX('Main Data'!$A$1:$O$1001,MATCH('Index&amp;Match'!$A635,'Main Data'!$A$1:$A$1001,0),MATCH('Index&amp;Match'!O634,'Main Data'!$A634:$O634,0))</f>
        <v>61</v>
      </c>
    </row>
    <row r="636" spans="1:15" x14ac:dyDescent="0.3">
      <c r="A636" s="2" t="s">
        <v>693</v>
      </c>
      <c r="B636" s="1">
        <f>INDEX('Main Data'!$A$1:$O$1001,MATCH('Index&amp;Match'!$A636,'Main Data'!$A$1:$A$1001,0),MATCH('Index&amp;Match'!B635,'Main Data'!$A635:$O635,0))</f>
        <v>46156</v>
      </c>
      <c r="C636" s="2" t="str">
        <f>INDEX('Main Data'!$A$1:$O$1001,MATCH('Index&amp;Match'!$A636,'Main Data'!$A$1:$A$1001,0),MATCH('Index&amp;Match'!C635,'Main Data'!$A635:$O635,0))</f>
        <v>Jordan</v>
      </c>
      <c r="D636" s="2" t="str">
        <f>INDEX('Main Data'!$A$1:$O$1001,MATCH('Index&amp;Match'!$A636,'Main Data'!$A$1:$A$1001,0),MATCH('Index&amp;Match'!D635,'Main Data'!$A635:$O635,0))</f>
        <v>BR-002</v>
      </c>
      <c r="E636" s="2" t="str">
        <f>INDEX('Main Data'!$A$1:$O$1001,MATCH('Index&amp;Match'!$A636,'Main Data'!$A$1:$A$1001,0),MATCH('Index&amp;Match'!E635,'Main Data'!$A635:$O635,0))</f>
        <v>North</v>
      </c>
      <c r="F636" s="2" t="str">
        <f>INDEX('Main Data'!$A$1:$O$1001,MATCH('Index&amp;Match'!$A636,'Main Data'!$A$1:$A$1001,0),MATCH('Index&amp;Match'!F635,'Main Data'!$A635:$O635,0))</f>
        <v>Mortgage</v>
      </c>
      <c r="G636" s="2" t="str">
        <f>INDEX('Main Data'!$A$1:$O$1001,MATCH('Index&amp;Match'!$A636,'Main Data'!$A$1:$A$1001,0),MATCH('Index&amp;Match'!G635,'Main Data'!$A635:$O635,0))</f>
        <v>Walk-in</v>
      </c>
      <c r="H636" s="2" t="str">
        <f>INDEX('Main Data'!$A$1:$O$1001,MATCH('Index&amp;Match'!$A636,'Main Data'!$A$1:$A$1001,0),MATCH('Index&amp;Match'!H635,'Main Data'!$A635:$O635,0))</f>
        <v>Corporate</v>
      </c>
      <c r="I636" s="2">
        <f>INDEX('Main Data'!$A$1:$O$1001,MATCH('Index&amp;Match'!$A636,'Main Data'!$A$1:$A$1001,0),MATCH('Index&amp;Match'!I635,'Main Data'!$A635:$O635,0))</f>
        <v>43</v>
      </c>
      <c r="J636" s="2">
        <f>INDEX('Main Data'!$A$1:$O$1001,MATCH('Index&amp;Match'!$A636,'Main Data'!$A$1:$A$1001,0),MATCH('Index&amp;Match'!J635,'Main Data'!$A635:$O635,0))</f>
        <v>43</v>
      </c>
      <c r="K636" s="11">
        <f>INDEX('Main Data'!$A$1:$O$1001,MATCH('Index&amp;Match'!$A636,'Main Data'!$A$1:$A$1001,0),MATCH('Index&amp;Match'!K635,'Main Data'!$A635:$O635,0))</f>
        <v>29335.42</v>
      </c>
      <c r="L636" s="11">
        <f>INDEX('Main Data'!$A$1:$O$1001,MATCH('Index&amp;Match'!$A636,'Main Data'!$A$1:$A$1001,0),MATCH('Index&amp;Match'!L635,'Main Data'!$A635:$O635,0))</f>
        <v>384.48</v>
      </c>
      <c r="M636" s="11">
        <f>INDEX('Main Data'!$A$1:$O$1001,MATCH('Index&amp;Match'!$A636,'Main Data'!$A$1:$A$1001,0),MATCH('Index&amp;Match'!M635,'Main Data'!$A635:$O635,0))</f>
        <v>22.53</v>
      </c>
      <c r="N636" s="2" t="str">
        <f>INDEX('Main Data'!$A$1:$O$1001,MATCH('Index&amp;Match'!$A636,'Main Data'!$A$1:$A$1001,0),MATCH('Index&amp;Match'!N635,'Main Data'!$A635:$O635,0))</f>
        <v>Yes</v>
      </c>
      <c r="O636" s="2">
        <f>INDEX('Main Data'!$A$1:$O$1001,MATCH('Index&amp;Match'!$A636,'Main Data'!$A$1:$A$1001,0),MATCH('Index&amp;Match'!O635,'Main Data'!$A635:$O635,0))</f>
        <v>43</v>
      </c>
    </row>
    <row r="637" spans="1:15" x14ac:dyDescent="0.3">
      <c r="A637" s="2" t="s">
        <v>694</v>
      </c>
      <c r="B637" s="1">
        <f>INDEX('Main Data'!$A$1:$O$1001,MATCH('Index&amp;Match'!$A637,'Main Data'!$A$1:$A$1001,0),MATCH('Index&amp;Match'!B636,'Main Data'!$A636:$O636,0))</f>
        <v>46118</v>
      </c>
      <c r="C637" s="2" t="str">
        <f>INDEX('Main Data'!$A$1:$O$1001,MATCH('Index&amp;Match'!$A637,'Main Data'!$A$1:$A$1001,0),MATCH('Index&amp;Match'!C636,'Main Data'!$A636:$O636,0))</f>
        <v>Jordan</v>
      </c>
      <c r="D637" s="2" t="str">
        <f>INDEX('Main Data'!$A$1:$O$1001,MATCH('Index&amp;Match'!$A637,'Main Data'!$A$1:$A$1001,0),MATCH('Index&amp;Match'!D636,'Main Data'!$A636:$O636,0))</f>
        <v>BR-011</v>
      </c>
      <c r="E637" s="2" t="str">
        <f>INDEX('Main Data'!$A$1:$O$1001,MATCH('Index&amp;Match'!$A637,'Main Data'!$A$1:$A$1001,0),MATCH('Index&amp;Match'!E636,'Main Data'!$A636:$O636,0))</f>
        <v>West</v>
      </c>
      <c r="F637" s="2" t="str">
        <f>INDEX('Main Data'!$A$1:$O$1001,MATCH('Index&amp;Match'!$A637,'Main Data'!$A$1:$A$1001,0),MATCH('Index&amp;Match'!F636,'Main Data'!$A636:$O636,0))</f>
        <v>Wealth Management</v>
      </c>
      <c r="G637" s="2" t="str">
        <f>INDEX('Main Data'!$A$1:$O$1001,MATCH('Index&amp;Match'!$A637,'Main Data'!$A$1:$A$1001,0),MATCH('Index&amp;Match'!G636,'Main Data'!$A636:$O636,0))</f>
        <v>Social Media</v>
      </c>
      <c r="H637" s="2" t="str">
        <f>INDEX('Main Data'!$A$1:$O$1001,MATCH('Index&amp;Match'!$A637,'Main Data'!$A$1:$A$1001,0),MATCH('Index&amp;Match'!H636,'Main Data'!$A636:$O636,0))</f>
        <v>SME</v>
      </c>
      <c r="I637" s="2">
        <f>INDEX('Main Data'!$A$1:$O$1001,MATCH('Index&amp;Match'!$A637,'Main Data'!$A$1:$A$1001,0),MATCH('Index&amp;Match'!I636,'Main Data'!$A636:$O636,0))</f>
        <v>65</v>
      </c>
      <c r="J637" s="2">
        <f>INDEX('Main Data'!$A$1:$O$1001,MATCH('Index&amp;Match'!$A637,'Main Data'!$A$1:$A$1001,0),MATCH('Index&amp;Match'!J636,'Main Data'!$A636:$O636,0))</f>
        <v>65</v>
      </c>
      <c r="K637" s="11">
        <f>INDEX('Main Data'!$A$1:$O$1001,MATCH('Index&amp;Match'!$A637,'Main Data'!$A$1:$A$1001,0),MATCH('Index&amp;Match'!K636,'Main Data'!$A636:$O636,0))</f>
        <v>34347.519999999997</v>
      </c>
      <c r="L637" s="11">
        <f>INDEX('Main Data'!$A$1:$O$1001,MATCH('Index&amp;Match'!$A637,'Main Data'!$A$1:$A$1001,0),MATCH('Index&amp;Match'!L636,'Main Data'!$A636:$O636,0))</f>
        <v>247.15</v>
      </c>
      <c r="M637" s="11">
        <f>INDEX('Main Data'!$A$1:$O$1001,MATCH('Index&amp;Match'!$A637,'Main Data'!$A$1:$A$1001,0),MATCH('Index&amp;Match'!M636,'Main Data'!$A636:$O636,0))</f>
        <v>115.38</v>
      </c>
      <c r="N637" s="2" t="str">
        <f>INDEX('Main Data'!$A$1:$O$1001,MATCH('Index&amp;Match'!$A637,'Main Data'!$A$1:$A$1001,0),MATCH('Index&amp;Match'!N636,'Main Data'!$A636:$O636,0))</f>
        <v>Yes</v>
      </c>
      <c r="O637" s="2">
        <f>INDEX('Main Data'!$A$1:$O$1001,MATCH('Index&amp;Match'!$A637,'Main Data'!$A$1:$A$1001,0),MATCH('Index&amp;Match'!O636,'Main Data'!$A636:$O636,0))</f>
        <v>65</v>
      </c>
    </row>
    <row r="638" spans="1:15" x14ac:dyDescent="0.3">
      <c r="A638" s="2" t="s">
        <v>695</v>
      </c>
      <c r="B638" s="1">
        <f>INDEX('Main Data'!$A$1:$O$1001,MATCH('Index&amp;Match'!$A638,'Main Data'!$A$1:$A$1001,0),MATCH('Index&amp;Match'!B637,'Main Data'!$A637:$O637,0))</f>
        <v>46136</v>
      </c>
      <c r="C638" s="2" t="str">
        <f>INDEX('Main Data'!$A$1:$O$1001,MATCH('Index&amp;Match'!$A638,'Main Data'!$A$1:$A$1001,0),MATCH('Index&amp;Match'!C637,'Main Data'!$A637:$O637,0))</f>
        <v>Alex</v>
      </c>
      <c r="D638" s="2" t="str">
        <f>INDEX('Main Data'!$A$1:$O$1001,MATCH('Index&amp;Match'!$A638,'Main Data'!$A$1:$A$1001,0),MATCH('Index&amp;Match'!D637,'Main Data'!$A637:$O637,0))</f>
        <v>BR-001</v>
      </c>
      <c r="E638" s="2" t="str">
        <f>INDEX('Main Data'!$A$1:$O$1001,MATCH('Index&amp;Match'!$A638,'Main Data'!$A$1:$A$1001,0),MATCH('Index&amp;Match'!E637,'Main Data'!$A637:$O637,0))</f>
        <v>East</v>
      </c>
      <c r="F638" s="2" t="str">
        <f>INDEX('Main Data'!$A$1:$O$1001,MATCH('Index&amp;Match'!$A638,'Main Data'!$A$1:$A$1001,0),MATCH('Index&amp;Match'!F637,'Main Data'!$A637:$O637,0))</f>
        <v>Wealth Management</v>
      </c>
      <c r="G638" s="2" t="str">
        <f>INDEX('Main Data'!$A$1:$O$1001,MATCH('Index&amp;Match'!$A638,'Main Data'!$A$1:$A$1001,0),MATCH('Index&amp;Match'!G637,'Main Data'!$A637:$O637,0))</f>
        <v>Email Campaign</v>
      </c>
      <c r="H638" s="2" t="str">
        <f>INDEX('Main Data'!$A$1:$O$1001,MATCH('Index&amp;Match'!$A638,'Main Data'!$A$1:$A$1001,0),MATCH('Index&amp;Match'!H637,'Main Data'!$A637:$O637,0))</f>
        <v>Corporate</v>
      </c>
      <c r="I638" s="2">
        <f>INDEX('Main Data'!$A$1:$O$1001,MATCH('Index&amp;Match'!$A638,'Main Data'!$A$1:$A$1001,0),MATCH('Index&amp;Match'!I637,'Main Data'!$A637:$O637,0))</f>
        <v>43</v>
      </c>
      <c r="J638" s="2">
        <f>INDEX('Main Data'!$A$1:$O$1001,MATCH('Index&amp;Match'!$A638,'Main Data'!$A$1:$A$1001,0),MATCH('Index&amp;Match'!J637,'Main Data'!$A637:$O637,0))</f>
        <v>43</v>
      </c>
      <c r="K638" s="11">
        <f>INDEX('Main Data'!$A$1:$O$1001,MATCH('Index&amp;Match'!$A638,'Main Data'!$A$1:$A$1001,0),MATCH('Index&amp;Match'!K637,'Main Data'!$A637:$O637,0))</f>
        <v>37779.379999999997</v>
      </c>
      <c r="L638" s="11">
        <f>INDEX('Main Data'!$A$1:$O$1001,MATCH('Index&amp;Match'!$A638,'Main Data'!$A$1:$A$1001,0),MATCH('Index&amp;Match'!L637,'Main Data'!$A637:$O637,0))</f>
        <v>418</v>
      </c>
      <c r="M638" s="11">
        <f>INDEX('Main Data'!$A$1:$O$1001,MATCH('Index&amp;Match'!$A638,'Main Data'!$A$1:$A$1001,0),MATCH('Index&amp;Match'!M637,'Main Data'!$A637:$O637,0))</f>
        <v>8.19</v>
      </c>
      <c r="N638" s="2" t="str">
        <f>INDEX('Main Data'!$A$1:$O$1001,MATCH('Index&amp;Match'!$A638,'Main Data'!$A$1:$A$1001,0),MATCH('Index&amp;Match'!N637,'Main Data'!$A637:$O637,0))</f>
        <v>Yes</v>
      </c>
      <c r="O638" s="2">
        <f>INDEX('Main Data'!$A$1:$O$1001,MATCH('Index&amp;Match'!$A638,'Main Data'!$A$1:$A$1001,0),MATCH('Index&amp;Match'!O637,'Main Data'!$A637:$O637,0))</f>
        <v>43</v>
      </c>
    </row>
    <row r="639" spans="1:15" x14ac:dyDescent="0.3">
      <c r="A639" s="2" t="s">
        <v>696</v>
      </c>
      <c r="B639" s="1">
        <f>INDEX('Main Data'!$A$1:$O$1001,MATCH('Index&amp;Match'!$A639,'Main Data'!$A$1:$A$1001,0),MATCH('Index&amp;Match'!B638,'Main Data'!$A638:$O638,0))</f>
        <v>46112</v>
      </c>
      <c r="C639" s="2" t="str">
        <f>INDEX('Main Data'!$A$1:$O$1001,MATCH('Index&amp;Match'!$A639,'Main Data'!$A$1:$A$1001,0),MATCH('Index&amp;Match'!C638,'Main Data'!$A638:$O638,0))</f>
        <v>Jamie</v>
      </c>
      <c r="D639" s="2" t="str">
        <f>INDEX('Main Data'!$A$1:$O$1001,MATCH('Index&amp;Match'!$A639,'Main Data'!$A$1:$A$1001,0),MATCH('Index&amp;Match'!D638,'Main Data'!$A638:$O638,0))</f>
        <v>BR-011</v>
      </c>
      <c r="E639" s="2" t="str">
        <f>INDEX('Main Data'!$A$1:$O$1001,MATCH('Index&amp;Match'!$A639,'Main Data'!$A$1:$A$1001,0),MATCH('Index&amp;Match'!E638,'Main Data'!$A638:$O638,0))</f>
        <v>East</v>
      </c>
      <c r="F639" s="2" t="str">
        <f>INDEX('Main Data'!$A$1:$O$1001,MATCH('Index&amp;Match'!$A639,'Main Data'!$A$1:$A$1001,0),MATCH('Index&amp;Match'!F638,'Main Data'!$A638:$O638,0))</f>
        <v>Credit Card</v>
      </c>
      <c r="G639" s="2" t="str">
        <f>INDEX('Main Data'!$A$1:$O$1001,MATCH('Index&amp;Match'!$A639,'Main Data'!$A$1:$A$1001,0),MATCH('Index&amp;Match'!G638,'Main Data'!$A638:$O638,0))</f>
        <v>Walk-in</v>
      </c>
      <c r="H639" s="2" t="str">
        <f>INDEX('Main Data'!$A$1:$O$1001,MATCH('Index&amp;Match'!$A639,'Main Data'!$A$1:$A$1001,0),MATCH('Index&amp;Match'!H638,'Main Data'!$A638:$O638,0))</f>
        <v>High Net Worth</v>
      </c>
      <c r="I639" s="2">
        <f>INDEX('Main Data'!$A$1:$O$1001,MATCH('Index&amp;Match'!$A639,'Main Data'!$A$1:$A$1001,0),MATCH('Index&amp;Match'!I638,'Main Data'!$A638:$O638,0))</f>
        <v>70</v>
      </c>
      <c r="J639" s="2">
        <f>INDEX('Main Data'!$A$1:$O$1001,MATCH('Index&amp;Match'!$A639,'Main Data'!$A$1:$A$1001,0),MATCH('Index&amp;Match'!J638,'Main Data'!$A638:$O638,0))</f>
        <v>70</v>
      </c>
      <c r="K639" s="11">
        <f>INDEX('Main Data'!$A$1:$O$1001,MATCH('Index&amp;Match'!$A639,'Main Data'!$A$1:$A$1001,0),MATCH('Index&amp;Match'!K638,'Main Data'!$A638:$O638,0))</f>
        <v>36508.89</v>
      </c>
      <c r="L639" s="11">
        <f>INDEX('Main Data'!$A$1:$O$1001,MATCH('Index&amp;Match'!$A639,'Main Data'!$A$1:$A$1001,0),MATCH('Index&amp;Match'!L638,'Main Data'!$A638:$O638,0))</f>
        <v>297.2</v>
      </c>
      <c r="M639" s="11">
        <f>INDEX('Main Data'!$A$1:$O$1001,MATCH('Index&amp;Match'!$A639,'Main Data'!$A$1:$A$1001,0),MATCH('Index&amp;Match'!M638,'Main Data'!$A638:$O638,0))</f>
        <v>158.19</v>
      </c>
      <c r="N639" s="2" t="str">
        <f>INDEX('Main Data'!$A$1:$O$1001,MATCH('Index&amp;Match'!$A639,'Main Data'!$A$1:$A$1001,0),MATCH('Index&amp;Match'!N638,'Main Data'!$A638:$O638,0))</f>
        <v>No</v>
      </c>
      <c r="O639" s="2">
        <f>INDEX('Main Data'!$A$1:$O$1001,MATCH('Index&amp;Match'!$A639,'Main Data'!$A$1:$A$1001,0),MATCH('Index&amp;Match'!O638,'Main Data'!$A638:$O638,0))</f>
        <v>70</v>
      </c>
    </row>
    <row r="640" spans="1:15" x14ac:dyDescent="0.3">
      <c r="A640" s="2" t="s">
        <v>697</v>
      </c>
      <c r="B640" s="1">
        <f>INDEX('Main Data'!$A$1:$O$1001,MATCH('Index&amp;Match'!$A640,'Main Data'!$A$1:$A$1001,0),MATCH('Index&amp;Match'!B639,'Main Data'!$A639:$O639,0))</f>
        <v>45953</v>
      </c>
      <c r="C640" s="2" t="str">
        <f>INDEX('Main Data'!$A$1:$O$1001,MATCH('Index&amp;Match'!$A640,'Main Data'!$A$1:$A$1001,0),MATCH('Index&amp;Match'!C639,'Main Data'!$A639:$O639,0))</f>
        <v>Jordan</v>
      </c>
      <c r="D640" s="2" t="str">
        <f>INDEX('Main Data'!$A$1:$O$1001,MATCH('Index&amp;Match'!$A640,'Main Data'!$A$1:$A$1001,0),MATCH('Index&amp;Match'!D639,'Main Data'!$A639:$O639,0))</f>
        <v>BR-011</v>
      </c>
      <c r="E640" s="2" t="str">
        <f>INDEX('Main Data'!$A$1:$O$1001,MATCH('Index&amp;Match'!$A640,'Main Data'!$A$1:$A$1001,0),MATCH('Index&amp;Match'!E639,'Main Data'!$A639:$O639,0))</f>
        <v>West</v>
      </c>
      <c r="F640" s="2" t="str">
        <f>INDEX('Main Data'!$A$1:$O$1001,MATCH('Index&amp;Match'!$A640,'Main Data'!$A$1:$A$1001,0),MATCH('Index&amp;Match'!F639,'Main Data'!$A639:$O639,0))</f>
        <v>Auto Loan</v>
      </c>
      <c r="G640" s="2" t="str">
        <f>INDEX('Main Data'!$A$1:$O$1001,MATCH('Index&amp;Match'!$A640,'Main Data'!$A$1:$A$1001,0),MATCH('Index&amp;Match'!G639,'Main Data'!$A639:$O639,0))</f>
        <v>Walk-in</v>
      </c>
      <c r="H640" s="2" t="str">
        <f>INDEX('Main Data'!$A$1:$O$1001,MATCH('Index&amp;Match'!$A640,'Main Data'!$A$1:$A$1001,0),MATCH('Index&amp;Match'!H639,'Main Data'!$A639:$O639,0))</f>
        <v>Corporate</v>
      </c>
      <c r="I640" s="2">
        <f>INDEX('Main Data'!$A$1:$O$1001,MATCH('Index&amp;Match'!$A640,'Main Data'!$A$1:$A$1001,0),MATCH('Index&amp;Match'!I639,'Main Data'!$A639:$O639,0))</f>
        <v>48</v>
      </c>
      <c r="J640" s="2">
        <f>INDEX('Main Data'!$A$1:$O$1001,MATCH('Index&amp;Match'!$A640,'Main Data'!$A$1:$A$1001,0),MATCH('Index&amp;Match'!J639,'Main Data'!$A639:$O639,0))</f>
        <v>48</v>
      </c>
      <c r="K640" s="11">
        <f>INDEX('Main Data'!$A$1:$O$1001,MATCH('Index&amp;Match'!$A640,'Main Data'!$A$1:$A$1001,0),MATCH('Index&amp;Match'!K639,'Main Data'!$A639:$O639,0))</f>
        <v>43546.01</v>
      </c>
      <c r="L640" s="11">
        <f>INDEX('Main Data'!$A$1:$O$1001,MATCH('Index&amp;Match'!$A640,'Main Data'!$A$1:$A$1001,0),MATCH('Index&amp;Match'!L639,'Main Data'!$A639:$O639,0))</f>
        <v>468.41</v>
      </c>
      <c r="M640" s="11">
        <f>INDEX('Main Data'!$A$1:$O$1001,MATCH('Index&amp;Match'!$A640,'Main Data'!$A$1:$A$1001,0),MATCH('Index&amp;Match'!M639,'Main Data'!$A639:$O639,0))</f>
        <v>177.27</v>
      </c>
      <c r="N640" s="2" t="str">
        <f>INDEX('Main Data'!$A$1:$O$1001,MATCH('Index&amp;Match'!$A640,'Main Data'!$A$1:$A$1001,0),MATCH('Index&amp;Match'!N639,'Main Data'!$A639:$O639,0))</f>
        <v>Yes</v>
      </c>
      <c r="O640" s="2">
        <f>INDEX('Main Data'!$A$1:$O$1001,MATCH('Index&amp;Match'!$A640,'Main Data'!$A$1:$A$1001,0),MATCH('Index&amp;Match'!O639,'Main Data'!$A639:$O639,0))</f>
        <v>48</v>
      </c>
    </row>
    <row r="641" spans="1:15" x14ac:dyDescent="0.3">
      <c r="A641" s="2" t="s">
        <v>698</v>
      </c>
      <c r="B641" s="1">
        <f>INDEX('Main Data'!$A$1:$O$1001,MATCH('Index&amp;Match'!$A641,'Main Data'!$A$1:$A$1001,0),MATCH('Index&amp;Match'!B640,'Main Data'!$A640:$O640,0))</f>
        <v>45924</v>
      </c>
      <c r="C641" s="2" t="str">
        <f>INDEX('Main Data'!$A$1:$O$1001,MATCH('Index&amp;Match'!$A641,'Main Data'!$A$1:$A$1001,0),MATCH('Index&amp;Match'!C640,'Main Data'!$A640:$O640,0))</f>
        <v>Drew</v>
      </c>
      <c r="D641" s="2" t="str">
        <f>INDEX('Main Data'!$A$1:$O$1001,MATCH('Index&amp;Match'!$A641,'Main Data'!$A$1:$A$1001,0),MATCH('Index&amp;Match'!D640,'Main Data'!$A640:$O640,0))</f>
        <v>BR-012</v>
      </c>
      <c r="E641" s="2" t="str">
        <f>INDEX('Main Data'!$A$1:$O$1001,MATCH('Index&amp;Match'!$A641,'Main Data'!$A$1:$A$1001,0),MATCH('Index&amp;Match'!E640,'Main Data'!$A640:$O640,0))</f>
        <v>Central</v>
      </c>
      <c r="F641" s="2" t="str">
        <f>INDEX('Main Data'!$A$1:$O$1001,MATCH('Index&amp;Match'!$A641,'Main Data'!$A$1:$A$1001,0),MATCH('Index&amp;Match'!F640,'Main Data'!$A640:$O640,0))</f>
        <v>Mortgage</v>
      </c>
      <c r="G641" s="2" t="str">
        <f>INDEX('Main Data'!$A$1:$O$1001,MATCH('Index&amp;Match'!$A641,'Main Data'!$A$1:$A$1001,0),MATCH('Index&amp;Match'!G640,'Main Data'!$A640:$O640,0))</f>
        <v>Email Campaign</v>
      </c>
      <c r="H641" s="2" t="str">
        <f>INDEX('Main Data'!$A$1:$O$1001,MATCH('Index&amp;Match'!$A641,'Main Data'!$A$1:$A$1001,0),MATCH('Index&amp;Match'!H640,'Main Data'!$A640:$O640,0))</f>
        <v>Corporate</v>
      </c>
      <c r="I641" s="2">
        <f>INDEX('Main Data'!$A$1:$O$1001,MATCH('Index&amp;Match'!$A641,'Main Data'!$A$1:$A$1001,0),MATCH('Index&amp;Match'!I640,'Main Data'!$A640:$O640,0))</f>
        <v>63</v>
      </c>
      <c r="J641" s="2">
        <f>INDEX('Main Data'!$A$1:$O$1001,MATCH('Index&amp;Match'!$A641,'Main Data'!$A$1:$A$1001,0),MATCH('Index&amp;Match'!J640,'Main Data'!$A640:$O640,0))</f>
        <v>63</v>
      </c>
      <c r="K641" s="11">
        <f>INDEX('Main Data'!$A$1:$O$1001,MATCH('Index&amp;Match'!$A641,'Main Data'!$A$1:$A$1001,0),MATCH('Index&amp;Match'!K640,'Main Data'!$A640:$O640,0))</f>
        <v>9877.4500000000007</v>
      </c>
      <c r="L641" s="11">
        <f>INDEX('Main Data'!$A$1:$O$1001,MATCH('Index&amp;Match'!$A641,'Main Data'!$A$1:$A$1001,0),MATCH('Index&amp;Match'!L640,'Main Data'!$A640:$O640,0))</f>
        <v>476.54</v>
      </c>
      <c r="M641" s="11">
        <f>INDEX('Main Data'!$A$1:$O$1001,MATCH('Index&amp;Match'!$A641,'Main Data'!$A$1:$A$1001,0),MATCH('Index&amp;Match'!M640,'Main Data'!$A640:$O640,0))</f>
        <v>167.57</v>
      </c>
      <c r="N641" s="2" t="str">
        <f>INDEX('Main Data'!$A$1:$O$1001,MATCH('Index&amp;Match'!$A641,'Main Data'!$A$1:$A$1001,0),MATCH('Index&amp;Match'!N640,'Main Data'!$A640:$O640,0))</f>
        <v>No</v>
      </c>
      <c r="O641" s="2">
        <f>INDEX('Main Data'!$A$1:$O$1001,MATCH('Index&amp;Match'!$A641,'Main Data'!$A$1:$A$1001,0),MATCH('Index&amp;Match'!O640,'Main Data'!$A640:$O640,0))</f>
        <v>63</v>
      </c>
    </row>
    <row r="642" spans="1:15" x14ac:dyDescent="0.3">
      <c r="A642" s="2" t="s">
        <v>699</v>
      </c>
      <c r="B642" s="1">
        <f>INDEX('Main Data'!$A$1:$O$1001,MATCH('Index&amp;Match'!$A642,'Main Data'!$A$1:$A$1001,0),MATCH('Index&amp;Match'!B641,'Main Data'!$A641:$O641,0))</f>
        <v>45901</v>
      </c>
      <c r="C642" s="2" t="str">
        <f>INDEX('Main Data'!$A$1:$O$1001,MATCH('Index&amp;Match'!$A642,'Main Data'!$A$1:$A$1001,0),MATCH('Index&amp;Match'!C641,'Main Data'!$A641:$O641,0))</f>
        <v>Sam</v>
      </c>
      <c r="D642" s="2" t="str">
        <f>INDEX('Main Data'!$A$1:$O$1001,MATCH('Index&amp;Match'!$A642,'Main Data'!$A$1:$A$1001,0),MATCH('Index&amp;Match'!D641,'Main Data'!$A641:$O641,0))</f>
        <v>BR-011</v>
      </c>
      <c r="E642" s="2" t="str">
        <f>INDEX('Main Data'!$A$1:$O$1001,MATCH('Index&amp;Match'!$A642,'Main Data'!$A$1:$A$1001,0),MATCH('Index&amp;Match'!E641,'Main Data'!$A641:$O641,0))</f>
        <v>Central</v>
      </c>
      <c r="F642" s="2" t="str">
        <f>INDEX('Main Data'!$A$1:$O$1001,MATCH('Index&amp;Match'!$A642,'Main Data'!$A$1:$A$1001,0),MATCH('Index&amp;Match'!F641,'Main Data'!$A641:$O641,0))</f>
        <v>Auto Loan</v>
      </c>
      <c r="G642" s="2" t="str">
        <f>INDEX('Main Data'!$A$1:$O$1001,MATCH('Index&amp;Match'!$A642,'Main Data'!$A$1:$A$1001,0),MATCH('Index&amp;Match'!G641,'Main Data'!$A641:$O641,0))</f>
        <v>Referral</v>
      </c>
      <c r="H642" s="2" t="str">
        <f>INDEX('Main Data'!$A$1:$O$1001,MATCH('Index&amp;Match'!$A642,'Main Data'!$A$1:$A$1001,0),MATCH('Index&amp;Match'!H641,'Main Data'!$A641:$O641,0))</f>
        <v>High Net Worth</v>
      </c>
      <c r="I642" s="2">
        <f>INDEX('Main Data'!$A$1:$O$1001,MATCH('Index&amp;Match'!$A642,'Main Data'!$A$1:$A$1001,0),MATCH('Index&amp;Match'!I641,'Main Data'!$A641:$O641,0))</f>
        <v>67</v>
      </c>
      <c r="J642" s="2">
        <f>INDEX('Main Data'!$A$1:$O$1001,MATCH('Index&amp;Match'!$A642,'Main Data'!$A$1:$A$1001,0),MATCH('Index&amp;Match'!J641,'Main Data'!$A641:$O641,0))</f>
        <v>67</v>
      </c>
      <c r="K642" s="11">
        <f>INDEX('Main Data'!$A$1:$O$1001,MATCH('Index&amp;Match'!$A642,'Main Data'!$A$1:$A$1001,0),MATCH('Index&amp;Match'!K641,'Main Data'!$A641:$O641,0))</f>
        <v>20356.82</v>
      </c>
      <c r="L642" s="11">
        <f>INDEX('Main Data'!$A$1:$O$1001,MATCH('Index&amp;Match'!$A642,'Main Data'!$A$1:$A$1001,0),MATCH('Index&amp;Match'!L641,'Main Data'!$A641:$O641,0))</f>
        <v>81.19</v>
      </c>
      <c r="M642" s="11">
        <f>INDEX('Main Data'!$A$1:$O$1001,MATCH('Index&amp;Match'!$A642,'Main Data'!$A$1:$A$1001,0),MATCH('Index&amp;Match'!M641,'Main Data'!$A641:$O641,0))</f>
        <v>264.83999999999997</v>
      </c>
      <c r="N642" s="2" t="str">
        <f>INDEX('Main Data'!$A$1:$O$1001,MATCH('Index&amp;Match'!$A642,'Main Data'!$A$1:$A$1001,0),MATCH('Index&amp;Match'!N641,'Main Data'!$A641:$O641,0))</f>
        <v>No</v>
      </c>
      <c r="O642" s="2">
        <f>INDEX('Main Data'!$A$1:$O$1001,MATCH('Index&amp;Match'!$A642,'Main Data'!$A$1:$A$1001,0),MATCH('Index&amp;Match'!O641,'Main Data'!$A641:$O641,0))</f>
        <v>67</v>
      </c>
    </row>
    <row r="643" spans="1:15" x14ac:dyDescent="0.3">
      <c r="A643" s="2" t="s">
        <v>700</v>
      </c>
      <c r="B643" s="1">
        <f>INDEX('Main Data'!$A$1:$O$1001,MATCH('Index&amp;Match'!$A643,'Main Data'!$A$1:$A$1001,0),MATCH('Index&amp;Match'!B642,'Main Data'!$A642:$O642,0))</f>
        <v>45964</v>
      </c>
      <c r="C643" s="2" t="str">
        <f>INDEX('Main Data'!$A$1:$O$1001,MATCH('Index&amp;Match'!$A643,'Main Data'!$A$1:$A$1001,0),MATCH('Index&amp;Match'!C642,'Main Data'!$A642:$O642,0))</f>
        <v>Sam</v>
      </c>
      <c r="D643" s="2" t="str">
        <f>INDEX('Main Data'!$A$1:$O$1001,MATCH('Index&amp;Match'!$A643,'Main Data'!$A$1:$A$1001,0),MATCH('Index&amp;Match'!D642,'Main Data'!$A642:$O642,0))</f>
        <v>BR-003</v>
      </c>
      <c r="E643" s="2" t="str">
        <f>INDEX('Main Data'!$A$1:$O$1001,MATCH('Index&amp;Match'!$A643,'Main Data'!$A$1:$A$1001,0),MATCH('Index&amp;Match'!E642,'Main Data'!$A642:$O642,0))</f>
        <v>East</v>
      </c>
      <c r="F643" s="2" t="str">
        <f>INDEX('Main Data'!$A$1:$O$1001,MATCH('Index&amp;Match'!$A643,'Main Data'!$A$1:$A$1001,0),MATCH('Index&amp;Match'!F642,'Main Data'!$A642:$O642,0))</f>
        <v>Wealth Management</v>
      </c>
      <c r="G643" s="2" t="str">
        <f>INDEX('Main Data'!$A$1:$O$1001,MATCH('Index&amp;Match'!$A643,'Main Data'!$A$1:$A$1001,0),MATCH('Index&amp;Match'!G642,'Main Data'!$A642:$O642,0))</f>
        <v>Walk-in</v>
      </c>
      <c r="H643" s="2" t="str">
        <f>INDEX('Main Data'!$A$1:$O$1001,MATCH('Index&amp;Match'!$A643,'Main Data'!$A$1:$A$1001,0),MATCH('Index&amp;Match'!H642,'Main Data'!$A642:$O642,0))</f>
        <v>Corporate</v>
      </c>
      <c r="I643" s="2">
        <f>INDEX('Main Data'!$A$1:$O$1001,MATCH('Index&amp;Match'!$A643,'Main Data'!$A$1:$A$1001,0),MATCH('Index&amp;Match'!I642,'Main Data'!$A642:$O642,0))</f>
        <v>46</v>
      </c>
      <c r="J643" s="2">
        <f>INDEX('Main Data'!$A$1:$O$1001,MATCH('Index&amp;Match'!$A643,'Main Data'!$A$1:$A$1001,0),MATCH('Index&amp;Match'!J642,'Main Data'!$A642:$O642,0))</f>
        <v>46</v>
      </c>
      <c r="K643" s="11">
        <f>INDEX('Main Data'!$A$1:$O$1001,MATCH('Index&amp;Match'!$A643,'Main Data'!$A$1:$A$1001,0),MATCH('Index&amp;Match'!K642,'Main Data'!$A642:$O642,0))</f>
        <v>47415.91</v>
      </c>
      <c r="L643" s="11">
        <f>INDEX('Main Data'!$A$1:$O$1001,MATCH('Index&amp;Match'!$A643,'Main Data'!$A$1:$A$1001,0),MATCH('Index&amp;Match'!L642,'Main Data'!$A642:$O642,0))</f>
        <v>255.39</v>
      </c>
      <c r="M643" s="11">
        <f>INDEX('Main Data'!$A$1:$O$1001,MATCH('Index&amp;Match'!$A643,'Main Data'!$A$1:$A$1001,0),MATCH('Index&amp;Match'!M642,'Main Data'!$A642:$O642,0))</f>
        <v>184.41</v>
      </c>
      <c r="N643" s="2" t="str">
        <f>INDEX('Main Data'!$A$1:$O$1001,MATCH('Index&amp;Match'!$A643,'Main Data'!$A$1:$A$1001,0),MATCH('Index&amp;Match'!N642,'Main Data'!$A642:$O642,0))</f>
        <v>Yes</v>
      </c>
      <c r="O643" s="2">
        <f>INDEX('Main Data'!$A$1:$O$1001,MATCH('Index&amp;Match'!$A643,'Main Data'!$A$1:$A$1001,0),MATCH('Index&amp;Match'!O642,'Main Data'!$A642:$O642,0))</f>
        <v>46</v>
      </c>
    </row>
    <row r="644" spans="1:15" x14ac:dyDescent="0.3">
      <c r="A644" s="2" t="s">
        <v>701</v>
      </c>
      <c r="B644" s="1">
        <f>INDEX('Main Data'!$A$1:$O$1001,MATCH('Index&amp;Match'!$A644,'Main Data'!$A$1:$A$1001,0),MATCH('Index&amp;Match'!B643,'Main Data'!$A643:$O643,0))</f>
        <v>45926</v>
      </c>
      <c r="C644" s="2" t="str">
        <f>INDEX('Main Data'!$A$1:$O$1001,MATCH('Index&amp;Match'!$A644,'Main Data'!$A$1:$A$1001,0),MATCH('Index&amp;Match'!C643,'Main Data'!$A643:$O643,0))</f>
        <v>Drew</v>
      </c>
      <c r="D644" s="2" t="str">
        <f>INDEX('Main Data'!$A$1:$O$1001,MATCH('Index&amp;Match'!$A644,'Main Data'!$A$1:$A$1001,0),MATCH('Index&amp;Match'!D643,'Main Data'!$A643:$O643,0))</f>
        <v>BR-006</v>
      </c>
      <c r="E644" s="2" t="str">
        <f>INDEX('Main Data'!$A$1:$O$1001,MATCH('Index&amp;Match'!$A644,'Main Data'!$A$1:$A$1001,0),MATCH('Index&amp;Match'!E643,'Main Data'!$A643:$O643,0))</f>
        <v>South</v>
      </c>
      <c r="F644" s="2" t="str">
        <f>INDEX('Main Data'!$A$1:$O$1001,MATCH('Index&amp;Match'!$A644,'Main Data'!$A$1:$A$1001,0),MATCH('Index&amp;Match'!F643,'Main Data'!$A643:$O643,0))</f>
        <v>Wealth Management</v>
      </c>
      <c r="G644" s="2" t="str">
        <f>INDEX('Main Data'!$A$1:$O$1001,MATCH('Index&amp;Match'!$A644,'Main Data'!$A$1:$A$1001,0),MATCH('Index&amp;Match'!G643,'Main Data'!$A643:$O643,0))</f>
        <v>Website</v>
      </c>
      <c r="H644" s="2" t="str">
        <f>INDEX('Main Data'!$A$1:$O$1001,MATCH('Index&amp;Match'!$A644,'Main Data'!$A$1:$A$1001,0),MATCH('Index&amp;Match'!H643,'Main Data'!$A643:$O643,0))</f>
        <v>Retail</v>
      </c>
      <c r="I644" s="2">
        <f>INDEX('Main Data'!$A$1:$O$1001,MATCH('Index&amp;Match'!$A644,'Main Data'!$A$1:$A$1001,0),MATCH('Index&amp;Match'!I643,'Main Data'!$A643:$O643,0))</f>
        <v>45</v>
      </c>
      <c r="J644" s="2">
        <f>INDEX('Main Data'!$A$1:$O$1001,MATCH('Index&amp;Match'!$A644,'Main Data'!$A$1:$A$1001,0),MATCH('Index&amp;Match'!J643,'Main Data'!$A643:$O643,0))</f>
        <v>45</v>
      </c>
      <c r="K644" s="11">
        <f>INDEX('Main Data'!$A$1:$O$1001,MATCH('Index&amp;Match'!$A644,'Main Data'!$A$1:$A$1001,0),MATCH('Index&amp;Match'!K643,'Main Data'!$A643:$O643,0))</f>
        <v>20131.23</v>
      </c>
      <c r="L644" s="11">
        <f>INDEX('Main Data'!$A$1:$O$1001,MATCH('Index&amp;Match'!$A644,'Main Data'!$A$1:$A$1001,0),MATCH('Index&amp;Match'!L643,'Main Data'!$A643:$O643,0))</f>
        <v>324.36</v>
      </c>
      <c r="M644" s="11">
        <f>INDEX('Main Data'!$A$1:$O$1001,MATCH('Index&amp;Match'!$A644,'Main Data'!$A$1:$A$1001,0),MATCH('Index&amp;Match'!M643,'Main Data'!$A643:$O643,0))</f>
        <v>20.91</v>
      </c>
      <c r="N644" s="2" t="str">
        <f>INDEX('Main Data'!$A$1:$O$1001,MATCH('Index&amp;Match'!$A644,'Main Data'!$A$1:$A$1001,0),MATCH('Index&amp;Match'!N643,'Main Data'!$A643:$O643,0))</f>
        <v>No</v>
      </c>
      <c r="O644" s="2">
        <f>INDEX('Main Data'!$A$1:$O$1001,MATCH('Index&amp;Match'!$A644,'Main Data'!$A$1:$A$1001,0),MATCH('Index&amp;Match'!O643,'Main Data'!$A643:$O643,0))</f>
        <v>45</v>
      </c>
    </row>
    <row r="645" spans="1:15" x14ac:dyDescent="0.3">
      <c r="A645" s="2" t="s">
        <v>702</v>
      </c>
      <c r="B645" s="1">
        <f>INDEX('Main Data'!$A$1:$O$1001,MATCH('Index&amp;Match'!$A645,'Main Data'!$A$1:$A$1001,0),MATCH('Index&amp;Match'!B644,'Main Data'!$A644:$O644,0))</f>
        <v>46220</v>
      </c>
      <c r="C645" s="2" t="str">
        <f>INDEX('Main Data'!$A$1:$O$1001,MATCH('Index&amp;Match'!$A645,'Main Data'!$A$1:$A$1001,0),MATCH('Index&amp;Match'!C644,'Main Data'!$A644:$O644,0))</f>
        <v>Alex</v>
      </c>
      <c r="D645" s="2" t="str">
        <f>INDEX('Main Data'!$A$1:$O$1001,MATCH('Index&amp;Match'!$A645,'Main Data'!$A$1:$A$1001,0),MATCH('Index&amp;Match'!D644,'Main Data'!$A644:$O644,0))</f>
        <v>BR-008</v>
      </c>
      <c r="E645" s="2" t="str">
        <f>INDEX('Main Data'!$A$1:$O$1001,MATCH('Index&amp;Match'!$A645,'Main Data'!$A$1:$A$1001,0),MATCH('Index&amp;Match'!E644,'Main Data'!$A644:$O644,0))</f>
        <v>Central</v>
      </c>
      <c r="F645" s="2" t="str">
        <f>INDEX('Main Data'!$A$1:$O$1001,MATCH('Index&amp;Match'!$A645,'Main Data'!$A$1:$A$1001,0),MATCH('Index&amp;Match'!F644,'Main Data'!$A644:$O644,0))</f>
        <v>Wealth Management</v>
      </c>
      <c r="G645" s="2" t="str">
        <f>INDEX('Main Data'!$A$1:$O$1001,MATCH('Index&amp;Match'!$A645,'Main Data'!$A$1:$A$1001,0),MATCH('Index&amp;Match'!G644,'Main Data'!$A644:$O644,0))</f>
        <v>Email Campaign</v>
      </c>
      <c r="H645" s="2" t="str">
        <f>INDEX('Main Data'!$A$1:$O$1001,MATCH('Index&amp;Match'!$A645,'Main Data'!$A$1:$A$1001,0),MATCH('Index&amp;Match'!H644,'Main Data'!$A644:$O644,0))</f>
        <v>SME</v>
      </c>
      <c r="I645" s="2">
        <f>INDEX('Main Data'!$A$1:$O$1001,MATCH('Index&amp;Match'!$A645,'Main Data'!$A$1:$A$1001,0),MATCH('Index&amp;Match'!I644,'Main Data'!$A644:$O644,0))</f>
        <v>74</v>
      </c>
      <c r="J645" s="2">
        <f>INDEX('Main Data'!$A$1:$O$1001,MATCH('Index&amp;Match'!$A645,'Main Data'!$A$1:$A$1001,0),MATCH('Index&amp;Match'!J644,'Main Data'!$A644:$O644,0))</f>
        <v>74</v>
      </c>
      <c r="K645" s="11">
        <f>INDEX('Main Data'!$A$1:$O$1001,MATCH('Index&amp;Match'!$A645,'Main Data'!$A$1:$A$1001,0),MATCH('Index&amp;Match'!K644,'Main Data'!$A644:$O644,0))</f>
        <v>6681.07</v>
      </c>
      <c r="L645" s="11">
        <f>INDEX('Main Data'!$A$1:$O$1001,MATCH('Index&amp;Match'!$A645,'Main Data'!$A$1:$A$1001,0),MATCH('Index&amp;Match'!L644,'Main Data'!$A644:$O644,0))</f>
        <v>165.14</v>
      </c>
      <c r="M645" s="11">
        <f>INDEX('Main Data'!$A$1:$O$1001,MATCH('Index&amp;Match'!$A645,'Main Data'!$A$1:$A$1001,0),MATCH('Index&amp;Match'!M644,'Main Data'!$A644:$O644,0))</f>
        <v>25.75</v>
      </c>
      <c r="N645" s="2" t="str">
        <f>INDEX('Main Data'!$A$1:$O$1001,MATCH('Index&amp;Match'!$A645,'Main Data'!$A$1:$A$1001,0),MATCH('Index&amp;Match'!N644,'Main Data'!$A644:$O644,0))</f>
        <v>Yes</v>
      </c>
      <c r="O645" s="2">
        <f>INDEX('Main Data'!$A$1:$O$1001,MATCH('Index&amp;Match'!$A645,'Main Data'!$A$1:$A$1001,0),MATCH('Index&amp;Match'!O644,'Main Data'!$A644:$O644,0))</f>
        <v>74</v>
      </c>
    </row>
    <row r="646" spans="1:15" x14ac:dyDescent="0.3">
      <c r="A646" s="2" t="s">
        <v>703</v>
      </c>
      <c r="B646" s="1">
        <f>INDEX('Main Data'!$A$1:$O$1001,MATCH('Index&amp;Match'!$A646,'Main Data'!$A$1:$A$1001,0),MATCH('Index&amp;Match'!B645,'Main Data'!$A645:$O645,0))</f>
        <v>46184</v>
      </c>
      <c r="C646" s="2" t="str">
        <f>INDEX('Main Data'!$A$1:$O$1001,MATCH('Index&amp;Match'!$A646,'Main Data'!$A$1:$A$1001,0),MATCH('Index&amp;Match'!C645,'Main Data'!$A645:$O645,0))</f>
        <v>Drew</v>
      </c>
      <c r="D646" s="2" t="str">
        <f>INDEX('Main Data'!$A$1:$O$1001,MATCH('Index&amp;Match'!$A646,'Main Data'!$A$1:$A$1001,0),MATCH('Index&amp;Match'!D645,'Main Data'!$A645:$O645,0))</f>
        <v>BR-009</v>
      </c>
      <c r="E646" s="2" t="str">
        <f>INDEX('Main Data'!$A$1:$O$1001,MATCH('Index&amp;Match'!$A646,'Main Data'!$A$1:$A$1001,0),MATCH('Index&amp;Match'!E645,'Main Data'!$A645:$O645,0))</f>
        <v>West</v>
      </c>
      <c r="F646" s="2" t="str">
        <f>INDEX('Main Data'!$A$1:$O$1001,MATCH('Index&amp;Match'!$A646,'Main Data'!$A$1:$A$1001,0),MATCH('Index&amp;Match'!F645,'Main Data'!$A645:$O645,0))</f>
        <v>Auto Loan</v>
      </c>
      <c r="G646" s="2" t="str">
        <f>INDEX('Main Data'!$A$1:$O$1001,MATCH('Index&amp;Match'!$A646,'Main Data'!$A$1:$A$1001,0),MATCH('Index&amp;Match'!G645,'Main Data'!$A645:$O645,0))</f>
        <v>Walk-in</v>
      </c>
      <c r="H646" s="2" t="str">
        <f>INDEX('Main Data'!$A$1:$O$1001,MATCH('Index&amp;Match'!$A646,'Main Data'!$A$1:$A$1001,0),MATCH('Index&amp;Match'!H645,'Main Data'!$A645:$O645,0))</f>
        <v>Corporate</v>
      </c>
      <c r="I646" s="2">
        <f>INDEX('Main Data'!$A$1:$O$1001,MATCH('Index&amp;Match'!$A646,'Main Data'!$A$1:$A$1001,0),MATCH('Index&amp;Match'!I645,'Main Data'!$A645:$O645,0))</f>
        <v>49</v>
      </c>
      <c r="J646" s="2">
        <f>INDEX('Main Data'!$A$1:$O$1001,MATCH('Index&amp;Match'!$A646,'Main Data'!$A$1:$A$1001,0),MATCH('Index&amp;Match'!J645,'Main Data'!$A645:$O645,0))</f>
        <v>49</v>
      </c>
      <c r="K646" s="11">
        <f>INDEX('Main Data'!$A$1:$O$1001,MATCH('Index&amp;Match'!$A646,'Main Data'!$A$1:$A$1001,0),MATCH('Index&amp;Match'!K645,'Main Data'!$A645:$O645,0))</f>
        <v>26509.53</v>
      </c>
      <c r="L646" s="11">
        <f>INDEX('Main Data'!$A$1:$O$1001,MATCH('Index&amp;Match'!$A646,'Main Data'!$A$1:$A$1001,0),MATCH('Index&amp;Match'!L645,'Main Data'!$A645:$O645,0))</f>
        <v>233.18</v>
      </c>
      <c r="M646" s="11">
        <f>INDEX('Main Data'!$A$1:$O$1001,MATCH('Index&amp;Match'!$A646,'Main Data'!$A$1:$A$1001,0),MATCH('Index&amp;Match'!M645,'Main Data'!$A645:$O645,0))</f>
        <v>111.4</v>
      </c>
      <c r="N646" s="2" t="str">
        <f>INDEX('Main Data'!$A$1:$O$1001,MATCH('Index&amp;Match'!$A646,'Main Data'!$A$1:$A$1001,0),MATCH('Index&amp;Match'!N645,'Main Data'!$A645:$O645,0))</f>
        <v>No</v>
      </c>
      <c r="O646" s="2">
        <f>INDEX('Main Data'!$A$1:$O$1001,MATCH('Index&amp;Match'!$A646,'Main Data'!$A$1:$A$1001,0),MATCH('Index&amp;Match'!O645,'Main Data'!$A645:$O645,0))</f>
        <v>49</v>
      </c>
    </row>
    <row r="647" spans="1:15" x14ac:dyDescent="0.3">
      <c r="A647" s="2" t="s">
        <v>704</v>
      </c>
      <c r="B647" s="1">
        <f>INDEX('Main Data'!$A$1:$O$1001,MATCH('Index&amp;Match'!$A647,'Main Data'!$A$1:$A$1001,0),MATCH('Index&amp;Match'!B646,'Main Data'!$A646:$O646,0))</f>
        <v>46067</v>
      </c>
      <c r="C647" s="2" t="str">
        <f>INDEX('Main Data'!$A$1:$O$1001,MATCH('Index&amp;Match'!$A647,'Main Data'!$A$1:$A$1001,0),MATCH('Index&amp;Match'!C646,'Main Data'!$A646:$O646,0))</f>
        <v>Casey</v>
      </c>
      <c r="D647" s="2" t="str">
        <f>INDEX('Main Data'!$A$1:$O$1001,MATCH('Index&amp;Match'!$A647,'Main Data'!$A$1:$A$1001,0),MATCH('Index&amp;Match'!D646,'Main Data'!$A646:$O646,0))</f>
        <v>BR-007</v>
      </c>
      <c r="E647" s="2" t="str">
        <f>INDEX('Main Data'!$A$1:$O$1001,MATCH('Index&amp;Match'!$A647,'Main Data'!$A$1:$A$1001,0),MATCH('Index&amp;Match'!E646,'Main Data'!$A646:$O646,0))</f>
        <v>Central</v>
      </c>
      <c r="F647" s="2" t="str">
        <f>INDEX('Main Data'!$A$1:$O$1001,MATCH('Index&amp;Match'!$A647,'Main Data'!$A$1:$A$1001,0),MATCH('Index&amp;Match'!F646,'Main Data'!$A646:$O646,0))</f>
        <v>Wealth Management</v>
      </c>
      <c r="G647" s="2" t="str">
        <f>INDEX('Main Data'!$A$1:$O$1001,MATCH('Index&amp;Match'!$A647,'Main Data'!$A$1:$A$1001,0),MATCH('Index&amp;Match'!G646,'Main Data'!$A646:$O646,0))</f>
        <v>Social Media</v>
      </c>
      <c r="H647" s="2" t="str">
        <f>INDEX('Main Data'!$A$1:$O$1001,MATCH('Index&amp;Match'!$A647,'Main Data'!$A$1:$A$1001,0),MATCH('Index&amp;Match'!H646,'Main Data'!$A646:$O646,0))</f>
        <v>High Net Worth</v>
      </c>
      <c r="I647" s="2">
        <f>INDEX('Main Data'!$A$1:$O$1001,MATCH('Index&amp;Match'!$A647,'Main Data'!$A$1:$A$1001,0),MATCH('Index&amp;Match'!I646,'Main Data'!$A646:$O646,0))</f>
        <v>39</v>
      </c>
      <c r="J647" s="2">
        <f>INDEX('Main Data'!$A$1:$O$1001,MATCH('Index&amp;Match'!$A647,'Main Data'!$A$1:$A$1001,0),MATCH('Index&amp;Match'!J646,'Main Data'!$A646:$O646,0))</f>
        <v>39</v>
      </c>
      <c r="K647" s="11">
        <f>INDEX('Main Data'!$A$1:$O$1001,MATCH('Index&amp;Match'!$A647,'Main Data'!$A$1:$A$1001,0),MATCH('Index&amp;Match'!K646,'Main Data'!$A646:$O646,0))</f>
        <v>5919.8</v>
      </c>
      <c r="L647" s="11">
        <f>INDEX('Main Data'!$A$1:$O$1001,MATCH('Index&amp;Match'!$A647,'Main Data'!$A$1:$A$1001,0),MATCH('Index&amp;Match'!L646,'Main Data'!$A646:$O646,0))</f>
        <v>354.96</v>
      </c>
      <c r="M647" s="11">
        <f>INDEX('Main Data'!$A$1:$O$1001,MATCH('Index&amp;Match'!$A647,'Main Data'!$A$1:$A$1001,0),MATCH('Index&amp;Match'!M646,'Main Data'!$A646:$O646,0))</f>
        <v>268.18</v>
      </c>
      <c r="N647" s="2" t="str">
        <f>INDEX('Main Data'!$A$1:$O$1001,MATCH('Index&amp;Match'!$A647,'Main Data'!$A$1:$A$1001,0),MATCH('Index&amp;Match'!N646,'Main Data'!$A646:$O646,0))</f>
        <v>Yes</v>
      </c>
      <c r="O647" s="2">
        <f>INDEX('Main Data'!$A$1:$O$1001,MATCH('Index&amp;Match'!$A647,'Main Data'!$A$1:$A$1001,0),MATCH('Index&amp;Match'!O646,'Main Data'!$A646:$O646,0))</f>
        <v>39</v>
      </c>
    </row>
    <row r="648" spans="1:15" x14ac:dyDescent="0.3">
      <c r="A648" s="2" t="s">
        <v>705</v>
      </c>
      <c r="B648" s="1">
        <f>INDEX('Main Data'!$A$1:$O$1001,MATCH('Index&amp;Match'!$A648,'Main Data'!$A$1:$A$1001,0),MATCH('Index&amp;Match'!B647,'Main Data'!$A647:$O647,0))</f>
        <v>45879</v>
      </c>
      <c r="C648" s="2" t="str">
        <f>INDEX('Main Data'!$A$1:$O$1001,MATCH('Index&amp;Match'!$A648,'Main Data'!$A$1:$A$1001,0),MATCH('Index&amp;Match'!C647,'Main Data'!$A647:$O647,0))</f>
        <v>Casey</v>
      </c>
      <c r="D648" s="2" t="str">
        <f>INDEX('Main Data'!$A$1:$O$1001,MATCH('Index&amp;Match'!$A648,'Main Data'!$A$1:$A$1001,0),MATCH('Index&amp;Match'!D647,'Main Data'!$A647:$O647,0))</f>
        <v>BR-004</v>
      </c>
      <c r="E648" s="2" t="str">
        <f>INDEX('Main Data'!$A$1:$O$1001,MATCH('Index&amp;Match'!$A648,'Main Data'!$A$1:$A$1001,0),MATCH('Index&amp;Match'!E647,'Main Data'!$A647:$O647,0))</f>
        <v>West</v>
      </c>
      <c r="F648" s="2" t="str">
        <f>INDEX('Main Data'!$A$1:$O$1001,MATCH('Index&amp;Match'!$A648,'Main Data'!$A$1:$A$1001,0),MATCH('Index&amp;Match'!F647,'Main Data'!$A647:$O647,0))</f>
        <v>Credit Card</v>
      </c>
      <c r="G648" s="2" t="str">
        <f>INDEX('Main Data'!$A$1:$O$1001,MATCH('Index&amp;Match'!$A648,'Main Data'!$A$1:$A$1001,0),MATCH('Index&amp;Match'!G647,'Main Data'!$A647:$O647,0))</f>
        <v>Website</v>
      </c>
      <c r="H648" s="2" t="str">
        <f>INDEX('Main Data'!$A$1:$O$1001,MATCH('Index&amp;Match'!$A648,'Main Data'!$A$1:$A$1001,0),MATCH('Index&amp;Match'!H647,'Main Data'!$A647:$O647,0))</f>
        <v>SME</v>
      </c>
      <c r="I648" s="2">
        <f>INDEX('Main Data'!$A$1:$O$1001,MATCH('Index&amp;Match'!$A648,'Main Data'!$A$1:$A$1001,0),MATCH('Index&amp;Match'!I647,'Main Data'!$A647:$O647,0))</f>
        <v>53</v>
      </c>
      <c r="J648" s="2">
        <f>INDEX('Main Data'!$A$1:$O$1001,MATCH('Index&amp;Match'!$A648,'Main Data'!$A$1:$A$1001,0),MATCH('Index&amp;Match'!J647,'Main Data'!$A647:$O647,0))</f>
        <v>53</v>
      </c>
      <c r="K648" s="11">
        <f>INDEX('Main Data'!$A$1:$O$1001,MATCH('Index&amp;Match'!$A648,'Main Data'!$A$1:$A$1001,0),MATCH('Index&amp;Match'!K647,'Main Data'!$A647:$O647,0))</f>
        <v>10541.24</v>
      </c>
      <c r="L648" s="11">
        <f>INDEX('Main Data'!$A$1:$O$1001,MATCH('Index&amp;Match'!$A648,'Main Data'!$A$1:$A$1001,0),MATCH('Index&amp;Match'!L647,'Main Data'!$A647:$O647,0))</f>
        <v>152.03</v>
      </c>
      <c r="M648" s="11">
        <f>INDEX('Main Data'!$A$1:$O$1001,MATCH('Index&amp;Match'!$A648,'Main Data'!$A$1:$A$1001,0),MATCH('Index&amp;Match'!M647,'Main Data'!$A647:$O647,0))</f>
        <v>194.87</v>
      </c>
      <c r="N648" s="2" t="str">
        <f>INDEX('Main Data'!$A$1:$O$1001,MATCH('Index&amp;Match'!$A648,'Main Data'!$A$1:$A$1001,0),MATCH('Index&amp;Match'!N647,'Main Data'!$A647:$O647,0))</f>
        <v>Yes</v>
      </c>
      <c r="O648" s="2">
        <f>INDEX('Main Data'!$A$1:$O$1001,MATCH('Index&amp;Match'!$A648,'Main Data'!$A$1:$A$1001,0),MATCH('Index&amp;Match'!O647,'Main Data'!$A647:$O647,0))</f>
        <v>53</v>
      </c>
    </row>
    <row r="649" spans="1:15" x14ac:dyDescent="0.3">
      <c r="A649" s="2" t="s">
        <v>706</v>
      </c>
      <c r="B649" s="1">
        <f>INDEX('Main Data'!$A$1:$O$1001,MATCH('Index&amp;Match'!$A649,'Main Data'!$A$1:$A$1001,0),MATCH('Index&amp;Match'!B648,'Main Data'!$A648:$O648,0))</f>
        <v>46121</v>
      </c>
      <c r="C649" s="2" t="str">
        <f>INDEX('Main Data'!$A$1:$O$1001,MATCH('Index&amp;Match'!$A649,'Main Data'!$A$1:$A$1001,0),MATCH('Index&amp;Match'!C648,'Main Data'!$A648:$O648,0))</f>
        <v>Alex</v>
      </c>
      <c r="D649" s="2" t="str">
        <f>INDEX('Main Data'!$A$1:$O$1001,MATCH('Index&amp;Match'!$A649,'Main Data'!$A$1:$A$1001,0),MATCH('Index&amp;Match'!D648,'Main Data'!$A648:$O648,0))</f>
        <v>BR-006</v>
      </c>
      <c r="E649" s="2" t="str">
        <f>INDEX('Main Data'!$A$1:$O$1001,MATCH('Index&amp;Match'!$A649,'Main Data'!$A$1:$A$1001,0),MATCH('Index&amp;Match'!E648,'Main Data'!$A648:$O648,0))</f>
        <v>East</v>
      </c>
      <c r="F649" s="2" t="str">
        <f>INDEX('Main Data'!$A$1:$O$1001,MATCH('Index&amp;Match'!$A649,'Main Data'!$A$1:$A$1001,0),MATCH('Index&amp;Match'!F648,'Main Data'!$A648:$O648,0))</f>
        <v>Wealth Management</v>
      </c>
      <c r="G649" s="2" t="str">
        <f>INDEX('Main Data'!$A$1:$O$1001,MATCH('Index&amp;Match'!$A649,'Main Data'!$A$1:$A$1001,0),MATCH('Index&amp;Match'!G648,'Main Data'!$A648:$O648,0))</f>
        <v>Walk-in</v>
      </c>
      <c r="H649" s="2" t="str">
        <f>INDEX('Main Data'!$A$1:$O$1001,MATCH('Index&amp;Match'!$A649,'Main Data'!$A$1:$A$1001,0),MATCH('Index&amp;Match'!H648,'Main Data'!$A648:$O648,0))</f>
        <v>High Net Worth</v>
      </c>
      <c r="I649" s="2">
        <f>INDEX('Main Data'!$A$1:$O$1001,MATCH('Index&amp;Match'!$A649,'Main Data'!$A$1:$A$1001,0),MATCH('Index&amp;Match'!I648,'Main Data'!$A648:$O648,0))</f>
        <v>56</v>
      </c>
      <c r="J649" s="2">
        <f>INDEX('Main Data'!$A$1:$O$1001,MATCH('Index&amp;Match'!$A649,'Main Data'!$A$1:$A$1001,0),MATCH('Index&amp;Match'!J648,'Main Data'!$A648:$O648,0))</f>
        <v>56</v>
      </c>
      <c r="K649" s="11">
        <f>INDEX('Main Data'!$A$1:$O$1001,MATCH('Index&amp;Match'!$A649,'Main Data'!$A$1:$A$1001,0),MATCH('Index&amp;Match'!K648,'Main Data'!$A648:$O648,0))</f>
        <v>49916.78</v>
      </c>
      <c r="L649" s="11">
        <f>INDEX('Main Data'!$A$1:$O$1001,MATCH('Index&amp;Match'!$A649,'Main Data'!$A$1:$A$1001,0),MATCH('Index&amp;Match'!L648,'Main Data'!$A648:$O648,0))</f>
        <v>320.89</v>
      </c>
      <c r="M649" s="11">
        <f>INDEX('Main Data'!$A$1:$O$1001,MATCH('Index&amp;Match'!$A649,'Main Data'!$A$1:$A$1001,0),MATCH('Index&amp;Match'!M648,'Main Data'!$A648:$O648,0))</f>
        <v>13.88</v>
      </c>
      <c r="N649" s="2" t="str">
        <f>INDEX('Main Data'!$A$1:$O$1001,MATCH('Index&amp;Match'!$A649,'Main Data'!$A$1:$A$1001,0),MATCH('Index&amp;Match'!N648,'Main Data'!$A648:$O648,0))</f>
        <v>Yes</v>
      </c>
      <c r="O649" s="2">
        <f>INDEX('Main Data'!$A$1:$O$1001,MATCH('Index&amp;Match'!$A649,'Main Data'!$A$1:$A$1001,0),MATCH('Index&amp;Match'!O648,'Main Data'!$A648:$O648,0))</f>
        <v>56</v>
      </c>
    </row>
    <row r="650" spans="1:15" x14ac:dyDescent="0.3">
      <c r="A650" s="2" t="s">
        <v>707</v>
      </c>
      <c r="B650" s="1">
        <f>INDEX('Main Data'!$A$1:$O$1001,MATCH('Index&amp;Match'!$A650,'Main Data'!$A$1:$A$1001,0),MATCH('Index&amp;Match'!B649,'Main Data'!$A649:$O649,0))</f>
        <v>46075</v>
      </c>
      <c r="C650" s="2" t="str">
        <f>INDEX('Main Data'!$A$1:$O$1001,MATCH('Index&amp;Match'!$A650,'Main Data'!$A$1:$A$1001,0),MATCH('Index&amp;Match'!C649,'Main Data'!$A649:$O649,0))</f>
        <v>Drew</v>
      </c>
      <c r="D650" s="2" t="str">
        <f>INDEX('Main Data'!$A$1:$O$1001,MATCH('Index&amp;Match'!$A650,'Main Data'!$A$1:$A$1001,0),MATCH('Index&amp;Match'!D649,'Main Data'!$A649:$O649,0))</f>
        <v>BR-005</v>
      </c>
      <c r="E650" s="2" t="str">
        <f>INDEX('Main Data'!$A$1:$O$1001,MATCH('Index&amp;Match'!$A650,'Main Data'!$A$1:$A$1001,0),MATCH('Index&amp;Match'!E649,'Main Data'!$A649:$O649,0))</f>
        <v>Central</v>
      </c>
      <c r="F650" s="2" t="str">
        <f>INDEX('Main Data'!$A$1:$O$1001,MATCH('Index&amp;Match'!$A650,'Main Data'!$A$1:$A$1001,0),MATCH('Index&amp;Match'!F649,'Main Data'!$A649:$O649,0))</f>
        <v>Personal Loan</v>
      </c>
      <c r="G650" s="2" t="str">
        <f>INDEX('Main Data'!$A$1:$O$1001,MATCH('Index&amp;Match'!$A650,'Main Data'!$A$1:$A$1001,0),MATCH('Index&amp;Match'!G649,'Main Data'!$A649:$O649,0))</f>
        <v>Website</v>
      </c>
      <c r="H650" s="2" t="str">
        <f>INDEX('Main Data'!$A$1:$O$1001,MATCH('Index&amp;Match'!$A650,'Main Data'!$A$1:$A$1001,0),MATCH('Index&amp;Match'!H649,'Main Data'!$A649:$O649,0))</f>
        <v>SME</v>
      </c>
      <c r="I650" s="2">
        <f>INDEX('Main Data'!$A$1:$O$1001,MATCH('Index&amp;Match'!$A650,'Main Data'!$A$1:$A$1001,0),MATCH('Index&amp;Match'!I649,'Main Data'!$A649:$O649,0))</f>
        <v>34</v>
      </c>
      <c r="J650" s="2">
        <f>INDEX('Main Data'!$A$1:$O$1001,MATCH('Index&amp;Match'!$A650,'Main Data'!$A$1:$A$1001,0),MATCH('Index&amp;Match'!J649,'Main Data'!$A649:$O649,0))</f>
        <v>34</v>
      </c>
      <c r="K650" s="11">
        <f>INDEX('Main Data'!$A$1:$O$1001,MATCH('Index&amp;Match'!$A650,'Main Data'!$A$1:$A$1001,0),MATCH('Index&amp;Match'!K649,'Main Data'!$A649:$O649,0))</f>
        <v>27297.45</v>
      </c>
      <c r="L650" s="11">
        <f>INDEX('Main Data'!$A$1:$O$1001,MATCH('Index&amp;Match'!$A650,'Main Data'!$A$1:$A$1001,0),MATCH('Index&amp;Match'!L649,'Main Data'!$A649:$O649,0))</f>
        <v>363.85</v>
      </c>
      <c r="M650" s="11">
        <f>INDEX('Main Data'!$A$1:$O$1001,MATCH('Index&amp;Match'!$A650,'Main Data'!$A$1:$A$1001,0),MATCH('Index&amp;Match'!M649,'Main Data'!$A649:$O649,0))</f>
        <v>71.150000000000006</v>
      </c>
      <c r="N650" s="2" t="str">
        <f>INDEX('Main Data'!$A$1:$O$1001,MATCH('Index&amp;Match'!$A650,'Main Data'!$A$1:$A$1001,0),MATCH('Index&amp;Match'!N649,'Main Data'!$A649:$O649,0))</f>
        <v>Yes</v>
      </c>
      <c r="O650" s="2">
        <f>INDEX('Main Data'!$A$1:$O$1001,MATCH('Index&amp;Match'!$A650,'Main Data'!$A$1:$A$1001,0),MATCH('Index&amp;Match'!O649,'Main Data'!$A649:$O649,0))</f>
        <v>34</v>
      </c>
    </row>
    <row r="651" spans="1:15" x14ac:dyDescent="0.3">
      <c r="A651" s="2" t="s">
        <v>708</v>
      </c>
      <c r="B651" s="1">
        <f>INDEX('Main Data'!$A$1:$O$1001,MATCH('Index&amp;Match'!$A651,'Main Data'!$A$1:$A$1001,0),MATCH('Index&amp;Match'!B650,'Main Data'!$A650:$O650,0))</f>
        <v>46162</v>
      </c>
      <c r="C651" s="2" t="str">
        <f>INDEX('Main Data'!$A$1:$O$1001,MATCH('Index&amp;Match'!$A651,'Main Data'!$A$1:$A$1001,0),MATCH('Index&amp;Match'!C650,'Main Data'!$A650:$O650,0))</f>
        <v>Casey</v>
      </c>
      <c r="D651" s="2" t="str">
        <f>INDEX('Main Data'!$A$1:$O$1001,MATCH('Index&amp;Match'!$A651,'Main Data'!$A$1:$A$1001,0),MATCH('Index&amp;Match'!D650,'Main Data'!$A650:$O650,0))</f>
        <v>BR-008</v>
      </c>
      <c r="E651" s="2" t="str">
        <f>INDEX('Main Data'!$A$1:$O$1001,MATCH('Index&amp;Match'!$A651,'Main Data'!$A$1:$A$1001,0),MATCH('Index&amp;Match'!E650,'Main Data'!$A650:$O650,0))</f>
        <v>West</v>
      </c>
      <c r="F651" s="2" t="str">
        <f>INDEX('Main Data'!$A$1:$O$1001,MATCH('Index&amp;Match'!$A651,'Main Data'!$A$1:$A$1001,0),MATCH('Index&amp;Match'!F650,'Main Data'!$A650:$O650,0))</f>
        <v>Auto Loan</v>
      </c>
      <c r="G651" s="2" t="str">
        <f>INDEX('Main Data'!$A$1:$O$1001,MATCH('Index&amp;Match'!$A651,'Main Data'!$A$1:$A$1001,0),MATCH('Index&amp;Match'!G650,'Main Data'!$A650:$O650,0))</f>
        <v>Website</v>
      </c>
      <c r="H651" s="2" t="str">
        <f>INDEX('Main Data'!$A$1:$O$1001,MATCH('Index&amp;Match'!$A651,'Main Data'!$A$1:$A$1001,0),MATCH('Index&amp;Match'!H650,'Main Data'!$A650:$O650,0))</f>
        <v>SME</v>
      </c>
      <c r="I651" s="2">
        <f>INDEX('Main Data'!$A$1:$O$1001,MATCH('Index&amp;Match'!$A651,'Main Data'!$A$1:$A$1001,0),MATCH('Index&amp;Match'!I650,'Main Data'!$A650:$O650,0))</f>
        <v>34</v>
      </c>
      <c r="J651" s="2">
        <f>INDEX('Main Data'!$A$1:$O$1001,MATCH('Index&amp;Match'!$A651,'Main Data'!$A$1:$A$1001,0),MATCH('Index&amp;Match'!J650,'Main Data'!$A650:$O650,0))</f>
        <v>34</v>
      </c>
      <c r="K651" s="11">
        <f>INDEX('Main Data'!$A$1:$O$1001,MATCH('Index&amp;Match'!$A651,'Main Data'!$A$1:$A$1001,0),MATCH('Index&amp;Match'!K650,'Main Data'!$A650:$O650,0))</f>
        <v>14560.89</v>
      </c>
      <c r="L651" s="11">
        <f>INDEX('Main Data'!$A$1:$O$1001,MATCH('Index&amp;Match'!$A651,'Main Data'!$A$1:$A$1001,0),MATCH('Index&amp;Match'!L650,'Main Data'!$A650:$O650,0))</f>
        <v>90.72</v>
      </c>
      <c r="M651" s="11">
        <f>INDEX('Main Data'!$A$1:$O$1001,MATCH('Index&amp;Match'!$A651,'Main Data'!$A$1:$A$1001,0),MATCH('Index&amp;Match'!M650,'Main Data'!$A650:$O650,0))</f>
        <v>42.58</v>
      </c>
      <c r="N651" s="2" t="str">
        <f>INDEX('Main Data'!$A$1:$O$1001,MATCH('Index&amp;Match'!$A651,'Main Data'!$A$1:$A$1001,0),MATCH('Index&amp;Match'!N650,'Main Data'!$A650:$O650,0))</f>
        <v>Yes</v>
      </c>
      <c r="O651" s="2">
        <f>INDEX('Main Data'!$A$1:$O$1001,MATCH('Index&amp;Match'!$A651,'Main Data'!$A$1:$A$1001,0),MATCH('Index&amp;Match'!O650,'Main Data'!$A650:$O650,0))</f>
        <v>34</v>
      </c>
    </row>
    <row r="652" spans="1:15" x14ac:dyDescent="0.3">
      <c r="A652" s="2" t="s">
        <v>709</v>
      </c>
      <c r="B652" s="1">
        <f>INDEX('Main Data'!$A$1:$O$1001,MATCH('Index&amp;Match'!$A652,'Main Data'!$A$1:$A$1001,0),MATCH('Index&amp;Match'!B651,'Main Data'!$A651:$O651,0))</f>
        <v>45962</v>
      </c>
      <c r="C652" s="2" t="str">
        <f>INDEX('Main Data'!$A$1:$O$1001,MATCH('Index&amp;Match'!$A652,'Main Data'!$A$1:$A$1001,0),MATCH('Index&amp;Match'!C651,'Main Data'!$A651:$O651,0))</f>
        <v>Jamie</v>
      </c>
      <c r="D652" s="2" t="str">
        <f>INDEX('Main Data'!$A$1:$O$1001,MATCH('Index&amp;Match'!$A652,'Main Data'!$A$1:$A$1001,0),MATCH('Index&amp;Match'!D651,'Main Data'!$A651:$O651,0))</f>
        <v>BR-001</v>
      </c>
      <c r="E652" s="2" t="str">
        <f>INDEX('Main Data'!$A$1:$O$1001,MATCH('Index&amp;Match'!$A652,'Main Data'!$A$1:$A$1001,0),MATCH('Index&amp;Match'!E651,'Main Data'!$A651:$O651,0))</f>
        <v>East</v>
      </c>
      <c r="F652" s="2" t="str">
        <f>INDEX('Main Data'!$A$1:$O$1001,MATCH('Index&amp;Match'!$A652,'Main Data'!$A$1:$A$1001,0),MATCH('Index&amp;Match'!F651,'Main Data'!$A651:$O651,0))</f>
        <v>Personal Loan</v>
      </c>
      <c r="G652" s="2" t="str">
        <f>INDEX('Main Data'!$A$1:$O$1001,MATCH('Index&amp;Match'!$A652,'Main Data'!$A$1:$A$1001,0),MATCH('Index&amp;Match'!G651,'Main Data'!$A651:$O651,0))</f>
        <v>Referral</v>
      </c>
      <c r="H652" s="2" t="str">
        <f>INDEX('Main Data'!$A$1:$O$1001,MATCH('Index&amp;Match'!$A652,'Main Data'!$A$1:$A$1001,0),MATCH('Index&amp;Match'!H651,'Main Data'!$A651:$O651,0))</f>
        <v>Corporate</v>
      </c>
      <c r="I652" s="2">
        <f>INDEX('Main Data'!$A$1:$O$1001,MATCH('Index&amp;Match'!$A652,'Main Data'!$A$1:$A$1001,0),MATCH('Index&amp;Match'!I651,'Main Data'!$A651:$O651,0))</f>
        <v>55</v>
      </c>
      <c r="J652" s="2">
        <f>INDEX('Main Data'!$A$1:$O$1001,MATCH('Index&amp;Match'!$A652,'Main Data'!$A$1:$A$1001,0),MATCH('Index&amp;Match'!J651,'Main Data'!$A651:$O651,0))</f>
        <v>55</v>
      </c>
      <c r="K652" s="11">
        <f>INDEX('Main Data'!$A$1:$O$1001,MATCH('Index&amp;Match'!$A652,'Main Data'!$A$1:$A$1001,0),MATCH('Index&amp;Match'!K651,'Main Data'!$A651:$O651,0))</f>
        <v>49741.36</v>
      </c>
      <c r="L652" s="11">
        <f>INDEX('Main Data'!$A$1:$O$1001,MATCH('Index&amp;Match'!$A652,'Main Data'!$A$1:$A$1001,0),MATCH('Index&amp;Match'!L651,'Main Data'!$A651:$O651,0))</f>
        <v>273.89</v>
      </c>
      <c r="M652" s="11">
        <f>INDEX('Main Data'!$A$1:$O$1001,MATCH('Index&amp;Match'!$A652,'Main Data'!$A$1:$A$1001,0),MATCH('Index&amp;Match'!M651,'Main Data'!$A651:$O651,0))</f>
        <v>151.19</v>
      </c>
      <c r="N652" s="2" t="str">
        <f>INDEX('Main Data'!$A$1:$O$1001,MATCH('Index&amp;Match'!$A652,'Main Data'!$A$1:$A$1001,0),MATCH('Index&amp;Match'!N651,'Main Data'!$A651:$O651,0))</f>
        <v>Yes</v>
      </c>
      <c r="O652" s="2">
        <f>INDEX('Main Data'!$A$1:$O$1001,MATCH('Index&amp;Match'!$A652,'Main Data'!$A$1:$A$1001,0),MATCH('Index&amp;Match'!O651,'Main Data'!$A651:$O651,0))</f>
        <v>55</v>
      </c>
    </row>
    <row r="653" spans="1:15" x14ac:dyDescent="0.3">
      <c r="A653" s="2" t="s">
        <v>710</v>
      </c>
      <c r="B653" s="1">
        <f>INDEX('Main Data'!$A$1:$O$1001,MATCH('Index&amp;Match'!$A653,'Main Data'!$A$1:$A$1001,0),MATCH('Index&amp;Match'!B652,'Main Data'!$A652:$O652,0))</f>
        <v>45955</v>
      </c>
      <c r="C653" s="2" t="str">
        <f>INDEX('Main Data'!$A$1:$O$1001,MATCH('Index&amp;Match'!$A653,'Main Data'!$A$1:$A$1001,0),MATCH('Index&amp;Match'!C652,'Main Data'!$A652:$O652,0))</f>
        <v>Drew</v>
      </c>
      <c r="D653" s="2" t="str">
        <f>INDEX('Main Data'!$A$1:$O$1001,MATCH('Index&amp;Match'!$A653,'Main Data'!$A$1:$A$1001,0),MATCH('Index&amp;Match'!D652,'Main Data'!$A652:$O652,0))</f>
        <v>BR-001</v>
      </c>
      <c r="E653" s="2" t="str">
        <f>INDEX('Main Data'!$A$1:$O$1001,MATCH('Index&amp;Match'!$A653,'Main Data'!$A$1:$A$1001,0),MATCH('Index&amp;Match'!E652,'Main Data'!$A652:$O652,0))</f>
        <v>South</v>
      </c>
      <c r="F653" s="2" t="str">
        <f>INDEX('Main Data'!$A$1:$O$1001,MATCH('Index&amp;Match'!$A653,'Main Data'!$A$1:$A$1001,0),MATCH('Index&amp;Match'!F652,'Main Data'!$A652:$O652,0))</f>
        <v>Wealth Management</v>
      </c>
      <c r="G653" s="2" t="str">
        <f>INDEX('Main Data'!$A$1:$O$1001,MATCH('Index&amp;Match'!$A653,'Main Data'!$A$1:$A$1001,0),MATCH('Index&amp;Match'!G652,'Main Data'!$A652:$O652,0))</f>
        <v>Website</v>
      </c>
      <c r="H653" s="2" t="str">
        <f>INDEX('Main Data'!$A$1:$O$1001,MATCH('Index&amp;Match'!$A653,'Main Data'!$A$1:$A$1001,0),MATCH('Index&amp;Match'!H652,'Main Data'!$A652:$O652,0))</f>
        <v>Retail</v>
      </c>
      <c r="I653" s="2">
        <f>INDEX('Main Data'!$A$1:$O$1001,MATCH('Index&amp;Match'!$A653,'Main Data'!$A$1:$A$1001,0),MATCH('Index&amp;Match'!I652,'Main Data'!$A652:$O652,0))</f>
        <v>50</v>
      </c>
      <c r="J653" s="2">
        <f>INDEX('Main Data'!$A$1:$O$1001,MATCH('Index&amp;Match'!$A653,'Main Data'!$A$1:$A$1001,0),MATCH('Index&amp;Match'!J652,'Main Data'!$A652:$O652,0))</f>
        <v>50</v>
      </c>
      <c r="K653" s="11">
        <f>INDEX('Main Data'!$A$1:$O$1001,MATCH('Index&amp;Match'!$A653,'Main Data'!$A$1:$A$1001,0),MATCH('Index&amp;Match'!K652,'Main Data'!$A652:$O652,0))</f>
        <v>48344.67</v>
      </c>
      <c r="L653" s="11">
        <f>INDEX('Main Data'!$A$1:$O$1001,MATCH('Index&amp;Match'!$A653,'Main Data'!$A$1:$A$1001,0),MATCH('Index&amp;Match'!L652,'Main Data'!$A652:$O652,0))</f>
        <v>168.39</v>
      </c>
      <c r="M653" s="11">
        <f>INDEX('Main Data'!$A$1:$O$1001,MATCH('Index&amp;Match'!$A653,'Main Data'!$A$1:$A$1001,0),MATCH('Index&amp;Match'!M652,'Main Data'!$A652:$O652,0))</f>
        <v>128.04</v>
      </c>
      <c r="N653" s="2" t="str">
        <f>INDEX('Main Data'!$A$1:$O$1001,MATCH('Index&amp;Match'!$A653,'Main Data'!$A$1:$A$1001,0),MATCH('Index&amp;Match'!N652,'Main Data'!$A652:$O652,0))</f>
        <v>Yes</v>
      </c>
      <c r="O653" s="2">
        <f>INDEX('Main Data'!$A$1:$O$1001,MATCH('Index&amp;Match'!$A653,'Main Data'!$A$1:$A$1001,0),MATCH('Index&amp;Match'!O652,'Main Data'!$A652:$O652,0))</f>
        <v>50</v>
      </c>
    </row>
    <row r="654" spans="1:15" x14ac:dyDescent="0.3">
      <c r="A654" s="2" t="s">
        <v>711</v>
      </c>
      <c r="B654" s="1">
        <f>INDEX('Main Data'!$A$1:$O$1001,MATCH('Index&amp;Match'!$A654,'Main Data'!$A$1:$A$1001,0),MATCH('Index&amp;Match'!B653,'Main Data'!$A653:$O653,0))</f>
        <v>46187</v>
      </c>
      <c r="C654" s="2" t="str">
        <f>INDEX('Main Data'!$A$1:$O$1001,MATCH('Index&amp;Match'!$A654,'Main Data'!$A$1:$A$1001,0),MATCH('Index&amp;Match'!C653,'Main Data'!$A653:$O653,0))</f>
        <v>Jamie</v>
      </c>
      <c r="D654" s="2" t="str">
        <f>INDEX('Main Data'!$A$1:$O$1001,MATCH('Index&amp;Match'!$A654,'Main Data'!$A$1:$A$1001,0),MATCH('Index&amp;Match'!D653,'Main Data'!$A653:$O653,0))</f>
        <v>BR-013</v>
      </c>
      <c r="E654" s="2" t="str">
        <f>INDEX('Main Data'!$A$1:$O$1001,MATCH('Index&amp;Match'!$A654,'Main Data'!$A$1:$A$1001,0),MATCH('Index&amp;Match'!E653,'Main Data'!$A653:$O653,0))</f>
        <v>West</v>
      </c>
      <c r="F654" s="2" t="str">
        <f>INDEX('Main Data'!$A$1:$O$1001,MATCH('Index&amp;Match'!$A654,'Main Data'!$A$1:$A$1001,0),MATCH('Index&amp;Match'!F653,'Main Data'!$A653:$O653,0))</f>
        <v>Credit Card</v>
      </c>
      <c r="G654" s="2" t="str">
        <f>INDEX('Main Data'!$A$1:$O$1001,MATCH('Index&amp;Match'!$A654,'Main Data'!$A$1:$A$1001,0),MATCH('Index&amp;Match'!G653,'Main Data'!$A653:$O653,0))</f>
        <v>Referral</v>
      </c>
      <c r="H654" s="2" t="str">
        <f>INDEX('Main Data'!$A$1:$O$1001,MATCH('Index&amp;Match'!$A654,'Main Data'!$A$1:$A$1001,0),MATCH('Index&amp;Match'!H653,'Main Data'!$A653:$O653,0))</f>
        <v>Corporate</v>
      </c>
      <c r="I654" s="2">
        <f>INDEX('Main Data'!$A$1:$O$1001,MATCH('Index&amp;Match'!$A654,'Main Data'!$A$1:$A$1001,0),MATCH('Index&amp;Match'!I653,'Main Data'!$A653:$O653,0))</f>
        <v>48</v>
      </c>
      <c r="J654" s="2">
        <f>INDEX('Main Data'!$A$1:$O$1001,MATCH('Index&amp;Match'!$A654,'Main Data'!$A$1:$A$1001,0),MATCH('Index&amp;Match'!J653,'Main Data'!$A653:$O653,0))</f>
        <v>48</v>
      </c>
      <c r="K654" s="11">
        <f>INDEX('Main Data'!$A$1:$O$1001,MATCH('Index&amp;Match'!$A654,'Main Data'!$A$1:$A$1001,0),MATCH('Index&amp;Match'!K653,'Main Data'!$A653:$O653,0))</f>
        <v>22316.58</v>
      </c>
      <c r="L654" s="11">
        <f>INDEX('Main Data'!$A$1:$O$1001,MATCH('Index&amp;Match'!$A654,'Main Data'!$A$1:$A$1001,0),MATCH('Index&amp;Match'!L653,'Main Data'!$A653:$O653,0))</f>
        <v>375.97</v>
      </c>
      <c r="M654" s="11">
        <f>INDEX('Main Data'!$A$1:$O$1001,MATCH('Index&amp;Match'!$A654,'Main Data'!$A$1:$A$1001,0),MATCH('Index&amp;Match'!M653,'Main Data'!$A653:$O653,0))</f>
        <v>23.98</v>
      </c>
      <c r="N654" s="2" t="str">
        <f>INDEX('Main Data'!$A$1:$O$1001,MATCH('Index&amp;Match'!$A654,'Main Data'!$A$1:$A$1001,0),MATCH('Index&amp;Match'!N653,'Main Data'!$A653:$O653,0))</f>
        <v>No</v>
      </c>
      <c r="O654" s="2">
        <f>INDEX('Main Data'!$A$1:$O$1001,MATCH('Index&amp;Match'!$A654,'Main Data'!$A$1:$A$1001,0),MATCH('Index&amp;Match'!O653,'Main Data'!$A653:$O653,0))</f>
        <v>48</v>
      </c>
    </row>
    <row r="655" spans="1:15" x14ac:dyDescent="0.3">
      <c r="A655" s="2" t="s">
        <v>712</v>
      </c>
      <c r="B655" s="1">
        <f>INDEX('Main Data'!$A$1:$O$1001,MATCH('Index&amp;Match'!$A655,'Main Data'!$A$1:$A$1001,0),MATCH('Index&amp;Match'!B654,'Main Data'!$A654:$O654,0))</f>
        <v>45999</v>
      </c>
      <c r="C655" s="2" t="str">
        <f>INDEX('Main Data'!$A$1:$O$1001,MATCH('Index&amp;Match'!$A655,'Main Data'!$A$1:$A$1001,0),MATCH('Index&amp;Match'!C654,'Main Data'!$A654:$O654,0))</f>
        <v>Casey</v>
      </c>
      <c r="D655" s="2" t="str">
        <f>INDEX('Main Data'!$A$1:$O$1001,MATCH('Index&amp;Match'!$A655,'Main Data'!$A$1:$A$1001,0),MATCH('Index&amp;Match'!D654,'Main Data'!$A654:$O654,0))</f>
        <v>BR-015</v>
      </c>
      <c r="E655" s="2" t="str">
        <f>INDEX('Main Data'!$A$1:$O$1001,MATCH('Index&amp;Match'!$A655,'Main Data'!$A$1:$A$1001,0),MATCH('Index&amp;Match'!E654,'Main Data'!$A654:$O654,0))</f>
        <v>South</v>
      </c>
      <c r="F655" s="2" t="str">
        <f>INDEX('Main Data'!$A$1:$O$1001,MATCH('Index&amp;Match'!$A655,'Main Data'!$A$1:$A$1001,0),MATCH('Index&amp;Match'!F654,'Main Data'!$A654:$O654,0))</f>
        <v>Mortgage</v>
      </c>
      <c r="G655" s="2" t="str">
        <f>INDEX('Main Data'!$A$1:$O$1001,MATCH('Index&amp;Match'!$A655,'Main Data'!$A$1:$A$1001,0),MATCH('Index&amp;Match'!G654,'Main Data'!$A654:$O654,0))</f>
        <v>Email Campaign</v>
      </c>
      <c r="H655" s="2" t="str">
        <f>INDEX('Main Data'!$A$1:$O$1001,MATCH('Index&amp;Match'!$A655,'Main Data'!$A$1:$A$1001,0),MATCH('Index&amp;Match'!H654,'Main Data'!$A654:$O654,0))</f>
        <v>High Net Worth</v>
      </c>
      <c r="I655" s="2">
        <f>INDEX('Main Data'!$A$1:$O$1001,MATCH('Index&amp;Match'!$A655,'Main Data'!$A$1:$A$1001,0),MATCH('Index&amp;Match'!I654,'Main Data'!$A654:$O654,0))</f>
        <v>37</v>
      </c>
      <c r="J655" s="2">
        <f>INDEX('Main Data'!$A$1:$O$1001,MATCH('Index&amp;Match'!$A655,'Main Data'!$A$1:$A$1001,0),MATCH('Index&amp;Match'!J654,'Main Data'!$A654:$O654,0))</f>
        <v>37</v>
      </c>
      <c r="K655" s="11">
        <f>INDEX('Main Data'!$A$1:$O$1001,MATCH('Index&amp;Match'!$A655,'Main Data'!$A$1:$A$1001,0),MATCH('Index&amp;Match'!K654,'Main Data'!$A654:$O654,0))</f>
        <v>13389.95</v>
      </c>
      <c r="L655" s="11">
        <f>INDEX('Main Data'!$A$1:$O$1001,MATCH('Index&amp;Match'!$A655,'Main Data'!$A$1:$A$1001,0),MATCH('Index&amp;Match'!L654,'Main Data'!$A654:$O654,0))</f>
        <v>135.30000000000001</v>
      </c>
      <c r="M655" s="11">
        <f>INDEX('Main Data'!$A$1:$O$1001,MATCH('Index&amp;Match'!$A655,'Main Data'!$A$1:$A$1001,0),MATCH('Index&amp;Match'!M654,'Main Data'!$A654:$O654,0))</f>
        <v>145.05000000000001</v>
      </c>
      <c r="N655" s="2" t="str">
        <f>INDEX('Main Data'!$A$1:$O$1001,MATCH('Index&amp;Match'!$A655,'Main Data'!$A$1:$A$1001,0),MATCH('Index&amp;Match'!N654,'Main Data'!$A654:$O654,0))</f>
        <v>Yes</v>
      </c>
      <c r="O655" s="2">
        <f>INDEX('Main Data'!$A$1:$O$1001,MATCH('Index&amp;Match'!$A655,'Main Data'!$A$1:$A$1001,0),MATCH('Index&amp;Match'!O654,'Main Data'!$A654:$O654,0))</f>
        <v>37</v>
      </c>
    </row>
    <row r="656" spans="1:15" x14ac:dyDescent="0.3">
      <c r="A656" s="2" t="s">
        <v>713</v>
      </c>
      <c r="B656" s="1">
        <f>INDEX('Main Data'!$A$1:$O$1001,MATCH('Index&amp;Match'!$A656,'Main Data'!$A$1:$A$1001,0),MATCH('Index&amp;Match'!B655,'Main Data'!$A655:$O655,0))</f>
        <v>46164</v>
      </c>
      <c r="C656" s="2" t="str">
        <f>INDEX('Main Data'!$A$1:$O$1001,MATCH('Index&amp;Match'!$A656,'Main Data'!$A$1:$A$1001,0),MATCH('Index&amp;Match'!C655,'Main Data'!$A655:$O655,0))</f>
        <v>Sam</v>
      </c>
      <c r="D656" s="2" t="str">
        <f>INDEX('Main Data'!$A$1:$O$1001,MATCH('Index&amp;Match'!$A656,'Main Data'!$A$1:$A$1001,0),MATCH('Index&amp;Match'!D655,'Main Data'!$A655:$O655,0))</f>
        <v>BR-011</v>
      </c>
      <c r="E656" s="2" t="str">
        <f>INDEX('Main Data'!$A$1:$O$1001,MATCH('Index&amp;Match'!$A656,'Main Data'!$A$1:$A$1001,0),MATCH('Index&amp;Match'!E655,'Main Data'!$A655:$O655,0))</f>
        <v>South</v>
      </c>
      <c r="F656" s="2" t="str">
        <f>INDEX('Main Data'!$A$1:$O$1001,MATCH('Index&amp;Match'!$A656,'Main Data'!$A$1:$A$1001,0),MATCH('Index&amp;Match'!F655,'Main Data'!$A655:$O655,0))</f>
        <v>Wealth Management</v>
      </c>
      <c r="G656" s="2" t="str">
        <f>INDEX('Main Data'!$A$1:$O$1001,MATCH('Index&amp;Match'!$A656,'Main Data'!$A$1:$A$1001,0),MATCH('Index&amp;Match'!G655,'Main Data'!$A655:$O655,0))</f>
        <v>Referral</v>
      </c>
      <c r="H656" s="2" t="str">
        <f>INDEX('Main Data'!$A$1:$O$1001,MATCH('Index&amp;Match'!$A656,'Main Data'!$A$1:$A$1001,0),MATCH('Index&amp;Match'!H655,'Main Data'!$A655:$O655,0))</f>
        <v>High Net Worth</v>
      </c>
      <c r="I656" s="2">
        <f>INDEX('Main Data'!$A$1:$O$1001,MATCH('Index&amp;Match'!$A656,'Main Data'!$A$1:$A$1001,0),MATCH('Index&amp;Match'!I655,'Main Data'!$A655:$O655,0))</f>
        <v>23</v>
      </c>
      <c r="J656" s="2">
        <f>INDEX('Main Data'!$A$1:$O$1001,MATCH('Index&amp;Match'!$A656,'Main Data'!$A$1:$A$1001,0),MATCH('Index&amp;Match'!J655,'Main Data'!$A655:$O655,0))</f>
        <v>23</v>
      </c>
      <c r="K656" s="11">
        <f>INDEX('Main Data'!$A$1:$O$1001,MATCH('Index&amp;Match'!$A656,'Main Data'!$A$1:$A$1001,0),MATCH('Index&amp;Match'!K655,'Main Data'!$A655:$O655,0))</f>
        <v>42000.78</v>
      </c>
      <c r="L656" s="11">
        <f>INDEX('Main Data'!$A$1:$O$1001,MATCH('Index&amp;Match'!$A656,'Main Data'!$A$1:$A$1001,0),MATCH('Index&amp;Match'!L655,'Main Data'!$A655:$O655,0))</f>
        <v>451.51</v>
      </c>
      <c r="M656" s="11">
        <f>INDEX('Main Data'!$A$1:$O$1001,MATCH('Index&amp;Match'!$A656,'Main Data'!$A$1:$A$1001,0),MATCH('Index&amp;Match'!M655,'Main Data'!$A655:$O655,0))</f>
        <v>205.64</v>
      </c>
      <c r="N656" s="2" t="str">
        <f>INDEX('Main Data'!$A$1:$O$1001,MATCH('Index&amp;Match'!$A656,'Main Data'!$A$1:$A$1001,0),MATCH('Index&amp;Match'!N655,'Main Data'!$A655:$O655,0))</f>
        <v>Yes</v>
      </c>
      <c r="O656" s="2">
        <f>INDEX('Main Data'!$A$1:$O$1001,MATCH('Index&amp;Match'!$A656,'Main Data'!$A$1:$A$1001,0),MATCH('Index&amp;Match'!O655,'Main Data'!$A655:$O655,0))</f>
        <v>23</v>
      </c>
    </row>
    <row r="657" spans="1:15" x14ac:dyDescent="0.3">
      <c r="A657" s="2" t="s">
        <v>714</v>
      </c>
      <c r="B657" s="1">
        <f>INDEX('Main Data'!$A$1:$O$1001,MATCH('Index&amp;Match'!$A657,'Main Data'!$A$1:$A$1001,0),MATCH('Index&amp;Match'!B656,'Main Data'!$A656:$O656,0))</f>
        <v>46020</v>
      </c>
      <c r="C657" s="2" t="str">
        <f>INDEX('Main Data'!$A$1:$O$1001,MATCH('Index&amp;Match'!$A657,'Main Data'!$A$1:$A$1001,0),MATCH('Index&amp;Match'!C656,'Main Data'!$A656:$O656,0))</f>
        <v>Casey</v>
      </c>
      <c r="D657" s="2" t="str">
        <f>INDEX('Main Data'!$A$1:$O$1001,MATCH('Index&amp;Match'!$A657,'Main Data'!$A$1:$A$1001,0),MATCH('Index&amp;Match'!D656,'Main Data'!$A656:$O656,0))</f>
        <v>BR-006</v>
      </c>
      <c r="E657" s="2" t="str">
        <f>INDEX('Main Data'!$A$1:$O$1001,MATCH('Index&amp;Match'!$A657,'Main Data'!$A$1:$A$1001,0),MATCH('Index&amp;Match'!E656,'Main Data'!$A656:$O656,0))</f>
        <v>North</v>
      </c>
      <c r="F657" s="2" t="str">
        <f>INDEX('Main Data'!$A$1:$O$1001,MATCH('Index&amp;Match'!$A657,'Main Data'!$A$1:$A$1001,0),MATCH('Index&amp;Match'!F656,'Main Data'!$A656:$O656,0))</f>
        <v>Credit Card</v>
      </c>
      <c r="G657" s="2" t="str">
        <f>INDEX('Main Data'!$A$1:$O$1001,MATCH('Index&amp;Match'!$A657,'Main Data'!$A$1:$A$1001,0),MATCH('Index&amp;Match'!G656,'Main Data'!$A656:$O656,0))</f>
        <v>Social Media</v>
      </c>
      <c r="H657" s="2" t="str">
        <f>INDEX('Main Data'!$A$1:$O$1001,MATCH('Index&amp;Match'!$A657,'Main Data'!$A$1:$A$1001,0),MATCH('Index&amp;Match'!H656,'Main Data'!$A656:$O656,0))</f>
        <v>SME</v>
      </c>
      <c r="I657" s="2">
        <f>INDEX('Main Data'!$A$1:$O$1001,MATCH('Index&amp;Match'!$A657,'Main Data'!$A$1:$A$1001,0),MATCH('Index&amp;Match'!I656,'Main Data'!$A656:$O656,0))</f>
        <v>36</v>
      </c>
      <c r="J657" s="2">
        <f>INDEX('Main Data'!$A$1:$O$1001,MATCH('Index&amp;Match'!$A657,'Main Data'!$A$1:$A$1001,0),MATCH('Index&amp;Match'!J656,'Main Data'!$A656:$O656,0))</f>
        <v>36</v>
      </c>
      <c r="K657" s="11">
        <f>INDEX('Main Data'!$A$1:$O$1001,MATCH('Index&amp;Match'!$A657,'Main Data'!$A$1:$A$1001,0),MATCH('Index&amp;Match'!K656,'Main Data'!$A656:$O656,0))</f>
        <v>35923.230000000003</v>
      </c>
      <c r="L657" s="11">
        <f>INDEX('Main Data'!$A$1:$O$1001,MATCH('Index&amp;Match'!$A657,'Main Data'!$A$1:$A$1001,0),MATCH('Index&amp;Match'!L656,'Main Data'!$A656:$O656,0))</f>
        <v>243.92</v>
      </c>
      <c r="M657" s="11">
        <f>INDEX('Main Data'!$A$1:$O$1001,MATCH('Index&amp;Match'!$A657,'Main Data'!$A$1:$A$1001,0),MATCH('Index&amp;Match'!M656,'Main Data'!$A656:$O656,0))</f>
        <v>155.80000000000001</v>
      </c>
      <c r="N657" s="2" t="str">
        <f>INDEX('Main Data'!$A$1:$O$1001,MATCH('Index&amp;Match'!$A657,'Main Data'!$A$1:$A$1001,0),MATCH('Index&amp;Match'!N656,'Main Data'!$A656:$O656,0))</f>
        <v>No</v>
      </c>
      <c r="O657" s="2">
        <f>INDEX('Main Data'!$A$1:$O$1001,MATCH('Index&amp;Match'!$A657,'Main Data'!$A$1:$A$1001,0),MATCH('Index&amp;Match'!O656,'Main Data'!$A656:$O656,0))</f>
        <v>36</v>
      </c>
    </row>
    <row r="658" spans="1:15" x14ac:dyDescent="0.3">
      <c r="A658" s="2" t="s">
        <v>715</v>
      </c>
      <c r="B658" s="1">
        <f>INDEX('Main Data'!$A$1:$O$1001,MATCH('Index&amp;Match'!$A658,'Main Data'!$A$1:$A$1001,0),MATCH('Index&amp;Match'!B657,'Main Data'!$A657:$O657,0))</f>
        <v>45936</v>
      </c>
      <c r="C658" s="2" t="str">
        <f>INDEX('Main Data'!$A$1:$O$1001,MATCH('Index&amp;Match'!$A658,'Main Data'!$A$1:$A$1001,0),MATCH('Index&amp;Match'!C657,'Main Data'!$A657:$O657,0))</f>
        <v>Jamie</v>
      </c>
      <c r="D658" s="2" t="str">
        <f>INDEX('Main Data'!$A$1:$O$1001,MATCH('Index&amp;Match'!$A658,'Main Data'!$A$1:$A$1001,0),MATCH('Index&amp;Match'!D657,'Main Data'!$A657:$O657,0))</f>
        <v>BR-010</v>
      </c>
      <c r="E658" s="2" t="str">
        <f>INDEX('Main Data'!$A$1:$O$1001,MATCH('Index&amp;Match'!$A658,'Main Data'!$A$1:$A$1001,0),MATCH('Index&amp;Match'!E657,'Main Data'!$A657:$O657,0))</f>
        <v>Central</v>
      </c>
      <c r="F658" s="2" t="str">
        <f>INDEX('Main Data'!$A$1:$O$1001,MATCH('Index&amp;Match'!$A658,'Main Data'!$A$1:$A$1001,0),MATCH('Index&amp;Match'!F657,'Main Data'!$A657:$O657,0))</f>
        <v>Auto Loan</v>
      </c>
      <c r="G658" s="2" t="str">
        <f>INDEX('Main Data'!$A$1:$O$1001,MATCH('Index&amp;Match'!$A658,'Main Data'!$A$1:$A$1001,0),MATCH('Index&amp;Match'!G657,'Main Data'!$A657:$O657,0))</f>
        <v>Walk-in</v>
      </c>
      <c r="H658" s="2" t="str">
        <f>INDEX('Main Data'!$A$1:$O$1001,MATCH('Index&amp;Match'!$A658,'Main Data'!$A$1:$A$1001,0),MATCH('Index&amp;Match'!H657,'Main Data'!$A657:$O657,0))</f>
        <v>SME</v>
      </c>
      <c r="I658" s="2">
        <f>INDEX('Main Data'!$A$1:$O$1001,MATCH('Index&amp;Match'!$A658,'Main Data'!$A$1:$A$1001,0),MATCH('Index&amp;Match'!I657,'Main Data'!$A657:$O657,0))</f>
        <v>66</v>
      </c>
      <c r="J658" s="2">
        <f>INDEX('Main Data'!$A$1:$O$1001,MATCH('Index&amp;Match'!$A658,'Main Data'!$A$1:$A$1001,0),MATCH('Index&amp;Match'!J657,'Main Data'!$A657:$O657,0))</f>
        <v>66</v>
      </c>
      <c r="K658" s="11">
        <f>INDEX('Main Data'!$A$1:$O$1001,MATCH('Index&amp;Match'!$A658,'Main Data'!$A$1:$A$1001,0),MATCH('Index&amp;Match'!K657,'Main Data'!$A657:$O657,0))</f>
        <v>34503.599999999999</v>
      </c>
      <c r="L658" s="11">
        <f>INDEX('Main Data'!$A$1:$O$1001,MATCH('Index&amp;Match'!$A658,'Main Data'!$A$1:$A$1001,0),MATCH('Index&amp;Match'!L657,'Main Data'!$A657:$O657,0))</f>
        <v>139.1</v>
      </c>
      <c r="M658" s="11">
        <f>INDEX('Main Data'!$A$1:$O$1001,MATCH('Index&amp;Match'!$A658,'Main Data'!$A$1:$A$1001,0),MATCH('Index&amp;Match'!M657,'Main Data'!$A657:$O657,0))</f>
        <v>4.01</v>
      </c>
      <c r="N658" s="2" t="str">
        <f>INDEX('Main Data'!$A$1:$O$1001,MATCH('Index&amp;Match'!$A658,'Main Data'!$A$1:$A$1001,0),MATCH('Index&amp;Match'!N657,'Main Data'!$A657:$O657,0))</f>
        <v>No</v>
      </c>
      <c r="O658" s="2">
        <f>INDEX('Main Data'!$A$1:$O$1001,MATCH('Index&amp;Match'!$A658,'Main Data'!$A$1:$A$1001,0),MATCH('Index&amp;Match'!O657,'Main Data'!$A657:$O657,0))</f>
        <v>66</v>
      </c>
    </row>
    <row r="659" spans="1:15" x14ac:dyDescent="0.3">
      <c r="A659" s="2" t="s">
        <v>716</v>
      </c>
      <c r="B659" s="1">
        <f>INDEX('Main Data'!$A$1:$O$1001,MATCH('Index&amp;Match'!$A659,'Main Data'!$A$1:$A$1001,0),MATCH('Index&amp;Match'!B658,'Main Data'!$A658:$O658,0))</f>
        <v>45930</v>
      </c>
      <c r="C659" s="2" t="str">
        <f>INDEX('Main Data'!$A$1:$O$1001,MATCH('Index&amp;Match'!$A659,'Main Data'!$A$1:$A$1001,0),MATCH('Index&amp;Match'!C658,'Main Data'!$A658:$O658,0))</f>
        <v>Taylor</v>
      </c>
      <c r="D659" s="2" t="str">
        <f>INDEX('Main Data'!$A$1:$O$1001,MATCH('Index&amp;Match'!$A659,'Main Data'!$A$1:$A$1001,0),MATCH('Index&amp;Match'!D658,'Main Data'!$A658:$O658,0))</f>
        <v>BR-012</v>
      </c>
      <c r="E659" s="2" t="str">
        <f>INDEX('Main Data'!$A$1:$O$1001,MATCH('Index&amp;Match'!$A659,'Main Data'!$A$1:$A$1001,0),MATCH('Index&amp;Match'!E658,'Main Data'!$A658:$O658,0))</f>
        <v>West</v>
      </c>
      <c r="F659" s="2" t="str">
        <f>INDEX('Main Data'!$A$1:$O$1001,MATCH('Index&amp;Match'!$A659,'Main Data'!$A$1:$A$1001,0),MATCH('Index&amp;Match'!F658,'Main Data'!$A658:$O658,0))</f>
        <v>Personal Loan</v>
      </c>
      <c r="G659" s="2" t="str">
        <f>INDEX('Main Data'!$A$1:$O$1001,MATCH('Index&amp;Match'!$A659,'Main Data'!$A$1:$A$1001,0),MATCH('Index&amp;Match'!G658,'Main Data'!$A658:$O658,0))</f>
        <v>Email Campaign</v>
      </c>
      <c r="H659" s="2" t="str">
        <f>INDEX('Main Data'!$A$1:$O$1001,MATCH('Index&amp;Match'!$A659,'Main Data'!$A$1:$A$1001,0),MATCH('Index&amp;Match'!H658,'Main Data'!$A658:$O658,0))</f>
        <v>Retail</v>
      </c>
      <c r="I659" s="2">
        <f>INDEX('Main Data'!$A$1:$O$1001,MATCH('Index&amp;Match'!$A659,'Main Data'!$A$1:$A$1001,0),MATCH('Index&amp;Match'!I658,'Main Data'!$A658:$O658,0))</f>
        <v>50</v>
      </c>
      <c r="J659" s="2">
        <f>INDEX('Main Data'!$A$1:$O$1001,MATCH('Index&amp;Match'!$A659,'Main Data'!$A$1:$A$1001,0),MATCH('Index&amp;Match'!J658,'Main Data'!$A658:$O658,0))</f>
        <v>50</v>
      </c>
      <c r="K659" s="11">
        <f>INDEX('Main Data'!$A$1:$O$1001,MATCH('Index&amp;Match'!$A659,'Main Data'!$A$1:$A$1001,0),MATCH('Index&amp;Match'!K658,'Main Data'!$A658:$O658,0))</f>
        <v>44709.13</v>
      </c>
      <c r="L659" s="11">
        <f>INDEX('Main Data'!$A$1:$O$1001,MATCH('Index&amp;Match'!$A659,'Main Data'!$A$1:$A$1001,0),MATCH('Index&amp;Match'!L658,'Main Data'!$A658:$O658,0))</f>
        <v>247.11</v>
      </c>
      <c r="M659" s="11">
        <f>INDEX('Main Data'!$A$1:$O$1001,MATCH('Index&amp;Match'!$A659,'Main Data'!$A$1:$A$1001,0),MATCH('Index&amp;Match'!M658,'Main Data'!$A658:$O658,0))</f>
        <v>178.09</v>
      </c>
      <c r="N659" s="2" t="str">
        <f>INDEX('Main Data'!$A$1:$O$1001,MATCH('Index&amp;Match'!$A659,'Main Data'!$A$1:$A$1001,0),MATCH('Index&amp;Match'!N658,'Main Data'!$A658:$O658,0))</f>
        <v>No</v>
      </c>
      <c r="O659" s="2">
        <f>INDEX('Main Data'!$A$1:$O$1001,MATCH('Index&amp;Match'!$A659,'Main Data'!$A$1:$A$1001,0),MATCH('Index&amp;Match'!O658,'Main Data'!$A658:$O658,0))</f>
        <v>50</v>
      </c>
    </row>
    <row r="660" spans="1:15" x14ac:dyDescent="0.3">
      <c r="A660" s="2" t="s">
        <v>717</v>
      </c>
      <c r="B660" s="1">
        <f>INDEX('Main Data'!$A$1:$O$1001,MATCH('Index&amp;Match'!$A660,'Main Data'!$A$1:$A$1001,0),MATCH('Index&amp;Match'!B659,'Main Data'!$A659:$O659,0))</f>
        <v>46101</v>
      </c>
      <c r="C660" s="2" t="str">
        <f>INDEX('Main Data'!$A$1:$O$1001,MATCH('Index&amp;Match'!$A660,'Main Data'!$A$1:$A$1001,0),MATCH('Index&amp;Match'!C659,'Main Data'!$A659:$O659,0))</f>
        <v>Morgan</v>
      </c>
      <c r="D660" s="2" t="str">
        <f>INDEX('Main Data'!$A$1:$O$1001,MATCH('Index&amp;Match'!$A660,'Main Data'!$A$1:$A$1001,0),MATCH('Index&amp;Match'!D659,'Main Data'!$A659:$O659,0))</f>
        <v>BR-002</v>
      </c>
      <c r="E660" s="2" t="str">
        <f>INDEX('Main Data'!$A$1:$O$1001,MATCH('Index&amp;Match'!$A660,'Main Data'!$A$1:$A$1001,0),MATCH('Index&amp;Match'!E659,'Main Data'!$A659:$O659,0))</f>
        <v>South</v>
      </c>
      <c r="F660" s="2" t="str">
        <f>INDEX('Main Data'!$A$1:$O$1001,MATCH('Index&amp;Match'!$A660,'Main Data'!$A$1:$A$1001,0),MATCH('Index&amp;Match'!F659,'Main Data'!$A659:$O659,0))</f>
        <v>Personal Loan</v>
      </c>
      <c r="G660" s="2" t="str">
        <f>INDEX('Main Data'!$A$1:$O$1001,MATCH('Index&amp;Match'!$A660,'Main Data'!$A$1:$A$1001,0),MATCH('Index&amp;Match'!G659,'Main Data'!$A659:$O659,0))</f>
        <v>Email Campaign</v>
      </c>
      <c r="H660" s="2" t="str">
        <f>INDEX('Main Data'!$A$1:$O$1001,MATCH('Index&amp;Match'!$A660,'Main Data'!$A$1:$A$1001,0),MATCH('Index&amp;Match'!H659,'Main Data'!$A659:$O659,0))</f>
        <v>Corporate</v>
      </c>
      <c r="I660" s="2">
        <f>INDEX('Main Data'!$A$1:$O$1001,MATCH('Index&amp;Match'!$A660,'Main Data'!$A$1:$A$1001,0),MATCH('Index&amp;Match'!I659,'Main Data'!$A659:$O659,0))</f>
        <v>72</v>
      </c>
      <c r="J660" s="2">
        <f>INDEX('Main Data'!$A$1:$O$1001,MATCH('Index&amp;Match'!$A660,'Main Data'!$A$1:$A$1001,0),MATCH('Index&amp;Match'!J659,'Main Data'!$A659:$O659,0))</f>
        <v>72</v>
      </c>
      <c r="K660" s="11">
        <f>INDEX('Main Data'!$A$1:$O$1001,MATCH('Index&amp;Match'!$A660,'Main Data'!$A$1:$A$1001,0),MATCH('Index&amp;Match'!K659,'Main Data'!$A659:$O659,0))</f>
        <v>34626.15</v>
      </c>
      <c r="L660" s="11">
        <f>INDEX('Main Data'!$A$1:$O$1001,MATCH('Index&amp;Match'!$A660,'Main Data'!$A$1:$A$1001,0),MATCH('Index&amp;Match'!L659,'Main Data'!$A659:$O659,0))</f>
        <v>233.93</v>
      </c>
      <c r="M660" s="11">
        <f>INDEX('Main Data'!$A$1:$O$1001,MATCH('Index&amp;Match'!$A660,'Main Data'!$A$1:$A$1001,0),MATCH('Index&amp;Match'!M659,'Main Data'!$A659:$O659,0))</f>
        <v>113.86</v>
      </c>
      <c r="N660" s="2" t="str">
        <f>INDEX('Main Data'!$A$1:$O$1001,MATCH('Index&amp;Match'!$A660,'Main Data'!$A$1:$A$1001,0),MATCH('Index&amp;Match'!N659,'Main Data'!$A659:$O659,0))</f>
        <v>Yes</v>
      </c>
      <c r="O660" s="2">
        <f>INDEX('Main Data'!$A$1:$O$1001,MATCH('Index&amp;Match'!$A660,'Main Data'!$A$1:$A$1001,0),MATCH('Index&amp;Match'!O659,'Main Data'!$A659:$O659,0))</f>
        <v>72</v>
      </c>
    </row>
    <row r="661" spans="1:15" x14ac:dyDescent="0.3">
      <c r="A661" s="2" t="s">
        <v>718</v>
      </c>
      <c r="B661" s="1">
        <f>INDEX('Main Data'!$A$1:$O$1001,MATCH('Index&amp;Match'!$A661,'Main Data'!$A$1:$A$1001,0),MATCH('Index&amp;Match'!B660,'Main Data'!$A660:$O660,0))</f>
        <v>46185</v>
      </c>
      <c r="C661" s="2" t="str">
        <f>INDEX('Main Data'!$A$1:$O$1001,MATCH('Index&amp;Match'!$A661,'Main Data'!$A$1:$A$1001,0),MATCH('Index&amp;Match'!C660,'Main Data'!$A660:$O660,0))</f>
        <v>Jordan</v>
      </c>
      <c r="D661" s="2" t="str">
        <f>INDEX('Main Data'!$A$1:$O$1001,MATCH('Index&amp;Match'!$A661,'Main Data'!$A$1:$A$1001,0),MATCH('Index&amp;Match'!D660,'Main Data'!$A660:$O660,0))</f>
        <v>BR-005</v>
      </c>
      <c r="E661" s="2" t="str">
        <f>INDEX('Main Data'!$A$1:$O$1001,MATCH('Index&amp;Match'!$A661,'Main Data'!$A$1:$A$1001,0),MATCH('Index&amp;Match'!E660,'Main Data'!$A660:$O660,0))</f>
        <v>North</v>
      </c>
      <c r="F661" s="2" t="str">
        <f>INDEX('Main Data'!$A$1:$O$1001,MATCH('Index&amp;Match'!$A661,'Main Data'!$A$1:$A$1001,0),MATCH('Index&amp;Match'!F660,'Main Data'!$A660:$O660,0))</f>
        <v>Personal Loan</v>
      </c>
      <c r="G661" s="2" t="str">
        <f>INDEX('Main Data'!$A$1:$O$1001,MATCH('Index&amp;Match'!$A661,'Main Data'!$A$1:$A$1001,0),MATCH('Index&amp;Match'!G660,'Main Data'!$A660:$O660,0))</f>
        <v>Social Media</v>
      </c>
      <c r="H661" s="2" t="str">
        <f>INDEX('Main Data'!$A$1:$O$1001,MATCH('Index&amp;Match'!$A661,'Main Data'!$A$1:$A$1001,0),MATCH('Index&amp;Match'!H660,'Main Data'!$A660:$O660,0))</f>
        <v>High Net Worth</v>
      </c>
      <c r="I661" s="2">
        <f>INDEX('Main Data'!$A$1:$O$1001,MATCH('Index&amp;Match'!$A661,'Main Data'!$A$1:$A$1001,0),MATCH('Index&amp;Match'!I660,'Main Data'!$A660:$O660,0))</f>
        <v>49</v>
      </c>
      <c r="J661" s="2">
        <f>INDEX('Main Data'!$A$1:$O$1001,MATCH('Index&amp;Match'!$A661,'Main Data'!$A$1:$A$1001,0),MATCH('Index&amp;Match'!J660,'Main Data'!$A660:$O660,0))</f>
        <v>49</v>
      </c>
      <c r="K661" s="11">
        <f>INDEX('Main Data'!$A$1:$O$1001,MATCH('Index&amp;Match'!$A661,'Main Data'!$A$1:$A$1001,0),MATCH('Index&amp;Match'!K660,'Main Data'!$A660:$O660,0))</f>
        <v>14548</v>
      </c>
      <c r="L661" s="11">
        <f>INDEX('Main Data'!$A$1:$O$1001,MATCH('Index&amp;Match'!$A661,'Main Data'!$A$1:$A$1001,0),MATCH('Index&amp;Match'!L660,'Main Data'!$A660:$O660,0))</f>
        <v>243.01</v>
      </c>
      <c r="M661" s="11">
        <f>INDEX('Main Data'!$A$1:$O$1001,MATCH('Index&amp;Match'!$A661,'Main Data'!$A$1:$A$1001,0),MATCH('Index&amp;Match'!M660,'Main Data'!$A660:$O660,0))</f>
        <v>243.57</v>
      </c>
      <c r="N661" s="2" t="str">
        <f>INDEX('Main Data'!$A$1:$O$1001,MATCH('Index&amp;Match'!$A661,'Main Data'!$A$1:$A$1001,0),MATCH('Index&amp;Match'!N660,'Main Data'!$A660:$O660,0))</f>
        <v>Yes</v>
      </c>
      <c r="O661" s="2">
        <f>INDEX('Main Data'!$A$1:$O$1001,MATCH('Index&amp;Match'!$A661,'Main Data'!$A$1:$A$1001,0),MATCH('Index&amp;Match'!O660,'Main Data'!$A660:$O660,0))</f>
        <v>49</v>
      </c>
    </row>
    <row r="662" spans="1:15" x14ac:dyDescent="0.3">
      <c r="A662" s="2" t="s">
        <v>719</v>
      </c>
      <c r="B662" s="1">
        <f>INDEX('Main Data'!$A$1:$O$1001,MATCH('Index&amp;Match'!$A662,'Main Data'!$A$1:$A$1001,0),MATCH('Index&amp;Match'!B661,'Main Data'!$A661:$O661,0))</f>
        <v>46107</v>
      </c>
      <c r="C662" s="2" t="str">
        <f>INDEX('Main Data'!$A$1:$O$1001,MATCH('Index&amp;Match'!$A662,'Main Data'!$A$1:$A$1001,0),MATCH('Index&amp;Match'!C661,'Main Data'!$A661:$O661,0))</f>
        <v>Drew</v>
      </c>
      <c r="D662" s="2" t="str">
        <f>INDEX('Main Data'!$A$1:$O$1001,MATCH('Index&amp;Match'!$A662,'Main Data'!$A$1:$A$1001,0),MATCH('Index&amp;Match'!D661,'Main Data'!$A661:$O661,0))</f>
        <v>BR-001</v>
      </c>
      <c r="E662" s="2" t="str">
        <f>INDEX('Main Data'!$A$1:$O$1001,MATCH('Index&amp;Match'!$A662,'Main Data'!$A$1:$A$1001,0),MATCH('Index&amp;Match'!E661,'Main Data'!$A661:$O661,0))</f>
        <v>East</v>
      </c>
      <c r="F662" s="2" t="str">
        <f>INDEX('Main Data'!$A$1:$O$1001,MATCH('Index&amp;Match'!$A662,'Main Data'!$A$1:$A$1001,0),MATCH('Index&amp;Match'!F661,'Main Data'!$A661:$O661,0))</f>
        <v>Auto Loan</v>
      </c>
      <c r="G662" s="2" t="str">
        <f>INDEX('Main Data'!$A$1:$O$1001,MATCH('Index&amp;Match'!$A662,'Main Data'!$A$1:$A$1001,0),MATCH('Index&amp;Match'!G661,'Main Data'!$A661:$O661,0))</f>
        <v>Referral</v>
      </c>
      <c r="H662" s="2" t="str">
        <f>INDEX('Main Data'!$A$1:$O$1001,MATCH('Index&amp;Match'!$A662,'Main Data'!$A$1:$A$1001,0),MATCH('Index&amp;Match'!H661,'Main Data'!$A661:$O661,0))</f>
        <v>SME</v>
      </c>
      <c r="I662" s="2">
        <f>INDEX('Main Data'!$A$1:$O$1001,MATCH('Index&amp;Match'!$A662,'Main Data'!$A$1:$A$1001,0),MATCH('Index&amp;Match'!I661,'Main Data'!$A661:$O661,0))</f>
        <v>65</v>
      </c>
      <c r="J662" s="2">
        <f>INDEX('Main Data'!$A$1:$O$1001,MATCH('Index&amp;Match'!$A662,'Main Data'!$A$1:$A$1001,0),MATCH('Index&amp;Match'!J661,'Main Data'!$A661:$O661,0))</f>
        <v>65</v>
      </c>
      <c r="K662" s="11">
        <f>INDEX('Main Data'!$A$1:$O$1001,MATCH('Index&amp;Match'!$A662,'Main Data'!$A$1:$A$1001,0),MATCH('Index&amp;Match'!K661,'Main Data'!$A661:$O661,0))</f>
        <v>34846.230000000003</v>
      </c>
      <c r="L662" s="11">
        <f>INDEX('Main Data'!$A$1:$O$1001,MATCH('Index&amp;Match'!$A662,'Main Data'!$A$1:$A$1001,0),MATCH('Index&amp;Match'!L661,'Main Data'!$A661:$O661,0))</f>
        <v>313.5</v>
      </c>
      <c r="M662" s="11">
        <f>INDEX('Main Data'!$A$1:$O$1001,MATCH('Index&amp;Match'!$A662,'Main Data'!$A$1:$A$1001,0),MATCH('Index&amp;Match'!M661,'Main Data'!$A661:$O661,0))</f>
        <v>161.59</v>
      </c>
      <c r="N662" s="2" t="str">
        <f>INDEX('Main Data'!$A$1:$O$1001,MATCH('Index&amp;Match'!$A662,'Main Data'!$A$1:$A$1001,0),MATCH('Index&amp;Match'!N661,'Main Data'!$A661:$O661,0))</f>
        <v>Yes</v>
      </c>
      <c r="O662" s="2">
        <f>INDEX('Main Data'!$A$1:$O$1001,MATCH('Index&amp;Match'!$A662,'Main Data'!$A$1:$A$1001,0),MATCH('Index&amp;Match'!O661,'Main Data'!$A661:$O661,0))</f>
        <v>65</v>
      </c>
    </row>
    <row r="663" spans="1:15" x14ac:dyDescent="0.3">
      <c r="A663" s="2" t="s">
        <v>720</v>
      </c>
      <c r="B663" s="1">
        <f>INDEX('Main Data'!$A$1:$O$1001,MATCH('Index&amp;Match'!$A663,'Main Data'!$A$1:$A$1001,0),MATCH('Index&amp;Match'!B662,'Main Data'!$A662:$O662,0))</f>
        <v>45920</v>
      </c>
      <c r="C663" s="2" t="str">
        <f>INDEX('Main Data'!$A$1:$O$1001,MATCH('Index&amp;Match'!$A663,'Main Data'!$A$1:$A$1001,0),MATCH('Index&amp;Match'!C662,'Main Data'!$A662:$O662,0))</f>
        <v>Taylor</v>
      </c>
      <c r="D663" s="2" t="str">
        <f>INDEX('Main Data'!$A$1:$O$1001,MATCH('Index&amp;Match'!$A663,'Main Data'!$A$1:$A$1001,0),MATCH('Index&amp;Match'!D662,'Main Data'!$A662:$O662,0))</f>
        <v>BR-007</v>
      </c>
      <c r="E663" s="2" t="str">
        <f>INDEX('Main Data'!$A$1:$O$1001,MATCH('Index&amp;Match'!$A663,'Main Data'!$A$1:$A$1001,0),MATCH('Index&amp;Match'!E662,'Main Data'!$A662:$O662,0))</f>
        <v>West</v>
      </c>
      <c r="F663" s="2" t="str">
        <f>INDEX('Main Data'!$A$1:$O$1001,MATCH('Index&amp;Match'!$A663,'Main Data'!$A$1:$A$1001,0),MATCH('Index&amp;Match'!F662,'Main Data'!$A662:$O662,0))</f>
        <v>Credit Card</v>
      </c>
      <c r="G663" s="2" t="str">
        <f>INDEX('Main Data'!$A$1:$O$1001,MATCH('Index&amp;Match'!$A663,'Main Data'!$A$1:$A$1001,0),MATCH('Index&amp;Match'!G662,'Main Data'!$A662:$O662,0))</f>
        <v>Walk-in</v>
      </c>
      <c r="H663" s="2" t="str">
        <f>INDEX('Main Data'!$A$1:$O$1001,MATCH('Index&amp;Match'!$A663,'Main Data'!$A$1:$A$1001,0),MATCH('Index&amp;Match'!H662,'Main Data'!$A662:$O662,0))</f>
        <v>Retail</v>
      </c>
      <c r="I663" s="2">
        <f>INDEX('Main Data'!$A$1:$O$1001,MATCH('Index&amp;Match'!$A663,'Main Data'!$A$1:$A$1001,0),MATCH('Index&amp;Match'!I662,'Main Data'!$A662:$O662,0))</f>
        <v>35</v>
      </c>
      <c r="J663" s="2">
        <f>INDEX('Main Data'!$A$1:$O$1001,MATCH('Index&amp;Match'!$A663,'Main Data'!$A$1:$A$1001,0),MATCH('Index&amp;Match'!J662,'Main Data'!$A662:$O662,0))</f>
        <v>35</v>
      </c>
      <c r="K663" s="11">
        <f>INDEX('Main Data'!$A$1:$O$1001,MATCH('Index&amp;Match'!$A663,'Main Data'!$A$1:$A$1001,0),MATCH('Index&amp;Match'!K662,'Main Data'!$A662:$O662,0))</f>
        <v>15637.77</v>
      </c>
      <c r="L663" s="11">
        <f>INDEX('Main Data'!$A$1:$O$1001,MATCH('Index&amp;Match'!$A663,'Main Data'!$A$1:$A$1001,0),MATCH('Index&amp;Match'!L662,'Main Data'!$A662:$O662,0))</f>
        <v>284.52999999999997</v>
      </c>
      <c r="M663" s="11">
        <f>INDEX('Main Data'!$A$1:$O$1001,MATCH('Index&amp;Match'!$A663,'Main Data'!$A$1:$A$1001,0),MATCH('Index&amp;Match'!M662,'Main Data'!$A662:$O662,0))</f>
        <v>37.97</v>
      </c>
      <c r="N663" s="2" t="str">
        <f>INDEX('Main Data'!$A$1:$O$1001,MATCH('Index&amp;Match'!$A663,'Main Data'!$A$1:$A$1001,0),MATCH('Index&amp;Match'!N662,'Main Data'!$A662:$O662,0))</f>
        <v>Yes</v>
      </c>
      <c r="O663" s="2">
        <f>INDEX('Main Data'!$A$1:$O$1001,MATCH('Index&amp;Match'!$A663,'Main Data'!$A$1:$A$1001,0),MATCH('Index&amp;Match'!O662,'Main Data'!$A662:$O662,0))</f>
        <v>35</v>
      </c>
    </row>
    <row r="664" spans="1:15" x14ac:dyDescent="0.3">
      <c r="A664" s="2" t="s">
        <v>721</v>
      </c>
      <c r="B664" s="1">
        <f>INDEX('Main Data'!$A$1:$O$1001,MATCH('Index&amp;Match'!$A664,'Main Data'!$A$1:$A$1001,0),MATCH('Index&amp;Match'!B663,'Main Data'!$A663:$O663,0))</f>
        <v>45985</v>
      </c>
      <c r="C664" s="2" t="str">
        <f>INDEX('Main Data'!$A$1:$O$1001,MATCH('Index&amp;Match'!$A664,'Main Data'!$A$1:$A$1001,0),MATCH('Index&amp;Match'!C663,'Main Data'!$A663:$O663,0))</f>
        <v>Casey</v>
      </c>
      <c r="D664" s="2" t="str">
        <f>INDEX('Main Data'!$A$1:$O$1001,MATCH('Index&amp;Match'!$A664,'Main Data'!$A$1:$A$1001,0),MATCH('Index&amp;Match'!D663,'Main Data'!$A663:$O663,0))</f>
        <v>BR-001</v>
      </c>
      <c r="E664" s="2" t="str">
        <f>INDEX('Main Data'!$A$1:$O$1001,MATCH('Index&amp;Match'!$A664,'Main Data'!$A$1:$A$1001,0),MATCH('Index&amp;Match'!E663,'Main Data'!$A663:$O663,0))</f>
        <v>South</v>
      </c>
      <c r="F664" s="2" t="str">
        <f>INDEX('Main Data'!$A$1:$O$1001,MATCH('Index&amp;Match'!$A664,'Main Data'!$A$1:$A$1001,0),MATCH('Index&amp;Match'!F663,'Main Data'!$A663:$O663,0))</f>
        <v>Auto Loan</v>
      </c>
      <c r="G664" s="2" t="str">
        <f>INDEX('Main Data'!$A$1:$O$1001,MATCH('Index&amp;Match'!$A664,'Main Data'!$A$1:$A$1001,0),MATCH('Index&amp;Match'!G663,'Main Data'!$A663:$O663,0))</f>
        <v>Referral</v>
      </c>
      <c r="H664" s="2" t="str">
        <f>INDEX('Main Data'!$A$1:$O$1001,MATCH('Index&amp;Match'!$A664,'Main Data'!$A$1:$A$1001,0),MATCH('Index&amp;Match'!H663,'Main Data'!$A663:$O663,0))</f>
        <v>High Net Worth</v>
      </c>
      <c r="I664" s="2">
        <f>INDEX('Main Data'!$A$1:$O$1001,MATCH('Index&amp;Match'!$A664,'Main Data'!$A$1:$A$1001,0),MATCH('Index&amp;Match'!I663,'Main Data'!$A663:$O663,0))</f>
        <v>66</v>
      </c>
      <c r="J664" s="2">
        <f>INDEX('Main Data'!$A$1:$O$1001,MATCH('Index&amp;Match'!$A664,'Main Data'!$A$1:$A$1001,0),MATCH('Index&amp;Match'!J663,'Main Data'!$A663:$O663,0))</f>
        <v>66</v>
      </c>
      <c r="K664" s="11">
        <f>INDEX('Main Data'!$A$1:$O$1001,MATCH('Index&amp;Match'!$A664,'Main Data'!$A$1:$A$1001,0),MATCH('Index&amp;Match'!K663,'Main Data'!$A663:$O663,0))</f>
        <v>38082.33</v>
      </c>
      <c r="L664" s="11">
        <f>INDEX('Main Data'!$A$1:$O$1001,MATCH('Index&amp;Match'!$A664,'Main Data'!$A$1:$A$1001,0),MATCH('Index&amp;Match'!L663,'Main Data'!$A663:$O663,0))</f>
        <v>117.4</v>
      </c>
      <c r="M664" s="11">
        <f>INDEX('Main Data'!$A$1:$O$1001,MATCH('Index&amp;Match'!$A664,'Main Data'!$A$1:$A$1001,0),MATCH('Index&amp;Match'!M663,'Main Data'!$A663:$O663,0))</f>
        <v>33.04</v>
      </c>
      <c r="N664" s="2" t="str">
        <f>INDEX('Main Data'!$A$1:$O$1001,MATCH('Index&amp;Match'!$A664,'Main Data'!$A$1:$A$1001,0),MATCH('Index&amp;Match'!N663,'Main Data'!$A663:$O663,0))</f>
        <v>No</v>
      </c>
      <c r="O664" s="2">
        <f>INDEX('Main Data'!$A$1:$O$1001,MATCH('Index&amp;Match'!$A664,'Main Data'!$A$1:$A$1001,0),MATCH('Index&amp;Match'!O663,'Main Data'!$A663:$O663,0))</f>
        <v>66</v>
      </c>
    </row>
    <row r="665" spans="1:15" x14ac:dyDescent="0.3">
      <c r="A665" s="2" t="s">
        <v>722</v>
      </c>
      <c r="B665" s="1">
        <f>INDEX('Main Data'!$A$1:$O$1001,MATCH('Index&amp;Match'!$A665,'Main Data'!$A$1:$A$1001,0),MATCH('Index&amp;Match'!B664,'Main Data'!$A664:$O664,0))</f>
        <v>45908</v>
      </c>
      <c r="C665" s="2" t="str">
        <f>INDEX('Main Data'!$A$1:$O$1001,MATCH('Index&amp;Match'!$A665,'Main Data'!$A$1:$A$1001,0),MATCH('Index&amp;Match'!C664,'Main Data'!$A664:$O664,0))</f>
        <v>Sam</v>
      </c>
      <c r="D665" s="2" t="str">
        <f>INDEX('Main Data'!$A$1:$O$1001,MATCH('Index&amp;Match'!$A665,'Main Data'!$A$1:$A$1001,0),MATCH('Index&amp;Match'!D664,'Main Data'!$A664:$O664,0))</f>
        <v>BR-004</v>
      </c>
      <c r="E665" s="2" t="str">
        <f>INDEX('Main Data'!$A$1:$O$1001,MATCH('Index&amp;Match'!$A665,'Main Data'!$A$1:$A$1001,0),MATCH('Index&amp;Match'!E664,'Main Data'!$A664:$O664,0))</f>
        <v>Central</v>
      </c>
      <c r="F665" s="2" t="str">
        <f>INDEX('Main Data'!$A$1:$O$1001,MATCH('Index&amp;Match'!$A665,'Main Data'!$A$1:$A$1001,0),MATCH('Index&amp;Match'!F664,'Main Data'!$A664:$O664,0))</f>
        <v>Personal Loan</v>
      </c>
      <c r="G665" s="2" t="str">
        <f>INDEX('Main Data'!$A$1:$O$1001,MATCH('Index&amp;Match'!$A665,'Main Data'!$A$1:$A$1001,0),MATCH('Index&amp;Match'!G664,'Main Data'!$A664:$O664,0))</f>
        <v>Website</v>
      </c>
      <c r="H665" s="2" t="str">
        <f>INDEX('Main Data'!$A$1:$O$1001,MATCH('Index&amp;Match'!$A665,'Main Data'!$A$1:$A$1001,0),MATCH('Index&amp;Match'!H664,'Main Data'!$A664:$O664,0))</f>
        <v>SME</v>
      </c>
      <c r="I665" s="2">
        <f>INDEX('Main Data'!$A$1:$O$1001,MATCH('Index&amp;Match'!$A665,'Main Data'!$A$1:$A$1001,0),MATCH('Index&amp;Match'!I664,'Main Data'!$A664:$O664,0))</f>
        <v>45</v>
      </c>
      <c r="J665" s="2">
        <f>INDEX('Main Data'!$A$1:$O$1001,MATCH('Index&amp;Match'!$A665,'Main Data'!$A$1:$A$1001,0),MATCH('Index&amp;Match'!J664,'Main Data'!$A664:$O664,0))</f>
        <v>45</v>
      </c>
      <c r="K665" s="11">
        <f>INDEX('Main Data'!$A$1:$O$1001,MATCH('Index&amp;Match'!$A665,'Main Data'!$A$1:$A$1001,0),MATCH('Index&amp;Match'!K664,'Main Data'!$A664:$O664,0))</f>
        <v>31177.52</v>
      </c>
      <c r="L665" s="11">
        <f>INDEX('Main Data'!$A$1:$O$1001,MATCH('Index&amp;Match'!$A665,'Main Data'!$A$1:$A$1001,0),MATCH('Index&amp;Match'!L664,'Main Data'!$A664:$O664,0))</f>
        <v>79.510000000000005</v>
      </c>
      <c r="M665" s="11">
        <f>INDEX('Main Data'!$A$1:$O$1001,MATCH('Index&amp;Match'!$A665,'Main Data'!$A$1:$A$1001,0),MATCH('Index&amp;Match'!M664,'Main Data'!$A664:$O664,0))</f>
        <v>144.26</v>
      </c>
      <c r="N665" s="2" t="str">
        <f>INDEX('Main Data'!$A$1:$O$1001,MATCH('Index&amp;Match'!$A665,'Main Data'!$A$1:$A$1001,0),MATCH('Index&amp;Match'!N664,'Main Data'!$A664:$O664,0))</f>
        <v>Yes</v>
      </c>
      <c r="O665" s="2">
        <f>INDEX('Main Data'!$A$1:$O$1001,MATCH('Index&amp;Match'!$A665,'Main Data'!$A$1:$A$1001,0),MATCH('Index&amp;Match'!O664,'Main Data'!$A664:$O664,0))</f>
        <v>45</v>
      </c>
    </row>
    <row r="666" spans="1:15" x14ac:dyDescent="0.3">
      <c r="A666" s="2" t="s">
        <v>723</v>
      </c>
      <c r="B666" s="1">
        <f>INDEX('Main Data'!$A$1:$O$1001,MATCH('Index&amp;Match'!$A666,'Main Data'!$A$1:$A$1001,0),MATCH('Index&amp;Match'!B665,'Main Data'!$A665:$O665,0))</f>
        <v>46137</v>
      </c>
      <c r="C666" s="2" t="str">
        <f>INDEX('Main Data'!$A$1:$O$1001,MATCH('Index&amp;Match'!$A666,'Main Data'!$A$1:$A$1001,0),MATCH('Index&amp;Match'!C665,'Main Data'!$A665:$O665,0))</f>
        <v>Alex</v>
      </c>
      <c r="D666" s="2" t="str">
        <f>INDEX('Main Data'!$A$1:$O$1001,MATCH('Index&amp;Match'!$A666,'Main Data'!$A$1:$A$1001,0),MATCH('Index&amp;Match'!D665,'Main Data'!$A665:$O665,0))</f>
        <v>BR-009</v>
      </c>
      <c r="E666" s="2" t="str">
        <f>INDEX('Main Data'!$A$1:$O$1001,MATCH('Index&amp;Match'!$A666,'Main Data'!$A$1:$A$1001,0),MATCH('Index&amp;Match'!E665,'Main Data'!$A665:$O665,0))</f>
        <v>North</v>
      </c>
      <c r="F666" s="2" t="str">
        <f>INDEX('Main Data'!$A$1:$O$1001,MATCH('Index&amp;Match'!$A666,'Main Data'!$A$1:$A$1001,0),MATCH('Index&amp;Match'!F665,'Main Data'!$A665:$O665,0))</f>
        <v>Wealth Management</v>
      </c>
      <c r="G666" s="2" t="str">
        <f>INDEX('Main Data'!$A$1:$O$1001,MATCH('Index&amp;Match'!$A666,'Main Data'!$A$1:$A$1001,0),MATCH('Index&amp;Match'!G665,'Main Data'!$A665:$O665,0))</f>
        <v>Referral</v>
      </c>
      <c r="H666" s="2" t="str">
        <f>INDEX('Main Data'!$A$1:$O$1001,MATCH('Index&amp;Match'!$A666,'Main Data'!$A$1:$A$1001,0),MATCH('Index&amp;Match'!H665,'Main Data'!$A665:$O665,0))</f>
        <v>High Net Worth</v>
      </c>
      <c r="I666" s="2">
        <f>INDEX('Main Data'!$A$1:$O$1001,MATCH('Index&amp;Match'!$A666,'Main Data'!$A$1:$A$1001,0),MATCH('Index&amp;Match'!I665,'Main Data'!$A665:$O665,0))</f>
        <v>71</v>
      </c>
      <c r="J666" s="2">
        <f>INDEX('Main Data'!$A$1:$O$1001,MATCH('Index&amp;Match'!$A666,'Main Data'!$A$1:$A$1001,0),MATCH('Index&amp;Match'!J665,'Main Data'!$A665:$O665,0))</f>
        <v>71</v>
      </c>
      <c r="K666" s="11">
        <f>INDEX('Main Data'!$A$1:$O$1001,MATCH('Index&amp;Match'!$A666,'Main Data'!$A$1:$A$1001,0),MATCH('Index&amp;Match'!K665,'Main Data'!$A665:$O665,0))</f>
        <v>4331.87</v>
      </c>
      <c r="L666" s="11">
        <f>INDEX('Main Data'!$A$1:$O$1001,MATCH('Index&amp;Match'!$A666,'Main Data'!$A$1:$A$1001,0),MATCH('Index&amp;Match'!L665,'Main Data'!$A665:$O665,0))</f>
        <v>378.24</v>
      </c>
      <c r="M666" s="11">
        <f>INDEX('Main Data'!$A$1:$O$1001,MATCH('Index&amp;Match'!$A666,'Main Data'!$A$1:$A$1001,0),MATCH('Index&amp;Match'!M665,'Main Data'!$A665:$O665,0))</f>
        <v>46.94</v>
      </c>
      <c r="N666" s="2" t="str">
        <f>INDEX('Main Data'!$A$1:$O$1001,MATCH('Index&amp;Match'!$A666,'Main Data'!$A$1:$A$1001,0),MATCH('Index&amp;Match'!N665,'Main Data'!$A665:$O665,0))</f>
        <v>No</v>
      </c>
      <c r="O666" s="2">
        <f>INDEX('Main Data'!$A$1:$O$1001,MATCH('Index&amp;Match'!$A666,'Main Data'!$A$1:$A$1001,0),MATCH('Index&amp;Match'!O665,'Main Data'!$A665:$O665,0))</f>
        <v>71</v>
      </c>
    </row>
    <row r="667" spans="1:15" x14ac:dyDescent="0.3">
      <c r="A667" s="2" t="s">
        <v>724</v>
      </c>
      <c r="B667" s="1">
        <f>INDEX('Main Data'!$A$1:$O$1001,MATCH('Index&amp;Match'!$A667,'Main Data'!$A$1:$A$1001,0),MATCH('Index&amp;Match'!B666,'Main Data'!$A666:$O666,0))</f>
        <v>45930</v>
      </c>
      <c r="C667" s="2" t="str">
        <f>INDEX('Main Data'!$A$1:$O$1001,MATCH('Index&amp;Match'!$A667,'Main Data'!$A$1:$A$1001,0),MATCH('Index&amp;Match'!C666,'Main Data'!$A666:$O666,0))</f>
        <v>Casey</v>
      </c>
      <c r="D667" s="2" t="str">
        <f>INDEX('Main Data'!$A$1:$O$1001,MATCH('Index&amp;Match'!$A667,'Main Data'!$A$1:$A$1001,0),MATCH('Index&amp;Match'!D666,'Main Data'!$A666:$O666,0))</f>
        <v>BR-001</v>
      </c>
      <c r="E667" s="2" t="str">
        <f>INDEX('Main Data'!$A$1:$O$1001,MATCH('Index&amp;Match'!$A667,'Main Data'!$A$1:$A$1001,0),MATCH('Index&amp;Match'!E666,'Main Data'!$A666:$O666,0))</f>
        <v>South</v>
      </c>
      <c r="F667" s="2" t="str">
        <f>INDEX('Main Data'!$A$1:$O$1001,MATCH('Index&amp;Match'!$A667,'Main Data'!$A$1:$A$1001,0),MATCH('Index&amp;Match'!F666,'Main Data'!$A666:$O666,0))</f>
        <v>Mortgage</v>
      </c>
      <c r="G667" s="2" t="str">
        <f>INDEX('Main Data'!$A$1:$O$1001,MATCH('Index&amp;Match'!$A667,'Main Data'!$A$1:$A$1001,0),MATCH('Index&amp;Match'!G666,'Main Data'!$A666:$O666,0))</f>
        <v>Email Campaign</v>
      </c>
      <c r="H667" s="2" t="str">
        <f>INDEX('Main Data'!$A$1:$O$1001,MATCH('Index&amp;Match'!$A667,'Main Data'!$A$1:$A$1001,0),MATCH('Index&amp;Match'!H666,'Main Data'!$A666:$O666,0))</f>
        <v>Retail</v>
      </c>
      <c r="I667" s="2">
        <f>INDEX('Main Data'!$A$1:$O$1001,MATCH('Index&amp;Match'!$A667,'Main Data'!$A$1:$A$1001,0),MATCH('Index&amp;Match'!I666,'Main Data'!$A666:$O666,0))</f>
        <v>58</v>
      </c>
      <c r="J667" s="2">
        <f>INDEX('Main Data'!$A$1:$O$1001,MATCH('Index&amp;Match'!$A667,'Main Data'!$A$1:$A$1001,0),MATCH('Index&amp;Match'!J666,'Main Data'!$A666:$O666,0))</f>
        <v>58</v>
      </c>
      <c r="K667" s="11">
        <f>INDEX('Main Data'!$A$1:$O$1001,MATCH('Index&amp;Match'!$A667,'Main Data'!$A$1:$A$1001,0),MATCH('Index&amp;Match'!K666,'Main Data'!$A666:$O666,0))</f>
        <v>25885.35</v>
      </c>
      <c r="L667" s="11">
        <f>INDEX('Main Data'!$A$1:$O$1001,MATCH('Index&amp;Match'!$A667,'Main Data'!$A$1:$A$1001,0),MATCH('Index&amp;Match'!L666,'Main Data'!$A666:$O666,0))</f>
        <v>301.87</v>
      </c>
      <c r="M667" s="11">
        <f>INDEX('Main Data'!$A$1:$O$1001,MATCH('Index&amp;Match'!$A667,'Main Data'!$A$1:$A$1001,0),MATCH('Index&amp;Match'!M666,'Main Data'!$A666:$O666,0))</f>
        <v>169.99</v>
      </c>
      <c r="N667" s="2" t="str">
        <f>INDEX('Main Data'!$A$1:$O$1001,MATCH('Index&amp;Match'!$A667,'Main Data'!$A$1:$A$1001,0),MATCH('Index&amp;Match'!N666,'Main Data'!$A666:$O666,0))</f>
        <v>Yes</v>
      </c>
      <c r="O667" s="2">
        <f>INDEX('Main Data'!$A$1:$O$1001,MATCH('Index&amp;Match'!$A667,'Main Data'!$A$1:$A$1001,0),MATCH('Index&amp;Match'!O666,'Main Data'!$A666:$O666,0))</f>
        <v>58</v>
      </c>
    </row>
    <row r="668" spans="1:15" x14ac:dyDescent="0.3">
      <c r="A668" s="2" t="s">
        <v>725</v>
      </c>
      <c r="B668" s="1">
        <f>INDEX('Main Data'!$A$1:$O$1001,MATCH('Index&amp;Match'!$A668,'Main Data'!$A$1:$A$1001,0),MATCH('Index&amp;Match'!B667,'Main Data'!$A667:$O667,0))</f>
        <v>45921</v>
      </c>
      <c r="C668" s="2" t="str">
        <f>INDEX('Main Data'!$A$1:$O$1001,MATCH('Index&amp;Match'!$A668,'Main Data'!$A$1:$A$1001,0),MATCH('Index&amp;Match'!C667,'Main Data'!$A667:$O667,0))</f>
        <v>Sam</v>
      </c>
      <c r="D668" s="2" t="str">
        <f>INDEX('Main Data'!$A$1:$O$1001,MATCH('Index&amp;Match'!$A668,'Main Data'!$A$1:$A$1001,0),MATCH('Index&amp;Match'!D667,'Main Data'!$A667:$O667,0))</f>
        <v>BR-004</v>
      </c>
      <c r="E668" s="2" t="str">
        <f>INDEX('Main Data'!$A$1:$O$1001,MATCH('Index&amp;Match'!$A668,'Main Data'!$A$1:$A$1001,0),MATCH('Index&amp;Match'!E667,'Main Data'!$A667:$O667,0))</f>
        <v>Central</v>
      </c>
      <c r="F668" s="2" t="str">
        <f>INDEX('Main Data'!$A$1:$O$1001,MATCH('Index&amp;Match'!$A668,'Main Data'!$A$1:$A$1001,0),MATCH('Index&amp;Match'!F667,'Main Data'!$A667:$O667,0))</f>
        <v>Auto Loan</v>
      </c>
      <c r="G668" s="2" t="str">
        <f>INDEX('Main Data'!$A$1:$O$1001,MATCH('Index&amp;Match'!$A668,'Main Data'!$A$1:$A$1001,0),MATCH('Index&amp;Match'!G667,'Main Data'!$A667:$O667,0))</f>
        <v>Walk-in</v>
      </c>
      <c r="H668" s="2" t="str">
        <f>INDEX('Main Data'!$A$1:$O$1001,MATCH('Index&amp;Match'!$A668,'Main Data'!$A$1:$A$1001,0),MATCH('Index&amp;Match'!H667,'Main Data'!$A667:$O667,0))</f>
        <v>Retail</v>
      </c>
      <c r="I668" s="2">
        <f>INDEX('Main Data'!$A$1:$O$1001,MATCH('Index&amp;Match'!$A668,'Main Data'!$A$1:$A$1001,0),MATCH('Index&amp;Match'!I667,'Main Data'!$A667:$O667,0))</f>
        <v>62</v>
      </c>
      <c r="J668" s="2">
        <f>INDEX('Main Data'!$A$1:$O$1001,MATCH('Index&amp;Match'!$A668,'Main Data'!$A$1:$A$1001,0),MATCH('Index&amp;Match'!J667,'Main Data'!$A667:$O667,0))</f>
        <v>62</v>
      </c>
      <c r="K668" s="11">
        <f>INDEX('Main Data'!$A$1:$O$1001,MATCH('Index&amp;Match'!$A668,'Main Data'!$A$1:$A$1001,0),MATCH('Index&amp;Match'!K667,'Main Data'!$A667:$O667,0))</f>
        <v>17493.400000000001</v>
      </c>
      <c r="L668" s="11">
        <f>INDEX('Main Data'!$A$1:$O$1001,MATCH('Index&amp;Match'!$A668,'Main Data'!$A$1:$A$1001,0),MATCH('Index&amp;Match'!L667,'Main Data'!$A667:$O667,0))</f>
        <v>211.55</v>
      </c>
      <c r="M668" s="11">
        <f>INDEX('Main Data'!$A$1:$O$1001,MATCH('Index&amp;Match'!$A668,'Main Data'!$A$1:$A$1001,0),MATCH('Index&amp;Match'!M667,'Main Data'!$A667:$O667,0))</f>
        <v>145.24</v>
      </c>
      <c r="N668" s="2" t="str">
        <f>INDEX('Main Data'!$A$1:$O$1001,MATCH('Index&amp;Match'!$A668,'Main Data'!$A$1:$A$1001,0),MATCH('Index&amp;Match'!N667,'Main Data'!$A667:$O667,0))</f>
        <v>No</v>
      </c>
      <c r="O668" s="2">
        <f>INDEX('Main Data'!$A$1:$O$1001,MATCH('Index&amp;Match'!$A668,'Main Data'!$A$1:$A$1001,0),MATCH('Index&amp;Match'!O667,'Main Data'!$A667:$O667,0))</f>
        <v>62</v>
      </c>
    </row>
    <row r="669" spans="1:15" x14ac:dyDescent="0.3">
      <c r="A669" s="2" t="s">
        <v>726</v>
      </c>
      <c r="B669" s="1">
        <f>INDEX('Main Data'!$A$1:$O$1001,MATCH('Index&amp;Match'!$A669,'Main Data'!$A$1:$A$1001,0),MATCH('Index&amp;Match'!B668,'Main Data'!$A668:$O668,0))</f>
        <v>45980</v>
      </c>
      <c r="C669" s="2" t="str">
        <f>INDEX('Main Data'!$A$1:$O$1001,MATCH('Index&amp;Match'!$A669,'Main Data'!$A$1:$A$1001,0),MATCH('Index&amp;Match'!C668,'Main Data'!$A668:$O668,0))</f>
        <v>Morgan</v>
      </c>
      <c r="D669" s="2" t="str">
        <f>INDEX('Main Data'!$A$1:$O$1001,MATCH('Index&amp;Match'!$A669,'Main Data'!$A$1:$A$1001,0),MATCH('Index&amp;Match'!D668,'Main Data'!$A668:$O668,0))</f>
        <v>BR-006</v>
      </c>
      <c r="E669" s="2" t="str">
        <f>INDEX('Main Data'!$A$1:$O$1001,MATCH('Index&amp;Match'!$A669,'Main Data'!$A$1:$A$1001,0),MATCH('Index&amp;Match'!E668,'Main Data'!$A668:$O668,0))</f>
        <v>South</v>
      </c>
      <c r="F669" s="2" t="str">
        <f>INDEX('Main Data'!$A$1:$O$1001,MATCH('Index&amp;Match'!$A669,'Main Data'!$A$1:$A$1001,0),MATCH('Index&amp;Match'!F668,'Main Data'!$A668:$O668,0))</f>
        <v>Auto Loan</v>
      </c>
      <c r="G669" s="2" t="str">
        <f>INDEX('Main Data'!$A$1:$O$1001,MATCH('Index&amp;Match'!$A669,'Main Data'!$A$1:$A$1001,0),MATCH('Index&amp;Match'!G668,'Main Data'!$A668:$O668,0))</f>
        <v>Referral</v>
      </c>
      <c r="H669" s="2" t="str">
        <f>INDEX('Main Data'!$A$1:$O$1001,MATCH('Index&amp;Match'!$A669,'Main Data'!$A$1:$A$1001,0),MATCH('Index&amp;Match'!H668,'Main Data'!$A668:$O668,0))</f>
        <v>High Net Worth</v>
      </c>
      <c r="I669" s="2">
        <f>INDEX('Main Data'!$A$1:$O$1001,MATCH('Index&amp;Match'!$A669,'Main Data'!$A$1:$A$1001,0),MATCH('Index&amp;Match'!I668,'Main Data'!$A668:$O668,0))</f>
        <v>67</v>
      </c>
      <c r="J669" s="2">
        <f>INDEX('Main Data'!$A$1:$O$1001,MATCH('Index&amp;Match'!$A669,'Main Data'!$A$1:$A$1001,0),MATCH('Index&amp;Match'!J668,'Main Data'!$A668:$O668,0))</f>
        <v>67</v>
      </c>
      <c r="K669" s="11">
        <f>INDEX('Main Data'!$A$1:$O$1001,MATCH('Index&amp;Match'!$A669,'Main Data'!$A$1:$A$1001,0),MATCH('Index&amp;Match'!K668,'Main Data'!$A668:$O668,0))</f>
        <v>16764.25</v>
      </c>
      <c r="L669" s="11">
        <f>INDEX('Main Data'!$A$1:$O$1001,MATCH('Index&amp;Match'!$A669,'Main Data'!$A$1:$A$1001,0),MATCH('Index&amp;Match'!L668,'Main Data'!$A668:$O668,0))</f>
        <v>413.76</v>
      </c>
      <c r="M669" s="11">
        <f>INDEX('Main Data'!$A$1:$O$1001,MATCH('Index&amp;Match'!$A669,'Main Data'!$A$1:$A$1001,0),MATCH('Index&amp;Match'!M668,'Main Data'!$A668:$O668,0))</f>
        <v>252.56</v>
      </c>
      <c r="N669" s="2" t="str">
        <f>INDEX('Main Data'!$A$1:$O$1001,MATCH('Index&amp;Match'!$A669,'Main Data'!$A$1:$A$1001,0),MATCH('Index&amp;Match'!N668,'Main Data'!$A668:$O668,0))</f>
        <v>Yes</v>
      </c>
      <c r="O669" s="2">
        <f>INDEX('Main Data'!$A$1:$O$1001,MATCH('Index&amp;Match'!$A669,'Main Data'!$A$1:$A$1001,0),MATCH('Index&amp;Match'!O668,'Main Data'!$A668:$O668,0))</f>
        <v>67</v>
      </c>
    </row>
    <row r="670" spans="1:15" x14ac:dyDescent="0.3">
      <c r="A670" s="2" t="s">
        <v>727</v>
      </c>
      <c r="B670" s="1">
        <f>INDEX('Main Data'!$A$1:$O$1001,MATCH('Index&amp;Match'!$A670,'Main Data'!$A$1:$A$1001,0),MATCH('Index&amp;Match'!B669,'Main Data'!$A669:$O669,0))</f>
        <v>46067</v>
      </c>
      <c r="C670" s="2" t="str">
        <f>INDEX('Main Data'!$A$1:$O$1001,MATCH('Index&amp;Match'!$A670,'Main Data'!$A$1:$A$1001,0),MATCH('Index&amp;Match'!C669,'Main Data'!$A669:$O669,0))</f>
        <v>Casey</v>
      </c>
      <c r="D670" s="2" t="str">
        <f>INDEX('Main Data'!$A$1:$O$1001,MATCH('Index&amp;Match'!$A670,'Main Data'!$A$1:$A$1001,0),MATCH('Index&amp;Match'!D669,'Main Data'!$A669:$O669,0))</f>
        <v>BR-006</v>
      </c>
      <c r="E670" s="2" t="str">
        <f>INDEX('Main Data'!$A$1:$O$1001,MATCH('Index&amp;Match'!$A670,'Main Data'!$A$1:$A$1001,0),MATCH('Index&amp;Match'!E669,'Main Data'!$A669:$O669,0))</f>
        <v>West</v>
      </c>
      <c r="F670" s="2" t="str">
        <f>INDEX('Main Data'!$A$1:$O$1001,MATCH('Index&amp;Match'!$A670,'Main Data'!$A$1:$A$1001,0),MATCH('Index&amp;Match'!F669,'Main Data'!$A669:$O669,0))</f>
        <v>Credit Card</v>
      </c>
      <c r="G670" s="2" t="str">
        <f>INDEX('Main Data'!$A$1:$O$1001,MATCH('Index&amp;Match'!$A670,'Main Data'!$A$1:$A$1001,0),MATCH('Index&amp;Match'!G669,'Main Data'!$A669:$O669,0))</f>
        <v>Walk-in</v>
      </c>
      <c r="H670" s="2" t="str">
        <f>INDEX('Main Data'!$A$1:$O$1001,MATCH('Index&amp;Match'!$A670,'Main Data'!$A$1:$A$1001,0),MATCH('Index&amp;Match'!H669,'Main Data'!$A669:$O669,0))</f>
        <v>Corporate</v>
      </c>
      <c r="I670" s="2">
        <f>INDEX('Main Data'!$A$1:$O$1001,MATCH('Index&amp;Match'!$A670,'Main Data'!$A$1:$A$1001,0),MATCH('Index&amp;Match'!I669,'Main Data'!$A669:$O669,0))</f>
        <v>73</v>
      </c>
      <c r="J670" s="2">
        <f>INDEX('Main Data'!$A$1:$O$1001,MATCH('Index&amp;Match'!$A670,'Main Data'!$A$1:$A$1001,0),MATCH('Index&amp;Match'!J669,'Main Data'!$A669:$O669,0))</f>
        <v>73</v>
      </c>
      <c r="K670" s="11">
        <f>INDEX('Main Data'!$A$1:$O$1001,MATCH('Index&amp;Match'!$A670,'Main Data'!$A$1:$A$1001,0),MATCH('Index&amp;Match'!K669,'Main Data'!$A669:$O669,0))</f>
        <v>30311.69</v>
      </c>
      <c r="L670" s="11">
        <f>INDEX('Main Data'!$A$1:$O$1001,MATCH('Index&amp;Match'!$A670,'Main Data'!$A$1:$A$1001,0),MATCH('Index&amp;Match'!L669,'Main Data'!$A669:$O669,0))</f>
        <v>224.63</v>
      </c>
      <c r="M670" s="11">
        <f>INDEX('Main Data'!$A$1:$O$1001,MATCH('Index&amp;Match'!$A670,'Main Data'!$A$1:$A$1001,0),MATCH('Index&amp;Match'!M669,'Main Data'!$A669:$O669,0))</f>
        <v>59.8</v>
      </c>
      <c r="N670" s="2" t="str">
        <f>INDEX('Main Data'!$A$1:$O$1001,MATCH('Index&amp;Match'!$A670,'Main Data'!$A$1:$A$1001,0),MATCH('Index&amp;Match'!N669,'Main Data'!$A669:$O669,0))</f>
        <v>No</v>
      </c>
      <c r="O670" s="2">
        <f>INDEX('Main Data'!$A$1:$O$1001,MATCH('Index&amp;Match'!$A670,'Main Data'!$A$1:$A$1001,0),MATCH('Index&amp;Match'!O669,'Main Data'!$A669:$O669,0))</f>
        <v>73</v>
      </c>
    </row>
    <row r="671" spans="1:15" x14ac:dyDescent="0.3">
      <c r="A671" s="2" t="s">
        <v>728</v>
      </c>
      <c r="B671" s="1">
        <f>INDEX('Main Data'!$A$1:$O$1001,MATCH('Index&amp;Match'!$A671,'Main Data'!$A$1:$A$1001,0),MATCH('Index&amp;Match'!B670,'Main Data'!$A670:$O670,0))</f>
        <v>45959</v>
      </c>
      <c r="C671" s="2" t="str">
        <f>INDEX('Main Data'!$A$1:$O$1001,MATCH('Index&amp;Match'!$A671,'Main Data'!$A$1:$A$1001,0),MATCH('Index&amp;Match'!C670,'Main Data'!$A670:$O670,0))</f>
        <v>Jamie</v>
      </c>
      <c r="D671" s="2" t="str">
        <f>INDEX('Main Data'!$A$1:$O$1001,MATCH('Index&amp;Match'!$A671,'Main Data'!$A$1:$A$1001,0),MATCH('Index&amp;Match'!D670,'Main Data'!$A670:$O670,0))</f>
        <v>BR-012</v>
      </c>
      <c r="E671" s="2" t="str">
        <f>INDEX('Main Data'!$A$1:$O$1001,MATCH('Index&amp;Match'!$A671,'Main Data'!$A$1:$A$1001,0),MATCH('Index&amp;Match'!E670,'Main Data'!$A670:$O670,0))</f>
        <v>West</v>
      </c>
      <c r="F671" s="2" t="str">
        <f>INDEX('Main Data'!$A$1:$O$1001,MATCH('Index&amp;Match'!$A671,'Main Data'!$A$1:$A$1001,0),MATCH('Index&amp;Match'!F670,'Main Data'!$A670:$O670,0))</f>
        <v>Credit Card</v>
      </c>
      <c r="G671" s="2" t="str">
        <f>INDEX('Main Data'!$A$1:$O$1001,MATCH('Index&amp;Match'!$A671,'Main Data'!$A$1:$A$1001,0),MATCH('Index&amp;Match'!G670,'Main Data'!$A670:$O670,0))</f>
        <v>Walk-in</v>
      </c>
      <c r="H671" s="2" t="str">
        <f>INDEX('Main Data'!$A$1:$O$1001,MATCH('Index&amp;Match'!$A671,'Main Data'!$A$1:$A$1001,0),MATCH('Index&amp;Match'!H670,'Main Data'!$A670:$O670,0))</f>
        <v>High Net Worth</v>
      </c>
      <c r="I671" s="2">
        <f>INDEX('Main Data'!$A$1:$O$1001,MATCH('Index&amp;Match'!$A671,'Main Data'!$A$1:$A$1001,0),MATCH('Index&amp;Match'!I670,'Main Data'!$A670:$O670,0))</f>
        <v>74</v>
      </c>
      <c r="J671" s="2">
        <f>INDEX('Main Data'!$A$1:$O$1001,MATCH('Index&amp;Match'!$A671,'Main Data'!$A$1:$A$1001,0),MATCH('Index&amp;Match'!J670,'Main Data'!$A670:$O670,0))</f>
        <v>74</v>
      </c>
      <c r="K671" s="11">
        <f>INDEX('Main Data'!$A$1:$O$1001,MATCH('Index&amp;Match'!$A671,'Main Data'!$A$1:$A$1001,0),MATCH('Index&amp;Match'!K670,'Main Data'!$A670:$O670,0))</f>
        <v>16455.080000000002</v>
      </c>
      <c r="L671" s="11">
        <f>INDEX('Main Data'!$A$1:$O$1001,MATCH('Index&amp;Match'!$A671,'Main Data'!$A$1:$A$1001,0),MATCH('Index&amp;Match'!L670,'Main Data'!$A670:$O670,0))</f>
        <v>408.18</v>
      </c>
      <c r="M671" s="11">
        <f>INDEX('Main Data'!$A$1:$O$1001,MATCH('Index&amp;Match'!$A671,'Main Data'!$A$1:$A$1001,0),MATCH('Index&amp;Match'!M670,'Main Data'!$A670:$O670,0))</f>
        <v>94.98</v>
      </c>
      <c r="N671" s="2" t="str">
        <f>INDEX('Main Data'!$A$1:$O$1001,MATCH('Index&amp;Match'!$A671,'Main Data'!$A$1:$A$1001,0),MATCH('Index&amp;Match'!N670,'Main Data'!$A670:$O670,0))</f>
        <v>No</v>
      </c>
      <c r="O671" s="2">
        <f>INDEX('Main Data'!$A$1:$O$1001,MATCH('Index&amp;Match'!$A671,'Main Data'!$A$1:$A$1001,0),MATCH('Index&amp;Match'!O670,'Main Data'!$A670:$O670,0))</f>
        <v>74</v>
      </c>
    </row>
    <row r="672" spans="1:15" x14ac:dyDescent="0.3">
      <c r="A672" s="2" t="s">
        <v>729</v>
      </c>
      <c r="B672" s="1">
        <f>INDEX('Main Data'!$A$1:$O$1001,MATCH('Index&amp;Match'!$A672,'Main Data'!$A$1:$A$1001,0),MATCH('Index&amp;Match'!B671,'Main Data'!$A671:$O671,0))</f>
        <v>46162</v>
      </c>
      <c r="C672" s="2" t="str">
        <f>INDEX('Main Data'!$A$1:$O$1001,MATCH('Index&amp;Match'!$A672,'Main Data'!$A$1:$A$1001,0),MATCH('Index&amp;Match'!C671,'Main Data'!$A671:$O671,0))</f>
        <v>Alex</v>
      </c>
      <c r="D672" s="2" t="str">
        <f>INDEX('Main Data'!$A$1:$O$1001,MATCH('Index&amp;Match'!$A672,'Main Data'!$A$1:$A$1001,0),MATCH('Index&amp;Match'!D671,'Main Data'!$A671:$O671,0))</f>
        <v>BR-015</v>
      </c>
      <c r="E672" s="2" t="str">
        <f>INDEX('Main Data'!$A$1:$O$1001,MATCH('Index&amp;Match'!$A672,'Main Data'!$A$1:$A$1001,0),MATCH('Index&amp;Match'!E671,'Main Data'!$A671:$O671,0))</f>
        <v>West</v>
      </c>
      <c r="F672" s="2" t="str">
        <f>INDEX('Main Data'!$A$1:$O$1001,MATCH('Index&amp;Match'!$A672,'Main Data'!$A$1:$A$1001,0),MATCH('Index&amp;Match'!F671,'Main Data'!$A671:$O671,0))</f>
        <v>Auto Loan</v>
      </c>
      <c r="G672" s="2" t="str">
        <f>INDEX('Main Data'!$A$1:$O$1001,MATCH('Index&amp;Match'!$A672,'Main Data'!$A$1:$A$1001,0),MATCH('Index&amp;Match'!G671,'Main Data'!$A671:$O671,0))</f>
        <v>Website</v>
      </c>
      <c r="H672" s="2" t="str">
        <f>INDEX('Main Data'!$A$1:$O$1001,MATCH('Index&amp;Match'!$A672,'Main Data'!$A$1:$A$1001,0),MATCH('Index&amp;Match'!H671,'Main Data'!$A671:$O671,0))</f>
        <v>SME</v>
      </c>
      <c r="I672" s="2">
        <f>INDEX('Main Data'!$A$1:$O$1001,MATCH('Index&amp;Match'!$A672,'Main Data'!$A$1:$A$1001,0),MATCH('Index&amp;Match'!I671,'Main Data'!$A671:$O671,0))</f>
        <v>72</v>
      </c>
      <c r="J672" s="2">
        <f>INDEX('Main Data'!$A$1:$O$1001,MATCH('Index&amp;Match'!$A672,'Main Data'!$A$1:$A$1001,0),MATCH('Index&amp;Match'!J671,'Main Data'!$A671:$O671,0))</f>
        <v>72</v>
      </c>
      <c r="K672" s="11">
        <f>INDEX('Main Data'!$A$1:$O$1001,MATCH('Index&amp;Match'!$A672,'Main Data'!$A$1:$A$1001,0),MATCH('Index&amp;Match'!K671,'Main Data'!$A671:$O671,0))</f>
        <v>38956.239999999998</v>
      </c>
      <c r="L672" s="11">
        <f>INDEX('Main Data'!$A$1:$O$1001,MATCH('Index&amp;Match'!$A672,'Main Data'!$A$1:$A$1001,0),MATCH('Index&amp;Match'!L671,'Main Data'!$A671:$O671,0))</f>
        <v>187.59</v>
      </c>
      <c r="M672" s="11">
        <f>INDEX('Main Data'!$A$1:$O$1001,MATCH('Index&amp;Match'!$A672,'Main Data'!$A$1:$A$1001,0),MATCH('Index&amp;Match'!M671,'Main Data'!$A671:$O671,0))</f>
        <v>134.24</v>
      </c>
      <c r="N672" s="2" t="str">
        <f>INDEX('Main Data'!$A$1:$O$1001,MATCH('Index&amp;Match'!$A672,'Main Data'!$A$1:$A$1001,0),MATCH('Index&amp;Match'!N671,'Main Data'!$A671:$O671,0))</f>
        <v>No</v>
      </c>
      <c r="O672" s="2">
        <f>INDEX('Main Data'!$A$1:$O$1001,MATCH('Index&amp;Match'!$A672,'Main Data'!$A$1:$A$1001,0),MATCH('Index&amp;Match'!O671,'Main Data'!$A671:$O671,0))</f>
        <v>72</v>
      </c>
    </row>
    <row r="673" spans="1:15" x14ac:dyDescent="0.3">
      <c r="A673" s="2" t="s">
        <v>730</v>
      </c>
      <c r="B673" s="1">
        <f>INDEX('Main Data'!$A$1:$O$1001,MATCH('Index&amp;Match'!$A673,'Main Data'!$A$1:$A$1001,0),MATCH('Index&amp;Match'!B672,'Main Data'!$A672:$O672,0))</f>
        <v>46118</v>
      </c>
      <c r="C673" s="2" t="str">
        <f>INDEX('Main Data'!$A$1:$O$1001,MATCH('Index&amp;Match'!$A673,'Main Data'!$A$1:$A$1001,0),MATCH('Index&amp;Match'!C672,'Main Data'!$A672:$O672,0))</f>
        <v>Sam</v>
      </c>
      <c r="D673" s="2" t="str">
        <f>INDEX('Main Data'!$A$1:$O$1001,MATCH('Index&amp;Match'!$A673,'Main Data'!$A$1:$A$1001,0),MATCH('Index&amp;Match'!D672,'Main Data'!$A672:$O672,0))</f>
        <v>BR-013</v>
      </c>
      <c r="E673" s="2" t="str">
        <f>INDEX('Main Data'!$A$1:$O$1001,MATCH('Index&amp;Match'!$A673,'Main Data'!$A$1:$A$1001,0),MATCH('Index&amp;Match'!E672,'Main Data'!$A672:$O672,0))</f>
        <v>North</v>
      </c>
      <c r="F673" s="2" t="str">
        <f>INDEX('Main Data'!$A$1:$O$1001,MATCH('Index&amp;Match'!$A673,'Main Data'!$A$1:$A$1001,0),MATCH('Index&amp;Match'!F672,'Main Data'!$A672:$O672,0))</f>
        <v>Personal Loan</v>
      </c>
      <c r="G673" s="2" t="str">
        <f>INDEX('Main Data'!$A$1:$O$1001,MATCH('Index&amp;Match'!$A673,'Main Data'!$A$1:$A$1001,0),MATCH('Index&amp;Match'!G672,'Main Data'!$A672:$O672,0))</f>
        <v>Website</v>
      </c>
      <c r="H673" s="2" t="str">
        <f>INDEX('Main Data'!$A$1:$O$1001,MATCH('Index&amp;Match'!$A673,'Main Data'!$A$1:$A$1001,0),MATCH('Index&amp;Match'!H672,'Main Data'!$A672:$O672,0))</f>
        <v>Corporate</v>
      </c>
      <c r="I673" s="2">
        <f>INDEX('Main Data'!$A$1:$O$1001,MATCH('Index&amp;Match'!$A673,'Main Data'!$A$1:$A$1001,0),MATCH('Index&amp;Match'!I672,'Main Data'!$A672:$O672,0))</f>
        <v>58</v>
      </c>
      <c r="J673" s="2">
        <f>INDEX('Main Data'!$A$1:$O$1001,MATCH('Index&amp;Match'!$A673,'Main Data'!$A$1:$A$1001,0),MATCH('Index&amp;Match'!J672,'Main Data'!$A672:$O672,0))</f>
        <v>58</v>
      </c>
      <c r="K673" s="11">
        <f>INDEX('Main Data'!$A$1:$O$1001,MATCH('Index&amp;Match'!$A673,'Main Data'!$A$1:$A$1001,0),MATCH('Index&amp;Match'!K672,'Main Data'!$A672:$O672,0))</f>
        <v>4004.18</v>
      </c>
      <c r="L673" s="11">
        <f>INDEX('Main Data'!$A$1:$O$1001,MATCH('Index&amp;Match'!$A673,'Main Data'!$A$1:$A$1001,0),MATCH('Index&amp;Match'!L672,'Main Data'!$A672:$O672,0))</f>
        <v>82.78</v>
      </c>
      <c r="M673" s="11">
        <f>INDEX('Main Data'!$A$1:$O$1001,MATCH('Index&amp;Match'!$A673,'Main Data'!$A$1:$A$1001,0),MATCH('Index&amp;Match'!M672,'Main Data'!$A672:$O672,0))</f>
        <v>6.29</v>
      </c>
      <c r="N673" s="2" t="str">
        <f>INDEX('Main Data'!$A$1:$O$1001,MATCH('Index&amp;Match'!$A673,'Main Data'!$A$1:$A$1001,0),MATCH('Index&amp;Match'!N672,'Main Data'!$A672:$O672,0))</f>
        <v>Yes</v>
      </c>
      <c r="O673" s="2">
        <f>INDEX('Main Data'!$A$1:$O$1001,MATCH('Index&amp;Match'!$A673,'Main Data'!$A$1:$A$1001,0),MATCH('Index&amp;Match'!O672,'Main Data'!$A672:$O672,0))</f>
        <v>58</v>
      </c>
    </row>
    <row r="674" spans="1:15" x14ac:dyDescent="0.3">
      <c r="A674" s="2" t="s">
        <v>731</v>
      </c>
      <c r="B674" s="1">
        <f>INDEX('Main Data'!$A$1:$O$1001,MATCH('Index&amp;Match'!$A674,'Main Data'!$A$1:$A$1001,0),MATCH('Index&amp;Match'!B673,'Main Data'!$A673:$O673,0))</f>
        <v>46119</v>
      </c>
      <c r="C674" s="2" t="str">
        <f>INDEX('Main Data'!$A$1:$O$1001,MATCH('Index&amp;Match'!$A674,'Main Data'!$A$1:$A$1001,0),MATCH('Index&amp;Match'!C673,'Main Data'!$A673:$O673,0))</f>
        <v>Sam</v>
      </c>
      <c r="D674" s="2" t="str">
        <f>INDEX('Main Data'!$A$1:$O$1001,MATCH('Index&amp;Match'!$A674,'Main Data'!$A$1:$A$1001,0),MATCH('Index&amp;Match'!D673,'Main Data'!$A673:$O673,0))</f>
        <v>BR-008</v>
      </c>
      <c r="E674" s="2" t="str">
        <f>INDEX('Main Data'!$A$1:$O$1001,MATCH('Index&amp;Match'!$A674,'Main Data'!$A$1:$A$1001,0),MATCH('Index&amp;Match'!E673,'Main Data'!$A673:$O673,0))</f>
        <v>West</v>
      </c>
      <c r="F674" s="2" t="str">
        <f>INDEX('Main Data'!$A$1:$O$1001,MATCH('Index&amp;Match'!$A674,'Main Data'!$A$1:$A$1001,0),MATCH('Index&amp;Match'!F673,'Main Data'!$A673:$O673,0))</f>
        <v>Mortgage</v>
      </c>
      <c r="G674" s="2" t="str">
        <f>INDEX('Main Data'!$A$1:$O$1001,MATCH('Index&amp;Match'!$A674,'Main Data'!$A$1:$A$1001,0),MATCH('Index&amp;Match'!G673,'Main Data'!$A673:$O673,0))</f>
        <v>Email Campaign</v>
      </c>
      <c r="H674" s="2" t="str">
        <f>INDEX('Main Data'!$A$1:$O$1001,MATCH('Index&amp;Match'!$A674,'Main Data'!$A$1:$A$1001,0),MATCH('Index&amp;Match'!H673,'Main Data'!$A673:$O673,0))</f>
        <v>SME</v>
      </c>
      <c r="I674" s="2">
        <f>INDEX('Main Data'!$A$1:$O$1001,MATCH('Index&amp;Match'!$A674,'Main Data'!$A$1:$A$1001,0),MATCH('Index&amp;Match'!I673,'Main Data'!$A673:$O673,0))</f>
        <v>43</v>
      </c>
      <c r="J674" s="2">
        <f>INDEX('Main Data'!$A$1:$O$1001,MATCH('Index&amp;Match'!$A674,'Main Data'!$A$1:$A$1001,0),MATCH('Index&amp;Match'!J673,'Main Data'!$A673:$O673,0))</f>
        <v>43</v>
      </c>
      <c r="K674" s="11">
        <f>INDEX('Main Data'!$A$1:$O$1001,MATCH('Index&amp;Match'!$A674,'Main Data'!$A$1:$A$1001,0),MATCH('Index&amp;Match'!K673,'Main Data'!$A673:$O673,0))</f>
        <v>33189.22</v>
      </c>
      <c r="L674" s="11">
        <f>INDEX('Main Data'!$A$1:$O$1001,MATCH('Index&amp;Match'!$A674,'Main Data'!$A$1:$A$1001,0),MATCH('Index&amp;Match'!L673,'Main Data'!$A673:$O673,0))</f>
        <v>469.69</v>
      </c>
      <c r="M674" s="11">
        <f>INDEX('Main Data'!$A$1:$O$1001,MATCH('Index&amp;Match'!$A674,'Main Data'!$A$1:$A$1001,0),MATCH('Index&amp;Match'!M673,'Main Data'!$A673:$O673,0))</f>
        <v>145.30000000000001</v>
      </c>
      <c r="N674" s="2" t="str">
        <f>INDEX('Main Data'!$A$1:$O$1001,MATCH('Index&amp;Match'!$A674,'Main Data'!$A$1:$A$1001,0),MATCH('Index&amp;Match'!N673,'Main Data'!$A673:$O673,0))</f>
        <v>Yes</v>
      </c>
      <c r="O674" s="2">
        <f>INDEX('Main Data'!$A$1:$O$1001,MATCH('Index&amp;Match'!$A674,'Main Data'!$A$1:$A$1001,0),MATCH('Index&amp;Match'!O673,'Main Data'!$A673:$O673,0))</f>
        <v>43</v>
      </c>
    </row>
    <row r="675" spans="1:15" x14ac:dyDescent="0.3">
      <c r="A675" s="2" t="s">
        <v>732</v>
      </c>
      <c r="B675" s="1">
        <f>INDEX('Main Data'!$A$1:$O$1001,MATCH('Index&amp;Match'!$A675,'Main Data'!$A$1:$A$1001,0),MATCH('Index&amp;Match'!B674,'Main Data'!$A674:$O674,0))</f>
        <v>46176</v>
      </c>
      <c r="C675" s="2" t="str">
        <f>INDEX('Main Data'!$A$1:$O$1001,MATCH('Index&amp;Match'!$A675,'Main Data'!$A$1:$A$1001,0),MATCH('Index&amp;Match'!C674,'Main Data'!$A674:$O674,0))</f>
        <v>Sam</v>
      </c>
      <c r="D675" s="2" t="str">
        <f>INDEX('Main Data'!$A$1:$O$1001,MATCH('Index&amp;Match'!$A675,'Main Data'!$A$1:$A$1001,0),MATCH('Index&amp;Match'!D674,'Main Data'!$A674:$O674,0))</f>
        <v>BR-001</v>
      </c>
      <c r="E675" s="2" t="str">
        <f>INDEX('Main Data'!$A$1:$O$1001,MATCH('Index&amp;Match'!$A675,'Main Data'!$A$1:$A$1001,0),MATCH('Index&amp;Match'!E674,'Main Data'!$A674:$O674,0))</f>
        <v>Central</v>
      </c>
      <c r="F675" s="2" t="str">
        <f>INDEX('Main Data'!$A$1:$O$1001,MATCH('Index&amp;Match'!$A675,'Main Data'!$A$1:$A$1001,0),MATCH('Index&amp;Match'!F674,'Main Data'!$A674:$O674,0))</f>
        <v>Credit Card</v>
      </c>
      <c r="G675" s="2" t="str">
        <f>INDEX('Main Data'!$A$1:$O$1001,MATCH('Index&amp;Match'!$A675,'Main Data'!$A$1:$A$1001,0),MATCH('Index&amp;Match'!G674,'Main Data'!$A674:$O674,0))</f>
        <v>Social Media</v>
      </c>
      <c r="H675" s="2" t="str">
        <f>INDEX('Main Data'!$A$1:$O$1001,MATCH('Index&amp;Match'!$A675,'Main Data'!$A$1:$A$1001,0),MATCH('Index&amp;Match'!H674,'Main Data'!$A674:$O674,0))</f>
        <v>High Net Worth</v>
      </c>
      <c r="I675" s="2">
        <f>INDEX('Main Data'!$A$1:$O$1001,MATCH('Index&amp;Match'!$A675,'Main Data'!$A$1:$A$1001,0),MATCH('Index&amp;Match'!I674,'Main Data'!$A674:$O674,0))</f>
        <v>45</v>
      </c>
      <c r="J675" s="2">
        <f>INDEX('Main Data'!$A$1:$O$1001,MATCH('Index&amp;Match'!$A675,'Main Data'!$A$1:$A$1001,0),MATCH('Index&amp;Match'!J674,'Main Data'!$A674:$O674,0))</f>
        <v>45</v>
      </c>
      <c r="K675" s="11">
        <f>INDEX('Main Data'!$A$1:$O$1001,MATCH('Index&amp;Match'!$A675,'Main Data'!$A$1:$A$1001,0),MATCH('Index&amp;Match'!K674,'Main Data'!$A674:$O674,0))</f>
        <v>40555.14</v>
      </c>
      <c r="L675" s="11">
        <f>INDEX('Main Data'!$A$1:$O$1001,MATCH('Index&amp;Match'!$A675,'Main Data'!$A$1:$A$1001,0),MATCH('Index&amp;Match'!L674,'Main Data'!$A674:$O674,0))</f>
        <v>227.55</v>
      </c>
      <c r="M675" s="11">
        <f>INDEX('Main Data'!$A$1:$O$1001,MATCH('Index&amp;Match'!$A675,'Main Data'!$A$1:$A$1001,0),MATCH('Index&amp;Match'!M674,'Main Data'!$A674:$O674,0))</f>
        <v>250.74</v>
      </c>
      <c r="N675" s="2" t="str">
        <f>INDEX('Main Data'!$A$1:$O$1001,MATCH('Index&amp;Match'!$A675,'Main Data'!$A$1:$A$1001,0),MATCH('Index&amp;Match'!N674,'Main Data'!$A674:$O674,0))</f>
        <v>No</v>
      </c>
      <c r="O675" s="2">
        <f>INDEX('Main Data'!$A$1:$O$1001,MATCH('Index&amp;Match'!$A675,'Main Data'!$A$1:$A$1001,0),MATCH('Index&amp;Match'!O674,'Main Data'!$A674:$O674,0))</f>
        <v>45</v>
      </c>
    </row>
    <row r="676" spans="1:15" x14ac:dyDescent="0.3">
      <c r="A676" s="2" t="s">
        <v>733</v>
      </c>
      <c r="B676" s="1">
        <f>INDEX('Main Data'!$A$1:$O$1001,MATCH('Index&amp;Match'!$A676,'Main Data'!$A$1:$A$1001,0),MATCH('Index&amp;Match'!B675,'Main Data'!$A675:$O675,0))</f>
        <v>45900</v>
      </c>
      <c r="C676" s="2" t="str">
        <f>INDEX('Main Data'!$A$1:$O$1001,MATCH('Index&amp;Match'!$A676,'Main Data'!$A$1:$A$1001,0),MATCH('Index&amp;Match'!C675,'Main Data'!$A675:$O675,0))</f>
        <v>Morgan</v>
      </c>
      <c r="D676" s="2" t="str">
        <f>INDEX('Main Data'!$A$1:$O$1001,MATCH('Index&amp;Match'!$A676,'Main Data'!$A$1:$A$1001,0),MATCH('Index&amp;Match'!D675,'Main Data'!$A675:$O675,0))</f>
        <v>BR-007</v>
      </c>
      <c r="E676" s="2" t="str">
        <f>INDEX('Main Data'!$A$1:$O$1001,MATCH('Index&amp;Match'!$A676,'Main Data'!$A$1:$A$1001,0),MATCH('Index&amp;Match'!E675,'Main Data'!$A675:$O675,0))</f>
        <v>South</v>
      </c>
      <c r="F676" s="2" t="str">
        <f>INDEX('Main Data'!$A$1:$O$1001,MATCH('Index&amp;Match'!$A676,'Main Data'!$A$1:$A$1001,0),MATCH('Index&amp;Match'!F675,'Main Data'!$A675:$O675,0))</f>
        <v>Personal Loan</v>
      </c>
      <c r="G676" s="2" t="str">
        <f>INDEX('Main Data'!$A$1:$O$1001,MATCH('Index&amp;Match'!$A676,'Main Data'!$A$1:$A$1001,0),MATCH('Index&amp;Match'!G675,'Main Data'!$A675:$O675,0))</f>
        <v>Walk-in</v>
      </c>
      <c r="H676" s="2" t="str">
        <f>INDEX('Main Data'!$A$1:$O$1001,MATCH('Index&amp;Match'!$A676,'Main Data'!$A$1:$A$1001,0),MATCH('Index&amp;Match'!H675,'Main Data'!$A675:$O675,0))</f>
        <v>Corporate</v>
      </c>
      <c r="I676" s="2">
        <f>INDEX('Main Data'!$A$1:$O$1001,MATCH('Index&amp;Match'!$A676,'Main Data'!$A$1:$A$1001,0),MATCH('Index&amp;Match'!I675,'Main Data'!$A675:$O675,0))</f>
        <v>62</v>
      </c>
      <c r="J676" s="2">
        <f>INDEX('Main Data'!$A$1:$O$1001,MATCH('Index&amp;Match'!$A676,'Main Data'!$A$1:$A$1001,0),MATCH('Index&amp;Match'!J675,'Main Data'!$A675:$O675,0))</f>
        <v>62</v>
      </c>
      <c r="K676" s="11">
        <f>INDEX('Main Data'!$A$1:$O$1001,MATCH('Index&amp;Match'!$A676,'Main Data'!$A$1:$A$1001,0),MATCH('Index&amp;Match'!K675,'Main Data'!$A675:$O675,0))</f>
        <v>33805.17</v>
      </c>
      <c r="L676" s="11">
        <f>INDEX('Main Data'!$A$1:$O$1001,MATCH('Index&amp;Match'!$A676,'Main Data'!$A$1:$A$1001,0),MATCH('Index&amp;Match'!L675,'Main Data'!$A675:$O675,0))</f>
        <v>406.71</v>
      </c>
      <c r="M676" s="11">
        <f>INDEX('Main Data'!$A$1:$O$1001,MATCH('Index&amp;Match'!$A676,'Main Data'!$A$1:$A$1001,0),MATCH('Index&amp;Match'!M675,'Main Data'!$A675:$O675,0))</f>
        <v>83.03</v>
      </c>
      <c r="N676" s="2" t="str">
        <f>INDEX('Main Data'!$A$1:$O$1001,MATCH('Index&amp;Match'!$A676,'Main Data'!$A$1:$A$1001,0),MATCH('Index&amp;Match'!N675,'Main Data'!$A675:$O675,0))</f>
        <v>Yes</v>
      </c>
      <c r="O676" s="2">
        <f>INDEX('Main Data'!$A$1:$O$1001,MATCH('Index&amp;Match'!$A676,'Main Data'!$A$1:$A$1001,0),MATCH('Index&amp;Match'!O675,'Main Data'!$A675:$O675,0))</f>
        <v>62</v>
      </c>
    </row>
    <row r="677" spans="1:15" x14ac:dyDescent="0.3">
      <c r="A677" s="2" t="s">
        <v>734</v>
      </c>
      <c r="B677" s="1">
        <f>INDEX('Main Data'!$A$1:$O$1001,MATCH('Index&amp;Match'!$A677,'Main Data'!$A$1:$A$1001,0),MATCH('Index&amp;Match'!B676,'Main Data'!$A676:$O676,0))</f>
        <v>46157</v>
      </c>
      <c r="C677" s="2" t="str">
        <f>INDEX('Main Data'!$A$1:$O$1001,MATCH('Index&amp;Match'!$A677,'Main Data'!$A$1:$A$1001,0),MATCH('Index&amp;Match'!C676,'Main Data'!$A676:$O676,0))</f>
        <v>Casey</v>
      </c>
      <c r="D677" s="2" t="str">
        <f>INDEX('Main Data'!$A$1:$O$1001,MATCH('Index&amp;Match'!$A677,'Main Data'!$A$1:$A$1001,0),MATCH('Index&amp;Match'!D676,'Main Data'!$A676:$O676,0))</f>
        <v>BR-001</v>
      </c>
      <c r="E677" s="2" t="str">
        <f>INDEX('Main Data'!$A$1:$O$1001,MATCH('Index&amp;Match'!$A677,'Main Data'!$A$1:$A$1001,0),MATCH('Index&amp;Match'!E676,'Main Data'!$A676:$O676,0))</f>
        <v>East</v>
      </c>
      <c r="F677" s="2" t="str">
        <f>INDEX('Main Data'!$A$1:$O$1001,MATCH('Index&amp;Match'!$A677,'Main Data'!$A$1:$A$1001,0),MATCH('Index&amp;Match'!F676,'Main Data'!$A676:$O676,0))</f>
        <v>Wealth Management</v>
      </c>
      <c r="G677" s="2" t="str">
        <f>INDEX('Main Data'!$A$1:$O$1001,MATCH('Index&amp;Match'!$A677,'Main Data'!$A$1:$A$1001,0),MATCH('Index&amp;Match'!G676,'Main Data'!$A676:$O676,0))</f>
        <v>Social Media</v>
      </c>
      <c r="H677" s="2" t="str">
        <f>INDEX('Main Data'!$A$1:$O$1001,MATCH('Index&amp;Match'!$A677,'Main Data'!$A$1:$A$1001,0),MATCH('Index&amp;Match'!H676,'Main Data'!$A676:$O676,0))</f>
        <v>SME</v>
      </c>
      <c r="I677" s="2">
        <f>INDEX('Main Data'!$A$1:$O$1001,MATCH('Index&amp;Match'!$A677,'Main Data'!$A$1:$A$1001,0),MATCH('Index&amp;Match'!I676,'Main Data'!$A676:$O676,0))</f>
        <v>27</v>
      </c>
      <c r="J677" s="2">
        <f>INDEX('Main Data'!$A$1:$O$1001,MATCH('Index&amp;Match'!$A677,'Main Data'!$A$1:$A$1001,0),MATCH('Index&amp;Match'!J676,'Main Data'!$A676:$O676,0))</f>
        <v>27</v>
      </c>
      <c r="K677" s="11">
        <f>INDEX('Main Data'!$A$1:$O$1001,MATCH('Index&amp;Match'!$A677,'Main Data'!$A$1:$A$1001,0),MATCH('Index&amp;Match'!K676,'Main Data'!$A676:$O676,0))</f>
        <v>25112.85</v>
      </c>
      <c r="L677" s="11">
        <f>INDEX('Main Data'!$A$1:$O$1001,MATCH('Index&amp;Match'!$A677,'Main Data'!$A$1:$A$1001,0),MATCH('Index&amp;Match'!L676,'Main Data'!$A676:$O676,0))</f>
        <v>175.61</v>
      </c>
      <c r="M677" s="11">
        <f>INDEX('Main Data'!$A$1:$O$1001,MATCH('Index&amp;Match'!$A677,'Main Data'!$A$1:$A$1001,0),MATCH('Index&amp;Match'!M676,'Main Data'!$A676:$O676,0))</f>
        <v>152.97999999999999</v>
      </c>
      <c r="N677" s="2" t="str">
        <f>INDEX('Main Data'!$A$1:$O$1001,MATCH('Index&amp;Match'!$A677,'Main Data'!$A$1:$A$1001,0),MATCH('Index&amp;Match'!N676,'Main Data'!$A676:$O676,0))</f>
        <v>Yes</v>
      </c>
      <c r="O677" s="2">
        <f>INDEX('Main Data'!$A$1:$O$1001,MATCH('Index&amp;Match'!$A677,'Main Data'!$A$1:$A$1001,0),MATCH('Index&amp;Match'!O676,'Main Data'!$A676:$O676,0))</f>
        <v>27</v>
      </c>
    </row>
    <row r="678" spans="1:15" x14ac:dyDescent="0.3">
      <c r="A678" s="2" t="s">
        <v>735</v>
      </c>
      <c r="B678" s="1">
        <f>INDEX('Main Data'!$A$1:$O$1001,MATCH('Index&amp;Match'!$A678,'Main Data'!$A$1:$A$1001,0),MATCH('Index&amp;Match'!B677,'Main Data'!$A677:$O677,0))</f>
        <v>45888</v>
      </c>
      <c r="C678" s="2" t="str">
        <f>INDEX('Main Data'!$A$1:$O$1001,MATCH('Index&amp;Match'!$A678,'Main Data'!$A$1:$A$1001,0),MATCH('Index&amp;Match'!C677,'Main Data'!$A677:$O677,0))</f>
        <v>Morgan</v>
      </c>
      <c r="D678" s="2" t="str">
        <f>INDEX('Main Data'!$A$1:$O$1001,MATCH('Index&amp;Match'!$A678,'Main Data'!$A$1:$A$1001,0),MATCH('Index&amp;Match'!D677,'Main Data'!$A677:$O677,0))</f>
        <v>BR-013</v>
      </c>
      <c r="E678" s="2" t="str">
        <f>INDEX('Main Data'!$A$1:$O$1001,MATCH('Index&amp;Match'!$A678,'Main Data'!$A$1:$A$1001,0),MATCH('Index&amp;Match'!E677,'Main Data'!$A677:$O677,0))</f>
        <v>Central</v>
      </c>
      <c r="F678" s="2" t="str">
        <f>INDEX('Main Data'!$A$1:$O$1001,MATCH('Index&amp;Match'!$A678,'Main Data'!$A$1:$A$1001,0),MATCH('Index&amp;Match'!F677,'Main Data'!$A677:$O677,0))</f>
        <v>Credit Card</v>
      </c>
      <c r="G678" s="2" t="str">
        <f>INDEX('Main Data'!$A$1:$O$1001,MATCH('Index&amp;Match'!$A678,'Main Data'!$A$1:$A$1001,0),MATCH('Index&amp;Match'!G677,'Main Data'!$A677:$O677,0))</f>
        <v>Email Campaign</v>
      </c>
      <c r="H678" s="2" t="str">
        <f>INDEX('Main Data'!$A$1:$O$1001,MATCH('Index&amp;Match'!$A678,'Main Data'!$A$1:$A$1001,0),MATCH('Index&amp;Match'!H677,'Main Data'!$A677:$O677,0))</f>
        <v>High Net Worth</v>
      </c>
      <c r="I678" s="2">
        <f>INDEX('Main Data'!$A$1:$O$1001,MATCH('Index&amp;Match'!$A678,'Main Data'!$A$1:$A$1001,0),MATCH('Index&amp;Match'!I677,'Main Data'!$A677:$O677,0))</f>
        <v>42</v>
      </c>
      <c r="J678" s="2">
        <f>INDEX('Main Data'!$A$1:$O$1001,MATCH('Index&amp;Match'!$A678,'Main Data'!$A$1:$A$1001,0),MATCH('Index&amp;Match'!J677,'Main Data'!$A677:$O677,0))</f>
        <v>42</v>
      </c>
      <c r="K678" s="11">
        <f>INDEX('Main Data'!$A$1:$O$1001,MATCH('Index&amp;Match'!$A678,'Main Data'!$A$1:$A$1001,0),MATCH('Index&amp;Match'!K677,'Main Data'!$A677:$O677,0))</f>
        <v>47540.2</v>
      </c>
      <c r="L678" s="11">
        <f>INDEX('Main Data'!$A$1:$O$1001,MATCH('Index&amp;Match'!$A678,'Main Data'!$A$1:$A$1001,0),MATCH('Index&amp;Match'!L677,'Main Data'!$A677:$O677,0))</f>
        <v>340.86</v>
      </c>
      <c r="M678" s="11">
        <f>INDEX('Main Data'!$A$1:$O$1001,MATCH('Index&amp;Match'!$A678,'Main Data'!$A$1:$A$1001,0),MATCH('Index&amp;Match'!M677,'Main Data'!$A677:$O677,0))</f>
        <v>52.38</v>
      </c>
      <c r="N678" s="2" t="str">
        <f>INDEX('Main Data'!$A$1:$O$1001,MATCH('Index&amp;Match'!$A678,'Main Data'!$A$1:$A$1001,0),MATCH('Index&amp;Match'!N677,'Main Data'!$A677:$O677,0))</f>
        <v>Yes</v>
      </c>
      <c r="O678" s="2">
        <f>INDEX('Main Data'!$A$1:$O$1001,MATCH('Index&amp;Match'!$A678,'Main Data'!$A$1:$A$1001,0),MATCH('Index&amp;Match'!O677,'Main Data'!$A677:$O677,0))</f>
        <v>42</v>
      </c>
    </row>
    <row r="679" spans="1:15" x14ac:dyDescent="0.3">
      <c r="A679" s="2" t="s">
        <v>736</v>
      </c>
      <c r="B679" s="1">
        <f>INDEX('Main Data'!$A$1:$O$1001,MATCH('Index&amp;Match'!$A679,'Main Data'!$A$1:$A$1001,0),MATCH('Index&amp;Match'!B678,'Main Data'!$A678:$O678,0))</f>
        <v>46043</v>
      </c>
      <c r="C679" s="2" t="str">
        <f>INDEX('Main Data'!$A$1:$O$1001,MATCH('Index&amp;Match'!$A679,'Main Data'!$A$1:$A$1001,0),MATCH('Index&amp;Match'!C678,'Main Data'!$A678:$O678,0))</f>
        <v>Drew</v>
      </c>
      <c r="D679" s="2" t="str">
        <f>INDEX('Main Data'!$A$1:$O$1001,MATCH('Index&amp;Match'!$A679,'Main Data'!$A$1:$A$1001,0),MATCH('Index&amp;Match'!D678,'Main Data'!$A678:$O678,0))</f>
        <v>BR-014</v>
      </c>
      <c r="E679" s="2" t="str">
        <f>INDEX('Main Data'!$A$1:$O$1001,MATCH('Index&amp;Match'!$A679,'Main Data'!$A$1:$A$1001,0),MATCH('Index&amp;Match'!E678,'Main Data'!$A678:$O678,0))</f>
        <v>Central</v>
      </c>
      <c r="F679" s="2" t="str">
        <f>INDEX('Main Data'!$A$1:$O$1001,MATCH('Index&amp;Match'!$A679,'Main Data'!$A$1:$A$1001,0),MATCH('Index&amp;Match'!F678,'Main Data'!$A678:$O678,0))</f>
        <v>Personal Loan</v>
      </c>
      <c r="G679" s="2" t="str">
        <f>INDEX('Main Data'!$A$1:$O$1001,MATCH('Index&amp;Match'!$A679,'Main Data'!$A$1:$A$1001,0),MATCH('Index&amp;Match'!G678,'Main Data'!$A678:$O678,0))</f>
        <v>Walk-in</v>
      </c>
      <c r="H679" s="2" t="str">
        <f>INDEX('Main Data'!$A$1:$O$1001,MATCH('Index&amp;Match'!$A679,'Main Data'!$A$1:$A$1001,0),MATCH('Index&amp;Match'!H678,'Main Data'!$A678:$O678,0))</f>
        <v>High Net Worth</v>
      </c>
      <c r="I679" s="2">
        <f>INDEX('Main Data'!$A$1:$O$1001,MATCH('Index&amp;Match'!$A679,'Main Data'!$A$1:$A$1001,0),MATCH('Index&amp;Match'!I678,'Main Data'!$A678:$O678,0))</f>
        <v>37</v>
      </c>
      <c r="J679" s="2">
        <f>INDEX('Main Data'!$A$1:$O$1001,MATCH('Index&amp;Match'!$A679,'Main Data'!$A$1:$A$1001,0),MATCH('Index&amp;Match'!J678,'Main Data'!$A678:$O678,0))</f>
        <v>37</v>
      </c>
      <c r="K679" s="11">
        <f>INDEX('Main Data'!$A$1:$O$1001,MATCH('Index&amp;Match'!$A679,'Main Data'!$A$1:$A$1001,0),MATCH('Index&amp;Match'!K678,'Main Data'!$A678:$O678,0))</f>
        <v>15346.96</v>
      </c>
      <c r="L679" s="11">
        <f>INDEX('Main Data'!$A$1:$O$1001,MATCH('Index&amp;Match'!$A679,'Main Data'!$A$1:$A$1001,0),MATCH('Index&amp;Match'!L678,'Main Data'!$A678:$O678,0))</f>
        <v>442.99</v>
      </c>
      <c r="M679" s="11">
        <f>INDEX('Main Data'!$A$1:$O$1001,MATCH('Index&amp;Match'!$A679,'Main Data'!$A$1:$A$1001,0),MATCH('Index&amp;Match'!M678,'Main Data'!$A678:$O678,0))</f>
        <v>96.68</v>
      </c>
      <c r="N679" s="2" t="str">
        <f>INDEX('Main Data'!$A$1:$O$1001,MATCH('Index&amp;Match'!$A679,'Main Data'!$A$1:$A$1001,0),MATCH('Index&amp;Match'!N678,'Main Data'!$A678:$O678,0))</f>
        <v>Yes</v>
      </c>
      <c r="O679" s="2">
        <f>INDEX('Main Data'!$A$1:$O$1001,MATCH('Index&amp;Match'!$A679,'Main Data'!$A$1:$A$1001,0),MATCH('Index&amp;Match'!O678,'Main Data'!$A678:$O678,0))</f>
        <v>37</v>
      </c>
    </row>
    <row r="680" spans="1:15" x14ac:dyDescent="0.3">
      <c r="A680" s="2" t="s">
        <v>737</v>
      </c>
      <c r="B680" s="1">
        <f>INDEX('Main Data'!$A$1:$O$1001,MATCH('Index&amp;Match'!$A680,'Main Data'!$A$1:$A$1001,0),MATCH('Index&amp;Match'!B679,'Main Data'!$A679:$O679,0))</f>
        <v>46004</v>
      </c>
      <c r="C680" s="2" t="str">
        <f>INDEX('Main Data'!$A$1:$O$1001,MATCH('Index&amp;Match'!$A680,'Main Data'!$A$1:$A$1001,0),MATCH('Index&amp;Match'!C679,'Main Data'!$A679:$O679,0))</f>
        <v>Jordan</v>
      </c>
      <c r="D680" s="2" t="str">
        <f>INDEX('Main Data'!$A$1:$O$1001,MATCH('Index&amp;Match'!$A680,'Main Data'!$A$1:$A$1001,0),MATCH('Index&amp;Match'!D679,'Main Data'!$A679:$O679,0))</f>
        <v>BR-007</v>
      </c>
      <c r="E680" s="2" t="str">
        <f>INDEX('Main Data'!$A$1:$O$1001,MATCH('Index&amp;Match'!$A680,'Main Data'!$A$1:$A$1001,0),MATCH('Index&amp;Match'!E679,'Main Data'!$A679:$O679,0))</f>
        <v>West</v>
      </c>
      <c r="F680" s="2" t="str">
        <f>INDEX('Main Data'!$A$1:$O$1001,MATCH('Index&amp;Match'!$A680,'Main Data'!$A$1:$A$1001,0),MATCH('Index&amp;Match'!F679,'Main Data'!$A679:$O679,0))</f>
        <v>Personal Loan</v>
      </c>
      <c r="G680" s="2" t="str">
        <f>INDEX('Main Data'!$A$1:$O$1001,MATCH('Index&amp;Match'!$A680,'Main Data'!$A$1:$A$1001,0),MATCH('Index&amp;Match'!G679,'Main Data'!$A679:$O679,0))</f>
        <v>Walk-in</v>
      </c>
      <c r="H680" s="2" t="str">
        <f>INDEX('Main Data'!$A$1:$O$1001,MATCH('Index&amp;Match'!$A680,'Main Data'!$A$1:$A$1001,0),MATCH('Index&amp;Match'!H679,'Main Data'!$A679:$O679,0))</f>
        <v>Corporate</v>
      </c>
      <c r="I680" s="2">
        <f>INDEX('Main Data'!$A$1:$O$1001,MATCH('Index&amp;Match'!$A680,'Main Data'!$A$1:$A$1001,0),MATCH('Index&amp;Match'!I679,'Main Data'!$A679:$O679,0))</f>
        <v>38</v>
      </c>
      <c r="J680" s="2">
        <f>INDEX('Main Data'!$A$1:$O$1001,MATCH('Index&amp;Match'!$A680,'Main Data'!$A$1:$A$1001,0),MATCH('Index&amp;Match'!J679,'Main Data'!$A679:$O679,0))</f>
        <v>38</v>
      </c>
      <c r="K680" s="11">
        <f>INDEX('Main Data'!$A$1:$O$1001,MATCH('Index&amp;Match'!$A680,'Main Data'!$A$1:$A$1001,0),MATCH('Index&amp;Match'!K679,'Main Data'!$A679:$O679,0))</f>
        <v>1448.81</v>
      </c>
      <c r="L680" s="11">
        <f>INDEX('Main Data'!$A$1:$O$1001,MATCH('Index&amp;Match'!$A680,'Main Data'!$A$1:$A$1001,0),MATCH('Index&amp;Match'!L679,'Main Data'!$A679:$O679,0))</f>
        <v>68.739999999999995</v>
      </c>
      <c r="M680" s="11">
        <f>INDEX('Main Data'!$A$1:$O$1001,MATCH('Index&amp;Match'!$A680,'Main Data'!$A$1:$A$1001,0),MATCH('Index&amp;Match'!M679,'Main Data'!$A679:$O679,0))</f>
        <v>194.86</v>
      </c>
      <c r="N680" s="2" t="str">
        <f>INDEX('Main Data'!$A$1:$O$1001,MATCH('Index&amp;Match'!$A680,'Main Data'!$A$1:$A$1001,0),MATCH('Index&amp;Match'!N679,'Main Data'!$A679:$O679,0))</f>
        <v>Yes</v>
      </c>
      <c r="O680" s="2">
        <f>INDEX('Main Data'!$A$1:$O$1001,MATCH('Index&amp;Match'!$A680,'Main Data'!$A$1:$A$1001,0),MATCH('Index&amp;Match'!O679,'Main Data'!$A679:$O679,0))</f>
        <v>38</v>
      </c>
    </row>
    <row r="681" spans="1:15" x14ac:dyDescent="0.3">
      <c r="A681" s="2" t="s">
        <v>738</v>
      </c>
      <c r="B681" s="1">
        <f>INDEX('Main Data'!$A$1:$O$1001,MATCH('Index&amp;Match'!$A681,'Main Data'!$A$1:$A$1001,0),MATCH('Index&amp;Match'!B680,'Main Data'!$A680:$O680,0))</f>
        <v>46138</v>
      </c>
      <c r="C681" s="2" t="str">
        <f>INDEX('Main Data'!$A$1:$O$1001,MATCH('Index&amp;Match'!$A681,'Main Data'!$A$1:$A$1001,0),MATCH('Index&amp;Match'!C680,'Main Data'!$A680:$O680,0))</f>
        <v>Jordan</v>
      </c>
      <c r="D681" s="2" t="str">
        <f>INDEX('Main Data'!$A$1:$O$1001,MATCH('Index&amp;Match'!$A681,'Main Data'!$A$1:$A$1001,0),MATCH('Index&amp;Match'!D680,'Main Data'!$A680:$O680,0))</f>
        <v>BR-003</v>
      </c>
      <c r="E681" s="2" t="str">
        <f>INDEX('Main Data'!$A$1:$O$1001,MATCH('Index&amp;Match'!$A681,'Main Data'!$A$1:$A$1001,0),MATCH('Index&amp;Match'!E680,'Main Data'!$A680:$O680,0))</f>
        <v>North</v>
      </c>
      <c r="F681" s="2" t="str">
        <f>INDEX('Main Data'!$A$1:$O$1001,MATCH('Index&amp;Match'!$A681,'Main Data'!$A$1:$A$1001,0),MATCH('Index&amp;Match'!F680,'Main Data'!$A680:$O680,0))</f>
        <v>Mortgage</v>
      </c>
      <c r="G681" s="2" t="str">
        <f>INDEX('Main Data'!$A$1:$O$1001,MATCH('Index&amp;Match'!$A681,'Main Data'!$A$1:$A$1001,0),MATCH('Index&amp;Match'!G680,'Main Data'!$A680:$O680,0))</f>
        <v>Social Media</v>
      </c>
      <c r="H681" s="2" t="str">
        <f>INDEX('Main Data'!$A$1:$O$1001,MATCH('Index&amp;Match'!$A681,'Main Data'!$A$1:$A$1001,0),MATCH('Index&amp;Match'!H680,'Main Data'!$A680:$O680,0))</f>
        <v>High Net Worth</v>
      </c>
      <c r="I681" s="2">
        <f>INDEX('Main Data'!$A$1:$O$1001,MATCH('Index&amp;Match'!$A681,'Main Data'!$A$1:$A$1001,0),MATCH('Index&amp;Match'!I680,'Main Data'!$A680:$O680,0))</f>
        <v>69</v>
      </c>
      <c r="J681" s="2">
        <f>INDEX('Main Data'!$A$1:$O$1001,MATCH('Index&amp;Match'!$A681,'Main Data'!$A$1:$A$1001,0),MATCH('Index&amp;Match'!J680,'Main Data'!$A680:$O680,0))</f>
        <v>69</v>
      </c>
      <c r="K681" s="11">
        <f>INDEX('Main Data'!$A$1:$O$1001,MATCH('Index&amp;Match'!$A681,'Main Data'!$A$1:$A$1001,0),MATCH('Index&amp;Match'!K680,'Main Data'!$A680:$O680,0))</f>
        <v>21883.47</v>
      </c>
      <c r="L681" s="11">
        <f>INDEX('Main Data'!$A$1:$O$1001,MATCH('Index&amp;Match'!$A681,'Main Data'!$A$1:$A$1001,0),MATCH('Index&amp;Match'!L680,'Main Data'!$A680:$O680,0))</f>
        <v>423.79</v>
      </c>
      <c r="M681" s="11">
        <f>INDEX('Main Data'!$A$1:$O$1001,MATCH('Index&amp;Match'!$A681,'Main Data'!$A$1:$A$1001,0),MATCH('Index&amp;Match'!M680,'Main Data'!$A680:$O680,0))</f>
        <v>295.91000000000003</v>
      </c>
      <c r="N681" s="2" t="str">
        <f>INDEX('Main Data'!$A$1:$O$1001,MATCH('Index&amp;Match'!$A681,'Main Data'!$A$1:$A$1001,0),MATCH('Index&amp;Match'!N680,'Main Data'!$A680:$O680,0))</f>
        <v>Yes</v>
      </c>
      <c r="O681" s="2">
        <f>INDEX('Main Data'!$A$1:$O$1001,MATCH('Index&amp;Match'!$A681,'Main Data'!$A$1:$A$1001,0),MATCH('Index&amp;Match'!O680,'Main Data'!$A680:$O680,0))</f>
        <v>69</v>
      </c>
    </row>
    <row r="682" spans="1:15" x14ac:dyDescent="0.3">
      <c r="A682" s="2" t="s">
        <v>739</v>
      </c>
      <c r="B682" s="1">
        <f>INDEX('Main Data'!$A$1:$O$1001,MATCH('Index&amp;Match'!$A682,'Main Data'!$A$1:$A$1001,0),MATCH('Index&amp;Match'!B681,'Main Data'!$A681:$O681,0))</f>
        <v>46191</v>
      </c>
      <c r="C682" s="2" t="str">
        <f>INDEX('Main Data'!$A$1:$O$1001,MATCH('Index&amp;Match'!$A682,'Main Data'!$A$1:$A$1001,0),MATCH('Index&amp;Match'!C681,'Main Data'!$A681:$O681,0))</f>
        <v>Drew</v>
      </c>
      <c r="D682" s="2" t="str">
        <f>INDEX('Main Data'!$A$1:$O$1001,MATCH('Index&amp;Match'!$A682,'Main Data'!$A$1:$A$1001,0),MATCH('Index&amp;Match'!D681,'Main Data'!$A681:$O681,0))</f>
        <v>BR-011</v>
      </c>
      <c r="E682" s="2" t="str">
        <f>INDEX('Main Data'!$A$1:$O$1001,MATCH('Index&amp;Match'!$A682,'Main Data'!$A$1:$A$1001,0),MATCH('Index&amp;Match'!E681,'Main Data'!$A681:$O681,0))</f>
        <v>South</v>
      </c>
      <c r="F682" s="2" t="str">
        <f>INDEX('Main Data'!$A$1:$O$1001,MATCH('Index&amp;Match'!$A682,'Main Data'!$A$1:$A$1001,0),MATCH('Index&amp;Match'!F681,'Main Data'!$A681:$O681,0))</f>
        <v>Mortgage</v>
      </c>
      <c r="G682" s="2" t="str">
        <f>INDEX('Main Data'!$A$1:$O$1001,MATCH('Index&amp;Match'!$A682,'Main Data'!$A$1:$A$1001,0),MATCH('Index&amp;Match'!G681,'Main Data'!$A681:$O681,0))</f>
        <v>Referral</v>
      </c>
      <c r="H682" s="2" t="str">
        <f>INDEX('Main Data'!$A$1:$O$1001,MATCH('Index&amp;Match'!$A682,'Main Data'!$A$1:$A$1001,0),MATCH('Index&amp;Match'!H681,'Main Data'!$A681:$O681,0))</f>
        <v>Retail</v>
      </c>
      <c r="I682" s="2">
        <f>INDEX('Main Data'!$A$1:$O$1001,MATCH('Index&amp;Match'!$A682,'Main Data'!$A$1:$A$1001,0),MATCH('Index&amp;Match'!I681,'Main Data'!$A681:$O681,0))</f>
        <v>61</v>
      </c>
      <c r="J682" s="2">
        <f>INDEX('Main Data'!$A$1:$O$1001,MATCH('Index&amp;Match'!$A682,'Main Data'!$A$1:$A$1001,0),MATCH('Index&amp;Match'!J681,'Main Data'!$A681:$O681,0))</f>
        <v>61</v>
      </c>
      <c r="K682" s="11">
        <f>INDEX('Main Data'!$A$1:$O$1001,MATCH('Index&amp;Match'!$A682,'Main Data'!$A$1:$A$1001,0),MATCH('Index&amp;Match'!K681,'Main Data'!$A681:$O681,0))</f>
        <v>2134.09</v>
      </c>
      <c r="L682" s="11">
        <f>INDEX('Main Data'!$A$1:$O$1001,MATCH('Index&amp;Match'!$A682,'Main Data'!$A$1:$A$1001,0),MATCH('Index&amp;Match'!L681,'Main Data'!$A681:$O681,0))</f>
        <v>307.10000000000002</v>
      </c>
      <c r="M682" s="11">
        <f>INDEX('Main Data'!$A$1:$O$1001,MATCH('Index&amp;Match'!$A682,'Main Data'!$A$1:$A$1001,0),MATCH('Index&amp;Match'!M681,'Main Data'!$A681:$O681,0))</f>
        <v>102.52</v>
      </c>
      <c r="N682" s="2" t="str">
        <f>INDEX('Main Data'!$A$1:$O$1001,MATCH('Index&amp;Match'!$A682,'Main Data'!$A$1:$A$1001,0),MATCH('Index&amp;Match'!N681,'Main Data'!$A681:$O681,0))</f>
        <v>Yes</v>
      </c>
      <c r="O682" s="2">
        <f>INDEX('Main Data'!$A$1:$O$1001,MATCH('Index&amp;Match'!$A682,'Main Data'!$A$1:$A$1001,0),MATCH('Index&amp;Match'!O681,'Main Data'!$A681:$O681,0))</f>
        <v>61</v>
      </c>
    </row>
    <row r="683" spans="1:15" x14ac:dyDescent="0.3">
      <c r="A683" s="2" t="s">
        <v>740</v>
      </c>
      <c r="B683" s="1">
        <f>INDEX('Main Data'!$A$1:$O$1001,MATCH('Index&amp;Match'!$A683,'Main Data'!$A$1:$A$1001,0),MATCH('Index&amp;Match'!B682,'Main Data'!$A682:$O682,0))</f>
        <v>45922</v>
      </c>
      <c r="C683" s="2" t="str">
        <f>INDEX('Main Data'!$A$1:$O$1001,MATCH('Index&amp;Match'!$A683,'Main Data'!$A$1:$A$1001,0),MATCH('Index&amp;Match'!C682,'Main Data'!$A682:$O682,0))</f>
        <v>Casey</v>
      </c>
      <c r="D683" s="2" t="str">
        <f>INDEX('Main Data'!$A$1:$O$1001,MATCH('Index&amp;Match'!$A683,'Main Data'!$A$1:$A$1001,0),MATCH('Index&amp;Match'!D682,'Main Data'!$A682:$O682,0))</f>
        <v>BR-008</v>
      </c>
      <c r="E683" s="2" t="str">
        <f>INDEX('Main Data'!$A$1:$O$1001,MATCH('Index&amp;Match'!$A683,'Main Data'!$A$1:$A$1001,0),MATCH('Index&amp;Match'!E682,'Main Data'!$A682:$O682,0))</f>
        <v>North</v>
      </c>
      <c r="F683" s="2" t="str">
        <f>INDEX('Main Data'!$A$1:$O$1001,MATCH('Index&amp;Match'!$A683,'Main Data'!$A$1:$A$1001,0),MATCH('Index&amp;Match'!F682,'Main Data'!$A682:$O682,0))</f>
        <v>Wealth Management</v>
      </c>
      <c r="G683" s="2" t="str">
        <f>INDEX('Main Data'!$A$1:$O$1001,MATCH('Index&amp;Match'!$A683,'Main Data'!$A$1:$A$1001,0),MATCH('Index&amp;Match'!G682,'Main Data'!$A682:$O682,0))</f>
        <v>Website</v>
      </c>
      <c r="H683" s="2" t="str">
        <f>INDEX('Main Data'!$A$1:$O$1001,MATCH('Index&amp;Match'!$A683,'Main Data'!$A$1:$A$1001,0),MATCH('Index&amp;Match'!H682,'Main Data'!$A682:$O682,0))</f>
        <v>SME</v>
      </c>
      <c r="I683" s="2">
        <f>INDEX('Main Data'!$A$1:$O$1001,MATCH('Index&amp;Match'!$A683,'Main Data'!$A$1:$A$1001,0),MATCH('Index&amp;Match'!I682,'Main Data'!$A682:$O682,0))</f>
        <v>30</v>
      </c>
      <c r="J683" s="2">
        <f>INDEX('Main Data'!$A$1:$O$1001,MATCH('Index&amp;Match'!$A683,'Main Data'!$A$1:$A$1001,0),MATCH('Index&amp;Match'!J682,'Main Data'!$A682:$O682,0))</f>
        <v>30</v>
      </c>
      <c r="K683" s="11">
        <f>INDEX('Main Data'!$A$1:$O$1001,MATCH('Index&amp;Match'!$A683,'Main Data'!$A$1:$A$1001,0),MATCH('Index&amp;Match'!K682,'Main Data'!$A682:$O682,0))</f>
        <v>47719.87</v>
      </c>
      <c r="L683" s="11">
        <f>INDEX('Main Data'!$A$1:$O$1001,MATCH('Index&amp;Match'!$A683,'Main Data'!$A$1:$A$1001,0),MATCH('Index&amp;Match'!L682,'Main Data'!$A682:$O682,0))</f>
        <v>323.36</v>
      </c>
      <c r="M683" s="11">
        <f>INDEX('Main Data'!$A$1:$O$1001,MATCH('Index&amp;Match'!$A683,'Main Data'!$A$1:$A$1001,0),MATCH('Index&amp;Match'!M682,'Main Data'!$A682:$O682,0))</f>
        <v>186.85</v>
      </c>
      <c r="N683" s="2" t="str">
        <f>INDEX('Main Data'!$A$1:$O$1001,MATCH('Index&amp;Match'!$A683,'Main Data'!$A$1:$A$1001,0),MATCH('Index&amp;Match'!N682,'Main Data'!$A682:$O682,0))</f>
        <v>Yes</v>
      </c>
      <c r="O683" s="2">
        <f>INDEX('Main Data'!$A$1:$O$1001,MATCH('Index&amp;Match'!$A683,'Main Data'!$A$1:$A$1001,0),MATCH('Index&amp;Match'!O682,'Main Data'!$A682:$O682,0))</f>
        <v>30</v>
      </c>
    </row>
    <row r="684" spans="1:15" x14ac:dyDescent="0.3">
      <c r="A684" s="2" t="s">
        <v>741</v>
      </c>
      <c r="B684" s="1">
        <f>INDEX('Main Data'!$A$1:$O$1001,MATCH('Index&amp;Match'!$A684,'Main Data'!$A$1:$A$1001,0),MATCH('Index&amp;Match'!B683,'Main Data'!$A683:$O683,0))</f>
        <v>46034</v>
      </c>
      <c r="C684" s="2" t="str">
        <f>INDEX('Main Data'!$A$1:$O$1001,MATCH('Index&amp;Match'!$A684,'Main Data'!$A$1:$A$1001,0),MATCH('Index&amp;Match'!C683,'Main Data'!$A683:$O683,0))</f>
        <v>Jamie</v>
      </c>
      <c r="D684" s="2" t="str">
        <f>INDEX('Main Data'!$A$1:$O$1001,MATCH('Index&amp;Match'!$A684,'Main Data'!$A$1:$A$1001,0),MATCH('Index&amp;Match'!D683,'Main Data'!$A683:$O683,0))</f>
        <v>BR-003</v>
      </c>
      <c r="E684" s="2" t="str">
        <f>INDEX('Main Data'!$A$1:$O$1001,MATCH('Index&amp;Match'!$A684,'Main Data'!$A$1:$A$1001,0),MATCH('Index&amp;Match'!E683,'Main Data'!$A683:$O683,0))</f>
        <v>South</v>
      </c>
      <c r="F684" s="2" t="str">
        <f>INDEX('Main Data'!$A$1:$O$1001,MATCH('Index&amp;Match'!$A684,'Main Data'!$A$1:$A$1001,0),MATCH('Index&amp;Match'!F683,'Main Data'!$A683:$O683,0))</f>
        <v>Personal Loan</v>
      </c>
      <c r="G684" s="2" t="str">
        <f>INDEX('Main Data'!$A$1:$O$1001,MATCH('Index&amp;Match'!$A684,'Main Data'!$A$1:$A$1001,0),MATCH('Index&amp;Match'!G683,'Main Data'!$A683:$O683,0))</f>
        <v>Referral</v>
      </c>
      <c r="H684" s="2" t="str">
        <f>INDEX('Main Data'!$A$1:$O$1001,MATCH('Index&amp;Match'!$A684,'Main Data'!$A$1:$A$1001,0),MATCH('Index&amp;Match'!H683,'Main Data'!$A683:$O683,0))</f>
        <v>SME</v>
      </c>
      <c r="I684" s="2">
        <f>INDEX('Main Data'!$A$1:$O$1001,MATCH('Index&amp;Match'!$A684,'Main Data'!$A$1:$A$1001,0),MATCH('Index&amp;Match'!I683,'Main Data'!$A683:$O683,0))</f>
        <v>30</v>
      </c>
      <c r="J684" s="2">
        <f>INDEX('Main Data'!$A$1:$O$1001,MATCH('Index&amp;Match'!$A684,'Main Data'!$A$1:$A$1001,0),MATCH('Index&amp;Match'!J683,'Main Data'!$A683:$O683,0))</f>
        <v>30</v>
      </c>
      <c r="K684" s="11">
        <f>INDEX('Main Data'!$A$1:$O$1001,MATCH('Index&amp;Match'!$A684,'Main Data'!$A$1:$A$1001,0),MATCH('Index&amp;Match'!K683,'Main Data'!$A683:$O683,0))</f>
        <v>10890.94</v>
      </c>
      <c r="L684" s="11">
        <f>INDEX('Main Data'!$A$1:$O$1001,MATCH('Index&amp;Match'!$A684,'Main Data'!$A$1:$A$1001,0),MATCH('Index&amp;Match'!L683,'Main Data'!$A683:$O683,0))</f>
        <v>285.42</v>
      </c>
      <c r="M684" s="11">
        <f>INDEX('Main Data'!$A$1:$O$1001,MATCH('Index&amp;Match'!$A684,'Main Data'!$A$1:$A$1001,0),MATCH('Index&amp;Match'!M683,'Main Data'!$A683:$O683,0))</f>
        <v>104.55</v>
      </c>
      <c r="N684" s="2" t="str">
        <f>INDEX('Main Data'!$A$1:$O$1001,MATCH('Index&amp;Match'!$A684,'Main Data'!$A$1:$A$1001,0),MATCH('Index&amp;Match'!N683,'Main Data'!$A683:$O683,0))</f>
        <v>Yes</v>
      </c>
      <c r="O684" s="2">
        <f>INDEX('Main Data'!$A$1:$O$1001,MATCH('Index&amp;Match'!$A684,'Main Data'!$A$1:$A$1001,0),MATCH('Index&amp;Match'!O683,'Main Data'!$A683:$O683,0))</f>
        <v>30</v>
      </c>
    </row>
    <row r="685" spans="1:15" x14ac:dyDescent="0.3">
      <c r="A685" s="2" t="s">
        <v>742</v>
      </c>
      <c r="B685" s="1">
        <f>INDEX('Main Data'!$A$1:$O$1001,MATCH('Index&amp;Match'!$A685,'Main Data'!$A$1:$A$1001,0),MATCH('Index&amp;Match'!B684,'Main Data'!$A684:$O684,0))</f>
        <v>45915</v>
      </c>
      <c r="C685" s="2" t="str">
        <f>INDEX('Main Data'!$A$1:$O$1001,MATCH('Index&amp;Match'!$A685,'Main Data'!$A$1:$A$1001,0),MATCH('Index&amp;Match'!C684,'Main Data'!$A684:$O684,0))</f>
        <v>Morgan</v>
      </c>
      <c r="D685" s="2" t="str">
        <f>INDEX('Main Data'!$A$1:$O$1001,MATCH('Index&amp;Match'!$A685,'Main Data'!$A$1:$A$1001,0),MATCH('Index&amp;Match'!D684,'Main Data'!$A684:$O684,0))</f>
        <v>BR-014</v>
      </c>
      <c r="E685" s="2" t="str">
        <f>INDEX('Main Data'!$A$1:$O$1001,MATCH('Index&amp;Match'!$A685,'Main Data'!$A$1:$A$1001,0),MATCH('Index&amp;Match'!E684,'Main Data'!$A684:$O684,0))</f>
        <v>South</v>
      </c>
      <c r="F685" s="2" t="str">
        <f>INDEX('Main Data'!$A$1:$O$1001,MATCH('Index&amp;Match'!$A685,'Main Data'!$A$1:$A$1001,0),MATCH('Index&amp;Match'!F684,'Main Data'!$A684:$O684,0))</f>
        <v>Personal Loan</v>
      </c>
      <c r="G685" s="2" t="str">
        <f>INDEX('Main Data'!$A$1:$O$1001,MATCH('Index&amp;Match'!$A685,'Main Data'!$A$1:$A$1001,0),MATCH('Index&amp;Match'!G684,'Main Data'!$A684:$O684,0))</f>
        <v>Social Media</v>
      </c>
      <c r="H685" s="2" t="str">
        <f>INDEX('Main Data'!$A$1:$O$1001,MATCH('Index&amp;Match'!$A685,'Main Data'!$A$1:$A$1001,0),MATCH('Index&amp;Match'!H684,'Main Data'!$A684:$O684,0))</f>
        <v>High Net Worth</v>
      </c>
      <c r="I685" s="2">
        <f>INDEX('Main Data'!$A$1:$O$1001,MATCH('Index&amp;Match'!$A685,'Main Data'!$A$1:$A$1001,0),MATCH('Index&amp;Match'!I684,'Main Data'!$A684:$O684,0))</f>
        <v>27</v>
      </c>
      <c r="J685" s="2">
        <f>INDEX('Main Data'!$A$1:$O$1001,MATCH('Index&amp;Match'!$A685,'Main Data'!$A$1:$A$1001,0),MATCH('Index&amp;Match'!J684,'Main Data'!$A684:$O684,0))</f>
        <v>27</v>
      </c>
      <c r="K685" s="11">
        <f>INDEX('Main Data'!$A$1:$O$1001,MATCH('Index&amp;Match'!$A685,'Main Data'!$A$1:$A$1001,0),MATCH('Index&amp;Match'!K684,'Main Data'!$A684:$O684,0))</f>
        <v>39551.89</v>
      </c>
      <c r="L685" s="11">
        <f>INDEX('Main Data'!$A$1:$O$1001,MATCH('Index&amp;Match'!$A685,'Main Data'!$A$1:$A$1001,0),MATCH('Index&amp;Match'!L684,'Main Data'!$A684:$O684,0))</f>
        <v>443.51</v>
      </c>
      <c r="M685" s="11">
        <f>INDEX('Main Data'!$A$1:$O$1001,MATCH('Index&amp;Match'!$A685,'Main Data'!$A$1:$A$1001,0),MATCH('Index&amp;Match'!M684,'Main Data'!$A684:$O684,0))</f>
        <v>87.48</v>
      </c>
      <c r="N685" s="2" t="str">
        <f>INDEX('Main Data'!$A$1:$O$1001,MATCH('Index&amp;Match'!$A685,'Main Data'!$A$1:$A$1001,0),MATCH('Index&amp;Match'!N684,'Main Data'!$A684:$O684,0))</f>
        <v>Yes</v>
      </c>
      <c r="O685" s="2">
        <f>INDEX('Main Data'!$A$1:$O$1001,MATCH('Index&amp;Match'!$A685,'Main Data'!$A$1:$A$1001,0),MATCH('Index&amp;Match'!O684,'Main Data'!$A684:$O684,0))</f>
        <v>27</v>
      </c>
    </row>
    <row r="686" spans="1:15" x14ac:dyDescent="0.3">
      <c r="A686" s="2" t="s">
        <v>743</v>
      </c>
      <c r="B686" s="1">
        <f>INDEX('Main Data'!$A$1:$O$1001,MATCH('Index&amp;Match'!$A686,'Main Data'!$A$1:$A$1001,0),MATCH('Index&amp;Match'!B685,'Main Data'!$A685:$O685,0))</f>
        <v>45955</v>
      </c>
      <c r="C686" s="2" t="str">
        <f>INDEX('Main Data'!$A$1:$O$1001,MATCH('Index&amp;Match'!$A686,'Main Data'!$A$1:$A$1001,0),MATCH('Index&amp;Match'!C685,'Main Data'!$A685:$O685,0))</f>
        <v>Alex</v>
      </c>
      <c r="D686" s="2" t="str">
        <f>INDEX('Main Data'!$A$1:$O$1001,MATCH('Index&amp;Match'!$A686,'Main Data'!$A$1:$A$1001,0),MATCH('Index&amp;Match'!D685,'Main Data'!$A685:$O685,0))</f>
        <v>BR-014</v>
      </c>
      <c r="E686" s="2" t="str">
        <f>INDEX('Main Data'!$A$1:$O$1001,MATCH('Index&amp;Match'!$A686,'Main Data'!$A$1:$A$1001,0),MATCH('Index&amp;Match'!E685,'Main Data'!$A685:$O685,0))</f>
        <v>North</v>
      </c>
      <c r="F686" s="2" t="str">
        <f>INDEX('Main Data'!$A$1:$O$1001,MATCH('Index&amp;Match'!$A686,'Main Data'!$A$1:$A$1001,0),MATCH('Index&amp;Match'!F685,'Main Data'!$A685:$O685,0))</f>
        <v>Mortgage</v>
      </c>
      <c r="G686" s="2" t="str">
        <f>INDEX('Main Data'!$A$1:$O$1001,MATCH('Index&amp;Match'!$A686,'Main Data'!$A$1:$A$1001,0),MATCH('Index&amp;Match'!G685,'Main Data'!$A685:$O685,0))</f>
        <v>Website</v>
      </c>
      <c r="H686" s="2" t="str">
        <f>INDEX('Main Data'!$A$1:$O$1001,MATCH('Index&amp;Match'!$A686,'Main Data'!$A$1:$A$1001,0),MATCH('Index&amp;Match'!H685,'Main Data'!$A685:$O685,0))</f>
        <v>High Net Worth</v>
      </c>
      <c r="I686" s="2">
        <f>INDEX('Main Data'!$A$1:$O$1001,MATCH('Index&amp;Match'!$A686,'Main Data'!$A$1:$A$1001,0),MATCH('Index&amp;Match'!I685,'Main Data'!$A685:$O685,0))</f>
        <v>68</v>
      </c>
      <c r="J686" s="2">
        <f>INDEX('Main Data'!$A$1:$O$1001,MATCH('Index&amp;Match'!$A686,'Main Data'!$A$1:$A$1001,0),MATCH('Index&amp;Match'!J685,'Main Data'!$A685:$O685,0))</f>
        <v>68</v>
      </c>
      <c r="K686" s="11">
        <f>INDEX('Main Data'!$A$1:$O$1001,MATCH('Index&amp;Match'!$A686,'Main Data'!$A$1:$A$1001,0),MATCH('Index&amp;Match'!K685,'Main Data'!$A685:$O685,0))</f>
        <v>38841.32</v>
      </c>
      <c r="L686" s="11">
        <f>INDEX('Main Data'!$A$1:$O$1001,MATCH('Index&amp;Match'!$A686,'Main Data'!$A$1:$A$1001,0),MATCH('Index&amp;Match'!L685,'Main Data'!$A685:$O685,0))</f>
        <v>69.55</v>
      </c>
      <c r="M686" s="11">
        <f>INDEX('Main Data'!$A$1:$O$1001,MATCH('Index&amp;Match'!$A686,'Main Data'!$A$1:$A$1001,0),MATCH('Index&amp;Match'!M685,'Main Data'!$A685:$O685,0))</f>
        <v>80.069999999999993</v>
      </c>
      <c r="N686" s="2" t="str">
        <f>INDEX('Main Data'!$A$1:$O$1001,MATCH('Index&amp;Match'!$A686,'Main Data'!$A$1:$A$1001,0),MATCH('Index&amp;Match'!N685,'Main Data'!$A685:$O685,0))</f>
        <v>Yes</v>
      </c>
      <c r="O686" s="2">
        <f>INDEX('Main Data'!$A$1:$O$1001,MATCH('Index&amp;Match'!$A686,'Main Data'!$A$1:$A$1001,0),MATCH('Index&amp;Match'!O685,'Main Data'!$A685:$O685,0))</f>
        <v>68</v>
      </c>
    </row>
    <row r="687" spans="1:15" x14ac:dyDescent="0.3">
      <c r="A687" s="2" t="s">
        <v>744</v>
      </c>
      <c r="B687" s="1">
        <f>INDEX('Main Data'!$A$1:$O$1001,MATCH('Index&amp;Match'!$A687,'Main Data'!$A$1:$A$1001,0),MATCH('Index&amp;Match'!B686,'Main Data'!$A686:$O686,0))</f>
        <v>46043</v>
      </c>
      <c r="C687" s="2" t="str">
        <f>INDEX('Main Data'!$A$1:$O$1001,MATCH('Index&amp;Match'!$A687,'Main Data'!$A$1:$A$1001,0),MATCH('Index&amp;Match'!C686,'Main Data'!$A686:$O686,0))</f>
        <v>Sam</v>
      </c>
      <c r="D687" s="2" t="str">
        <f>INDEX('Main Data'!$A$1:$O$1001,MATCH('Index&amp;Match'!$A687,'Main Data'!$A$1:$A$1001,0),MATCH('Index&amp;Match'!D686,'Main Data'!$A686:$O686,0))</f>
        <v>BR-013</v>
      </c>
      <c r="E687" s="2" t="str">
        <f>INDEX('Main Data'!$A$1:$O$1001,MATCH('Index&amp;Match'!$A687,'Main Data'!$A$1:$A$1001,0),MATCH('Index&amp;Match'!E686,'Main Data'!$A686:$O686,0))</f>
        <v>Central</v>
      </c>
      <c r="F687" s="2" t="str">
        <f>INDEX('Main Data'!$A$1:$O$1001,MATCH('Index&amp;Match'!$A687,'Main Data'!$A$1:$A$1001,0),MATCH('Index&amp;Match'!F686,'Main Data'!$A686:$O686,0))</f>
        <v>Credit Card</v>
      </c>
      <c r="G687" s="2" t="str">
        <f>INDEX('Main Data'!$A$1:$O$1001,MATCH('Index&amp;Match'!$A687,'Main Data'!$A$1:$A$1001,0),MATCH('Index&amp;Match'!G686,'Main Data'!$A686:$O686,0))</f>
        <v>Referral</v>
      </c>
      <c r="H687" s="2" t="str">
        <f>INDEX('Main Data'!$A$1:$O$1001,MATCH('Index&amp;Match'!$A687,'Main Data'!$A$1:$A$1001,0),MATCH('Index&amp;Match'!H686,'Main Data'!$A686:$O686,0))</f>
        <v>Retail</v>
      </c>
      <c r="I687" s="2">
        <f>INDEX('Main Data'!$A$1:$O$1001,MATCH('Index&amp;Match'!$A687,'Main Data'!$A$1:$A$1001,0),MATCH('Index&amp;Match'!I686,'Main Data'!$A686:$O686,0))</f>
        <v>70</v>
      </c>
      <c r="J687" s="2">
        <f>INDEX('Main Data'!$A$1:$O$1001,MATCH('Index&amp;Match'!$A687,'Main Data'!$A$1:$A$1001,0),MATCH('Index&amp;Match'!J686,'Main Data'!$A686:$O686,0))</f>
        <v>70</v>
      </c>
      <c r="K687" s="11">
        <f>INDEX('Main Data'!$A$1:$O$1001,MATCH('Index&amp;Match'!$A687,'Main Data'!$A$1:$A$1001,0),MATCH('Index&amp;Match'!K686,'Main Data'!$A686:$O686,0))</f>
        <v>11277.58</v>
      </c>
      <c r="L687" s="11">
        <f>INDEX('Main Data'!$A$1:$O$1001,MATCH('Index&amp;Match'!$A687,'Main Data'!$A$1:$A$1001,0),MATCH('Index&amp;Match'!L686,'Main Data'!$A686:$O686,0))</f>
        <v>167.46</v>
      </c>
      <c r="M687" s="11">
        <f>INDEX('Main Data'!$A$1:$O$1001,MATCH('Index&amp;Match'!$A687,'Main Data'!$A$1:$A$1001,0),MATCH('Index&amp;Match'!M686,'Main Data'!$A686:$O686,0))</f>
        <v>185.9</v>
      </c>
      <c r="N687" s="2" t="str">
        <f>INDEX('Main Data'!$A$1:$O$1001,MATCH('Index&amp;Match'!$A687,'Main Data'!$A$1:$A$1001,0),MATCH('Index&amp;Match'!N686,'Main Data'!$A686:$O686,0))</f>
        <v>No</v>
      </c>
      <c r="O687" s="2">
        <f>INDEX('Main Data'!$A$1:$O$1001,MATCH('Index&amp;Match'!$A687,'Main Data'!$A$1:$A$1001,0),MATCH('Index&amp;Match'!O686,'Main Data'!$A686:$O686,0))</f>
        <v>70</v>
      </c>
    </row>
    <row r="688" spans="1:15" x14ac:dyDescent="0.3">
      <c r="A688" s="2" t="s">
        <v>745</v>
      </c>
      <c r="B688" s="1">
        <f>INDEX('Main Data'!$A$1:$O$1001,MATCH('Index&amp;Match'!$A688,'Main Data'!$A$1:$A$1001,0),MATCH('Index&amp;Match'!B687,'Main Data'!$A687:$O687,0))</f>
        <v>46221</v>
      </c>
      <c r="C688" s="2" t="str">
        <f>INDEX('Main Data'!$A$1:$O$1001,MATCH('Index&amp;Match'!$A688,'Main Data'!$A$1:$A$1001,0),MATCH('Index&amp;Match'!C687,'Main Data'!$A687:$O687,0))</f>
        <v>Sam</v>
      </c>
      <c r="D688" s="2" t="str">
        <f>INDEX('Main Data'!$A$1:$O$1001,MATCH('Index&amp;Match'!$A688,'Main Data'!$A$1:$A$1001,0),MATCH('Index&amp;Match'!D687,'Main Data'!$A687:$O687,0))</f>
        <v>BR-001</v>
      </c>
      <c r="E688" s="2" t="str">
        <f>INDEX('Main Data'!$A$1:$O$1001,MATCH('Index&amp;Match'!$A688,'Main Data'!$A$1:$A$1001,0),MATCH('Index&amp;Match'!E687,'Main Data'!$A687:$O687,0))</f>
        <v>South</v>
      </c>
      <c r="F688" s="2" t="str">
        <f>INDEX('Main Data'!$A$1:$O$1001,MATCH('Index&amp;Match'!$A688,'Main Data'!$A$1:$A$1001,0),MATCH('Index&amp;Match'!F687,'Main Data'!$A687:$O687,0))</f>
        <v>Credit Card</v>
      </c>
      <c r="G688" s="2" t="str">
        <f>INDEX('Main Data'!$A$1:$O$1001,MATCH('Index&amp;Match'!$A688,'Main Data'!$A$1:$A$1001,0),MATCH('Index&amp;Match'!G687,'Main Data'!$A687:$O687,0))</f>
        <v>Website</v>
      </c>
      <c r="H688" s="2" t="str">
        <f>INDEX('Main Data'!$A$1:$O$1001,MATCH('Index&amp;Match'!$A688,'Main Data'!$A$1:$A$1001,0),MATCH('Index&amp;Match'!H687,'Main Data'!$A687:$O687,0))</f>
        <v>Corporate</v>
      </c>
      <c r="I688" s="2">
        <f>INDEX('Main Data'!$A$1:$O$1001,MATCH('Index&amp;Match'!$A688,'Main Data'!$A$1:$A$1001,0),MATCH('Index&amp;Match'!I687,'Main Data'!$A687:$O687,0))</f>
        <v>58</v>
      </c>
      <c r="J688" s="2">
        <f>INDEX('Main Data'!$A$1:$O$1001,MATCH('Index&amp;Match'!$A688,'Main Data'!$A$1:$A$1001,0),MATCH('Index&amp;Match'!J687,'Main Data'!$A687:$O687,0))</f>
        <v>58</v>
      </c>
      <c r="K688" s="11">
        <f>INDEX('Main Data'!$A$1:$O$1001,MATCH('Index&amp;Match'!$A688,'Main Data'!$A$1:$A$1001,0),MATCH('Index&amp;Match'!K687,'Main Data'!$A687:$O687,0))</f>
        <v>31250.71</v>
      </c>
      <c r="L688" s="11">
        <f>INDEX('Main Data'!$A$1:$O$1001,MATCH('Index&amp;Match'!$A688,'Main Data'!$A$1:$A$1001,0),MATCH('Index&amp;Match'!L687,'Main Data'!$A687:$O687,0))</f>
        <v>444.09</v>
      </c>
      <c r="M688" s="11">
        <f>INDEX('Main Data'!$A$1:$O$1001,MATCH('Index&amp;Match'!$A688,'Main Data'!$A$1:$A$1001,0),MATCH('Index&amp;Match'!M687,'Main Data'!$A687:$O687,0))</f>
        <v>34.49</v>
      </c>
      <c r="N688" s="2" t="str">
        <f>INDEX('Main Data'!$A$1:$O$1001,MATCH('Index&amp;Match'!$A688,'Main Data'!$A$1:$A$1001,0),MATCH('Index&amp;Match'!N687,'Main Data'!$A687:$O687,0))</f>
        <v>No</v>
      </c>
      <c r="O688" s="2">
        <f>INDEX('Main Data'!$A$1:$O$1001,MATCH('Index&amp;Match'!$A688,'Main Data'!$A$1:$A$1001,0),MATCH('Index&amp;Match'!O687,'Main Data'!$A687:$O687,0))</f>
        <v>58</v>
      </c>
    </row>
    <row r="689" spans="1:15" x14ac:dyDescent="0.3">
      <c r="A689" s="2" t="s">
        <v>746</v>
      </c>
      <c r="B689" s="1">
        <f>INDEX('Main Data'!$A$1:$O$1001,MATCH('Index&amp;Match'!$A689,'Main Data'!$A$1:$A$1001,0),MATCH('Index&amp;Match'!B688,'Main Data'!$A688:$O688,0))</f>
        <v>46208</v>
      </c>
      <c r="C689" s="2" t="str">
        <f>INDEX('Main Data'!$A$1:$O$1001,MATCH('Index&amp;Match'!$A689,'Main Data'!$A$1:$A$1001,0),MATCH('Index&amp;Match'!C688,'Main Data'!$A688:$O688,0))</f>
        <v>Casey</v>
      </c>
      <c r="D689" s="2" t="str">
        <f>INDEX('Main Data'!$A$1:$O$1001,MATCH('Index&amp;Match'!$A689,'Main Data'!$A$1:$A$1001,0),MATCH('Index&amp;Match'!D688,'Main Data'!$A688:$O688,0))</f>
        <v>BR-013</v>
      </c>
      <c r="E689" s="2" t="str">
        <f>INDEX('Main Data'!$A$1:$O$1001,MATCH('Index&amp;Match'!$A689,'Main Data'!$A$1:$A$1001,0),MATCH('Index&amp;Match'!E688,'Main Data'!$A688:$O688,0))</f>
        <v>North</v>
      </c>
      <c r="F689" s="2" t="str">
        <f>INDEX('Main Data'!$A$1:$O$1001,MATCH('Index&amp;Match'!$A689,'Main Data'!$A$1:$A$1001,0),MATCH('Index&amp;Match'!F688,'Main Data'!$A688:$O688,0))</f>
        <v>Auto Loan</v>
      </c>
      <c r="G689" s="2" t="str">
        <f>INDEX('Main Data'!$A$1:$O$1001,MATCH('Index&amp;Match'!$A689,'Main Data'!$A$1:$A$1001,0),MATCH('Index&amp;Match'!G688,'Main Data'!$A688:$O688,0))</f>
        <v>Walk-in</v>
      </c>
      <c r="H689" s="2" t="str">
        <f>INDEX('Main Data'!$A$1:$O$1001,MATCH('Index&amp;Match'!$A689,'Main Data'!$A$1:$A$1001,0),MATCH('Index&amp;Match'!H688,'Main Data'!$A688:$O688,0))</f>
        <v>High Net Worth</v>
      </c>
      <c r="I689" s="2">
        <f>INDEX('Main Data'!$A$1:$O$1001,MATCH('Index&amp;Match'!$A689,'Main Data'!$A$1:$A$1001,0),MATCH('Index&amp;Match'!I688,'Main Data'!$A688:$O688,0))</f>
        <v>47</v>
      </c>
      <c r="J689" s="2">
        <f>INDEX('Main Data'!$A$1:$O$1001,MATCH('Index&amp;Match'!$A689,'Main Data'!$A$1:$A$1001,0),MATCH('Index&amp;Match'!J688,'Main Data'!$A688:$O688,0))</f>
        <v>47</v>
      </c>
      <c r="K689" s="11">
        <f>INDEX('Main Data'!$A$1:$O$1001,MATCH('Index&amp;Match'!$A689,'Main Data'!$A$1:$A$1001,0),MATCH('Index&amp;Match'!K688,'Main Data'!$A688:$O688,0))</f>
        <v>2879.91</v>
      </c>
      <c r="L689" s="11">
        <f>INDEX('Main Data'!$A$1:$O$1001,MATCH('Index&amp;Match'!$A689,'Main Data'!$A$1:$A$1001,0),MATCH('Index&amp;Match'!L688,'Main Data'!$A688:$O688,0))</f>
        <v>388.56</v>
      </c>
      <c r="M689" s="11">
        <f>INDEX('Main Data'!$A$1:$O$1001,MATCH('Index&amp;Match'!$A689,'Main Data'!$A$1:$A$1001,0),MATCH('Index&amp;Match'!M688,'Main Data'!$A688:$O688,0))</f>
        <v>173.9</v>
      </c>
      <c r="N689" s="2" t="str">
        <f>INDEX('Main Data'!$A$1:$O$1001,MATCH('Index&amp;Match'!$A689,'Main Data'!$A$1:$A$1001,0),MATCH('Index&amp;Match'!N688,'Main Data'!$A688:$O688,0))</f>
        <v>No</v>
      </c>
      <c r="O689" s="2">
        <f>INDEX('Main Data'!$A$1:$O$1001,MATCH('Index&amp;Match'!$A689,'Main Data'!$A$1:$A$1001,0),MATCH('Index&amp;Match'!O688,'Main Data'!$A688:$O688,0))</f>
        <v>47</v>
      </c>
    </row>
    <row r="690" spans="1:15" x14ac:dyDescent="0.3">
      <c r="A690" s="2" t="s">
        <v>747</v>
      </c>
      <c r="B690" s="1">
        <f>INDEX('Main Data'!$A$1:$O$1001,MATCH('Index&amp;Match'!$A690,'Main Data'!$A$1:$A$1001,0),MATCH('Index&amp;Match'!B689,'Main Data'!$A689:$O689,0))</f>
        <v>46140</v>
      </c>
      <c r="C690" s="2" t="str">
        <f>INDEX('Main Data'!$A$1:$O$1001,MATCH('Index&amp;Match'!$A690,'Main Data'!$A$1:$A$1001,0),MATCH('Index&amp;Match'!C689,'Main Data'!$A689:$O689,0))</f>
        <v>Jamie</v>
      </c>
      <c r="D690" s="2" t="str">
        <f>INDEX('Main Data'!$A$1:$O$1001,MATCH('Index&amp;Match'!$A690,'Main Data'!$A$1:$A$1001,0),MATCH('Index&amp;Match'!D689,'Main Data'!$A689:$O689,0))</f>
        <v>BR-013</v>
      </c>
      <c r="E690" s="2" t="str">
        <f>INDEX('Main Data'!$A$1:$O$1001,MATCH('Index&amp;Match'!$A690,'Main Data'!$A$1:$A$1001,0),MATCH('Index&amp;Match'!E689,'Main Data'!$A689:$O689,0))</f>
        <v>South</v>
      </c>
      <c r="F690" s="2" t="str">
        <f>INDEX('Main Data'!$A$1:$O$1001,MATCH('Index&amp;Match'!$A690,'Main Data'!$A$1:$A$1001,0),MATCH('Index&amp;Match'!F689,'Main Data'!$A689:$O689,0))</f>
        <v>Mortgage</v>
      </c>
      <c r="G690" s="2" t="str">
        <f>INDEX('Main Data'!$A$1:$O$1001,MATCH('Index&amp;Match'!$A690,'Main Data'!$A$1:$A$1001,0),MATCH('Index&amp;Match'!G689,'Main Data'!$A689:$O689,0))</f>
        <v>Referral</v>
      </c>
      <c r="H690" s="2" t="str">
        <f>INDEX('Main Data'!$A$1:$O$1001,MATCH('Index&amp;Match'!$A690,'Main Data'!$A$1:$A$1001,0),MATCH('Index&amp;Match'!H689,'Main Data'!$A689:$O689,0))</f>
        <v>High Net Worth</v>
      </c>
      <c r="I690" s="2">
        <f>INDEX('Main Data'!$A$1:$O$1001,MATCH('Index&amp;Match'!$A690,'Main Data'!$A$1:$A$1001,0),MATCH('Index&amp;Match'!I689,'Main Data'!$A689:$O689,0))</f>
        <v>72</v>
      </c>
      <c r="J690" s="2">
        <f>INDEX('Main Data'!$A$1:$O$1001,MATCH('Index&amp;Match'!$A690,'Main Data'!$A$1:$A$1001,0),MATCH('Index&amp;Match'!J689,'Main Data'!$A689:$O689,0))</f>
        <v>72</v>
      </c>
      <c r="K690" s="11">
        <f>INDEX('Main Data'!$A$1:$O$1001,MATCH('Index&amp;Match'!$A690,'Main Data'!$A$1:$A$1001,0),MATCH('Index&amp;Match'!K689,'Main Data'!$A689:$O689,0))</f>
        <v>24436.94</v>
      </c>
      <c r="L690" s="11">
        <f>INDEX('Main Data'!$A$1:$O$1001,MATCH('Index&amp;Match'!$A690,'Main Data'!$A$1:$A$1001,0),MATCH('Index&amp;Match'!L689,'Main Data'!$A689:$O689,0))</f>
        <v>57.94</v>
      </c>
      <c r="M690" s="11">
        <f>INDEX('Main Data'!$A$1:$O$1001,MATCH('Index&amp;Match'!$A690,'Main Data'!$A$1:$A$1001,0),MATCH('Index&amp;Match'!M689,'Main Data'!$A689:$O689,0))</f>
        <v>166.66</v>
      </c>
      <c r="N690" s="2" t="str">
        <f>INDEX('Main Data'!$A$1:$O$1001,MATCH('Index&amp;Match'!$A690,'Main Data'!$A$1:$A$1001,0),MATCH('Index&amp;Match'!N689,'Main Data'!$A689:$O689,0))</f>
        <v>No</v>
      </c>
      <c r="O690" s="2">
        <f>INDEX('Main Data'!$A$1:$O$1001,MATCH('Index&amp;Match'!$A690,'Main Data'!$A$1:$A$1001,0),MATCH('Index&amp;Match'!O689,'Main Data'!$A689:$O689,0))</f>
        <v>72</v>
      </c>
    </row>
    <row r="691" spans="1:15" x14ac:dyDescent="0.3">
      <c r="A691" s="2" t="s">
        <v>748</v>
      </c>
      <c r="B691" s="1">
        <f>INDEX('Main Data'!$A$1:$O$1001,MATCH('Index&amp;Match'!$A691,'Main Data'!$A$1:$A$1001,0),MATCH('Index&amp;Match'!B690,'Main Data'!$A690:$O690,0))</f>
        <v>46220</v>
      </c>
      <c r="C691" s="2" t="str">
        <f>INDEX('Main Data'!$A$1:$O$1001,MATCH('Index&amp;Match'!$A691,'Main Data'!$A$1:$A$1001,0),MATCH('Index&amp;Match'!C690,'Main Data'!$A690:$O690,0))</f>
        <v>Jordan</v>
      </c>
      <c r="D691" s="2" t="str">
        <f>INDEX('Main Data'!$A$1:$O$1001,MATCH('Index&amp;Match'!$A691,'Main Data'!$A$1:$A$1001,0),MATCH('Index&amp;Match'!D690,'Main Data'!$A690:$O690,0))</f>
        <v>BR-014</v>
      </c>
      <c r="E691" s="2" t="str">
        <f>INDEX('Main Data'!$A$1:$O$1001,MATCH('Index&amp;Match'!$A691,'Main Data'!$A$1:$A$1001,0),MATCH('Index&amp;Match'!E690,'Main Data'!$A690:$O690,0))</f>
        <v>East</v>
      </c>
      <c r="F691" s="2" t="str">
        <f>INDEX('Main Data'!$A$1:$O$1001,MATCH('Index&amp;Match'!$A691,'Main Data'!$A$1:$A$1001,0),MATCH('Index&amp;Match'!F690,'Main Data'!$A690:$O690,0))</f>
        <v>Auto Loan</v>
      </c>
      <c r="G691" s="2" t="str">
        <f>INDEX('Main Data'!$A$1:$O$1001,MATCH('Index&amp;Match'!$A691,'Main Data'!$A$1:$A$1001,0),MATCH('Index&amp;Match'!G690,'Main Data'!$A690:$O690,0))</f>
        <v>Website</v>
      </c>
      <c r="H691" s="2" t="str">
        <f>INDEX('Main Data'!$A$1:$O$1001,MATCH('Index&amp;Match'!$A691,'Main Data'!$A$1:$A$1001,0),MATCH('Index&amp;Match'!H690,'Main Data'!$A690:$O690,0))</f>
        <v>High Net Worth</v>
      </c>
      <c r="I691" s="2">
        <f>INDEX('Main Data'!$A$1:$O$1001,MATCH('Index&amp;Match'!$A691,'Main Data'!$A$1:$A$1001,0),MATCH('Index&amp;Match'!I690,'Main Data'!$A690:$O690,0))</f>
        <v>53</v>
      </c>
      <c r="J691" s="2">
        <f>INDEX('Main Data'!$A$1:$O$1001,MATCH('Index&amp;Match'!$A691,'Main Data'!$A$1:$A$1001,0),MATCH('Index&amp;Match'!J690,'Main Data'!$A690:$O690,0))</f>
        <v>53</v>
      </c>
      <c r="K691" s="11">
        <f>INDEX('Main Data'!$A$1:$O$1001,MATCH('Index&amp;Match'!$A691,'Main Data'!$A$1:$A$1001,0),MATCH('Index&amp;Match'!K690,'Main Data'!$A690:$O690,0))</f>
        <v>1225.03</v>
      </c>
      <c r="L691" s="11">
        <f>INDEX('Main Data'!$A$1:$O$1001,MATCH('Index&amp;Match'!$A691,'Main Data'!$A$1:$A$1001,0),MATCH('Index&amp;Match'!L690,'Main Data'!$A690:$O690,0))</f>
        <v>282.64999999999998</v>
      </c>
      <c r="M691" s="11">
        <f>INDEX('Main Data'!$A$1:$O$1001,MATCH('Index&amp;Match'!$A691,'Main Data'!$A$1:$A$1001,0),MATCH('Index&amp;Match'!M690,'Main Data'!$A690:$O690,0))</f>
        <v>221.88</v>
      </c>
      <c r="N691" s="2" t="str">
        <f>INDEX('Main Data'!$A$1:$O$1001,MATCH('Index&amp;Match'!$A691,'Main Data'!$A$1:$A$1001,0),MATCH('Index&amp;Match'!N690,'Main Data'!$A690:$O690,0))</f>
        <v>Yes</v>
      </c>
      <c r="O691" s="2">
        <f>INDEX('Main Data'!$A$1:$O$1001,MATCH('Index&amp;Match'!$A691,'Main Data'!$A$1:$A$1001,0),MATCH('Index&amp;Match'!O690,'Main Data'!$A690:$O690,0))</f>
        <v>53</v>
      </c>
    </row>
    <row r="692" spans="1:15" x14ac:dyDescent="0.3">
      <c r="A692" s="2" t="s">
        <v>749</v>
      </c>
      <c r="B692" s="1">
        <f>INDEX('Main Data'!$A$1:$O$1001,MATCH('Index&amp;Match'!$A692,'Main Data'!$A$1:$A$1001,0),MATCH('Index&amp;Match'!B691,'Main Data'!$A691:$O691,0))</f>
        <v>46077</v>
      </c>
      <c r="C692" s="2" t="str">
        <f>INDEX('Main Data'!$A$1:$O$1001,MATCH('Index&amp;Match'!$A692,'Main Data'!$A$1:$A$1001,0),MATCH('Index&amp;Match'!C691,'Main Data'!$A691:$O691,0))</f>
        <v>Jordan</v>
      </c>
      <c r="D692" s="2" t="str">
        <f>INDEX('Main Data'!$A$1:$O$1001,MATCH('Index&amp;Match'!$A692,'Main Data'!$A$1:$A$1001,0),MATCH('Index&amp;Match'!D691,'Main Data'!$A691:$O691,0))</f>
        <v>BR-008</v>
      </c>
      <c r="E692" s="2" t="str">
        <f>INDEX('Main Data'!$A$1:$O$1001,MATCH('Index&amp;Match'!$A692,'Main Data'!$A$1:$A$1001,0),MATCH('Index&amp;Match'!E691,'Main Data'!$A691:$O691,0))</f>
        <v>Central</v>
      </c>
      <c r="F692" s="2" t="str">
        <f>INDEX('Main Data'!$A$1:$O$1001,MATCH('Index&amp;Match'!$A692,'Main Data'!$A$1:$A$1001,0),MATCH('Index&amp;Match'!F691,'Main Data'!$A691:$O691,0))</f>
        <v>Mortgage</v>
      </c>
      <c r="G692" s="2" t="str">
        <f>INDEX('Main Data'!$A$1:$O$1001,MATCH('Index&amp;Match'!$A692,'Main Data'!$A$1:$A$1001,0),MATCH('Index&amp;Match'!G691,'Main Data'!$A691:$O691,0))</f>
        <v>Website</v>
      </c>
      <c r="H692" s="2" t="str">
        <f>INDEX('Main Data'!$A$1:$O$1001,MATCH('Index&amp;Match'!$A692,'Main Data'!$A$1:$A$1001,0),MATCH('Index&amp;Match'!H691,'Main Data'!$A691:$O691,0))</f>
        <v>High Net Worth</v>
      </c>
      <c r="I692" s="2">
        <f>INDEX('Main Data'!$A$1:$O$1001,MATCH('Index&amp;Match'!$A692,'Main Data'!$A$1:$A$1001,0),MATCH('Index&amp;Match'!I691,'Main Data'!$A691:$O691,0))</f>
        <v>21</v>
      </c>
      <c r="J692" s="2">
        <f>INDEX('Main Data'!$A$1:$O$1001,MATCH('Index&amp;Match'!$A692,'Main Data'!$A$1:$A$1001,0),MATCH('Index&amp;Match'!J691,'Main Data'!$A691:$O691,0))</f>
        <v>21</v>
      </c>
      <c r="K692" s="11">
        <f>INDEX('Main Data'!$A$1:$O$1001,MATCH('Index&amp;Match'!$A692,'Main Data'!$A$1:$A$1001,0),MATCH('Index&amp;Match'!K691,'Main Data'!$A691:$O691,0))</f>
        <v>46096.62</v>
      </c>
      <c r="L692" s="11">
        <f>INDEX('Main Data'!$A$1:$O$1001,MATCH('Index&amp;Match'!$A692,'Main Data'!$A$1:$A$1001,0),MATCH('Index&amp;Match'!L691,'Main Data'!$A691:$O691,0))</f>
        <v>288.31</v>
      </c>
      <c r="M692" s="11">
        <f>INDEX('Main Data'!$A$1:$O$1001,MATCH('Index&amp;Match'!$A692,'Main Data'!$A$1:$A$1001,0),MATCH('Index&amp;Match'!M691,'Main Data'!$A691:$O691,0))</f>
        <v>149.77000000000001</v>
      </c>
      <c r="N692" s="2" t="str">
        <f>INDEX('Main Data'!$A$1:$O$1001,MATCH('Index&amp;Match'!$A692,'Main Data'!$A$1:$A$1001,0),MATCH('Index&amp;Match'!N691,'Main Data'!$A691:$O691,0))</f>
        <v>No</v>
      </c>
      <c r="O692" s="2">
        <f>INDEX('Main Data'!$A$1:$O$1001,MATCH('Index&amp;Match'!$A692,'Main Data'!$A$1:$A$1001,0),MATCH('Index&amp;Match'!O691,'Main Data'!$A691:$O691,0))</f>
        <v>21</v>
      </c>
    </row>
    <row r="693" spans="1:15" x14ac:dyDescent="0.3">
      <c r="A693" s="2" t="s">
        <v>750</v>
      </c>
      <c r="B693" s="1">
        <f>INDEX('Main Data'!$A$1:$O$1001,MATCH('Index&amp;Match'!$A693,'Main Data'!$A$1:$A$1001,0),MATCH('Index&amp;Match'!B692,'Main Data'!$A692:$O692,0))</f>
        <v>46061</v>
      </c>
      <c r="C693" s="2" t="str">
        <f>INDEX('Main Data'!$A$1:$O$1001,MATCH('Index&amp;Match'!$A693,'Main Data'!$A$1:$A$1001,0),MATCH('Index&amp;Match'!C692,'Main Data'!$A692:$O692,0))</f>
        <v>Sam</v>
      </c>
      <c r="D693" s="2" t="str">
        <f>INDEX('Main Data'!$A$1:$O$1001,MATCH('Index&amp;Match'!$A693,'Main Data'!$A$1:$A$1001,0),MATCH('Index&amp;Match'!D692,'Main Data'!$A692:$O692,0))</f>
        <v>BR-003</v>
      </c>
      <c r="E693" s="2" t="str">
        <f>INDEX('Main Data'!$A$1:$O$1001,MATCH('Index&amp;Match'!$A693,'Main Data'!$A$1:$A$1001,0),MATCH('Index&amp;Match'!E692,'Main Data'!$A692:$O692,0))</f>
        <v>West</v>
      </c>
      <c r="F693" s="2" t="str">
        <f>INDEX('Main Data'!$A$1:$O$1001,MATCH('Index&amp;Match'!$A693,'Main Data'!$A$1:$A$1001,0),MATCH('Index&amp;Match'!F692,'Main Data'!$A692:$O692,0))</f>
        <v>Wealth Management</v>
      </c>
      <c r="G693" s="2" t="str">
        <f>INDEX('Main Data'!$A$1:$O$1001,MATCH('Index&amp;Match'!$A693,'Main Data'!$A$1:$A$1001,0),MATCH('Index&amp;Match'!G692,'Main Data'!$A692:$O692,0))</f>
        <v>Website</v>
      </c>
      <c r="H693" s="2" t="str">
        <f>INDEX('Main Data'!$A$1:$O$1001,MATCH('Index&amp;Match'!$A693,'Main Data'!$A$1:$A$1001,0),MATCH('Index&amp;Match'!H692,'Main Data'!$A692:$O692,0))</f>
        <v>SME</v>
      </c>
      <c r="I693" s="2">
        <f>INDEX('Main Data'!$A$1:$O$1001,MATCH('Index&amp;Match'!$A693,'Main Data'!$A$1:$A$1001,0),MATCH('Index&amp;Match'!I692,'Main Data'!$A692:$O692,0))</f>
        <v>64</v>
      </c>
      <c r="J693" s="2">
        <f>INDEX('Main Data'!$A$1:$O$1001,MATCH('Index&amp;Match'!$A693,'Main Data'!$A$1:$A$1001,0),MATCH('Index&amp;Match'!J692,'Main Data'!$A692:$O692,0))</f>
        <v>64</v>
      </c>
      <c r="K693" s="11">
        <f>INDEX('Main Data'!$A$1:$O$1001,MATCH('Index&amp;Match'!$A693,'Main Data'!$A$1:$A$1001,0),MATCH('Index&amp;Match'!K692,'Main Data'!$A692:$O692,0))</f>
        <v>48816.26</v>
      </c>
      <c r="L693" s="11">
        <f>INDEX('Main Data'!$A$1:$O$1001,MATCH('Index&amp;Match'!$A693,'Main Data'!$A$1:$A$1001,0),MATCH('Index&amp;Match'!L692,'Main Data'!$A692:$O692,0))</f>
        <v>230.4</v>
      </c>
      <c r="M693" s="11">
        <f>INDEX('Main Data'!$A$1:$O$1001,MATCH('Index&amp;Match'!$A693,'Main Data'!$A$1:$A$1001,0),MATCH('Index&amp;Match'!M692,'Main Data'!$A692:$O692,0))</f>
        <v>54.46</v>
      </c>
      <c r="N693" s="2" t="str">
        <f>INDEX('Main Data'!$A$1:$O$1001,MATCH('Index&amp;Match'!$A693,'Main Data'!$A$1:$A$1001,0),MATCH('Index&amp;Match'!N692,'Main Data'!$A692:$O692,0))</f>
        <v>Yes</v>
      </c>
      <c r="O693" s="2">
        <f>INDEX('Main Data'!$A$1:$O$1001,MATCH('Index&amp;Match'!$A693,'Main Data'!$A$1:$A$1001,0),MATCH('Index&amp;Match'!O692,'Main Data'!$A692:$O692,0))</f>
        <v>64</v>
      </c>
    </row>
    <row r="694" spans="1:15" x14ac:dyDescent="0.3">
      <c r="A694" s="2" t="s">
        <v>751</v>
      </c>
      <c r="B694" s="1">
        <f>INDEX('Main Data'!$A$1:$O$1001,MATCH('Index&amp;Match'!$A694,'Main Data'!$A$1:$A$1001,0),MATCH('Index&amp;Match'!B693,'Main Data'!$A693:$O693,0))</f>
        <v>46017</v>
      </c>
      <c r="C694" s="2" t="str">
        <f>INDEX('Main Data'!$A$1:$O$1001,MATCH('Index&amp;Match'!$A694,'Main Data'!$A$1:$A$1001,0),MATCH('Index&amp;Match'!C693,'Main Data'!$A693:$O693,0))</f>
        <v>Casey</v>
      </c>
      <c r="D694" s="2" t="str">
        <f>INDEX('Main Data'!$A$1:$O$1001,MATCH('Index&amp;Match'!$A694,'Main Data'!$A$1:$A$1001,0),MATCH('Index&amp;Match'!D693,'Main Data'!$A693:$O693,0))</f>
        <v>BR-002</v>
      </c>
      <c r="E694" s="2" t="str">
        <f>INDEX('Main Data'!$A$1:$O$1001,MATCH('Index&amp;Match'!$A694,'Main Data'!$A$1:$A$1001,0),MATCH('Index&amp;Match'!E693,'Main Data'!$A693:$O693,0))</f>
        <v>South</v>
      </c>
      <c r="F694" s="2" t="str">
        <f>INDEX('Main Data'!$A$1:$O$1001,MATCH('Index&amp;Match'!$A694,'Main Data'!$A$1:$A$1001,0),MATCH('Index&amp;Match'!F693,'Main Data'!$A693:$O693,0))</f>
        <v>Personal Loan</v>
      </c>
      <c r="G694" s="2" t="str">
        <f>INDEX('Main Data'!$A$1:$O$1001,MATCH('Index&amp;Match'!$A694,'Main Data'!$A$1:$A$1001,0),MATCH('Index&amp;Match'!G693,'Main Data'!$A693:$O693,0))</f>
        <v>Referral</v>
      </c>
      <c r="H694" s="2" t="str">
        <f>INDEX('Main Data'!$A$1:$O$1001,MATCH('Index&amp;Match'!$A694,'Main Data'!$A$1:$A$1001,0),MATCH('Index&amp;Match'!H693,'Main Data'!$A693:$O693,0))</f>
        <v>High Net Worth</v>
      </c>
      <c r="I694" s="2">
        <f>INDEX('Main Data'!$A$1:$O$1001,MATCH('Index&amp;Match'!$A694,'Main Data'!$A$1:$A$1001,0),MATCH('Index&amp;Match'!I693,'Main Data'!$A693:$O693,0))</f>
        <v>73</v>
      </c>
      <c r="J694" s="2">
        <f>INDEX('Main Data'!$A$1:$O$1001,MATCH('Index&amp;Match'!$A694,'Main Data'!$A$1:$A$1001,0),MATCH('Index&amp;Match'!J693,'Main Data'!$A693:$O693,0))</f>
        <v>73</v>
      </c>
      <c r="K694" s="11">
        <f>INDEX('Main Data'!$A$1:$O$1001,MATCH('Index&amp;Match'!$A694,'Main Data'!$A$1:$A$1001,0),MATCH('Index&amp;Match'!K693,'Main Data'!$A693:$O693,0))</f>
        <v>11503</v>
      </c>
      <c r="L694" s="11">
        <f>INDEX('Main Data'!$A$1:$O$1001,MATCH('Index&amp;Match'!$A694,'Main Data'!$A$1:$A$1001,0),MATCH('Index&amp;Match'!L693,'Main Data'!$A693:$O693,0))</f>
        <v>183.83</v>
      </c>
      <c r="M694" s="11">
        <f>INDEX('Main Data'!$A$1:$O$1001,MATCH('Index&amp;Match'!$A694,'Main Data'!$A$1:$A$1001,0),MATCH('Index&amp;Match'!M693,'Main Data'!$A693:$O693,0))</f>
        <v>50.82</v>
      </c>
      <c r="N694" s="2" t="str">
        <f>INDEX('Main Data'!$A$1:$O$1001,MATCH('Index&amp;Match'!$A694,'Main Data'!$A$1:$A$1001,0),MATCH('Index&amp;Match'!N693,'Main Data'!$A693:$O693,0))</f>
        <v>Yes</v>
      </c>
      <c r="O694" s="2">
        <f>INDEX('Main Data'!$A$1:$O$1001,MATCH('Index&amp;Match'!$A694,'Main Data'!$A$1:$A$1001,0),MATCH('Index&amp;Match'!O693,'Main Data'!$A693:$O693,0))</f>
        <v>73</v>
      </c>
    </row>
    <row r="695" spans="1:15" x14ac:dyDescent="0.3">
      <c r="A695" s="2" t="s">
        <v>752</v>
      </c>
      <c r="B695" s="1">
        <f>INDEX('Main Data'!$A$1:$O$1001,MATCH('Index&amp;Match'!$A695,'Main Data'!$A$1:$A$1001,0),MATCH('Index&amp;Match'!B694,'Main Data'!$A694:$O694,0))</f>
        <v>46008</v>
      </c>
      <c r="C695" s="2" t="str">
        <f>INDEX('Main Data'!$A$1:$O$1001,MATCH('Index&amp;Match'!$A695,'Main Data'!$A$1:$A$1001,0),MATCH('Index&amp;Match'!C694,'Main Data'!$A694:$O694,0))</f>
        <v>Morgan</v>
      </c>
      <c r="D695" s="2" t="str">
        <f>INDEX('Main Data'!$A$1:$O$1001,MATCH('Index&amp;Match'!$A695,'Main Data'!$A$1:$A$1001,0),MATCH('Index&amp;Match'!D694,'Main Data'!$A694:$O694,0))</f>
        <v>BR-001</v>
      </c>
      <c r="E695" s="2" t="str">
        <f>INDEX('Main Data'!$A$1:$O$1001,MATCH('Index&amp;Match'!$A695,'Main Data'!$A$1:$A$1001,0),MATCH('Index&amp;Match'!E694,'Main Data'!$A694:$O694,0))</f>
        <v>East</v>
      </c>
      <c r="F695" s="2" t="str">
        <f>INDEX('Main Data'!$A$1:$O$1001,MATCH('Index&amp;Match'!$A695,'Main Data'!$A$1:$A$1001,0),MATCH('Index&amp;Match'!F694,'Main Data'!$A694:$O694,0))</f>
        <v>Wealth Management</v>
      </c>
      <c r="G695" s="2" t="str">
        <f>INDEX('Main Data'!$A$1:$O$1001,MATCH('Index&amp;Match'!$A695,'Main Data'!$A$1:$A$1001,0),MATCH('Index&amp;Match'!G694,'Main Data'!$A694:$O694,0))</f>
        <v>Email Campaign</v>
      </c>
      <c r="H695" s="2" t="str">
        <f>INDEX('Main Data'!$A$1:$O$1001,MATCH('Index&amp;Match'!$A695,'Main Data'!$A$1:$A$1001,0),MATCH('Index&amp;Match'!H694,'Main Data'!$A694:$O694,0))</f>
        <v>SME</v>
      </c>
      <c r="I695" s="2">
        <f>INDEX('Main Data'!$A$1:$O$1001,MATCH('Index&amp;Match'!$A695,'Main Data'!$A$1:$A$1001,0),MATCH('Index&amp;Match'!I694,'Main Data'!$A694:$O694,0))</f>
        <v>54</v>
      </c>
      <c r="J695" s="2">
        <f>INDEX('Main Data'!$A$1:$O$1001,MATCH('Index&amp;Match'!$A695,'Main Data'!$A$1:$A$1001,0),MATCH('Index&amp;Match'!J694,'Main Data'!$A694:$O694,0))</f>
        <v>54</v>
      </c>
      <c r="K695" s="11">
        <f>INDEX('Main Data'!$A$1:$O$1001,MATCH('Index&amp;Match'!$A695,'Main Data'!$A$1:$A$1001,0),MATCH('Index&amp;Match'!K694,'Main Data'!$A694:$O694,0))</f>
        <v>10801.25</v>
      </c>
      <c r="L695" s="11">
        <f>INDEX('Main Data'!$A$1:$O$1001,MATCH('Index&amp;Match'!$A695,'Main Data'!$A$1:$A$1001,0),MATCH('Index&amp;Match'!L694,'Main Data'!$A694:$O694,0))</f>
        <v>356.78</v>
      </c>
      <c r="M695" s="11">
        <f>INDEX('Main Data'!$A$1:$O$1001,MATCH('Index&amp;Match'!$A695,'Main Data'!$A$1:$A$1001,0),MATCH('Index&amp;Match'!M694,'Main Data'!$A694:$O694,0))</f>
        <v>124.16</v>
      </c>
      <c r="N695" s="2" t="str">
        <f>INDEX('Main Data'!$A$1:$O$1001,MATCH('Index&amp;Match'!$A695,'Main Data'!$A$1:$A$1001,0),MATCH('Index&amp;Match'!N694,'Main Data'!$A694:$O694,0))</f>
        <v>Yes</v>
      </c>
      <c r="O695" s="2">
        <f>INDEX('Main Data'!$A$1:$O$1001,MATCH('Index&amp;Match'!$A695,'Main Data'!$A$1:$A$1001,0),MATCH('Index&amp;Match'!O694,'Main Data'!$A694:$O694,0))</f>
        <v>54</v>
      </c>
    </row>
    <row r="696" spans="1:15" x14ac:dyDescent="0.3">
      <c r="A696" s="2" t="s">
        <v>753</v>
      </c>
      <c r="B696" s="1">
        <f>INDEX('Main Data'!$A$1:$O$1001,MATCH('Index&amp;Match'!$A696,'Main Data'!$A$1:$A$1001,0),MATCH('Index&amp;Match'!B695,'Main Data'!$A695:$O695,0))</f>
        <v>46219</v>
      </c>
      <c r="C696" s="2" t="str">
        <f>INDEX('Main Data'!$A$1:$O$1001,MATCH('Index&amp;Match'!$A696,'Main Data'!$A$1:$A$1001,0),MATCH('Index&amp;Match'!C695,'Main Data'!$A695:$O695,0))</f>
        <v>Jordan</v>
      </c>
      <c r="D696" s="2" t="str">
        <f>INDEX('Main Data'!$A$1:$O$1001,MATCH('Index&amp;Match'!$A696,'Main Data'!$A$1:$A$1001,0),MATCH('Index&amp;Match'!D695,'Main Data'!$A695:$O695,0))</f>
        <v>BR-014</v>
      </c>
      <c r="E696" s="2" t="str">
        <f>INDEX('Main Data'!$A$1:$O$1001,MATCH('Index&amp;Match'!$A696,'Main Data'!$A$1:$A$1001,0),MATCH('Index&amp;Match'!E695,'Main Data'!$A695:$O695,0))</f>
        <v>West</v>
      </c>
      <c r="F696" s="2" t="str">
        <f>INDEX('Main Data'!$A$1:$O$1001,MATCH('Index&amp;Match'!$A696,'Main Data'!$A$1:$A$1001,0),MATCH('Index&amp;Match'!F695,'Main Data'!$A695:$O695,0))</f>
        <v>Mortgage</v>
      </c>
      <c r="G696" s="2" t="str">
        <f>INDEX('Main Data'!$A$1:$O$1001,MATCH('Index&amp;Match'!$A696,'Main Data'!$A$1:$A$1001,0),MATCH('Index&amp;Match'!G695,'Main Data'!$A695:$O695,0))</f>
        <v>Referral</v>
      </c>
      <c r="H696" s="2" t="str">
        <f>INDEX('Main Data'!$A$1:$O$1001,MATCH('Index&amp;Match'!$A696,'Main Data'!$A$1:$A$1001,0),MATCH('Index&amp;Match'!H695,'Main Data'!$A695:$O695,0))</f>
        <v>High Net Worth</v>
      </c>
      <c r="I696" s="2">
        <f>INDEX('Main Data'!$A$1:$O$1001,MATCH('Index&amp;Match'!$A696,'Main Data'!$A$1:$A$1001,0),MATCH('Index&amp;Match'!I695,'Main Data'!$A695:$O695,0))</f>
        <v>24</v>
      </c>
      <c r="J696" s="2">
        <f>INDEX('Main Data'!$A$1:$O$1001,MATCH('Index&amp;Match'!$A696,'Main Data'!$A$1:$A$1001,0),MATCH('Index&amp;Match'!J695,'Main Data'!$A695:$O695,0))</f>
        <v>24</v>
      </c>
      <c r="K696" s="11">
        <f>INDEX('Main Data'!$A$1:$O$1001,MATCH('Index&amp;Match'!$A696,'Main Data'!$A$1:$A$1001,0),MATCH('Index&amp;Match'!K695,'Main Data'!$A695:$O695,0))</f>
        <v>37809.15</v>
      </c>
      <c r="L696" s="11">
        <f>INDEX('Main Data'!$A$1:$O$1001,MATCH('Index&amp;Match'!$A696,'Main Data'!$A$1:$A$1001,0),MATCH('Index&amp;Match'!L695,'Main Data'!$A695:$O695,0))</f>
        <v>143.51</v>
      </c>
      <c r="M696" s="11">
        <f>INDEX('Main Data'!$A$1:$O$1001,MATCH('Index&amp;Match'!$A696,'Main Data'!$A$1:$A$1001,0),MATCH('Index&amp;Match'!M695,'Main Data'!$A695:$O695,0))</f>
        <v>215.7</v>
      </c>
      <c r="N696" s="2" t="str">
        <f>INDEX('Main Data'!$A$1:$O$1001,MATCH('Index&amp;Match'!$A696,'Main Data'!$A$1:$A$1001,0),MATCH('Index&amp;Match'!N695,'Main Data'!$A695:$O695,0))</f>
        <v>Yes</v>
      </c>
      <c r="O696" s="2">
        <f>INDEX('Main Data'!$A$1:$O$1001,MATCH('Index&amp;Match'!$A696,'Main Data'!$A$1:$A$1001,0),MATCH('Index&amp;Match'!O695,'Main Data'!$A695:$O695,0))</f>
        <v>24</v>
      </c>
    </row>
    <row r="697" spans="1:15" x14ac:dyDescent="0.3">
      <c r="A697" s="2" t="s">
        <v>754</v>
      </c>
      <c r="B697" s="1">
        <f>INDEX('Main Data'!$A$1:$O$1001,MATCH('Index&amp;Match'!$A697,'Main Data'!$A$1:$A$1001,0),MATCH('Index&amp;Match'!B696,'Main Data'!$A696:$O696,0))</f>
        <v>46014</v>
      </c>
      <c r="C697" s="2" t="str">
        <f>INDEX('Main Data'!$A$1:$O$1001,MATCH('Index&amp;Match'!$A697,'Main Data'!$A$1:$A$1001,0),MATCH('Index&amp;Match'!C696,'Main Data'!$A696:$O696,0))</f>
        <v>Morgan</v>
      </c>
      <c r="D697" s="2" t="str">
        <f>INDEX('Main Data'!$A$1:$O$1001,MATCH('Index&amp;Match'!$A697,'Main Data'!$A$1:$A$1001,0),MATCH('Index&amp;Match'!D696,'Main Data'!$A696:$O696,0))</f>
        <v>BR-003</v>
      </c>
      <c r="E697" s="2" t="str">
        <f>INDEX('Main Data'!$A$1:$O$1001,MATCH('Index&amp;Match'!$A697,'Main Data'!$A$1:$A$1001,0),MATCH('Index&amp;Match'!E696,'Main Data'!$A696:$O696,0))</f>
        <v>West</v>
      </c>
      <c r="F697" s="2" t="str">
        <f>INDEX('Main Data'!$A$1:$O$1001,MATCH('Index&amp;Match'!$A697,'Main Data'!$A$1:$A$1001,0),MATCH('Index&amp;Match'!F696,'Main Data'!$A696:$O696,0))</f>
        <v>Personal Loan</v>
      </c>
      <c r="G697" s="2" t="str">
        <f>INDEX('Main Data'!$A$1:$O$1001,MATCH('Index&amp;Match'!$A697,'Main Data'!$A$1:$A$1001,0),MATCH('Index&amp;Match'!G696,'Main Data'!$A696:$O696,0))</f>
        <v>Social Media</v>
      </c>
      <c r="H697" s="2" t="str">
        <f>INDEX('Main Data'!$A$1:$O$1001,MATCH('Index&amp;Match'!$A697,'Main Data'!$A$1:$A$1001,0),MATCH('Index&amp;Match'!H696,'Main Data'!$A696:$O696,0))</f>
        <v>Corporate</v>
      </c>
      <c r="I697" s="2">
        <f>INDEX('Main Data'!$A$1:$O$1001,MATCH('Index&amp;Match'!$A697,'Main Data'!$A$1:$A$1001,0),MATCH('Index&amp;Match'!I696,'Main Data'!$A696:$O696,0))</f>
        <v>37</v>
      </c>
      <c r="J697" s="2">
        <f>INDEX('Main Data'!$A$1:$O$1001,MATCH('Index&amp;Match'!$A697,'Main Data'!$A$1:$A$1001,0),MATCH('Index&amp;Match'!J696,'Main Data'!$A696:$O696,0))</f>
        <v>37</v>
      </c>
      <c r="K697" s="11">
        <f>INDEX('Main Data'!$A$1:$O$1001,MATCH('Index&amp;Match'!$A697,'Main Data'!$A$1:$A$1001,0),MATCH('Index&amp;Match'!K696,'Main Data'!$A696:$O696,0))</f>
        <v>13042.28</v>
      </c>
      <c r="L697" s="11">
        <f>INDEX('Main Data'!$A$1:$O$1001,MATCH('Index&amp;Match'!$A697,'Main Data'!$A$1:$A$1001,0),MATCH('Index&amp;Match'!L696,'Main Data'!$A696:$O696,0))</f>
        <v>409.53</v>
      </c>
      <c r="M697" s="11">
        <f>INDEX('Main Data'!$A$1:$O$1001,MATCH('Index&amp;Match'!$A697,'Main Data'!$A$1:$A$1001,0),MATCH('Index&amp;Match'!M696,'Main Data'!$A696:$O696,0))</f>
        <v>113.9</v>
      </c>
      <c r="N697" s="2" t="str">
        <f>INDEX('Main Data'!$A$1:$O$1001,MATCH('Index&amp;Match'!$A697,'Main Data'!$A$1:$A$1001,0),MATCH('Index&amp;Match'!N696,'Main Data'!$A696:$O696,0))</f>
        <v>Yes</v>
      </c>
      <c r="O697" s="2">
        <f>INDEX('Main Data'!$A$1:$O$1001,MATCH('Index&amp;Match'!$A697,'Main Data'!$A$1:$A$1001,0),MATCH('Index&amp;Match'!O696,'Main Data'!$A696:$O696,0))</f>
        <v>37</v>
      </c>
    </row>
    <row r="698" spans="1:15" x14ac:dyDescent="0.3">
      <c r="A698" s="2" t="s">
        <v>755</v>
      </c>
      <c r="B698" s="1">
        <f>INDEX('Main Data'!$A$1:$O$1001,MATCH('Index&amp;Match'!$A698,'Main Data'!$A$1:$A$1001,0),MATCH('Index&amp;Match'!B697,'Main Data'!$A697:$O697,0))</f>
        <v>46142</v>
      </c>
      <c r="C698" s="2" t="str">
        <f>INDEX('Main Data'!$A$1:$O$1001,MATCH('Index&amp;Match'!$A698,'Main Data'!$A$1:$A$1001,0),MATCH('Index&amp;Match'!C697,'Main Data'!$A697:$O697,0))</f>
        <v>Jamie</v>
      </c>
      <c r="D698" s="2" t="str">
        <f>INDEX('Main Data'!$A$1:$O$1001,MATCH('Index&amp;Match'!$A698,'Main Data'!$A$1:$A$1001,0),MATCH('Index&amp;Match'!D697,'Main Data'!$A697:$O697,0))</f>
        <v>BR-015</v>
      </c>
      <c r="E698" s="2" t="str">
        <f>INDEX('Main Data'!$A$1:$O$1001,MATCH('Index&amp;Match'!$A698,'Main Data'!$A$1:$A$1001,0),MATCH('Index&amp;Match'!E697,'Main Data'!$A697:$O697,0))</f>
        <v>South</v>
      </c>
      <c r="F698" s="2" t="str">
        <f>INDEX('Main Data'!$A$1:$O$1001,MATCH('Index&amp;Match'!$A698,'Main Data'!$A$1:$A$1001,0),MATCH('Index&amp;Match'!F697,'Main Data'!$A697:$O697,0))</f>
        <v>Credit Card</v>
      </c>
      <c r="G698" s="2" t="str">
        <f>INDEX('Main Data'!$A$1:$O$1001,MATCH('Index&amp;Match'!$A698,'Main Data'!$A$1:$A$1001,0),MATCH('Index&amp;Match'!G697,'Main Data'!$A697:$O697,0))</f>
        <v>Referral</v>
      </c>
      <c r="H698" s="2" t="str">
        <f>INDEX('Main Data'!$A$1:$O$1001,MATCH('Index&amp;Match'!$A698,'Main Data'!$A$1:$A$1001,0),MATCH('Index&amp;Match'!H697,'Main Data'!$A697:$O697,0))</f>
        <v>Retail</v>
      </c>
      <c r="I698" s="2">
        <f>INDEX('Main Data'!$A$1:$O$1001,MATCH('Index&amp;Match'!$A698,'Main Data'!$A$1:$A$1001,0),MATCH('Index&amp;Match'!I697,'Main Data'!$A697:$O697,0))</f>
        <v>24</v>
      </c>
      <c r="J698" s="2">
        <f>INDEX('Main Data'!$A$1:$O$1001,MATCH('Index&amp;Match'!$A698,'Main Data'!$A$1:$A$1001,0),MATCH('Index&amp;Match'!J697,'Main Data'!$A697:$O697,0))</f>
        <v>24</v>
      </c>
      <c r="K698" s="11">
        <f>INDEX('Main Data'!$A$1:$O$1001,MATCH('Index&amp;Match'!$A698,'Main Data'!$A$1:$A$1001,0),MATCH('Index&amp;Match'!K697,'Main Data'!$A697:$O697,0))</f>
        <v>44806.29</v>
      </c>
      <c r="L698" s="11">
        <f>INDEX('Main Data'!$A$1:$O$1001,MATCH('Index&amp;Match'!$A698,'Main Data'!$A$1:$A$1001,0),MATCH('Index&amp;Match'!L697,'Main Data'!$A697:$O697,0))</f>
        <v>411.37</v>
      </c>
      <c r="M698" s="11">
        <f>INDEX('Main Data'!$A$1:$O$1001,MATCH('Index&amp;Match'!$A698,'Main Data'!$A$1:$A$1001,0),MATCH('Index&amp;Match'!M697,'Main Data'!$A697:$O697,0))</f>
        <v>147.66999999999999</v>
      </c>
      <c r="N698" s="2" t="str">
        <f>INDEX('Main Data'!$A$1:$O$1001,MATCH('Index&amp;Match'!$A698,'Main Data'!$A$1:$A$1001,0),MATCH('Index&amp;Match'!N697,'Main Data'!$A697:$O697,0))</f>
        <v>Yes</v>
      </c>
      <c r="O698" s="2">
        <f>INDEX('Main Data'!$A$1:$O$1001,MATCH('Index&amp;Match'!$A698,'Main Data'!$A$1:$A$1001,0),MATCH('Index&amp;Match'!O697,'Main Data'!$A697:$O697,0))</f>
        <v>24</v>
      </c>
    </row>
    <row r="699" spans="1:15" x14ac:dyDescent="0.3">
      <c r="A699" s="2" t="s">
        <v>756</v>
      </c>
      <c r="B699" s="1">
        <f>INDEX('Main Data'!$A$1:$O$1001,MATCH('Index&amp;Match'!$A699,'Main Data'!$A$1:$A$1001,0),MATCH('Index&amp;Match'!B698,'Main Data'!$A698:$O698,0))</f>
        <v>45895</v>
      </c>
      <c r="C699" s="2" t="str">
        <f>INDEX('Main Data'!$A$1:$O$1001,MATCH('Index&amp;Match'!$A699,'Main Data'!$A$1:$A$1001,0),MATCH('Index&amp;Match'!C698,'Main Data'!$A698:$O698,0))</f>
        <v>Jordan</v>
      </c>
      <c r="D699" s="2" t="str">
        <f>INDEX('Main Data'!$A$1:$O$1001,MATCH('Index&amp;Match'!$A699,'Main Data'!$A$1:$A$1001,0),MATCH('Index&amp;Match'!D698,'Main Data'!$A698:$O698,0))</f>
        <v>BR-002</v>
      </c>
      <c r="E699" s="2" t="str">
        <f>INDEX('Main Data'!$A$1:$O$1001,MATCH('Index&amp;Match'!$A699,'Main Data'!$A$1:$A$1001,0),MATCH('Index&amp;Match'!E698,'Main Data'!$A698:$O698,0))</f>
        <v>North</v>
      </c>
      <c r="F699" s="2" t="str">
        <f>INDEX('Main Data'!$A$1:$O$1001,MATCH('Index&amp;Match'!$A699,'Main Data'!$A$1:$A$1001,0),MATCH('Index&amp;Match'!F698,'Main Data'!$A698:$O698,0))</f>
        <v>Credit Card</v>
      </c>
      <c r="G699" s="2" t="str">
        <f>INDEX('Main Data'!$A$1:$O$1001,MATCH('Index&amp;Match'!$A699,'Main Data'!$A$1:$A$1001,0),MATCH('Index&amp;Match'!G698,'Main Data'!$A698:$O698,0))</f>
        <v>Website</v>
      </c>
      <c r="H699" s="2" t="str">
        <f>INDEX('Main Data'!$A$1:$O$1001,MATCH('Index&amp;Match'!$A699,'Main Data'!$A$1:$A$1001,0),MATCH('Index&amp;Match'!H698,'Main Data'!$A698:$O698,0))</f>
        <v>Corporate</v>
      </c>
      <c r="I699" s="2">
        <f>INDEX('Main Data'!$A$1:$O$1001,MATCH('Index&amp;Match'!$A699,'Main Data'!$A$1:$A$1001,0),MATCH('Index&amp;Match'!I698,'Main Data'!$A698:$O698,0))</f>
        <v>63</v>
      </c>
      <c r="J699" s="2">
        <f>INDEX('Main Data'!$A$1:$O$1001,MATCH('Index&amp;Match'!$A699,'Main Data'!$A$1:$A$1001,0),MATCH('Index&amp;Match'!J698,'Main Data'!$A698:$O698,0))</f>
        <v>63</v>
      </c>
      <c r="K699" s="11">
        <f>INDEX('Main Data'!$A$1:$O$1001,MATCH('Index&amp;Match'!$A699,'Main Data'!$A$1:$A$1001,0),MATCH('Index&amp;Match'!K698,'Main Data'!$A698:$O698,0))</f>
        <v>28909.49</v>
      </c>
      <c r="L699" s="11">
        <f>INDEX('Main Data'!$A$1:$O$1001,MATCH('Index&amp;Match'!$A699,'Main Data'!$A$1:$A$1001,0),MATCH('Index&amp;Match'!L698,'Main Data'!$A698:$O698,0))</f>
        <v>236.87</v>
      </c>
      <c r="M699" s="11">
        <f>INDEX('Main Data'!$A$1:$O$1001,MATCH('Index&amp;Match'!$A699,'Main Data'!$A$1:$A$1001,0),MATCH('Index&amp;Match'!M698,'Main Data'!$A698:$O698,0))</f>
        <v>28.3</v>
      </c>
      <c r="N699" s="2" t="str">
        <f>INDEX('Main Data'!$A$1:$O$1001,MATCH('Index&amp;Match'!$A699,'Main Data'!$A$1:$A$1001,0),MATCH('Index&amp;Match'!N698,'Main Data'!$A698:$O698,0))</f>
        <v>No</v>
      </c>
      <c r="O699" s="2">
        <f>INDEX('Main Data'!$A$1:$O$1001,MATCH('Index&amp;Match'!$A699,'Main Data'!$A$1:$A$1001,0),MATCH('Index&amp;Match'!O698,'Main Data'!$A698:$O698,0))</f>
        <v>63</v>
      </c>
    </row>
    <row r="700" spans="1:15" x14ac:dyDescent="0.3">
      <c r="A700" s="2" t="s">
        <v>757</v>
      </c>
      <c r="B700" s="1">
        <f>INDEX('Main Data'!$A$1:$O$1001,MATCH('Index&amp;Match'!$A700,'Main Data'!$A$1:$A$1001,0),MATCH('Index&amp;Match'!B699,'Main Data'!$A699:$O699,0))</f>
        <v>45905</v>
      </c>
      <c r="C700" s="2" t="str">
        <f>INDEX('Main Data'!$A$1:$O$1001,MATCH('Index&amp;Match'!$A700,'Main Data'!$A$1:$A$1001,0),MATCH('Index&amp;Match'!C699,'Main Data'!$A699:$O699,0))</f>
        <v>Jordan</v>
      </c>
      <c r="D700" s="2" t="str">
        <f>INDEX('Main Data'!$A$1:$O$1001,MATCH('Index&amp;Match'!$A700,'Main Data'!$A$1:$A$1001,0),MATCH('Index&amp;Match'!D699,'Main Data'!$A699:$O699,0))</f>
        <v>BR-002</v>
      </c>
      <c r="E700" s="2" t="str">
        <f>INDEX('Main Data'!$A$1:$O$1001,MATCH('Index&amp;Match'!$A700,'Main Data'!$A$1:$A$1001,0),MATCH('Index&amp;Match'!E699,'Main Data'!$A699:$O699,0))</f>
        <v>South</v>
      </c>
      <c r="F700" s="2" t="str">
        <f>INDEX('Main Data'!$A$1:$O$1001,MATCH('Index&amp;Match'!$A700,'Main Data'!$A$1:$A$1001,0),MATCH('Index&amp;Match'!F699,'Main Data'!$A699:$O699,0))</f>
        <v>Auto Loan</v>
      </c>
      <c r="G700" s="2" t="str">
        <f>INDEX('Main Data'!$A$1:$O$1001,MATCH('Index&amp;Match'!$A700,'Main Data'!$A$1:$A$1001,0),MATCH('Index&amp;Match'!G699,'Main Data'!$A699:$O699,0))</f>
        <v>Walk-in</v>
      </c>
      <c r="H700" s="2" t="str">
        <f>INDEX('Main Data'!$A$1:$O$1001,MATCH('Index&amp;Match'!$A700,'Main Data'!$A$1:$A$1001,0),MATCH('Index&amp;Match'!H699,'Main Data'!$A699:$O699,0))</f>
        <v>High Net Worth</v>
      </c>
      <c r="I700" s="2">
        <f>INDEX('Main Data'!$A$1:$O$1001,MATCH('Index&amp;Match'!$A700,'Main Data'!$A$1:$A$1001,0),MATCH('Index&amp;Match'!I699,'Main Data'!$A699:$O699,0))</f>
        <v>74</v>
      </c>
      <c r="J700" s="2">
        <f>INDEX('Main Data'!$A$1:$O$1001,MATCH('Index&amp;Match'!$A700,'Main Data'!$A$1:$A$1001,0),MATCH('Index&amp;Match'!J699,'Main Data'!$A699:$O699,0))</f>
        <v>74</v>
      </c>
      <c r="K700" s="11">
        <f>INDEX('Main Data'!$A$1:$O$1001,MATCH('Index&amp;Match'!$A700,'Main Data'!$A$1:$A$1001,0),MATCH('Index&amp;Match'!K699,'Main Data'!$A699:$O699,0))</f>
        <v>17863.490000000002</v>
      </c>
      <c r="L700" s="11">
        <f>INDEX('Main Data'!$A$1:$O$1001,MATCH('Index&amp;Match'!$A700,'Main Data'!$A$1:$A$1001,0),MATCH('Index&amp;Match'!L699,'Main Data'!$A699:$O699,0))</f>
        <v>177.6</v>
      </c>
      <c r="M700" s="11">
        <f>INDEX('Main Data'!$A$1:$O$1001,MATCH('Index&amp;Match'!$A700,'Main Data'!$A$1:$A$1001,0),MATCH('Index&amp;Match'!M699,'Main Data'!$A699:$O699,0))</f>
        <v>264.74</v>
      </c>
      <c r="N700" s="2" t="str">
        <f>INDEX('Main Data'!$A$1:$O$1001,MATCH('Index&amp;Match'!$A700,'Main Data'!$A$1:$A$1001,0),MATCH('Index&amp;Match'!N699,'Main Data'!$A699:$O699,0))</f>
        <v>Yes</v>
      </c>
      <c r="O700" s="2">
        <f>INDEX('Main Data'!$A$1:$O$1001,MATCH('Index&amp;Match'!$A700,'Main Data'!$A$1:$A$1001,0),MATCH('Index&amp;Match'!O699,'Main Data'!$A699:$O699,0))</f>
        <v>74</v>
      </c>
    </row>
    <row r="701" spans="1:15" x14ac:dyDescent="0.3">
      <c r="A701" s="2" t="s">
        <v>758</v>
      </c>
      <c r="B701" s="1">
        <f>INDEX('Main Data'!$A$1:$O$1001,MATCH('Index&amp;Match'!$A701,'Main Data'!$A$1:$A$1001,0),MATCH('Index&amp;Match'!B700,'Main Data'!$A700:$O700,0))</f>
        <v>45870</v>
      </c>
      <c r="C701" s="2" t="str">
        <f>INDEX('Main Data'!$A$1:$O$1001,MATCH('Index&amp;Match'!$A701,'Main Data'!$A$1:$A$1001,0),MATCH('Index&amp;Match'!C700,'Main Data'!$A700:$O700,0))</f>
        <v>Taylor</v>
      </c>
      <c r="D701" s="2" t="str">
        <f>INDEX('Main Data'!$A$1:$O$1001,MATCH('Index&amp;Match'!$A701,'Main Data'!$A$1:$A$1001,0),MATCH('Index&amp;Match'!D700,'Main Data'!$A700:$O700,0))</f>
        <v>BR-006</v>
      </c>
      <c r="E701" s="2" t="str">
        <f>INDEX('Main Data'!$A$1:$O$1001,MATCH('Index&amp;Match'!$A701,'Main Data'!$A$1:$A$1001,0),MATCH('Index&amp;Match'!E700,'Main Data'!$A700:$O700,0))</f>
        <v>East</v>
      </c>
      <c r="F701" s="2" t="str">
        <f>INDEX('Main Data'!$A$1:$O$1001,MATCH('Index&amp;Match'!$A701,'Main Data'!$A$1:$A$1001,0),MATCH('Index&amp;Match'!F700,'Main Data'!$A700:$O700,0))</f>
        <v>Mortgage</v>
      </c>
      <c r="G701" s="2" t="str">
        <f>INDEX('Main Data'!$A$1:$O$1001,MATCH('Index&amp;Match'!$A701,'Main Data'!$A$1:$A$1001,0),MATCH('Index&amp;Match'!G700,'Main Data'!$A700:$O700,0))</f>
        <v>Referral</v>
      </c>
      <c r="H701" s="2" t="str">
        <f>INDEX('Main Data'!$A$1:$O$1001,MATCH('Index&amp;Match'!$A701,'Main Data'!$A$1:$A$1001,0),MATCH('Index&amp;Match'!H700,'Main Data'!$A700:$O700,0))</f>
        <v>High Net Worth</v>
      </c>
      <c r="I701" s="2">
        <f>INDEX('Main Data'!$A$1:$O$1001,MATCH('Index&amp;Match'!$A701,'Main Data'!$A$1:$A$1001,0),MATCH('Index&amp;Match'!I700,'Main Data'!$A700:$O700,0))</f>
        <v>46</v>
      </c>
      <c r="J701" s="2">
        <f>INDEX('Main Data'!$A$1:$O$1001,MATCH('Index&amp;Match'!$A701,'Main Data'!$A$1:$A$1001,0),MATCH('Index&amp;Match'!J700,'Main Data'!$A700:$O700,0))</f>
        <v>46</v>
      </c>
      <c r="K701" s="11">
        <f>INDEX('Main Data'!$A$1:$O$1001,MATCH('Index&amp;Match'!$A701,'Main Data'!$A$1:$A$1001,0),MATCH('Index&amp;Match'!K700,'Main Data'!$A700:$O700,0))</f>
        <v>41718.339999999997</v>
      </c>
      <c r="L701" s="11">
        <f>INDEX('Main Data'!$A$1:$O$1001,MATCH('Index&amp;Match'!$A701,'Main Data'!$A$1:$A$1001,0),MATCH('Index&amp;Match'!L700,'Main Data'!$A700:$O700,0))</f>
        <v>177.75</v>
      </c>
      <c r="M701" s="11">
        <f>INDEX('Main Data'!$A$1:$O$1001,MATCH('Index&amp;Match'!$A701,'Main Data'!$A$1:$A$1001,0),MATCH('Index&amp;Match'!M700,'Main Data'!$A700:$O700,0))</f>
        <v>174.72</v>
      </c>
      <c r="N701" s="2" t="str">
        <f>INDEX('Main Data'!$A$1:$O$1001,MATCH('Index&amp;Match'!$A701,'Main Data'!$A$1:$A$1001,0),MATCH('Index&amp;Match'!N700,'Main Data'!$A700:$O700,0))</f>
        <v>Yes</v>
      </c>
      <c r="O701" s="2">
        <f>INDEX('Main Data'!$A$1:$O$1001,MATCH('Index&amp;Match'!$A701,'Main Data'!$A$1:$A$1001,0),MATCH('Index&amp;Match'!O700,'Main Data'!$A700:$O700,0))</f>
        <v>46</v>
      </c>
    </row>
    <row r="702" spans="1:15" x14ac:dyDescent="0.3">
      <c r="A702" s="2" t="s">
        <v>759</v>
      </c>
      <c r="B702" s="1">
        <f>INDEX('Main Data'!$A$1:$O$1001,MATCH('Index&amp;Match'!$A702,'Main Data'!$A$1:$A$1001,0),MATCH('Index&amp;Match'!B701,'Main Data'!$A701:$O701,0))</f>
        <v>45986</v>
      </c>
      <c r="C702" s="2" t="str">
        <f>INDEX('Main Data'!$A$1:$O$1001,MATCH('Index&amp;Match'!$A702,'Main Data'!$A$1:$A$1001,0),MATCH('Index&amp;Match'!C701,'Main Data'!$A701:$O701,0))</f>
        <v>Jordan</v>
      </c>
      <c r="D702" s="2" t="str">
        <f>INDEX('Main Data'!$A$1:$O$1001,MATCH('Index&amp;Match'!$A702,'Main Data'!$A$1:$A$1001,0),MATCH('Index&amp;Match'!D701,'Main Data'!$A701:$O701,0))</f>
        <v>BR-012</v>
      </c>
      <c r="E702" s="2" t="str">
        <f>INDEX('Main Data'!$A$1:$O$1001,MATCH('Index&amp;Match'!$A702,'Main Data'!$A$1:$A$1001,0),MATCH('Index&amp;Match'!E701,'Main Data'!$A701:$O701,0))</f>
        <v>West</v>
      </c>
      <c r="F702" s="2" t="str">
        <f>INDEX('Main Data'!$A$1:$O$1001,MATCH('Index&amp;Match'!$A702,'Main Data'!$A$1:$A$1001,0),MATCH('Index&amp;Match'!F701,'Main Data'!$A701:$O701,0))</f>
        <v>Mortgage</v>
      </c>
      <c r="G702" s="2" t="str">
        <f>INDEX('Main Data'!$A$1:$O$1001,MATCH('Index&amp;Match'!$A702,'Main Data'!$A$1:$A$1001,0),MATCH('Index&amp;Match'!G701,'Main Data'!$A701:$O701,0))</f>
        <v>Referral</v>
      </c>
      <c r="H702" s="2" t="str">
        <f>INDEX('Main Data'!$A$1:$O$1001,MATCH('Index&amp;Match'!$A702,'Main Data'!$A$1:$A$1001,0),MATCH('Index&amp;Match'!H701,'Main Data'!$A701:$O701,0))</f>
        <v>High Net Worth</v>
      </c>
      <c r="I702" s="2">
        <f>INDEX('Main Data'!$A$1:$O$1001,MATCH('Index&amp;Match'!$A702,'Main Data'!$A$1:$A$1001,0),MATCH('Index&amp;Match'!I701,'Main Data'!$A701:$O701,0))</f>
        <v>24</v>
      </c>
      <c r="J702" s="2">
        <f>INDEX('Main Data'!$A$1:$O$1001,MATCH('Index&amp;Match'!$A702,'Main Data'!$A$1:$A$1001,0),MATCH('Index&amp;Match'!J701,'Main Data'!$A701:$O701,0))</f>
        <v>24</v>
      </c>
      <c r="K702" s="11">
        <f>INDEX('Main Data'!$A$1:$O$1001,MATCH('Index&amp;Match'!$A702,'Main Data'!$A$1:$A$1001,0),MATCH('Index&amp;Match'!K701,'Main Data'!$A701:$O701,0))</f>
        <v>24923.63</v>
      </c>
      <c r="L702" s="11">
        <f>INDEX('Main Data'!$A$1:$O$1001,MATCH('Index&amp;Match'!$A702,'Main Data'!$A$1:$A$1001,0),MATCH('Index&amp;Match'!L701,'Main Data'!$A701:$O701,0))</f>
        <v>267.02999999999997</v>
      </c>
      <c r="M702" s="11">
        <f>INDEX('Main Data'!$A$1:$O$1001,MATCH('Index&amp;Match'!$A702,'Main Data'!$A$1:$A$1001,0),MATCH('Index&amp;Match'!M701,'Main Data'!$A701:$O701,0))</f>
        <v>38.06</v>
      </c>
      <c r="N702" s="2" t="str">
        <f>INDEX('Main Data'!$A$1:$O$1001,MATCH('Index&amp;Match'!$A702,'Main Data'!$A$1:$A$1001,0),MATCH('Index&amp;Match'!N701,'Main Data'!$A701:$O701,0))</f>
        <v>Yes</v>
      </c>
      <c r="O702" s="2">
        <f>INDEX('Main Data'!$A$1:$O$1001,MATCH('Index&amp;Match'!$A702,'Main Data'!$A$1:$A$1001,0),MATCH('Index&amp;Match'!O701,'Main Data'!$A701:$O701,0))</f>
        <v>24</v>
      </c>
    </row>
    <row r="703" spans="1:15" x14ac:dyDescent="0.3">
      <c r="A703" s="2" t="s">
        <v>760</v>
      </c>
      <c r="B703" s="1">
        <f>INDEX('Main Data'!$A$1:$O$1001,MATCH('Index&amp;Match'!$A703,'Main Data'!$A$1:$A$1001,0),MATCH('Index&amp;Match'!B702,'Main Data'!$A702:$O702,0))</f>
        <v>46205</v>
      </c>
      <c r="C703" s="2" t="str">
        <f>INDEX('Main Data'!$A$1:$O$1001,MATCH('Index&amp;Match'!$A703,'Main Data'!$A$1:$A$1001,0),MATCH('Index&amp;Match'!C702,'Main Data'!$A702:$O702,0))</f>
        <v>Drew</v>
      </c>
      <c r="D703" s="2" t="str">
        <f>INDEX('Main Data'!$A$1:$O$1001,MATCH('Index&amp;Match'!$A703,'Main Data'!$A$1:$A$1001,0),MATCH('Index&amp;Match'!D702,'Main Data'!$A702:$O702,0))</f>
        <v>BR-001</v>
      </c>
      <c r="E703" s="2" t="str">
        <f>INDEX('Main Data'!$A$1:$O$1001,MATCH('Index&amp;Match'!$A703,'Main Data'!$A$1:$A$1001,0),MATCH('Index&amp;Match'!E702,'Main Data'!$A702:$O702,0))</f>
        <v>South</v>
      </c>
      <c r="F703" s="2" t="str">
        <f>INDEX('Main Data'!$A$1:$O$1001,MATCH('Index&amp;Match'!$A703,'Main Data'!$A$1:$A$1001,0),MATCH('Index&amp;Match'!F702,'Main Data'!$A702:$O702,0))</f>
        <v>Credit Card</v>
      </c>
      <c r="G703" s="2" t="str">
        <f>INDEX('Main Data'!$A$1:$O$1001,MATCH('Index&amp;Match'!$A703,'Main Data'!$A$1:$A$1001,0),MATCH('Index&amp;Match'!G702,'Main Data'!$A702:$O702,0))</f>
        <v>Website</v>
      </c>
      <c r="H703" s="2" t="str">
        <f>INDEX('Main Data'!$A$1:$O$1001,MATCH('Index&amp;Match'!$A703,'Main Data'!$A$1:$A$1001,0),MATCH('Index&amp;Match'!H702,'Main Data'!$A702:$O702,0))</f>
        <v>Corporate</v>
      </c>
      <c r="I703" s="2">
        <f>INDEX('Main Data'!$A$1:$O$1001,MATCH('Index&amp;Match'!$A703,'Main Data'!$A$1:$A$1001,0),MATCH('Index&amp;Match'!I702,'Main Data'!$A702:$O702,0))</f>
        <v>21</v>
      </c>
      <c r="J703" s="2">
        <f>INDEX('Main Data'!$A$1:$O$1001,MATCH('Index&amp;Match'!$A703,'Main Data'!$A$1:$A$1001,0),MATCH('Index&amp;Match'!J702,'Main Data'!$A702:$O702,0))</f>
        <v>21</v>
      </c>
      <c r="K703" s="11">
        <f>INDEX('Main Data'!$A$1:$O$1001,MATCH('Index&amp;Match'!$A703,'Main Data'!$A$1:$A$1001,0),MATCH('Index&amp;Match'!K702,'Main Data'!$A702:$O702,0))</f>
        <v>45625.83</v>
      </c>
      <c r="L703" s="11">
        <f>INDEX('Main Data'!$A$1:$O$1001,MATCH('Index&amp;Match'!$A703,'Main Data'!$A$1:$A$1001,0),MATCH('Index&amp;Match'!L702,'Main Data'!$A702:$O702,0))</f>
        <v>373.81</v>
      </c>
      <c r="M703" s="11">
        <f>INDEX('Main Data'!$A$1:$O$1001,MATCH('Index&amp;Match'!$A703,'Main Data'!$A$1:$A$1001,0),MATCH('Index&amp;Match'!M702,'Main Data'!$A702:$O702,0))</f>
        <v>92.39</v>
      </c>
      <c r="N703" s="2" t="str">
        <f>INDEX('Main Data'!$A$1:$O$1001,MATCH('Index&amp;Match'!$A703,'Main Data'!$A$1:$A$1001,0),MATCH('Index&amp;Match'!N702,'Main Data'!$A702:$O702,0))</f>
        <v>Yes</v>
      </c>
      <c r="O703" s="2">
        <f>INDEX('Main Data'!$A$1:$O$1001,MATCH('Index&amp;Match'!$A703,'Main Data'!$A$1:$A$1001,0),MATCH('Index&amp;Match'!O702,'Main Data'!$A702:$O702,0))</f>
        <v>21</v>
      </c>
    </row>
    <row r="704" spans="1:15" x14ac:dyDescent="0.3">
      <c r="A704" s="2" t="s">
        <v>761</v>
      </c>
      <c r="B704" s="1">
        <f>INDEX('Main Data'!$A$1:$O$1001,MATCH('Index&amp;Match'!$A704,'Main Data'!$A$1:$A$1001,0),MATCH('Index&amp;Match'!B703,'Main Data'!$A703:$O703,0))</f>
        <v>46161</v>
      </c>
      <c r="C704" s="2" t="str">
        <f>INDEX('Main Data'!$A$1:$O$1001,MATCH('Index&amp;Match'!$A704,'Main Data'!$A$1:$A$1001,0),MATCH('Index&amp;Match'!C703,'Main Data'!$A703:$O703,0))</f>
        <v>Alex</v>
      </c>
      <c r="D704" s="2" t="str">
        <f>INDEX('Main Data'!$A$1:$O$1001,MATCH('Index&amp;Match'!$A704,'Main Data'!$A$1:$A$1001,0),MATCH('Index&amp;Match'!D703,'Main Data'!$A703:$O703,0))</f>
        <v>BR-002</v>
      </c>
      <c r="E704" s="2" t="str">
        <f>INDEX('Main Data'!$A$1:$O$1001,MATCH('Index&amp;Match'!$A704,'Main Data'!$A$1:$A$1001,0),MATCH('Index&amp;Match'!E703,'Main Data'!$A703:$O703,0))</f>
        <v>North</v>
      </c>
      <c r="F704" s="2" t="str">
        <f>INDEX('Main Data'!$A$1:$O$1001,MATCH('Index&amp;Match'!$A704,'Main Data'!$A$1:$A$1001,0),MATCH('Index&amp;Match'!F703,'Main Data'!$A703:$O703,0))</f>
        <v>Wealth Management</v>
      </c>
      <c r="G704" s="2" t="str">
        <f>INDEX('Main Data'!$A$1:$O$1001,MATCH('Index&amp;Match'!$A704,'Main Data'!$A$1:$A$1001,0),MATCH('Index&amp;Match'!G703,'Main Data'!$A703:$O703,0))</f>
        <v>Walk-in</v>
      </c>
      <c r="H704" s="2" t="str">
        <f>INDEX('Main Data'!$A$1:$O$1001,MATCH('Index&amp;Match'!$A704,'Main Data'!$A$1:$A$1001,0),MATCH('Index&amp;Match'!H703,'Main Data'!$A703:$O703,0))</f>
        <v>High Net Worth</v>
      </c>
      <c r="I704" s="2">
        <f>INDEX('Main Data'!$A$1:$O$1001,MATCH('Index&amp;Match'!$A704,'Main Data'!$A$1:$A$1001,0),MATCH('Index&amp;Match'!I703,'Main Data'!$A703:$O703,0))</f>
        <v>27</v>
      </c>
      <c r="J704" s="2">
        <f>INDEX('Main Data'!$A$1:$O$1001,MATCH('Index&amp;Match'!$A704,'Main Data'!$A$1:$A$1001,0),MATCH('Index&amp;Match'!J703,'Main Data'!$A703:$O703,0))</f>
        <v>27</v>
      </c>
      <c r="K704" s="11">
        <f>INDEX('Main Data'!$A$1:$O$1001,MATCH('Index&amp;Match'!$A704,'Main Data'!$A$1:$A$1001,0),MATCH('Index&amp;Match'!K703,'Main Data'!$A703:$O703,0))</f>
        <v>46436.7</v>
      </c>
      <c r="L704" s="11">
        <f>INDEX('Main Data'!$A$1:$O$1001,MATCH('Index&amp;Match'!$A704,'Main Data'!$A$1:$A$1001,0),MATCH('Index&amp;Match'!L703,'Main Data'!$A703:$O703,0))</f>
        <v>211.49</v>
      </c>
      <c r="M704" s="11">
        <f>INDEX('Main Data'!$A$1:$O$1001,MATCH('Index&amp;Match'!$A704,'Main Data'!$A$1:$A$1001,0),MATCH('Index&amp;Match'!M703,'Main Data'!$A703:$O703,0))</f>
        <v>253.44</v>
      </c>
      <c r="N704" s="2" t="str">
        <f>INDEX('Main Data'!$A$1:$O$1001,MATCH('Index&amp;Match'!$A704,'Main Data'!$A$1:$A$1001,0),MATCH('Index&amp;Match'!N703,'Main Data'!$A703:$O703,0))</f>
        <v>Yes</v>
      </c>
      <c r="O704" s="2">
        <f>INDEX('Main Data'!$A$1:$O$1001,MATCH('Index&amp;Match'!$A704,'Main Data'!$A$1:$A$1001,0),MATCH('Index&amp;Match'!O703,'Main Data'!$A703:$O703,0))</f>
        <v>27</v>
      </c>
    </row>
    <row r="705" spans="1:15" x14ac:dyDescent="0.3">
      <c r="A705" s="2" t="s">
        <v>762</v>
      </c>
      <c r="B705" s="1">
        <f>INDEX('Main Data'!$A$1:$O$1001,MATCH('Index&amp;Match'!$A705,'Main Data'!$A$1:$A$1001,0),MATCH('Index&amp;Match'!B704,'Main Data'!$A704:$O704,0))</f>
        <v>46216</v>
      </c>
      <c r="C705" s="2" t="str">
        <f>INDEX('Main Data'!$A$1:$O$1001,MATCH('Index&amp;Match'!$A705,'Main Data'!$A$1:$A$1001,0),MATCH('Index&amp;Match'!C704,'Main Data'!$A704:$O704,0))</f>
        <v>Drew</v>
      </c>
      <c r="D705" s="2" t="str">
        <f>INDEX('Main Data'!$A$1:$O$1001,MATCH('Index&amp;Match'!$A705,'Main Data'!$A$1:$A$1001,0),MATCH('Index&amp;Match'!D704,'Main Data'!$A704:$O704,0))</f>
        <v>BR-014</v>
      </c>
      <c r="E705" s="2" t="str">
        <f>INDEX('Main Data'!$A$1:$O$1001,MATCH('Index&amp;Match'!$A705,'Main Data'!$A$1:$A$1001,0),MATCH('Index&amp;Match'!E704,'Main Data'!$A704:$O704,0))</f>
        <v>South</v>
      </c>
      <c r="F705" s="2" t="str">
        <f>INDEX('Main Data'!$A$1:$O$1001,MATCH('Index&amp;Match'!$A705,'Main Data'!$A$1:$A$1001,0),MATCH('Index&amp;Match'!F704,'Main Data'!$A704:$O704,0))</f>
        <v>Personal Loan</v>
      </c>
      <c r="G705" s="2" t="str">
        <f>INDEX('Main Data'!$A$1:$O$1001,MATCH('Index&amp;Match'!$A705,'Main Data'!$A$1:$A$1001,0),MATCH('Index&amp;Match'!G704,'Main Data'!$A704:$O704,0))</f>
        <v>Walk-in</v>
      </c>
      <c r="H705" s="2" t="str">
        <f>INDEX('Main Data'!$A$1:$O$1001,MATCH('Index&amp;Match'!$A705,'Main Data'!$A$1:$A$1001,0),MATCH('Index&amp;Match'!H704,'Main Data'!$A704:$O704,0))</f>
        <v>Corporate</v>
      </c>
      <c r="I705" s="2">
        <f>INDEX('Main Data'!$A$1:$O$1001,MATCH('Index&amp;Match'!$A705,'Main Data'!$A$1:$A$1001,0),MATCH('Index&amp;Match'!I704,'Main Data'!$A704:$O704,0))</f>
        <v>50</v>
      </c>
      <c r="J705" s="2">
        <f>INDEX('Main Data'!$A$1:$O$1001,MATCH('Index&amp;Match'!$A705,'Main Data'!$A$1:$A$1001,0),MATCH('Index&amp;Match'!J704,'Main Data'!$A704:$O704,0))</f>
        <v>50</v>
      </c>
      <c r="K705" s="11">
        <f>INDEX('Main Data'!$A$1:$O$1001,MATCH('Index&amp;Match'!$A705,'Main Data'!$A$1:$A$1001,0),MATCH('Index&amp;Match'!K704,'Main Data'!$A704:$O704,0))</f>
        <v>8688.2999999999993</v>
      </c>
      <c r="L705" s="11">
        <f>INDEX('Main Data'!$A$1:$O$1001,MATCH('Index&amp;Match'!$A705,'Main Data'!$A$1:$A$1001,0),MATCH('Index&amp;Match'!L704,'Main Data'!$A704:$O704,0))</f>
        <v>324.52</v>
      </c>
      <c r="M705" s="11">
        <f>INDEX('Main Data'!$A$1:$O$1001,MATCH('Index&amp;Match'!$A705,'Main Data'!$A$1:$A$1001,0),MATCH('Index&amp;Match'!M704,'Main Data'!$A704:$O704,0))</f>
        <v>179.51</v>
      </c>
      <c r="N705" s="2" t="str">
        <f>INDEX('Main Data'!$A$1:$O$1001,MATCH('Index&amp;Match'!$A705,'Main Data'!$A$1:$A$1001,0),MATCH('Index&amp;Match'!N704,'Main Data'!$A704:$O704,0))</f>
        <v>No</v>
      </c>
      <c r="O705" s="2">
        <f>INDEX('Main Data'!$A$1:$O$1001,MATCH('Index&amp;Match'!$A705,'Main Data'!$A$1:$A$1001,0),MATCH('Index&amp;Match'!O704,'Main Data'!$A704:$O704,0))</f>
        <v>50</v>
      </c>
    </row>
    <row r="706" spans="1:15" x14ac:dyDescent="0.3">
      <c r="A706" s="2" t="s">
        <v>763</v>
      </c>
      <c r="B706" s="1">
        <f>INDEX('Main Data'!$A$1:$O$1001,MATCH('Index&amp;Match'!$A706,'Main Data'!$A$1:$A$1001,0),MATCH('Index&amp;Match'!B705,'Main Data'!$A705:$O705,0))</f>
        <v>45887</v>
      </c>
      <c r="C706" s="2" t="str">
        <f>INDEX('Main Data'!$A$1:$O$1001,MATCH('Index&amp;Match'!$A706,'Main Data'!$A$1:$A$1001,0),MATCH('Index&amp;Match'!C705,'Main Data'!$A705:$O705,0))</f>
        <v>Casey</v>
      </c>
      <c r="D706" s="2" t="str">
        <f>INDEX('Main Data'!$A$1:$O$1001,MATCH('Index&amp;Match'!$A706,'Main Data'!$A$1:$A$1001,0),MATCH('Index&amp;Match'!D705,'Main Data'!$A705:$O705,0))</f>
        <v>BR-006</v>
      </c>
      <c r="E706" s="2" t="str">
        <f>INDEX('Main Data'!$A$1:$O$1001,MATCH('Index&amp;Match'!$A706,'Main Data'!$A$1:$A$1001,0),MATCH('Index&amp;Match'!E705,'Main Data'!$A705:$O705,0))</f>
        <v>Central</v>
      </c>
      <c r="F706" s="2" t="str">
        <f>INDEX('Main Data'!$A$1:$O$1001,MATCH('Index&amp;Match'!$A706,'Main Data'!$A$1:$A$1001,0),MATCH('Index&amp;Match'!F705,'Main Data'!$A705:$O705,0))</f>
        <v>Wealth Management</v>
      </c>
      <c r="G706" s="2" t="str">
        <f>INDEX('Main Data'!$A$1:$O$1001,MATCH('Index&amp;Match'!$A706,'Main Data'!$A$1:$A$1001,0),MATCH('Index&amp;Match'!G705,'Main Data'!$A705:$O705,0))</f>
        <v>Social Media</v>
      </c>
      <c r="H706" s="2" t="str">
        <f>INDEX('Main Data'!$A$1:$O$1001,MATCH('Index&amp;Match'!$A706,'Main Data'!$A$1:$A$1001,0),MATCH('Index&amp;Match'!H705,'Main Data'!$A705:$O705,0))</f>
        <v>SME</v>
      </c>
      <c r="I706" s="2">
        <f>INDEX('Main Data'!$A$1:$O$1001,MATCH('Index&amp;Match'!$A706,'Main Data'!$A$1:$A$1001,0),MATCH('Index&amp;Match'!I705,'Main Data'!$A705:$O705,0))</f>
        <v>70</v>
      </c>
      <c r="J706" s="2">
        <f>INDEX('Main Data'!$A$1:$O$1001,MATCH('Index&amp;Match'!$A706,'Main Data'!$A$1:$A$1001,0),MATCH('Index&amp;Match'!J705,'Main Data'!$A705:$O705,0))</f>
        <v>70</v>
      </c>
      <c r="K706" s="11">
        <f>INDEX('Main Data'!$A$1:$O$1001,MATCH('Index&amp;Match'!$A706,'Main Data'!$A$1:$A$1001,0),MATCH('Index&amp;Match'!K705,'Main Data'!$A705:$O705,0))</f>
        <v>615.01</v>
      </c>
      <c r="L706" s="11">
        <f>INDEX('Main Data'!$A$1:$O$1001,MATCH('Index&amp;Match'!$A706,'Main Data'!$A$1:$A$1001,0),MATCH('Index&amp;Match'!L705,'Main Data'!$A705:$O705,0))</f>
        <v>222.12</v>
      </c>
      <c r="M706" s="11">
        <f>INDEX('Main Data'!$A$1:$O$1001,MATCH('Index&amp;Match'!$A706,'Main Data'!$A$1:$A$1001,0),MATCH('Index&amp;Match'!M705,'Main Data'!$A705:$O705,0))</f>
        <v>52.93</v>
      </c>
      <c r="N706" s="2" t="str">
        <f>INDEX('Main Data'!$A$1:$O$1001,MATCH('Index&amp;Match'!$A706,'Main Data'!$A$1:$A$1001,0),MATCH('Index&amp;Match'!N705,'Main Data'!$A705:$O705,0))</f>
        <v>Yes</v>
      </c>
      <c r="O706" s="2">
        <f>INDEX('Main Data'!$A$1:$O$1001,MATCH('Index&amp;Match'!$A706,'Main Data'!$A$1:$A$1001,0),MATCH('Index&amp;Match'!O705,'Main Data'!$A705:$O705,0))</f>
        <v>70</v>
      </c>
    </row>
    <row r="707" spans="1:15" x14ac:dyDescent="0.3">
      <c r="A707" s="2" t="s">
        <v>764</v>
      </c>
      <c r="B707" s="1">
        <f>INDEX('Main Data'!$A$1:$O$1001,MATCH('Index&amp;Match'!$A707,'Main Data'!$A$1:$A$1001,0),MATCH('Index&amp;Match'!B706,'Main Data'!$A706:$O706,0))</f>
        <v>46188</v>
      </c>
      <c r="C707" s="2" t="str">
        <f>INDEX('Main Data'!$A$1:$O$1001,MATCH('Index&amp;Match'!$A707,'Main Data'!$A$1:$A$1001,0),MATCH('Index&amp;Match'!C706,'Main Data'!$A706:$O706,0))</f>
        <v>Casey</v>
      </c>
      <c r="D707" s="2" t="str">
        <f>INDEX('Main Data'!$A$1:$O$1001,MATCH('Index&amp;Match'!$A707,'Main Data'!$A$1:$A$1001,0),MATCH('Index&amp;Match'!D706,'Main Data'!$A706:$O706,0))</f>
        <v>BR-003</v>
      </c>
      <c r="E707" s="2" t="str">
        <f>INDEX('Main Data'!$A$1:$O$1001,MATCH('Index&amp;Match'!$A707,'Main Data'!$A$1:$A$1001,0),MATCH('Index&amp;Match'!E706,'Main Data'!$A706:$O706,0))</f>
        <v>North</v>
      </c>
      <c r="F707" s="2" t="str">
        <f>INDEX('Main Data'!$A$1:$O$1001,MATCH('Index&amp;Match'!$A707,'Main Data'!$A$1:$A$1001,0),MATCH('Index&amp;Match'!F706,'Main Data'!$A706:$O706,0))</f>
        <v>Wealth Management</v>
      </c>
      <c r="G707" s="2" t="str">
        <f>INDEX('Main Data'!$A$1:$O$1001,MATCH('Index&amp;Match'!$A707,'Main Data'!$A$1:$A$1001,0),MATCH('Index&amp;Match'!G706,'Main Data'!$A706:$O706,0))</f>
        <v>Referral</v>
      </c>
      <c r="H707" s="2" t="str">
        <f>INDEX('Main Data'!$A$1:$O$1001,MATCH('Index&amp;Match'!$A707,'Main Data'!$A$1:$A$1001,0),MATCH('Index&amp;Match'!H706,'Main Data'!$A706:$O706,0))</f>
        <v>Retail</v>
      </c>
      <c r="I707" s="2">
        <f>INDEX('Main Data'!$A$1:$O$1001,MATCH('Index&amp;Match'!$A707,'Main Data'!$A$1:$A$1001,0),MATCH('Index&amp;Match'!I706,'Main Data'!$A706:$O706,0))</f>
        <v>29</v>
      </c>
      <c r="J707" s="2">
        <f>INDEX('Main Data'!$A$1:$O$1001,MATCH('Index&amp;Match'!$A707,'Main Data'!$A$1:$A$1001,0),MATCH('Index&amp;Match'!J706,'Main Data'!$A706:$O706,0))</f>
        <v>29</v>
      </c>
      <c r="K707" s="11">
        <f>INDEX('Main Data'!$A$1:$O$1001,MATCH('Index&amp;Match'!$A707,'Main Data'!$A$1:$A$1001,0),MATCH('Index&amp;Match'!K706,'Main Data'!$A706:$O706,0))</f>
        <v>49204.58</v>
      </c>
      <c r="L707" s="11">
        <f>INDEX('Main Data'!$A$1:$O$1001,MATCH('Index&amp;Match'!$A707,'Main Data'!$A$1:$A$1001,0),MATCH('Index&amp;Match'!L706,'Main Data'!$A706:$O706,0))</f>
        <v>187.04</v>
      </c>
      <c r="M707" s="11">
        <f>INDEX('Main Data'!$A$1:$O$1001,MATCH('Index&amp;Match'!$A707,'Main Data'!$A$1:$A$1001,0),MATCH('Index&amp;Match'!M706,'Main Data'!$A706:$O706,0))</f>
        <v>142.25</v>
      </c>
      <c r="N707" s="2" t="str">
        <f>INDEX('Main Data'!$A$1:$O$1001,MATCH('Index&amp;Match'!$A707,'Main Data'!$A$1:$A$1001,0),MATCH('Index&amp;Match'!N706,'Main Data'!$A706:$O706,0))</f>
        <v>Yes</v>
      </c>
      <c r="O707" s="2">
        <f>INDEX('Main Data'!$A$1:$O$1001,MATCH('Index&amp;Match'!$A707,'Main Data'!$A$1:$A$1001,0),MATCH('Index&amp;Match'!O706,'Main Data'!$A706:$O706,0))</f>
        <v>29</v>
      </c>
    </row>
    <row r="708" spans="1:15" x14ac:dyDescent="0.3">
      <c r="A708" s="2" t="s">
        <v>765</v>
      </c>
      <c r="B708" s="1">
        <f>INDEX('Main Data'!$A$1:$O$1001,MATCH('Index&amp;Match'!$A708,'Main Data'!$A$1:$A$1001,0),MATCH('Index&amp;Match'!B707,'Main Data'!$A707:$O707,0))</f>
        <v>46198</v>
      </c>
      <c r="C708" s="2" t="str">
        <f>INDEX('Main Data'!$A$1:$O$1001,MATCH('Index&amp;Match'!$A708,'Main Data'!$A$1:$A$1001,0),MATCH('Index&amp;Match'!C707,'Main Data'!$A707:$O707,0))</f>
        <v>Morgan</v>
      </c>
      <c r="D708" s="2" t="str">
        <f>INDEX('Main Data'!$A$1:$O$1001,MATCH('Index&amp;Match'!$A708,'Main Data'!$A$1:$A$1001,0),MATCH('Index&amp;Match'!D707,'Main Data'!$A707:$O707,0))</f>
        <v>BR-015</v>
      </c>
      <c r="E708" s="2" t="str">
        <f>INDEX('Main Data'!$A$1:$O$1001,MATCH('Index&amp;Match'!$A708,'Main Data'!$A$1:$A$1001,0),MATCH('Index&amp;Match'!E707,'Main Data'!$A707:$O707,0))</f>
        <v>East</v>
      </c>
      <c r="F708" s="2" t="str">
        <f>INDEX('Main Data'!$A$1:$O$1001,MATCH('Index&amp;Match'!$A708,'Main Data'!$A$1:$A$1001,0),MATCH('Index&amp;Match'!F707,'Main Data'!$A707:$O707,0))</f>
        <v>Credit Card</v>
      </c>
      <c r="G708" s="2" t="str">
        <f>INDEX('Main Data'!$A$1:$O$1001,MATCH('Index&amp;Match'!$A708,'Main Data'!$A$1:$A$1001,0),MATCH('Index&amp;Match'!G707,'Main Data'!$A707:$O707,0))</f>
        <v>Walk-in</v>
      </c>
      <c r="H708" s="2" t="str">
        <f>INDEX('Main Data'!$A$1:$O$1001,MATCH('Index&amp;Match'!$A708,'Main Data'!$A$1:$A$1001,0),MATCH('Index&amp;Match'!H707,'Main Data'!$A707:$O707,0))</f>
        <v>Retail</v>
      </c>
      <c r="I708" s="2">
        <f>INDEX('Main Data'!$A$1:$O$1001,MATCH('Index&amp;Match'!$A708,'Main Data'!$A$1:$A$1001,0),MATCH('Index&amp;Match'!I707,'Main Data'!$A707:$O707,0))</f>
        <v>55</v>
      </c>
      <c r="J708" s="2">
        <f>INDEX('Main Data'!$A$1:$O$1001,MATCH('Index&amp;Match'!$A708,'Main Data'!$A$1:$A$1001,0),MATCH('Index&amp;Match'!J707,'Main Data'!$A707:$O707,0))</f>
        <v>55</v>
      </c>
      <c r="K708" s="11">
        <f>INDEX('Main Data'!$A$1:$O$1001,MATCH('Index&amp;Match'!$A708,'Main Data'!$A$1:$A$1001,0),MATCH('Index&amp;Match'!K707,'Main Data'!$A707:$O707,0))</f>
        <v>45353.81</v>
      </c>
      <c r="L708" s="11">
        <f>INDEX('Main Data'!$A$1:$O$1001,MATCH('Index&amp;Match'!$A708,'Main Data'!$A$1:$A$1001,0),MATCH('Index&amp;Match'!L707,'Main Data'!$A707:$O707,0))</f>
        <v>61.19</v>
      </c>
      <c r="M708" s="11">
        <f>INDEX('Main Data'!$A$1:$O$1001,MATCH('Index&amp;Match'!$A708,'Main Data'!$A$1:$A$1001,0),MATCH('Index&amp;Match'!M707,'Main Data'!$A707:$O707,0))</f>
        <v>20</v>
      </c>
      <c r="N708" s="2" t="str">
        <f>INDEX('Main Data'!$A$1:$O$1001,MATCH('Index&amp;Match'!$A708,'Main Data'!$A$1:$A$1001,0),MATCH('Index&amp;Match'!N707,'Main Data'!$A707:$O707,0))</f>
        <v>Yes</v>
      </c>
      <c r="O708" s="2">
        <f>INDEX('Main Data'!$A$1:$O$1001,MATCH('Index&amp;Match'!$A708,'Main Data'!$A$1:$A$1001,0),MATCH('Index&amp;Match'!O707,'Main Data'!$A707:$O707,0))</f>
        <v>55</v>
      </c>
    </row>
    <row r="709" spans="1:15" x14ac:dyDescent="0.3">
      <c r="A709" s="2" t="s">
        <v>766</v>
      </c>
      <c r="B709" s="1">
        <f>INDEX('Main Data'!$A$1:$O$1001,MATCH('Index&amp;Match'!$A709,'Main Data'!$A$1:$A$1001,0),MATCH('Index&amp;Match'!B708,'Main Data'!$A708:$O708,0))</f>
        <v>46114</v>
      </c>
      <c r="C709" s="2" t="str">
        <f>INDEX('Main Data'!$A$1:$O$1001,MATCH('Index&amp;Match'!$A709,'Main Data'!$A$1:$A$1001,0),MATCH('Index&amp;Match'!C708,'Main Data'!$A708:$O708,0))</f>
        <v>Drew</v>
      </c>
      <c r="D709" s="2" t="str">
        <f>INDEX('Main Data'!$A$1:$O$1001,MATCH('Index&amp;Match'!$A709,'Main Data'!$A$1:$A$1001,0),MATCH('Index&amp;Match'!D708,'Main Data'!$A708:$O708,0))</f>
        <v>BR-004</v>
      </c>
      <c r="E709" s="2" t="str">
        <f>INDEX('Main Data'!$A$1:$O$1001,MATCH('Index&amp;Match'!$A709,'Main Data'!$A$1:$A$1001,0),MATCH('Index&amp;Match'!E708,'Main Data'!$A708:$O708,0))</f>
        <v>West</v>
      </c>
      <c r="F709" s="2" t="str">
        <f>INDEX('Main Data'!$A$1:$O$1001,MATCH('Index&amp;Match'!$A709,'Main Data'!$A$1:$A$1001,0),MATCH('Index&amp;Match'!F708,'Main Data'!$A708:$O708,0))</f>
        <v>Credit Card</v>
      </c>
      <c r="G709" s="2" t="str">
        <f>INDEX('Main Data'!$A$1:$O$1001,MATCH('Index&amp;Match'!$A709,'Main Data'!$A$1:$A$1001,0),MATCH('Index&amp;Match'!G708,'Main Data'!$A708:$O708,0))</f>
        <v>Walk-in</v>
      </c>
      <c r="H709" s="2" t="str">
        <f>INDEX('Main Data'!$A$1:$O$1001,MATCH('Index&amp;Match'!$A709,'Main Data'!$A$1:$A$1001,0),MATCH('Index&amp;Match'!H708,'Main Data'!$A708:$O708,0))</f>
        <v>Corporate</v>
      </c>
      <c r="I709" s="2">
        <f>INDEX('Main Data'!$A$1:$O$1001,MATCH('Index&amp;Match'!$A709,'Main Data'!$A$1:$A$1001,0),MATCH('Index&amp;Match'!I708,'Main Data'!$A708:$O708,0))</f>
        <v>28</v>
      </c>
      <c r="J709" s="2">
        <f>INDEX('Main Data'!$A$1:$O$1001,MATCH('Index&amp;Match'!$A709,'Main Data'!$A$1:$A$1001,0),MATCH('Index&amp;Match'!J708,'Main Data'!$A708:$O708,0))</f>
        <v>28</v>
      </c>
      <c r="K709" s="11">
        <f>INDEX('Main Data'!$A$1:$O$1001,MATCH('Index&amp;Match'!$A709,'Main Data'!$A$1:$A$1001,0),MATCH('Index&amp;Match'!K708,'Main Data'!$A708:$O708,0))</f>
        <v>3244.54</v>
      </c>
      <c r="L709" s="11">
        <f>INDEX('Main Data'!$A$1:$O$1001,MATCH('Index&amp;Match'!$A709,'Main Data'!$A$1:$A$1001,0),MATCH('Index&amp;Match'!L708,'Main Data'!$A708:$O708,0))</f>
        <v>51.76</v>
      </c>
      <c r="M709" s="11">
        <f>INDEX('Main Data'!$A$1:$O$1001,MATCH('Index&amp;Match'!$A709,'Main Data'!$A$1:$A$1001,0),MATCH('Index&amp;Match'!M708,'Main Data'!$A708:$O708,0))</f>
        <v>6.71</v>
      </c>
      <c r="N709" s="2" t="str">
        <f>INDEX('Main Data'!$A$1:$O$1001,MATCH('Index&amp;Match'!$A709,'Main Data'!$A$1:$A$1001,0),MATCH('Index&amp;Match'!N708,'Main Data'!$A708:$O708,0))</f>
        <v>Yes</v>
      </c>
      <c r="O709" s="2">
        <f>INDEX('Main Data'!$A$1:$O$1001,MATCH('Index&amp;Match'!$A709,'Main Data'!$A$1:$A$1001,0),MATCH('Index&amp;Match'!O708,'Main Data'!$A708:$O708,0))</f>
        <v>28</v>
      </c>
    </row>
    <row r="710" spans="1:15" x14ac:dyDescent="0.3">
      <c r="A710" s="2" t="s">
        <v>767</v>
      </c>
      <c r="B710" s="1">
        <f>INDEX('Main Data'!$A$1:$O$1001,MATCH('Index&amp;Match'!$A710,'Main Data'!$A$1:$A$1001,0),MATCH('Index&amp;Match'!B709,'Main Data'!$A709:$O709,0))</f>
        <v>46099</v>
      </c>
      <c r="C710" s="2" t="str">
        <f>INDEX('Main Data'!$A$1:$O$1001,MATCH('Index&amp;Match'!$A710,'Main Data'!$A$1:$A$1001,0),MATCH('Index&amp;Match'!C709,'Main Data'!$A709:$O709,0))</f>
        <v>Drew</v>
      </c>
      <c r="D710" s="2" t="str">
        <f>INDEX('Main Data'!$A$1:$O$1001,MATCH('Index&amp;Match'!$A710,'Main Data'!$A$1:$A$1001,0),MATCH('Index&amp;Match'!D709,'Main Data'!$A709:$O709,0))</f>
        <v>BR-001</v>
      </c>
      <c r="E710" s="2" t="str">
        <f>INDEX('Main Data'!$A$1:$O$1001,MATCH('Index&amp;Match'!$A710,'Main Data'!$A$1:$A$1001,0),MATCH('Index&amp;Match'!E709,'Main Data'!$A709:$O709,0))</f>
        <v>South</v>
      </c>
      <c r="F710" s="2" t="str">
        <f>INDEX('Main Data'!$A$1:$O$1001,MATCH('Index&amp;Match'!$A710,'Main Data'!$A$1:$A$1001,0),MATCH('Index&amp;Match'!F709,'Main Data'!$A709:$O709,0))</f>
        <v>Credit Card</v>
      </c>
      <c r="G710" s="2" t="str">
        <f>INDEX('Main Data'!$A$1:$O$1001,MATCH('Index&amp;Match'!$A710,'Main Data'!$A$1:$A$1001,0),MATCH('Index&amp;Match'!G709,'Main Data'!$A709:$O709,0))</f>
        <v>Email Campaign</v>
      </c>
      <c r="H710" s="2" t="str">
        <f>INDEX('Main Data'!$A$1:$O$1001,MATCH('Index&amp;Match'!$A710,'Main Data'!$A$1:$A$1001,0),MATCH('Index&amp;Match'!H709,'Main Data'!$A709:$O709,0))</f>
        <v>SME</v>
      </c>
      <c r="I710" s="2">
        <f>INDEX('Main Data'!$A$1:$O$1001,MATCH('Index&amp;Match'!$A710,'Main Data'!$A$1:$A$1001,0),MATCH('Index&amp;Match'!I709,'Main Data'!$A709:$O709,0))</f>
        <v>44</v>
      </c>
      <c r="J710" s="2">
        <f>INDEX('Main Data'!$A$1:$O$1001,MATCH('Index&amp;Match'!$A710,'Main Data'!$A$1:$A$1001,0),MATCH('Index&amp;Match'!J709,'Main Data'!$A709:$O709,0))</f>
        <v>44</v>
      </c>
      <c r="K710" s="11">
        <f>INDEX('Main Data'!$A$1:$O$1001,MATCH('Index&amp;Match'!$A710,'Main Data'!$A$1:$A$1001,0),MATCH('Index&amp;Match'!K709,'Main Data'!$A709:$O709,0))</f>
        <v>41735.199999999997</v>
      </c>
      <c r="L710" s="11">
        <f>INDEX('Main Data'!$A$1:$O$1001,MATCH('Index&amp;Match'!$A710,'Main Data'!$A$1:$A$1001,0),MATCH('Index&amp;Match'!L709,'Main Data'!$A709:$O709,0))</f>
        <v>152.24</v>
      </c>
      <c r="M710" s="11">
        <f>INDEX('Main Data'!$A$1:$O$1001,MATCH('Index&amp;Match'!$A710,'Main Data'!$A$1:$A$1001,0),MATCH('Index&amp;Match'!M709,'Main Data'!$A709:$O709,0))</f>
        <v>112.08</v>
      </c>
      <c r="N710" s="2" t="str">
        <f>INDEX('Main Data'!$A$1:$O$1001,MATCH('Index&amp;Match'!$A710,'Main Data'!$A$1:$A$1001,0),MATCH('Index&amp;Match'!N709,'Main Data'!$A709:$O709,0))</f>
        <v>No</v>
      </c>
      <c r="O710" s="2">
        <f>INDEX('Main Data'!$A$1:$O$1001,MATCH('Index&amp;Match'!$A710,'Main Data'!$A$1:$A$1001,0),MATCH('Index&amp;Match'!O709,'Main Data'!$A709:$O709,0))</f>
        <v>44</v>
      </c>
    </row>
    <row r="711" spans="1:15" x14ac:dyDescent="0.3">
      <c r="A711" s="2" t="s">
        <v>768</v>
      </c>
      <c r="B711" s="1">
        <f>INDEX('Main Data'!$A$1:$O$1001,MATCH('Index&amp;Match'!$A711,'Main Data'!$A$1:$A$1001,0),MATCH('Index&amp;Match'!B710,'Main Data'!$A710:$O710,0))</f>
        <v>46118</v>
      </c>
      <c r="C711" s="2" t="str">
        <f>INDEX('Main Data'!$A$1:$O$1001,MATCH('Index&amp;Match'!$A711,'Main Data'!$A$1:$A$1001,0),MATCH('Index&amp;Match'!C710,'Main Data'!$A710:$O710,0))</f>
        <v>Drew</v>
      </c>
      <c r="D711" s="2" t="str">
        <f>INDEX('Main Data'!$A$1:$O$1001,MATCH('Index&amp;Match'!$A711,'Main Data'!$A$1:$A$1001,0),MATCH('Index&amp;Match'!D710,'Main Data'!$A710:$O710,0))</f>
        <v>BR-008</v>
      </c>
      <c r="E711" s="2" t="str">
        <f>INDEX('Main Data'!$A$1:$O$1001,MATCH('Index&amp;Match'!$A711,'Main Data'!$A$1:$A$1001,0),MATCH('Index&amp;Match'!E710,'Main Data'!$A710:$O710,0))</f>
        <v>North</v>
      </c>
      <c r="F711" s="2" t="str">
        <f>INDEX('Main Data'!$A$1:$O$1001,MATCH('Index&amp;Match'!$A711,'Main Data'!$A$1:$A$1001,0),MATCH('Index&amp;Match'!F710,'Main Data'!$A710:$O710,0))</f>
        <v>Auto Loan</v>
      </c>
      <c r="G711" s="2" t="str">
        <f>INDEX('Main Data'!$A$1:$O$1001,MATCH('Index&amp;Match'!$A711,'Main Data'!$A$1:$A$1001,0),MATCH('Index&amp;Match'!G710,'Main Data'!$A710:$O710,0))</f>
        <v>Email Campaign</v>
      </c>
      <c r="H711" s="2" t="str">
        <f>INDEX('Main Data'!$A$1:$O$1001,MATCH('Index&amp;Match'!$A711,'Main Data'!$A$1:$A$1001,0),MATCH('Index&amp;Match'!H710,'Main Data'!$A710:$O710,0))</f>
        <v>Corporate</v>
      </c>
      <c r="I711" s="2">
        <f>INDEX('Main Data'!$A$1:$O$1001,MATCH('Index&amp;Match'!$A711,'Main Data'!$A$1:$A$1001,0),MATCH('Index&amp;Match'!I710,'Main Data'!$A710:$O710,0))</f>
        <v>39</v>
      </c>
      <c r="J711" s="2">
        <f>INDEX('Main Data'!$A$1:$O$1001,MATCH('Index&amp;Match'!$A711,'Main Data'!$A$1:$A$1001,0),MATCH('Index&amp;Match'!J710,'Main Data'!$A710:$O710,0))</f>
        <v>39</v>
      </c>
      <c r="K711" s="11">
        <f>INDEX('Main Data'!$A$1:$O$1001,MATCH('Index&amp;Match'!$A711,'Main Data'!$A$1:$A$1001,0),MATCH('Index&amp;Match'!K710,'Main Data'!$A710:$O710,0))</f>
        <v>23161.34</v>
      </c>
      <c r="L711" s="11">
        <f>INDEX('Main Data'!$A$1:$O$1001,MATCH('Index&amp;Match'!$A711,'Main Data'!$A$1:$A$1001,0),MATCH('Index&amp;Match'!L710,'Main Data'!$A710:$O710,0))</f>
        <v>232.88</v>
      </c>
      <c r="M711" s="11">
        <f>INDEX('Main Data'!$A$1:$O$1001,MATCH('Index&amp;Match'!$A711,'Main Data'!$A$1:$A$1001,0),MATCH('Index&amp;Match'!M710,'Main Data'!$A710:$O710,0))</f>
        <v>138.97</v>
      </c>
      <c r="N711" s="2" t="str">
        <f>INDEX('Main Data'!$A$1:$O$1001,MATCH('Index&amp;Match'!$A711,'Main Data'!$A$1:$A$1001,0),MATCH('Index&amp;Match'!N710,'Main Data'!$A710:$O710,0))</f>
        <v>Yes</v>
      </c>
      <c r="O711" s="2">
        <f>INDEX('Main Data'!$A$1:$O$1001,MATCH('Index&amp;Match'!$A711,'Main Data'!$A$1:$A$1001,0),MATCH('Index&amp;Match'!O710,'Main Data'!$A710:$O710,0))</f>
        <v>39</v>
      </c>
    </row>
    <row r="712" spans="1:15" x14ac:dyDescent="0.3">
      <c r="A712" s="2" t="s">
        <v>769</v>
      </c>
      <c r="B712" s="1">
        <f>INDEX('Main Data'!$A$1:$O$1001,MATCH('Index&amp;Match'!$A712,'Main Data'!$A$1:$A$1001,0),MATCH('Index&amp;Match'!B711,'Main Data'!$A711:$O711,0))</f>
        <v>46203</v>
      </c>
      <c r="C712" s="2" t="str">
        <f>INDEX('Main Data'!$A$1:$O$1001,MATCH('Index&amp;Match'!$A712,'Main Data'!$A$1:$A$1001,0),MATCH('Index&amp;Match'!C711,'Main Data'!$A711:$O711,0))</f>
        <v>Jamie</v>
      </c>
      <c r="D712" s="2" t="str">
        <f>INDEX('Main Data'!$A$1:$O$1001,MATCH('Index&amp;Match'!$A712,'Main Data'!$A$1:$A$1001,0),MATCH('Index&amp;Match'!D711,'Main Data'!$A711:$O711,0))</f>
        <v>BR-013</v>
      </c>
      <c r="E712" s="2" t="str">
        <f>INDEX('Main Data'!$A$1:$O$1001,MATCH('Index&amp;Match'!$A712,'Main Data'!$A$1:$A$1001,0),MATCH('Index&amp;Match'!E711,'Main Data'!$A711:$O711,0))</f>
        <v>Central</v>
      </c>
      <c r="F712" s="2" t="str">
        <f>INDEX('Main Data'!$A$1:$O$1001,MATCH('Index&amp;Match'!$A712,'Main Data'!$A$1:$A$1001,0),MATCH('Index&amp;Match'!F711,'Main Data'!$A711:$O711,0))</f>
        <v>Wealth Management</v>
      </c>
      <c r="G712" s="2" t="str">
        <f>INDEX('Main Data'!$A$1:$O$1001,MATCH('Index&amp;Match'!$A712,'Main Data'!$A$1:$A$1001,0),MATCH('Index&amp;Match'!G711,'Main Data'!$A711:$O711,0))</f>
        <v>Walk-in</v>
      </c>
      <c r="H712" s="2" t="str">
        <f>INDEX('Main Data'!$A$1:$O$1001,MATCH('Index&amp;Match'!$A712,'Main Data'!$A$1:$A$1001,0),MATCH('Index&amp;Match'!H711,'Main Data'!$A711:$O711,0))</f>
        <v>SME</v>
      </c>
      <c r="I712" s="2">
        <f>INDEX('Main Data'!$A$1:$O$1001,MATCH('Index&amp;Match'!$A712,'Main Data'!$A$1:$A$1001,0),MATCH('Index&amp;Match'!I711,'Main Data'!$A711:$O711,0))</f>
        <v>56</v>
      </c>
      <c r="J712" s="2">
        <f>INDEX('Main Data'!$A$1:$O$1001,MATCH('Index&amp;Match'!$A712,'Main Data'!$A$1:$A$1001,0),MATCH('Index&amp;Match'!J711,'Main Data'!$A711:$O711,0))</f>
        <v>56</v>
      </c>
      <c r="K712" s="11">
        <f>INDEX('Main Data'!$A$1:$O$1001,MATCH('Index&amp;Match'!$A712,'Main Data'!$A$1:$A$1001,0),MATCH('Index&amp;Match'!K711,'Main Data'!$A711:$O711,0))</f>
        <v>13318.6</v>
      </c>
      <c r="L712" s="11">
        <f>INDEX('Main Data'!$A$1:$O$1001,MATCH('Index&amp;Match'!$A712,'Main Data'!$A$1:$A$1001,0),MATCH('Index&amp;Match'!L711,'Main Data'!$A711:$O711,0))</f>
        <v>433.07</v>
      </c>
      <c r="M712" s="11">
        <f>INDEX('Main Data'!$A$1:$O$1001,MATCH('Index&amp;Match'!$A712,'Main Data'!$A$1:$A$1001,0),MATCH('Index&amp;Match'!M711,'Main Data'!$A711:$O711,0))</f>
        <v>159.16</v>
      </c>
      <c r="N712" s="2" t="str">
        <f>INDEX('Main Data'!$A$1:$O$1001,MATCH('Index&amp;Match'!$A712,'Main Data'!$A$1:$A$1001,0),MATCH('Index&amp;Match'!N711,'Main Data'!$A711:$O711,0))</f>
        <v>No</v>
      </c>
      <c r="O712" s="2">
        <f>INDEX('Main Data'!$A$1:$O$1001,MATCH('Index&amp;Match'!$A712,'Main Data'!$A$1:$A$1001,0),MATCH('Index&amp;Match'!O711,'Main Data'!$A711:$O711,0))</f>
        <v>56</v>
      </c>
    </row>
    <row r="713" spans="1:15" x14ac:dyDescent="0.3">
      <c r="A713" s="2" t="s">
        <v>770</v>
      </c>
      <c r="B713" s="1">
        <f>INDEX('Main Data'!$A$1:$O$1001,MATCH('Index&amp;Match'!$A713,'Main Data'!$A$1:$A$1001,0),MATCH('Index&amp;Match'!B712,'Main Data'!$A712:$O712,0))</f>
        <v>46208</v>
      </c>
      <c r="C713" s="2" t="str">
        <f>INDEX('Main Data'!$A$1:$O$1001,MATCH('Index&amp;Match'!$A713,'Main Data'!$A$1:$A$1001,0),MATCH('Index&amp;Match'!C712,'Main Data'!$A712:$O712,0))</f>
        <v>Jordan</v>
      </c>
      <c r="D713" s="2" t="str">
        <f>INDEX('Main Data'!$A$1:$O$1001,MATCH('Index&amp;Match'!$A713,'Main Data'!$A$1:$A$1001,0),MATCH('Index&amp;Match'!D712,'Main Data'!$A712:$O712,0))</f>
        <v>BR-007</v>
      </c>
      <c r="E713" s="2" t="str">
        <f>INDEX('Main Data'!$A$1:$O$1001,MATCH('Index&amp;Match'!$A713,'Main Data'!$A$1:$A$1001,0),MATCH('Index&amp;Match'!E712,'Main Data'!$A712:$O712,0))</f>
        <v>North</v>
      </c>
      <c r="F713" s="2" t="str">
        <f>INDEX('Main Data'!$A$1:$O$1001,MATCH('Index&amp;Match'!$A713,'Main Data'!$A$1:$A$1001,0),MATCH('Index&amp;Match'!F712,'Main Data'!$A712:$O712,0))</f>
        <v>Mortgage</v>
      </c>
      <c r="G713" s="2" t="str">
        <f>INDEX('Main Data'!$A$1:$O$1001,MATCH('Index&amp;Match'!$A713,'Main Data'!$A$1:$A$1001,0),MATCH('Index&amp;Match'!G712,'Main Data'!$A712:$O712,0))</f>
        <v>Social Media</v>
      </c>
      <c r="H713" s="2" t="str">
        <f>INDEX('Main Data'!$A$1:$O$1001,MATCH('Index&amp;Match'!$A713,'Main Data'!$A$1:$A$1001,0),MATCH('Index&amp;Match'!H712,'Main Data'!$A712:$O712,0))</f>
        <v>High Net Worth</v>
      </c>
      <c r="I713" s="2">
        <f>INDEX('Main Data'!$A$1:$O$1001,MATCH('Index&amp;Match'!$A713,'Main Data'!$A$1:$A$1001,0),MATCH('Index&amp;Match'!I712,'Main Data'!$A712:$O712,0))</f>
        <v>70</v>
      </c>
      <c r="J713" s="2">
        <f>INDEX('Main Data'!$A$1:$O$1001,MATCH('Index&amp;Match'!$A713,'Main Data'!$A$1:$A$1001,0),MATCH('Index&amp;Match'!J712,'Main Data'!$A712:$O712,0))</f>
        <v>70</v>
      </c>
      <c r="K713" s="11">
        <f>INDEX('Main Data'!$A$1:$O$1001,MATCH('Index&amp;Match'!$A713,'Main Data'!$A$1:$A$1001,0),MATCH('Index&amp;Match'!K712,'Main Data'!$A712:$O712,0))</f>
        <v>43997.95</v>
      </c>
      <c r="L713" s="11">
        <f>INDEX('Main Data'!$A$1:$O$1001,MATCH('Index&amp;Match'!$A713,'Main Data'!$A$1:$A$1001,0),MATCH('Index&amp;Match'!L712,'Main Data'!$A712:$O712,0))</f>
        <v>409.32</v>
      </c>
      <c r="M713" s="11">
        <f>INDEX('Main Data'!$A$1:$O$1001,MATCH('Index&amp;Match'!$A713,'Main Data'!$A$1:$A$1001,0),MATCH('Index&amp;Match'!M712,'Main Data'!$A712:$O712,0))</f>
        <v>102.06</v>
      </c>
      <c r="N713" s="2" t="str">
        <f>INDEX('Main Data'!$A$1:$O$1001,MATCH('Index&amp;Match'!$A713,'Main Data'!$A$1:$A$1001,0),MATCH('Index&amp;Match'!N712,'Main Data'!$A712:$O712,0))</f>
        <v>No</v>
      </c>
      <c r="O713" s="2">
        <f>INDEX('Main Data'!$A$1:$O$1001,MATCH('Index&amp;Match'!$A713,'Main Data'!$A$1:$A$1001,0),MATCH('Index&amp;Match'!O712,'Main Data'!$A712:$O712,0))</f>
        <v>70</v>
      </c>
    </row>
    <row r="714" spans="1:15" x14ac:dyDescent="0.3">
      <c r="A714" s="2" t="s">
        <v>771</v>
      </c>
      <c r="B714" s="1">
        <f>INDEX('Main Data'!$A$1:$O$1001,MATCH('Index&amp;Match'!$A714,'Main Data'!$A$1:$A$1001,0),MATCH('Index&amp;Match'!B713,'Main Data'!$A713:$O713,0))</f>
        <v>46032</v>
      </c>
      <c r="C714" s="2" t="str">
        <f>INDEX('Main Data'!$A$1:$O$1001,MATCH('Index&amp;Match'!$A714,'Main Data'!$A$1:$A$1001,0),MATCH('Index&amp;Match'!C713,'Main Data'!$A713:$O713,0))</f>
        <v>Alex</v>
      </c>
      <c r="D714" s="2" t="str">
        <f>INDEX('Main Data'!$A$1:$O$1001,MATCH('Index&amp;Match'!$A714,'Main Data'!$A$1:$A$1001,0),MATCH('Index&amp;Match'!D713,'Main Data'!$A713:$O713,0))</f>
        <v>BR-007</v>
      </c>
      <c r="E714" s="2" t="str">
        <f>INDEX('Main Data'!$A$1:$O$1001,MATCH('Index&amp;Match'!$A714,'Main Data'!$A$1:$A$1001,0),MATCH('Index&amp;Match'!E713,'Main Data'!$A713:$O713,0))</f>
        <v>Central</v>
      </c>
      <c r="F714" s="2" t="str">
        <f>INDEX('Main Data'!$A$1:$O$1001,MATCH('Index&amp;Match'!$A714,'Main Data'!$A$1:$A$1001,0),MATCH('Index&amp;Match'!F713,'Main Data'!$A713:$O713,0))</f>
        <v>Personal Loan</v>
      </c>
      <c r="G714" s="2" t="str">
        <f>INDEX('Main Data'!$A$1:$O$1001,MATCH('Index&amp;Match'!$A714,'Main Data'!$A$1:$A$1001,0),MATCH('Index&amp;Match'!G713,'Main Data'!$A713:$O713,0))</f>
        <v>Walk-in</v>
      </c>
      <c r="H714" s="2" t="str">
        <f>INDEX('Main Data'!$A$1:$O$1001,MATCH('Index&amp;Match'!$A714,'Main Data'!$A$1:$A$1001,0),MATCH('Index&amp;Match'!H713,'Main Data'!$A713:$O713,0))</f>
        <v>SME</v>
      </c>
      <c r="I714" s="2">
        <f>INDEX('Main Data'!$A$1:$O$1001,MATCH('Index&amp;Match'!$A714,'Main Data'!$A$1:$A$1001,0),MATCH('Index&amp;Match'!I713,'Main Data'!$A713:$O713,0))</f>
        <v>72</v>
      </c>
      <c r="J714" s="2">
        <f>INDEX('Main Data'!$A$1:$O$1001,MATCH('Index&amp;Match'!$A714,'Main Data'!$A$1:$A$1001,0),MATCH('Index&amp;Match'!J713,'Main Data'!$A713:$O713,0))</f>
        <v>72</v>
      </c>
      <c r="K714" s="11">
        <f>INDEX('Main Data'!$A$1:$O$1001,MATCH('Index&amp;Match'!$A714,'Main Data'!$A$1:$A$1001,0),MATCH('Index&amp;Match'!K713,'Main Data'!$A713:$O713,0))</f>
        <v>10235.030000000001</v>
      </c>
      <c r="L714" s="11">
        <f>INDEX('Main Data'!$A$1:$O$1001,MATCH('Index&amp;Match'!$A714,'Main Data'!$A$1:$A$1001,0),MATCH('Index&amp;Match'!L713,'Main Data'!$A713:$O713,0))</f>
        <v>170.22</v>
      </c>
      <c r="M714" s="11">
        <f>INDEX('Main Data'!$A$1:$O$1001,MATCH('Index&amp;Match'!$A714,'Main Data'!$A$1:$A$1001,0),MATCH('Index&amp;Match'!M713,'Main Data'!$A713:$O713,0))</f>
        <v>1.31</v>
      </c>
      <c r="N714" s="2" t="str">
        <f>INDEX('Main Data'!$A$1:$O$1001,MATCH('Index&amp;Match'!$A714,'Main Data'!$A$1:$A$1001,0),MATCH('Index&amp;Match'!N713,'Main Data'!$A713:$O713,0))</f>
        <v>No</v>
      </c>
      <c r="O714" s="2">
        <f>INDEX('Main Data'!$A$1:$O$1001,MATCH('Index&amp;Match'!$A714,'Main Data'!$A$1:$A$1001,0),MATCH('Index&amp;Match'!O713,'Main Data'!$A713:$O713,0))</f>
        <v>72</v>
      </c>
    </row>
    <row r="715" spans="1:15" x14ac:dyDescent="0.3">
      <c r="A715" s="2" t="s">
        <v>772</v>
      </c>
      <c r="B715" s="1">
        <f>INDEX('Main Data'!$A$1:$O$1001,MATCH('Index&amp;Match'!$A715,'Main Data'!$A$1:$A$1001,0),MATCH('Index&amp;Match'!B714,'Main Data'!$A714:$O714,0))</f>
        <v>46007</v>
      </c>
      <c r="C715" s="2" t="str">
        <f>INDEX('Main Data'!$A$1:$O$1001,MATCH('Index&amp;Match'!$A715,'Main Data'!$A$1:$A$1001,0),MATCH('Index&amp;Match'!C714,'Main Data'!$A714:$O714,0))</f>
        <v>Morgan</v>
      </c>
      <c r="D715" s="2" t="str">
        <f>INDEX('Main Data'!$A$1:$O$1001,MATCH('Index&amp;Match'!$A715,'Main Data'!$A$1:$A$1001,0),MATCH('Index&amp;Match'!D714,'Main Data'!$A714:$O714,0))</f>
        <v>BR-003</v>
      </c>
      <c r="E715" s="2" t="str">
        <f>INDEX('Main Data'!$A$1:$O$1001,MATCH('Index&amp;Match'!$A715,'Main Data'!$A$1:$A$1001,0),MATCH('Index&amp;Match'!E714,'Main Data'!$A714:$O714,0))</f>
        <v>East</v>
      </c>
      <c r="F715" s="2" t="str">
        <f>INDEX('Main Data'!$A$1:$O$1001,MATCH('Index&amp;Match'!$A715,'Main Data'!$A$1:$A$1001,0),MATCH('Index&amp;Match'!F714,'Main Data'!$A714:$O714,0))</f>
        <v>Auto Loan</v>
      </c>
      <c r="G715" s="2" t="str">
        <f>INDEX('Main Data'!$A$1:$O$1001,MATCH('Index&amp;Match'!$A715,'Main Data'!$A$1:$A$1001,0),MATCH('Index&amp;Match'!G714,'Main Data'!$A714:$O714,0))</f>
        <v>Website</v>
      </c>
      <c r="H715" s="2" t="str">
        <f>INDEX('Main Data'!$A$1:$O$1001,MATCH('Index&amp;Match'!$A715,'Main Data'!$A$1:$A$1001,0),MATCH('Index&amp;Match'!H714,'Main Data'!$A714:$O714,0))</f>
        <v>SME</v>
      </c>
      <c r="I715" s="2">
        <f>INDEX('Main Data'!$A$1:$O$1001,MATCH('Index&amp;Match'!$A715,'Main Data'!$A$1:$A$1001,0),MATCH('Index&amp;Match'!I714,'Main Data'!$A714:$O714,0))</f>
        <v>63</v>
      </c>
      <c r="J715" s="2">
        <f>INDEX('Main Data'!$A$1:$O$1001,MATCH('Index&amp;Match'!$A715,'Main Data'!$A$1:$A$1001,0),MATCH('Index&amp;Match'!J714,'Main Data'!$A714:$O714,0))</f>
        <v>63</v>
      </c>
      <c r="K715" s="11">
        <f>INDEX('Main Data'!$A$1:$O$1001,MATCH('Index&amp;Match'!$A715,'Main Data'!$A$1:$A$1001,0),MATCH('Index&amp;Match'!K714,'Main Data'!$A714:$O714,0))</f>
        <v>47391.35</v>
      </c>
      <c r="L715" s="11">
        <f>INDEX('Main Data'!$A$1:$O$1001,MATCH('Index&amp;Match'!$A715,'Main Data'!$A$1:$A$1001,0),MATCH('Index&amp;Match'!L714,'Main Data'!$A714:$O714,0))</f>
        <v>160.04</v>
      </c>
      <c r="M715" s="11">
        <f>INDEX('Main Data'!$A$1:$O$1001,MATCH('Index&amp;Match'!$A715,'Main Data'!$A$1:$A$1001,0),MATCH('Index&amp;Match'!M714,'Main Data'!$A714:$O714,0))</f>
        <v>95.9</v>
      </c>
      <c r="N715" s="2" t="str">
        <f>INDEX('Main Data'!$A$1:$O$1001,MATCH('Index&amp;Match'!$A715,'Main Data'!$A$1:$A$1001,0),MATCH('Index&amp;Match'!N714,'Main Data'!$A714:$O714,0))</f>
        <v>No</v>
      </c>
      <c r="O715" s="2">
        <f>INDEX('Main Data'!$A$1:$O$1001,MATCH('Index&amp;Match'!$A715,'Main Data'!$A$1:$A$1001,0),MATCH('Index&amp;Match'!O714,'Main Data'!$A714:$O714,0))</f>
        <v>63</v>
      </c>
    </row>
    <row r="716" spans="1:15" x14ac:dyDescent="0.3">
      <c r="A716" s="2" t="s">
        <v>773</v>
      </c>
      <c r="B716" s="1">
        <f>INDEX('Main Data'!$A$1:$O$1001,MATCH('Index&amp;Match'!$A716,'Main Data'!$A$1:$A$1001,0),MATCH('Index&amp;Match'!B715,'Main Data'!$A715:$O715,0))</f>
        <v>46167</v>
      </c>
      <c r="C716" s="2" t="str">
        <f>INDEX('Main Data'!$A$1:$O$1001,MATCH('Index&amp;Match'!$A716,'Main Data'!$A$1:$A$1001,0),MATCH('Index&amp;Match'!C715,'Main Data'!$A715:$O715,0))</f>
        <v>Drew</v>
      </c>
      <c r="D716" s="2" t="str">
        <f>INDEX('Main Data'!$A$1:$O$1001,MATCH('Index&amp;Match'!$A716,'Main Data'!$A$1:$A$1001,0),MATCH('Index&amp;Match'!D715,'Main Data'!$A715:$O715,0))</f>
        <v>BR-010</v>
      </c>
      <c r="E716" s="2" t="str">
        <f>INDEX('Main Data'!$A$1:$O$1001,MATCH('Index&amp;Match'!$A716,'Main Data'!$A$1:$A$1001,0),MATCH('Index&amp;Match'!E715,'Main Data'!$A715:$O715,0))</f>
        <v>West</v>
      </c>
      <c r="F716" s="2" t="str">
        <f>INDEX('Main Data'!$A$1:$O$1001,MATCH('Index&amp;Match'!$A716,'Main Data'!$A$1:$A$1001,0),MATCH('Index&amp;Match'!F715,'Main Data'!$A715:$O715,0))</f>
        <v>Mortgage</v>
      </c>
      <c r="G716" s="2" t="str">
        <f>INDEX('Main Data'!$A$1:$O$1001,MATCH('Index&amp;Match'!$A716,'Main Data'!$A$1:$A$1001,0),MATCH('Index&amp;Match'!G715,'Main Data'!$A715:$O715,0))</f>
        <v>Referral</v>
      </c>
      <c r="H716" s="2" t="str">
        <f>INDEX('Main Data'!$A$1:$O$1001,MATCH('Index&amp;Match'!$A716,'Main Data'!$A$1:$A$1001,0),MATCH('Index&amp;Match'!H715,'Main Data'!$A715:$O715,0))</f>
        <v>SME</v>
      </c>
      <c r="I716" s="2">
        <f>INDEX('Main Data'!$A$1:$O$1001,MATCH('Index&amp;Match'!$A716,'Main Data'!$A$1:$A$1001,0),MATCH('Index&amp;Match'!I715,'Main Data'!$A715:$O715,0))</f>
        <v>47</v>
      </c>
      <c r="J716" s="2">
        <f>INDEX('Main Data'!$A$1:$O$1001,MATCH('Index&amp;Match'!$A716,'Main Data'!$A$1:$A$1001,0),MATCH('Index&amp;Match'!J715,'Main Data'!$A715:$O715,0))</f>
        <v>47</v>
      </c>
      <c r="K716" s="11">
        <f>INDEX('Main Data'!$A$1:$O$1001,MATCH('Index&amp;Match'!$A716,'Main Data'!$A$1:$A$1001,0),MATCH('Index&amp;Match'!K715,'Main Data'!$A715:$O715,0))</f>
        <v>10678.26</v>
      </c>
      <c r="L716" s="11">
        <f>INDEX('Main Data'!$A$1:$O$1001,MATCH('Index&amp;Match'!$A716,'Main Data'!$A$1:$A$1001,0),MATCH('Index&amp;Match'!L715,'Main Data'!$A715:$O715,0))</f>
        <v>152.29</v>
      </c>
      <c r="M716" s="11">
        <f>INDEX('Main Data'!$A$1:$O$1001,MATCH('Index&amp;Match'!$A716,'Main Data'!$A$1:$A$1001,0),MATCH('Index&amp;Match'!M715,'Main Data'!$A715:$O715,0))</f>
        <v>3.17</v>
      </c>
      <c r="N716" s="2" t="str">
        <f>INDEX('Main Data'!$A$1:$O$1001,MATCH('Index&amp;Match'!$A716,'Main Data'!$A$1:$A$1001,0),MATCH('Index&amp;Match'!N715,'Main Data'!$A715:$O715,0))</f>
        <v>Yes</v>
      </c>
      <c r="O716" s="2">
        <f>INDEX('Main Data'!$A$1:$O$1001,MATCH('Index&amp;Match'!$A716,'Main Data'!$A$1:$A$1001,0),MATCH('Index&amp;Match'!O715,'Main Data'!$A715:$O715,0))</f>
        <v>47</v>
      </c>
    </row>
    <row r="717" spans="1:15" x14ac:dyDescent="0.3">
      <c r="A717" s="2" t="s">
        <v>774</v>
      </c>
      <c r="B717" s="1">
        <f>INDEX('Main Data'!$A$1:$O$1001,MATCH('Index&amp;Match'!$A717,'Main Data'!$A$1:$A$1001,0),MATCH('Index&amp;Match'!B716,'Main Data'!$A716:$O716,0))</f>
        <v>45894</v>
      </c>
      <c r="C717" s="2" t="str">
        <f>INDEX('Main Data'!$A$1:$O$1001,MATCH('Index&amp;Match'!$A717,'Main Data'!$A$1:$A$1001,0),MATCH('Index&amp;Match'!C716,'Main Data'!$A716:$O716,0))</f>
        <v>Drew</v>
      </c>
      <c r="D717" s="2" t="str">
        <f>INDEX('Main Data'!$A$1:$O$1001,MATCH('Index&amp;Match'!$A717,'Main Data'!$A$1:$A$1001,0),MATCH('Index&amp;Match'!D716,'Main Data'!$A716:$O716,0))</f>
        <v>BR-010</v>
      </c>
      <c r="E717" s="2" t="str">
        <f>INDEX('Main Data'!$A$1:$O$1001,MATCH('Index&amp;Match'!$A717,'Main Data'!$A$1:$A$1001,0),MATCH('Index&amp;Match'!E716,'Main Data'!$A716:$O716,0))</f>
        <v>East</v>
      </c>
      <c r="F717" s="2" t="str">
        <f>INDEX('Main Data'!$A$1:$O$1001,MATCH('Index&amp;Match'!$A717,'Main Data'!$A$1:$A$1001,0),MATCH('Index&amp;Match'!F716,'Main Data'!$A716:$O716,0))</f>
        <v>Wealth Management</v>
      </c>
      <c r="G717" s="2" t="str">
        <f>INDEX('Main Data'!$A$1:$O$1001,MATCH('Index&amp;Match'!$A717,'Main Data'!$A$1:$A$1001,0),MATCH('Index&amp;Match'!G716,'Main Data'!$A716:$O716,0))</f>
        <v>Social Media</v>
      </c>
      <c r="H717" s="2" t="str">
        <f>INDEX('Main Data'!$A$1:$O$1001,MATCH('Index&amp;Match'!$A717,'Main Data'!$A$1:$A$1001,0),MATCH('Index&amp;Match'!H716,'Main Data'!$A716:$O716,0))</f>
        <v>Retail</v>
      </c>
      <c r="I717" s="2">
        <f>INDEX('Main Data'!$A$1:$O$1001,MATCH('Index&amp;Match'!$A717,'Main Data'!$A$1:$A$1001,0),MATCH('Index&amp;Match'!I716,'Main Data'!$A716:$O716,0))</f>
        <v>52</v>
      </c>
      <c r="J717" s="2">
        <f>INDEX('Main Data'!$A$1:$O$1001,MATCH('Index&amp;Match'!$A717,'Main Data'!$A$1:$A$1001,0),MATCH('Index&amp;Match'!J716,'Main Data'!$A716:$O716,0))</f>
        <v>52</v>
      </c>
      <c r="K717" s="11">
        <f>INDEX('Main Data'!$A$1:$O$1001,MATCH('Index&amp;Match'!$A717,'Main Data'!$A$1:$A$1001,0),MATCH('Index&amp;Match'!K716,'Main Data'!$A716:$O716,0))</f>
        <v>30877.32</v>
      </c>
      <c r="L717" s="11">
        <f>INDEX('Main Data'!$A$1:$O$1001,MATCH('Index&amp;Match'!$A717,'Main Data'!$A$1:$A$1001,0),MATCH('Index&amp;Match'!L716,'Main Data'!$A716:$O716,0))</f>
        <v>202.66</v>
      </c>
      <c r="M717" s="11">
        <f>INDEX('Main Data'!$A$1:$O$1001,MATCH('Index&amp;Match'!$A717,'Main Data'!$A$1:$A$1001,0),MATCH('Index&amp;Match'!M716,'Main Data'!$A716:$O716,0))</f>
        <v>18.399999999999999</v>
      </c>
      <c r="N717" s="2" t="str">
        <f>INDEX('Main Data'!$A$1:$O$1001,MATCH('Index&amp;Match'!$A717,'Main Data'!$A$1:$A$1001,0),MATCH('Index&amp;Match'!N716,'Main Data'!$A716:$O716,0))</f>
        <v>Yes</v>
      </c>
      <c r="O717" s="2">
        <f>INDEX('Main Data'!$A$1:$O$1001,MATCH('Index&amp;Match'!$A717,'Main Data'!$A$1:$A$1001,0),MATCH('Index&amp;Match'!O716,'Main Data'!$A716:$O716,0))</f>
        <v>52</v>
      </c>
    </row>
    <row r="718" spans="1:15" x14ac:dyDescent="0.3">
      <c r="A718" s="2" t="s">
        <v>775</v>
      </c>
      <c r="B718" s="1">
        <f>INDEX('Main Data'!$A$1:$O$1001,MATCH('Index&amp;Match'!$A718,'Main Data'!$A$1:$A$1001,0),MATCH('Index&amp;Match'!B717,'Main Data'!$A717:$O717,0))</f>
        <v>46126</v>
      </c>
      <c r="C718" s="2" t="str">
        <f>INDEX('Main Data'!$A$1:$O$1001,MATCH('Index&amp;Match'!$A718,'Main Data'!$A$1:$A$1001,0),MATCH('Index&amp;Match'!C717,'Main Data'!$A717:$O717,0))</f>
        <v>Taylor</v>
      </c>
      <c r="D718" s="2" t="str">
        <f>INDEX('Main Data'!$A$1:$O$1001,MATCH('Index&amp;Match'!$A718,'Main Data'!$A$1:$A$1001,0),MATCH('Index&amp;Match'!D717,'Main Data'!$A717:$O717,0))</f>
        <v>BR-003</v>
      </c>
      <c r="E718" s="2" t="str">
        <f>INDEX('Main Data'!$A$1:$O$1001,MATCH('Index&amp;Match'!$A718,'Main Data'!$A$1:$A$1001,0),MATCH('Index&amp;Match'!E717,'Main Data'!$A717:$O717,0))</f>
        <v>South</v>
      </c>
      <c r="F718" s="2" t="str">
        <f>INDEX('Main Data'!$A$1:$O$1001,MATCH('Index&amp;Match'!$A718,'Main Data'!$A$1:$A$1001,0),MATCH('Index&amp;Match'!F717,'Main Data'!$A717:$O717,0))</f>
        <v>Credit Card</v>
      </c>
      <c r="G718" s="2" t="str">
        <f>INDEX('Main Data'!$A$1:$O$1001,MATCH('Index&amp;Match'!$A718,'Main Data'!$A$1:$A$1001,0),MATCH('Index&amp;Match'!G717,'Main Data'!$A717:$O717,0))</f>
        <v>Website</v>
      </c>
      <c r="H718" s="2" t="str">
        <f>INDEX('Main Data'!$A$1:$O$1001,MATCH('Index&amp;Match'!$A718,'Main Data'!$A$1:$A$1001,0),MATCH('Index&amp;Match'!H717,'Main Data'!$A717:$O717,0))</f>
        <v>SME</v>
      </c>
      <c r="I718" s="2">
        <f>INDEX('Main Data'!$A$1:$O$1001,MATCH('Index&amp;Match'!$A718,'Main Data'!$A$1:$A$1001,0),MATCH('Index&amp;Match'!I717,'Main Data'!$A717:$O717,0))</f>
        <v>34</v>
      </c>
      <c r="J718" s="2">
        <f>INDEX('Main Data'!$A$1:$O$1001,MATCH('Index&amp;Match'!$A718,'Main Data'!$A$1:$A$1001,0),MATCH('Index&amp;Match'!J717,'Main Data'!$A717:$O717,0))</f>
        <v>34</v>
      </c>
      <c r="K718" s="11">
        <f>INDEX('Main Data'!$A$1:$O$1001,MATCH('Index&amp;Match'!$A718,'Main Data'!$A$1:$A$1001,0),MATCH('Index&amp;Match'!K717,'Main Data'!$A717:$O717,0))</f>
        <v>11542.77</v>
      </c>
      <c r="L718" s="11">
        <f>INDEX('Main Data'!$A$1:$O$1001,MATCH('Index&amp;Match'!$A718,'Main Data'!$A$1:$A$1001,0),MATCH('Index&amp;Match'!L717,'Main Data'!$A717:$O717,0))</f>
        <v>274.19</v>
      </c>
      <c r="M718" s="11">
        <f>INDEX('Main Data'!$A$1:$O$1001,MATCH('Index&amp;Match'!$A718,'Main Data'!$A$1:$A$1001,0),MATCH('Index&amp;Match'!M717,'Main Data'!$A717:$O717,0))</f>
        <v>65.34</v>
      </c>
      <c r="N718" s="2" t="str">
        <f>INDEX('Main Data'!$A$1:$O$1001,MATCH('Index&amp;Match'!$A718,'Main Data'!$A$1:$A$1001,0),MATCH('Index&amp;Match'!N717,'Main Data'!$A717:$O717,0))</f>
        <v>Yes</v>
      </c>
      <c r="O718" s="2">
        <f>INDEX('Main Data'!$A$1:$O$1001,MATCH('Index&amp;Match'!$A718,'Main Data'!$A$1:$A$1001,0),MATCH('Index&amp;Match'!O717,'Main Data'!$A717:$O717,0))</f>
        <v>34</v>
      </c>
    </row>
    <row r="719" spans="1:15" x14ac:dyDescent="0.3">
      <c r="A719" s="2" t="s">
        <v>776</v>
      </c>
      <c r="B719" s="1">
        <f>INDEX('Main Data'!$A$1:$O$1001,MATCH('Index&amp;Match'!$A719,'Main Data'!$A$1:$A$1001,0),MATCH('Index&amp;Match'!B718,'Main Data'!$A718:$O718,0))</f>
        <v>46211</v>
      </c>
      <c r="C719" s="2" t="str">
        <f>INDEX('Main Data'!$A$1:$O$1001,MATCH('Index&amp;Match'!$A719,'Main Data'!$A$1:$A$1001,0),MATCH('Index&amp;Match'!C718,'Main Data'!$A718:$O718,0))</f>
        <v>Morgan</v>
      </c>
      <c r="D719" s="2" t="str">
        <f>INDEX('Main Data'!$A$1:$O$1001,MATCH('Index&amp;Match'!$A719,'Main Data'!$A$1:$A$1001,0),MATCH('Index&amp;Match'!D718,'Main Data'!$A718:$O718,0))</f>
        <v>BR-014</v>
      </c>
      <c r="E719" s="2" t="str">
        <f>INDEX('Main Data'!$A$1:$O$1001,MATCH('Index&amp;Match'!$A719,'Main Data'!$A$1:$A$1001,0),MATCH('Index&amp;Match'!E718,'Main Data'!$A718:$O718,0))</f>
        <v>North</v>
      </c>
      <c r="F719" s="2" t="str">
        <f>INDEX('Main Data'!$A$1:$O$1001,MATCH('Index&amp;Match'!$A719,'Main Data'!$A$1:$A$1001,0),MATCH('Index&amp;Match'!F718,'Main Data'!$A718:$O718,0))</f>
        <v>Wealth Management</v>
      </c>
      <c r="G719" s="2" t="str">
        <f>INDEX('Main Data'!$A$1:$O$1001,MATCH('Index&amp;Match'!$A719,'Main Data'!$A$1:$A$1001,0),MATCH('Index&amp;Match'!G718,'Main Data'!$A718:$O718,0))</f>
        <v>Social Media</v>
      </c>
      <c r="H719" s="2" t="str">
        <f>INDEX('Main Data'!$A$1:$O$1001,MATCH('Index&amp;Match'!$A719,'Main Data'!$A$1:$A$1001,0),MATCH('Index&amp;Match'!H718,'Main Data'!$A718:$O718,0))</f>
        <v>High Net Worth</v>
      </c>
      <c r="I719" s="2">
        <f>INDEX('Main Data'!$A$1:$O$1001,MATCH('Index&amp;Match'!$A719,'Main Data'!$A$1:$A$1001,0),MATCH('Index&amp;Match'!I718,'Main Data'!$A718:$O718,0))</f>
        <v>38</v>
      </c>
      <c r="J719" s="2">
        <f>INDEX('Main Data'!$A$1:$O$1001,MATCH('Index&amp;Match'!$A719,'Main Data'!$A$1:$A$1001,0),MATCH('Index&amp;Match'!J718,'Main Data'!$A718:$O718,0))</f>
        <v>38</v>
      </c>
      <c r="K719" s="11">
        <f>INDEX('Main Data'!$A$1:$O$1001,MATCH('Index&amp;Match'!$A719,'Main Data'!$A$1:$A$1001,0),MATCH('Index&amp;Match'!K718,'Main Data'!$A718:$O718,0))</f>
        <v>27510.6</v>
      </c>
      <c r="L719" s="11">
        <f>INDEX('Main Data'!$A$1:$O$1001,MATCH('Index&amp;Match'!$A719,'Main Data'!$A$1:$A$1001,0),MATCH('Index&amp;Match'!L718,'Main Data'!$A718:$O718,0))</f>
        <v>247.4</v>
      </c>
      <c r="M719" s="11">
        <f>INDEX('Main Data'!$A$1:$O$1001,MATCH('Index&amp;Match'!$A719,'Main Data'!$A$1:$A$1001,0),MATCH('Index&amp;Match'!M718,'Main Data'!$A718:$O718,0))</f>
        <v>131.15</v>
      </c>
      <c r="N719" s="2" t="str">
        <f>INDEX('Main Data'!$A$1:$O$1001,MATCH('Index&amp;Match'!$A719,'Main Data'!$A$1:$A$1001,0),MATCH('Index&amp;Match'!N718,'Main Data'!$A718:$O718,0))</f>
        <v>No</v>
      </c>
      <c r="O719" s="2">
        <f>INDEX('Main Data'!$A$1:$O$1001,MATCH('Index&amp;Match'!$A719,'Main Data'!$A$1:$A$1001,0),MATCH('Index&amp;Match'!O718,'Main Data'!$A718:$O718,0))</f>
        <v>38</v>
      </c>
    </row>
    <row r="720" spans="1:15" x14ac:dyDescent="0.3">
      <c r="A720" s="2" t="s">
        <v>777</v>
      </c>
      <c r="B720" s="1">
        <f>INDEX('Main Data'!$A$1:$O$1001,MATCH('Index&amp;Match'!$A720,'Main Data'!$A$1:$A$1001,0),MATCH('Index&amp;Match'!B719,'Main Data'!$A719:$O719,0))</f>
        <v>45902</v>
      </c>
      <c r="C720" s="2" t="str">
        <f>INDEX('Main Data'!$A$1:$O$1001,MATCH('Index&amp;Match'!$A720,'Main Data'!$A$1:$A$1001,0),MATCH('Index&amp;Match'!C719,'Main Data'!$A719:$O719,0))</f>
        <v>Drew</v>
      </c>
      <c r="D720" s="2" t="str">
        <f>INDEX('Main Data'!$A$1:$O$1001,MATCH('Index&amp;Match'!$A720,'Main Data'!$A$1:$A$1001,0),MATCH('Index&amp;Match'!D719,'Main Data'!$A719:$O719,0))</f>
        <v>BR-002</v>
      </c>
      <c r="E720" s="2" t="str">
        <f>INDEX('Main Data'!$A$1:$O$1001,MATCH('Index&amp;Match'!$A720,'Main Data'!$A$1:$A$1001,0),MATCH('Index&amp;Match'!E719,'Main Data'!$A719:$O719,0))</f>
        <v>Central</v>
      </c>
      <c r="F720" s="2" t="str">
        <f>INDEX('Main Data'!$A$1:$O$1001,MATCH('Index&amp;Match'!$A720,'Main Data'!$A$1:$A$1001,0),MATCH('Index&amp;Match'!F719,'Main Data'!$A719:$O719,0))</f>
        <v>Personal Loan</v>
      </c>
      <c r="G720" s="2" t="str">
        <f>INDEX('Main Data'!$A$1:$O$1001,MATCH('Index&amp;Match'!$A720,'Main Data'!$A$1:$A$1001,0),MATCH('Index&amp;Match'!G719,'Main Data'!$A719:$O719,0))</f>
        <v>Website</v>
      </c>
      <c r="H720" s="2" t="str">
        <f>INDEX('Main Data'!$A$1:$O$1001,MATCH('Index&amp;Match'!$A720,'Main Data'!$A$1:$A$1001,0),MATCH('Index&amp;Match'!H719,'Main Data'!$A719:$O719,0))</f>
        <v>High Net Worth</v>
      </c>
      <c r="I720" s="2">
        <f>INDEX('Main Data'!$A$1:$O$1001,MATCH('Index&amp;Match'!$A720,'Main Data'!$A$1:$A$1001,0),MATCH('Index&amp;Match'!I719,'Main Data'!$A719:$O719,0))</f>
        <v>48</v>
      </c>
      <c r="J720" s="2">
        <f>INDEX('Main Data'!$A$1:$O$1001,MATCH('Index&amp;Match'!$A720,'Main Data'!$A$1:$A$1001,0),MATCH('Index&amp;Match'!J719,'Main Data'!$A719:$O719,0))</f>
        <v>48</v>
      </c>
      <c r="K720" s="11">
        <f>INDEX('Main Data'!$A$1:$O$1001,MATCH('Index&amp;Match'!$A720,'Main Data'!$A$1:$A$1001,0),MATCH('Index&amp;Match'!K719,'Main Data'!$A719:$O719,0))</f>
        <v>34356.769999999997</v>
      </c>
      <c r="L720" s="11">
        <f>INDEX('Main Data'!$A$1:$O$1001,MATCH('Index&amp;Match'!$A720,'Main Data'!$A$1:$A$1001,0),MATCH('Index&amp;Match'!L719,'Main Data'!$A719:$O719,0))</f>
        <v>148.22</v>
      </c>
      <c r="M720" s="11">
        <f>INDEX('Main Data'!$A$1:$O$1001,MATCH('Index&amp;Match'!$A720,'Main Data'!$A$1:$A$1001,0),MATCH('Index&amp;Match'!M719,'Main Data'!$A719:$O719,0))</f>
        <v>83.84</v>
      </c>
      <c r="N720" s="2" t="str">
        <f>INDEX('Main Data'!$A$1:$O$1001,MATCH('Index&amp;Match'!$A720,'Main Data'!$A$1:$A$1001,0),MATCH('Index&amp;Match'!N719,'Main Data'!$A719:$O719,0))</f>
        <v>No</v>
      </c>
      <c r="O720" s="2">
        <f>INDEX('Main Data'!$A$1:$O$1001,MATCH('Index&amp;Match'!$A720,'Main Data'!$A$1:$A$1001,0),MATCH('Index&amp;Match'!O719,'Main Data'!$A719:$O719,0))</f>
        <v>48</v>
      </c>
    </row>
    <row r="721" spans="1:15" x14ac:dyDescent="0.3">
      <c r="A721" s="2" t="s">
        <v>778</v>
      </c>
      <c r="B721" s="1">
        <f>INDEX('Main Data'!$A$1:$O$1001,MATCH('Index&amp;Match'!$A721,'Main Data'!$A$1:$A$1001,0),MATCH('Index&amp;Match'!B720,'Main Data'!$A720:$O720,0))</f>
        <v>46073</v>
      </c>
      <c r="C721" s="2" t="str">
        <f>INDEX('Main Data'!$A$1:$O$1001,MATCH('Index&amp;Match'!$A721,'Main Data'!$A$1:$A$1001,0),MATCH('Index&amp;Match'!C720,'Main Data'!$A720:$O720,0))</f>
        <v>Morgan</v>
      </c>
      <c r="D721" s="2" t="str">
        <f>INDEX('Main Data'!$A$1:$O$1001,MATCH('Index&amp;Match'!$A721,'Main Data'!$A$1:$A$1001,0),MATCH('Index&amp;Match'!D720,'Main Data'!$A720:$O720,0))</f>
        <v>BR-012</v>
      </c>
      <c r="E721" s="2" t="str">
        <f>INDEX('Main Data'!$A$1:$O$1001,MATCH('Index&amp;Match'!$A721,'Main Data'!$A$1:$A$1001,0),MATCH('Index&amp;Match'!E720,'Main Data'!$A720:$O720,0))</f>
        <v>Central</v>
      </c>
      <c r="F721" s="2" t="str">
        <f>INDEX('Main Data'!$A$1:$O$1001,MATCH('Index&amp;Match'!$A721,'Main Data'!$A$1:$A$1001,0),MATCH('Index&amp;Match'!F720,'Main Data'!$A720:$O720,0))</f>
        <v>Auto Loan</v>
      </c>
      <c r="G721" s="2" t="str">
        <f>INDEX('Main Data'!$A$1:$O$1001,MATCH('Index&amp;Match'!$A721,'Main Data'!$A$1:$A$1001,0),MATCH('Index&amp;Match'!G720,'Main Data'!$A720:$O720,0))</f>
        <v>Referral</v>
      </c>
      <c r="H721" s="2" t="str">
        <f>INDEX('Main Data'!$A$1:$O$1001,MATCH('Index&amp;Match'!$A721,'Main Data'!$A$1:$A$1001,0),MATCH('Index&amp;Match'!H720,'Main Data'!$A720:$O720,0))</f>
        <v>High Net Worth</v>
      </c>
      <c r="I721" s="2">
        <f>INDEX('Main Data'!$A$1:$O$1001,MATCH('Index&amp;Match'!$A721,'Main Data'!$A$1:$A$1001,0),MATCH('Index&amp;Match'!I720,'Main Data'!$A720:$O720,0))</f>
        <v>49</v>
      </c>
      <c r="J721" s="2">
        <f>INDEX('Main Data'!$A$1:$O$1001,MATCH('Index&amp;Match'!$A721,'Main Data'!$A$1:$A$1001,0),MATCH('Index&amp;Match'!J720,'Main Data'!$A720:$O720,0))</f>
        <v>49</v>
      </c>
      <c r="K721" s="11">
        <f>INDEX('Main Data'!$A$1:$O$1001,MATCH('Index&amp;Match'!$A721,'Main Data'!$A$1:$A$1001,0),MATCH('Index&amp;Match'!K720,'Main Data'!$A720:$O720,0))</f>
        <v>9916.2800000000007</v>
      </c>
      <c r="L721" s="11">
        <f>INDEX('Main Data'!$A$1:$O$1001,MATCH('Index&amp;Match'!$A721,'Main Data'!$A$1:$A$1001,0),MATCH('Index&amp;Match'!L720,'Main Data'!$A720:$O720,0))</f>
        <v>108.7</v>
      </c>
      <c r="M721" s="11">
        <f>INDEX('Main Data'!$A$1:$O$1001,MATCH('Index&amp;Match'!$A721,'Main Data'!$A$1:$A$1001,0),MATCH('Index&amp;Match'!M720,'Main Data'!$A720:$O720,0))</f>
        <v>174.56</v>
      </c>
      <c r="N721" s="2" t="str">
        <f>INDEX('Main Data'!$A$1:$O$1001,MATCH('Index&amp;Match'!$A721,'Main Data'!$A$1:$A$1001,0),MATCH('Index&amp;Match'!N720,'Main Data'!$A720:$O720,0))</f>
        <v>No</v>
      </c>
      <c r="O721" s="2">
        <f>INDEX('Main Data'!$A$1:$O$1001,MATCH('Index&amp;Match'!$A721,'Main Data'!$A$1:$A$1001,0),MATCH('Index&amp;Match'!O720,'Main Data'!$A720:$O720,0))</f>
        <v>49</v>
      </c>
    </row>
    <row r="722" spans="1:15" x14ac:dyDescent="0.3">
      <c r="A722" s="2" t="s">
        <v>779</v>
      </c>
      <c r="B722" s="1">
        <f>INDEX('Main Data'!$A$1:$O$1001,MATCH('Index&amp;Match'!$A722,'Main Data'!$A$1:$A$1001,0),MATCH('Index&amp;Match'!B721,'Main Data'!$A721:$O721,0))</f>
        <v>46146</v>
      </c>
      <c r="C722" s="2" t="str">
        <f>INDEX('Main Data'!$A$1:$O$1001,MATCH('Index&amp;Match'!$A722,'Main Data'!$A$1:$A$1001,0),MATCH('Index&amp;Match'!C721,'Main Data'!$A721:$O721,0))</f>
        <v>Jordan</v>
      </c>
      <c r="D722" s="2" t="str">
        <f>INDEX('Main Data'!$A$1:$O$1001,MATCH('Index&amp;Match'!$A722,'Main Data'!$A$1:$A$1001,0),MATCH('Index&amp;Match'!D721,'Main Data'!$A721:$O721,0))</f>
        <v>BR-001</v>
      </c>
      <c r="E722" s="2" t="str">
        <f>INDEX('Main Data'!$A$1:$O$1001,MATCH('Index&amp;Match'!$A722,'Main Data'!$A$1:$A$1001,0),MATCH('Index&amp;Match'!E721,'Main Data'!$A721:$O721,0))</f>
        <v>North</v>
      </c>
      <c r="F722" s="2" t="str">
        <f>INDEX('Main Data'!$A$1:$O$1001,MATCH('Index&amp;Match'!$A722,'Main Data'!$A$1:$A$1001,0),MATCH('Index&amp;Match'!F721,'Main Data'!$A721:$O721,0))</f>
        <v>Auto Loan</v>
      </c>
      <c r="G722" s="2" t="str">
        <f>INDEX('Main Data'!$A$1:$O$1001,MATCH('Index&amp;Match'!$A722,'Main Data'!$A$1:$A$1001,0),MATCH('Index&amp;Match'!G721,'Main Data'!$A721:$O721,0))</f>
        <v>Referral</v>
      </c>
      <c r="H722" s="2" t="str">
        <f>INDEX('Main Data'!$A$1:$O$1001,MATCH('Index&amp;Match'!$A722,'Main Data'!$A$1:$A$1001,0),MATCH('Index&amp;Match'!H721,'Main Data'!$A721:$O721,0))</f>
        <v>SME</v>
      </c>
      <c r="I722" s="2">
        <f>INDEX('Main Data'!$A$1:$O$1001,MATCH('Index&amp;Match'!$A722,'Main Data'!$A$1:$A$1001,0),MATCH('Index&amp;Match'!I721,'Main Data'!$A721:$O721,0))</f>
        <v>36</v>
      </c>
      <c r="J722" s="2">
        <f>INDEX('Main Data'!$A$1:$O$1001,MATCH('Index&amp;Match'!$A722,'Main Data'!$A$1:$A$1001,0),MATCH('Index&amp;Match'!J721,'Main Data'!$A721:$O721,0))</f>
        <v>36</v>
      </c>
      <c r="K722" s="11">
        <f>INDEX('Main Data'!$A$1:$O$1001,MATCH('Index&amp;Match'!$A722,'Main Data'!$A$1:$A$1001,0),MATCH('Index&amp;Match'!K721,'Main Data'!$A721:$O721,0))</f>
        <v>26283.85</v>
      </c>
      <c r="L722" s="11">
        <f>INDEX('Main Data'!$A$1:$O$1001,MATCH('Index&amp;Match'!$A722,'Main Data'!$A$1:$A$1001,0),MATCH('Index&amp;Match'!L721,'Main Data'!$A721:$O721,0))</f>
        <v>55.66</v>
      </c>
      <c r="M722" s="11">
        <f>INDEX('Main Data'!$A$1:$O$1001,MATCH('Index&amp;Match'!$A722,'Main Data'!$A$1:$A$1001,0),MATCH('Index&amp;Match'!M721,'Main Data'!$A721:$O721,0))</f>
        <v>11.07</v>
      </c>
      <c r="N722" s="2" t="str">
        <f>INDEX('Main Data'!$A$1:$O$1001,MATCH('Index&amp;Match'!$A722,'Main Data'!$A$1:$A$1001,0),MATCH('Index&amp;Match'!N721,'Main Data'!$A721:$O721,0))</f>
        <v>No</v>
      </c>
      <c r="O722" s="2">
        <f>INDEX('Main Data'!$A$1:$O$1001,MATCH('Index&amp;Match'!$A722,'Main Data'!$A$1:$A$1001,0),MATCH('Index&amp;Match'!O721,'Main Data'!$A721:$O721,0))</f>
        <v>36</v>
      </c>
    </row>
    <row r="723" spans="1:15" x14ac:dyDescent="0.3">
      <c r="A723" s="2" t="s">
        <v>780</v>
      </c>
      <c r="B723" s="1">
        <f>INDEX('Main Data'!$A$1:$O$1001,MATCH('Index&amp;Match'!$A723,'Main Data'!$A$1:$A$1001,0),MATCH('Index&amp;Match'!B722,'Main Data'!$A722:$O722,0))</f>
        <v>45990</v>
      </c>
      <c r="C723" s="2" t="str">
        <f>INDEX('Main Data'!$A$1:$O$1001,MATCH('Index&amp;Match'!$A723,'Main Data'!$A$1:$A$1001,0),MATCH('Index&amp;Match'!C722,'Main Data'!$A722:$O722,0))</f>
        <v>Taylor</v>
      </c>
      <c r="D723" s="2" t="str">
        <f>INDEX('Main Data'!$A$1:$O$1001,MATCH('Index&amp;Match'!$A723,'Main Data'!$A$1:$A$1001,0),MATCH('Index&amp;Match'!D722,'Main Data'!$A722:$O722,0))</f>
        <v>BR-007</v>
      </c>
      <c r="E723" s="2" t="str">
        <f>INDEX('Main Data'!$A$1:$O$1001,MATCH('Index&amp;Match'!$A723,'Main Data'!$A$1:$A$1001,0),MATCH('Index&amp;Match'!E722,'Main Data'!$A722:$O722,0))</f>
        <v>North</v>
      </c>
      <c r="F723" s="2" t="str">
        <f>INDEX('Main Data'!$A$1:$O$1001,MATCH('Index&amp;Match'!$A723,'Main Data'!$A$1:$A$1001,0),MATCH('Index&amp;Match'!F722,'Main Data'!$A722:$O722,0))</f>
        <v>Personal Loan</v>
      </c>
      <c r="G723" s="2" t="str">
        <f>INDEX('Main Data'!$A$1:$O$1001,MATCH('Index&amp;Match'!$A723,'Main Data'!$A$1:$A$1001,0),MATCH('Index&amp;Match'!G722,'Main Data'!$A722:$O722,0))</f>
        <v>Email Campaign</v>
      </c>
      <c r="H723" s="2" t="str">
        <f>INDEX('Main Data'!$A$1:$O$1001,MATCH('Index&amp;Match'!$A723,'Main Data'!$A$1:$A$1001,0),MATCH('Index&amp;Match'!H722,'Main Data'!$A722:$O722,0))</f>
        <v>Corporate</v>
      </c>
      <c r="I723" s="2">
        <f>INDEX('Main Data'!$A$1:$O$1001,MATCH('Index&amp;Match'!$A723,'Main Data'!$A$1:$A$1001,0),MATCH('Index&amp;Match'!I722,'Main Data'!$A722:$O722,0))</f>
        <v>55</v>
      </c>
      <c r="J723" s="2">
        <f>INDEX('Main Data'!$A$1:$O$1001,MATCH('Index&amp;Match'!$A723,'Main Data'!$A$1:$A$1001,0),MATCH('Index&amp;Match'!J722,'Main Data'!$A722:$O722,0))</f>
        <v>55</v>
      </c>
      <c r="K723" s="11">
        <f>INDEX('Main Data'!$A$1:$O$1001,MATCH('Index&amp;Match'!$A723,'Main Data'!$A$1:$A$1001,0),MATCH('Index&amp;Match'!K722,'Main Data'!$A722:$O722,0))</f>
        <v>23718.46</v>
      </c>
      <c r="L723" s="11">
        <f>INDEX('Main Data'!$A$1:$O$1001,MATCH('Index&amp;Match'!$A723,'Main Data'!$A$1:$A$1001,0),MATCH('Index&amp;Match'!L722,'Main Data'!$A722:$O722,0))</f>
        <v>119.28</v>
      </c>
      <c r="M723" s="11">
        <f>INDEX('Main Data'!$A$1:$O$1001,MATCH('Index&amp;Match'!$A723,'Main Data'!$A$1:$A$1001,0),MATCH('Index&amp;Match'!M722,'Main Data'!$A722:$O722,0))</f>
        <v>28.92</v>
      </c>
      <c r="N723" s="2" t="str">
        <f>INDEX('Main Data'!$A$1:$O$1001,MATCH('Index&amp;Match'!$A723,'Main Data'!$A$1:$A$1001,0),MATCH('Index&amp;Match'!N722,'Main Data'!$A722:$O722,0))</f>
        <v>Yes</v>
      </c>
      <c r="O723" s="2">
        <f>INDEX('Main Data'!$A$1:$O$1001,MATCH('Index&amp;Match'!$A723,'Main Data'!$A$1:$A$1001,0),MATCH('Index&amp;Match'!O722,'Main Data'!$A722:$O722,0))</f>
        <v>55</v>
      </c>
    </row>
    <row r="724" spans="1:15" x14ac:dyDescent="0.3">
      <c r="A724" s="2" t="s">
        <v>781</v>
      </c>
      <c r="B724" s="1">
        <f>INDEX('Main Data'!$A$1:$O$1001,MATCH('Index&amp;Match'!$A724,'Main Data'!$A$1:$A$1001,0),MATCH('Index&amp;Match'!B723,'Main Data'!$A723:$O723,0))</f>
        <v>46215</v>
      </c>
      <c r="C724" s="2" t="str">
        <f>INDEX('Main Data'!$A$1:$O$1001,MATCH('Index&amp;Match'!$A724,'Main Data'!$A$1:$A$1001,0),MATCH('Index&amp;Match'!C723,'Main Data'!$A723:$O723,0))</f>
        <v>Morgan</v>
      </c>
      <c r="D724" s="2" t="str">
        <f>INDEX('Main Data'!$A$1:$O$1001,MATCH('Index&amp;Match'!$A724,'Main Data'!$A$1:$A$1001,0),MATCH('Index&amp;Match'!D723,'Main Data'!$A723:$O723,0))</f>
        <v>BR-007</v>
      </c>
      <c r="E724" s="2" t="str">
        <f>INDEX('Main Data'!$A$1:$O$1001,MATCH('Index&amp;Match'!$A724,'Main Data'!$A$1:$A$1001,0),MATCH('Index&amp;Match'!E723,'Main Data'!$A723:$O723,0))</f>
        <v>South</v>
      </c>
      <c r="F724" s="2" t="str">
        <f>INDEX('Main Data'!$A$1:$O$1001,MATCH('Index&amp;Match'!$A724,'Main Data'!$A$1:$A$1001,0),MATCH('Index&amp;Match'!F723,'Main Data'!$A723:$O723,0))</f>
        <v>Mortgage</v>
      </c>
      <c r="G724" s="2" t="str">
        <f>INDEX('Main Data'!$A$1:$O$1001,MATCH('Index&amp;Match'!$A724,'Main Data'!$A$1:$A$1001,0),MATCH('Index&amp;Match'!G723,'Main Data'!$A723:$O723,0))</f>
        <v>Website</v>
      </c>
      <c r="H724" s="2" t="str">
        <f>INDEX('Main Data'!$A$1:$O$1001,MATCH('Index&amp;Match'!$A724,'Main Data'!$A$1:$A$1001,0),MATCH('Index&amp;Match'!H723,'Main Data'!$A723:$O723,0))</f>
        <v>Corporate</v>
      </c>
      <c r="I724" s="2">
        <f>INDEX('Main Data'!$A$1:$O$1001,MATCH('Index&amp;Match'!$A724,'Main Data'!$A$1:$A$1001,0),MATCH('Index&amp;Match'!I723,'Main Data'!$A723:$O723,0))</f>
        <v>67</v>
      </c>
      <c r="J724" s="2">
        <f>INDEX('Main Data'!$A$1:$O$1001,MATCH('Index&amp;Match'!$A724,'Main Data'!$A$1:$A$1001,0),MATCH('Index&amp;Match'!J723,'Main Data'!$A723:$O723,0))</f>
        <v>67</v>
      </c>
      <c r="K724" s="11">
        <f>INDEX('Main Data'!$A$1:$O$1001,MATCH('Index&amp;Match'!$A724,'Main Data'!$A$1:$A$1001,0),MATCH('Index&amp;Match'!K723,'Main Data'!$A723:$O723,0))</f>
        <v>4016.35</v>
      </c>
      <c r="L724" s="11">
        <f>INDEX('Main Data'!$A$1:$O$1001,MATCH('Index&amp;Match'!$A724,'Main Data'!$A$1:$A$1001,0),MATCH('Index&amp;Match'!L723,'Main Data'!$A723:$O723,0))</f>
        <v>367.41</v>
      </c>
      <c r="M724" s="11">
        <f>INDEX('Main Data'!$A$1:$O$1001,MATCH('Index&amp;Match'!$A724,'Main Data'!$A$1:$A$1001,0),MATCH('Index&amp;Match'!M723,'Main Data'!$A723:$O723,0))</f>
        <v>139.05000000000001</v>
      </c>
      <c r="N724" s="2" t="str">
        <f>INDEX('Main Data'!$A$1:$O$1001,MATCH('Index&amp;Match'!$A724,'Main Data'!$A$1:$A$1001,0),MATCH('Index&amp;Match'!N723,'Main Data'!$A723:$O723,0))</f>
        <v>Yes</v>
      </c>
      <c r="O724" s="2">
        <f>INDEX('Main Data'!$A$1:$O$1001,MATCH('Index&amp;Match'!$A724,'Main Data'!$A$1:$A$1001,0),MATCH('Index&amp;Match'!O723,'Main Data'!$A723:$O723,0))</f>
        <v>67</v>
      </c>
    </row>
    <row r="725" spans="1:15" x14ac:dyDescent="0.3">
      <c r="A725" s="2" t="s">
        <v>782</v>
      </c>
      <c r="B725" s="1">
        <f>INDEX('Main Data'!$A$1:$O$1001,MATCH('Index&amp;Match'!$A725,'Main Data'!$A$1:$A$1001,0),MATCH('Index&amp;Match'!B724,'Main Data'!$A724:$O724,0))</f>
        <v>45981</v>
      </c>
      <c r="C725" s="2" t="str">
        <f>INDEX('Main Data'!$A$1:$O$1001,MATCH('Index&amp;Match'!$A725,'Main Data'!$A$1:$A$1001,0),MATCH('Index&amp;Match'!C724,'Main Data'!$A724:$O724,0))</f>
        <v>Alex</v>
      </c>
      <c r="D725" s="2" t="str">
        <f>INDEX('Main Data'!$A$1:$O$1001,MATCH('Index&amp;Match'!$A725,'Main Data'!$A$1:$A$1001,0),MATCH('Index&amp;Match'!D724,'Main Data'!$A724:$O724,0))</f>
        <v>BR-012</v>
      </c>
      <c r="E725" s="2" t="str">
        <f>INDEX('Main Data'!$A$1:$O$1001,MATCH('Index&amp;Match'!$A725,'Main Data'!$A$1:$A$1001,0),MATCH('Index&amp;Match'!E724,'Main Data'!$A724:$O724,0))</f>
        <v>East</v>
      </c>
      <c r="F725" s="2" t="str">
        <f>INDEX('Main Data'!$A$1:$O$1001,MATCH('Index&amp;Match'!$A725,'Main Data'!$A$1:$A$1001,0),MATCH('Index&amp;Match'!F724,'Main Data'!$A724:$O724,0))</f>
        <v>Mortgage</v>
      </c>
      <c r="G725" s="2" t="str">
        <f>INDEX('Main Data'!$A$1:$O$1001,MATCH('Index&amp;Match'!$A725,'Main Data'!$A$1:$A$1001,0),MATCH('Index&amp;Match'!G724,'Main Data'!$A724:$O724,0))</f>
        <v>Email Campaign</v>
      </c>
      <c r="H725" s="2" t="str">
        <f>INDEX('Main Data'!$A$1:$O$1001,MATCH('Index&amp;Match'!$A725,'Main Data'!$A$1:$A$1001,0),MATCH('Index&amp;Match'!H724,'Main Data'!$A724:$O724,0))</f>
        <v>High Net Worth</v>
      </c>
      <c r="I725" s="2">
        <f>INDEX('Main Data'!$A$1:$O$1001,MATCH('Index&amp;Match'!$A725,'Main Data'!$A$1:$A$1001,0),MATCH('Index&amp;Match'!I724,'Main Data'!$A724:$O724,0))</f>
        <v>51</v>
      </c>
      <c r="J725" s="2">
        <f>INDEX('Main Data'!$A$1:$O$1001,MATCH('Index&amp;Match'!$A725,'Main Data'!$A$1:$A$1001,0),MATCH('Index&amp;Match'!J724,'Main Data'!$A724:$O724,0))</f>
        <v>51</v>
      </c>
      <c r="K725" s="11">
        <f>INDEX('Main Data'!$A$1:$O$1001,MATCH('Index&amp;Match'!$A725,'Main Data'!$A$1:$A$1001,0),MATCH('Index&amp;Match'!K724,'Main Data'!$A724:$O724,0))</f>
        <v>41006.239999999998</v>
      </c>
      <c r="L725" s="11">
        <f>INDEX('Main Data'!$A$1:$O$1001,MATCH('Index&amp;Match'!$A725,'Main Data'!$A$1:$A$1001,0),MATCH('Index&amp;Match'!L724,'Main Data'!$A724:$O724,0))</f>
        <v>159.63999999999999</v>
      </c>
      <c r="M725" s="11">
        <f>INDEX('Main Data'!$A$1:$O$1001,MATCH('Index&amp;Match'!$A725,'Main Data'!$A$1:$A$1001,0),MATCH('Index&amp;Match'!M724,'Main Data'!$A724:$O724,0))</f>
        <v>42.64</v>
      </c>
      <c r="N725" s="2" t="str">
        <f>INDEX('Main Data'!$A$1:$O$1001,MATCH('Index&amp;Match'!$A725,'Main Data'!$A$1:$A$1001,0),MATCH('Index&amp;Match'!N724,'Main Data'!$A724:$O724,0))</f>
        <v>Yes</v>
      </c>
      <c r="O725" s="2">
        <f>INDEX('Main Data'!$A$1:$O$1001,MATCH('Index&amp;Match'!$A725,'Main Data'!$A$1:$A$1001,0),MATCH('Index&amp;Match'!O724,'Main Data'!$A724:$O724,0))</f>
        <v>51</v>
      </c>
    </row>
    <row r="726" spans="1:15" x14ac:dyDescent="0.3">
      <c r="A726" s="2" t="s">
        <v>783</v>
      </c>
      <c r="B726" s="1">
        <f>INDEX('Main Data'!$A$1:$O$1001,MATCH('Index&amp;Match'!$A726,'Main Data'!$A$1:$A$1001,0),MATCH('Index&amp;Match'!B725,'Main Data'!$A725:$O725,0))</f>
        <v>45925</v>
      </c>
      <c r="C726" s="2" t="str">
        <f>INDEX('Main Data'!$A$1:$O$1001,MATCH('Index&amp;Match'!$A726,'Main Data'!$A$1:$A$1001,0),MATCH('Index&amp;Match'!C725,'Main Data'!$A725:$O725,0))</f>
        <v>Alex</v>
      </c>
      <c r="D726" s="2" t="str">
        <f>INDEX('Main Data'!$A$1:$O$1001,MATCH('Index&amp;Match'!$A726,'Main Data'!$A$1:$A$1001,0),MATCH('Index&amp;Match'!D725,'Main Data'!$A725:$O725,0))</f>
        <v>BR-002</v>
      </c>
      <c r="E726" s="2" t="str">
        <f>INDEX('Main Data'!$A$1:$O$1001,MATCH('Index&amp;Match'!$A726,'Main Data'!$A$1:$A$1001,0),MATCH('Index&amp;Match'!E725,'Main Data'!$A725:$O725,0))</f>
        <v>Central</v>
      </c>
      <c r="F726" s="2" t="str">
        <f>INDEX('Main Data'!$A$1:$O$1001,MATCH('Index&amp;Match'!$A726,'Main Data'!$A$1:$A$1001,0),MATCH('Index&amp;Match'!F725,'Main Data'!$A725:$O725,0))</f>
        <v>Auto Loan</v>
      </c>
      <c r="G726" s="2" t="str">
        <f>INDEX('Main Data'!$A$1:$O$1001,MATCH('Index&amp;Match'!$A726,'Main Data'!$A$1:$A$1001,0),MATCH('Index&amp;Match'!G725,'Main Data'!$A725:$O725,0))</f>
        <v>Website</v>
      </c>
      <c r="H726" s="2" t="str">
        <f>INDEX('Main Data'!$A$1:$O$1001,MATCH('Index&amp;Match'!$A726,'Main Data'!$A$1:$A$1001,0),MATCH('Index&amp;Match'!H725,'Main Data'!$A725:$O725,0))</f>
        <v>Retail</v>
      </c>
      <c r="I726" s="2">
        <f>INDEX('Main Data'!$A$1:$O$1001,MATCH('Index&amp;Match'!$A726,'Main Data'!$A$1:$A$1001,0),MATCH('Index&amp;Match'!I725,'Main Data'!$A725:$O725,0))</f>
        <v>24</v>
      </c>
      <c r="J726" s="2">
        <f>INDEX('Main Data'!$A$1:$O$1001,MATCH('Index&amp;Match'!$A726,'Main Data'!$A$1:$A$1001,0),MATCH('Index&amp;Match'!J725,'Main Data'!$A725:$O725,0))</f>
        <v>24</v>
      </c>
      <c r="K726" s="11">
        <f>INDEX('Main Data'!$A$1:$O$1001,MATCH('Index&amp;Match'!$A726,'Main Data'!$A$1:$A$1001,0),MATCH('Index&amp;Match'!K725,'Main Data'!$A725:$O725,0))</f>
        <v>17116.28</v>
      </c>
      <c r="L726" s="11">
        <f>INDEX('Main Data'!$A$1:$O$1001,MATCH('Index&amp;Match'!$A726,'Main Data'!$A$1:$A$1001,0),MATCH('Index&amp;Match'!L725,'Main Data'!$A725:$O725,0))</f>
        <v>260.87</v>
      </c>
      <c r="M726" s="11">
        <f>INDEX('Main Data'!$A$1:$O$1001,MATCH('Index&amp;Match'!$A726,'Main Data'!$A$1:$A$1001,0),MATCH('Index&amp;Match'!M725,'Main Data'!$A725:$O725,0))</f>
        <v>127.96</v>
      </c>
      <c r="N726" s="2" t="str">
        <f>INDEX('Main Data'!$A$1:$O$1001,MATCH('Index&amp;Match'!$A726,'Main Data'!$A$1:$A$1001,0),MATCH('Index&amp;Match'!N725,'Main Data'!$A725:$O725,0))</f>
        <v>No</v>
      </c>
      <c r="O726" s="2">
        <f>INDEX('Main Data'!$A$1:$O$1001,MATCH('Index&amp;Match'!$A726,'Main Data'!$A$1:$A$1001,0),MATCH('Index&amp;Match'!O725,'Main Data'!$A725:$O725,0))</f>
        <v>24</v>
      </c>
    </row>
    <row r="727" spans="1:15" x14ac:dyDescent="0.3">
      <c r="A727" s="2" t="s">
        <v>784</v>
      </c>
      <c r="B727" s="1">
        <f>INDEX('Main Data'!$A$1:$O$1001,MATCH('Index&amp;Match'!$A727,'Main Data'!$A$1:$A$1001,0),MATCH('Index&amp;Match'!B726,'Main Data'!$A726:$O726,0))</f>
        <v>46088</v>
      </c>
      <c r="C727" s="2" t="str">
        <f>INDEX('Main Data'!$A$1:$O$1001,MATCH('Index&amp;Match'!$A727,'Main Data'!$A$1:$A$1001,0),MATCH('Index&amp;Match'!C726,'Main Data'!$A726:$O726,0))</f>
        <v>Casey</v>
      </c>
      <c r="D727" s="2" t="str">
        <f>INDEX('Main Data'!$A$1:$O$1001,MATCH('Index&amp;Match'!$A727,'Main Data'!$A$1:$A$1001,0),MATCH('Index&amp;Match'!D726,'Main Data'!$A726:$O726,0))</f>
        <v>BR-007</v>
      </c>
      <c r="E727" s="2" t="str">
        <f>INDEX('Main Data'!$A$1:$O$1001,MATCH('Index&amp;Match'!$A727,'Main Data'!$A$1:$A$1001,0),MATCH('Index&amp;Match'!E726,'Main Data'!$A726:$O726,0))</f>
        <v>South</v>
      </c>
      <c r="F727" s="2" t="str">
        <f>INDEX('Main Data'!$A$1:$O$1001,MATCH('Index&amp;Match'!$A727,'Main Data'!$A$1:$A$1001,0),MATCH('Index&amp;Match'!F726,'Main Data'!$A726:$O726,0))</f>
        <v>Auto Loan</v>
      </c>
      <c r="G727" s="2" t="str">
        <f>INDEX('Main Data'!$A$1:$O$1001,MATCH('Index&amp;Match'!$A727,'Main Data'!$A$1:$A$1001,0),MATCH('Index&amp;Match'!G726,'Main Data'!$A726:$O726,0))</f>
        <v>Email Campaign</v>
      </c>
      <c r="H727" s="2" t="str">
        <f>INDEX('Main Data'!$A$1:$O$1001,MATCH('Index&amp;Match'!$A727,'Main Data'!$A$1:$A$1001,0),MATCH('Index&amp;Match'!H726,'Main Data'!$A726:$O726,0))</f>
        <v>Corporate</v>
      </c>
      <c r="I727" s="2">
        <f>INDEX('Main Data'!$A$1:$O$1001,MATCH('Index&amp;Match'!$A727,'Main Data'!$A$1:$A$1001,0),MATCH('Index&amp;Match'!I726,'Main Data'!$A726:$O726,0))</f>
        <v>57</v>
      </c>
      <c r="J727" s="2">
        <f>INDEX('Main Data'!$A$1:$O$1001,MATCH('Index&amp;Match'!$A727,'Main Data'!$A$1:$A$1001,0),MATCH('Index&amp;Match'!J726,'Main Data'!$A726:$O726,0))</f>
        <v>57</v>
      </c>
      <c r="K727" s="11">
        <f>INDEX('Main Data'!$A$1:$O$1001,MATCH('Index&amp;Match'!$A727,'Main Data'!$A$1:$A$1001,0),MATCH('Index&amp;Match'!K726,'Main Data'!$A726:$O726,0))</f>
        <v>28941.82</v>
      </c>
      <c r="L727" s="11">
        <f>INDEX('Main Data'!$A$1:$O$1001,MATCH('Index&amp;Match'!$A727,'Main Data'!$A$1:$A$1001,0),MATCH('Index&amp;Match'!L726,'Main Data'!$A726:$O726,0))</f>
        <v>316.08999999999997</v>
      </c>
      <c r="M727" s="11">
        <f>INDEX('Main Data'!$A$1:$O$1001,MATCH('Index&amp;Match'!$A727,'Main Data'!$A$1:$A$1001,0),MATCH('Index&amp;Match'!M726,'Main Data'!$A726:$O726,0))</f>
        <v>10.94</v>
      </c>
      <c r="N727" s="2" t="str">
        <f>INDEX('Main Data'!$A$1:$O$1001,MATCH('Index&amp;Match'!$A727,'Main Data'!$A$1:$A$1001,0),MATCH('Index&amp;Match'!N726,'Main Data'!$A726:$O726,0))</f>
        <v>No</v>
      </c>
      <c r="O727" s="2">
        <f>INDEX('Main Data'!$A$1:$O$1001,MATCH('Index&amp;Match'!$A727,'Main Data'!$A$1:$A$1001,0),MATCH('Index&amp;Match'!O726,'Main Data'!$A726:$O726,0))</f>
        <v>57</v>
      </c>
    </row>
    <row r="728" spans="1:15" x14ac:dyDescent="0.3">
      <c r="A728" s="2" t="s">
        <v>785</v>
      </c>
      <c r="B728" s="1">
        <f>INDEX('Main Data'!$A$1:$O$1001,MATCH('Index&amp;Match'!$A728,'Main Data'!$A$1:$A$1001,0),MATCH('Index&amp;Match'!B727,'Main Data'!$A727:$O727,0))</f>
        <v>46183</v>
      </c>
      <c r="C728" s="2" t="str">
        <f>INDEX('Main Data'!$A$1:$O$1001,MATCH('Index&amp;Match'!$A728,'Main Data'!$A$1:$A$1001,0),MATCH('Index&amp;Match'!C727,'Main Data'!$A727:$O727,0))</f>
        <v>Taylor</v>
      </c>
      <c r="D728" s="2" t="str">
        <f>INDEX('Main Data'!$A$1:$O$1001,MATCH('Index&amp;Match'!$A728,'Main Data'!$A$1:$A$1001,0),MATCH('Index&amp;Match'!D727,'Main Data'!$A727:$O727,0))</f>
        <v>BR-013</v>
      </c>
      <c r="E728" s="2" t="str">
        <f>INDEX('Main Data'!$A$1:$O$1001,MATCH('Index&amp;Match'!$A728,'Main Data'!$A$1:$A$1001,0),MATCH('Index&amp;Match'!E727,'Main Data'!$A727:$O727,0))</f>
        <v>East</v>
      </c>
      <c r="F728" s="2" t="str">
        <f>INDEX('Main Data'!$A$1:$O$1001,MATCH('Index&amp;Match'!$A728,'Main Data'!$A$1:$A$1001,0),MATCH('Index&amp;Match'!F727,'Main Data'!$A727:$O727,0))</f>
        <v>Credit Card</v>
      </c>
      <c r="G728" s="2" t="str">
        <f>INDEX('Main Data'!$A$1:$O$1001,MATCH('Index&amp;Match'!$A728,'Main Data'!$A$1:$A$1001,0),MATCH('Index&amp;Match'!G727,'Main Data'!$A727:$O727,0))</f>
        <v>Referral</v>
      </c>
      <c r="H728" s="2" t="str">
        <f>INDEX('Main Data'!$A$1:$O$1001,MATCH('Index&amp;Match'!$A728,'Main Data'!$A$1:$A$1001,0),MATCH('Index&amp;Match'!H727,'Main Data'!$A727:$O727,0))</f>
        <v>SME</v>
      </c>
      <c r="I728" s="2">
        <f>INDEX('Main Data'!$A$1:$O$1001,MATCH('Index&amp;Match'!$A728,'Main Data'!$A$1:$A$1001,0),MATCH('Index&amp;Match'!I727,'Main Data'!$A727:$O727,0))</f>
        <v>37</v>
      </c>
      <c r="J728" s="2">
        <f>INDEX('Main Data'!$A$1:$O$1001,MATCH('Index&amp;Match'!$A728,'Main Data'!$A$1:$A$1001,0),MATCH('Index&amp;Match'!J727,'Main Data'!$A727:$O727,0))</f>
        <v>37</v>
      </c>
      <c r="K728" s="11">
        <f>INDEX('Main Data'!$A$1:$O$1001,MATCH('Index&amp;Match'!$A728,'Main Data'!$A$1:$A$1001,0),MATCH('Index&amp;Match'!K727,'Main Data'!$A727:$O727,0))</f>
        <v>25981.82</v>
      </c>
      <c r="L728" s="11">
        <f>INDEX('Main Data'!$A$1:$O$1001,MATCH('Index&amp;Match'!$A728,'Main Data'!$A$1:$A$1001,0),MATCH('Index&amp;Match'!L727,'Main Data'!$A727:$O727,0))</f>
        <v>449.08</v>
      </c>
      <c r="M728" s="11">
        <f>INDEX('Main Data'!$A$1:$O$1001,MATCH('Index&amp;Match'!$A728,'Main Data'!$A$1:$A$1001,0),MATCH('Index&amp;Match'!M727,'Main Data'!$A727:$O727,0))</f>
        <v>81.48</v>
      </c>
      <c r="N728" s="2" t="str">
        <f>INDEX('Main Data'!$A$1:$O$1001,MATCH('Index&amp;Match'!$A728,'Main Data'!$A$1:$A$1001,0),MATCH('Index&amp;Match'!N727,'Main Data'!$A727:$O727,0))</f>
        <v>No</v>
      </c>
      <c r="O728" s="2">
        <f>INDEX('Main Data'!$A$1:$O$1001,MATCH('Index&amp;Match'!$A728,'Main Data'!$A$1:$A$1001,0),MATCH('Index&amp;Match'!O727,'Main Data'!$A727:$O727,0))</f>
        <v>37</v>
      </c>
    </row>
    <row r="729" spans="1:15" x14ac:dyDescent="0.3">
      <c r="A729" s="2" t="s">
        <v>786</v>
      </c>
      <c r="B729" s="1">
        <f>INDEX('Main Data'!$A$1:$O$1001,MATCH('Index&amp;Match'!$A729,'Main Data'!$A$1:$A$1001,0),MATCH('Index&amp;Match'!B728,'Main Data'!$A728:$O728,0))</f>
        <v>46030</v>
      </c>
      <c r="C729" s="2" t="str">
        <f>INDEX('Main Data'!$A$1:$O$1001,MATCH('Index&amp;Match'!$A729,'Main Data'!$A$1:$A$1001,0),MATCH('Index&amp;Match'!C728,'Main Data'!$A728:$O728,0))</f>
        <v>Taylor</v>
      </c>
      <c r="D729" s="2" t="str">
        <f>INDEX('Main Data'!$A$1:$O$1001,MATCH('Index&amp;Match'!$A729,'Main Data'!$A$1:$A$1001,0),MATCH('Index&amp;Match'!D728,'Main Data'!$A728:$O728,0))</f>
        <v>BR-008</v>
      </c>
      <c r="E729" s="2" t="str">
        <f>INDEX('Main Data'!$A$1:$O$1001,MATCH('Index&amp;Match'!$A729,'Main Data'!$A$1:$A$1001,0),MATCH('Index&amp;Match'!E728,'Main Data'!$A728:$O728,0))</f>
        <v>South</v>
      </c>
      <c r="F729" s="2" t="str">
        <f>INDEX('Main Data'!$A$1:$O$1001,MATCH('Index&amp;Match'!$A729,'Main Data'!$A$1:$A$1001,0),MATCH('Index&amp;Match'!F728,'Main Data'!$A728:$O728,0))</f>
        <v>Mortgage</v>
      </c>
      <c r="G729" s="2" t="str">
        <f>INDEX('Main Data'!$A$1:$O$1001,MATCH('Index&amp;Match'!$A729,'Main Data'!$A$1:$A$1001,0),MATCH('Index&amp;Match'!G728,'Main Data'!$A728:$O728,0))</f>
        <v>Social Media</v>
      </c>
      <c r="H729" s="2" t="str">
        <f>INDEX('Main Data'!$A$1:$O$1001,MATCH('Index&amp;Match'!$A729,'Main Data'!$A$1:$A$1001,0),MATCH('Index&amp;Match'!H728,'Main Data'!$A728:$O728,0))</f>
        <v>Corporate</v>
      </c>
      <c r="I729" s="2">
        <f>INDEX('Main Data'!$A$1:$O$1001,MATCH('Index&amp;Match'!$A729,'Main Data'!$A$1:$A$1001,0),MATCH('Index&amp;Match'!I728,'Main Data'!$A728:$O728,0))</f>
        <v>59</v>
      </c>
      <c r="J729" s="2">
        <f>INDEX('Main Data'!$A$1:$O$1001,MATCH('Index&amp;Match'!$A729,'Main Data'!$A$1:$A$1001,0),MATCH('Index&amp;Match'!J728,'Main Data'!$A728:$O728,0))</f>
        <v>59</v>
      </c>
      <c r="K729" s="11">
        <f>INDEX('Main Data'!$A$1:$O$1001,MATCH('Index&amp;Match'!$A729,'Main Data'!$A$1:$A$1001,0),MATCH('Index&amp;Match'!K728,'Main Data'!$A728:$O728,0))</f>
        <v>25906.39</v>
      </c>
      <c r="L729" s="11">
        <f>INDEX('Main Data'!$A$1:$O$1001,MATCH('Index&amp;Match'!$A729,'Main Data'!$A$1:$A$1001,0),MATCH('Index&amp;Match'!L728,'Main Data'!$A728:$O728,0))</f>
        <v>449.98</v>
      </c>
      <c r="M729" s="11">
        <f>INDEX('Main Data'!$A$1:$O$1001,MATCH('Index&amp;Match'!$A729,'Main Data'!$A$1:$A$1001,0),MATCH('Index&amp;Match'!M728,'Main Data'!$A728:$O728,0))</f>
        <v>35.479999999999997</v>
      </c>
      <c r="N729" s="2" t="str">
        <f>INDEX('Main Data'!$A$1:$O$1001,MATCH('Index&amp;Match'!$A729,'Main Data'!$A$1:$A$1001,0),MATCH('Index&amp;Match'!N728,'Main Data'!$A728:$O728,0))</f>
        <v>No</v>
      </c>
      <c r="O729" s="2">
        <f>INDEX('Main Data'!$A$1:$O$1001,MATCH('Index&amp;Match'!$A729,'Main Data'!$A$1:$A$1001,0),MATCH('Index&amp;Match'!O728,'Main Data'!$A728:$O728,0))</f>
        <v>59</v>
      </c>
    </row>
    <row r="730" spans="1:15" x14ac:dyDescent="0.3">
      <c r="A730" s="2" t="s">
        <v>787</v>
      </c>
      <c r="B730" s="1">
        <f>INDEX('Main Data'!$A$1:$O$1001,MATCH('Index&amp;Match'!$A730,'Main Data'!$A$1:$A$1001,0),MATCH('Index&amp;Match'!B729,'Main Data'!$A729:$O729,0))</f>
        <v>45925</v>
      </c>
      <c r="C730" s="2" t="str">
        <f>INDEX('Main Data'!$A$1:$O$1001,MATCH('Index&amp;Match'!$A730,'Main Data'!$A$1:$A$1001,0),MATCH('Index&amp;Match'!C729,'Main Data'!$A729:$O729,0))</f>
        <v>Casey</v>
      </c>
      <c r="D730" s="2" t="str">
        <f>INDEX('Main Data'!$A$1:$O$1001,MATCH('Index&amp;Match'!$A730,'Main Data'!$A$1:$A$1001,0),MATCH('Index&amp;Match'!D729,'Main Data'!$A729:$O729,0))</f>
        <v>BR-001</v>
      </c>
      <c r="E730" s="2" t="str">
        <f>INDEX('Main Data'!$A$1:$O$1001,MATCH('Index&amp;Match'!$A730,'Main Data'!$A$1:$A$1001,0),MATCH('Index&amp;Match'!E729,'Main Data'!$A729:$O729,0))</f>
        <v>Central</v>
      </c>
      <c r="F730" s="2" t="str">
        <f>INDEX('Main Data'!$A$1:$O$1001,MATCH('Index&amp;Match'!$A730,'Main Data'!$A$1:$A$1001,0),MATCH('Index&amp;Match'!F729,'Main Data'!$A729:$O729,0))</f>
        <v>Personal Loan</v>
      </c>
      <c r="G730" s="2" t="str">
        <f>INDEX('Main Data'!$A$1:$O$1001,MATCH('Index&amp;Match'!$A730,'Main Data'!$A$1:$A$1001,0),MATCH('Index&amp;Match'!G729,'Main Data'!$A729:$O729,0))</f>
        <v>Email Campaign</v>
      </c>
      <c r="H730" s="2" t="str">
        <f>INDEX('Main Data'!$A$1:$O$1001,MATCH('Index&amp;Match'!$A730,'Main Data'!$A$1:$A$1001,0),MATCH('Index&amp;Match'!H729,'Main Data'!$A729:$O729,0))</f>
        <v>High Net Worth</v>
      </c>
      <c r="I730" s="2">
        <f>INDEX('Main Data'!$A$1:$O$1001,MATCH('Index&amp;Match'!$A730,'Main Data'!$A$1:$A$1001,0),MATCH('Index&amp;Match'!I729,'Main Data'!$A729:$O729,0))</f>
        <v>68</v>
      </c>
      <c r="J730" s="2">
        <f>INDEX('Main Data'!$A$1:$O$1001,MATCH('Index&amp;Match'!$A730,'Main Data'!$A$1:$A$1001,0),MATCH('Index&amp;Match'!J729,'Main Data'!$A729:$O729,0))</f>
        <v>68</v>
      </c>
      <c r="K730" s="11">
        <f>INDEX('Main Data'!$A$1:$O$1001,MATCH('Index&amp;Match'!$A730,'Main Data'!$A$1:$A$1001,0),MATCH('Index&amp;Match'!K729,'Main Data'!$A729:$O729,0))</f>
        <v>5807.51</v>
      </c>
      <c r="L730" s="11">
        <f>INDEX('Main Data'!$A$1:$O$1001,MATCH('Index&amp;Match'!$A730,'Main Data'!$A$1:$A$1001,0),MATCH('Index&amp;Match'!L729,'Main Data'!$A729:$O729,0))</f>
        <v>385.58</v>
      </c>
      <c r="M730" s="11">
        <f>INDEX('Main Data'!$A$1:$O$1001,MATCH('Index&amp;Match'!$A730,'Main Data'!$A$1:$A$1001,0),MATCH('Index&amp;Match'!M729,'Main Data'!$A729:$O729,0))</f>
        <v>32.89</v>
      </c>
      <c r="N730" s="2" t="str">
        <f>INDEX('Main Data'!$A$1:$O$1001,MATCH('Index&amp;Match'!$A730,'Main Data'!$A$1:$A$1001,0),MATCH('Index&amp;Match'!N729,'Main Data'!$A729:$O729,0))</f>
        <v>No</v>
      </c>
      <c r="O730" s="2">
        <f>INDEX('Main Data'!$A$1:$O$1001,MATCH('Index&amp;Match'!$A730,'Main Data'!$A$1:$A$1001,0),MATCH('Index&amp;Match'!O729,'Main Data'!$A729:$O729,0))</f>
        <v>68</v>
      </c>
    </row>
    <row r="731" spans="1:15" x14ac:dyDescent="0.3">
      <c r="A731" s="2" t="s">
        <v>788</v>
      </c>
      <c r="B731" s="1">
        <f>INDEX('Main Data'!$A$1:$O$1001,MATCH('Index&amp;Match'!$A731,'Main Data'!$A$1:$A$1001,0),MATCH('Index&amp;Match'!B730,'Main Data'!$A730:$O730,0))</f>
        <v>45882</v>
      </c>
      <c r="C731" s="2" t="str">
        <f>INDEX('Main Data'!$A$1:$O$1001,MATCH('Index&amp;Match'!$A731,'Main Data'!$A$1:$A$1001,0),MATCH('Index&amp;Match'!C730,'Main Data'!$A730:$O730,0))</f>
        <v>Morgan</v>
      </c>
      <c r="D731" s="2" t="str">
        <f>INDEX('Main Data'!$A$1:$O$1001,MATCH('Index&amp;Match'!$A731,'Main Data'!$A$1:$A$1001,0),MATCH('Index&amp;Match'!D730,'Main Data'!$A730:$O730,0))</f>
        <v>BR-009</v>
      </c>
      <c r="E731" s="2" t="str">
        <f>INDEX('Main Data'!$A$1:$O$1001,MATCH('Index&amp;Match'!$A731,'Main Data'!$A$1:$A$1001,0),MATCH('Index&amp;Match'!E730,'Main Data'!$A730:$O730,0))</f>
        <v>North</v>
      </c>
      <c r="F731" s="2" t="str">
        <f>INDEX('Main Data'!$A$1:$O$1001,MATCH('Index&amp;Match'!$A731,'Main Data'!$A$1:$A$1001,0),MATCH('Index&amp;Match'!F730,'Main Data'!$A730:$O730,0))</f>
        <v>Mortgage</v>
      </c>
      <c r="G731" s="2" t="str">
        <f>INDEX('Main Data'!$A$1:$O$1001,MATCH('Index&amp;Match'!$A731,'Main Data'!$A$1:$A$1001,0),MATCH('Index&amp;Match'!G730,'Main Data'!$A730:$O730,0))</f>
        <v>Website</v>
      </c>
      <c r="H731" s="2" t="str">
        <f>INDEX('Main Data'!$A$1:$O$1001,MATCH('Index&amp;Match'!$A731,'Main Data'!$A$1:$A$1001,0),MATCH('Index&amp;Match'!H730,'Main Data'!$A730:$O730,0))</f>
        <v>Retail</v>
      </c>
      <c r="I731" s="2">
        <f>INDEX('Main Data'!$A$1:$O$1001,MATCH('Index&amp;Match'!$A731,'Main Data'!$A$1:$A$1001,0),MATCH('Index&amp;Match'!I730,'Main Data'!$A730:$O730,0))</f>
        <v>66</v>
      </c>
      <c r="J731" s="2">
        <f>INDEX('Main Data'!$A$1:$O$1001,MATCH('Index&amp;Match'!$A731,'Main Data'!$A$1:$A$1001,0),MATCH('Index&amp;Match'!J730,'Main Data'!$A730:$O730,0))</f>
        <v>66</v>
      </c>
      <c r="K731" s="11">
        <f>INDEX('Main Data'!$A$1:$O$1001,MATCH('Index&amp;Match'!$A731,'Main Data'!$A$1:$A$1001,0),MATCH('Index&amp;Match'!K730,'Main Data'!$A730:$O730,0))</f>
        <v>21462.36</v>
      </c>
      <c r="L731" s="11">
        <f>INDEX('Main Data'!$A$1:$O$1001,MATCH('Index&amp;Match'!$A731,'Main Data'!$A$1:$A$1001,0),MATCH('Index&amp;Match'!L730,'Main Data'!$A730:$O730,0))</f>
        <v>65.819999999999993</v>
      </c>
      <c r="M731" s="11">
        <f>INDEX('Main Data'!$A$1:$O$1001,MATCH('Index&amp;Match'!$A731,'Main Data'!$A$1:$A$1001,0),MATCH('Index&amp;Match'!M730,'Main Data'!$A730:$O730,0))</f>
        <v>113.41</v>
      </c>
      <c r="N731" s="2" t="str">
        <f>INDEX('Main Data'!$A$1:$O$1001,MATCH('Index&amp;Match'!$A731,'Main Data'!$A$1:$A$1001,0),MATCH('Index&amp;Match'!N730,'Main Data'!$A730:$O730,0))</f>
        <v>No</v>
      </c>
      <c r="O731" s="2">
        <f>INDEX('Main Data'!$A$1:$O$1001,MATCH('Index&amp;Match'!$A731,'Main Data'!$A$1:$A$1001,0),MATCH('Index&amp;Match'!O730,'Main Data'!$A730:$O730,0))</f>
        <v>66</v>
      </c>
    </row>
    <row r="732" spans="1:15" x14ac:dyDescent="0.3">
      <c r="A732" s="2" t="s">
        <v>789</v>
      </c>
      <c r="B732" s="1">
        <f>INDEX('Main Data'!$A$1:$O$1001,MATCH('Index&amp;Match'!$A732,'Main Data'!$A$1:$A$1001,0),MATCH('Index&amp;Match'!B731,'Main Data'!$A731:$O731,0))</f>
        <v>45934</v>
      </c>
      <c r="C732" s="2" t="str">
        <f>INDEX('Main Data'!$A$1:$O$1001,MATCH('Index&amp;Match'!$A732,'Main Data'!$A$1:$A$1001,0),MATCH('Index&amp;Match'!C731,'Main Data'!$A731:$O731,0))</f>
        <v>Taylor</v>
      </c>
      <c r="D732" s="2" t="str">
        <f>INDEX('Main Data'!$A$1:$O$1001,MATCH('Index&amp;Match'!$A732,'Main Data'!$A$1:$A$1001,0),MATCH('Index&amp;Match'!D731,'Main Data'!$A731:$O731,0))</f>
        <v>BR-007</v>
      </c>
      <c r="E732" s="2" t="str">
        <f>INDEX('Main Data'!$A$1:$O$1001,MATCH('Index&amp;Match'!$A732,'Main Data'!$A$1:$A$1001,0),MATCH('Index&amp;Match'!E731,'Main Data'!$A731:$O731,0))</f>
        <v>North</v>
      </c>
      <c r="F732" s="2" t="str">
        <f>INDEX('Main Data'!$A$1:$O$1001,MATCH('Index&amp;Match'!$A732,'Main Data'!$A$1:$A$1001,0),MATCH('Index&amp;Match'!F731,'Main Data'!$A731:$O731,0))</f>
        <v>Credit Card</v>
      </c>
      <c r="G732" s="2" t="str">
        <f>INDEX('Main Data'!$A$1:$O$1001,MATCH('Index&amp;Match'!$A732,'Main Data'!$A$1:$A$1001,0),MATCH('Index&amp;Match'!G731,'Main Data'!$A731:$O731,0))</f>
        <v>Website</v>
      </c>
      <c r="H732" s="2" t="str">
        <f>INDEX('Main Data'!$A$1:$O$1001,MATCH('Index&amp;Match'!$A732,'Main Data'!$A$1:$A$1001,0),MATCH('Index&amp;Match'!H731,'Main Data'!$A731:$O731,0))</f>
        <v>Corporate</v>
      </c>
      <c r="I732" s="2">
        <f>INDEX('Main Data'!$A$1:$O$1001,MATCH('Index&amp;Match'!$A732,'Main Data'!$A$1:$A$1001,0),MATCH('Index&amp;Match'!I731,'Main Data'!$A731:$O731,0))</f>
        <v>46</v>
      </c>
      <c r="J732" s="2">
        <f>INDEX('Main Data'!$A$1:$O$1001,MATCH('Index&amp;Match'!$A732,'Main Data'!$A$1:$A$1001,0),MATCH('Index&amp;Match'!J731,'Main Data'!$A731:$O731,0))</f>
        <v>46</v>
      </c>
      <c r="K732" s="11">
        <f>INDEX('Main Data'!$A$1:$O$1001,MATCH('Index&amp;Match'!$A732,'Main Data'!$A$1:$A$1001,0),MATCH('Index&amp;Match'!K731,'Main Data'!$A731:$O731,0))</f>
        <v>22892.15</v>
      </c>
      <c r="L732" s="11">
        <f>INDEX('Main Data'!$A$1:$O$1001,MATCH('Index&amp;Match'!$A732,'Main Data'!$A$1:$A$1001,0),MATCH('Index&amp;Match'!L731,'Main Data'!$A731:$O731,0))</f>
        <v>308.77999999999997</v>
      </c>
      <c r="M732" s="11">
        <f>INDEX('Main Data'!$A$1:$O$1001,MATCH('Index&amp;Match'!$A732,'Main Data'!$A$1:$A$1001,0),MATCH('Index&amp;Match'!M731,'Main Data'!$A731:$O731,0))</f>
        <v>185.67</v>
      </c>
      <c r="N732" s="2" t="str">
        <f>INDEX('Main Data'!$A$1:$O$1001,MATCH('Index&amp;Match'!$A732,'Main Data'!$A$1:$A$1001,0),MATCH('Index&amp;Match'!N731,'Main Data'!$A731:$O731,0))</f>
        <v>No</v>
      </c>
      <c r="O732" s="2">
        <f>INDEX('Main Data'!$A$1:$O$1001,MATCH('Index&amp;Match'!$A732,'Main Data'!$A$1:$A$1001,0),MATCH('Index&amp;Match'!O731,'Main Data'!$A731:$O731,0))</f>
        <v>46</v>
      </c>
    </row>
    <row r="733" spans="1:15" x14ac:dyDescent="0.3">
      <c r="A733" s="2" t="s">
        <v>790</v>
      </c>
      <c r="B733" s="1">
        <f>INDEX('Main Data'!$A$1:$O$1001,MATCH('Index&amp;Match'!$A733,'Main Data'!$A$1:$A$1001,0),MATCH('Index&amp;Match'!B732,'Main Data'!$A732:$O732,0))</f>
        <v>45944</v>
      </c>
      <c r="C733" s="2" t="str">
        <f>INDEX('Main Data'!$A$1:$O$1001,MATCH('Index&amp;Match'!$A733,'Main Data'!$A$1:$A$1001,0),MATCH('Index&amp;Match'!C732,'Main Data'!$A732:$O732,0))</f>
        <v>Alex</v>
      </c>
      <c r="D733" s="2" t="str">
        <f>INDEX('Main Data'!$A$1:$O$1001,MATCH('Index&amp;Match'!$A733,'Main Data'!$A$1:$A$1001,0),MATCH('Index&amp;Match'!D732,'Main Data'!$A732:$O732,0))</f>
        <v>BR-003</v>
      </c>
      <c r="E733" s="2" t="str">
        <f>INDEX('Main Data'!$A$1:$O$1001,MATCH('Index&amp;Match'!$A733,'Main Data'!$A$1:$A$1001,0),MATCH('Index&amp;Match'!E732,'Main Data'!$A732:$O732,0))</f>
        <v>East</v>
      </c>
      <c r="F733" s="2" t="str">
        <f>INDEX('Main Data'!$A$1:$O$1001,MATCH('Index&amp;Match'!$A733,'Main Data'!$A$1:$A$1001,0),MATCH('Index&amp;Match'!F732,'Main Data'!$A732:$O732,0))</f>
        <v>Auto Loan</v>
      </c>
      <c r="G733" s="2" t="str">
        <f>INDEX('Main Data'!$A$1:$O$1001,MATCH('Index&amp;Match'!$A733,'Main Data'!$A$1:$A$1001,0),MATCH('Index&amp;Match'!G732,'Main Data'!$A732:$O732,0))</f>
        <v>Referral</v>
      </c>
      <c r="H733" s="2" t="str">
        <f>INDEX('Main Data'!$A$1:$O$1001,MATCH('Index&amp;Match'!$A733,'Main Data'!$A$1:$A$1001,0),MATCH('Index&amp;Match'!H732,'Main Data'!$A732:$O732,0))</f>
        <v>Corporate</v>
      </c>
      <c r="I733" s="2">
        <f>INDEX('Main Data'!$A$1:$O$1001,MATCH('Index&amp;Match'!$A733,'Main Data'!$A$1:$A$1001,0),MATCH('Index&amp;Match'!I732,'Main Data'!$A732:$O732,0))</f>
        <v>68</v>
      </c>
      <c r="J733" s="2">
        <f>INDEX('Main Data'!$A$1:$O$1001,MATCH('Index&amp;Match'!$A733,'Main Data'!$A$1:$A$1001,0),MATCH('Index&amp;Match'!J732,'Main Data'!$A732:$O732,0))</f>
        <v>68</v>
      </c>
      <c r="K733" s="11">
        <f>INDEX('Main Data'!$A$1:$O$1001,MATCH('Index&amp;Match'!$A733,'Main Data'!$A$1:$A$1001,0),MATCH('Index&amp;Match'!K732,'Main Data'!$A732:$O732,0))</f>
        <v>36815.32</v>
      </c>
      <c r="L733" s="11">
        <f>INDEX('Main Data'!$A$1:$O$1001,MATCH('Index&amp;Match'!$A733,'Main Data'!$A$1:$A$1001,0),MATCH('Index&amp;Match'!L732,'Main Data'!$A732:$O732,0))</f>
        <v>403.96</v>
      </c>
      <c r="M733" s="11">
        <f>INDEX('Main Data'!$A$1:$O$1001,MATCH('Index&amp;Match'!$A733,'Main Data'!$A$1:$A$1001,0),MATCH('Index&amp;Match'!M732,'Main Data'!$A732:$O732,0))</f>
        <v>10.96</v>
      </c>
      <c r="N733" s="2" t="str">
        <f>INDEX('Main Data'!$A$1:$O$1001,MATCH('Index&amp;Match'!$A733,'Main Data'!$A$1:$A$1001,0),MATCH('Index&amp;Match'!N732,'Main Data'!$A732:$O732,0))</f>
        <v>Yes</v>
      </c>
      <c r="O733" s="2">
        <f>INDEX('Main Data'!$A$1:$O$1001,MATCH('Index&amp;Match'!$A733,'Main Data'!$A$1:$A$1001,0),MATCH('Index&amp;Match'!O732,'Main Data'!$A732:$O732,0))</f>
        <v>68</v>
      </c>
    </row>
    <row r="734" spans="1:15" x14ac:dyDescent="0.3">
      <c r="A734" s="2" t="s">
        <v>791</v>
      </c>
      <c r="B734" s="1">
        <f>INDEX('Main Data'!$A$1:$O$1001,MATCH('Index&amp;Match'!$A734,'Main Data'!$A$1:$A$1001,0),MATCH('Index&amp;Match'!B733,'Main Data'!$A733:$O733,0))</f>
        <v>45913</v>
      </c>
      <c r="C734" s="2" t="str">
        <f>INDEX('Main Data'!$A$1:$O$1001,MATCH('Index&amp;Match'!$A734,'Main Data'!$A$1:$A$1001,0),MATCH('Index&amp;Match'!C733,'Main Data'!$A733:$O733,0))</f>
        <v>Alex</v>
      </c>
      <c r="D734" s="2" t="str">
        <f>INDEX('Main Data'!$A$1:$O$1001,MATCH('Index&amp;Match'!$A734,'Main Data'!$A$1:$A$1001,0),MATCH('Index&amp;Match'!D733,'Main Data'!$A733:$O733,0))</f>
        <v>BR-008</v>
      </c>
      <c r="E734" s="2" t="str">
        <f>INDEX('Main Data'!$A$1:$O$1001,MATCH('Index&amp;Match'!$A734,'Main Data'!$A$1:$A$1001,0),MATCH('Index&amp;Match'!E733,'Main Data'!$A733:$O733,0))</f>
        <v>West</v>
      </c>
      <c r="F734" s="2" t="str">
        <f>INDEX('Main Data'!$A$1:$O$1001,MATCH('Index&amp;Match'!$A734,'Main Data'!$A$1:$A$1001,0),MATCH('Index&amp;Match'!F733,'Main Data'!$A733:$O733,0))</f>
        <v>Auto Loan</v>
      </c>
      <c r="G734" s="2" t="str">
        <f>INDEX('Main Data'!$A$1:$O$1001,MATCH('Index&amp;Match'!$A734,'Main Data'!$A$1:$A$1001,0),MATCH('Index&amp;Match'!G733,'Main Data'!$A733:$O733,0))</f>
        <v>Website</v>
      </c>
      <c r="H734" s="2" t="str">
        <f>INDEX('Main Data'!$A$1:$O$1001,MATCH('Index&amp;Match'!$A734,'Main Data'!$A$1:$A$1001,0),MATCH('Index&amp;Match'!H733,'Main Data'!$A733:$O733,0))</f>
        <v>High Net Worth</v>
      </c>
      <c r="I734" s="2">
        <f>INDEX('Main Data'!$A$1:$O$1001,MATCH('Index&amp;Match'!$A734,'Main Data'!$A$1:$A$1001,0),MATCH('Index&amp;Match'!I733,'Main Data'!$A733:$O733,0))</f>
        <v>59</v>
      </c>
      <c r="J734" s="2">
        <f>INDEX('Main Data'!$A$1:$O$1001,MATCH('Index&amp;Match'!$A734,'Main Data'!$A$1:$A$1001,0),MATCH('Index&amp;Match'!J733,'Main Data'!$A733:$O733,0))</f>
        <v>59</v>
      </c>
      <c r="K734" s="11">
        <f>INDEX('Main Data'!$A$1:$O$1001,MATCH('Index&amp;Match'!$A734,'Main Data'!$A$1:$A$1001,0),MATCH('Index&amp;Match'!K733,'Main Data'!$A733:$O733,0))</f>
        <v>42080.93</v>
      </c>
      <c r="L734" s="11">
        <f>INDEX('Main Data'!$A$1:$O$1001,MATCH('Index&amp;Match'!$A734,'Main Data'!$A$1:$A$1001,0),MATCH('Index&amp;Match'!L733,'Main Data'!$A733:$O733,0))</f>
        <v>57.78</v>
      </c>
      <c r="M734" s="11">
        <f>INDEX('Main Data'!$A$1:$O$1001,MATCH('Index&amp;Match'!$A734,'Main Data'!$A$1:$A$1001,0),MATCH('Index&amp;Match'!M733,'Main Data'!$A733:$O733,0))</f>
        <v>126.46</v>
      </c>
      <c r="N734" s="2" t="str">
        <f>INDEX('Main Data'!$A$1:$O$1001,MATCH('Index&amp;Match'!$A734,'Main Data'!$A$1:$A$1001,0),MATCH('Index&amp;Match'!N733,'Main Data'!$A733:$O733,0))</f>
        <v>No</v>
      </c>
      <c r="O734" s="2">
        <f>INDEX('Main Data'!$A$1:$O$1001,MATCH('Index&amp;Match'!$A734,'Main Data'!$A$1:$A$1001,0),MATCH('Index&amp;Match'!O733,'Main Data'!$A733:$O733,0))</f>
        <v>59</v>
      </c>
    </row>
    <row r="735" spans="1:15" x14ac:dyDescent="0.3">
      <c r="A735" s="2" t="s">
        <v>792</v>
      </c>
      <c r="B735" s="1">
        <f>INDEX('Main Data'!$A$1:$O$1001,MATCH('Index&amp;Match'!$A735,'Main Data'!$A$1:$A$1001,0),MATCH('Index&amp;Match'!B734,'Main Data'!$A734:$O734,0))</f>
        <v>46020</v>
      </c>
      <c r="C735" s="2" t="str">
        <f>INDEX('Main Data'!$A$1:$O$1001,MATCH('Index&amp;Match'!$A735,'Main Data'!$A$1:$A$1001,0),MATCH('Index&amp;Match'!C734,'Main Data'!$A734:$O734,0))</f>
        <v>Drew</v>
      </c>
      <c r="D735" s="2" t="str">
        <f>INDEX('Main Data'!$A$1:$O$1001,MATCH('Index&amp;Match'!$A735,'Main Data'!$A$1:$A$1001,0),MATCH('Index&amp;Match'!D734,'Main Data'!$A734:$O734,0))</f>
        <v>BR-007</v>
      </c>
      <c r="E735" s="2" t="str">
        <f>INDEX('Main Data'!$A$1:$O$1001,MATCH('Index&amp;Match'!$A735,'Main Data'!$A$1:$A$1001,0),MATCH('Index&amp;Match'!E734,'Main Data'!$A734:$O734,0))</f>
        <v>East</v>
      </c>
      <c r="F735" s="2" t="str">
        <f>INDEX('Main Data'!$A$1:$O$1001,MATCH('Index&amp;Match'!$A735,'Main Data'!$A$1:$A$1001,0),MATCH('Index&amp;Match'!F734,'Main Data'!$A734:$O734,0))</f>
        <v>Credit Card</v>
      </c>
      <c r="G735" s="2" t="str">
        <f>INDEX('Main Data'!$A$1:$O$1001,MATCH('Index&amp;Match'!$A735,'Main Data'!$A$1:$A$1001,0),MATCH('Index&amp;Match'!G734,'Main Data'!$A734:$O734,0))</f>
        <v>Walk-in</v>
      </c>
      <c r="H735" s="2" t="str">
        <f>INDEX('Main Data'!$A$1:$O$1001,MATCH('Index&amp;Match'!$A735,'Main Data'!$A$1:$A$1001,0),MATCH('Index&amp;Match'!H734,'Main Data'!$A734:$O734,0))</f>
        <v>Retail</v>
      </c>
      <c r="I735" s="2">
        <f>INDEX('Main Data'!$A$1:$O$1001,MATCH('Index&amp;Match'!$A735,'Main Data'!$A$1:$A$1001,0),MATCH('Index&amp;Match'!I734,'Main Data'!$A734:$O734,0))</f>
        <v>61</v>
      </c>
      <c r="J735" s="2">
        <f>INDEX('Main Data'!$A$1:$O$1001,MATCH('Index&amp;Match'!$A735,'Main Data'!$A$1:$A$1001,0),MATCH('Index&amp;Match'!J734,'Main Data'!$A734:$O734,0))</f>
        <v>61</v>
      </c>
      <c r="K735" s="11">
        <f>INDEX('Main Data'!$A$1:$O$1001,MATCH('Index&amp;Match'!$A735,'Main Data'!$A$1:$A$1001,0),MATCH('Index&amp;Match'!K734,'Main Data'!$A734:$O734,0))</f>
        <v>27476.62</v>
      </c>
      <c r="L735" s="11">
        <f>INDEX('Main Data'!$A$1:$O$1001,MATCH('Index&amp;Match'!$A735,'Main Data'!$A$1:$A$1001,0),MATCH('Index&amp;Match'!L734,'Main Data'!$A734:$O734,0))</f>
        <v>297.36</v>
      </c>
      <c r="M735" s="11">
        <f>INDEX('Main Data'!$A$1:$O$1001,MATCH('Index&amp;Match'!$A735,'Main Data'!$A$1:$A$1001,0),MATCH('Index&amp;Match'!M734,'Main Data'!$A734:$O734,0))</f>
        <v>141.51</v>
      </c>
      <c r="N735" s="2" t="str">
        <f>INDEX('Main Data'!$A$1:$O$1001,MATCH('Index&amp;Match'!$A735,'Main Data'!$A$1:$A$1001,0),MATCH('Index&amp;Match'!N734,'Main Data'!$A734:$O734,0))</f>
        <v>Yes</v>
      </c>
      <c r="O735" s="2">
        <f>INDEX('Main Data'!$A$1:$O$1001,MATCH('Index&amp;Match'!$A735,'Main Data'!$A$1:$A$1001,0),MATCH('Index&amp;Match'!O734,'Main Data'!$A734:$O734,0))</f>
        <v>61</v>
      </c>
    </row>
    <row r="736" spans="1:15" x14ac:dyDescent="0.3">
      <c r="A736" s="2" t="s">
        <v>793</v>
      </c>
      <c r="B736" s="1">
        <f>INDEX('Main Data'!$A$1:$O$1001,MATCH('Index&amp;Match'!$A736,'Main Data'!$A$1:$A$1001,0),MATCH('Index&amp;Match'!B735,'Main Data'!$A735:$O735,0))</f>
        <v>46160</v>
      </c>
      <c r="C736" s="2" t="str">
        <f>INDEX('Main Data'!$A$1:$O$1001,MATCH('Index&amp;Match'!$A736,'Main Data'!$A$1:$A$1001,0),MATCH('Index&amp;Match'!C735,'Main Data'!$A735:$O735,0))</f>
        <v>Jordan</v>
      </c>
      <c r="D736" s="2" t="str">
        <f>INDEX('Main Data'!$A$1:$O$1001,MATCH('Index&amp;Match'!$A736,'Main Data'!$A$1:$A$1001,0),MATCH('Index&amp;Match'!D735,'Main Data'!$A735:$O735,0))</f>
        <v>BR-011</v>
      </c>
      <c r="E736" s="2" t="str">
        <f>INDEX('Main Data'!$A$1:$O$1001,MATCH('Index&amp;Match'!$A736,'Main Data'!$A$1:$A$1001,0),MATCH('Index&amp;Match'!E735,'Main Data'!$A735:$O735,0))</f>
        <v>West</v>
      </c>
      <c r="F736" s="2" t="str">
        <f>INDEX('Main Data'!$A$1:$O$1001,MATCH('Index&amp;Match'!$A736,'Main Data'!$A$1:$A$1001,0),MATCH('Index&amp;Match'!F735,'Main Data'!$A735:$O735,0))</f>
        <v>Personal Loan</v>
      </c>
      <c r="G736" s="2" t="str">
        <f>INDEX('Main Data'!$A$1:$O$1001,MATCH('Index&amp;Match'!$A736,'Main Data'!$A$1:$A$1001,0),MATCH('Index&amp;Match'!G735,'Main Data'!$A735:$O735,0))</f>
        <v>Social Media</v>
      </c>
      <c r="H736" s="2" t="str">
        <f>INDEX('Main Data'!$A$1:$O$1001,MATCH('Index&amp;Match'!$A736,'Main Data'!$A$1:$A$1001,0),MATCH('Index&amp;Match'!H735,'Main Data'!$A735:$O735,0))</f>
        <v>Retail</v>
      </c>
      <c r="I736" s="2">
        <f>INDEX('Main Data'!$A$1:$O$1001,MATCH('Index&amp;Match'!$A736,'Main Data'!$A$1:$A$1001,0),MATCH('Index&amp;Match'!I735,'Main Data'!$A735:$O735,0))</f>
        <v>24</v>
      </c>
      <c r="J736" s="2">
        <f>INDEX('Main Data'!$A$1:$O$1001,MATCH('Index&amp;Match'!$A736,'Main Data'!$A$1:$A$1001,0),MATCH('Index&amp;Match'!J735,'Main Data'!$A735:$O735,0))</f>
        <v>24</v>
      </c>
      <c r="K736" s="11">
        <f>INDEX('Main Data'!$A$1:$O$1001,MATCH('Index&amp;Match'!$A736,'Main Data'!$A$1:$A$1001,0),MATCH('Index&amp;Match'!K735,'Main Data'!$A735:$O735,0))</f>
        <v>4795.76</v>
      </c>
      <c r="L736" s="11">
        <f>INDEX('Main Data'!$A$1:$O$1001,MATCH('Index&amp;Match'!$A736,'Main Data'!$A$1:$A$1001,0),MATCH('Index&amp;Match'!L735,'Main Data'!$A735:$O735,0))</f>
        <v>435.99</v>
      </c>
      <c r="M736" s="11">
        <f>INDEX('Main Data'!$A$1:$O$1001,MATCH('Index&amp;Match'!$A736,'Main Data'!$A$1:$A$1001,0),MATCH('Index&amp;Match'!M735,'Main Data'!$A735:$O735,0))</f>
        <v>92.54</v>
      </c>
      <c r="N736" s="2" t="str">
        <f>INDEX('Main Data'!$A$1:$O$1001,MATCH('Index&amp;Match'!$A736,'Main Data'!$A$1:$A$1001,0),MATCH('Index&amp;Match'!N735,'Main Data'!$A735:$O735,0))</f>
        <v>No</v>
      </c>
      <c r="O736" s="2">
        <f>INDEX('Main Data'!$A$1:$O$1001,MATCH('Index&amp;Match'!$A736,'Main Data'!$A$1:$A$1001,0),MATCH('Index&amp;Match'!O735,'Main Data'!$A735:$O735,0))</f>
        <v>24</v>
      </c>
    </row>
    <row r="737" spans="1:15" x14ac:dyDescent="0.3">
      <c r="A737" s="2" t="s">
        <v>794</v>
      </c>
      <c r="B737" s="1">
        <f>INDEX('Main Data'!$A$1:$O$1001,MATCH('Index&amp;Match'!$A737,'Main Data'!$A$1:$A$1001,0),MATCH('Index&amp;Match'!B736,'Main Data'!$A736:$O736,0))</f>
        <v>45973</v>
      </c>
      <c r="C737" s="2" t="str">
        <f>INDEX('Main Data'!$A$1:$O$1001,MATCH('Index&amp;Match'!$A737,'Main Data'!$A$1:$A$1001,0),MATCH('Index&amp;Match'!C736,'Main Data'!$A736:$O736,0))</f>
        <v>Taylor</v>
      </c>
      <c r="D737" s="2" t="str">
        <f>INDEX('Main Data'!$A$1:$O$1001,MATCH('Index&amp;Match'!$A737,'Main Data'!$A$1:$A$1001,0),MATCH('Index&amp;Match'!D736,'Main Data'!$A736:$O736,0))</f>
        <v>BR-015</v>
      </c>
      <c r="E737" s="2" t="str">
        <f>INDEX('Main Data'!$A$1:$O$1001,MATCH('Index&amp;Match'!$A737,'Main Data'!$A$1:$A$1001,0),MATCH('Index&amp;Match'!E736,'Main Data'!$A736:$O736,0))</f>
        <v>South</v>
      </c>
      <c r="F737" s="2" t="str">
        <f>INDEX('Main Data'!$A$1:$O$1001,MATCH('Index&amp;Match'!$A737,'Main Data'!$A$1:$A$1001,0),MATCH('Index&amp;Match'!F736,'Main Data'!$A736:$O736,0))</f>
        <v>Auto Loan</v>
      </c>
      <c r="G737" s="2" t="str">
        <f>INDEX('Main Data'!$A$1:$O$1001,MATCH('Index&amp;Match'!$A737,'Main Data'!$A$1:$A$1001,0),MATCH('Index&amp;Match'!G736,'Main Data'!$A736:$O736,0))</f>
        <v>Email Campaign</v>
      </c>
      <c r="H737" s="2" t="str">
        <f>INDEX('Main Data'!$A$1:$O$1001,MATCH('Index&amp;Match'!$A737,'Main Data'!$A$1:$A$1001,0),MATCH('Index&amp;Match'!H736,'Main Data'!$A736:$O736,0))</f>
        <v>High Net Worth</v>
      </c>
      <c r="I737" s="2">
        <f>INDEX('Main Data'!$A$1:$O$1001,MATCH('Index&amp;Match'!$A737,'Main Data'!$A$1:$A$1001,0),MATCH('Index&amp;Match'!I736,'Main Data'!$A736:$O736,0))</f>
        <v>50</v>
      </c>
      <c r="J737" s="2">
        <f>INDEX('Main Data'!$A$1:$O$1001,MATCH('Index&amp;Match'!$A737,'Main Data'!$A$1:$A$1001,0),MATCH('Index&amp;Match'!J736,'Main Data'!$A736:$O736,0))</f>
        <v>50</v>
      </c>
      <c r="K737" s="11">
        <f>INDEX('Main Data'!$A$1:$O$1001,MATCH('Index&amp;Match'!$A737,'Main Data'!$A$1:$A$1001,0),MATCH('Index&amp;Match'!K736,'Main Data'!$A736:$O736,0))</f>
        <v>12224.05</v>
      </c>
      <c r="L737" s="11">
        <f>INDEX('Main Data'!$A$1:$O$1001,MATCH('Index&amp;Match'!$A737,'Main Data'!$A$1:$A$1001,0),MATCH('Index&amp;Match'!L736,'Main Data'!$A736:$O736,0))</f>
        <v>263.35000000000002</v>
      </c>
      <c r="M737" s="11">
        <f>INDEX('Main Data'!$A$1:$O$1001,MATCH('Index&amp;Match'!$A737,'Main Data'!$A$1:$A$1001,0),MATCH('Index&amp;Match'!M736,'Main Data'!$A736:$O736,0))</f>
        <v>241.95</v>
      </c>
      <c r="N737" s="2" t="str">
        <f>INDEX('Main Data'!$A$1:$O$1001,MATCH('Index&amp;Match'!$A737,'Main Data'!$A$1:$A$1001,0),MATCH('Index&amp;Match'!N736,'Main Data'!$A736:$O736,0))</f>
        <v>Yes</v>
      </c>
      <c r="O737" s="2">
        <f>INDEX('Main Data'!$A$1:$O$1001,MATCH('Index&amp;Match'!$A737,'Main Data'!$A$1:$A$1001,0),MATCH('Index&amp;Match'!O736,'Main Data'!$A736:$O736,0))</f>
        <v>50</v>
      </c>
    </row>
    <row r="738" spans="1:15" x14ac:dyDescent="0.3">
      <c r="A738" s="2" t="s">
        <v>795</v>
      </c>
      <c r="B738" s="1">
        <f>INDEX('Main Data'!$A$1:$O$1001,MATCH('Index&amp;Match'!$A738,'Main Data'!$A$1:$A$1001,0),MATCH('Index&amp;Match'!B737,'Main Data'!$A737:$O737,0))</f>
        <v>46025</v>
      </c>
      <c r="C738" s="2" t="str">
        <f>INDEX('Main Data'!$A$1:$O$1001,MATCH('Index&amp;Match'!$A738,'Main Data'!$A$1:$A$1001,0),MATCH('Index&amp;Match'!C737,'Main Data'!$A737:$O737,0))</f>
        <v>Morgan</v>
      </c>
      <c r="D738" s="2" t="str">
        <f>INDEX('Main Data'!$A$1:$O$1001,MATCH('Index&amp;Match'!$A738,'Main Data'!$A$1:$A$1001,0),MATCH('Index&amp;Match'!D737,'Main Data'!$A737:$O737,0))</f>
        <v>BR-013</v>
      </c>
      <c r="E738" s="2" t="str">
        <f>INDEX('Main Data'!$A$1:$O$1001,MATCH('Index&amp;Match'!$A738,'Main Data'!$A$1:$A$1001,0),MATCH('Index&amp;Match'!E737,'Main Data'!$A737:$O737,0))</f>
        <v>South</v>
      </c>
      <c r="F738" s="2" t="str">
        <f>INDEX('Main Data'!$A$1:$O$1001,MATCH('Index&amp;Match'!$A738,'Main Data'!$A$1:$A$1001,0),MATCH('Index&amp;Match'!F737,'Main Data'!$A737:$O737,0))</f>
        <v>Wealth Management</v>
      </c>
      <c r="G738" s="2" t="str">
        <f>INDEX('Main Data'!$A$1:$O$1001,MATCH('Index&amp;Match'!$A738,'Main Data'!$A$1:$A$1001,0),MATCH('Index&amp;Match'!G737,'Main Data'!$A737:$O737,0))</f>
        <v>Social Media</v>
      </c>
      <c r="H738" s="2" t="str">
        <f>INDEX('Main Data'!$A$1:$O$1001,MATCH('Index&amp;Match'!$A738,'Main Data'!$A$1:$A$1001,0),MATCH('Index&amp;Match'!H737,'Main Data'!$A737:$O737,0))</f>
        <v>SME</v>
      </c>
      <c r="I738" s="2">
        <f>INDEX('Main Data'!$A$1:$O$1001,MATCH('Index&amp;Match'!$A738,'Main Data'!$A$1:$A$1001,0),MATCH('Index&amp;Match'!I737,'Main Data'!$A737:$O737,0))</f>
        <v>50</v>
      </c>
      <c r="J738" s="2">
        <f>INDEX('Main Data'!$A$1:$O$1001,MATCH('Index&amp;Match'!$A738,'Main Data'!$A$1:$A$1001,0),MATCH('Index&amp;Match'!J737,'Main Data'!$A737:$O737,0))</f>
        <v>50</v>
      </c>
      <c r="K738" s="11">
        <f>INDEX('Main Data'!$A$1:$O$1001,MATCH('Index&amp;Match'!$A738,'Main Data'!$A$1:$A$1001,0),MATCH('Index&amp;Match'!K737,'Main Data'!$A737:$O737,0))</f>
        <v>8664.23</v>
      </c>
      <c r="L738" s="11">
        <f>INDEX('Main Data'!$A$1:$O$1001,MATCH('Index&amp;Match'!$A738,'Main Data'!$A$1:$A$1001,0),MATCH('Index&amp;Match'!L737,'Main Data'!$A737:$O737,0))</f>
        <v>51.85</v>
      </c>
      <c r="M738" s="11">
        <f>INDEX('Main Data'!$A$1:$O$1001,MATCH('Index&amp;Match'!$A738,'Main Data'!$A$1:$A$1001,0),MATCH('Index&amp;Match'!M737,'Main Data'!$A737:$O737,0))</f>
        <v>35.93</v>
      </c>
      <c r="N738" s="2" t="str">
        <f>INDEX('Main Data'!$A$1:$O$1001,MATCH('Index&amp;Match'!$A738,'Main Data'!$A$1:$A$1001,0),MATCH('Index&amp;Match'!N737,'Main Data'!$A737:$O737,0))</f>
        <v>Yes</v>
      </c>
      <c r="O738" s="2">
        <f>INDEX('Main Data'!$A$1:$O$1001,MATCH('Index&amp;Match'!$A738,'Main Data'!$A$1:$A$1001,0),MATCH('Index&amp;Match'!O737,'Main Data'!$A737:$O737,0))</f>
        <v>50</v>
      </c>
    </row>
    <row r="739" spans="1:15" x14ac:dyDescent="0.3">
      <c r="A739" s="2" t="s">
        <v>796</v>
      </c>
      <c r="B739" s="1">
        <f>INDEX('Main Data'!$A$1:$O$1001,MATCH('Index&amp;Match'!$A739,'Main Data'!$A$1:$A$1001,0),MATCH('Index&amp;Match'!B738,'Main Data'!$A738:$O738,0))</f>
        <v>46172</v>
      </c>
      <c r="C739" s="2" t="str">
        <f>INDEX('Main Data'!$A$1:$O$1001,MATCH('Index&amp;Match'!$A739,'Main Data'!$A$1:$A$1001,0),MATCH('Index&amp;Match'!C738,'Main Data'!$A738:$O738,0))</f>
        <v>Casey</v>
      </c>
      <c r="D739" s="2" t="str">
        <f>INDEX('Main Data'!$A$1:$O$1001,MATCH('Index&amp;Match'!$A739,'Main Data'!$A$1:$A$1001,0),MATCH('Index&amp;Match'!D738,'Main Data'!$A738:$O738,0))</f>
        <v>BR-008</v>
      </c>
      <c r="E739" s="2" t="str">
        <f>INDEX('Main Data'!$A$1:$O$1001,MATCH('Index&amp;Match'!$A739,'Main Data'!$A$1:$A$1001,0),MATCH('Index&amp;Match'!E738,'Main Data'!$A738:$O738,0))</f>
        <v>Central</v>
      </c>
      <c r="F739" s="2" t="str">
        <f>INDEX('Main Data'!$A$1:$O$1001,MATCH('Index&amp;Match'!$A739,'Main Data'!$A$1:$A$1001,0),MATCH('Index&amp;Match'!F738,'Main Data'!$A738:$O738,0))</f>
        <v>Auto Loan</v>
      </c>
      <c r="G739" s="2" t="str">
        <f>INDEX('Main Data'!$A$1:$O$1001,MATCH('Index&amp;Match'!$A739,'Main Data'!$A$1:$A$1001,0),MATCH('Index&amp;Match'!G738,'Main Data'!$A738:$O738,0))</f>
        <v>Referral</v>
      </c>
      <c r="H739" s="2" t="str">
        <f>INDEX('Main Data'!$A$1:$O$1001,MATCH('Index&amp;Match'!$A739,'Main Data'!$A$1:$A$1001,0),MATCH('Index&amp;Match'!H738,'Main Data'!$A738:$O738,0))</f>
        <v>Corporate</v>
      </c>
      <c r="I739" s="2">
        <f>INDEX('Main Data'!$A$1:$O$1001,MATCH('Index&amp;Match'!$A739,'Main Data'!$A$1:$A$1001,0),MATCH('Index&amp;Match'!I738,'Main Data'!$A738:$O738,0))</f>
        <v>42</v>
      </c>
      <c r="J739" s="2">
        <f>INDEX('Main Data'!$A$1:$O$1001,MATCH('Index&amp;Match'!$A739,'Main Data'!$A$1:$A$1001,0),MATCH('Index&amp;Match'!J738,'Main Data'!$A738:$O738,0))</f>
        <v>42</v>
      </c>
      <c r="K739" s="11">
        <f>INDEX('Main Data'!$A$1:$O$1001,MATCH('Index&amp;Match'!$A739,'Main Data'!$A$1:$A$1001,0),MATCH('Index&amp;Match'!K738,'Main Data'!$A738:$O738,0))</f>
        <v>6668.45</v>
      </c>
      <c r="L739" s="11">
        <f>INDEX('Main Data'!$A$1:$O$1001,MATCH('Index&amp;Match'!$A739,'Main Data'!$A$1:$A$1001,0),MATCH('Index&amp;Match'!L738,'Main Data'!$A738:$O738,0))</f>
        <v>54.96</v>
      </c>
      <c r="M739" s="11">
        <f>INDEX('Main Data'!$A$1:$O$1001,MATCH('Index&amp;Match'!$A739,'Main Data'!$A$1:$A$1001,0),MATCH('Index&amp;Match'!M738,'Main Data'!$A738:$O738,0))</f>
        <v>191.92</v>
      </c>
      <c r="N739" s="2" t="str">
        <f>INDEX('Main Data'!$A$1:$O$1001,MATCH('Index&amp;Match'!$A739,'Main Data'!$A$1:$A$1001,0),MATCH('Index&amp;Match'!N738,'Main Data'!$A738:$O738,0))</f>
        <v>No</v>
      </c>
      <c r="O739" s="2">
        <f>INDEX('Main Data'!$A$1:$O$1001,MATCH('Index&amp;Match'!$A739,'Main Data'!$A$1:$A$1001,0),MATCH('Index&amp;Match'!O738,'Main Data'!$A738:$O738,0))</f>
        <v>42</v>
      </c>
    </row>
    <row r="740" spans="1:15" x14ac:dyDescent="0.3">
      <c r="A740" s="2" t="s">
        <v>797</v>
      </c>
      <c r="B740" s="1">
        <f>INDEX('Main Data'!$A$1:$O$1001,MATCH('Index&amp;Match'!$A740,'Main Data'!$A$1:$A$1001,0),MATCH('Index&amp;Match'!B739,'Main Data'!$A739:$O739,0))</f>
        <v>45946</v>
      </c>
      <c r="C740" s="2" t="str">
        <f>INDEX('Main Data'!$A$1:$O$1001,MATCH('Index&amp;Match'!$A740,'Main Data'!$A$1:$A$1001,0),MATCH('Index&amp;Match'!C739,'Main Data'!$A739:$O739,0))</f>
        <v>Casey</v>
      </c>
      <c r="D740" s="2" t="str">
        <f>INDEX('Main Data'!$A$1:$O$1001,MATCH('Index&amp;Match'!$A740,'Main Data'!$A$1:$A$1001,0),MATCH('Index&amp;Match'!D739,'Main Data'!$A739:$O739,0))</f>
        <v>BR-006</v>
      </c>
      <c r="E740" s="2" t="str">
        <f>INDEX('Main Data'!$A$1:$O$1001,MATCH('Index&amp;Match'!$A740,'Main Data'!$A$1:$A$1001,0),MATCH('Index&amp;Match'!E739,'Main Data'!$A739:$O739,0))</f>
        <v>West</v>
      </c>
      <c r="F740" s="2" t="str">
        <f>INDEX('Main Data'!$A$1:$O$1001,MATCH('Index&amp;Match'!$A740,'Main Data'!$A$1:$A$1001,0),MATCH('Index&amp;Match'!F739,'Main Data'!$A739:$O739,0))</f>
        <v>Wealth Management</v>
      </c>
      <c r="G740" s="2" t="str">
        <f>INDEX('Main Data'!$A$1:$O$1001,MATCH('Index&amp;Match'!$A740,'Main Data'!$A$1:$A$1001,0),MATCH('Index&amp;Match'!G739,'Main Data'!$A739:$O739,0))</f>
        <v>Email Campaign</v>
      </c>
      <c r="H740" s="2" t="str">
        <f>INDEX('Main Data'!$A$1:$O$1001,MATCH('Index&amp;Match'!$A740,'Main Data'!$A$1:$A$1001,0),MATCH('Index&amp;Match'!H739,'Main Data'!$A739:$O739,0))</f>
        <v>SME</v>
      </c>
      <c r="I740" s="2">
        <f>INDEX('Main Data'!$A$1:$O$1001,MATCH('Index&amp;Match'!$A740,'Main Data'!$A$1:$A$1001,0),MATCH('Index&amp;Match'!I739,'Main Data'!$A739:$O739,0))</f>
        <v>31</v>
      </c>
      <c r="J740" s="2">
        <f>INDEX('Main Data'!$A$1:$O$1001,MATCH('Index&amp;Match'!$A740,'Main Data'!$A$1:$A$1001,0),MATCH('Index&amp;Match'!J739,'Main Data'!$A739:$O739,0))</f>
        <v>31</v>
      </c>
      <c r="K740" s="11">
        <f>INDEX('Main Data'!$A$1:$O$1001,MATCH('Index&amp;Match'!$A740,'Main Data'!$A$1:$A$1001,0),MATCH('Index&amp;Match'!K739,'Main Data'!$A739:$O739,0))</f>
        <v>18612.02</v>
      </c>
      <c r="L740" s="11">
        <f>INDEX('Main Data'!$A$1:$O$1001,MATCH('Index&amp;Match'!$A740,'Main Data'!$A$1:$A$1001,0),MATCH('Index&amp;Match'!L739,'Main Data'!$A739:$O739,0))</f>
        <v>237.49</v>
      </c>
      <c r="M740" s="11">
        <f>INDEX('Main Data'!$A$1:$O$1001,MATCH('Index&amp;Match'!$A740,'Main Data'!$A$1:$A$1001,0),MATCH('Index&amp;Match'!M739,'Main Data'!$A739:$O739,0))</f>
        <v>77.03</v>
      </c>
      <c r="N740" s="2" t="str">
        <f>INDEX('Main Data'!$A$1:$O$1001,MATCH('Index&amp;Match'!$A740,'Main Data'!$A$1:$A$1001,0),MATCH('Index&amp;Match'!N739,'Main Data'!$A739:$O739,0))</f>
        <v>Yes</v>
      </c>
      <c r="O740" s="2">
        <f>INDEX('Main Data'!$A$1:$O$1001,MATCH('Index&amp;Match'!$A740,'Main Data'!$A$1:$A$1001,0),MATCH('Index&amp;Match'!O739,'Main Data'!$A739:$O739,0))</f>
        <v>31</v>
      </c>
    </row>
    <row r="741" spans="1:15" x14ac:dyDescent="0.3">
      <c r="A741" s="2" t="s">
        <v>798</v>
      </c>
      <c r="B741" s="1">
        <f>INDEX('Main Data'!$A$1:$O$1001,MATCH('Index&amp;Match'!$A741,'Main Data'!$A$1:$A$1001,0),MATCH('Index&amp;Match'!B740,'Main Data'!$A740:$O740,0))</f>
        <v>46034</v>
      </c>
      <c r="C741" s="2" t="str">
        <f>INDEX('Main Data'!$A$1:$O$1001,MATCH('Index&amp;Match'!$A741,'Main Data'!$A$1:$A$1001,0),MATCH('Index&amp;Match'!C740,'Main Data'!$A740:$O740,0))</f>
        <v>Morgan</v>
      </c>
      <c r="D741" s="2" t="str">
        <f>INDEX('Main Data'!$A$1:$O$1001,MATCH('Index&amp;Match'!$A741,'Main Data'!$A$1:$A$1001,0),MATCH('Index&amp;Match'!D740,'Main Data'!$A740:$O740,0))</f>
        <v>BR-009</v>
      </c>
      <c r="E741" s="2" t="str">
        <f>INDEX('Main Data'!$A$1:$O$1001,MATCH('Index&amp;Match'!$A741,'Main Data'!$A$1:$A$1001,0),MATCH('Index&amp;Match'!E740,'Main Data'!$A740:$O740,0))</f>
        <v>Central</v>
      </c>
      <c r="F741" s="2" t="str">
        <f>INDEX('Main Data'!$A$1:$O$1001,MATCH('Index&amp;Match'!$A741,'Main Data'!$A$1:$A$1001,0),MATCH('Index&amp;Match'!F740,'Main Data'!$A740:$O740,0))</f>
        <v>Credit Card</v>
      </c>
      <c r="G741" s="2" t="str">
        <f>INDEX('Main Data'!$A$1:$O$1001,MATCH('Index&amp;Match'!$A741,'Main Data'!$A$1:$A$1001,0),MATCH('Index&amp;Match'!G740,'Main Data'!$A740:$O740,0))</f>
        <v>Email Campaign</v>
      </c>
      <c r="H741" s="2" t="str">
        <f>INDEX('Main Data'!$A$1:$O$1001,MATCH('Index&amp;Match'!$A741,'Main Data'!$A$1:$A$1001,0),MATCH('Index&amp;Match'!H740,'Main Data'!$A740:$O740,0))</f>
        <v>Corporate</v>
      </c>
      <c r="I741" s="2">
        <f>INDEX('Main Data'!$A$1:$O$1001,MATCH('Index&amp;Match'!$A741,'Main Data'!$A$1:$A$1001,0),MATCH('Index&amp;Match'!I740,'Main Data'!$A740:$O740,0))</f>
        <v>22</v>
      </c>
      <c r="J741" s="2">
        <f>INDEX('Main Data'!$A$1:$O$1001,MATCH('Index&amp;Match'!$A741,'Main Data'!$A$1:$A$1001,0),MATCH('Index&amp;Match'!J740,'Main Data'!$A740:$O740,0))</f>
        <v>22</v>
      </c>
      <c r="K741" s="11">
        <f>INDEX('Main Data'!$A$1:$O$1001,MATCH('Index&amp;Match'!$A741,'Main Data'!$A$1:$A$1001,0),MATCH('Index&amp;Match'!K740,'Main Data'!$A740:$O740,0))</f>
        <v>11854.98</v>
      </c>
      <c r="L741" s="11">
        <f>INDEX('Main Data'!$A$1:$O$1001,MATCH('Index&amp;Match'!$A741,'Main Data'!$A$1:$A$1001,0),MATCH('Index&amp;Match'!L740,'Main Data'!$A740:$O740,0))</f>
        <v>119.75</v>
      </c>
      <c r="M741" s="11">
        <f>INDEX('Main Data'!$A$1:$O$1001,MATCH('Index&amp;Match'!$A741,'Main Data'!$A$1:$A$1001,0),MATCH('Index&amp;Match'!M740,'Main Data'!$A740:$O740,0))</f>
        <v>68.31</v>
      </c>
      <c r="N741" s="2" t="str">
        <f>INDEX('Main Data'!$A$1:$O$1001,MATCH('Index&amp;Match'!$A741,'Main Data'!$A$1:$A$1001,0),MATCH('Index&amp;Match'!N740,'Main Data'!$A740:$O740,0))</f>
        <v>No</v>
      </c>
      <c r="O741" s="2">
        <f>INDEX('Main Data'!$A$1:$O$1001,MATCH('Index&amp;Match'!$A741,'Main Data'!$A$1:$A$1001,0),MATCH('Index&amp;Match'!O740,'Main Data'!$A740:$O740,0))</f>
        <v>22</v>
      </c>
    </row>
    <row r="742" spans="1:15" x14ac:dyDescent="0.3">
      <c r="A742" s="2" t="s">
        <v>799</v>
      </c>
      <c r="B742" s="1">
        <f>INDEX('Main Data'!$A$1:$O$1001,MATCH('Index&amp;Match'!$A742,'Main Data'!$A$1:$A$1001,0),MATCH('Index&amp;Match'!B741,'Main Data'!$A741:$O741,0))</f>
        <v>45922</v>
      </c>
      <c r="C742" s="2" t="str">
        <f>INDEX('Main Data'!$A$1:$O$1001,MATCH('Index&amp;Match'!$A742,'Main Data'!$A$1:$A$1001,0),MATCH('Index&amp;Match'!C741,'Main Data'!$A741:$O741,0))</f>
        <v>Jamie</v>
      </c>
      <c r="D742" s="2" t="str">
        <f>INDEX('Main Data'!$A$1:$O$1001,MATCH('Index&amp;Match'!$A742,'Main Data'!$A$1:$A$1001,0),MATCH('Index&amp;Match'!D741,'Main Data'!$A741:$O741,0))</f>
        <v>BR-015</v>
      </c>
      <c r="E742" s="2" t="str">
        <f>INDEX('Main Data'!$A$1:$O$1001,MATCH('Index&amp;Match'!$A742,'Main Data'!$A$1:$A$1001,0),MATCH('Index&amp;Match'!E741,'Main Data'!$A741:$O741,0))</f>
        <v>North</v>
      </c>
      <c r="F742" s="2" t="str">
        <f>INDEX('Main Data'!$A$1:$O$1001,MATCH('Index&amp;Match'!$A742,'Main Data'!$A$1:$A$1001,0),MATCH('Index&amp;Match'!F741,'Main Data'!$A741:$O741,0))</f>
        <v>Credit Card</v>
      </c>
      <c r="G742" s="2" t="str">
        <f>INDEX('Main Data'!$A$1:$O$1001,MATCH('Index&amp;Match'!$A742,'Main Data'!$A$1:$A$1001,0),MATCH('Index&amp;Match'!G741,'Main Data'!$A741:$O741,0))</f>
        <v>Walk-in</v>
      </c>
      <c r="H742" s="2" t="str">
        <f>INDEX('Main Data'!$A$1:$O$1001,MATCH('Index&amp;Match'!$A742,'Main Data'!$A$1:$A$1001,0),MATCH('Index&amp;Match'!H741,'Main Data'!$A741:$O741,0))</f>
        <v>Corporate</v>
      </c>
      <c r="I742" s="2">
        <f>INDEX('Main Data'!$A$1:$O$1001,MATCH('Index&amp;Match'!$A742,'Main Data'!$A$1:$A$1001,0),MATCH('Index&amp;Match'!I741,'Main Data'!$A741:$O741,0))</f>
        <v>64</v>
      </c>
      <c r="J742" s="2">
        <f>INDEX('Main Data'!$A$1:$O$1001,MATCH('Index&amp;Match'!$A742,'Main Data'!$A$1:$A$1001,0),MATCH('Index&amp;Match'!J741,'Main Data'!$A741:$O741,0))</f>
        <v>64</v>
      </c>
      <c r="K742" s="11">
        <f>INDEX('Main Data'!$A$1:$O$1001,MATCH('Index&amp;Match'!$A742,'Main Data'!$A$1:$A$1001,0),MATCH('Index&amp;Match'!K741,'Main Data'!$A741:$O741,0))</f>
        <v>11306</v>
      </c>
      <c r="L742" s="11">
        <f>INDEX('Main Data'!$A$1:$O$1001,MATCH('Index&amp;Match'!$A742,'Main Data'!$A$1:$A$1001,0),MATCH('Index&amp;Match'!L741,'Main Data'!$A741:$O741,0))</f>
        <v>349</v>
      </c>
      <c r="M742" s="11">
        <f>INDEX('Main Data'!$A$1:$O$1001,MATCH('Index&amp;Match'!$A742,'Main Data'!$A$1:$A$1001,0),MATCH('Index&amp;Match'!M741,'Main Data'!$A741:$O741,0))</f>
        <v>174.92</v>
      </c>
      <c r="N742" s="2" t="str">
        <f>INDEX('Main Data'!$A$1:$O$1001,MATCH('Index&amp;Match'!$A742,'Main Data'!$A$1:$A$1001,0),MATCH('Index&amp;Match'!N741,'Main Data'!$A741:$O741,0))</f>
        <v>Yes</v>
      </c>
      <c r="O742" s="2">
        <f>INDEX('Main Data'!$A$1:$O$1001,MATCH('Index&amp;Match'!$A742,'Main Data'!$A$1:$A$1001,0),MATCH('Index&amp;Match'!O741,'Main Data'!$A741:$O741,0))</f>
        <v>64</v>
      </c>
    </row>
    <row r="743" spans="1:15" x14ac:dyDescent="0.3">
      <c r="A743" s="2" t="s">
        <v>800</v>
      </c>
      <c r="B743" s="1">
        <f>INDEX('Main Data'!$A$1:$O$1001,MATCH('Index&amp;Match'!$A743,'Main Data'!$A$1:$A$1001,0),MATCH('Index&amp;Match'!B742,'Main Data'!$A742:$O742,0))</f>
        <v>45933</v>
      </c>
      <c r="C743" s="2" t="str">
        <f>INDEX('Main Data'!$A$1:$O$1001,MATCH('Index&amp;Match'!$A743,'Main Data'!$A$1:$A$1001,0),MATCH('Index&amp;Match'!C742,'Main Data'!$A742:$O742,0))</f>
        <v>Sam</v>
      </c>
      <c r="D743" s="2" t="str">
        <f>INDEX('Main Data'!$A$1:$O$1001,MATCH('Index&amp;Match'!$A743,'Main Data'!$A$1:$A$1001,0),MATCH('Index&amp;Match'!D742,'Main Data'!$A742:$O742,0))</f>
        <v>BR-005</v>
      </c>
      <c r="E743" s="2" t="str">
        <f>INDEX('Main Data'!$A$1:$O$1001,MATCH('Index&amp;Match'!$A743,'Main Data'!$A$1:$A$1001,0),MATCH('Index&amp;Match'!E742,'Main Data'!$A742:$O742,0))</f>
        <v>West</v>
      </c>
      <c r="F743" s="2" t="str">
        <f>INDEX('Main Data'!$A$1:$O$1001,MATCH('Index&amp;Match'!$A743,'Main Data'!$A$1:$A$1001,0),MATCH('Index&amp;Match'!F742,'Main Data'!$A742:$O742,0))</f>
        <v>Auto Loan</v>
      </c>
      <c r="G743" s="2" t="str">
        <f>INDEX('Main Data'!$A$1:$O$1001,MATCH('Index&amp;Match'!$A743,'Main Data'!$A$1:$A$1001,0),MATCH('Index&amp;Match'!G742,'Main Data'!$A742:$O742,0))</f>
        <v>Referral</v>
      </c>
      <c r="H743" s="2" t="str">
        <f>INDEX('Main Data'!$A$1:$O$1001,MATCH('Index&amp;Match'!$A743,'Main Data'!$A$1:$A$1001,0),MATCH('Index&amp;Match'!H742,'Main Data'!$A742:$O742,0))</f>
        <v>SME</v>
      </c>
      <c r="I743" s="2">
        <f>INDEX('Main Data'!$A$1:$O$1001,MATCH('Index&amp;Match'!$A743,'Main Data'!$A$1:$A$1001,0),MATCH('Index&amp;Match'!I742,'Main Data'!$A742:$O742,0))</f>
        <v>32</v>
      </c>
      <c r="J743" s="2">
        <f>INDEX('Main Data'!$A$1:$O$1001,MATCH('Index&amp;Match'!$A743,'Main Data'!$A$1:$A$1001,0),MATCH('Index&amp;Match'!J742,'Main Data'!$A742:$O742,0))</f>
        <v>32</v>
      </c>
      <c r="K743" s="11">
        <f>INDEX('Main Data'!$A$1:$O$1001,MATCH('Index&amp;Match'!$A743,'Main Data'!$A$1:$A$1001,0),MATCH('Index&amp;Match'!K742,'Main Data'!$A742:$O742,0))</f>
        <v>3207.31</v>
      </c>
      <c r="L743" s="11">
        <f>INDEX('Main Data'!$A$1:$O$1001,MATCH('Index&amp;Match'!$A743,'Main Data'!$A$1:$A$1001,0),MATCH('Index&amp;Match'!L742,'Main Data'!$A742:$O742,0))</f>
        <v>368.96</v>
      </c>
      <c r="M743" s="11">
        <f>INDEX('Main Data'!$A$1:$O$1001,MATCH('Index&amp;Match'!$A743,'Main Data'!$A$1:$A$1001,0),MATCH('Index&amp;Match'!M742,'Main Data'!$A742:$O742,0))</f>
        <v>112.77</v>
      </c>
      <c r="N743" s="2" t="str">
        <f>INDEX('Main Data'!$A$1:$O$1001,MATCH('Index&amp;Match'!$A743,'Main Data'!$A$1:$A$1001,0),MATCH('Index&amp;Match'!N742,'Main Data'!$A742:$O742,0))</f>
        <v>Yes</v>
      </c>
      <c r="O743" s="2">
        <f>INDEX('Main Data'!$A$1:$O$1001,MATCH('Index&amp;Match'!$A743,'Main Data'!$A$1:$A$1001,0),MATCH('Index&amp;Match'!O742,'Main Data'!$A742:$O742,0))</f>
        <v>32</v>
      </c>
    </row>
    <row r="744" spans="1:15" x14ac:dyDescent="0.3">
      <c r="A744" s="2" t="s">
        <v>801</v>
      </c>
      <c r="B744" s="1">
        <f>INDEX('Main Data'!$A$1:$O$1001,MATCH('Index&amp;Match'!$A744,'Main Data'!$A$1:$A$1001,0),MATCH('Index&amp;Match'!B743,'Main Data'!$A743:$O743,0))</f>
        <v>45979</v>
      </c>
      <c r="C744" s="2" t="str">
        <f>INDEX('Main Data'!$A$1:$O$1001,MATCH('Index&amp;Match'!$A744,'Main Data'!$A$1:$A$1001,0),MATCH('Index&amp;Match'!C743,'Main Data'!$A743:$O743,0))</f>
        <v>Jordan</v>
      </c>
      <c r="D744" s="2" t="str">
        <f>INDEX('Main Data'!$A$1:$O$1001,MATCH('Index&amp;Match'!$A744,'Main Data'!$A$1:$A$1001,0),MATCH('Index&amp;Match'!D743,'Main Data'!$A743:$O743,0))</f>
        <v>BR-003</v>
      </c>
      <c r="E744" s="2" t="str">
        <f>INDEX('Main Data'!$A$1:$O$1001,MATCH('Index&amp;Match'!$A744,'Main Data'!$A$1:$A$1001,0),MATCH('Index&amp;Match'!E743,'Main Data'!$A743:$O743,0))</f>
        <v>East</v>
      </c>
      <c r="F744" s="2" t="str">
        <f>INDEX('Main Data'!$A$1:$O$1001,MATCH('Index&amp;Match'!$A744,'Main Data'!$A$1:$A$1001,0),MATCH('Index&amp;Match'!F743,'Main Data'!$A743:$O743,0))</f>
        <v>Mortgage</v>
      </c>
      <c r="G744" s="2" t="str">
        <f>INDEX('Main Data'!$A$1:$O$1001,MATCH('Index&amp;Match'!$A744,'Main Data'!$A$1:$A$1001,0),MATCH('Index&amp;Match'!G743,'Main Data'!$A743:$O743,0))</f>
        <v>Website</v>
      </c>
      <c r="H744" s="2" t="str">
        <f>INDEX('Main Data'!$A$1:$O$1001,MATCH('Index&amp;Match'!$A744,'Main Data'!$A$1:$A$1001,0),MATCH('Index&amp;Match'!H743,'Main Data'!$A743:$O743,0))</f>
        <v>High Net Worth</v>
      </c>
      <c r="I744" s="2">
        <f>INDEX('Main Data'!$A$1:$O$1001,MATCH('Index&amp;Match'!$A744,'Main Data'!$A$1:$A$1001,0),MATCH('Index&amp;Match'!I743,'Main Data'!$A743:$O743,0))</f>
        <v>50</v>
      </c>
      <c r="J744" s="2">
        <f>INDEX('Main Data'!$A$1:$O$1001,MATCH('Index&amp;Match'!$A744,'Main Data'!$A$1:$A$1001,0),MATCH('Index&amp;Match'!J743,'Main Data'!$A743:$O743,0))</f>
        <v>50</v>
      </c>
      <c r="K744" s="11">
        <f>INDEX('Main Data'!$A$1:$O$1001,MATCH('Index&amp;Match'!$A744,'Main Data'!$A$1:$A$1001,0),MATCH('Index&amp;Match'!K743,'Main Data'!$A743:$O743,0))</f>
        <v>1374.67</v>
      </c>
      <c r="L744" s="11">
        <f>INDEX('Main Data'!$A$1:$O$1001,MATCH('Index&amp;Match'!$A744,'Main Data'!$A$1:$A$1001,0),MATCH('Index&amp;Match'!L743,'Main Data'!$A743:$O743,0))</f>
        <v>130.05000000000001</v>
      </c>
      <c r="M744" s="11">
        <f>INDEX('Main Data'!$A$1:$O$1001,MATCH('Index&amp;Match'!$A744,'Main Data'!$A$1:$A$1001,0),MATCH('Index&amp;Match'!M743,'Main Data'!$A743:$O743,0))</f>
        <v>154.94</v>
      </c>
      <c r="N744" s="2" t="str">
        <f>INDEX('Main Data'!$A$1:$O$1001,MATCH('Index&amp;Match'!$A744,'Main Data'!$A$1:$A$1001,0),MATCH('Index&amp;Match'!N743,'Main Data'!$A743:$O743,0))</f>
        <v>Yes</v>
      </c>
      <c r="O744" s="2">
        <f>INDEX('Main Data'!$A$1:$O$1001,MATCH('Index&amp;Match'!$A744,'Main Data'!$A$1:$A$1001,0),MATCH('Index&amp;Match'!O743,'Main Data'!$A743:$O743,0))</f>
        <v>50</v>
      </c>
    </row>
    <row r="745" spans="1:15" x14ac:dyDescent="0.3">
      <c r="A745" s="2" t="s">
        <v>802</v>
      </c>
      <c r="B745" s="1">
        <f>INDEX('Main Data'!$A$1:$O$1001,MATCH('Index&amp;Match'!$A745,'Main Data'!$A$1:$A$1001,0),MATCH('Index&amp;Match'!B744,'Main Data'!$A744:$O744,0))</f>
        <v>46171</v>
      </c>
      <c r="C745" s="2" t="str">
        <f>INDEX('Main Data'!$A$1:$O$1001,MATCH('Index&amp;Match'!$A745,'Main Data'!$A$1:$A$1001,0),MATCH('Index&amp;Match'!C744,'Main Data'!$A744:$O744,0))</f>
        <v>Casey</v>
      </c>
      <c r="D745" s="2" t="str">
        <f>INDEX('Main Data'!$A$1:$O$1001,MATCH('Index&amp;Match'!$A745,'Main Data'!$A$1:$A$1001,0),MATCH('Index&amp;Match'!D744,'Main Data'!$A744:$O744,0))</f>
        <v>BR-003</v>
      </c>
      <c r="E745" s="2" t="str">
        <f>INDEX('Main Data'!$A$1:$O$1001,MATCH('Index&amp;Match'!$A745,'Main Data'!$A$1:$A$1001,0),MATCH('Index&amp;Match'!E744,'Main Data'!$A744:$O744,0))</f>
        <v>North</v>
      </c>
      <c r="F745" s="2" t="str">
        <f>INDEX('Main Data'!$A$1:$O$1001,MATCH('Index&amp;Match'!$A745,'Main Data'!$A$1:$A$1001,0),MATCH('Index&amp;Match'!F744,'Main Data'!$A744:$O744,0))</f>
        <v>Wealth Management</v>
      </c>
      <c r="G745" s="2" t="str">
        <f>INDEX('Main Data'!$A$1:$O$1001,MATCH('Index&amp;Match'!$A745,'Main Data'!$A$1:$A$1001,0),MATCH('Index&amp;Match'!G744,'Main Data'!$A744:$O744,0))</f>
        <v>Walk-in</v>
      </c>
      <c r="H745" s="2" t="str">
        <f>INDEX('Main Data'!$A$1:$O$1001,MATCH('Index&amp;Match'!$A745,'Main Data'!$A$1:$A$1001,0),MATCH('Index&amp;Match'!H744,'Main Data'!$A744:$O744,0))</f>
        <v>High Net Worth</v>
      </c>
      <c r="I745" s="2">
        <f>INDEX('Main Data'!$A$1:$O$1001,MATCH('Index&amp;Match'!$A745,'Main Data'!$A$1:$A$1001,0),MATCH('Index&amp;Match'!I744,'Main Data'!$A744:$O744,0))</f>
        <v>56</v>
      </c>
      <c r="J745" s="2">
        <f>INDEX('Main Data'!$A$1:$O$1001,MATCH('Index&amp;Match'!$A745,'Main Data'!$A$1:$A$1001,0),MATCH('Index&amp;Match'!J744,'Main Data'!$A744:$O744,0))</f>
        <v>56</v>
      </c>
      <c r="K745" s="11">
        <f>INDEX('Main Data'!$A$1:$O$1001,MATCH('Index&amp;Match'!$A745,'Main Data'!$A$1:$A$1001,0),MATCH('Index&amp;Match'!K744,'Main Data'!$A744:$O744,0))</f>
        <v>5587.03</v>
      </c>
      <c r="L745" s="11">
        <f>INDEX('Main Data'!$A$1:$O$1001,MATCH('Index&amp;Match'!$A745,'Main Data'!$A$1:$A$1001,0),MATCH('Index&amp;Match'!L744,'Main Data'!$A744:$O744,0))</f>
        <v>449.84</v>
      </c>
      <c r="M745" s="11">
        <f>INDEX('Main Data'!$A$1:$O$1001,MATCH('Index&amp;Match'!$A745,'Main Data'!$A$1:$A$1001,0),MATCH('Index&amp;Match'!M744,'Main Data'!$A744:$O744,0))</f>
        <v>218.1</v>
      </c>
      <c r="N745" s="2" t="str">
        <f>INDEX('Main Data'!$A$1:$O$1001,MATCH('Index&amp;Match'!$A745,'Main Data'!$A$1:$A$1001,0),MATCH('Index&amp;Match'!N744,'Main Data'!$A744:$O744,0))</f>
        <v>Yes</v>
      </c>
      <c r="O745" s="2">
        <f>INDEX('Main Data'!$A$1:$O$1001,MATCH('Index&amp;Match'!$A745,'Main Data'!$A$1:$A$1001,0),MATCH('Index&amp;Match'!O744,'Main Data'!$A744:$O744,0))</f>
        <v>56</v>
      </c>
    </row>
    <row r="746" spans="1:15" x14ac:dyDescent="0.3">
      <c r="A746" s="2" t="s">
        <v>803</v>
      </c>
      <c r="B746" s="1">
        <f>INDEX('Main Data'!$A$1:$O$1001,MATCH('Index&amp;Match'!$A746,'Main Data'!$A$1:$A$1001,0),MATCH('Index&amp;Match'!B745,'Main Data'!$A745:$O745,0))</f>
        <v>45952</v>
      </c>
      <c r="C746" s="2" t="str">
        <f>INDEX('Main Data'!$A$1:$O$1001,MATCH('Index&amp;Match'!$A746,'Main Data'!$A$1:$A$1001,0),MATCH('Index&amp;Match'!C745,'Main Data'!$A745:$O745,0))</f>
        <v>Taylor</v>
      </c>
      <c r="D746" s="2" t="str">
        <f>INDEX('Main Data'!$A$1:$O$1001,MATCH('Index&amp;Match'!$A746,'Main Data'!$A$1:$A$1001,0),MATCH('Index&amp;Match'!D745,'Main Data'!$A745:$O745,0))</f>
        <v>BR-001</v>
      </c>
      <c r="E746" s="2" t="str">
        <f>INDEX('Main Data'!$A$1:$O$1001,MATCH('Index&amp;Match'!$A746,'Main Data'!$A$1:$A$1001,0),MATCH('Index&amp;Match'!E745,'Main Data'!$A745:$O745,0))</f>
        <v>North</v>
      </c>
      <c r="F746" s="2" t="str">
        <f>INDEX('Main Data'!$A$1:$O$1001,MATCH('Index&amp;Match'!$A746,'Main Data'!$A$1:$A$1001,0),MATCH('Index&amp;Match'!F745,'Main Data'!$A745:$O745,0))</f>
        <v>Personal Loan</v>
      </c>
      <c r="G746" s="2" t="str">
        <f>INDEX('Main Data'!$A$1:$O$1001,MATCH('Index&amp;Match'!$A746,'Main Data'!$A$1:$A$1001,0),MATCH('Index&amp;Match'!G745,'Main Data'!$A745:$O745,0))</f>
        <v>Walk-in</v>
      </c>
      <c r="H746" s="2" t="str">
        <f>INDEX('Main Data'!$A$1:$O$1001,MATCH('Index&amp;Match'!$A746,'Main Data'!$A$1:$A$1001,0),MATCH('Index&amp;Match'!H745,'Main Data'!$A745:$O745,0))</f>
        <v>Corporate</v>
      </c>
      <c r="I746" s="2">
        <f>INDEX('Main Data'!$A$1:$O$1001,MATCH('Index&amp;Match'!$A746,'Main Data'!$A$1:$A$1001,0),MATCH('Index&amp;Match'!I745,'Main Data'!$A745:$O745,0))</f>
        <v>38</v>
      </c>
      <c r="J746" s="2">
        <f>INDEX('Main Data'!$A$1:$O$1001,MATCH('Index&amp;Match'!$A746,'Main Data'!$A$1:$A$1001,0),MATCH('Index&amp;Match'!J745,'Main Data'!$A745:$O745,0))</f>
        <v>38</v>
      </c>
      <c r="K746" s="11">
        <f>INDEX('Main Data'!$A$1:$O$1001,MATCH('Index&amp;Match'!$A746,'Main Data'!$A$1:$A$1001,0),MATCH('Index&amp;Match'!K745,'Main Data'!$A745:$O745,0))</f>
        <v>9023.7800000000007</v>
      </c>
      <c r="L746" s="11">
        <f>INDEX('Main Data'!$A$1:$O$1001,MATCH('Index&amp;Match'!$A746,'Main Data'!$A$1:$A$1001,0),MATCH('Index&amp;Match'!L745,'Main Data'!$A745:$O745,0))</f>
        <v>248.86</v>
      </c>
      <c r="M746" s="11">
        <f>INDEX('Main Data'!$A$1:$O$1001,MATCH('Index&amp;Match'!$A746,'Main Data'!$A$1:$A$1001,0),MATCH('Index&amp;Match'!M745,'Main Data'!$A745:$O745,0))</f>
        <v>115.97</v>
      </c>
      <c r="N746" s="2" t="str">
        <f>INDEX('Main Data'!$A$1:$O$1001,MATCH('Index&amp;Match'!$A746,'Main Data'!$A$1:$A$1001,0),MATCH('Index&amp;Match'!N745,'Main Data'!$A745:$O745,0))</f>
        <v>Yes</v>
      </c>
      <c r="O746" s="2">
        <f>INDEX('Main Data'!$A$1:$O$1001,MATCH('Index&amp;Match'!$A746,'Main Data'!$A$1:$A$1001,0),MATCH('Index&amp;Match'!O745,'Main Data'!$A745:$O745,0))</f>
        <v>38</v>
      </c>
    </row>
    <row r="747" spans="1:15" x14ac:dyDescent="0.3">
      <c r="A747" s="2" t="s">
        <v>804</v>
      </c>
      <c r="B747" s="1">
        <f>INDEX('Main Data'!$A$1:$O$1001,MATCH('Index&amp;Match'!$A747,'Main Data'!$A$1:$A$1001,0),MATCH('Index&amp;Match'!B746,'Main Data'!$A746:$O746,0))</f>
        <v>46195</v>
      </c>
      <c r="C747" s="2" t="str">
        <f>INDEX('Main Data'!$A$1:$O$1001,MATCH('Index&amp;Match'!$A747,'Main Data'!$A$1:$A$1001,0),MATCH('Index&amp;Match'!C746,'Main Data'!$A746:$O746,0))</f>
        <v>Jordan</v>
      </c>
      <c r="D747" s="2" t="str">
        <f>INDEX('Main Data'!$A$1:$O$1001,MATCH('Index&amp;Match'!$A747,'Main Data'!$A$1:$A$1001,0),MATCH('Index&amp;Match'!D746,'Main Data'!$A746:$O746,0))</f>
        <v>BR-012</v>
      </c>
      <c r="E747" s="2" t="str">
        <f>INDEX('Main Data'!$A$1:$O$1001,MATCH('Index&amp;Match'!$A747,'Main Data'!$A$1:$A$1001,0),MATCH('Index&amp;Match'!E746,'Main Data'!$A746:$O746,0))</f>
        <v>East</v>
      </c>
      <c r="F747" s="2" t="str">
        <f>INDEX('Main Data'!$A$1:$O$1001,MATCH('Index&amp;Match'!$A747,'Main Data'!$A$1:$A$1001,0),MATCH('Index&amp;Match'!F746,'Main Data'!$A746:$O746,0))</f>
        <v>Auto Loan</v>
      </c>
      <c r="G747" s="2" t="str">
        <f>INDEX('Main Data'!$A$1:$O$1001,MATCH('Index&amp;Match'!$A747,'Main Data'!$A$1:$A$1001,0),MATCH('Index&amp;Match'!G746,'Main Data'!$A746:$O746,0))</f>
        <v>Social Media</v>
      </c>
      <c r="H747" s="2" t="str">
        <f>INDEX('Main Data'!$A$1:$O$1001,MATCH('Index&amp;Match'!$A747,'Main Data'!$A$1:$A$1001,0),MATCH('Index&amp;Match'!H746,'Main Data'!$A746:$O746,0))</f>
        <v>High Net Worth</v>
      </c>
      <c r="I747" s="2">
        <f>INDEX('Main Data'!$A$1:$O$1001,MATCH('Index&amp;Match'!$A747,'Main Data'!$A$1:$A$1001,0),MATCH('Index&amp;Match'!I746,'Main Data'!$A746:$O746,0))</f>
        <v>46</v>
      </c>
      <c r="J747" s="2">
        <f>INDEX('Main Data'!$A$1:$O$1001,MATCH('Index&amp;Match'!$A747,'Main Data'!$A$1:$A$1001,0),MATCH('Index&amp;Match'!J746,'Main Data'!$A746:$O746,0))</f>
        <v>46</v>
      </c>
      <c r="K747" s="11">
        <f>INDEX('Main Data'!$A$1:$O$1001,MATCH('Index&amp;Match'!$A747,'Main Data'!$A$1:$A$1001,0),MATCH('Index&amp;Match'!K746,'Main Data'!$A746:$O746,0))</f>
        <v>21833.69</v>
      </c>
      <c r="L747" s="11">
        <f>INDEX('Main Data'!$A$1:$O$1001,MATCH('Index&amp;Match'!$A747,'Main Data'!$A$1:$A$1001,0),MATCH('Index&amp;Match'!L746,'Main Data'!$A746:$O746,0))</f>
        <v>114.28</v>
      </c>
      <c r="M747" s="11">
        <f>INDEX('Main Data'!$A$1:$O$1001,MATCH('Index&amp;Match'!$A747,'Main Data'!$A$1:$A$1001,0),MATCH('Index&amp;Match'!M746,'Main Data'!$A746:$O746,0))</f>
        <v>48.75</v>
      </c>
      <c r="N747" s="2" t="str">
        <f>INDEX('Main Data'!$A$1:$O$1001,MATCH('Index&amp;Match'!$A747,'Main Data'!$A$1:$A$1001,0),MATCH('Index&amp;Match'!N746,'Main Data'!$A746:$O746,0))</f>
        <v>Yes</v>
      </c>
      <c r="O747" s="2">
        <f>INDEX('Main Data'!$A$1:$O$1001,MATCH('Index&amp;Match'!$A747,'Main Data'!$A$1:$A$1001,0),MATCH('Index&amp;Match'!O746,'Main Data'!$A746:$O746,0))</f>
        <v>46</v>
      </c>
    </row>
    <row r="748" spans="1:15" x14ac:dyDescent="0.3">
      <c r="A748" s="2" t="s">
        <v>805</v>
      </c>
      <c r="B748" s="1">
        <f>INDEX('Main Data'!$A$1:$O$1001,MATCH('Index&amp;Match'!$A748,'Main Data'!$A$1:$A$1001,0),MATCH('Index&amp;Match'!B747,'Main Data'!$A747:$O747,0))</f>
        <v>45887</v>
      </c>
      <c r="C748" s="2" t="str">
        <f>INDEX('Main Data'!$A$1:$O$1001,MATCH('Index&amp;Match'!$A748,'Main Data'!$A$1:$A$1001,0),MATCH('Index&amp;Match'!C747,'Main Data'!$A747:$O747,0))</f>
        <v>Taylor</v>
      </c>
      <c r="D748" s="2" t="str">
        <f>INDEX('Main Data'!$A$1:$O$1001,MATCH('Index&amp;Match'!$A748,'Main Data'!$A$1:$A$1001,0),MATCH('Index&amp;Match'!D747,'Main Data'!$A747:$O747,0))</f>
        <v>BR-015</v>
      </c>
      <c r="E748" s="2" t="str">
        <f>INDEX('Main Data'!$A$1:$O$1001,MATCH('Index&amp;Match'!$A748,'Main Data'!$A$1:$A$1001,0),MATCH('Index&amp;Match'!E747,'Main Data'!$A747:$O747,0))</f>
        <v>North</v>
      </c>
      <c r="F748" s="2" t="str">
        <f>INDEX('Main Data'!$A$1:$O$1001,MATCH('Index&amp;Match'!$A748,'Main Data'!$A$1:$A$1001,0),MATCH('Index&amp;Match'!F747,'Main Data'!$A747:$O747,0))</f>
        <v>Personal Loan</v>
      </c>
      <c r="G748" s="2" t="str">
        <f>INDEX('Main Data'!$A$1:$O$1001,MATCH('Index&amp;Match'!$A748,'Main Data'!$A$1:$A$1001,0),MATCH('Index&amp;Match'!G747,'Main Data'!$A747:$O747,0))</f>
        <v>Social Media</v>
      </c>
      <c r="H748" s="2" t="str">
        <f>INDEX('Main Data'!$A$1:$O$1001,MATCH('Index&amp;Match'!$A748,'Main Data'!$A$1:$A$1001,0),MATCH('Index&amp;Match'!H747,'Main Data'!$A747:$O747,0))</f>
        <v>Corporate</v>
      </c>
      <c r="I748" s="2">
        <f>INDEX('Main Data'!$A$1:$O$1001,MATCH('Index&amp;Match'!$A748,'Main Data'!$A$1:$A$1001,0),MATCH('Index&amp;Match'!I747,'Main Data'!$A747:$O747,0))</f>
        <v>73</v>
      </c>
      <c r="J748" s="2">
        <f>INDEX('Main Data'!$A$1:$O$1001,MATCH('Index&amp;Match'!$A748,'Main Data'!$A$1:$A$1001,0),MATCH('Index&amp;Match'!J747,'Main Data'!$A747:$O747,0))</f>
        <v>73</v>
      </c>
      <c r="K748" s="11">
        <f>INDEX('Main Data'!$A$1:$O$1001,MATCH('Index&amp;Match'!$A748,'Main Data'!$A$1:$A$1001,0),MATCH('Index&amp;Match'!K747,'Main Data'!$A747:$O747,0))</f>
        <v>25770.75</v>
      </c>
      <c r="L748" s="11">
        <f>INDEX('Main Data'!$A$1:$O$1001,MATCH('Index&amp;Match'!$A748,'Main Data'!$A$1:$A$1001,0),MATCH('Index&amp;Match'!L747,'Main Data'!$A747:$O747,0))</f>
        <v>393.91</v>
      </c>
      <c r="M748" s="11">
        <f>INDEX('Main Data'!$A$1:$O$1001,MATCH('Index&amp;Match'!$A748,'Main Data'!$A$1:$A$1001,0),MATCH('Index&amp;Match'!M747,'Main Data'!$A747:$O747,0))</f>
        <v>134.84</v>
      </c>
      <c r="N748" s="2" t="str">
        <f>INDEX('Main Data'!$A$1:$O$1001,MATCH('Index&amp;Match'!$A748,'Main Data'!$A$1:$A$1001,0),MATCH('Index&amp;Match'!N747,'Main Data'!$A747:$O747,0))</f>
        <v>Yes</v>
      </c>
      <c r="O748" s="2">
        <f>INDEX('Main Data'!$A$1:$O$1001,MATCH('Index&amp;Match'!$A748,'Main Data'!$A$1:$A$1001,0),MATCH('Index&amp;Match'!O747,'Main Data'!$A747:$O747,0))</f>
        <v>73</v>
      </c>
    </row>
    <row r="749" spans="1:15" x14ac:dyDescent="0.3">
      <c r="A749" s="2" t="s">
        <v>806</v>
      </c>
      <c r="B749" s="1">
        <f>INDEX('Main Data'!$A$1:$O$1001,MATCH('Index&amp;Match'!$A749,'Main Data'!$A$1:$A$1001,0),MATCH('Index&amp;Match'!B748,'Main Data'!$A748:$O748,0))</f>
        <v>46164</v>
      </c>
      <c r="C749" s="2" t="str">
        <f>INDEX('Main Data'!$A$1:$O$1001,MATCH('Index&amp;Match'!$A749,'Main Data'!$A$1:$A$1001,0),MATCH('Index&amp;Match'!C748,'Main Data'!$A748:$O748,0))</f>
        <v>Jamie</v>
      </c>
      <c r="D749" s="2" t="str">
        <f>INDEX('Main Data'!$A$1:$O$1001,MATCH('Index&amp;Match'!$A749,'Main Data'!$A$1:$A$1001,0),MATCH('Index&amp;Match'!D748,'Main Data'!$A748:$O748,0))</f>
        <v>BR-008</v>
      </c>
      <c r="E749" s="2" t="str">
        <f>INDEX('Main Data'!$A$1:$O$1001,MATCH('Index&amp;Match'!$A749,'Main Data'!$A$1:$A$1001,0),MATCH('Index&amp;Match'!E748,'Main Data'!$A748:$O748,0))</f>
        <v>West</v>
      </c>
      <c r="F749" s="2" t="str">
        <f>INDEX('Main Data'!$A$1:$O$1001,MATCH('Index&amp;Match'!$A749,'Main Data'!$A$1:$A$1001,0),MATCH('Index&amp;Match'!F748,'Main Data'!$A748:$O748,0))</f>
        <v>Auto Loan</v>
      </c>
      <c r="G749" s="2" t="str">
        <f>INDEX('Main Data'!$A$1:$O$1001,MATCH('Index&amp;Match'!$A749,'Main Data'!$A$1:$A$1001,0),MATCH('Index&amp;Match'!G748,'Main Data'!$A748:$O748,0))</f>
        <v>Social Media</v>
      </c>
      <c r="H749" s="2" t="str">
        <f>INDEX('Main Data'!$A$1:$O$1001,MATCH('Index&amp;Match'!$A749,'Main Data'!$A$1:$A$1001,0),MATCH('Index&amp;Match'!H748,'Main Data'!$A748:$O748,0))</f>
        <v>High Net Worth</v>
      </c>
      <c r="I749" s="2">
        <f>INDEX('Main Data'!$A$1:$O$1001,MATCH('Index&amp;Match'!$A749,'Main Data'!$A$1:$A$1001,0),MATCH('Index&amp;Match'!I748,'Main Data'!$A748:$O748,0))</f>
        <v>27</v>
      </c>
      <c r="J749" s="2">
        <f>INDEX('Main Data'!$A$1:$O$1001,MATCH('Index&amp;Match'!$A749,'Main Data'!$A$1:$A$1001,0),MATCH('Index&amp;Match'!J748,'Main Data'!$A748:$O748,0))</f>
        <v>27</v>
      </c>
      <c r="K749" s="11">
        <f>INDEX('Main Data'!$A$1:$O$1001,MATCH('Index&amp;Match'!$A749,'Main Data'!$A$1:$A$1001,0),MATCH('Index&amp;Match'!K748,'Main Data'!$A748:$O748,0))</f>
        <v>7459.3</v>
      </c>
      <c r="L749" s="11">
        <f>INDEX('Main Data'!$A$1:$O$1001,MATCH('Index&amp;Match'!$A749,'Main Data'!$A$1:$A$1001,0),MATCH('Index&amp;Match'!L748,'Main Data'!$A748:$O748,0))</f>
        <v>405.49</v>
      </c>
      <c r="M749" s="11">
        <f>INDEX('Main Data'!$A$1:$O$1001,MATCH('Index&amp;Match'!$A749,'Main Data'!$A$1:$A$1001,0),MATCH('Index&amp;Match'!M748,'Main Data'!$A748:$O748,0))</f>
        <v>40.04</v>
      </c>
      <c r="N749" s="2" t="str">
        <f>INDEX('Main Data'!$A$1:$O$1001,MATCH('Index&amp;Match'!$A749,'Main Data'!$A$1:$A$1001,0),MATCH('Index&amp;Match'!N748,'Main Data'!$A748:$O748,0))</f>
        <v>Yes</v>
      </c>
      <c r="O749" s="2">
        <f>INDEX('Main Data'!$A$1:$O$1001,MATCH('Index&amp;Match'!$A749,'Main Data'!$A$1:$A$1001,0),MATCH('Index&amp;Match'!O748,'Main Data'!$A748:$O748,0))</f>
        <v>27</v>
      </c>
    </row>
    <row r="750" spans="1:15" x14ac:dyDescent="0.3">
      <c r="A750" s="2" t="s">
        <v>807</v>
      </c>
      <c r="B750" s="1">
        <f>INDEX('Main Data'!$A$1:$O$1001,MATCH('Index&amp;Match'!$A750,'Main Data'!$A$1:$A$1001,0),MATCH('Index&amp;Match'!B749,'Main Data'!$A749:$O749,0))</f>
        <v>46077</v>
      </c>
      <c r="C750" s="2" t="str">
        <f>INDEX('Main Data'!$A$1:$O$1001,MATCH('Index&amp;Match'!$A750,'Main Data'!$A$1:$A$1001,0),MATCH('Index&amp;Match'!C749,'Main Data'!$A749:$O749,0))</f>
        <v>Alex</v>
      </c>
      <c r="D750" s="2" t="str">
        <f>INDEX('Main Data'!$A$1:$O$1001,MATCH('Index&amp;Match'!$A750,'Main Data'!$A$1:$A$1001,0),MATCH('Index&amp;Match'!D749,'Main Data'!$A749:$O749,0))</f>
        <v>BR-002</v>
      </c>
      <c r="E750" s="2" t="str">
        <f>INDEX('Main Data'!$A$1:$O$1001,MATCH('Index&amp;Match'!$A750,'Main Data'!$A$1:$A$1001,0),MATCH('Index&amp;Match'!E749,'Main Data'!$A749:$O749,0))</f>
        <v>Central</v>
      </c>
      <c r="F750" s="2" t="str">
        <f>INDEX('Main Data'!$A$1:$O$1001,MATCH('Index&amp;Match'!$A750,'Main Data'!$A$1:$A$1001,0),MATCH('Index&amp;Match'!F749,'Main Data'!$A749:$O749,0))</f>
        <v>Mortgage</v>
      </c>
      <c r="G750" s="2" t="str">
        <f>INDEX('Main Data'!$A$1:$O$1001,MATCH('Index&amp;Match'!$A750,'Main Data'!$A$1:$A$1001,0),MATCH('Index&amp;Match'!G749,'Main Data'!$A749:$O749,0))</f>
        <v>Walk-in</v>
      </c>
      <c r="H750" s="2" t="str">
        <f>INDEX('Main Data'!$A$1:$O$1001,MATCH('Index&amp;Match'!$A750,'Main Data'!$A$1:$A$1001,0),MATCH('Index&amp;Match'!H749,'Main Data'!$A749:$O749,0))</f>
        <v>Corporate</v>
      </c>
      <c r="I750" s="2">
        <f>INDEX('Main Data'!$A$1:$O$1001,MATCH('Index&amp;Match'!$A750,'Main Data'!$A$1:$A$1001,0),MATCH('Index&amp;Match'!I749,'Main Data'!$A749:$O749,0))</f>
        <v>21</v>
      </c>
      <c r="J750" s="2">
        <f>INDEX('Main Data'!$A$1:$O$1001,MATCH('Index&amp;Match'!$A750,'Main Data'!$A$1:$A$1001,0),MATCH('Index&amp;Match'!J749,'Main Data'!$A749:$O749,0))</f>
        <v>21</v>
      </c>
      <c r="K750" s="11">
        <f>INDEX('Main Data'!$A$1:$O$1001,MATCH('Index&amp;Match'!$A750,'Main Data'!$A$1:$A$1001,0),MATCH('Index&amp;Match'!K749,'Main Data'!$A749:$O749,0))</f>
        <v>21526.78</v>
      </c>
      <c r="L750" s="11">
        <f>INDEX('Main Data'!$A$1:$O$1001,MATCH('Index&amp;Match'!$A750,'Main Data'!$A$1:$A$1001,0),MATCH('Index&amp;Match'!L749,'Main Data'!$A749:$O749,0))</f>
        <v>337.68</v>
      </c>
      <c r="M750" s="11">
        <f>INDEX('Main Data'!$A$1:$O$1001,MATCH('Index&amp;Match'!$A750,'Main Data'!$A$1:$A$1001,0),MATCH('Index&amp;Match'!M749,'Main Data'!$A749:$O749,0))</f>
        <v>161.16999999999999</v>
      </c>
      <c r="N750" s="2" t="str">
        <f>INDEX('Main Data'!$A$1:$O$1001,MATCH('Index&amp;Match'!$A750,'Main Data'!$A$1:$A$1001,0),MATCH('Index&amp;Match'!N749,'Main Data'!$A749:$O749,0))</f>
        <v>Yes</v>
      </c>
      <c r="O750" s="2">
        <f>INDEX('Main Data'!$A$1:$O$1001,MATCH('Index&amp;Match'!$A750,'Main Data'!$A$1:$A$1001,0),MATCH('Index&amp;Match'!O749,'Main Data'!$A749:$O749,0))</f>
        <v>21</v>
      </c>
    </row>
    <row r="751" spans="1:15" x14ac:dyDescent="0.3">
      <c r="A751" s="2" t="s">
        <v>808</v>
      </c>
      <c r="B751" s="1">
        <f>INDEX('Main Data'!$A$1:$O$1001,MATCH('Index&amp;Match'!$A751,'Main Data'!$A$1:$A$1001,0),MATCH('Index&amp;Match'!B750,'Main Data'!$A750:$O750,0))</f>
        <v>46085</v>
      </c>
      <c r="C751" s="2" t="str">
        <f>INDEX('Main Data'!$A$1:$O$1001,MATCH('Index&amp;Match'!$A751,'Main Data'!$A$1:$A$1001,0),MATCH('Index&amp;Match'!C750,'Main Data'!$A750:$O750,0))</f>
        <v>Jordan</v>
      </c>
      <c r="D751" s="2" t="str">
        <f>INDEX('Main Data'!$A$1:$O$1001,MATCH('Index&amp;Match'!$A751,'Main Data'!$A$1:$A$1001,0),MATCH('Index&amp;Match'!D750,'Main Data'!$A750:$O750,0))</f>
        <v>BR-003</v>
      </c>
      <c r="E751" s="2" t="str">
        <f>INDEX('Main Data'!$A$1:$O$1001,MATCH('Index&amp;Match'!$A751,'Main Data'!$A$1:$A$1001,0),MATCH('Index&amp;Match'!E750,'Main Data'!$A750:$O750,0))</f>
        <v>North</v>
      </c>
      <c r="F751" s="2" t="str">
        <f>INDEX('Main Data'!$A$1:$O$1001,MATCH('Index&amp;Match'!$A751,'Main Data'!$A$1:$A$1001,0),MATCH('Index&amp;Match'!F750,'Main Data'!$A750:$O750,0))</f>
        <v>Mortgage</v>
      </c>
      <c r="G751" s="2" t="str">
        <f>INDEX('Main Data'!$A$1:$O$1001,MATCH('Index&amp;Match'!$A751,'Main Data'!$A$1:$A$1001,0),MATCH('Index&amp;Match'!G750,'Main Data'!$A750:$O750,0))</f>
        <v>Website</v>
      </c>
      <c r="H751" s="2" t="str">
        <f>INDEX('Main Data'!$A$1:$O$1001,MATCH('Index&amp;Match'!$A751,'Main Data'!$A$1:$A$1001,0),MATCH('Index&amp;Match'!H750,'Main Data'!$A750:$O750,0))</f>
        <v>High Net Worth</v>
      </c>
      <c r="I751" s="2">
        <f>INDEX('Main Data'!$A$1:$O$1001,MATCH('Index&amp;Match'!$A751,'Main Data'!$A$1:$A$1001,0),MATCH('Index&amp;Match'!I750,'Main Data'!$A750:$O750,0))</f>
        <v>46</v>
      </c>
      <c r="J751" s="2">
        <f>INDEX('Main Data'!$A$1:$O$1001,MATCH('Index&amp;Match'!$A751,'Main Data'!$A$1:$A$1001,0),MATCH('Index&amp;Match'!J750,'Main Data'!$A750:$O750,0))</f>
        <v>46</v>
      </c>
      <c r="K751" s="11">
        <f>INDEX('Main Data'!$A$1:$O$1001,MATCH('Index&amp;Match'!$A751,'Main Data'!$A$1:$A$1001,0),MATCH('Index&amp;Match'!K750,'Main Data'!$A750:$O750,0))</f>
        <v>17416.57</v>
      </c>
      <c r="L751" s="11">
        <f>INDEX('Main Data'!$A$1:$O$1001,MATCH('Index&amp;Match'!$A751,'Main Data'!$A$1:$A$1001,0),MATCH('Index&amp;Match'!L750,'Main Data'!$A750:$O750,0))</f>
        <v>434.06</v>
      </c>
      <c r="M751" s="11">
        <f>INDEX('Main Data'!$A$1:$O$1001,MATCH('Index&amp;Match'!$A751,'Main Data'!$A$1:$A$1001,0),MATCH('Index&amp;Match'!M750,'Main Data'!$A750:$O750,0))</f>
        <v>296.92</v>
      </c>
      <c r="N751" s="2" t="str">
        <f>INDEX('Main Data'!$A$1:$O$1001,MATCH('Index&amp;Match'!$A751,'Main Data'!$A$1:$A$1001,0),MATCH('Index&amp;Match'!N750,'Main Data'!$A750:$O750,0))</f>
        <v>No</v>
      </c>
      <c r="O751" s="2">
        <f>INDEX('Main Data'!$A$1:$O$1001,MATCH('Index&amp;Match'!$A751,'Main Data'!$A$1:$A$1001,0),MATCH('Index&amp;Match'!O750,'Main Data'!$A750:$O750,0))</f>
        <v>46</v>
      </c>
    </row>
    <row r="752" spans="1:15" x14ac:dyDescent="0.3">
      <c r="A752" s="2" t="s">
        <v>809</v>
      </c>
      <c r="B752" s="1">
        <f>INDEX('Main Data'!$A$1:$O$1001,MATCH('Index&amp;Match'!$A752,'Main Data'!$A$1:$A$1001,0),MATCH('Index&amp;Match'!B751,'Main Data'!$A751:$O751,0))</f>
        <v>46059</v>
      </c>
      <c r="C752" s="2" t="str">
        <f>INDEX('Main Data'!$A$1:$O$1001,MATCH('Index&amp;Match'!$A752,'Main Data'!$A$1:$A$1001,0),MATCH('Index&amp;Match'!C751,'Main Data'!$A751:$O751,0))</f>
        <v>Drew</v>
      </c>
      <c r="D752" s="2" t="str">
        <f>INDEX('Main Data'!$A$1:$O$1001,MATCH('Index&amp;Match'!$A752,'Main Data'!$A$1:$A$1001,0),MATCH('Index&amp;Match'!D751,'Main Data'!$A751:$O751,0))</f>
        <v>BR-008</v>
      </c>
      <c r="E752" s="2" t="str">
        <f>INDEX('Main Data'!$A$1:$O$1001,MATCH('Index&amp;Match'!$A752,'Main Data'!$A$1:$A$1001,0),MATCH('Index&amp;Match'!E751,'Main Data'!$A751:$O751,0))</f>
        <v>West</v>
      </c>
      <c r="F752" s="2" t="str">
        <f>INDEX('Main Data'!$A$1:$O$1001,MATCH('Index&amp;Match'!$A752,'Main Data'!$A$1:$A$1001,0),MATCH('Index&amp;Match'!F751,'Main Data'!$A751:$O751,0))</f>
        <v>Mortgage</v>
      </c>
      <c r="G752" s="2" t="str">
        <f>INDEX('Main Data'!$A$1:$O$1001,MATCH('Index&amp;Match'!$A752,'Main Data'!$A$1:$A$1001,0),MATCH('Index&amp;Match'!G751,'Main Data'!$A751:$O751,0))</f>
        <v>Email Campaign</v>
      </c>
      <c r="H752" s="2" t="str">
        <f>INDEX('Main Data'!$A$1:$O$1001,MATCH('Index&amp;Match'!$A752,'Main Data'!$A$1:$A$1001,0),MATCH('Index&amp;Match'!H751,'Main Data'!$A751:$O751,0))</f>
        <v>Retail</v>
      </c>
      <c r="I752" s="2">
        <f>INDEX('Main Data'!$A$1:$O$1001,MATCH('Index&amp;Match'!$A752,'Main Data'!$A$1:$A$1001,0),MATCH('Index&amp;Match'!I751,'Main Data'!$A751:$O751,0))</f>
        <v>43</v>
      </c>
      <c r="J752" s="2">
        <f>INDEX('Main Data'!$A$1:$O$1001,MATCH('Index&amp;Match'!$A752,'Main Data'!$A$1:$A$1001,0),MATCH('Index&amp;Match'!J751,'Main Data'!$A751:$O751,0))</f>
        <v>43</v>
      </c>
      <c r="K752" s="11">
        <f>INDEX('Main Data'!$A$1:$O$1001,MATCH('Index&amp;Match'!$A752,'Main Data'!$A$1:$A$1001,0),MATCH('Index&amp;Match'!K751,'Main Data'!$A751:$O751,0))</f>
        <v>9579.4699999999993</v>
      </c>
      <c r="L752" s="11">
        <f>INDEX('Main Data'!$A$1:$O$1001,MATCH('Index&amp;Match'!$A752,'Main Data'!$A$1:$A$1001,0),MATCH('Index&amp;Match'!L751,'Main Data'!$A751:$O751,0))</f>
        <v>381.82</v>
      </c>
      <c r="M752" s="11">
        <f>INDEX('Main Data'!$A$1:$O$1001,MATCH('Index&amp;Match'!$A752,'Main Data'!$A$1:$A$1001,0),MATCH('Index&amp;Match'!M751,'Main Data'!$A751:$O751,0))</f>
        <v>75.48</v>
      </c>
      <c r="N752" s="2" t="str">
        <f>INDEX('Main Data'!$A$1:$O$1001,MATCH('Index&amp;Match'!$A752,'Main Data'!$A$1:$A$1001,0),MATCH('Index&amp;Match'!N751,'Main Data'!$A751:$O751,0))</f>
        <v>Yes</v>
      </c>
      <c r="O752" s="2">
        <f>INDEX('Main Data'!$A$1:$O$1001,MATCH('Index&amp;Match'!$A752,'Main Data'!$A$1:$A$1001,0),MATCH('Index&amp;Match'!O751,'Main Data'!$A751:$O751,0))</f>
        <v>43</v>
      </c>
    </row>
    <row r="753" spans="1:15" x14ac:dyDescent="0.3">
      <c r="A753" s="2" t="s">
        <v>810</v>
      </c>
      <c r="B753" s="1">
        <f>INDEX('Main Data'!$A$1:$O$1001,MATCH('Index&amp;Match'!$A753,'Main Data'!$A$1:$A$1001,0),MATCH('Index&amp;Match'!B752,'Main Data'!$A752:$O752,0))</f>
        <v>46018</v>
      </c>
      <c r="C753" s="2" t="str">
        <f>INDEX('Main Data'!$A$1:$O$1001,MATCH('Index&amp;Match'!$A753,'Main Data'!$A$1:$A$1001,0),MATCH('Index&amp;Match'!C752,'Main Data'!$A752:$O752,0))</f>
        <v>Casey</v>
      </c>
      <c r="D753" s="2" t="str">
        <f>INDEX('Main Data'!$A$1:$O$1001,MATCH('Index&amp;Match'!$A753,'Main Data'!$A$1:$A$1001,0),MATCH('Index&amp;Match'!D752,'Main Data'!$A752:$O752,0))</f>
        <v>BR-014</v>
      </c>
      <c r="E753" s="2" t="str">
        <f>INDEX('Main Data'!$A$1:$O$1001,MATCH('Index&amp;Match'!$A753,'Main Data'!$A$1:$A$1001,0),MATCH('Index&amp;Match'!E752,'Main Data'!$A752:$O752,0))</f>
        <v>South</v>
      </c>
      <c r="F753" s="2" t="str">
        <f>INDEX('Main Data'!$A$1:$O$1001,MATCH('Index&amp;Match'!$A753,'Main Data'!$A$1:$A$1001,0),MATCH('Index&amp;Match'!F752,'Main Data'!$A752:$O752,0))</f>
        <v>Mortgage</v>
      </c>
      <c r="G753" s="2" t="str">
        <f>INDEX('Main Data'!$A$1:$O$1001,MATCH('Index&amp;Match'!$A753,'Main Data'!$A$1:$A$1001,0),MATCH('Index&amp;Match'!G752,'Main Data'!$A752:$O752,0))</f>
        <v>Social Media</v>
      </c>
      <c r="H753" s="2" t="str">
        <f>INDEX('Main Data'!$A$1:$O$1001,MATCH('Index&amp;Match'!$A753,'Main Data'!$A$1:$A$1001,0),MATCH('Index&amp;Match'!H752,'Main Data'!$A752:$O752,0))</f>
        <v>SME</v>
      </c>
      <c r="I753" s="2">
        <f>INDEX('Main Data'!$A$1:$O$1001,MATCH('Index&amp;Match'!$A753,'Main Data'!$A$1:$A$1001,0),MATCH('Index&amp;Match'!I752,'Main Data'!$A752:$O752,0))</f>
        <v>46</v>
      </c>
      <c r="J753" s="2">
        <f>INDEX('Main Data'!$A$1:$O$1001,MATCH('Index&amp;Match'!$A753,'Main Data'!$A$1:$A$1001,0),MATCH('Index&amp;Match'!J752,'Main Data'!$A752:$O752,0))</f>
        <v>46</v>
      </c>
      <c r="K753" s="11">
        <f>INDEX('Main Data'!$A$1:$O$1001,MATCH('Index&amp;Match'!$A753,'Main Data'!$A$1:$A$1001,0),MATCH('Index&amp;Match'!K752,'Main Data'!$A752:$O752,0))</f>
        <v>838.62</v>
      </c>
      <c r="L753" s="11">
        <f>INDEX('Main Data'!$A$1:$O$1001,MATCH('Index&amp;Match'!$A753,'Main Data'!$A$1:$A$1001,0),MATCH('Index&amp;Match'!L752,'Main Data'!$A752:$O752,0))</f>
        <v>446.99</v>
      </c>
      <c r="M753" s="11">
        <f>INDEX('Main Data'!$A$1:$O$1001,MATCH('Index&amp;Match'!$A753,'Main Data'!$A$1:$A$1001,0),MATCH('Index&amp;Match'!M752,'Main Data'!$A752:$O752,0))</f>
        <v>88.95</v>
      </c>
      <c r="N753" s="2" t="str">
        <f>INDEX('Main Data'!$A$1:$O$1001,MATCH('Index&amp;Match'!$A753,'Main Data'!$A$1:$A$1001,0),MATCH('Index&amp;Match'!N752,'Main Data'!$A752:$O752,0))</f>
        <v>Yes</v>
      </c>
      <c r="O753" s="2">
        <f>INDEX('Main Data'!$A$1:$O$1001,MATCH('Index&amp;Match'!$A753,'Main Data'!$A$1:$A$1001,0),MATCH('Index&amp;Match'!O752,'Main Data'!$A752:$O752,0))</f>
        <v>46</v>
      </c>
    </row>
    <row r="754" spans="1:15" x14ac:dyDescent="0.3">
      <c r="A754" s="2" t="s">
        <v>811</v>
      </c>
      <c r="B754" s="1">
        <f>INDEX('Main Data'!$A$1:$O$1001,MATCH('Index&amp;Match'!$A754,'Main Data'!$A$1:$A$1001,0),MATCH('Index&amp;Match'!B753,'Main Data'!$A753:$O753,0))</f>
        <v>46185</v>
      </c>
      <c r="C754" s="2" t="str">
        <f>INDEX('Main Data'!$A$1:$O$1001,MATCH('Index&amp;Match'!$A754,'Main Data'!$A$1:$A$1001,0),MATCH('Index&amp;Match'!C753,'Main Data'!$A753:$O753,0))</f>
        <v>Jordan</v>
      </c>
      <c r="D754" s="2" t="str">
        <f>INDEX('Main Data'!$A$1:$O$1001,MATCH('Index&amp;Match'!$A754,'Main Data'!$A$1:$A$1001,0),MATCH('Index&amp;Match'!D753,'Main Data'!$A753:$O753,0))</f>
        <v>BR-008</v>
      </c>
      <c r="E754" s="2" t="str">
        <f>INDEX('Main Data'!$A$1:$O$1001,MATCH('Index&amp;Match'!$A754,'Main Data'!$A$1:$A$1001,0),MATCH('Index&amp;Match'!E753,'Main Data'!$A753:$O753,0))</f>
        <v>West</v>
      </c>
      <c r="F754" s="2" t="str">
        <f>INDEX('Main Data'!$A$1:$O$1001,MATCH('Index&amp;Match'!$A754,'Main Data'!$A$1:$A$1001,0),MATCH('Index&amp;Match'!F753,'Main Data'!$A753:$O753,0))</f>
        <v>Credit Card</v>
      </c>
      <c r="G754" s="2" t="str">
        <f>INDEX('Main Data'!$A$1:$O$1001,MATCH('Index&amp;Match'!$A754,'Main Data'!$A$1:$A$1001,0),MATCH('Index&amp;Match'!G753,'Main Data'!$A753:$O753,0))</f>
        <v>Website</v>
      </c>
      <c r="H754" s="2" t="str">
        <f>INDEX('Main Data'!$A$1:$O$1001,MATCH('Index&amp;Match'!$A754,'Main Data'!$A$1:$A$1001,0),MATCH('Index&amp;Match'!H753,'Main Data'!$A753:$O753,0))</f>
        <v>Retail</v>
      </c>
      <c r="I754" s="2">
        <f>INDEX('Main Data'!$A$1:$O$1001,MATCH('Index&amp;Match'!$A754,'Main Data'!$A$1:$A$1001,0),MATCH('Index&amp;Match'!I753,'Main Data'!$A753:$O753,0))</f>
        <v>65</v>
      </c>
      <c r="J754" s="2">
        <f>INDEX('Main Data'!$A$1:$O$1001,MATCH('Index&amp;Match'!$A754,'Main Data'!$A$1:$A$1001,0),MATCH('Index&amp;Match'!J753,'Main Data'!$A753:$O753,0))</f>
        <v>65</v>
      </c>
      <c r="K754" s="11">
        <f>INDEX('Main Data'!$A$1:$O$1001,MATCH('Index&amp;Match'!$A754,'Main Data'!$A$1:$A$1001,0),MATCH('Index&amp;Match'!K753,'Main Data'!$A753:$O753,0))</f>
        <v>23617.38</v>
      </c>
      <c r="L754" s="11">
        <f>INDEX('Main Data'!$A$1:$O$1001,MATCH('Index&amp;Match'!$A754,'Main Data'!$A$1:$A$1001,0),MATCH('Index&amp;Match'!L753,'Main Data'!$A753:$O753,0))</f>
        <v>245.25</v>
      </c>
      <c r="M754" s="11">
        <f>INDEX('Main Data'!$A$1:$O$1001,MATCH('Index&amp;Match'!$A754,'Main Data'!$A$1:$A$1001,0),MATCH('Index&amp;Match'!M753,'Main Data'!$A753:$O753,0))</f>
        <v>9.2899999999999991</v>
      </c>
      <c r="N754" s="2" t="str">
        <f>INDEX('Main Data'!$A$1:$O$1001,MATCH('Index&amp;Match'!$A754,'Main Data'!$A$1:$A$1001,0),MATCH('Index&amp;Match'!N753,'Main Data'!$A753:$O753,0))</f>
        <v>No</v>
      </c>
      <c r="O754" s="2">
        <f>INDEX('Main Data'!$A$1:$O$1001,MATCH('Index&amp;Match'!$A754,'Main Data'!$A$1:$A$1001,0),MATCH('Index&amp;Match'!O753,'Main Data'!$A753:$O753,0))</f>
        <v>65</v>
      </c>
    </row>
    <row r="755" spans="1:15" x14ac:dyDescent="0.3">
      <c r="A755" s="2" t="s">
        <v>812</v>
      </c>
      <c r="B755" s="1">
        <f>INDEX('Main Data'!$A$1:$O$1001,MATCH('Index&amp;Match'!$A755,'Main Data'!$A$1:$A$1001,0),MATCH('Index&amp;Match'!B754,'Main Data'!$A754:$O754,0))</f>
        <v>46231</v>
      </c>
      <c r="C755" s="2" t="str">
        <f>INDEX('Main Data'!$A$1:$O$1001,MATCH('Index&amp;Match'!$A755,'Main Data'!$A$1:$A$1001,0),MATCH('Index&amp;Match'!C754,'Main Data'!$A754:$O754,0))</f>
        <v>Jordan</v>
      </c>
      <c r="D755" s="2" t="str">
        <f>INDEX('Main Data'!$A$1:$O$1001,MATCH('Index&amp;Match'!$A755,'Main Data'!$A$1:$A$1001,0),MATCH('Index&amp;Match'!D754,'Main Data'!$A754:$O754,0))</f>
        <v>BR-014</v>
      </c>
      <c r="E755" s="2" t="str">
        <f>INDEX('Main Data'!$A$1:$O$1001,MATCH('Index&amp;Match'!$A755,'Main Data'!$A$1:$A$1001,0),MATCH('Index&amp;Match'!E754,'Main Data'!$A754:$O754,0))</f>
        <v>Central</v>
      </c>
      <c r="F755" s="2" t="str">
        <f>INDEX('Main Data'!$A$1:$O$1001,MATCH('Index&amp;Match'!$A755,'Main Data'!$A$1:$A$1001,0),MATCH('Index&amp;Match'!F754,'Main Data'!$A754:$O754,0))</f>
        <v>Credit Card</v>
      </c>
      <c r="G755" s="2" t="str">
        <f>INDEX('Main Data'!$A$1:$O$1001,MATCH('Index&amp;Match'!$A755,'Main Data'!$A$1:$A$1001,0),MATCH('Index&amp;Match'!G754,'Main Data'!$A754:$O754,0))</f>
        <v>Referral</v>
      </c>
      <c r="H755" s="2" t="str">
        <f>INDEX('Main Data'!$A$1:$O$1001,MATCH('Index&amp;Match'!$A755,'Main Data'!$A$1:$A$1001,0),MATCH('Index&amp;Match'!H754,'Main Data'!$A754:$O754,0))</f>
        <v>SME</v>
      </c>
      <c r="I755" s="2">
        <f>INDEX('Main Data'!$A$1:$O$1001,MATCH('Index&amp;Match'!$A755,'Main Data'!$A$1:$A$1001,0),MATCH('Index&amp;Match'!I754,'Main Data'!$A754:$O754,0))</f>
        <v>26</v>
      </c>
      <c r="J755" s="2">
        <f>INDEX('Main Data'!$A$1:$O$1001,MATCH('Index&amp;Match'!$A755,'Main Data'!$A$1:$A$1001,0),MATCH('Index&amp;Match'!J754,'Main Data'!$A754:$O754,0))</f>
        <v>26</v>
      </c>
      <c r="K755" s="11">
        <f>INDEX('Main Data'!$A$1:$O$1001,MATCH('Index&amp;Match'!$A755,'Main Data'!$A$1:$A$1001,0),MATCH('Index&amp;Match'!K754,'Main Data'!$A754:$O754,0))</f>
        <v>34439.760000000002</v>
      </c>
      <c r="L755" s="11">
        <f>INDEX('Main Data'!$A$1:$O$1001,MATCH('Index&amp;Match'!$A755,'Main Data'!$A$1:$A$1001,0),MATCH('Index&amp;Match'!L754,'Main Data'!$A754:$O754,0))</f>
        <v>386.42</v>
      </c>
      <c r="M755" s="11">
        <f>INDEX('Main Data'!$A$1:$O$1001,MATCH('Index&amp;Match'!$A755,'Main Data'!$A$1:$A$1001,0),MATCH('Index&amp;Match'!M754,'Main Data'!$A754:$O754,0))</f>
        <v>2.75</v>
      </c>
      <c r="N755" s="2" t="str">
        <f>INDEX('Main Data'!$A$1:$O$1001,MATCH('Index&amp;Match'!$A755,'Main Data'!$A$1:$A$1001,0),MATCH('Index&amp;Match'!N754,'Main Data'!$A754:$O754,0))</f>
        <v>Yes</v>
      </c>
      <c r="O755" s="2">
        <f>INDEX('Main Data'!$A$1:$O$1001,MATCH('Index&amp;Match'!$A755,'Main Data'!$A$1:$A$1001,0),MATCH('Index&amp;Match'!O754,'Main Data'!$A754:$O754,0))</f>
        <v>26</v>
      </c>
    </row>
    <row r="756" spans="1:15" x14ac:dyDescent="0.3">
      <c r="A756" s="2" t="s">
        <v>813</v>
      </c>
      <c r="B756" s="1">
        <f>INDEX('Main Data'!$A$1:$O$1001,MATCH('Index&amp;Match'!$A756,'Main Data'!$A$1:$A$1001,0),MATCH('Index&amp;Match'!B755,'Main Data'!$A755:$O755,0))</f>
        <v>46211</v>
      </c>
      <c r="C756" s="2" t="str">
        <f>INDEX('Main Data'!$A$1:$O$1001,MATCH('Index&amp;Match'!$A756,'Main Data'!$A$1:$A$1001,0),MATCH('Index&amp;Match'!C755,'Main Data'!$A755:$O755,0))</f>
        <v>Jordan</v>
      </c>
      <c r="D756" s="2" t="str">
        <f>INDEX('Main Data'!$A$1:$O$1001,MATCH('Index&amp;Match'!$A756,'Main Data'!$A$1:$A$1001,0),MATCH('Index&amp;Match'!D755,'Main Data'!$A755:$O755,0))</f>
        <v>BR-011</v>
      </c>
      <c r="E756" s="2" t="str">
        <f>INDEX('Main Data'!$A$1:$O$1001,MATCH('Index&amp;Match'!$A756,'Main Data'!$A$1:$A$1001,0),MATCH('Index&amp;Match'!E755,'Main Data'!$A755:$O755,0))</f>
        <v>West</v>
      </c>
      <c r="F756" s="2" t="str">
        <f>INDEX('Main Data'!$A$1:$O$1001,MATCH('Index&amp;Match'!$A756,'Main Data'!$A$1:$A$1001,0),MATCH('Index&amp;Match'!F755,'Main Data'!$A755:$O755,0))</f>
        <v>Wealth Management</v>
      </c>
      <c r="G756" s="2" t="str">
        <f>INDEX('Main Data'!$A$1:$O$1001,MATCH('Index&amp;Match'!$A756,'Main Data'!$A$1:$A$1001,0),MATCH('Index&amp;Match'!G755,'Main Data'!$A755:$O755,0))</f>
        <v>Social Media</v>
      </c>
      <c r="H756" s="2" t="str">
        <f>INDEX('Main Data'!$A$1:$O$1001,MATCH('Index&amp;Match'!$A756,'Main Data'!$A$1:$A$1001,0),MATCH('Index&amp;Match'!H755,'Main Data'!$A755:$O755,0))</f>
        <v>SME</v>
      </c>
      <c r="I756" s="2">
        <f>INDEX('Main Data'!$A$1:$O$1001,MATCH('Index&amp;Match'!$A756,'Main Data'!$A$1:$A$1001,0),MATCH('Index&amp;Match'!I755,'Main Data'!$A755:$O755,0))</f>
        <v>26</v>
      </c>
      <c r="J756" s="2">
        <f>INDEX('Main Data'!$A$1:$O$1001,MATCH('Index&amp;Match'!$A756,'Main Data'!$A$1:$A$1001,0),MATCH('Index&amp;Match'!J755,'Main Data'!$A755:$O755,0))</f>
        <v>26</v>
      </c>
      <c r="K756" s="11">
        <f>INDEX('Main Data'!$A$1:$O$1001,MATCH('Index&amp;Match'!$A756,'Main Data'!$A$1:$A$1001,0),MATCH('Index&amp;Match'!K755,'Main Data'!$A755:$O755,0))</f>
        <v>11700.73</v>
      </c>
      <c r="L756" s="11">
        <f>INDEX('Main Data'!$A$1:$O$1001,MATCH('Index&amp;Match'!$A756,'Main Data'!$A$1:$A$1001,0),MATCH('Index&amp;Match'!L755,'Main Data'!$A755:$O755,0))</f>
        <v>499.89</v>
      </c>
      <c r="M756" s="11">
        <f>INDEX('Main Data'!$A$1:$O$1001,MATCH('Index&amp;Match'!$A756,'Main Data'!$A$1:$A$1001,0),MATCH('Index&amp;Match'!M755,'Main Data'!$A755:$O755,0))</f>
        <v>184.28</v>
      </c>
      <c r="N756" s="2" t="str">
        <f>INDEX('Main Data'!$A$1:$O$1001,MATCH('Index&amp;Match'!$A756,'Main Data'!$A$1:$A$1001,0),MATCH('Index&amp;Match'!N755,'Main Data'!$A755:$O755,0))</f>
        <v>No</v>
      </c>
      <c r="O756" s="2">
        <f>INDEX('Main Data'!$A$1:$O$1001,MATCH('Index&amp;Match'!$A756,'Main Data'!$A$1:$A$1001,0),MATCH('Index&amp;Match'!O755,'Main Data'!$A755:$O755,0))</f>
        <v>26</v>
      </c>
    </row>
    <row r="757" spans="1:15" x14ac:dyDescent="0.3">
      <c r="A757" s="2" t="s">
        <v>814</v>
      </c>
      <c r="B757" s="1">
        <f>INDEX('Main Data'!$A$1:$O$1001,MATCH('Index&amp;Match'!$A757,'Main Data'!$A$1:$A$1001,0),MATCH('Index&amp;Match'!B756,'Main Data'!$A756:$O756,0))</f>
        <v>46208</v>
      </c>
      <c r="C757" s="2" t="str">
        <f>INDEX('Main Data'!$A$1:$O$1001,MATCH('Index&amp;Match'!$A757,'Main Data'!$A$1:$A$1001,0),MATCH('Index&amp;Match'!C756,'Main Data'!$A756:$O756,0))</f>
        <v>Sam</v>
      </c>
      <c r="D757" s="2" t="str">
        <f>INDEX('Main Data'!$A$1:$O$1001,MATCH('Index&amp;Match'!$A757,'Main Data'!$A$1:$A$1001,0),MATCH('Index&amp;Match'!D756,'Main Data'!$A756:$O756,0))</f>
        <v>BR-004</v>
      </c>
      <c r="E757" s="2" t="str">
        <f>INDEX('Main Data'!$A$1:$O$1001,MATCH('Index&amp;Match'!$A757,'Main Data'!$A$1:$A$1001,0),MATCH('Index&amp;Match'!E756,'Main Data'!$A756:$O756,0))</f>
        <v>East</v>
      </c>
      <c r="F757" s="2" t="str">
        <f>INDEX('Main Data'!$A$1:$O$1001,MATCH('Index&amp;Match'!$A757,'Main Data'!$A$1:$A$1001,0),MATCH('Index&amp;Match'!F756,'Main Data'!$A756:$O756,0))</f>
        <v>Personal Loan</v>
      </c>
      <c r="G757" s="2" t="str">
        <f>INDEX('Main Data'!$A$1:$O$1001,MATCH('Index&amp;Match'!$A757,'Main Data'!$A$1:$A$1001,0),MATCH('Index&amp;Match'!G756,'Main Data'!$A756:$O756,0))</f>
        <v>Email Campaign</v>
      </c>
      <c r="H757" s="2" t="str">
        <f>INDEX('Main Data'!$A$1:$O$1001,MATCH('Index&amp;Match'!$A757,'Main Data'!$A$1:$A$1001,0),MATCH('Index&amp;Match'!H756,'Main Data'!$A756:$O756,0))</f>
        <v>Corporate</v>
      </c>
      <c r="I757" s="2">
        <f>INDEX('Main Data'!$A$1:$O$1001,MATCH('Index&amp;Match'!$A757,'Main Data'!$A$1:$A$1001,0),MATCH('Index&amp;Match'!I756,'Main Data'!$A756:$O756,0))</f>
        <v>64</v>
      </c>
      <c r="J757" s="2">
        <f>INDEX('Main Data'!$A$1:$O$1001,MATCH('Index&amp;Match'!$A757,'Main Data'!$A$1:$A$1001,0),MATCH('Index&amp;Match'!J756,'Main Data'!$A756:$O756,0))</f>
        <v>64</v>
      </c>
      <c r="K757" s="11">
        <f>INDEX('Main Data'!$A$1:$O$1001,MATCH('Index&amp;Match'!$A757,'Main Data'!$A$1:$A$1001,0),MATCH('Index&amp;Match'!K756,'Main Data'!$A756:$O756,0))</f>
        <v>7024.44</v>
      </c>
      <c r="L757" s="11">
        <f>INDEX('Main Data'!$A$1:$O$1001,MATCH('Index&amp;Match'!$A757,'Main Data'!$A$1:$A$1001,0),MATCH('Index&amp;Match'!L756,'Main Data'!$A756:$O756,0))</f>
        <v>376.22</v>
      </c>
      <c r="M757" s="11">
        <f>INDEX('Main Data'!$A$1:$O$1001,MATCH('Index&amp;Match'!$A757,'Main Data'!$A$1:$A$1001,0),MATCH('Index&amp;Match'!M756,'Main Data'!$A756:$O756,0))</f>
        <v>25.72</v>
      </c>
      <c r="N757" s="2" t="str">
        <f>INDEX('Main Data'!$A$1:$O$1001,MATCH('Index&amp;Match'!$A757,'Main Data'!$A$1:$A$1001,0),MATCH('Index&amp;Match'!N756,'Main Data'!$A756:$O756,0))</f>
        <v>No</v>
      </c>
      <c r="O757" s="2">
        <f>INDEX('Main Data'!$A$1:$O$1001,MATCH('Index&amp;Match'!$A757,'Main Data'!$A$1:$A$1001,0),MATCH('Index&amp;Match'!O756,'Main Data'!$A756:$O756,0))</f>
        <v>64</v>
      </c>
    </row>
    <row r="758" spans="1:15" x14ac:dyDescent="0.3">
      <c r="A758" s="2" t="s">
        <v>815</v>
      </c>
      <c r="B758" s="1">
        <f>INDEX('Main Data'!$A$1:$O$1001,MATCH('Index&amp;Match'!$A758,'Main Data'!$A$1:$A$1001,0),MATCH('Index&amp;Match'!B757,'Main Data'!$A757:$O757,0))</f>
        <v>46180</v>
      </c>
      <c r="C758" s="2" t="str">
        <f>INDEX('Main Data'!$A$1:$O$1001,MATCH('Index&amp;Match'!$A758,'Main Data'!$A$1:$A$1001,0),MATCH('Index&amp;Match'!C757,'Main Data'!$A757:$O757,0))</f>
        <v>Jordan</v>
      </c>
      <c r="D758" s="2" t="str">
        <f>INDEX('Main Data'!$A$1:$O$1001,MATCH('Index&amp;Match'!$A758,'Main Data'!$A$1:$A$1001,0),MATCH('Index&amp;Match'!D757,'Main Data'!$A757:$O757,0))</f>
        <v>BR-004</v>
      </c>
      <c r="E758" s="2" t="str">
        <f>INDEX('Main Data'!$A$1:$O$1001,MATCH('Index&amp;Match'!$A758,'Main Data'!$A$1:$A$1001,0),MATCH('Index&amp;Match'!E757,'Main Data'!$A757:$O757,0))</f>
        <v>Central</v>
      </c>
      <c r="F758" s="2" t="str">
        <f>INDEX('Main Data'!$A$1:$O$1001,MATCH('Index&amp;Match'!$A758,'Main Data'!$A$1:$A$1001,0),MATCH('Index&amp;Match'!F757,'Main Data'!$A757:$O757,0))</f>
        <v>Auto Loan</v>
      </c>
      <c r="G758" s="2" t="str">
        <f>INDEX('Main Data'!$A$1:$O$1001,MATCH('Index&amp;Match'!$A758,'Main Data'!$A$1:$A$1001,0),MATCH('Index&amp;Match'!G757,'Main Data'!$A757:$O757,0))</f>
        <v>Referral</v>
      </c>
      <c r="H758" s="2" t="str">
        <f>INDEX('Main Data'!$A$1:$O$1001,MATCH('Index&amp;Match'!$A758,'Main Data'!$A$1:$A$1001,0),MATCH('Index&amp;Match'!H757,'Main Data'!$A757:$O757,0))</f>
        <v>SME</v>
      </c>
      <c r="I758" s="2">
        <f>INDEX('Main Data'!$A$1:$O$1001,MATCH('Index&amp;Match'!$A758,'Main Data'!$A$1:$A$1001,0),MATCH('Index&amp;Match'!I757,'Main Data'!$A757:$O757,0))</f>
        <v>28</v>
      </c>
      <c r="J758" s="2">
        <f>INDEX('Main Data'!$A$1:$O$1001,MATCH('Index&amp;Match'!$A758,'Main Data'!$A$1:$A$1001,0),MATCH('Index&amp;Match'!J757,'Main Data'!$A757:$O757,0))</f>
        <v>28</v>
      </c>
      <c r="K758" s="11">
        <f>INDEX('Main Data'!$A$1:$O$1001,MATCH('Index&amp;Match'!$A758,'Main Data'!$A$1:$A$1001,0),MATCH('Index&amp;Match'!K757,'Main Data'!$A757:$O757,0))</f>
        <v>44408.62</v>
      </c>
      <c r="L758" s="11">
        <f>INDEX('Main Data'!$A$1:$O$1001,MATCH('Index&amp;Match'!$A758,'Main Data'!$A$1:$A$1001,0),MATCH('Index&amp;Match'!L757,'Main Data'!$A757:$O757,0))</f>
        <v>101.38</v>
      </c>
      <c r="M758" s="11">
        <f>INDEX('Main Data'!$A$1:$O$1001,MATCH('Index&amp;Match'!$A758,'Main Data'!$A$1:$A$1001,0),MATCH('Index&amp;Match'!M757,'Main Data'!$A757:$O757,0))</f>
        <v>89.16</v>
      </c>
      <c r="N758" s="2" t="str">
        <f>INDEX('Main Data'!$A$1:$O$1001,MATCH('Index&amp;Match'!$A758,'Main Data'!$A$1:$A$1001,0),MATCH('Index&amp;Match'!N757,'Main Data'!$A757:$O757,0))</f>
        <v>No</v>
      </c>
      <c r="O758" s="2">
        <f>INDEX('Main Data'!$A$1:$O$1001,MATCH('Index&amp;Match'!$A758,'Main Data'!$A$1:$A$1001,0),MATCH('Index&amp;Match'!O757,'Main Data'!$A757:$O757,0))</f>
        <v>28</v>
      </c>
    </row>
    <row r="759" spans="1:15" x14ac:dyDescent="0.3">
      <c r="A759" s="2" t="s">
        <v>816</v>
      </c>
      <c r="B759" s="1">
        <f>INDEX('Main Data'!$A$1:$O$1001,MATCH('Index&amp;Match'!$A759,'Main Data'!$A$1:$A$1001,0),MATCH('Index&amp;Match'!B758,'Main Data'!$A758:$O758,0))</f>
        <v>46217</v>
      </c>
      <c r="C759" s="2" t="str">
        <f>INDEX('Main Data'!$A$1:$O$1001,MATCH('Index&amp;Match'!$A759,'Main Data'!$A$1:$A$1001,0),MATCH('Index&amp;Match'!C758,'Main Data'!$A758:$O758,0))</f>
        <v>Taylor</v>
      </c>
      <c r="D759" s="2" t="str">
        <f>INDEX('Main Data'!$A$1:$O$1001,MATCH('Index&amp;Match'!$A759,'Main Data'!$A$1:$A$1001,0),MATCH('Index&amp;Match'!D758,'Main Data'!$A758:$O758,0))</f>
        <v>BR-005</v>
      </c>
      <c r="E759" s="2" t="str">
        <f>INDEX('Main Data'!$A$1:$O$1001,MATCH('Index&amp;Match'!$A759,'Main Data'!$A$1:$A$1001,0),MATCH('Index&amp;Match'!E758,'Main Data'!$A758:$O758,0))</f>
        <v>South</v>
      </c>
      <c r="F759" s="2" t="str">
        <f>INDEX('Main Data'!$A$1:$O$1001,MATCH('Index&amp;Match'!$A759,'Main Data'!$A$1:$A$1001,0),MATCH('Index&amp;Match'!F758,'Main Data'!$A758:$O758,0))</f>
        <v>Auto Loan</v>
      </c>
      <c r="G759" s="2" t="str">
        <f>INDEX('Main Data'!$A$1:$O$1001,MATCH('Index&amp;Match'!$A759,'Main Data'!$A$1:$A$1001,0),MATCH('Index&amp;Match'!G758,'Main Data'!$A758:$O758,0))</f>
        <v>Referral</v>
      </c>
      <c r="H759" s="2" t="str">
        <f>INDEX('Main Data'!$A$1:$O$1001,MATCH('Index&amp;Match'!$A759,'Main Data'!$A$1:$A$1001,0),MATCH('Index&amp;Match'!H758,'Main Data'!$A758:$O758,0))</f>
        <v>Retail</v>
      </c>
      <c r="I759" s="2">
        <f>INDEX('Main Data'!$A$1:$O$1001,MATCH('Index&amp;Match'!$A759,'Main Data'!$A$1:$A$1001,0),MATCH('Index&amp;Match'!I758,'Main Data'!$A758:$O758,0))</f>
        <v>44</v>
      </c>
      <c r="J759" s="2">
        <f>INDEX('Main Data'!$A$1:$O$1001,MATCH('Index&amp;Match'!$A759,'Main Data'!$A$1:$A$1001,0),MATCH('Index&amp;Match'!J758,'Main Data'!$A758:$O758,0))</f>
        <v>44</v>
      </c>
      <c r="K759" s="11">
        <f>INDEX('Main Data'!$A$1:$O$1001,MATCH('Index&amp;Match'!$A759,'Main Data'!$A$1:$A$1001,0),MATCH('Index&amp;Match'!K758,'Main Data'!$A758:$O758,0))</f>
        <v>14113.73</v>
      </c>
      <c r="L759" s="11">
        <f>INDEX('Main Data'!$A$1:$O$1001,MATCH('Index&amp;Match'!$A759,'Main Data'!$A$1:$A$1001,0),MATCH('Index&amp;Match'!L758,'Main Data'!$A758:$O758,0))</f>
        <v>283.24</v>
      </c>
      <c r="M759" s="11">
        <f>INDEX('Main Data'!$A$1:$O$1001,MATCH('Index&amp;Match'!$A759,'Main Data'!$A$1:$A$1001,0),MATCH('Index&amp;Match'!M758,'Main Data'!$A758:$O758,0))</f>
        <v>163.07</v>
      </c>
      <c r="N759" s="2" t="str">
        <f>INDEX('Main Data'!$A$1:$O$1001,MATCH('Index&amp;Match'!$A759,'Main Data'!$A$1:$A$1001,0),MATCH('Index&amp;Match'!N758,'Main Data'!$A758:$O758,0))</f>
        <v>Yes</v>
      </c>
      <c r="O759" s="2">
        <f>INDEX('Main Data'!$A$1:$O$1001,MATCH('Index&amp;Match'!$A759,'Main Data'!$A$1:$A$1001,0),MATCH('Index&amp;Match'!O758,'Main Data'!$A758:$O758,0))</f>
        <v>44</v>
      </c>
    </row>
    <row r="760" spans="1:15" x14ac:dyDescent="0.3">
      <c r="A760" s="2" t="s">
        <v>817</v>
      </c>
      <c r="B760" s="1">
        <f>INDEX('Main Data'!$A$1:$O$1001,MATCH('Index&amp;Match'!$A760,'Main Data'!$A$1:$A$1001,0),MATCH('Index&amp;Match'!B759,'Main Data'!$A759:$O759,0))</f>
        <v>45976</v>
      </c>
      <c r="C760" s="2" t="str">
        <f>INDEX('Main Data'!$A$1:$O$1001,MATCH('Index&amp;Match'!$A760,'Main Data'!$A$1:$A$1001,0),MATCH('Index&amp;Match'!C759,'Main Data'!$A759:$O759,0))</f>
        <v>Alex</v>
      </c>
      <c r="D760" s="2" t="str">
        <f>INDEX('Main Data'!$A$1:$O$1001,MATCH('Index&amp;Match'!$A760,'Main Data'!$A$1:$A$1001,0),MATCH('Index&amp;Match'!D759,'Main Data'!$A759:$O759,0))</f>
        <v>BR-006</v>
      </c>
      <c r="E760" s="2" t="str">
        <f>INDEX('Main Data'!$A$1:$O$1001,MATCH('Index&amp;Match'!$A760,'Main Data'!$A$1:$A$1001,0),MATCH('Index&amp;Match'!E759,'Main Data'!$A759:$O759,0))</f>
        <v>East</v>
      </c>
      <c r="F760" s="2" t="str">
        <f>INDEX('Main Data'!$A$1:$O$1001,MATCH('Index&amp;Match'!$A760,'Main Data'!$A$1:$A$1001,0),MATCH('Index&amp;Match'!F759,'Main Data'!$A759:$O759,0))</f>
        <v>Credit Card</v>
      </c>
      <c r="G760" s="2" t="str">
        <f>INDEX('Main Data'!$A$1:$O$1001,MATCH('Index&amp;Match'!$A760,'Main Data'!$A$1:$A$1001,0),MATCH('Index&amp;Match'!G759,'Main Data'!$A759:$O759,0))</f>
        <v>Email Campaign</v>
      </c>
      <c r="H760" s="2" t="str">
        <f>INDEX('Main Data'!$A$1:$O$1001,MATCH('Index&amp;Match'!$A760,'Main Data'!$A$1:$A$1001,0),MATCH('Index&amp;Match'!H759,'Main Data'!$A759:$O759,0))</f>
        <v>Retail</v>
      </c>
      <c r="I760" s="2">
        <f>INDEX('Main Data'!$A$1:$O$1001,MATCH('Index&amp;Match'!$A760,'Main Data'!$A$1:$A$1001,0),MATCH('Index&amp;Match'!I759,'Main Data'!$A759:$O759,0))</f>
        <v>42</v>
      </c>
      <c r="J760" s="2">
        <f>INDEX('Main Data'!$A$1:$O$1001,MATCH('Index&amp;Match'!$A760,'Main Data'!$A$1:$A$1001,0),MATCH('Index&amp;Match'!J759,'Main Data'!$A759:$O759,0))</f>
        <v>42</v>
      </c>
      <c r="K760" s="11">
        <f>INDEX('Main Data'!$A$1:$O$1001,MATCH('Index&amp;Match'!$A760,'Main Data'!$A$1:$A$1001,0),MATCH('Index&amp;Match'!K759,'Main Data'!$A759:$O759,0))</f>
        <v>11568.82</v>
      </c>
      <c r="L760" s="11">
        <f>INDEX('Main Data'!$A$1:$O$1001,MATCH('Index&amp;Match'!$A760,'Main Data'!$A$1:$A$1001,0),MATCH('Index&amp;Match'!L759,'Main Data'!$A759:$O759,0))</f>
        <v>314.31</v>
      </c>
      <c r="M760" s="11">
        <f>INDEX('Main Data'!$A$1:$O$1001,MATCH('Index&amp;Match'!$A760,'Main Data'!$A$1:$A$1001,0),MATCH('Index&amp;Match'!M759,'Main Data'!$A759:$O759,0))</f>
        <v>177.86</v>
      </c>
      <c r="N760" s="2" t="str">
        <f>INDEX('Main Data'!$A$1:$O$1001,MATCH('Index&amp;Match'!$A760,'Main Data'!$A$1:$A$1001,0),MATCH('Index&amp;Match'!N759,'Main Data'!$A759:$O759,0))</f>
        <v>No</v>
      </c>
      <c r="O760" s="2">
        <f>INDEX('Main Data'!$A$1:$O$1001,MATCH('Index&amp;Match'!$A760,'Main Data'!$A$1:$A$1001,0),MATCH('Index&amp;Match'!O759,'Main Data'!$A759:$O759,0))</f>
        <v>42</v>
      </c>
    </row>
    <row r="761" spans="1:15" x14ac:dyDescent="0.3">
      <c r="A761" s="2" t="s">
        <v>818</v>
      </c>
      <c r="B761" s="1">
        <f>INDEX('Main Data'!$A$1:$O$1001,MATCH('Index&amp;Match'!$A761,'Main Data'!$A$1:$A$1001,0),MATCH('Index&amp;Match'!B760,'Main Data'!$A760:$O760,0))</f>
        <v>46209</v>
      </c>
      <c r="C761" s="2" t="str">
        <f>INDEX('Main Data'!$A$1:$O$1001,MATCH('Index&amp;Match'!$A761,'Main Data'!$A$1:$A$1001,0),MATCH('Index&amp;Match'!C760,'Main Data'!$A760:$O760,0))</f>
        <v>Jamie</v>
      </c>
      <c r="D761" s="2" t="str">
        <f>INDEX('Main Data'!$A$1:$O$1001,MATCH('Index&amp;Match'!$A761,'Main Data'!$A$1:$A$1001,0),MATCH('Index&amp;Match'!D760,'Main Data'!$A760:$O760,0))</f>
        <v>BR-005</v>
      </c>
      <c r="E761" s="2" t="str">
        <f>INDEX('Main Data'!$A$1:$O$1001,MATCH('Index&amp;Match'!$A761,'Main Data'!$A$1:$A$1001,0),MATCH('Index&amp;Match'!E760,'Main Data'!$A760:$O760,0))</f>
        <v>West</v>
      </c>
      <c r="F761" s="2" t="str">
        <f>INDEX('Main Data'!$A$1:$O$1001,MATCH('Index&amp;Match'!$A761,'Main Data'!$A$1:$A$1001,0),MATCH('Index&amp;Match'!F760,'Main Data'!$A760:$O760,0))</f>
        <v>Auto Loan</v>
      </c>
      <c r="G761" s="2" t="str">
        <f>INDEX('Main Data'!$A$1:$O$1001,MATCH('Index&amp;Match'!$A761,'Main Data'!$A$1:$A$1001,0),MATCH('Index&amp;Match'!G760,'Main Data'!$A760:$O760,0))</f>
        <v>Social Media</v>
      </c>
      <c r="H761" s="2" t="str">
        <f>INDEX('Main Data'!$A$1:$O$1001,MATCH('Index&amp;Match'!$A761,'Main Data'!$A$1:$A$1001,0),MATCH('Index&amp;Match'!H760,'Main Data'!$A760:$O760,0))</f>
        <v>High Net Worth</v>
      </c>
      <c r="I761" s="2">
        <f>INDEX('Main Data'!$A$1:$O$1001,MATCH('Index&amp;Match'!$A761,'Main Data'!$A$1:$A$1001,0),MATCH('Index&amp;Match'!I760,'Main Data'!$A760:$O760,0))</f>
        <v>39</v>
      </c>
      <c r="J761" s="2">
        <f>INDEX('Main Data'!$A$1:$O$1001,MATCH('Index&amp;Match'!$A761,'Main Data'!$A$1:$A$1001,0),MATCH('Index&amp;Match'!J760,'Main Data'!$A760:$O760,0))</f>
        <v>39</v>
      </c>
      <c r="K761" s="11">
        <f>INDEX('Main Data'!$A$1:$O$1001,MATCH('Index&amp;Match'!$A761,'Main Data'!$A$1:$A$1001,0),MATCH('Index&amp;Match'!K760,'Main Data'!$A760:$O760,0))</f>
        <v>42926.3</v>
      </c>
      <c r="L761" s="11">
        <f>INDEX('Main Data'!$A$1:$O$1001,MATCH('Index&amp;Match'!$A761,'Main Data'!$A$1:$A$1001,0),MATCH('Index&amp;Match'!L760,'Main Data'!$A760:$O760,0))</f>
        <v>128.38999999999999</v>
      </c>
      <c r="M761" s="11">
        <f>INDEX('Main Data'!$A$1:$O$1001,MATCH('Index&amp;Match'!$A761,'Main Data'!$A$1:$A$1001,0),MATCH('Index&amp;Match'!M760,'Main Data'!$A760:$O760,0))</f>
        <v>155.82</v>
      </c>
      <c r="N761" s="2" t="str">
        <f>INDEX('Main Data'!$A$1:$O$1001,MATCH('Index&amp;Match'!$A761,'Main Data'!$A$1:$A$1001,0),MATCH('Index&amp;Match'!N760,'Main Data'!$A760:$O760,0))</f>
        <v>No</v>
      </c>
      <c r="O761" s="2">
        <f>INDEX('Main Data'!$A$1:$O$1001,MATCH('Index&amp;Match'!$A761,'Main Data'!$A$1:$A$1001,0),MATCH('Index&amp;Match'!O760,'Main Data'!$A760:$O760,0))</f>
        <v>39</v>
      </c>
    </row>
    <row r="762" spans="1:15" x14ac:dyDescent="0.3">
      <c r="A762" s="2" t="s">
        <v>819</v>
      </c>
      <c r="B762" s="1">
        <f>INDEX('Main Data'!$A$1:$O$1001,MATCH('Index&amp;Match'!$A762,'Main Data'!$A$1:$A$1001,0),MATCH('Index&amp;Match'!B761,'Main Data'!$A761:$O761,0))</f>
        <v>46164</v>
      </c>
      <c r="C762" s="2" t="str">
        <f>INDEX('Main Data'!$A$1:$O$1001,MATCH('Index&amp;Match'!$A762,'Main Data'!$A$1:$A$1001,0),MATCH('Index&amp;Match'!C761,'Main Data'!$A761:$O761,0))</f>
        <v>Morgan</v>
      </c>
      <c r="D762" s="2" t="str">
        <f>INDEX('Main Data'!$A$1:$O$1001,MATCH('Index&amp;Match'!$A762,'Main Data'!$A$1:$A$1001,0),MATCH('Index&amp;Match'!D761,'Main Data'!$A761:$O761,0))</f>
        <v>BR-014</v>
      </c>
      <c r="E762" s="2" t="str">
        <f>INDEX('Main Data'!$A$1:$O$1001,MATCH('Index&amp;Match'!$A762,'Main Data'!$A$1:$A$1001,0),MATCH('Index&amp;Match'!E761,'Main Data'!$A761:$O761,0))</f>
        <v>Central</v>
      </c>
      <c r="F762" s="2" t="str">
        <f>INDEX('Main Data'!$A$1:$O$1001,MATCH('Index&amp;Match'!$A762,'Main Data'!$A$1:$A$1001,0),MATCH('Index&amp;Match'!F761,'Main Data'!$A761:$O761,0))</f>
        <v>Credit Card</v>
      </c>
      <c r="G762" s="2" t="str">
        <f>INDEX('Main Data'!$A$1:$O$1001,MATCH('Index&amp;Match'!$A762,'Main Data'!$A$1:$A$1001,0),MATCH('Index&amp;Match'!G761,'Main Data'!$A761:$O761,0))</f>
        <v>Walk-in</v>
      </c>
      <c r="H762" s="2" t="str">
        <f>INDEX('Main Data'!$A$1:$O$1001,MATCH('Index&amp;Match'!$A762,'Main Data'!$A$1:$A$1001,0),MATCH('Index&amp;Match'!H761,'Main Data'!$A761:$O761,0))</f>
        <v>Retail</v>
      </c>
      <c r="I762" s="2">
        <f>INDEX('Main Data'!$A$1:$O$1001,MATCH('Index&amp;Match'!$A762,'Main Data'!$A$1:$A$1001,0),MATCH('Index&amp;Match'!I761,'Main Data'!$A761:$O761,0))</f>
        <v>57</v>
      </c>
      <c r="J762" s="2">
        <f>INDEX('Main Data'!$A$1:$O$1001,MATCH('Index&amp;Match'!$A762,'Main Data'!$A$1:$A$1001,0),MATCH('Index&amp;Match'!J761,'Main Data'!$A761:$O761,0))</f>
        <v>57</v>
      </c>
      <c r="K762" s="11">
        <f>INDEX('Main Data'!$A$1:$O$1001,MATCH('Index&amp;Match'!$A762,'Main Data'!$A$1:$A$1001,0),MATCH('Index&amp;Match'!K761,'Main Data'!$A761:$O761,0))</f>
        <v>40946.800000000003</v>
      </c>
      <c r="L762" s="11">
        <f>INDEX('Main Data'!$A$1:$O$1001,MATCH('Index&amp;Match'!$A762,'Main Data'!$A$1:$A$1001,0),MATCH('Index&amp;Match'!L761,'Main Data'!$A761:$O761,0))</f>
        <v>483.3</v>
      </c>
      <c r="M762" s="11">
        <f>INDEX('Main Data'!$A$1:$O$1001,MATCH('Index&amp;Match'!$A762,'Main Data'!$A$1:$A$1001,0),MATCH('Index&amp;Match'!M761,'Main Data'!$A761:$O761,0))</f>
        <v>113.01</v>
      </c>
      <c r="N762" s="2" t="str">
        <f>INDEX('Main Data'!$A$1:$O$1001,MATCH('Index&amp;Match'!$A762,'Main Data'!$A$1:$A$1001,0),MATCH('Index&amp;Match'!N761,'Main Data'!$A761:$O761,0))</f>
        <v>Yes</v>
      </c>
      <c r="O762" s="2">
        <f>INDEX('Main Data'!$A$1:$O$1001,MATCH('Index&amp;Match'!$A762,'Main Data'!$A$1:$A$1001,0),MATCH('Index&amp;Match'!O761,'Main Data'!$A761:$O761,0))</f>
        <v>57</v>
      </c>
    </row>
    <row r="763" spans="1:15" x14ac:dyDescent="0.3">
      <c r="A763" s="2" t="s">
        <v>820</v>
      </c>
      <c r="B763" s="1">
        <f>INDEX('Main Data'!$A$1:$O$1001,MATCH('Index&amp;Match'!$A763,'Main Data'!$A$1:$A$1001,0),MATCH('Index&amp;Match'!B762,'Main Data'!$A762:$O762,0))</f>
        <v>46121</v>
      </c>
      <c r="C763" s="2" t="str">
        <f>INDEX('Main Data'!$A$1:$O$1001,MATCH('Index&amp;Match'!$A763,'Main Data'!$A$1:$A$1001,0),MATCH('Index&amp;Match'!C762,'Main Data'!$A762:$O762,0))</f>
        <v>Jordan</v>
      </c>
      <c r="D763" s="2" t="str">
        <f>INDEX('Main Data'!$A$1:$O$1001,MATCH('Index&amp;Match'!$A763,'Main Data'!$A$1:$A$1001,0),MATCH('Index&amp;Match'!D762,'Main Data'!$A762:$O762,0))</f>
        <v>BR-015</v>
      </c>
      <c r="E763" s="2" t="str">
        <f>INDEX('Main Data'!$A$1:$O$1001,MATCH('Index&amp;Match'!$A763,'Main Data'!$A$1:$A$1001,0),MATCH('Index&amp;Match'!E762,'Main Data'!$A762:$O762,0))</f>
        <v>South</v>
      </c>
      <c r="F763" s="2" t="str">
        <f>INDEX('Main Data'!$A$1:$O$1001,MATCH('Index&amp;Match'!$A763,'Main Data'!$A$1:$A$1001,0),MATCH('Index&amp;Match'!F762,'Main Data'!$A762:$O762,0))</f>
        <v>Wealth Management</v>
      </c>
      <c r="G763" s="2" t="str">
        <f>INDEX('Main Data'!$A$1:$O$1001,MATCH('Index&amp;Match'!$A763,'Main Data'!$A$1:$A$1001,0),MATCH('Index&amp;Match'!G762,'Main Data'!$A762:$O762,0))</f>
        <v>Email Campaign</v>
      </c>
      <c r="H763" s="2" t="str">
        <f>INDEX('Main Data'!$A$1:$O$1001,MATCH('Index&amp;Match'!$A763,'Main Data'!$A$1:$A$1001,0),MATCH('Index&amp;Match'!H762,'Main Data'!$A762:$O762,0))</f>
        <v>High Net Worth</v>
      </c>
      <c r="I763" s="2">
        <f>INDEX('Main Data'!$A$1:$O$1001,MATCH('Index&amp;Match'!$A763,'Main Data'!$A$1:$A$1001,0),MATCH('Index&amp;Match'!I762,'Main Data'!$A762:$O762,0))</f>
        <v>38</v>
      </c>
      <c r="J763" s="2">
        <f>INDEX('Main Data'!$A$1:$O$1001,MATCH('Index&amp;Match'!$A763,'Main Data'!$A$1:$A$1001,0),MATCH('Index&amp;Match'!J762,'Main Data'!$A762:$O762,0))</f>
        <v>38</v>
      </c>
      <c r="K763" s="11">
        <f>INDEX('Main Data'!$A$1:$O$1001,MATCH('Index&amp;Match'!$A763,'Main Data'!$A$1:$A$1001,0),MATCH('Index&amp;Match'!K762,'Main Data'!$A762:$O762,0))</f>
        <v>22693.15</v>
      </c>
      <c r="L763" s="11">
        <f>INDEX('Main Data'!$A$1:$O$1001,MATCH('Index&amp;Match'!$A763,'Main Data'!$A$1:$A$1001,0),MATCH('Index&amp;Match'!L762,'Main Data'!$A762:$O762,0))</f>
        <v>129.01</v>
      </c>
      <c r="M763" s="11">
        <f>INDEX('Main Data'!$A$1:$O$1001,MATCH('Index&amp;Match'!$A763,'Main Data'!$A$1:$A$1001,0),MATCH('Index&amp;Match'!M762,'Main Data'!$A762:$O762,0))</f>
        <v>200.91</v>
      </c>
      <c r="N763" s="2" t="str">
        <f>INDEX('Main Data'!$A$1:$O$1001,MATCH('Index&amp;Match'!$A763,'Main Data'!$A$1:$A$1001,0),MATCH('Index&amp;Match'!N762,'Main Data'!$A762:$O762,0))</f>
        <v>Yes</v>
      </c>
      <c r="O763" s="2">
        <f>INDEX('Main Data'!$A$1:$O$1001,MATCH('Index&amp;Match'!$A763,'Main Data'!$A$1:$A$1001,0),MATCH('Index&amp;Match'!O762,'Main Data'!$A762:$O762,0))</f>
        <v>38</v>
      </c>
    </row>
    <row r="764" spans="1:15" x14ac:dyDescent="0.3">
      <c r="A764" s="2" t="s">
        <v>821</v>
      </c>
      <c r="B764" s="1">
        <f>INDEX('Main Data'!$A$1:$O$1001,MATCH('Index&amp;Match'!$A764,'Main Data'!$A$1:$A$1001,0),MATCH('Index&amp;Match'!B763,'Main Data'!$A763:$O763,0))</f>
        <v>45900</v>
      </c>
      <c r="C764" s="2" t="str">
        <f>INDEX('Main Data'!$A$1:$O$1001,MATCH('Index&amp;Match'!$A764,'Main Data'!$A$1:$A$1001,0),MATCH('Index&amp;Match'!C763,'Main Data'!$A763:$O763,0))</f>
        <v>Casey</v>
      </c>
      <c r="D764" s="2" t="str">
        <f>INDEX('Main Data'!$A$1:$O$1001,MATCH('Index&amp;Match'!$A764,'Main Data'!$A$1:$A$1001,0),MATCH('Index&amp;Match'!D763,'Main Data'!$A763:$O763,0))</f>
        <v>BR-007</v>
      </c>
      <c r="E764" s="2" t="str">
        <f>INDEX('Main Data'!$A$1:$O$1001,MATCH('Index&amp;Match'!$A764,'Main Data'!$A$1:$A$1001,0),MATCH('Index&amp;Match'!E763,'Main Data'!$A763:$O763,0))</f>
        <v>East</v>
      </c>
      <c r="F764" s="2" t="str">
        <f>INDEX('Main Data'!$A$1:$O$1001,MATCH('Index&amp;Match'!$A764,'Main Data'!$A$1:$A$1001,0),MATCH('Index&amp;Match'!F763,'Main Data'!$A763:$O763,0))</f>
        <v>Personal Loan</v>
      </c>
      <c r="G764" s="2" t="str">
        <f>INDEX('Main Data'!$A$1:$O$1001,MATCH('Index&amp;Match'!$A764,'Main Data'!$A$1:$A$1001,0),MATCH('Index&amp;Match'!G763,'Main Data'!$A763:$O763,0))</f>
        <v>Email Campaign</v>
      </c>
      <c r="H764" s="2" t="str">
        <f>INDEX('Main Data'!$A$1:$O$1001,MATCH('Index&amp;Match'!$A764,'Main Data'!$A$1:$A$1001,0),MATCH('Index&amp;Match'!H763,'Main Data'!$A763:$O763,0))</f>
        <v>SME</v>
      </c>
      <c r="I764" s="2">
        <f>INDEX('Main Data'!$A$1:$O$1001,MATCH('Index&amp;Match'!$A764,'Main Data'!$A$1:$A$1001,0),MATCH('Index&amp;Match'!I763,'Main Data'!$A763:$O763,0))</f>
        <v>51</v>
      </c>
      <c r="J764" s="2">
        <f>INDEX('Main Data'!$A$1:$O$1001,MATCH('Index&amp;Match'!$A764,'Main Data'!$A$1:$A$1001,0),MATCH('Index&amp;Match'!J763,'Main Data'!$A763:$O763,0))</f>
        <v>51</v>
      </c>
      <c r="K764" s="11">
        <f>INDEX('Main Data'!$A$1:$O$1001,MATCH('Index&amp;Match'!$A764,'Main Data'!$A$1:$A$1001,0),MATCH('Index&amp;Match'!K763,'Main Data'!$A763:$O763,0))</f>
        <v>24717.32</v>
      </c>
      <c r="L764" s="11">
        <f>INDEX('Main Data'!$A$1:$O$1001,MATCH('Index&amp;Match'!$A764,'Main Data'!$A$1:$A$1001,0),MATCH('Index&amp;Match'!L763,'Main Data'!$A763:$O763,0))</f>
        <v>129.9</v>
      </c>
      <c r="M764" s="11">
        <f>INDEX('Main Data'!$A$1:$O$1001,MATCH('Index&amp;Match'!$A764,'Main Data'!$A$1:$A$1001,0),MATCH('Index&amp;Match'!M763,'Main Data'!$A763:$O763,0))</f>
        <v>192.28</v>
      </c>
      <c r="N764" s="2" t="str">
        <f>INDEX('Main Data'!$A$1:$O$1001,MATCH('Index&amp;Match'!$A764,'Main Data'!$A$1:$A$1001,0),MATCH('Index&amp;Match'!N763,'Main Data'!$A763:$O763,0))</f>
        <v>Yes</v>
      </c>
      <c r="O764" s="2">
        <f>INDEX('Main Data'!$A$1:$O$1001,MATCH('Index&amp;Match'!$A764,'Main Data'!$A$1:$A$1001,0),MATCH('Index&amp;Match'!O763,'Main Data'!$A763:$O763,0))</f>
        <v>51</v>
      </c>
    </row>
    <row r="765" spans="1:15" x14ac:dyDescent="0.3">
      <c r="A765" s="2" t="s">
        <v>822</v>
      </c>
      <c r="B765" s="1">
        <f>INDEX('Main Data'!$A$1:$O$1001,MATCH('Index&amp;Match'!$A765,'Main Data'!$A$1:$A$1001,0),MATCH('Index&amp;Match'!B764,'Main Data'!$A764:$O764,0))</f>
        <v>45966</v>
      </c>
      <c r="C765" s="2" t="str">
        <f>INDEX('Main Data'!$A$1:$O$1001,MATCH('Index&amp;Match'!$A765,'Main Data'!$A$1:$A$1001,0),MATCH('Index&amp;Match'!C764,'Main Data'!$A764:$O764,0))</f>
        <v>Jordan</v>
      </c>
      <c r="D765" s="2" t="str">
        <f>INDEX('Main Data'!$A$1:$O$1001,MATCH('Index&amp;Match'!$A765,'Main Data'!$A$1:$A$1001,0),MATCH('Index&amp;Match'!D764,'Main Data'!$A764:$O764,0))</f>
        <v>BR-002</v>
      </c>
      <c r="E765" s="2" t="str">
        <f>INDEX('Main Data'!$A$1:$O$1001,MATCH('Index&amp;Match'!$A765,'Main Data'!$A$1:$A$1001,0),MATCH('Index&amp;Match'!E764,'Main Data'!$A764:$O764,0))</f>
        <v>South</v>
      </c>
      <c r="F765" s="2" t="str">
        <f>INDEX('Main Data'!$A$1:$O$1001,MATCH('Index&amp;Match'!$A765,'Main Data'!$A$1:$A$1001,0),MATCH('Index&amp;Match'!F764,'Main Data'!$A764:$O764,0))</f>
        <v>Wealth Management</v>
      </c>
      <c r="G765" s="2" t="str">
        <f>INDEX('Main Data'!$A$1:$O$1001,MATCH('Index&amp;Match'!$A765,'Main Data'!$A$1:$A$1001,0),MATCH('Index&amp;Match'!G764,'Main Data'!$A764:$O764,0))</f>
        <v>Email Campaign</v>
      </c>
      <c r="H765" s="2" t="str">
        <f>INDEX('Main Data'!$A$1:$O$1001,MATCH('Index&amp;Match'!$A765,'Main Data'!$A$1:$A$1001,0),MATCH('Index&amp;Match'!H764,'Main Data'!$A764:$O764,0))</f>
        <v>Retail</v>
      </c>
      <c r="I765" s="2">
        <f>INDEX('Main Data'!$A$1:$O$1001,MATCH('Index&amp;Match'!$A765,'Main Data'!$A$1:$A$1001,0),MATCH('Index&amp;Match'!I764,'Main Data'!$A764:$O764,0))</f>
        <v>57</v>
      </c>
      <c r="J765" s="2">
        <f>INDEX('Main Data'!$A$1:$O$1001,MATCH('Index&amp;Match'!$A765,'Main Data'!$A$1:$A$1001,0),MATCH('Index&amp;Match'!J764,'Main Data'!$A764:$O764,0))</f>
        <v>57</v>
      </c>
      <c r="K765" s="11">
        <f>INDEX('Main Data'!$A$1:$O$1001,MATCH('Index&amp;Match'!$A765,'Main Data'!$A$1:$A$1001,0),MATCH('Index&amp;Match'!K764,'Main Data'!$A764:$O764,0))</f>
        <v>11278.56</v>
      </c>
      <c r="L765" s="11">
        <f>INDEX('Main Data'!$A$1:$O$1001,MATCH('Index&amp;Match'!$A765,'Main Data'!$A$1:$A$1001,0),MATCH('Index&amp;Match'!L764,'Main Data'!$A764:$O764,0))</f>
        <v>461.83</v>
      </c>
      <c r="M765" s="11">
        <f>INDEX('Main Data'!$A$1:$O$1001,MATCH('Index&amp;Match'!$A765,'Main Data'!$A$1:$A$1001,0),MATCH('Index&amp;Match'!M764,'Main Data'!$A764:$O764,0))</f>
        <v>120.53</v>
      </c>
      <c r="N765" s="2" t="str">
        <f>INDEX('Main Data'!$A$1:$O$1001,MATCH('Index&amp;Match'!$A765,'Main Data'!$A$1:$A$1001,0),MATCH('Index&amp;Match'!N764,'Main Data'!$A764:$O764,0))</f>
        <v>No</v>
      </c>
      <c r="O765" s="2">
        <f>INDEX('Main Data'!$A$1:$O$1001,MATCH('Index&amp;Match'!$A765,'Main Data'!$A$1:$A$1001,0),MATCH('Index&amp;Match'!O764,'Main Data'!$A764:$O764,0))</f>
        <v>57</v>
      </c>
    </row>
    <row r="766" spans="1:15" x14ac:dyDescent="0.3">
      <c r="A766" s="2" t="s">
        <v>823</v>
      </c>
      <c r="B766" s="1">
        <f>INDEX('Main Data'!$A$1:$O$1001,MATCH('Index&amp;Match'!$A766,'Main Data'!$A$1:$A$1001,0),MATCH('Index&amp;Match'!B765,'Main Data'!$A765:$O765,0))</f>
        <v>45985</v>
      </c>
      <c r="C766" s="2" t="str">
        <f>INDEX('Main Data'!$A$1:$O$1001,MATCH('Index&amp;Match'!$A766,'Main Data'!$A$1:$A$1001,0),MATCH('Index&amp;Match'!C765,'Main Data'!$A765:$O765,0))</f>
        <v>Casey</v>
      </c>
      <c r="D766" s="2" t="str">
        <f>INDEX('Main Data'!$A$1:$O$1001,MATCH('Index&amp;Match'!$A766,'Main Data'!$A$1:$A$1001,0),MATCH('Index&amp;Match'!D765,'Main Data'!$A765:$O765,0))</f>
        <v>BR-007</v>
      </c>
      <c r="E766" s="2" t="str">
        <f>INDEX('Main Data'!$A$1:$O$1001,MATCH('Index&amp;Match'!$A766,'Main Data'!$A$1:$A$1001,0),MATCH('Index&amp;Match'!E765,'Main Data'!$A765:$O765,0))</f>
        <v>West</v>
      </c>
      <c r="F766" s="2" t="str">
        <f>INDEX('Main Data'!$A$1:$O$1001,MATCH('Index&amp;Match'!$A766,'Main Data'!$A$1:$A$1001,0),MATCH('Index&amp;Match'!F765,'Main Data'!$A765:$O765,0))</f>
        <v>Mortgage</v>
      </c>
      <c r="G766" s="2" t="str">
        <f>INDEX('Main Data'!$A$1:$O$1001,MATCH('Index&amp;Match'!$A766,'Main Data'!$A$1:$A$1001,0),MATCH('Index&amp;Match'!G765,'Main Data'!$A765:$O765,0))</f>
        <v>Referral</v>
      </c>
      <c r="H766" s="2" t="str">
        <f>INDEX('Main Data'!$A$1:$O$1001,MATCH('Index&amp;Match'!$A766,'Main Data'!$A$1:$A$1001,0),MATCH('Index&amp;Match'!H765,'Main Data'!$A765:$O765,0))</f>
        <v>SME</v>
      </c>
      <c r="I766" s="2">
        <f>INDEX('Main Data'!$A$1:$O$1001,MATCH('Index&amp;Match'!$A766,'Main Data'!$A$1:$A$1001,0),MATCH('Index&amp;Match'!I765,'Main Data'!$A765:$O765,0))</f>
        <v>50</v>
      </c>
      <c r="J766" s="2">
        <f>INDEX('Main Data'!$A$1:$O$1001,MATCH('Index&amp;Match'!$A766,'Main Data'!$A$1:$A$1001,0),MATCH('Index&amp;Match'!J765,'Main Data'!$A765:$O765,0))</f>
        <v>50</v>
      </c>
      <c r="K766" s="11">
        <f>INDEX('Main Data'!$A$1:$O$1001,MATCH('Index&amp;Match'!$A766,'Main Data'!$A$1:$A$1001,0),MATCH('Index&amp;Match'!K765,'Main Data'!$A765:$O765,0))</f>
        <v>4375.93</v>
      </c>
      <c r="L766" s="11">
        <f>INDEX('Main Data'!$A$1:$O$1001,MATCH('Index&amp;Match'!$A766,'Main Data'!$A$1:$A$1001,0),MATCH('Index&amp;Match'!L765,'Main Data'!$A765:$O765,0))</f>
        <v>259.33999999999997</v>
      </c>
      <c r="M766" s="11">
        <f>INDEX('Main Data'!$A$1:$O$1001,MATCH('Index&amp;Match'!$A766,'Main Data'!$A$1:$A$1001,0),MATCH('Index&amp;Match'!M765,'Main Data'!$A765:$O765,0))</f>
        <v>111.9</v>
      </c>
      <c r="N766" s="2" t="str">
        <f>INDEX('Main Data'!$A$1:$O$1001,MATCH('Index&amp;Match'!$A766,'Main Data'!$A$1:$A$1001,0),MATCH('Index&amp;Match'!N765,'Main Data'!$A765:$O765,0))</f>
        <v>Yes</v>
      </c>
      <c r="O766" s="2">
        <f>INDEX('Main Data'!$A$1:$O$1001,MATCH('Index&amp;Match'!$A766,'Main Data'!$A$1:$A$1001,0),MATCH('Index&amp;Match'!O765,'Main Data'!$A765:$O765,0))</f>
        <v>50</v>
      </c>
    </row>
    <row r="767" spans="1:15" x14ac:dyDescent="0.3">
      <c r="A767" s="2" t="s">
        <v>824</v>
      </c>
      <c r="B767" s="1">
        <f>INDEX('Main Data'!$A$1:$O$1001,MATCH('Index&amp;Match'!$A767,'Main Data'!$A$1:$A$1001,0),MATCH('Index&amp;Match'!B766,'Main Data'!$A766:$O766,0))</f>
        <v>45956</v>
      </c>
      <c r="C767" s="2" t="str">
        <f>INDEX('Main Data'!$A$1:$O$1001,MATCH('Index&amp;Match'!$A767,'Main Data'!$A$1:$A$1001,0),MATCH('Index&amp;Match'!C766,'Main Data'!$A766:$O766,0))</f>
        <v>Taylor</v>
      </c>
      <c r="D767" s="2" t="str">
        <f>INDEX('Main Data'!$A$1:$O$1001,MATCH('Index&amp;Match'!$A767,'Main Data'!$A$1:$A$1001,0),MATCH('Index&amp;Match'!D766,'Main Data'!$A766:$O766,0))</f>
        <v>BR-010</v>
      </c>
      <c r="E767" s="2" t="str">
        <f>INDEX('Main Data'!$A$1:$O$1001,MATCH('Index&amp;Match'!$A767,'Main Data'!$A$1:$A$1001,0),MATCH('Index&amp;Match'!E766,'Main Data'!$A766:$O766,0))</f>
        <v>South</v>
      </c>
      <c r="F767" s="2" t="str">
        <f>INDEX('Main Data'!$A$1:$O$1001,MATCH('Index&amp;Match'!$A767,'Main Data'!$A$1:$A$1001,0),MATCH('Index&amp;Match'!F766,'Main Data'!$A766:$O766,0))</f>
        <v>Mortgage</v>
      </c>
      <c r="G767" s="2" t="str">
        <f>INDEX('Main Data'!$A$1:$O$1001,MATCH('Index&amp;Match'!$A767,'Main Data'!$A$1:$A$1001,0),MATCH('Index&amp;Match'!G766,'Main Data'!$A766:$O766,0))</f>
        <v>Website</v>
      </c>
      <c r="H767" s="2" t="str">
        <f>INDEX('Main Data'!$A$1:$O$1001,MATCH('Index&amp;Match'!$A767,'Main Data'!$A$1:$A$1001,0),MATCH('Index&amp;Match'!H766,'Main Data'!$A766:$O766,0))</f>
        <v>Retail</v>
      </c>
      <c r="I767" s="2">
        <f>INDEX('Main Data'!$A$1:$O$1001,MATCH('Index&amp;Match'!$A767,'Main Data'!$A$1:$A$1001,0),MATCH('Index&amp;Match'!I766,'Main Data'!$A766:$O766,0))</f>
        <v>62</v>
      </c>
      <c r="J767" s="2">
        <f>INDEX('Main Data'!$A$1:$O$1001,MATCH('Index&amp;Match'!$A767,'Main Data'!$A$1:$A$1001,0),MATCH('Index&amp;Match'!J766,'Main Data'!$A766:$O766,0))</f>
        <v>62</v>
      </c>
      <c r="K767" s="11">
        <f>INDEX('Main Data'!$A$1:$O$1001,MATCH('Index&amp;Match'!$A767,'Main Data'!$A$1:$A$1001,0),MATCH('Index&amp;Match'!K766,'Main Data'!$A766:$O766,0))</f>
        <v>28884.880000000001</v>
      </c>
      <c r="L767" s="11">
        <f>INDEX('Main Data'!$A$1:$O$1001,MATCH('Index&amp;Match'!$A767,'Main Data'!$A$1:$A$1001,0),MATCH('Index&amp;Match'!L766,'Main Data'!$A766:$O766,0))</f>
        <v>78.430000000000007</v>
      </c>
      <c r="M767" s="11">
        <f>INDEX('Main Data'!$A$1:$O$1001,MATCH('Index&amp;Match'!$A767,'Main Data'!$A$1:$A$1001,0),MATCH('Index&amp;Match'!M766,'Main Data'!$A766:$O766,0))</f>
        <v>2.91</v>
      </c>
      <c r="N767" s="2" t="str">
        <f>INDEX('Main Data'!$A$1:$O$1001,MATCH('Index&amp;Match'!$A767,'Main Data'!$A$1:$A$1001,0),MATCH('Index&amp;Match'!N766,'Main Data'!$A766:$O766,0))</f>
        <v>No</v>
      </c>
      <c r="O767" s="2">
        <f>INDEX('Main Data'!$A$1:$O$1001,MATCH('Index&amp;Match'!$A767,'Main Data'!$A$1:$A$1001,0),MATCH('Index&amp;Match'!O766,'Main Data'!$A766:$O766,0))</f>
        <v>62</v>
      </c>
    </row>
    <row r="768" spans="1:15" x14ac:dyDescent="0.3">
      <c r="A768" s="2" t="s">
        <v>825</v>
      </c>
      <c r="B768" s="1">
        <f>INDEX('Main Data'!$A$1:$O$1001,MATCH('Index&amp;Match'!$A768,'Main Data'!$A$1:$A$1001,0),MATCH('Index&amp;Match'!B767,'Main Data'!$A767:$O767,0))</f>
        <v>46229</v>
      </c>
      <c r="C768" s="2" t="str">
        <f>INDEX('Main Data'!$A$1:$O$1001,MATCH('Index&amp;Match'!$A768,'Main Data'!$A$1:$A$1001,0),MATCH('Index&amp;Match'!C767,'Main Data'!$A767:$O767,0))</f>
        <v>Casey</v>
      </c>
      <c r="D768" s="2" t="str">
        <f>INDEX('Main Data'!$A$1:$O$1001,MATCH('Index&amp;Match'!$A768,'Main Data'!$A$1:$A$1001,0),MATCH('Index&amp;Match'!D767,'Main Data'!$A767:$O767,0))</f>
        <v>BR-007</v>
      </c>
      <c r="E768" s="2" t="str">
        <f>INDEX('Main Data'!$A$1:$O$1001,MATCH('Index&amp;Match'!$A768,'Main Data'!$A$1:$A$1001,0),MATCH('Index&amp;Match'!E767,'Main Data'!$A767:$O767,0))</f>
        <v>North</v>
      </c>
      <c r="F768" s="2" t="str">
        <f>INDEX('Main Data'!$A$1:$O$1001,MATCH('Index&amp;Match'!$A768,'Main Data'!$A$1:$A$1001,0),MATCH('Index&amp;Match'!F767,'Main Data'!$A767:$O767,0))</f>
        <v>Mortgage</v>
      </c>
      <c r="G768" s="2" t="str">
        <f>INDEX('Main Data'!$A$1:$O$1001,MATCH('Index&amp;Match'!$A768,'Main Data'!$A$1:$A$1001,0),MATCH('Index&amp;Match'!G767,'Main Data'!$A767:$O767,0))</f>
        <v>Walk-in</v>
      </c>
      <c r="H768" s="2" t="str">
        <f>INDEX('Main Data'!$A$1:$O$1001,MATCH('Index&amp;Match'!$A768,'Main Data'!$A$1:$A$1001,0),MATCH('Index&amp;Match'!H767,'Main Data'!$A767:$O767,0))</f>
        <v>Retail</v>
      </c>
      <c r="I768" s="2">
        <f>INDEX('Main Data'!$A$1:$O$1001,MATCH('Index&amp;Match'!$A768,'Main Data'!$A$1:$A$1001,0),MATCH('Index&amp;Match'!I767,'Main Data'!$A767:$O767,0))</f>
        <v>53</v>
      </c>
      <c r="J768" s="2">
        <f>INDEX('Main Data'!$A$1:$O$1001,MATCH('Index&amp;Match'!$A768,'Main Data'!$A$1:$A$1001,0),MATCH('Index&amp;Match'!J767,'Main Data'!$A767:$O767,0))</f>
        <v>53</v>
      </c>
      <c r="K768" s="11">
        <f>INDEX('Main Data'!$A$1:$O$1001,MATCH('Index&amp;Match'!$A768,'Main Data'!$A$1:$A$1001,0),MATCH('Index&amp;Match'!K767,'Main Data'!$A767:$O767,0))</f>
        <v>5368.07</v>
      </c>
      <c r="L768" s="11">
        <f>INDEX('Main Data'!$A$1:$O$1001,MATCH('Index&amp;Match'!$A768,'Main Data'!$A$1:$A$1001,0),MATCH('Index&amp;Match'!L767,'Main Data'!$A767:$O767,0))</f>
        <v>319.18</v>
      </c>
      <c r="M768" s="11">
        <f>INDEX('Main Data'!$A$1:$O$1001,MATCH('Index&amp;Match'!$A768,'Main Data'!$A$1:$A$1001,0),MATCH('Index&amp;Match'!M767,'Main Data'!$A767:$O767,0))</f>
        <v>16.190000000000001</v>
      </c>
      <c r="N768" s="2" t="str">
        <f>INDEX('Main Data'!$A$1:$O$1001,MATCH('Index&amp;Match'!$A768,'Main Data'!$A$1:$A$1001,0),MATCH('Index&amp;Match'!N767,'Main Data'!$A767:$O767,0))</f>
        <v>Yes</v>
      </c>
      <c r="O768" s="2">
        <f>INDEX('Main Data'!$A$1:$O$1001,MATCH('Index&amp;Match'!$A768,'Main Data'!$A$1:$A$1001,0),MATCH('Index&amp;Match'!O767,'Main Data'!$A767:$O767,0))</f>
        <v>53</v>
      </c>
    </row>
    <row r="769" spans="1:15" x14ac:dyDescent="0.3">
      <c r="A769" s="2" t="s">
        <v>826</v>
      </c>
      <c r="B769" s="1">
        <f>INDEX('Main Data'!$A$1:$O$1001,MATCH('Index&amp;Match'!$A769,'Main Data'!$A$1:$A$1001,0),MATCH('Index&amp;Match'!B768,'Main Data'!$A768:$O768,0))</f>
        <v>46134</v>
      </c>
      <c r="C769" s="2" t="str">
        <f>INDEX('Main Data'!$A$1:$O$1001,MATCH('Index&amp;Match'!$A769,'Main Data'!$A$1:$A$1001,0),MATCH('Index&amp;Match'!C768,'Main Data'!$A768:$O768,0))</f>
        <v>Drew</v>
      </c>
      <c r="D769" s="2" t="str">
        <f>INDEX('Main Data'!$A$1:$O$1001,MATCH('Index&amp;Match'!$A769,'Main Data'!$A$1:$A$1001,0),MATCH('Index&amp;Match'!D768,'Main Data'!$A768:$O768,0))</f>
        <v>BR-001</v>
      </c>
      <c r="E769" s="2" t="str">
        <f>INDEX('Main Data'!$A$1:$O$1001,MATCH('Index&amp;Match'!$A769,'Main Data'!$A$1:$A$1001,0),MATCH('Index&amp;Match'!E768,'Main Data'!$A768:$O768,0))</f>
        <v>East</v>
      </c>
      <c r="F769" s="2" t="str">
        <f>INDEX('Main Data'!$A$1:$O$1001,MATCH('Index&amp;Match'!$A769,'Main Data'!$A$1:$A$1001,0),MATCH('Index&amp;Match'!F768,'Main Data'!$A768:$O768,0))</f>
        <v>Wealth Management</v>
      </c>
      <c r="G769" s="2" t="str">
        <f>INDEX('Main Data'!$A$1:$O$1001,MATCH('Index&amp;Match'!$A769,'Main Data'!$A$1:$A$1001,0),MATCH('Index&amp;Match'!G768,'Main Data'!$A768:$O768,0))</f>
        <v>Social Media</v>
      </c>
      <c r="H769" s="2" t="str">
        <f>INDEX('Main Data'!$A$1:$O$1001,MATCH('Index&amp;Match'!$A769,'Main Data'!$A$1:$A$1001,0),MATCH('Index&amp;Match'!H768,'Main Data'!$A768:$O768,0))</f>
        <v>High Net Worth</v>
      </c>
      <c r="I769" s="2">
        <f>INDEX('Main Data'!$A$1:$O$1001,MATCH('Index&amp;Match'!$A769,'Main Data'!$A$1:$A$1001,0),MATCH('Index&amp;Match'!I768,'Main Data'!$A768:$O768,0))</f>
        <v>30</v>
      </c>
      <c r="J769" s="2">
        <f>INDEX('Main Data'!$A$1:$O$1001,MATCH('Index&amp;Match'!$A769,'Main Data'!$A$1:$A$1001,0),MATCH('Index&amp;Match'!J768,'Main Data'!$A768:$O768,0))</f>
        <v>30</v>
      </c>
      <c r="K769" s="11">
        <f>INDEX('Main Data'!$A$1:$O$1001,MATCH('Index&amp;Match'!$A769,'Main Data'!$A$1:$A$1001,0),MATCH('Index&amp;Match'!K768,'Main Data'!$A768:$O768,0))</f>
        <v>22739.09</v>
      </c>
      <c r="L769" s="11">
        <f>INDEX('Main Data'!$A$1:$O$1001,MATCH('Index&amp;Match'!$A769,'Main Data'!$A$1:$A$1001,0),MATCH('Index&amp;Match'!L768,'Main Data'!$A768:$O768,0))</f>
        <v>320.82</v>
      </c>
      <c r="M769" s="11">
        <f>INDEX('Main Data'!$A$1:$O$1001,MATCH('Index&amp;Match'!$A769,'Main Data'!$A$1:$A$1001,0),MATCH('Index&amp;Match'!M768,'Main Data'!$A768:$O768,0))</f>
        <v>173.14</v>
      </c>
      <c r="N769" s="2" t="str">
        <f>INDEX('Main Data'!$A$1:$O$1001,MATCH('Index&amp;Match'!$A769,'Main Data'!$A$1:$A$1001,0),MATCH('Index&amp;Match'!N768,'Main Data'!$A768:$O768,0))</f>
        <v>No</v>
      </c>
      <c r="O769" s="2">
        <f>INDEX('Main Data'!$A$1:$O$1001,MATCH('Index&amp;Match'!$A769,'Main Data'!$A$1:$A$1001,0),MATCH('Index&amp;Match'!O768,'Main Data'!$A768:$O768,0))</f>
        <v>30</v>
      </c>
    </row>
    <row r="770" spans="1:15" x14ac:dyDescent="0.3">
      <c r="A770" s="2" t="s">
        <v>827</v>
      </c>
      <c r="B770" s="1">
        <f>INDEX('Main Data'!$A$1:$O$1001,MATCH('Index&amp;Match'!$A770,'Main Data'!$A$1:$A$1001,0),MATCH('Index&amp;Match'!B769,'Main Data'!$A769:$O769,0))</f>
        <v>46018</v>
      </c>
      <c r="C770" s="2" t="str">
        <f>INDEX('Main Data'!$A$1:$O$1001,MATCH('Index&amp;Match'!$A770,'Main Data'!$A$1:$A$1001,0),MATCH('Index&amp;Match'!C769,'Main Data'!$A769:$O769,0))</f>
        <v>Morgan</v>
      </c>
      <c r="D770" s="2" t="str">
        <f>INDEX('Main Data'!$A$1:$O$1001,MATCH('Index&amp;Match'!$A770,'Main Data'!$A$1:$A$1001,0),MATCH('Index&amp;Match'!D769,'Main Data'!$A769:$O769,0))</f>
        <v>BR-007</v>
      </c>
      <c r="E770" s="2" t="str">
        <f>INDEX('Main Data'!$A$1:$O$1001,MATCH('Index&amp;Match'!$A770,'Main Data'!$A$1:$A$1001,0),MATCH('Index&amp;Match'!E769,'Main Data'!$A769:$O769,0))</f>
        <v>South</v>
      </c>
      <c r="F770" s="2" t="str">
        <f>INDEX('Main Data'!$A$1:$O$1001,MATCH('Index&amp;Match'!$A770,'Main Data'!$A$1:$A$1001,0),MATCH('Index&amp;Match'!F769,'Main Data'!$A769:$O769,0))</f>
        <v>Auto Loan</v>
      </c>
      <c r="G770" s="2" t="str">
        <f>INDEX('Main Data'!$A$1:$O$1001,MATCH('Index&amp;Match'!$A770,'Main Data'!$A$1:$A$1001,0),MATCH('Index&amp;Match'!G769,'Main Data'!$A769:$O769,0))</f>
        <v>Social Media</v>
      </c>
      <c r="H770" s="2" t="str">
        <f>INDEX('Main Data'!$A$1:$O$1001,MATCH('Index&amp;Match'!$A770,'Main Data'!$A$1:$A$1001,0),MATCH('Index&amp;Match'!H769,'Main Data'!$A769:$O769,0))</f>
        <v>SME</v>
      </c>
      <c r="I770" s="2">
        <f>INDEX('Main Data'!$A$1:$O$1001,MATCH('Index&amp;Match'!$A770,'Main Data'!$A$1:$A$1001,0),MATCH('Index&amp;Match'!I769,'Main Data'!$A769:$O769,0))</f>
        <v>57</v>
      </c>
      <c r="J770" s="2">
        <f>INDEX('Main Data'!$A$1:$O$1001,MATCH('Index&amp;Match'!$A770,'Main Data'!$A$1:$A$1001,0),MATCH('Index&amp;Match'!J769,'Main Data'!$A769:$O769,0))</f>
        <v>57</v>
      </c>
      <c r="K770" s="11">
        <f>INDEX('Main Data'!$A$1:$O$1001,MATCH('Index&amp;Match'!$A770,'Main Data'!$A$1:$A$1001,0),MATCH('Index&amp;Match'!K769,'Main Data'!$A769:$O769,0))</f>
        <v>47054.61</v>
      </c>
      <c r="L770" s="11">
        <f>INDEX('Main Data'!$A$1:$O$1001,MATCH('Index&amp;Match'!$A770,'Main Data'!$A$1:$A$1001,0),MATCH('Index&amp;Match'!L769,'Main Data'!$A769:$O769,0))</f>
        <v>79.03</v>
      </c>
      <c r="M770" s="11">
        <f>INDEX('Main Data'!$A$1:$O$1001,MATCH('Index&amp;Match'!$A770,'Main Data'!$A$1:$A$1001,0),MATCH('Index&amp;Match'!M769,'Main Data'!$A769:$O769,0))</f>
        <v>187.25</v>
      </c>
      <c r="N770" s="2" t="str">
        <f>INDEX('Main Data'!$A$1:$O$1001,MATCH('Index&amp;Match'!$A770,'Main Data'!$A$1:$A$1001,0),MATCH('Index&amp;Match'!N769,'Main Data'!$A769:$O769,0))</f>
        <v>Yes</v>
      </c>
      <c r="O770" s="2">
        <f>INDEX('Main Data'!$A$1:$O$1001,MATCH('Index&amp;Match'!$A770,'Main Data'!$A$1:$A$1001,0),MATCH('Index&amp;Match'!O769,'Main Data'!$A769:$O769,0))</f>
        <v>57</v>
      </c>
    </row>
    <row r="771" spans="1:15" x14ac:dyDescent="0.3">
      <c r="A771" s="2" t="s">
        <v>828</v>
      </c>
      <c r="B771" s="1">
        <f>INDEX('Main Data'!$A$1:$O$1001,MATCH('Index&amp;Match'!$A771,'Main Data'!$A$1:$A$1001,0),MATCH('Index&amp;Match'!B770,'Main Data'!$A770:$O770,0))</f>
        <v>45999</v>
      </c>
      <c r="C771" s="2" t="str">
        <f>INDEX('Main Data'!$A$1:$O$1001,MATCH('Index&amp;Match'!$A771,'Main Data'!$A$1:$A$1001,0),MATCH('Index&amp;Match'!C770,'Main Data'!$A770:$O770,0))</f>
        <v>Alex</v>
      </c>
      <c r="D771" s="2" t="str">
        <f>INDEX('Main Data'!$A$1:$O$1001,MATCH('Index&amp;Match'!$A771,'Main Data'!$A$1:$A$1001,0),MATCH('Index&amp;Match'!D770,'Main Data'!$A770:$O770,0))</f>
        <v>BR-005</v>
      </c>
      <c r="E771" s="2" t="str">
        <f>INDEX('Main Data'!$A$1:$O$1001,MATCH('Index&amp;Match'!$A771,'Main Data'!$A$1:$A$1001,0),MATCH('Index&amp;Match'!E770,'Main Data'!$A770:$O770,0))</f>
        <v>West</v>
      </c>
      <c r="F771" s="2" t="str">
        <f>INDEX('Main Data'!$A$1:$O$1001,MATCH('Index&amp;Match'!$A771,'Main Data'!$A$1:$A$1001,0),MATCH('Index&amp;Match'!F770,'Main Data'!$A770:$O770,0))</f>
        <v>Personal Loan</v>
      </c>
      <c r="G771" s="2" t="str">
        <f>INDEX('Main Data'!$A$1:$O$1001,MATCH('Index&amp;Match'!$A771,'Main Data'!$A$1:$A$1001,0),MATCH('Index&amp;Match'!G770,'Main Data'!$A770:$O770,0))</f>
        <v>Website</v>
      </c>
      <c r="H771" s="2" t="str">
        <f>INDEX('Main Data'!$A$1:$O$1001,MATCH('Index&amp;Match'!$A771,'Main Data'!$A$1:$A$1001,0),MATCH('Index&amp;Match'!H770,'Main Data'!$A770:$O770,0))</f>
        <v>Retail</v>
      </c>
      <c r="I771" s="2">
        <f>INDEX('Main Data'!$A$1:$O$1001,MATCH('Index&amp;Match'!$A771,'Main Data'!$A$1:$A$1001,0),MATCH('Index&amp;Match'!I770,'Main Data'!$A770:$O770,0))</f>
        <v>32</v>
      </c>
      <c r="J771" s="2">
        <f>INDEX('Main Data'!$A$1:$O$1001,MATCH('Index&amp;Match'!$A771,'Main Data'!$A$1:$A$1001,0),MATCH('Index&amp;Match'!J770,'Main Data'!$A770:$O770,0))</f>
        <v>32</v>
      </c>
      <c r="K771" s="11">
        <f>INDEX('Main Data'!$A$1:$O$1001,MATCH('Index&amp;Match'!$A771,'Main Data'!$A$1:$A$1001,0),MATCH('Index&amp;Match'!K770,'Main Data'!$A770:$O770,0))</f>
        <v>47665.3</v>
      </c>
      <c r="L771" s="11">
        <f>INDEX('Main Data'!$A$1:$O$1001,MATCH('Index&amp;Match'!$A771,'Main Data'!$A$1:$A$1001,0),MATCH('Index&amp;Match'!L770,'Main Data'!$A770:$O770,0))</f>
        <v>487.64</v>
      </c>
      <c r="M771" s="11">
        <f>INDEX('Main Data'!$A$1:$O$1001,MATCH('Index&amp;Match'!$A771,'Main Data'!$A$1:$A$1001,0),MATCH('Index&amp;Match'!M770,'Main Data'!$A770:$O770,0))</f>
        <v>173.34</v>
      </c>
      <c r="N771" s="2" t="str">
        <f>INDEX('Main Data'!$A$1:$O$1001,MATCH('Index&amp;Match'!$A771,'Main Data'!$A$1:$A$1001,0),MATCH('Index&amp;Match'!N770,'Main Data'!$A770:$O770,0))</f>
        <v>Yes</v>
      </c>
      <c r="O771" s="2">
        <f>INDEX('Main Data'!$A$1:$O$1001,MATCH('Index&amp;Match'!$A771,'Main Data'!$A$1:$A$1001,0),MATCH('Index&amp;Match'!O770,'Main Data'!$A770:$O770,0))</f>
        <v>32</v>
      </c>
    </row>
    <row r="772" spans="1:15" x14ac:dyDescent="0.3">
      <c r="A772" s="2" t="s">
        <v>829</v>
      </c>
      <c r="B772" s="1">
        <f>INDEX('Main Data'!$A$1:$O$1001,MATCH('Index&amp;Match'!$A772,'Main Data'!$A$1:$A$1001,0),MATCH('Index&amp;Match'!B771,'Main Data'!$A771:$O771,0))</f>
        <v>46035</v>
      </c>
      <c r="C772" s="2" t="str">
        <f>INDEX('Main Data'!$A$1:$O$1001,MATCH('Index&amp;Match'!$A772,'Main Data'!$A$1:$A$1001,0),MATCH('Index&amp;Match'!C771,'Main Data'!$A771:$O771,0))</f>
        <v>Casey</v>
      </c>
      <c r="D772" s="2" t="str">
        <f>INDEX('Main Data'!$A$1:$O$1001,MATCH('Index&amp;Match'!$A772,'Main Data'!$A$1:$A$1001,0),MATCH('Index&amp;Match'!D771,'Main Data'!$A771:$O771,0))</f>
        <v>BR-003</v>
      </c>
      <c r="E772" s="2" t="str">
        <f>INDEX('Main Data'!$A$1:$O$1001,MATCH('Index&amp;Match'!$A772,'Main Data'!$A$1:$A$1001,0),MATCH('Index&amp;Match'!E771,'Main Data'!$A771:$O771,0))</f>
        <v>West</v>
      </c>
      <c r="F772" s="2" t="str">
        <f>INDEX('Main Data'!$A$1:$O$1001,MATCH('Index&amp;Match'!$A772,'Main Data'!$A$1:$A$1001,0),MATCH('Index&amp;Match'!F771,'Main Data'!$A771:$O771,0))</f>
        <v>Mortgage</v>
      </c>
      <c r="G772" s="2" t="str">
        <f>INDEX('Main Data'!$A$1:$O$1001,MATCH('Index&amp;Match'!$A772,'Main Data'!$A$1:$A$1001,0),MATCH('Index&amp;Match'!G771,'Main Data'!$A771:$O771,0))</f>
        <v>Email Campaign</v>
      </c>
      <c r="H772" s="2" t="str">
        <f>INDEX('Main Data'!$A$1:$O$1001,MATCH('Index&amp;Match'!$A772,'Main Data'!$A$1:$A$1001,0),MATCH('Index&amp;Match'!H771,'Main Data'!$A771:$O771,0))</f>
        <v>Corporate</v>
      </c>
      <c r="I772" s="2">
        <f>INDEX('Main Data'!$A$1:$O$1001,MATCH('Index&amp;Match'!$A772,'Main Data'!$A$1:$A$1001,0),MATCH('Index&amp;Match'!I771,'Main Data'!$A771:$O771,0))</f>
        <v>74</v>
      </c>
      <c r="J772" s="2">
        <f>INDEX('Main Data'!$A$1:$O$1001,MATCH('Index&amp;Match'!$A772,'Main Data'!$A$1:$A$1001,0),MATCH('Index&amp;Match'!J771,'Main Data'!$A771:$O771,0))</f>
        <v>74</v>
      </c>
      <c r="K772" s="11">
        <f>INDEX('Main Data'!$A$1:$O$1001,MATCH('Index&amp;Match'!$A772,'Main Data'!$A$1:$A$1001,0),MATCH('Index&amp;Match'!K771,'Main Data'!$A771:$O771,0))</f>
        <v>12346.95</v>
      </c>
      <c r="L772" s="11">
        <f>INDEX('Main Data'!$A$1:$O$1001,MATCH('Index&amp;Match'!$A772,'Main Data'!$A$1:$A$1001,0),MATCH('Index&amp;Match'!L771,'Main Data'!$A771:$O771,0))</f>
        <v>294.81</v>
      </c>
      <c r="M772" s="11">
        <f>INDEX('Main Data'!$A$1:$O$1001,MATCH('Index&amp;Match'!$A772,'Main Data'!$A$1:$A$1001,0),MATCH('Index&amp;Match'!M771,'Main Data'!$A771:$O771,0))</f>
        <v>196.52</v>
      </c>
      <c r="N772" s="2" t="str">
        <f>INDEX('Main Data'!$A$1:$O$1001,MATCH('Index&amp;Match'!$A772,'Main Data'!$A$1:$A$1001,0),MATCH('Index&amp;Match'!N771,'Main Data'!$A771:$O771,0))</f>
        <v>Yes</v>
      </c>
      <c r="O772" s="2">
        <f>INDEX('Main Data'!$A$1:$O$1001,MATCH('Index&amp;Match'!$A772,'Main Data'!$A$1:$A$1001,0),MATCH('Index&amp;Match'!O771,'Main Data'!$A771:$O771,0))</f>
        <v>74</v>
      </c>
    </row>
    <row r="773" spans="1:15" x14ac:dyDescent="0.3">
      <c r="A773" s="2" t="s">
        <v>830</v>
      </c>
      <c r="B773" s="1">
        <f>INDEX('Main Data'!$A$1:$O$1001,MATCH('Index&amp;Match'!$A773,'Main Data'!$A$1:$A$1001,0),MATCH('Index&amp;Match'!B772,'Main Data'!$A772:$O772,0))</f>
        <v>46181</v>
      </c>
      <c r="C773" s="2" t="str">
        <f>INDEX('Main Data'!$A$1:$O$1001,MATCH('Index&amp;Match'!$A773,'Main Data'!$A$1:$A$1001,0),MATCH('Index&amp;Match'!C772,'Main Data'!$A772:$O772,0))</f>
        <v>Casey</v>
      </c>
      <c r="D773" s="2" t="str">
        <f>INDEX('Main Data'!$A$1:$O$1001,MATCH('Index&amp;Match'!$A773,'Main Data'!$A$1:$A$1001,0),MATCH('Index&amp;Match'!D772,'Main Data'!$A772:$O772,0))</f>
        <v>BR-013</v>
      </c>
      <c r="E773" s="2" t="str">
        <f>INDEX('Main Data'!$A$1:$O$1001,MATCH('Index&amp;Match'!$A773,'Main Data'!$A$1:$A$1001,0),MATCH('Index&amp;Match'!E772,'Main Data'!$A772:$O772,0))</f>
        <v>South</v>
      </c>
      <c r="F773" s="2" t="str">
        <f>INDEX('Main Data'!$A$1:$O$1001,MATCH('Index&amp;Match'!$A773,'Main Data'!$A$1:$A$1001,0),MATCH('Index&amp;Match'!F772,'Main Data'!$A772:$O772,0))</f>
        <v>Mortgage</v>
      </c>
      <c r="G773" s="2" t="str">
        <f>INDEX('Main Data'!$A$1:$O$1001,MATCH('Index&amp;Match'!$A773,'Main Data'!$A$1:$A$1001,0),MATCH('Index&amp;Match'!G772,'Main Data'!$A772:$O772,0))</f>
        <v>Walk-in</v>
      </c>
      <c r="H773" s="2" t="str">
        <f>INDEX('Main Data'!$A$1:$O$1001,MATCH('Index&amp;Match'!$A773,'Main Data'!$A$1:$A$1001,0),MATCH('Index&amp;Match'!H772,'Main Data'!$A772:$O772,0))</f>
        <v>SME</v>
      </c>
      <c r="I773" s="2">
        <f>INDEX('Main Data'!$A$1:$O$1001,MATCH('Index&amp;Match'!$A773,'Main Data'!$A$1:$A$1001,0),MATCH('Index&amp;Match'!I772,'Main Data'!$A772:$O772,0))</f>
        <v>50</v>
      </c>
      <c r="J773" s="2">
        <f>INDEX('Main Data'!$A$1:$O$1001,MATCH('Index&amp;Match'!$A773,'Main Data'!$A$1:$A$1001,0),MATCH('Index&amp;Match'!J772,'Main Data'!$A772:$O772,0))</f>
        <v>50</v>
      </c>
      <c r="K773" s="11">
        <f>INDEX('Main Data'!$A$1:$O$1001,MATCH('Index&amp;Match'!$A773,'Main Data'!$A$1:$A$1001,0),MATCH('Index&amp;Match'!K772,'Main Data'!$A772:$O772,0))</f>
        <v>31393.61</v>
      </c>
      <c r="L773" s="11">
        <f>INDEX('Main Data'!$A$1:$O$1001,MATCH('Index&amp;Match'!$A773,'Main Data'!$A$1:$A$1001,0),MATCH('Index&amp;Match'!L772,'Main Data'!$A772:$O772,0))</f>
        <v>301.91000000000003</v>
      </c>
      <c r="M773" s="11">
        <f>INDEX('Main Data'!$A$1:$O$1001,MATCH('Index&amp;Match'!$A773,'Main Data'!$A$1:$A$1001,0),MATCH('Index&amp;Match'!M772,'Main Data'!$A772:$O772,0))</f>
        <v>105.57</v>
      </c>
      <c r="N773" s="2" t="str">
        <f>INDEX('Main Data'!$A$1:$O$1001,MATCH('Index&amp;Match'!$A773,'Main Data'!$A$1:$A$1001,0),MATCH('Index&amp;Match'!N772,'Main Data'!$A772:$O772,0))</f>
        <v>Yes</v>
      </c>
      <c r="O773" s="2">
        <f>INDEX('Main Data'!$A$1:$O$1001,MATCH('Index&amp;Match'!$A773,'Main Data'!$A$1:$A$1001,0),MATCH('Index&amp;Match'!O772,'Main Data'!$A772:$O772,0))</f>
        <v>50</v>
      </c>
    </row>
    <row r="774" spans="1:15" x14ac:dyDescent="0.3">
      <c r="A774" s="2" t="s">
        <v>831</v>
      </c>
      <c r="B774" s="1">
        <f>INDEX('Main Data'!$A$1:$O$1001,MATCH('Index&amp;Match'!$A774,'Main Data'!$A$1:$A$1001,0),MATCH('Index&amp;Match'!B773,'Main Data'!$A773:$O773,0))</f>
        <v>45892</v>
      </c>
      <c r="C774" s="2" t="str">
        <f>INDEX('Main Data'!$A$1:$O$1001,MATCH('Index&amp;Match'!$A774,'Main Data'!$A$1:$A$1001,0),MATCH('Index&amp;Match'!C773,'Main Data'!$A773:$O773,0))</f>
        <v>Alex</v>
      </c>
      <c r="D774" s="2" t="str">
        <f>INDEX('Main Data'!$A$1:$O$1001,MATCH('Index&amp;Match'!$A774,'Main Data'!$A$1:$A$1001,0),MATCH('Index&amp;Match'!D773,'Main Data'!$A773:$O773,0))</f>
        <v>BR-003</v>
      </c>
      <c r="E774" s="2" t="str">
        <f>INDEX('Main Data'!$A$1:$O$1001,MATCH('Index&amp;Match'!$A774,'Main Data'!$A$1:$A$1001,0),MATCH('Index&amp;Match'!E773,'Main Data'!$A773:$O773,0))</f>
        <v>West</v>
      </c>
      <c r="F774" s="2" t="str">
        <f>INDEX('Main Data'!$A$1:$O$1001,MATCH('Index&amp;Match'!$A774,'Main Data'!$A$1:$A$1001,0),MATCH('Index&amp;Match'!F773,'Main Data'!$A773:$O773,0))</f>
        <v>Mortgage</v>
      </c>
      <c r="G774" s="2" t="str">
        <f>INDEX('Main Data'!$A$1:$O$1001,MATCH('Index&amp;Match'!$A774,'Main Data'!$A$1:$A$1001,0),MATCH('Index&amp;Match'!G773,'Main Data'!$A773:$O773,0))</f>
        <v>Social Media</v>
      </c>
      <c r="H774" s="2" t="str">
        <f>INDEX('Main Data'!$A$1:$O$1001,MATCH('Index&amp;Match'!$A774,'Main Data'!$A$1:$A$1001,0),MATCH('Index&amp;Match'!H773,'Main Data'!$A773:$O773,0))</f>
        <v>SME</v>
      </c>
      <c r="I774" s="2">
        <f>INDEX('Main Data'!$A$1:$O$1001,MATCH('Index&amp;Match'!$A774,'Main Data'!$A$1:$A$1001,0),MATCH('Index&amp;Match'!I773,'Main Data'!$A773:$O773,0))</f>
        <v>47</v>
      </c>
      <c r="J774" s="2">
        <f>INDEX('Main Data'!$A$1:$O$1001,MATCH('Index&amp;Match'!$A774,'Main Data'!$A$1:$A$1001,0),MATCH('Index&amp;Match'!J773,'Main Data'!$A773:$O773,0))</f>
        <v>47</v>
      </c>
      <c r="K774" s="11">
        <f>INDEX('Main Data'!$A$1:$O$1001,MATCH('Index&amp;Match'!$A774,'Main Data'!$A$1:$A$1001,0),MATCH('Index&amp;Match'!K773,'Main Data'!$A773:$O773,0))</f>
        <v>23966.78</v>
      </c>
      <c r="L774" s="11">
        <f>INDEX('Main Data'!$A$1:$O$1001,MATCH('Index&amp;Match'!$A774,'Main Data'!$A$1:$A$1001,0),MATCH('Index&amp;Match'!L773,'Main Data'!$A773:$O773,0))</f>
        <v>284.05</v>
      </c>
      <c r="M774" s="11">
        <f>INDEX('Main Data'!$A$1:$O$1001,MATCH('Index&amp;Match'!$A774,'Main Data'!$A$1:$A$1001,0),MATCH('Index&amp;Match'!M773,'Main Data'!$A773:$O773,0))</f>
        <v>157.59</v>
      </c>
      <c r="N774" s="2" t="str">
        <f>INDEX('Main Data'!$A$1:$O$1001,MATCH('Index&amp;Match'!$A774,'Main Data'!$A$1:$A$1001,0),MATCH('Index&amp;Match'!N773,'Main Data'!$A773:$O773,0))</f>
        <v>Yes</v>
      </c>
      <c r="O774" s="2">
        <f>INDEX('Main Data'!$A$1:$O$1001,MATCH('Index&amp;Match'!$A774,'Main Data'!$A$1:$A$1001,0),MATCH('Index&amp;Match'!O773,'Main Data'!$A773:$O773,0))</f>
        <v>47</v>
      </c>
    </row>
    <row r="775" spans="1:15" x14ac:dyDescent="0.3">
      <c r="A775" s="2" t="s">
        <v>832</v>
      </c>
      <c r="B775" s="1">
        <f>INDEX('Main Data'!$A$1:$O$1001,MATCH('Index&amp;Match'!$A775,'Main Data'!$A$1:$A$1001,0),MATCH('Index&amp;Match'!B774,'Main Data'!$A774:$O774,0))</f>
        <v>46099</v>
      </c>
      <c r="C775" s="2" t="str">
        <f>INDEX('Main Data'!$A$1:$O$1001,MATCH('Index&amp;Match'!$A775,'Main Data'!$A$1:$A$1001,0),MATCH('Index&amp;Match'!C774,'Main Data'!$A774:$O774,0))</f>
        <v>Morgan</v>
      </c>
      <c r="D775" s="2" t="str">
        <f>INDEX('Main Data'!$A$1:$O$1001,MATCH('Index&amp;Match'!$A775,'Main Data'!$A$1:$A$1001,0),MATCH('Index&amp;Match'!D774,'Main Data'!$A774:$O774,0))</f>
        <v>BR-004</v>
      </c>
      <c r="E775" s="2" t="str">
        <f>INDEX('Main Data'!$A$1:$O$1001,MATCH('Index&amp;Match'!$A775,'Main Data'!$A$1:$A$1001,0),MATCH('Index&amp;Match'!E774,'Main Data'!$A774:$O774,0))</f>
        <v>Central</v>
      </c>
      <c r="F775" s="2" t="str">
        <f>INDEX('Main Data'!$A$1:$O$1001,MATCH('Index&amp;Match'!$A775,'Main Data'!$A$1:$A$1001,0),MATCH('Index&amp;Match'!F774,'Main Data'!$A774:$O774,0))</f>
        <v>Personal Loan</v>
      </c>
      <c r="G775" s="2" t="str">
        <f>INDEX('Main Data'!$A$1:$O$1001,MATCH('Index&amp;Match'!$A775,'Main Data'!$A$1:$A$1001,0),MATCH('Index&amp;Match'!G774,'Main Data'!$A774:$O774,0))</f>
        <v>Social Media</v>
      </c>
      <c r="H775" s="2" t="str">
        <f>INDEX('Main Data'!$A$1:$O$1001,MATCH('Index&amp;Match'!$A775,'Main Data'!$A$1:$A$1001,0),MATCH('Index&amp;Match'!H774,'Main Data'!$A774:$O774,0))</f>
        <v>SME</v>
      </c>
      <c r="I775" s="2">
        <f>INDEX('Main Data'!$A$1:$O$1001,MATCH('Index&amp;Match'!$A775,'Main Data'!$A$1:$A$1001,0),MATCH('Index&amp;Match'!I774,'Main Data'!$A774:$O774,0))</f>
        <v>59</v>
      </c>
      <c r="J775" s="2">
        <f>INDEX('Main Data'!$A$1:$O$1001,MATCH('Index&amp;Match'!$A775,'Main Data'!$A$1:$A$1001,0),MATCH('Index&amp;Match'!J774,'Main Data'!$A774:$O774,0))</f>
        <v>59</v>
      </c>
      <c r="K775" s="11">
        <f>INDEX('Main Data'!$A$1:$O$1001,MATCH('Index&amp;Match'!$A775,'Main Data'!$A$1:$A$1001,0),MATCH('Index&amp;Match'!K774,'Main Data'!$A774:$O774,0))</f>
        <v>43846.41</v>
      </c>
      <c r="L775" s="11">
        <f>INDEX('Main Data'!$A$1:$O$1001,MATCH('Index&amp;Match'!$A775,'Main Data'!$A$1:$A$1001,0),MATCH('Index&amp;Match'!L774,'Main Data'!$A774:$O774,0))</f>
        <v>324.83</v>
      </c>
      <c r="M775" s="11">
        <f>INDEX('Main Data'!$A$1:$O$1001,MATCH('Index&amp;Match'!$A775,'Main Data'!$A$1:$A$1001,0),MATCH('Index&amp;Match'!M774,'Main Data'!$A774:$O774,0))</f>
        <v>168.08</v>
      </c>
      <c r="N775" s="2" t="str">
        <f>INDEX('Main Data'!$A$1:$O$1001,MATCH('Index&amp;Match'!$A775,'Main Data'!$A$1:$A$1001,0),MATCH('Index&amp;Match'!N774,'Main Data'!$A774:$O774,0))</f>
        <v>Yes</v>
      </c>
      <c r="O775" s="2">
        <f>INDEX('Main Data'!$A$1:$O$1001,MATCH('Index&amp;Match'!$A775,'Main Data'!$A$1:$A$1001,0),MATCH('Index&amp;Match'!O774,'Main Data'!$A774:$O774,0))</f>
        <v>59</v>
      </c>
    </row>
    <row r="776" spans="1:15" x14ac:dyDescent="0.3">
      <c r="A776" s="2" t="s">
        <v>833</v>
      </c>
      <c r="B776" s="1">
        <f>INDEX('Main Data'!$A$1:$O$1001,MATCH('Index&amp;Match'!$A776,'Main Data'!$A$1:$A$1001,0),MATCH('Index&amp;Match'!B775,'Main Data'!$A775:$O775,0))</f>
        <v>45973</v>
      </c>
      <c r="C776" s="2" t="str">
        <f>INDEX('Main Data'!$A$1:$O$1001,MATCH('Index&amp;Match'!$A776,'Main Data'!$A$1:$A$1001,0),MATCH('Index&amp;Match'!C775,'Main Data'!$A775:$O775,0))</f>
        <v>Jordan</v>
      </c>
      <c r="D776" s="2" t="str">
        <f>INDEX('Main Data'!$A$1:$O$1001,MATCH('Index&amp;Match'!$A776,'Main Data'!$A$1:$A$1001,0),MATCH('Index&amp;Match'!D775,'Main Data'!$A775:$O775,0))</f>
        <v>BR-013</v>
      </c>
      <c r="E776" s="2" t="str">
        <f>INDEX('Main Data'!$A$1:$O$1001,MATCH('Index&amp;Match'!$A776,'Main Data'!$A$1:$A$1001,0),MATCH('Index&amp;Match'!E775,'Main Data'!$A775:$O775,0))</f>
        <v>Central</v>
      </c>
      <c r="F776" s="2" t="str">
        <f>INDEX('Main Data'!$A$1:$O$1001,MATCH('Index&amp;Match'!$A776,'Main Data'!$A$1:$A$1001,0),MATCH('Index&amp;Match'!F775,'Main Data'!$A775:$O775,0))</f>
        <v>Mortgage</v>
      </c>
      <c r="G776" s="2" t="str">
        <f>INDEX('Main Data'!$A$1:$O$1001,MATCH('Index&amp;Match'!$A776,'Main Data'!$A$1:$A$1001,0),MATCH('Index&amp;Match'!G775,'Main Data'!$A775:$O775,0))</f>
        <v>Email Campaign</v>
      </c>
      <c r="H776" s="2" t="str">
        <f>INDEX('Main Data'!$A$1:$O$1001,MATCH('Index&amp;Match'!$A776,'Main Data'!$A$1:$A$1001,0),MATCH('Index&amp;Match'!H775,'Main Data'!$A775:$O775,0))</f>
        <v>High Net Worth</v>
      </c>
      <c r="I776" s="2">
        <f>INDEX('Main Data'!$A$1:$O$1001,MATCH('Index&amp;Match'!$A776,'Main Data'!$A$1:$A$1001,0),MATCH('Index&amp;Match'!I775,'Main Data'!$A775:$O775,0))</f>
        <v>29</v>
      </c>
      <c r="J776" s="2">
        <f>INDEX('Main Data'!$A$1:$O$1001,MATCH('Index&amp;Match'!$A776,'Main Data'!$A$1:$A$1001,0),MATCH('Index&amp;Match'!J775,'Main Data'!$A775:$O775,0))</f>
        <v>29</v>
      </c>
      <c r="K776" s="11">
        <f>INDEX('Main Data'!$A$1:$O$1001,MATCH('Index&amp;Match'!$A776,'Main Data'!$A$1:$A$1001,0),MATCH('Index&amp;Match'!K775,'Main Data'!$A775:$O775,0))</f>
        <v>13935.83</v>
      </c>
      <c r="L776" s="11">
        <f>INDEX('Main Data'!$A$1:$O$1001,MATCH('Index&amp;Match'!$A776,'Main Data'!$A$1:$A$1001,0),MATCH('Index&amp;Match'!L775,'Main Data'!$A775:$O775,0))</f>
        <v>168.93</v>
      </c>
      <c r="M776" s="11">
        <f>INDEX('Main Data'!$A$1:$O$1001,MATCH('Index&amp;Match'!$A776,'Main Data'!$A$1:$A$1001,0),MATCH('Index&amp;Match'!M775,'Main Data'!$A775:$O775,0))</f>
        <v>194.42</v>
      </c>
      <c r="N776" s="2" t="str">
        <f>INDEX('Main Data'!$A$1:$O$1001,MATCH('Index&amp;Match'!$A776,'Main Data'!$A$1:$A$1001,0),MATCH('Index&amp;Match'!N775,'Main Data'!$A775:$O775,0))</f>
        <v>Yes</v>
      </c>
      <c r="O776" s="2">
        <f>INDEX('Main Data'!$A$1:$O$1001,MATCH('Index&amp;Match'!$A776,'Main Data'!$A$1:$A$1001,0),MATCH('Index&amp;Match'!O775,'Main Data'!$A775:$O775,0))</f>
        <v>29</v>
      </c>
    </row>
    <row r="777" spans="1:15" x14ac:dyDescent="0.3">
      <c r="A777" s="2" t="s">
        <v>834</v>
      </c>
      <c r="B777" s="1">
        <f>INDEX('Main Data'!$A$1:$O$1001,MATCH('Index&amp;Match'!$A777,'Main Data'!$A$1:$A$1001,0),MATCH('Index&amp;Match'!B776,'Main Data'!$A776:$O776,0))</f>
        <v>46181</v>
      </c>
      <c r="C777" s="2" t="str">
        <f>INDEX('Main Data'!$A$1:$O$1001,MATCH('Index&amp;Match'!$A777,'Main Data'!$A$1:$A$1001,0),MATCH('Index&amp;Match'!C776,'Main Data'!$A776:$O776,0))</f>
        <v>Casey</v>
      </c>
      <c r="D777" s="2" t="str">
        <f>INDEX('Main Data'!$A$1:$O$1001,MATCH('Index&amp;Match'!$A777,'Main Data'!$A$1:$A$1001,0),MATCH('Index&amp;Match'!D776,'Main Data'!$A776:$O776,0))</f>
        <v>BR-012</v>
      </c>
      <c r="E777" s="2" t="str">
        <f>INDEX('Main Data'!$A$1:$O$1001,MATCH('Index&amp;Match'!$A777,'Main Data'!$A$1:$A$1001,0),MATCH('Index&amp;Match'!E776,'Main Data'!$A776:$O776,0))</f>
        <v>Central</v>
      </c>
      <c r="F777" s="2" t="str">
        <f>INDEX('Main Data'!$A$1:$O$1001,MATCH('Index&amp;Match'!$A777,'Main Data'!$A$1:$A$1001,0),MATCH('Index&amp;Match'!F776,'Main Data'!$A776:$O776,0))</f>
        <v>Personal Loan</v>
      </c>
      <c r="G777" s="2" t="str">
        <f>INDEX('Main Data'!$A$1:$O$1001,MATCH('Index&amp;Match'!$A777,'Main Data'!$A$1:$A$1001,0),MATCH('Index&amp;Match'!G776,'Main Data'!$A776:$O776,0))</f>
        <v>Website</v>
      </c>
      <c r="H777" s="2" t="str">
        <f>INDEX('Main Data'!$A$1:$O$1001,MATCH('Index&amp;Match'!$A777,'Main Data'!$A$1:$A$1001,0),MATCH('Index&amp;Match'!H776,'Main Data'!$A776:$O776,0))</f>
        <v>Corporate</v>
      </c>
      <c r="I777" s="2">
        <f>INDEX('Main Data'!$A$1:$O$1001,MATCH('Index&amp;Match'!$A777,'Main Data'!$A$1:$A$1001,0),MATCH('Index&amp;Match'!I776,'Main Data'!$A776:$O776,0))</f>
        <v>74</v>
      </c>
      <c r="J777" s="2">
        <f>INDEX('Main Data'!$A$1:$O$1001,MATCH('Index&amp;Match'!$A777,'Main Data'!$A$1:$A$1001,0),MATCH('Index&amp;Match'!J776,'Main Data'!$A776:$O776,0))</f>
        <v>74</v>
      </c>
      <c r="K777" s="11">
        <f>INDEX('Main Data'!$A$1:$O$1001,MATCH('Index&amp;Match'!$A777,'Main Data'!$A$1:$A$1001,0),MATCH('Index&amp;Match'!K776,'Main Data'!$A776:$O776,0))</f>
        <v>683.27</v>
      </c>
      <c r="L777" s="11">
        <f>INDEX('Main Data'!$A$1:$O$1001,MATCH('Index&amp;Match'!$A777,'Main Data'!$A$1:$A$1001,0),MATCH('Index&amp;Match'!L776,'Main Data'!$A776:$O776,0))</f>
        <v>179.26</v>
      </c>
      <c r="M777" s="11">
        <f>INDEX('Main Data'!$A$1:$O$1001,MATCH('Index&amp;Match'!$A777,'Main Data'!$A$1:$A$1001,0),MATCH('Index&amp;Match'!M776,'Main Data'!$A776:$O776,0))</f>
        <v>67.75</v>
      </c>
      <c r="N777" s="2" t="str">
        <f>INDEX('Main Data'!$A$1:$O$1001,MATCH('Index&amp;Match'!$A777,'Main Data'!$A$1:$A$1001,0),MATCH('Index&amp;Match'!N776,'Main Data'!$A776:$O776,0))</f>
        <v>No</v>
      </c>
      <c r="O777" s="2">
        <f>INDEX('Main Data'!$A$1:$O$1001,MATCH('Index&amp;Match'!$A777,'Main Data'!$A$1:$A$1001,0),MATCH('Index&amp;Match'!O776,'Main Data'!$A776:$O776,0))</f>
        <v>74</v>
      </c>
    </row>
    <row r="778" spans="1:15" x14ac:dyDescent="0.3">
      <c r="A778" s="2" t="s">
        <v>835</v>
      </c>
      <c r="B778" s="1">
        <f>INDEX('Main Data'!$A$1:$O$1001,MATCH('Index&amp;Match'!$A778,'Main Data'!$A$1:$A$1001,0),MATCH('Index&amp;Match'!B777,'Main Data'!$A777:$O777,0))</f>
        <v>46219</v>
      </c>
      <c r="C778" s="2" t="str">
        <f>INDEX('Main Data'!$A$1:$O$1001,MATCH('Index&amp;Match'!$A778,'Main Data'!$A$1:$A$1001,0),MATCH('Index&amp;Match'!C777,'Main Data'!$A777:$O777,0))</f>
        <v>Alex</v>
      </c>
      <c r="D778" s="2" t="str">
        <f>INDEX('Main Data'!$A$1:$O$1001,MATCH('Index&amp;Match'!$A778,'Main Data'!$A$1:$A$1001,0),MATCH('Index&amp;Match'!D777,'Main Data'!$A777:$O777,0))</f>
        <v>BR-002</v>
      </c>
      <c r="E778" s="2" t="str">
        <f>INDEX('Main Data'!$A$1:$O$1001,MATCH('Index&amp;Match'!$A778,'Main Data'!$A$1:$A$1001,0),MATCH('Index&amp;Match'!E777,'Main Data'!$A777:$O777,0))</f>
        <v>North</v>
      </c>
      <c r="F778" s="2" t="str">
        <f>INDEX('Main Data'!$A$1:$O$1001,MATCH('Index&amp;Match'!$A778,'Main Data'!$A$1:$A$1001,0),MATCH('Index&amp;Match'!F777,'Main Data'!$A777:$O777,0))</f>
        <v>Mortgage</v>
      </c>
      <c r="G778" s="2" t="str">
        <f>INDEX('Main Data'!$A$1:$O$1001,MATCH('Index&amp;Match'!$A778,'Main Data'!$A$1:$A$1001,0),MATCH('Index&amp;Match'!G777,'Main Data'!$A777:$O777,0))</f>
        <v>Walk-in</v>
      </c>
      <c r="H778" s="2" t="str">
        <f>INDEX('Main Data'!$A$1:$O$1001,MATCH('Index&amp;Match'!$A778,'Main Data'!$A$1:$A$1001,0),MATCH('Index&amp;Match'!H777,'Main Data'!$A777:$O777,0))</f>
        <v>SME</v>
      </c>
      <c r="I778" s="2">
        <f>INDEX('Main Data'!$A$1:$O$1001,MATCH('Index&amp;Match'!$A778,'Main Data'!$A$1:$A$1001,0),MATCH('Index&amp;Match'!I777,'Main Data'!$A777:$O777,0))</f>
        <v>41</v>
      </c>
      <c r="J778" s="2">
        <f>INDEX('Main Data'!$A$1:$O$1001,MATCH('Index&amp;Match'!$A778,'Main Data'!$A$1:$A$1001,0),MATCH('Index&amp;Match'!J777,'Main Data'!$A777:$O777,0))</f>
        <v>41</v>
      </c>
      <c r="K778" s="11">
        <f>INDEX('Main Data'!$A$1:$O$1001,MATCH('Index&amp;Match'!$A778,'Main Data'!$A$1:$A$1001,0),MATCH('Index&amp;Match'!K777,'Main Data'!$A777:$O777,0))</f>
        <v>8546.7800000000007</v>
      </c>
      <c r="L778" s="11">
        <f>INDEX('Main Data'!$A$1:$O$1001,MATCH('Index&amp;Match'!$A778,'Main Data'!$A$1:$A$1001,0),MATCH('Index&amp;Match'!L777,'Main Data'!$A777:$O777,0))</f>
        <v>280.10000000000002</v>
      </c>
      <c r="M778" s="11">
        <f>INDEX('Main Data'!$A$1:$O$1001,MATCH('Index&amp;Match'!$A778,'Main Data'!$A$1:$A$1001,0),MATCH('Index&amp;Match'!M777,'Main Data'!$A777:$O777,0))</f>
        <v>94</v>
      </c>
      <c r="N778" s="2" t="str">
        <f>INDEX('Main Data'!$A$1:$O$1001,MATCH('Index&amp;Match'!$A778,'Main Data'!$A$1:$A$1001,0),MATCH('Index&amp;Match'!N777,'Main Data'!$A777:$O777,0))</f>
        <v>No</v>
      </c>
      <c r="O778" s="2">
        <f>INDEX('Main Data'!$A$1:$O$1001,MATCH('Index&amp;Match'!$A778,'Main Data'!$A$1:$A$1001,0),MATCH('Index&amp;Match'!O777,'Main Data'!$A777:$O777,0))</f>
        <v>41</v>
      </c>
    </row>
    <row r="779" spans="1:15" x14ac:dyDescent="0.3">
      <c r="A779" s="2" t="s">
        <v>836</v>
      </c>
      <c r="B779" s="1">
        <f>INDEX('Main Data'!$A$1:$O$1001,MATCH('Index&amp;Match'!$A779,'Main Data'!$A$1:$A$1001,0),MATCH('Index&amp;Match'!B778,'Main Data'!$A778:$O778,0))</f>
        <v>45910</v>
      </c>
      <c r="C779" s="2" t="str">
        <f>INDEX('Main Data'!$A$1:$O$1001,MATCH('Index&amp;Match'!$A779,'Main Data'!$A$1:$A$1001,0),MATCH('Index&amp;Match'!C778,'Main Data'!$A778:$O778,0))</f>
        <v>Drew</v>
      </c>
      <c r="D779" s="2" t="str">
        <f>INDEX('Main Data'!$A$1:$O$1001,MATCH('Index&amp;Match'!$A779,'Main Data'!$A$1:$A$1001,0),MATCH('Index&amp;Match'!D778,'Main Data'!$A778:$O778,0))</f>
        <v>BR-002</v>
      </c>
      <c r="E779" s="2" t="str">
        <f>INDEX('Main Data'!$A$1:$O$1001,MATCH('Index&amp;Match'!$A779,'Main Data'!$A$1:$A$1001,0),MATCH('Index&amp;Match'!E778,'Main Data'!$A778:$O778,0))</f>
        <v>South</v>
      </c>
      <c r="F779" s="2" t="str">
        <f>INDEX('Main Data'!$A$1:$O$1001,MATCH('Index&amp;Match'!$A779,'Main Data'!$A$1:$A$1001,0),MATCH('Index&amp;Match'!F778,'Main Data'!$A778:$O778,0))</f>
        <v>Wealth Management</v>
      </c>
      <c r="G779" s="2" t="str">
        <f>INDEX('Main Data'!$A$1:$O$1001,MATCH('Index&amp;Match'!$A779,'Main Data'!$A$1:$A$1001,0),MATCH('Index&amp;Match'!G778,'Main Data'!$A778:$O778,0))</f>
        <v>Website</v>
      </c>
      <c r="H779" s="2" t="str">
        <f>INDEX('Main Data'!$A$1:$O$1001,MATCH('Index&amp;Match'!$A779,'Main Data'!$A$1:$A$1001,0),MATCH('Index&amp;Match'!H778,'Main Data'!$A778:$O778,0))</f>
        <v>Retail</v>
      </c>
      <c r="I779" s="2">
        <f>INDEX('Main Data'!$A$1:$O$1001,MATCH('Index&amp;Match'!$A779,'Main Data'!$A$1:$A$1001,0),MATCH('Index&amp;Match'!I778,'Main Data'!$A778:$O778,0))</f>
        <v>32</v>
      </c>
      <c r="J779" s="2">
        <f>INDEX('Main Data'!$A$1:$O$1001,MATCH('Index&amp;Match'!$A779,'Main Data'!$A$1:$A$1001,0),MATCH('Index&amp;Match'!J778,'Main Data'!$A778:$O778,0))</f>
        <v>32</v>
      </c>
      <c r="K779" s="11">
        <f>INDEX('Main Data'!$A$1:$O$1001,MATCH('Index&amp;Match'!$A779,'Main Data'!$A$1:$A$1001,0),MATCH('Index&amp;Match'!K778,'Main Data'!$A778:$O778,0))</f>
        <v>17801.38</v>
      </c>
      <c r="L779" s="11">
        <f>INDEX('Main Data'!$A$1:$O$1001,MATCH('Index&amp;Match'!$A779,'Main Data'!$A$1:$A$1001,0),MATCH('Index&amp;Match'!L778,'Main Data'!$A778:$O778,0))</f>
        <v>413.01</v>
      </c>
      <c r="M779" s="11">
        <f>INDEX('Main Data'!$A$1:$O$1001,MATCH('Index&amp;Match'!$A779,'Main Data'!$A$1:$A$1001,0),MATCH('Index&amp;Match'!M778,'Main Data'!$A778:$O778,0))</f>
        <v>171.58</v>
      </c>
      <c r="N779" s="2" t="str">
        <f>INDEX('Main Data'!$A$1:$O$1001,MATCH('Index&amp;Match'!$A779,'Main Data'!$A$1:$A$1001,0),MATCH('Index&amp;Match'!N778,'Main Data'!$A778:$O778,0))</f>
        <v>Yes</v>
      </c>
      <c r="O779" s="2">
        <f>INDEX('Main Data'!$A$1:$O$1001,MATCH('Index&amp;Match'!$A779,'Main Data'!$A$1:$A$1001,0),MATCH('Index&amp;Match'!O778,'Main Data'!$A778:$O778,0))</f>
        <v>32</v>
      </c>
    </row>
    <row r="780" spans="1:15" x14ac:dyDescent="0.3">
      <c r="A780" s="2" t="s">
        <v>837</v>
      </c>
      <c r="B780" s="1">
        <f>INDEX('Main Data'!$A$1:$O$1001,MATCH('Index&amp;Match'!$A780,'Main Data'!$A$1:$A$1001,0),MATCH('Index&amp;Match'!B779,'Main Data'!$A779:$O779,0))</f>
        <v>45910</v>
      </c>
      <c r="C780" s="2" t="str">
        <f>INDEX('Main Data'!$A$1:$O$1001,MATCH('Index&amp;Match'!$A780,'Main Data'!$A$1:$A$1001,0),MATCH('Index&amp;Match'!C779,'Main Data'!$A779:$O779,0))</f>
        <v>Drew</v>
      </c>
      <c r="D780" s="2" t="str">
        <f>INDEX('Main Data'!$A$1:$O$1001,MATCH('Index&amp;Match'!$A780,'Main Data'!$A$1:$A$1001,0),MATCH('Index&amp;Match'!D779,'Main Data'!$A779:$O779,0))</f>
        <v>BR-001</v>
      </c>
      <c r="E780" s="2" t="str">
        <f>INDEX('Main Data'!$A$1:$O$1001,MATCH('Index&amp;Match'!$A780,'Main Data'!$A$1:$A$1001,0),MATCH('Index&amp;Match'!E779,'Main Data'!$A779:$O779,0))</f>
        <v>North</v>
      </c>
      <c r="F780" s="2" t="str">
        <f>INDEX('Main Data'!$A$1:$O$1001,MATCH('Index&amp;Match'!$A780,'Main Data'!$A$1:$A$1001,0),MATCH('Index&amp;Match'!F779,'Main Data'!$A779:$O779,0))</f>
        <v>Wealth Management</v>
      </c>
      <c r="G780" s="2" t="str">
        <f>INDEX('Main Data'!$A$1:$O$1001,MATCH('Index&amp;Match'!$A780,'Main Data'!$A$1:$A$1001,0),MATCH('Index&amp;Match'!G779,'Main Data'!$A779:$O779,0))</f>
        <v>Website</v>
      </c>
      <c r="H780" s="2" t="str">
        <f>INDEX('Main Data'!$A$1:$O$1001,MATCH('Index&amp;Match'!$A780,'Main Data'!$A$1:$A$1001,0),MATCH('Index&amp;Match'!H779,'Main Data'!$A779:$O779,0))</f>
        <v>Retail</v>
      </c>
      <c r="I780" s="2">
        <f>INDEX('Main Data'!$A$1:$O$1001,MATCH('Index&amp;Match'!$A780,'Main Data'!$A$1:$A$1001,0),MATCH('Index&amp;Match'!I779,'Main Data'!$A779:$O779,0))</f>
        <v>49</v>
      </c>
      <c r="J780" s="2">
        <f>INDEX('Main Data'!$A$1:$O$1001,MATCH('Index&amp;Match'!$A780,'Main Data'!$A$1:$A$1001,0),MATCH('Index&amp;Match'!J779,'Main Data'!$A779:$O779,0))</f>
        <v>49</v>
      </c>
      <c r="K780" s="11">
        <f>INDEX('Main Data'!$A$1:$O$1001,MATCH('Index&amp;Match'!$A780,'Main Data'!$A$1:$A$1001,0),MATCH('Index&amp;Match'!K779,'Main Data'!$A779:$O779,0))</f>
        <v>16128.2</v>
      </c>
      <c r="L780" s="11">
        <f>INDEX('Main Data'!$A$1:$O$1001,MATCH('Index&amp;Match'!$A780,'Main Data'!$A$1:$A$1001,0),MATCH('Index&amp;Match'!L779,'Main Data'!$A779:$O779,0))</f>
        <v>72.44</v>
      </c>
      <c r="M780" s="11">
        <f>INDEX('Main Data'!$A$1:$O$1001,MATCH('Index&amp;Match'!$A780,'Main Data'!$A$1:$A$1001,0),MATCH('Index&amp;Match'!M779,'Main Data'!$A779:$O779,0))</f>
        <v>59.71</v>
      </c>
      <c r="N780" s="2" t="str">
        <f>INDEX('Main Data'!$A$1:$O$1001,MATCH('Index&amp;Match'!$A780,'Main Data'!$A$1:$A$1001,0),MATCH('Index&amp;Match'!N779,'Main Data'!$A779:$O779,0))</f>
        <v>Yes</v>
      </c>
      <c r="O780" s="2">
        <f>INDEX('Main Data'!$A$1:$O$1001,MATCH('Index&amp;Match'!$A780,'Main Data'!$A$1:$A$1001,0),MATCH('Index&amp;Match'!O779,'Main Data'!$A779:$O779,0))</f>
        <v>49</v>
      </c>
    </row>
    <row r="781" spans="1:15" x14ac:dyDescent="0.3">
      <c r="A781" s="2" t="s">
        <v>838</v>
      </c>
      <c r="B781" s="1">
        <f>INDEX('Main Data'!$A$1:$O$1001,MATCH('Index&amp;Match'!$A781,'Main Data'!$A$1:$A$1001,0),MATCH('Index&amp;Match'!B780,'Main Data'!$A780:$O780,0))</f>
        <v>46178</v>
      </c>
      <c r="C781" s="2" t="str">
        <f>INDEX('Main Data'!$A$1:$O$1001,MATCH('Index&amp;Match'!$A781,'Main Data'!$A$1:$A$1001,0),MATCH('Index&amp;Match'!C780,'Main Data'!$A780:$O780,0))</f>
        <v>Taylor</v>
      </c>
      <c r="D781" s="2" t="str">
        <f>INDEX('Main Data'!$A$1:$O$1001,MATCH('Index&amp;Match'!$A781,'Main Data'!$A$1:$A$1001,0),MATCH('Index&amp;Match'!D780,'Main Data'!$A780:$O780,0))</f>
        <v>BR-015</v>
      </c>
      <c r="E781" s="2" t="str">
        <f>INDEX('Main Data'!$A$1:$O$1001,MATCH('Index&amp;Match'!$A781,'Main Data'!$A$1:$A$1001,0),MATCH('Index&amp;Match'!E780,'Main Data'!$A780:$O780,0))</f>
        <v>West</v>
      </c>
      <c r="F781" s="2" t="str">
        <f>INDEX('Main Data'!$A$1:$O$1001,MATCH('Index&amp;Match'!$A781,'Main Data'!$A$1:$A$1001,0),MATCH('Index&amp;Match'!F780,'Main Data'!$A780:$O780,0))</f>
        <v>Personal Loan</v>
      </c>
      <c r="G781" s="2" t="str">
        <f>INDEX('Main Data'!$A$1:$O$1001,MATCH('Index&amp;Match'!$A781,'Main Data'!$A$1:$A$1001,0),MATCH('Index&amp;Match'!G780,'Main Data'!$A780:$O780,0))</f>
        <v>Walk-in</v>
      </c>
      <c r="H781" s="2" t="str">
        <f>INDEX('Main Data'!$A$1:$O$1001,MATCH('Index&amp;Match'!$A781,'Main Data'!$A$1:$A$1001,0),MATCH('Index&amp;Match'!H780,'Main Data'!$A780:$O780,0))</f>
        <v>High Net Worth</v>
      </c>
      <c r="I781" s="2">
        <f>INDEX('Main Data'!$A$1:$O$1001,MATCH('Index&amp;Match'!$A781,'Main Data'!$A$1:$A$1001,0),MATCH('Index&amp;Match'!I780,'Main Data'!$A780:$O780,0))</f>
        <v>53</v>
      </c>
      <c r="J781" s="2">
        <f>INDEX('Main Data'!$A$1:$O$1001,MATCH('Index&amp;Match'!$A781,'Main Data'!$A$1:$A$1001,0),MATCH('Index&amp;Match'!J780,'Main Data'!$A780:$O780,0))</f>
        <v>53</v>
      </c>
      <c r="K781" s="11">
        <f>INDEX('Main Data'!$A$1:$O$1001,MATCH('Index&amp;Match'!$A781,'Main Data'!$A$1:$A$1001,0),MATCH('Index&amp;Match'!K780,'Main Data'!$A780:$O780,0))</f>
        <v>39672.46</v>
      </c>
      <c r="L781" s="11">
        <f>INDEX('Main Data'!$A$1:$O$1001,MATCH('Index&amp;Match'!$A781,'Main Data'!$A$1:$A$1001,0),MATCH('Index&amp;Match'!L780,'Main Data'!$A780:$O780,0))</f>
        <v>321.52999999999997</v>
      </c>
      <c r="M781" s="11">
        <f>INDEX('Main Data'!$A$1:$O$1001,MATCH('Index&amp;Match'!$A781,'Main Data'!$A$1:$A$1001,0),MATCH('Index&amp;Match'!M780,'Main Data'!$A780:$O780,0))</f>
        <v>277.12</v>
      </c>
      <c r="N781" s="2" t="str">
        <f>INDEX('Main Data'!$A$1:$O$1001,MATCH('Index&amp;Match'!$A781,'Main Data'!$A$1:$A$1001,0),MATCH('Index&amp;Match'!N780,'Main Data'!$A780:$O780,0))</f>
        <v>Yes</v>
      </c>
      <c r="O781" s="2">
        <f>INDEX('Main Data'!$A$1:$O$1001,MATCH('Index&amp;Match'!$A781,'Main Data'!$A$1:$A$1001,0),MATCH('Index&amp;Match'!O780,'Main Data'!$A780:$O780,0))</f>
        <v>53</v>
      </c>
    </row>
    <row r="782" spans="1:15" x14ac:dyDescent="0.3">
      <c r="A782" s="2" t="s">
        <v>839</v>
      </c>
      <c r="B782" s="1">
        <f>INDEX('Main Data'!$A$1:$O$1001,MATCH('Index&amp;Match'!$A782,'Main Data'!$A$1:$A$1001,0),MATCH('Index&amp;Match'!B781,'Main Data'!$A781:$O781,0))</f>
        <v>46041</v>
      </c>
      <c r="C782" s="2" t="str">
        <f>INDEX('Main Data'!$A$1:$O$1001,MATCH('Index&amp;Match'!$A782,'Main Data'!$A$1:$A$1001,0),MATCH('Index&amp;Match'!C781,'Main Data'!$A781:$O781,0))</f>
        <v>Alex</v>
      </c>
      <c r="D782" s="2" t="str">
        <f>INDEX('Main Data'!$A$1:$O$1001,MATCH('Index&amp;Match'!$A782,'Main Data'!$A$1:$A$1001,0),MATCH('Index&amp;Match'!D781,'Main Data'!$A781:$O781,0))</f>
        <v>BR-005</v>
      </c>
      <c r="E782" s="2" t="str">
        <f>INDEX('Main Data'!$A$1:$O$1001,MATCH('Index&amp;Match'!$A782,'Main Data'!$A$1:$A$1001,0),MATCH('Index&amp;Match'!E781,'Main Data'!$A781:$O781,0))</f>
        <v>North</v>
      </c>
      <c r="F782" s="2" t="str">
        <f>INDEX('Main Data'!$A$1:$O$1001,MATCH('Index&amp;Match'!$A782,'Main Data'!$A$1:$A$1001,0),MATCH('Index&amp;Match'!F781,'Main Data'!$A781:$O781,0))</f>
        <v>Wealth Management</v>
      </c>
      <c r="G782" s="2" t="str">
        <f>INDEX('Main Data'!$A$1:$O$1001,MATCH('Index&amp;Match'!$A782,'Main Data'!$A$1:$A$1001,0),MATCH('Index&amp;Match'!G781,'Main Data'!$A781:$O781,0))</f>
        <v>Walk-in</v>
      </c>
      <c r="H782" s="2" t="str">
        <f>INDEX('Main Data'!$A$1:$O$1001,MATCH('Index&amp;Match'!$A782,'Main Data'!$A$1:$A$1001,0),MATCH('Index&amp;Match'!H781,'Main Data'!$A781:$O781,0))</f>
        <v>Retail</v>
      </c>
      <c r="I782" s="2">
        <f>INDEX('Main Data'!$A$1:$O$1001,MATCH('Index&amp;Match'!$A782,'Main Data'!$A$1:$A$1001,0),MATCH('Index&amp;Match'!I781,'Main Data'!$A781:$O781,0))</f>
        <v>63</v>
      </c>
      <c r="J782" s="2">
        <f>INDEX('Main Data'!$A$1:$O$1001,MATCH('Index&amp;Match'!$A782,'Main Data'!$A$1:$A$1001,0),MATCH('Index&amp;Match'!J781,'Main Data'!$A781:$O781,0))</f>
        <v>63</v>
      </c>
      <c r="K782" s="11">
        <f>INDEX('Main Data'!$A$1:$O$1001,MATCH('Index&amp;Match'!$A782,'Main Data'!$A$1:$A$1001,0),MATCH('Index&amp;Match'!K781,'Main Data'!$A781:$O781,0))</f>
        <v>34187.75</v>
      </c>
      <c r="L782" s="11">
        <f>INDEX('Main Data'!$A$1:$O$1001,MATCH('Index&amp;Match'!$A782,'Main Data'!$A$1:$A$1001,0),MATCH('Index&amp;Match'!L781,'Main Data'!$A781:$O781,0))</f>
        <v>413.05</v>
      </c>
      <c r="M782" s="11">
        <f>INDEX('Main Data'!$A$1:$O$1001,MATCH('Index&amp;Match'!$A782,'Main Data'!$A$1:$A$1001,0),MATCH('Index&amp;Match'!M781,'Main Data'!$A781:$O781,0))</f>
        <v>45.96</v>
      </c>
      <c r="N782" s="2" t="str">
        <f>INDEX('Main Data'!$A$1:$O$1001,MATCH('Index&amp;Match'!$A782,'Main Data'!$A$1:$A$1001,0),MATCH('Index&amp;Match'!N781,'Main Data'!$A781:$O781,0))</f>
        <v>No</v>
      </c>
      <c r="O782" s="2">
        <f>INDEX('Main Data'!$A$1:$O$1001,MATCH('Index&amp;Match'!$A782,'Main Data'!$A$1:$A$1001,0),MATCH('Index&amp;Match'!O781,'Main Data'!$A781:$O781,0))</f>
        <v>63</v>
      </c>
    </row>
    <row r="783" spans="1:15" x14ac:dyDescent="0.3">
      <c r="A783" s="2" t="s">
        <v>840</v>
      </c>
      <c r="B783" s="1">
        <f>INDEX('Main Data'!$A$1:$O$1001,MATCH('Index&amp;Match'!$A783,'Main Data'!$A$1:$A$1001,0),MATCH('Index&amp;Match'!B782,'Main Data'!$A782:$O782,0))</f>
        <v>46126</v>
      </c>
      <c r="C783" s="2" t="str">
        <f>INDEX('Main Data'!$A$1:$O$1001,MATCH('Index&amp;Match'!$A783,'Main Data'!$A$1:$A$1001,0),MATCH('Index&amp;Match'!C782,'Main Data'!$A782:$O782,0))</f>
        <v>Taylor</v>
      </c>
      <c r="D783" s="2" t="str">
        <f>INDEX('Main Data'!$A$1:$O$1001,MATCH('Index&amp;Match'!$A783,'Main Data'!$A$1:$A$1001,0),MATCH('Index&amp;Match'!D782,'Main Data'!$A782:$O782,0))</f>
        <v>BR-004</v>
      </c>
      <c r="E783" s="2" t="str">
        <f>INDEX('Main Data'!$A$1:$O$1001,MATCH('Index&amp;Match'!$A783,'Main Data'!$A$1:$A$1001,0),MATCH('Index&amp;Match'!E782,'Main Data'!$A782:$O782,0))</f>
        <v>West</v>
      </c>
      <c r="F783" s="2" t="str">
        <f>INDEX('Main Data'!$A$1:$O$1001,MATCH('Index&amp;Match'!$A783,'Main Data'!$A$1:$A$1001,0),MATCH('Index&amp;Match'!F782,'Main Data'!$A782:$O782,0))</f>
        <v>Personal Loan</v>
      </c>
      <c r="G783" s="2" t="str">
        <f>INDEX('Main Data'!$A$1:$O$1001,MATCH('Index&amp;Match'!$A783,'Main Data'!$A$1:$A$1001,0),MATCH('Index&amp;Match'!G782,'Main Data'!$A782:$O782,0))</f>
        <v>Social Media</v>
      </c>
      <c r="H783" s="2" t="str">
        <f>INDEX('Main Data'!$A$1:$O$1001,MATCH('Index&amp;Match'!$A783,'Main Data'!$A$1:$A$1001,0),MATCH('Index&amp;Match'!H782,'Main Data'!$A782:$O782,0))</f>
        <v>SME</v>
      </c>
      <c r="I783" s="2">
        <f>INDEX('Main Data'!$A$1:$O$1001,MATCH('Index&amp;Match'!$A783,'Main Data'!$A$1:$A$1001,0),MATCH('Index&amp;Match'!I782,'Main Data'!$A782:$O782,0))</f>
        <v>73</v>
      </c>
      <c r="J783" s="2">
        <f>INDEX('Main Data'!$A$1:$O$1001,MATCH('Index&amp;Match'!$A783,'Main Data'!$A$1:$A$1001,0),MATCH('Index&amp;Match'!J782,'Main Data'!$A782:$O782,0))</f>
        <v>73</v>
      </c>
      <c r="K783" s="11">
        <f>INDEX('Main Data'!$A$1:$O$1001,MATCH('Index&amp;Match'!$A783,'Main Data'!$A$1:$A$1001,0),MATCH('Index&amp;Match'!K782,'Main Data'!$A782:$O782,0))</f>
        <v>15328.04</v>
      </c>
      <c r="L783" s="11">
        <f>INDEX('Main Data'!$A$1:$O$1001,MATCH('Index&amp;Match'!$A783,'Main Data'!$A$1:$A$1001,0),MATCH('Index&amp;Match'!L782,'Main Data'!$A782:$O782,0))</f>
        <v>120.61</v>
      </c>
      <c r="M783" s="11">
        <f>INDEX('Main Data'!$A$1:$O$1001,MATCH('Index&amp;Match'!$A783,'Main Data'!$A$1:$A$1001,0),MATCH('Index&amp;Match'!M782,'Main Data'!$A782:$O782,0))</f>
        <v>149.9</v>
      </c>
      <c r="N783" s="2" t="str">
        <f>INDEX('Main Data'!$A$1:$O$1001,MATCH('Index&amp;Match'!$A783,'Main Data'!$A$1:$A$1001,0),MATCH('Index&amp;Match'!N782,'Main Data'!$A782:$O782,0))</f>
        <v>Yes</v>
      </c>
      <c r="O783" s="2">
        <f>INDEX('Main Data'!$A$1:$O$1001,MATCH('Index&amp;Match'!$A783,'Main Data'!$A$1:$A$1001,0),MATCH('Index&amp;Match'!O782,'Main Data'!$A782:$O782,0))</f>
        <v>73</v>
      </c>
    </row>
    <row r="784" spans="1:15" x14ac:dyDescent="0.3">
      <c r="A784" s="2" t="s">
        <v>841</v>
      </c>
      <c r="B784" s="1">
        <f>INDEX('Main Data'!$A$1:$O$1001,MATCH('Index&amp;Match'!$A784,'Main Data'!$A$1:$A$1001,0),MATCH('Index&amp;Match'!B783,'Main Data'!$A783:$O783,0))</f>
        <v>46050</v>
      </c>
      <c r="C784" s="2" t="str">
        <f>INDEX('Main Data'!$A$1:$O$1001,MATCH('Index&amp;Match'!$A784,'Main Data'!$A$1:$A$1001,0),MATCH('Index&amp;Match'!C783,'Main Data'!$A783:$O783,0))</f>
        <v>Drew</v>
      </c>
      <c r="D784" s="2" t="str">
        <f>INDEX('Main Data'!$A$1:$O$1001,MATCH('Index&amp;Match'!$A784,'Main Data'!$A$1:$A$1001,0),MATCH('Index&amp;Match'!D783,'Main Data'!$A783:$O783,0))</f>
        <v>BR-011</v>
      </c>
      <c r="E784" s="2" t="str">
        <f>INDEX('Main Data'!$A$1:$O$1001,MATCH('Index&amp;Match'!$A784,'Main Data'!$A$1:$A$1001,0),MATCH('Index&amp;Match'!E783,'Main Data'!$A783:$O783,0))</f>
        <v>West</v>
      </c>
      <c r="F784" s="2" t="str">
        <f>INDEX('Main Data'!$A$1:$O$1001,MATCH('Index&amp;Match'!$A784,'Main Data'!$A$1:$A$1001,0),MATCH('Index&amp;Match'!F783,'Main Data'!$A783:$O783,0))</f>
        <v>Wealth Management</v>
      </c>
      <c r="G784" s="2" t="str">
        <f>INDEX('Main Data'!$A$1:$O$1001,MATCH('Index&amp;Match'!$A784,'Main Data'!$A$1:$A$1001,0),MATCH('Index&amp;Match'!G783,'Main Data'!$A783:$O783,0))</f>
        <v>Social Media</v>
      </c>
      <c r="H784" s="2" t="str">
        <f>INDEX('Main Data'!$A$1:$O$1001,MATCH('Index&amp;Match'!$A784,'Main Data'!$A$1:$A$1001,0),MATCH('Index&amp;Match'!H783,'Main Data'!$A783:$O783,0))</f>
        <v>Retail</v>
      </c>
      <c r="I784" s="2">
        <f>INDEX('Main Data'!$A$1:$O$1001,MATCH('Index&amp;Match'!$A784,'Main Data'!$A$1:$A$1001,0),MATCH('Index&amp;Match'!I783,'Main Data'!$A783:$O783,0))</f>
        <v>35</v>
      </c>
      <c r="J784" s="2">
        <f>INDEX('Main Data'!$A$1:$O$1001,MATCH('Index&amp;Match'!$A784,'Main Data'!$A$1:$A$1001,0),MATCH('Index&amp;Match'!J783,'Main Data'!$A783:$O783,0))</f>
        <v>35</v>
      </c>
      <c r="K784" s="11">
        <f>INDEX('Main Data'!$A$1:$O$1001,MATCH('Index&amp;Match'!$A784,'Main Data'!$A$1:$A$1001,0),MATCH('Index&amp;Match'!K783,'Main Data'!$A783:$O783,0))</f>
        <v>23158.32</v>
      </c>
      <c r="L784" s="11">
        <f>INDEX('Main Data'!$A$1:$O$1001,MATCH('Index&amp;Match'!$A784,'Main Data'!$A$1:$A$1001,0),MATCH('Index&amp;Match'!L783,'Main Data'!$A783:$O783,0))</f>
        <v>56.76</v>
      </c>
      <c r="M784" s="11">
        <f>INDEX('Main Data'!$A$1:$O$1001,MATCH('Index&amp;Match'!$A784,'Main Data'!$A$1:$A$1001,0),MATCH('Index&amp;Match'!M783,'Main Data'!$A783:$O783,0))</f>
        <v>126.11</v>
      </c>
      <c r="N784" s="2" t="str">
        <f>INDEX('Main Data'!$A$1:$O$1001,MATCH('Index&amp;Match'!$A784,'Main Data'!$A$1:$A$1001,0),MATCH('Index&amp;Match'!N783,'Main Data'!$A783:$O783,0))</f>
        <v>Yes</v>
      </c>
      <c r="O784" s="2">
        <f>INDEX('Main Data'!$A$1:$O$1001,MATCH('Index&amp;Match'!$A784,'Main Data'!$A$1:$A$1001,0),MATCH('Index&amp;Match'!O783,'Main Data'!$A783:$O783,0))</f>
        <v>35</v>
      </c>
    </row>
    <row r="785" spans="1:15" x14ac:dyDescent="0.3">
      <c r="A785" s="2" t="s">
        <v>842</v>
      </c>
      <c r="B785" s="1">
        <f>INDEX('Main Data'!$A$1:$O$1001,MATCH('Index&amp;Match'!$A785,'Main Data'!$A$1:$A$1001,0),MATCH('Index&amp;Match'!B784,'Main Data'!$A784:$O784,0))</f>
        <v>46197</v>
      </c>
      <c r="C785" s="2" t="str">
        <f>INDEX('Main Data'!$A$1:$O$1001,MATCH('Index&amp;Match'!$A785,'Main Data'!$A$1:$A$1001,0),MATCH('Index&amp;Match'!C784,'Main Data'!$A784:$O784,0))</f>
        <v>Morgan</v>
      </c>
      <c r="D785" s="2" t="str">
        <f>INDEX('Main Data'!$A$1:$O$1001,MATCH('Index&amp;Match'!$A785,'Main Data'!$A$1:$A$1001,0),MATCH('Index&amp;Match'!D784,'Main Data'!$A784:$O784,0))</f>
        <v>BR-010</v>
      </c>
      <c r="E785" s="2" t="str">
        <f>INDEX('Main Data'!$A$1:$O$1001,MATCH('Index&amp;Match'!$A785,'Main Data'!$A$1:$A$1001,0),MATCH('Index&amp;Match'!E784,'Main Data'!$A784:$O784,0))</f>
        <v>East</v>
      </c>
      <c r="F785" s="2" t="str">
        <f>INDEX('Main Data'!$A$1:$O$1001,MATCH('Index&amp;Match'!$A785,'Main Data'!$A$1:$A$1001,0),MATCH('Index&amp;Match'!F784,'Main Data'!$A784:$O784,0))</f>
        <v>Wealth Management</v>
      </c>
      <c r="G785" s="2" t="str">
        <f>INDEX('Main Data'!$A$1:$O$1001,MATCH('Index&amp;Match'!$A785,'Main Data'!$A$1:$A$1001,0),MATCH('Index&amp;Match'!G784,'Main Data'!$A784:$O784,0))</f>
        <v>Walk-in</v>
      </c>
      <c r="H785" s="2" t="str">
        <f>INDEX('Main Data'!$A$1:$O$1001,MATCH('Index&amp;Match'!$A785,'Main Data'!$A$1:$A$1001,0),MATCH('Index&amp;Match'!H784,'Main Data'!$A784:$O784,0))</f>
        <v>SME</v>
      </c>
      <c r="I785" s="2">
        <f>INDEX('Main Data'!$A$1:$O$1001,MATCH('Index&amp;Match'!$A785,'Main Data'!$A$1:$A$1001,0),MATCH('Index&amp;Match'!I784,'Main Data'!$A784:$O784,0))</f>
        <v>22</v>
      </c>
      <c r="J785" s="2">
        <f>INDEX('Main Data'!$A$1:$O$1001,MATCH('Index&amp;Match'!$A785,'Main Data'!$A$1:$A$1001,0),MATCH('Index&amp;Match'!J784,'Main Data'!$A784:$O784,0))</f>
        <v>22</v>
      </c>
      <c r="K785" s="11">
        <f>INDEX('Main Data'!$A$1:$O$1001,MATCH('Index&amp;Match'!$A785,'Main Data'!$A$1:$A$1001,0),MATCH('Index&amp;Match'!K784,'Main Data'!$A784:$O784,0))</f>
        <v>5230.18</v>
      </c>
      <c r="L785" s="11">
        <f>INDEX('Main Data'!$A$1:$O$1001,MATCH('Index&amp;Match'!$A785,'Main Data'!$A$1:$A$1001,0),MATCH('Index&amp;Match'!L784,'Main Data'!$A784:$O784,0))</f>
        <v>190.72</v>
      </c>
      <c r="M785" s="11">
        <f>INDEX('Main Data'!$A$1:$O$1001,MATCH('Index&amp;Match'!$A785,'Main Data'!$A$1:$A$1001,0),MATCH('Index&amp;Match'!M784,'Main Data'!$A784:$O784,0))</f>
        <v>149.91999999999999</v>
      </c>
      <c r="N785" s="2" t="str">
        <f>INDEX('Main Data'!$A$1:$O$1001,MATCH('Index&amp;Match'!$A785,'Main Data'!$A$1:$A$1001,0),MATCH('Index&amp;Match'!N784,'Main Data'!$A784:$O784,0))</f>
        <v>Yes</v>
      </c>
      <c r="O785" s="2">
        <f>INDEX('Main Data'!$A$1:$O$1001,MATCH('Index&amp;Match'!$A785,'Main Data'!$A$1:$A$1001,0),MATCH('Index&amp;Match'!O784,'Main Data'!$A784:$O784,0))</f>
        <v>22</v>
      </c>
    </row>
    <row r="786" spans="1:15" x14ac:dyDescent="0.3">
      <c r="A786" s="2" t="s">
        <v>843</v>
      </c>
      <c r="B786" s="1">
        <f>INDEX('Main Data'!$A$1:$O$1001,MATCH('Index&amp;Match'!$A786,'Main Data'!$A$1:$A$1001,0),MATCH('Index&amp;Match'!B785,'Main Data'!$A785:$O785,0))</f>
        <v>45969</v>
      </c>
      <c r="C786" s="2" t="str">
        <f>INDEX('Main Data'!$A$1:$O$1001,MATCH('Index&amp;Match'!$A786,'Main Data'!$A$1:$A$1001,0),MATCH('Index&amp;Match'!C785,'Main Data'!$A785:$O785,0))</f>
        <v>Jordan</v>
      </c>
      <c r="D786" s="2" t="str">
        <f>INDEX('Main Data'!$A$1:$O$1001,MATCH('Index&amp;Match'!$A786,'Main Data'!$A$1:$A$1001,0),MATCH('Index&amp;Match'!D785,'Main Data'!$A785:$O785,0))</f>
        <v>BR-015</v>
      </c>
      <c r="E786" s="2" t="str">
        <f>INDEX('Main Data'!$A$1:$O$1001,MATCH('Index&amp;Match'!$A786,'Main Data'!$A$1:$A$1001,0),MATCH('Index&amp;Match'!E785,'Main Data'!$A785:$O785,0))</f>
        <v>Central</v>
      </c>
      <c r="F786" s="2" t="str">
        <f>INDEX('Main Data'!$A$1:$O$1001,MATCH('Index&amp;Match'!$A786,'Main Data'!$A$1:$A$1001,0),MATCH('Index&amp;Match'!F785,'Main Data'!$A785:$O785,0))</f>
        <v>Personal Loan</v>
      </c>
      <c r="G786" s="2" t="str">
        <f>INDEX('Main Data'!$A$1:$O$1001,MATCH('Index&amp;Match'!$A786,'Main Data'!$A$1:$A$1001,0),MATCH('Index&amp;Match'!G785,'Main Data'!$A785:$O785,0))</f>
        <v>Referral</v>
      </c>
      <c r="H786" s="2" t="str">
        <f>INDEX('Main Data'!$A$1:$O$1001,MATCH('Index&amp;Match'!$A786,'Main Data'!$A$1:$A$1001,0),MATCH('Index&amp;Match'!H785,'Main Data'!$A785:$O785,0))</f>
        <v>Retail</v>
      </c>
      <c r="I786" s="2">
        <f>INDEX('Main Data'!$A$1:$O$1001,MATCH('Index&amp;Match'!$A786,'Main Data'!$A$1:$A$1001,0),MATCH('Index&amp;Match'!I785,'Main Data'!$A785:$O785,0))</f>
        <v>72</v>
      </c>
      <c r="J786" s="2">
        <f>INDEX('Main Data'!$A$1:$O$1001,MATCH('Index&amp;Match'!$A786,'Main Data'!$A$1:$A$1001,0),MATCH('Index&amp;Match'!J785,'Main Data'!$A785:$O785,0))</f>
        <v>72</v>
      </c>
      <c r="K786" s="11">
        <f>INDEX('Main Data'!$A$1:$O$1001,MATCH('Index&amp;Match'!$A786,'Main Data'!$A$1:$A$1001,0),MATCH('Index&amp;Match'!K785,'Main Data'!$A785:$O785,0))</f>
        <v>44958.25</v>
      </c>
      <c r="L786" s="11">
        <f>INDEX('Main Data'!$A$1:$O$1001,MATCH('Index&amp;Match'!$A786,'Main Data'!$A$1:$A$1001,0),MATCH('Index&amp;Match'!L785,'Main Data'!$A785:$O785,0))</f>
        <v>314.66000000000003</v>
      </c>
      <c r="M786" s="11">
        <f>INDEX('Main Data'!$A$1:$O$1001,MATCH('Index&amp;Match'!$A786,'Main Data'!$A$1:$A$1001,0),MATCH('Index&amp;Match'!M785,'Main Data'!$A785:$O785,0))</f>
        <v>87.47</v>
      </c>
      <c r="N786" s="2" t="str">
        <f>INDEX('Main Data'!$A$1:$O$1001,MATCH('Index&amp;Match'!$A786,'Main Data'!$A$1:$A$1001,0),MATCH('Index&amp;Match'!N785,'Main Data'!$A785:$O785,0))</f>
        <v>No</v>
      </c>
      <c r="O786" s="2">
        <f>INDEX('Main Data'!$A$1:$O$1001,MATCH('Index&amp;Match'!$A786,'Main Data'!$A$1:$A$1001,0),MATCH('Index&amp;Match'!O785,'Main Data'!$A785:$O785,0))</f>
        <v>72</v>
      </c>
    </row>
    <row r="787" spans="1:15" x14ac:dyDescent="0.3">
      <c r="A787" s="2" t="s">
        <v>844</v>
      </c>
      <c r="B787" s="1">
        <f>INDEX('Main Data'!$A$1:$O$1001,MATCH('Index&amp;Match'!$A787,'Main Data'!$A$1:$A$1001,0),MATCH('Index&amp;Match'!B786,'Main Data'!$A786:$O786,0))</f>
        <v>45937</v>
      </c>
      <c r="C787" s="2" t="str">
        <f>INDEX('Main Data'!$A$1:$O$1001,MATCH('Index&amp;Match'!$A787,'Main Data'!$A$1:$A$1001,0),MATCH('Index&amp;Match'!C786,'Main Data'!$A786:$O786,0))</f>
        <v>Alex</v>
      </c>
      <c r="D787" s="2" t="str">
        <f>INDEX('Main Data'!$A$1:$O$1001,MATCH('Index&amp;Match'!$A787,'Main Data'!$A$1:$A$1001,0),MATCH('Index&amp;Match'!D786,'Main Data'!$A786:$O786,0))</f>
        <v>BR-002</v>
      </c>
      <c r="E787" s="2" t="str">
        <f>INDEX('Main Data'!$A$1:$O$1001,MATCH('Index&amp;Match'!$A787,'Main Data'!$A$1:$A$1001,0),MATCH('Index&amp;Match'!E786,'Main Data'!$A786:$O786,0))</f>
        <v>West</v>
      </c>
      <c r="F787" s="2" t="str">
        <f>INDEX('Main Data'!$A$1:$O$1001,MATCH('Index&amp;Match'!$A787,'Main Data'!$A$1:$A$1001,0),MATCH('Index&amp;Match'!F786,'Main Data'!$A786:$O786,0))</f>
        <v>Auto Loan</v>
      </c>
      <c r="G787" s="2" t="str">
        <f>INDEX('Main Data'!$A$1:$O$1001,MATCH('Index&amp;Match'!$A787,'Main Data'!$A$1:$A$1001,0),MATCH('Index&amp;Match'!G786,'Main Data'!$A786:$O786,0))</f>
        <v>Social Media</v>
      </c>
      <c r="H787" s="2" t="str">
        <f>INDEX('Main Data'!$A$1:$O$1001,MATCH('Index&amp;Match'!$A787,'Main Data'!$A$1:$A$1001,0),MATCH('Index&amp;Match'!H786,'Main Data'!$A786:$O786,0))</f>
        <v>Corporate</v>
      </c>
      <c r="I787" s="2">
        <f>INDEX('Main Data'!$A$1:$O$1001,MATCH('Index&amp;Match'!$A787,'Main Data'!$A$1:$A$1001,0),MATCH('Index&amp;Match'!I786,'Main Data'!$A786:$O786,0))</f>
        <v>59</v>
      </c>
      <c r="J787" s="2">
        <f>INDEX('Main Data'!$A$1:$O$1001,MATCH('Index&amp;Match'!$A787,'Main Data'!$A$1:$A$1001,0),MATCH('Index&amp;Match'!J786,'Main Data'!$A786:$O786,0))</f>
        <v>59</v>
      </c>
      <c r="K787" s="11">
        <f>INDEX('Main Data'!$A$1:$O$1001,MATCH('Index&amp;Match'!$A787,'Main Data'!$A$1:$A$1001,0),MATCH('Index&amp;Match'!K786,'Main Data'!$A786:$O786,0))</f>
        <v>46803.53</v>
      </c>
      <c r="L787" s="11">
        <f>INDEX('Main Data'!$A$1:$O$1001,MATCH('Index&amp;Match'!$A787,'Main Data'!$A$1:$A$1001,0),MATCH('Index&amp;Match'!L786,'Main Data'!$A786:$O786,0))</f>
        <v>112.23</v>
      </c>
      <c r="M787" s="11">
        <f>INDEX('Main Data'!$A$1:$O$1001,MATCH('Index&amp;Match'!$A787,'Main Data'!$A$1:$A$1001,0),MATCH('Index&amp;Match'!M786,'Main Data'!$A786:$O786,0))</f>
        <v>186.53</v>
      </c>
      <c r="N787" s="2" t="str">
        <f>INDEX('Main Data'!$A$1:$O$1001,MATCH('Index&amp;Match'!$A787,'Main Data'!$A$1:$A$1001,0),MATCH('Index&amp;Match'!N786,'Main Data'!$A786:$O786,0))</f>
        <v>Yes</v>
      </c>
      <c r="O787" s="2">
        <f>INDEX('Main Data'!$A$1:$O$1001,MATCH('Index&amp;Match'!$A787,'Main Data'!$A$1:$A$1001,0),MATCH('Index&amp;Match'!O786,'Main Data'!$A786:$O786,0))</f>
        <v>59</v>
      </c>
    </row>
    <row r="788" spans="1:15" x14ac:dyDescent="0.3">
      <c r="A788" s="2" t="s">
        <v>845</v>
      </c>
      <c r="B788" s="1">
        <f>INDEX('Main Data'!$A$1:$O$1001,MATCH('Index&amp;Match'!$A788,'Main Data'!$A$1:$A$1001,0),MATCH('Index&amp;Match'!B787,'Main Data'!$A787:$O787,0))</f>
        <v>46123</v>
      </c>
      <c r="C788" s="2" t="str">
        <f>INDEX('Main Data'!$A$1:$O$1001,MATCH('Index&amp;Match'!$A788,'Main Data'!$A$1:$A$1001,0),MATCH('Index&amp;Match'!C787,'Main Data'!$A787:$O787,0))</f>
        <v>Jamie</v>
      </c>
      <c r="D788" s="2" t="str">
        <f>INDEX('Main Data'!$A$1:$O$1001,MATCH('Index&amp;Match'!$A788,'Main Data'!$A$1:$A$1001,0),MATCH('Index&amp;Match'!D787,'Main Data'!$A787:$O787,0))</f>
        <v>BR-003</v>
      </c>
      <c r="E788" s="2" t="str">
        <f>INDEX('Main Data'!$A$1:$O$1001,MATCH('Index&amp;Match'!$A788,'Main Data'!$A$1:$A$1001,0),MATCH('Index&amp;Match'!E787,'Main Data'!$A787:$O787,0))</f>
        <v>East</v>
      </c>
      <c r="F788" s="2" t="str">
        <f>INDEX('Main Data'!$A$1:$O$1001,MATCH('Index&amp;Match'!$A788,'Main Data'!$A$1:$A$1001,0),MATCH('Index&amp;Match'!F787,'Main Data'!$A787:$O787,0))</f>
        <v>Wealth Management</v>
      </c>
      <c r="G788" s="2" t="str">
        <f>INDEX('Main Data'!$A$1:$O$1001,MATCH('Index&amp;Match'!$A788,'Main Data'!$A$1:$A$1001,0),MATCH('Index&amp;Match'!G787,'Main Data'!$A787:$O787,0))</f>
        <v>Referral</v>
      </c>
      <c r="H788" s="2" t="str">
        <f>INDEX('Main Data'!$A$1:$O$1001,MATCH('Index&amp;Match'!$A788,'Main Data'!$A$1:$A$1001,0),MATCH('Index&amp;Match'!H787,'Main Data'!$A787:$O787,0))</f>
        <v>High Net Worth</v>
      </c>
      <c r="I788" s="2">
        <f>INDEX('Main Data'!$A$1:$O$1001,MATCH('Index&amp;Match'!$A788,'Main Data'!$A$1:$A$1001,0),MATCH('Index&amp;Match'!I787,'Main Data'!$A787:$O787,0))</f>
        <v>73</v>
      </c>
      <c r="J788" s="2">
        <f>INDEX('Main Data'!$A$1:$O$1001,MATCH('Index&amp;Match'!$A788,'Main Data'!$A$1:$A$1001,0),MATCH('Index&amp;Match'!J787,'Main Data'!$A787:$O787,0))</f>
        <v>73</v>
      </c>
      <c r="K788" s="11">
        <f>INDEX('Main Data'!$A$1:$O$1001,MATCH('Index&amp;Match'!$A788,'Main Data'!$A$1:$A$1001,0),MATCH('Index&amp;Match'!K787,'Main Data'!$A787:$O787,0))</f>
        <v>49000.28</v>
      </c>
      <c r="L788" s="11">
        <f>INDEX('Main Data'!$A$1:$O$1001,MATCH('Index&amp;Match'!$A788,'Main Data'!$A$1:$A$1001,0),MATCH('Index&amp;Match'!L787,'Main Data'!$A787:$O787,0))</f>
        <v>241.76</v>
      </c>
      <c r="M788" s="11">
        <f>INDEX('Main Data'!$A$1:$O$1001,MATCH('Index&amp;Match'!$A788,'Main Data'!$A$1:$A$1001,0),MATCH('Index&amp;Match'!M787,'Main Data'!$A787:$O787,0))</f>
        <v>189.74</v>
      </c>
      <c r="N788" s="2" t="str">
        <f>INDEX('Main Data'!$A$1:$O$1001,MATCH('Index&amp;Match'!$A788,'Main Data'!$A$1:$A$1001,0),MATCH('Index&amp;Match'!N787,'Main Data'!$A787:$O787,0))</f>
        <v>No</v>
      </c>
      <c r="O788" s="2">
        <f>INDEX('Main Data'!$A$1:$O$1001,MATCH('Index&amp;Match'!$A788,'Main Data'!$A$1:$A$1001,0),MATCH('Index&amp;Match'!O787,'Main Data'!$A787:$O787,0))</f>
        <v>73</v>
      </c>
    </row>
    <row r="789" spans="1:15" x14ac:dyDescent="0.3">
      <c r="A789" s="2" t="s">
        <v>846</v>
      </c>
      <c r="B789" s="1">
        <f>INDEX('Main Data'!$A$1:$O$1001,MATCH('Index&amp;Match'!$A789,'Main Data'!$A$1:$A$1001,0),MATCH('Index&amp;Match'!B788,'Main Data'!$A788:$O788,0))</f>
        <v>46130</v>
      </c>
      <c r="C789" s="2" t="str">
        <f>INDEX('Main Data'!$A$1:$O$1001,MATCH('Index&amp;Match'!$A789,'Main Data'!$A$1:$A$1001,0),MATCH('Index&amp;Match'!C788,'Main Data'!$A788:$O788,0))</f>
        <v>Drew</v>
      </c>
      <c r="D789" s="2" t="str">
        <f>INDEX('Main Data'!$A$1:$O$1001,MATCH('Index&amp;Match'!$A789,'Main Data'!$A$1:$A$1001,0),MATCH('Index&amp;Match'!D788,'Main Data'!$A788:$O788,0))</f>
        <v>BR-007</v>
      </c>
      <c r="E789" s="2" t="str">
        <f>INDEX('Main Data'!$A$1:$O$1001,MATCH('Index&amp;Match'!$A789,'Main Data'!$A$1:$A$1001,0),MATCH('Index&amp;Match'!E788,'Main Data'!$A788:$O788,0))</f>
        <v>Central</v>
      </c>
      <c r="F789" s="2" t="str">
        <f>INDEX('Main Data'!$A$1:$O$1001,MATCH('Index&amp;Match'!$A789,'Main Data'!$A$1:$A$1001,0),MATCH('Index&amp;Match'!F788,'Main Data'!$A788:$O788,0))</f>
        <v>Mortgage</v>
      </c>
      <c r="G789" s="2" t="str">
        <f>INDEX('Main Data'!$A$1:$O$1001,MATCH('Index&amp;Match'!$A789,'Main Data'!$A$1:$A$1001,0),MATCH('Index&amp;Match'!G788,'Main Data'!$A788:$O788,0))</f>
        <v>Walk-in</v>
      </c>
      <c r="H789" s="2" t="str">
        <f>INDEX('Main Data'!$A$1:$O$1001,MATCH('Index&amp;Match'!$A789,'Main Data'!$A$1:$A$1001,0),MATCH('Index&amp;Match'!H788,'Main Data'!$A788:$O788,0))</f>
        <v>High Net Worth</v>
      </c>
      <c r="I789" s="2">
        <f>INDEX('Main Data'!$A$1:$O$1001,MATCH('Index&amp;Match'!$A789,'Main Data'!$A$1:$A$1001,0),MATCH('Index&amp;Match'!I788,'Main Data'!$A788:$O788,0))</f>
        <v>64</v>
      </c>
      <c r="J789" s="2">
        <f>INDEX('Main Data'!$A$1:$O$1001,MATCH('Index&amp;Match'!$A789,'Main Data'!$A$1:$A$1001,0),MATCH('Index&amp;Match'!J788,'Main Data'!$A788:$O788,0))</f>
        <v>64</v>
      </c>
      <c r="K789" s="11">
        <f>INDEX('Main Data'!$A$1:$O$1001,MATCH('Index&amp;Match'!$A789,'Main Data'!$A$1:$A$1001,0),MATCH('Index&amp;Match'!K788,'Main Data'!$A788:$O788,0))</f>
        <v>43493.37</v>
      </c>
      <c r="L789" s="11">
        <f>INDEX('Main Data'!$A$1:$O$1001,MATCH('Index&amp;Match'!$A789,'Main Data'!$A$1:$A$1001,0),MATCH('Index&amp;Match'!L788,'Main Data'!$A788:$O788,0))</f>
        <v>298.54000000000002</v>
      </c>
      <c r="M789" s="11">
        <f>INDEX('Main Data'!$A$1:$O$1001,MATCH('Index&amp;Match'!$A789,'Main Data'!$A$1:$A$1001,0),MATCH('Index&amp;Match'!M788,'Main Data'!$A788:$O788,0))</f>
        <v>86.49</v>
      </c>
      <c r="N789" s="2" t="str">
        <f>INDEX('Main Data'!$A$1:$O$1001,MATCH('Index&amp;Match'!$A789,'Main Data'!$A$1:$A$1001,0),MATCH('Index&amp;Match'!N788,'Main Data'!$A788:$O788,0))</f>
        <v>Yes</v>
      </c>
      <c r="O789" s="2">
        <f>INDEX('Main Data'!$A$1:$O$1001,MATCH('Index&amp;Match'!$A789,'Main Data'!$A$1:$A$1001,0),MATCH('Index&amp;Match'!O788,'Main Data'!$A788:$O788,0))</f>
        <v>64</v>
      </c>
    </row>
    <row r="790" spans="1:15" x14ac:dyDescent="0.3">
      <c r="A790" s="2" t="s">
        <v>847</v>
      </c>
      <c r="B790" s="1">
        <f>INDEX('Main Data'!$A$1:$O$1001,MATCH('Index&amp;Match'!$A790,'Main Data'!$A$1:$A$1001,0),MATCH('Index&amp;Match'!B789,'Main Data'!$A789:$O789,0))</f>
        <v>46186</v>
      </c>
      <c r="C790" s="2" t="str">
        <f>INDEX('Main Data'!$A$1:$O$1001,MATCH('Index&amp;Match'!$A790,'Main Data'!$A$1:$A$1001,0),MATCH('Index&amp;Match'!C789,'Main Data'!$A789:$O789,0))</f>
        <v>Drew</v>
      </c>
      <c r="D790" s="2" t="str">
        <f>INDEX('Main Data'!$A$1:$O$1001,MATCH('Index&amp;Match'!$A790,'Main Data'!$A$1:$A$1001,0),MATCH('Index&amp;Match'!D789,'Main Data'!$A789:$O789,0))</f>
        <v>BR-007</v>
      </c>
      <c r="E790" s="2" t="str">
        <f>INDEX('Main Data'!$A$1:$O$1001,MATCH('Index&amp;Match'!$A790,'Main Data'!$A$1:$A$1001,0),MATCH('Index&amp;Match'!E789,'Main Data'!$A789:$O789,0))</f>
        <v>West</v>
      </c>
      <c r="F790" s="2" t="str">
        <f>INDEX('Main Data'!$A$1:$O$1001,MATCH('Index&amp;Match'!$A790,'Main Data'!$A$1:$A$1001,0),MATCH('Index&amp;Match'!F789,'Main Data'!$A789:$O789,0))</f>
        <v>Auto Loan</v>
      </c>
      <c r="G790" s="2" t="str">
        <f>INDEX('Main Data'!$A$1:$O$1001,MATCH('Index&amp;Match'!$A790,'Main Data'!$A$1:$A$1001,0),MATCH('Index&amp;Match'!G789,'Main Data'!$A789:$O789,0))</f>
        <v>Social Media</v>
      </c>
      <c r="H790" s="2" t="str">
        <f>INDEX('Main Data'!$A$1:$O$1001,MATCH('Index&amp;Match'!$A790,'Main Data'!$A$1:$A$1001,0),MATCH('Index&amp;Match'!H789,'Main Data'!$A789:$O789,0))</f>
        <v>Corporate</v>
      </c>
      <c r="I790" s="2">
        <f>INDEX('Main Data'!$A$1:$O$1001,MATCH('Index&amp;Match'!$A790,'Main Data'!$A$1:$A$1001,0),MATCH('Index&amp;Match'!I789,'Main Data'!$A789:$O789,0))</f>
        <v>74</v>
      </c>
      <c r="J790" s="2">
        <f>INDEX('Main Data'!$A$1:$O$1001,MATCH('Index&amp;Match'!$A790,'Main Data'!$A$1:$A$1001,0),MATCH('Index&amp;Match'!J789,'Main Data'!$A789:$O789,0))</f>
        <v>74</v>
      </c>
      <c r="K790" s="11">
        <f>INDEX('Main Data'!$A$1:$O$1001,MATCH('Index&amp;Match'!$A790,'Main Data'!$A$1:$A$1001,0),MATCH('Index&amp;Match'!K789,'Main Data'!$A789:$O789,0))</f>
        <v>9111.06</v>
      </c>
      <c r="L790" s="11">
        <f>INDEX('Main Data'!$A$1:$O$1001,MATCH('Index&amp;Match'!$A790,'Main Data'!$A$1:$A$1001,0),MATCH('Index&amp;Match'!L789,'Main Data'!$A789:$O789,0))</f>
        <v>319.5</v>
      </c>
      <c r="M790" s="11">
        <f>INDEX('Main Data'!$A$1:$O$1001,MATCH('Index&amp;Match'!$A790,'Main Data'!$A$1:$A$1001,0),MATCH('Index&amp;Match'!M789,'Main Data'!$A789:$O789,0))</f>
        <v>127.69</v>
      </c>
      <c r="N790" s="2" t="str">
        <f>INDEX('Main Data'!$A$1:$O$1001,MATCH('Index&amp;Match'!$A790,'Main Data'!$A$1:$A$1001,0),MATCH('Index&amp;Match'!N789,'Main Data'!$A789:$O789,0))</f>
        <v>Yes</v>
      </c>
      <c r="O790" s="2">
        <f>INDEX('Main Data'!$A$1:$O$1001,MATCH('Index&amp;Match'!$A790,'Main Data'!$A$1:$A$1001,0),MATCH('Index&amp;Match'!O789,'Main Data'!$A789:$O789,0))</f>
        <v>74</v>
      </c>
    </row>
    <row r="791" spans="1:15" x14ac:dyDescent="0.3">
      <c r="A791" s="2" t="s">
        <v>848</v>
      </c>
      <c r="B791" s="1">
        <f>INDEX('Main Data'!$A$1:$O$1001,MATCH('Index&amp;Match'!$A791,'Main Data'!$A$1:$A$1001,0),MATCH('Index&amp;Match'!B790,'Main Data'!$A790:$O790,0))</f>
        <v>46123</v>
      </c>
      <c r="C791" s="2" t="str">
        <f>INDEX('Main Data'!$A$1:$O$1001,MATCH('Index&amp;Match'!$A791,'Main Data'!$A$1:$A$1001,0),MATCH('Index&amp;Match'!C790,'Main Data'!$A790:$O790,0))</f>
        <v>Jamie</v>
      </c>
      <c r="D791" s="2" t="str">
        <f>INDEX('Main Data'!$A$1:$O$1001,MATCH('Index&amp;Match'!$A791,'Main Data'!$A$1:$A$1001,0),MATCH('Index&amp;Match'!D790,'Main Data'!$A790:$O790,0))</f>
        <v>BR-012</v>
      </c>
      <c r="E791" s="2" t="str">
        <f>INDEX('Main Data'!$A$1:$O$1001,MATCH('Index&amp;Match'!$A791,'Main Data'!$A$1:$A$1001,0),MATCH('Index&amp;Match'!E790,'Main Data'!$A790:$O790,0))</f>
        <v>West</v>
      </c>
      <c r="F791" s="2" t="str">
        <f>INDEX('Main Data'!$A$1:$O$1001,MATCH('Index&amp;Match'!$A791,'Main Data'!$A$1:$A$1001,0),MATCH('Index&amp;Match'!F790,'Main Data'!$A790:$O790,0))</f>
        <v>Personal Loan</v>
      </c>
      <c r="G791" s="2" t="str">
        <f>INDEX('Main Data'!$A$1:$O$1001,MATCH('Index&amp;Match'!$A791,'Main Data'!$A$1:$A$1001,0),MATCH('Index&amp;Match'!G790,'Main Data'!$A790:$O790,0))</f>
        <v>Website</v>
      </c>
      <c r="H791" s="2" t="str">
        <f>INDEX('Main Data'!$A$1:$O$1001,MATCH('Index&amp;Match'!$A791,'Main Data'!$A$1:$A$1001,0),MATCH('Index&amp;Match'!H790,'Main Data'!$A790:$O790,0))</f>
        <v>Corporate</v>
      </c>
      <c r="I791" s="2">
        <f>INDEX('Main Data'!$A$1:$O$1001,MATCH('Index&amp;Match'!$A791,'Main Data'!$A$1:$A$1001,0),MATCH('Index&amp;Match'!I790,'Main Data'!$A790:$O790,0))</f>
        <v>38</v>
      </c>
      <c r="J791" s="2">
        <f>INDEX('Main Data'!$A$1:$O$1001,MATCH('Index&amp;Match'!$A791,'Main Data'!$A$1:$A$1001,0),MATCH('Index&amp;Match'!J790,'Main Data'!$A790:$O790,0))</f>
        <v>38</v>
      </c>
      <c r="K791" s="11">
        <f>INDEX('Main Data'!$A$1:$O$1001,MATCH('Index&amp;Match'!$A791,'Main Data'!$A$1:$A$1001,0),MATCH('Index&amp;Match'!K790,'Main Data'!$A790:$O790,0))</f>
        <v>2786.73</v>
      </c>
      <c r="L791" s="11">
        <f>INDEX('Main Data'!$A$1:$O$1001,MATCH('Index&amp;Match'!$A791,'Main Data'!$A$1:$A$1001,0),MATCH('Index&amp;Match'!L790,'Main Data'!$A790:$O790,0))</f>
        <v>173.49</v>
      </c>
      <c r="M791" s="11">
        <f>INDEX('Main Data'!$A$1:$O$1001,MATCH('Index&amp;Match'!$A791,'Main Data'!$A$1:$A$1001,0),MATCH('Index&amp;Match'!M790,'Main Data'!$A790:$O790,0))</f>
        <v>57.36</v>
      </c>
      <c r="N791" s="2" t="str">
        <f>INDEX('Main Data'!$A$1:$O$1001,MATCH('Index&amp;Match'!$A791,'Main Data'!$A$1:$A$1001,0),MATCH('Index&amp;Match'!N790,'Main Data'!$A790:$O790,0))</f>
        <v>Yes</v>
      </c>
      <c r="O791" s="2">
        <f>INDEX('Main Data'!$A$1:$O$1001,MATCH('Index&amp;Match'!$A791,'Main Data'!$A$1:$A$1001,0),MATCH('Index&amp;Match'!O790,'Main Data'!$A790:$O790,0))</f>
        <v>38</v>
      </c>
    </row>
    <row r="792" spans="1:15" x14ac:dyDescent="0.3">
      <c r="A792" s="2" t="s">
        <v>849</v>
      </c>
      <c r="B792" s="1">
        <f>INDEX('Main Data'!$A$1:$O$1001,MATCH('Index&amp;Match'!$A792,'Main Data'!$A$1:$A$1001,0),MATCH('Index&amp;Match'!B791,'Main Data'!$A791:$O791,0))</f>
        <v>45912</v>
      </c>
      <c r="C792" s="2" t="str">
        <f>INDEX('Main Data'!$A$1:$O$1001,MATCH('Index&amp;Match'!$A792,'Main Data'!$A$1:$A$1001,0),MATCH('Index&amp;Match'!C791,'Main Data'!$A791:$O791,0))</f>
        <v>Sam</v>
      </c>
      <c r="D792" s="2" t="str">
        <f>INDEX('Main Data'!$A$1:$O$1001,MATCH('Index&amp;Match'!$A792,'Main Data'!$A$1:$A$1001,0),MATCH('Index&amp;Match'!D791,'Main Data'!$A791:$O791,0))</f>
        <v>BR-004</v>
      </c>
      <c r="E792" s="2" t="str">
        <f>INDEX('Main Data'!$A$1:$O$1001,MATCH('Index&amp;Match'!$A792,'Main Data'!$A$1:$A$1001,0),MATCH('Index&amp;Match'!E791,'Main Data'!$A791:$O791,0))</f>
        <v>North</v>
      </c>
      <c r="F792" s="2" t="str">
        <f>INDEX('Main Data'!$A$1:$O$1001,MATCH('Index&amp;Match'!$A792,'Main Data'!$A$1:$A$1001,0),MATCH('Index&amp;Match'!F791,'Main Data'!$A791:$O791,0))</f>
        <v>Auto Loan</v>
      </c>
      <c r="G792" s="2" t="str">
        <f>INDEX('Main Data'!$A$1:$O$1001,MATCH('Index&amp;Match'!$A792,'Main Data'!$A$1:$A$1001,0),MATCH('Index&amp;Match'!G791,'Main Data'!$A791:$O791,0))</f>
        <v>Walk-in</v>
      </c>
      <c r="H792" s="2" t="str">
        <f>INDEX('Main Data'!$A$1:$O$1001,MATCH('Index&amp;Match'!$A792,'Main Data'!$A$1:$A$1001,0),MATCH('Index&amp;Match'!H791,'Main Data'!$A791:$O791,0))</f>
        <v>High Net Worth</v>
      </c>
      <c r="I792" s="2">
        <f>INDEX('Main Data'!$A$1:$O$1001,MATCH('Index&amp;Match'!$A792,'Main Data'!$A$1:$A$1001,0),MATCH('Index&amp;Match'!I791,'Main Data'!$A791:$O791,0))</f>
        <v>23</v>
      </c>
      <c r="J792" s="2">
        <f>INDEX('Main Data'!$A$1:$O$1001,MATCH('Index&amp;Match'!$A792,'Main Data'!$A$1:$A$1001,0),MATCH('Index&amp;Match'!J791,'Main Data'!$A791:$O791,0))</f>
        <v>23</v>
      </c>
      <c r="K792" s="11">
        <f>INDEX('Main Data'!$A$1:$O$1001,MATCH('Index&amp;Match'!$A792,'Main Data'!$A$1:$A$1001,0),MATCH('Index&amp;Match'!K791,'Main Data'!$A791:$O791,0))</f>
        <v>29190.04</v>
      </c>
      <c r="L792" s="11">
        <f>INDEX('Main Data'!$A$1:$O$1001,MATCH('Index&amp;Match'!$A792,'Main Data'!$A$1:$A$1001,0),MATCH('Index&amp;Match'!L791,'Main Data'!$A791:$O791,0))</f>
        <v>230.01</v>
      </c>
      <c r="M792" s="11">
        <f>INDEX('Main Data'!$A$1:$O$1001,MATCH('Index&amp;Match'!$A792,'Main Data'!$A$1:$A$1001,0),MATCH('Index&amp;Match'!M791,'Main Data'!$A791:$O791,0))</f>
        <v>88.1</v>
      </c>
      <c r="N792" s="2" t="str">
        <f>INDEX('Main Data'!$A$1:$O$1001,MATCH('Index&amp;Match'!$A792,'Main Data'!$A$1:$A$1001,0),MATCH('Index&amp;Match'!N791,'Main Data'!$A791:$O791,0))</f>
        <v>Yes</v>
      </c>
      <c r="O792" s="2">
        <f>INDEX('Main Data'!$A$1:$O$1001,MATCH('Index&amp;Match'!$A792,'Main Data'!$A$1:$A$1001,0),MATCH('Index&amp;Match'!O791,'Main Data'!$A791:$O791,0))</f>
        <v>23</v>
      </c>
    </row>
    <row r="793" spans="1:15" x14ac:dyDescent="0.3">
      <c r="A793" s="2" t="s">
        <v>850</v>
      </c>
      <c r="B793" s="1">
        <f>INDEX('Main Data'!$A$1:$O$1001,MATCH('Index&amp;Match'!$A793,'Main Data'!$A$1:$A$1001,0),MATCH('Index&amp;Match'!B792,'Main Data'!$A792:$O792,0))</f>
        <v>46064</v>
      </c>
      <c r="C793" s="2" t="str">
        <f>INDEX('Main Data'!$A$1:$O$1001,MATCH('Index&amp;Match'!$A793,'Main Data'!$A$1:$A$1001,0),MATCH('Index&amp;Match'!C792,'Main Data'!$A792:$O792,0))</f>
        <v>Drew</v>
      </c>
      <c r="D793" s="2" t="str">
        <f>INDEX('Main Data'!$A$1:$O$1001,MATCH('Index&amp;Match'!$A793,'Main Data'!$A$1:$A$1001,0),MATCH('Index&amp;Match'!D792,'Main Data'!$A792:$O792,0))</f>
        <v>BR-005</v>
      </c>
      <c r="E793" s="2" t="str">
        <f>INDEX('Main Data'!$A$1:$O$1001,MATCH('Index&amp;Match'!$A793,'Main Data'!$A$1:$A$1001,0),MATCH('Index&amp;Match'!E792,'Main Data'!$A792:$O792,0))</f>
        <v>North</v>
      </c>
      <c r="F793" s="2" t="str">
        <f>INDEX('Main Data'!$A$1:$O$1001,MATCH('Index&amp;Match'!$A793,'Main Data'!$A$1:$A$1001,0),MATCH('Index&amp;Match'!F792,'Main Data'!$A792:$O792,0))</f>
        <v>Credit Card</v>
      </c>
      <c r="G793" s="2" t="str">
        <f>INDEX('Main Data'!$A$1:$O$1001,MATCH('Index&amp;Match'!$A793,'Main Data'!$A$1:$A$1001,0),MATCH('Index&amp;Match'!G792,'Main Data'!$A792:$O792,0))</f>
        <v>Email Campaign</v>
      </c>
      <c r="H793" s="2" t="str">
        <f>INDEX('Main Data'!$A$1:$O$1001,MATCH('Index&amp;Match'!$A793,'Main Data'!$A$1:$A$1001,0),MATCH('Index&amp;Match'!H792,'Main Data'!$A792:$O792,0))</f>
        <v>Corporate</v>
      </c>
      <c r="I793" s="2">
        <f>INDEX('Main Data'!$A$1:$O$1001,MATCH('Index&amp;Match'!$A793,'Main Data'!$A$1:$A$1001,0),MATCH('Index&amp;Match'!I792,'Main Data'!$A792:$O792,0))</f>
        <v>27</v>
      </c>
      <c r="J793" s="2">
        <f>INDEX('Main Data'!$A$1:$O$1001,MATCH('Index&amp;Match'!$A793,'Main Data'!$A$1:$A$1001,0),MATCH('Index&amp;Match'!J792,'Main Data'!$A792:$O792,0))</f>
        <v>27</v>
      </c>
      <c r="K793" s="11">
        <f>INDEX('Main Data'!$A$1:$O$1001,MATCH('Index&amp;Match'!$A793,'Main Data'!$A$1:$A$1001,0),MATCH('Index&amp;Match'!K792,'Main Data'!$A792:$O792,0))</f>
        <v>45673.95</v>
      </c>
      <c r="L793" s="11">
        <f>INDEX('Main Data'!$A$1:$O$1001,MATCH('Index&amp;Match'!$A793,'Main Data'!$A$1:$A$1001,0),MATCH('Index&amp;Match'!L792,'Main Data'!$A792:$O792,0))</f>
        <v>400.25</v>
      </c>
      <c r="M793" s="11">
        <f>INDEX('Main Data'!$A$1:$O$1001,MATCH('Index&amp;Match'!$A793,'Main Data'!$A$1:$A$1001,0),MATCH('Index&amp;Match'!M792,'Main Data'!$A792:$O792,0))</f>
        <v>79.92</v>
      </c>
      <c r="N793" s="2" t="str">
        <f>INDEX('Main Data'!$A$1:$O$1001,MATCH('Index&amp;Match'!$A793,'Main Data'!$A$1:$A$1001,0),MATCH('Index&amp;Match'!N792,'Main Data'!$A792:$O792,0))</f>
        <v>Yes</v>
      </c>
      <c r="O793" s="2">
        <f>INDEX('Main Data'!$A$1:$O$1001,MATCH('Index&amp;Match'!$A793,'Main Data'!$A$1:$A$1001,0),MATCH('Index&amp;Match'!O792,'Main Data'!$A792:$O792,0))</f>
        <v>27</v>
      </c>
    </row>
    <row r="794" spans="1:15" x14ac:dyDescent="0.3">
      <c r="A794" s="2" t="s">
        <v>851</v>
      </c>
      <c r="B794" s="1">
        <f>INDEX('Main Data'!$A$1:$O$1001,MATCH('Index&amp;Match'!$A794,'Main Data'!$A$1:$A$1001,0),MATCH('Index&amp;Match'!B793,'Main Data'!$A793:$O793,0))</f>
        <v>46149</v>
      </c>
      <c r="C794" s="2" t="str">
        <f>INDEX('Main Data'!$A$1:$O$1001,MATCH('Index&amp;Match'!$A794,'Main Data'!$A$1:$A$1001,0),MATCH('Index&amp;Match'!C793,'Main Data'!$A793:$O793,0))</f>
        <v>Casey</v>
      </c>
      <c r="D794" s="2" t="str">
        <f>INDEX('Main Data'!$A$1:$O$1001,MATCH('Index&amp;Match'!$A794,'Main Data'!$A$1:$A$1001,0),MATCH('Index&amp;Match'!D793,'Main Data'!$A793:$O793,0))</f>
        <v>BR-005</v>
      </c>
      <c r="E794" s="2" t="str">
        <f>INDEX('Main Data'!$A$1:$O$1001,MATCH('Index&amp;Match'!$A794,'Main Data'!$A$1:$A$1001,0),MATCH('Index&amp;Match'!E793,'Main Data'!$A793:$O793,0))</f>
        <v>Central</v>
      </c>
      <c r="F794" s="2" t="str">
        <f>INDEX('Main Data'!$A$1:$O$1001,MATCH('Index&amp;Match'!$A794,'Main Data'!$A$1:$A$1001,0),MATCH('Index&amp;Match'!F793,'Main Data'!$A793:$O793,0))</f>
        <v>Credit Card</v>
      </c>
      <c r="G794" s="2" t="str">
        <f>INDEX('Main Data'!$A$1:$O$1001,MATCH('Index&amp;Match'!$A794,'Main Data'!$A$1:$A$1001,0),MATCH('Index&amp;Match'!G793,'Main Data'!$A793:$O793,0))</f>
        <v>Referral</v>
      </c>
      <c r="H794" s="2" t="str">
        <f>INDEX('Main Data'!$A$1:$O$1001,MATCH('Index&amp;Match'!$A794,'Main Data'!$A$1:$A$1001,0),MATCH('Index&amp;Match'!H793,'Main Data'!$A793:$O793,0))</f>
        <v>SME</v>
      </c>
      <c r="I794" s="2">
        <f>INDEX('Main Data'!$A$1:$O$1001,MATCH('Index&amp;Match'!$A794,'Main Data'!$A$1:$A$1001,0),MATCH('Index&amp;Match'!I793,'Main Data'!$A793:$O793,0))</f>
        <v>63</v>
      </c>
      <c r="J794" s="2">
        <f>INDEX('Main Data'!$A$1:$O$1001,MATCH('Index&amp;Match'!$A794,'Main Data'!$A$1:$A$1001,0),MATCH('Index&amp;Match'!J793,'Main Data'!$A793:$O793,0))</f>
        <v>63</v>
      </c>
      <c r="K794" s="11">
        <f>INDEX('Main Data'!$A$1:$O$1001,MATCH('Index&amp;Match'!$A794,'Main Data'!$A$1:$A$1001,0),MATCH('Index&amp;Match'!K793,'Main Data'!$A793:$O793,0))</f>
        <v>9278.89</v>
      </c>
      <c r="L794" s="11">
        <f>INDEX('Main Data'!$A$1:$O$1001,MATCH('Index&amp;Match'!$A794,'Main Data'!$A$1:$A$1001,0),MATCH('Index&amp;Match'!L793,'Main Data'!$A793:$O793,0))</f>
        <v>473.55</v>
      </c>
      <c r="M794" s="11">
        <f>INDEX('Main Data'!$A$1:$O$1001,MATCH('Index&amp;Match'!$A794,'Main Data'!$A$1:$A$1001,0),MATCH('Index&amp;Match'!M793,'Main Data'!$A793:$O793,0))</f>
        <v>170.49</v>
      </c>
      <c r="N794" s="2" t="str">
        <f>INDEX('Main Data'!$A$1:$O$1001,MATCH('Index&amp;Match'!$A794,'Main Data'!$A$1:$A$1001,0),MATCH('Index&amp;Match'!N793,'Main Data'!$A793:$O793,0))</f>
        <v>Yes</v>
      </c>
      <c r="O794" s="2">
        <f>INDEX('Main Data'!$A$1:$O$1001,MATCH('Index&amp;Match'!$A794,'Main Data'!$A$1:$A$1001,0),MATCH('Index&amp;Match'!O793,'Main Data'!$A793:$O793,0))</f>
        <v>63</v>
      </c>
    </row>
    <row r="795" spans="1:15" x14ac:dyDescent="0.3">
      <c r="A795" s="2" t="s">
        <v>852</v>
      </c>
      <c r="B795" s="1">
        <f>INDEX('Main Data'!$A$1:$O$1001,MATCH('Index&amp;Match'!$A795,'Main Data'!$A$1:$A$1001,0),MATCH('Index&amp;Match'!B794,'Main Data'!$A794:$O794,0))</f>
        <v>46061</v>
      </c>
      <c r="C795" s="2" t="str">
        <f>INDEX('Main Data'!$A$1:$O$1001,MATCH('Index&amp;Match'!$A795,'Main Data'!$A$1:$A$1001,0),MATCH('Index&amp;Match'!C794,'Main Data'!$A794:$O794,0))</f>
        <v>Morgan</v>
      </c>
      <c r="D795" s="2" t="str">
        <f>INDEX('Main Data'!$A$1:$O$1001,MATCH('Index&amp;Match'!$A795,'Main Data'!$A$1:$A$1001,0),MATCH('Index&amp;Match'!D794,'Main Data'!$A794:$O794,0))</f>
        <v>BR-006</v>
      </c>
      <c r="E795" s="2" t="str">
        <f>INDEX('Main Data'!$A$1:$O$1001,MATCH('Index&amp;Match'!$A795,'Main Data'!$A$1:$A$1001,0),MATCH('Index&amp;Match'!E794,'Main Data'!$A794:$O794,0))</f>
        <v>West</v>
      </c>
      <c r="F795" s="2" t="str">
        <f>INDEX('Main Data'!$A$1:$O$1001,MATCH('Index&amp;Match'!$A795,'Main Data'!$A$1:$A$1001,0),MATCH('Index&amp;Match'!F794,'Main Data'!$A794:$O794,0))</f>
        <v>Wealth Management</v>
      </c>
      <c r="G795" s="2" t="str">
        <f>INDEX('Main Data'!$A$1:$O$1001,MATCH('Index&amp;Match'!$A795,'Main Data'!$A$1:$A$1001,0),MATCH('Index&amp;Match'!G794,'Main Data'!$A794:$O794,0))</f>
        <v>Walk-in</v>
      </c>
      <c r="H795" s="2" t="str">
        <f>INDEX('Main Data'!$A$1:$O$1001,MATCH('Index&amp;Match'!$A795,'Main Data'!$A$1:$A$1001,0),MATCH('Index&amp;Match'!H794,'Main Data'!$A794:$O794,0))</f>
        <v>Retail</v>
      </c>
      <c r="I795" s="2">
        <f>INDEX('Main Data'!$A$1:$O$1001,MATCH('Index&amp;Match'!$A795,'Main Data'!$A$1:$A$1001,0),MATCH('Index&amp;Match'!I794,'Main Data'!$A794:$O794,0))</f>
        <v>38</v>
      </c>
      <c r="J795" s="2">
        <f>INDEX('Main Data'!$A$1:$O$1001,MATCH('Index&amp;Match'!$A795,'Main Data'!$A$1:$A$1001,0),MATCH('Index&amp;Match'!J794,'Main Data'!$A794:$O794,0))</f>
        <v>38</v>
      </c>
      <c r="K795" s="11">
        <f>INDEX('Main Data'!$A$1:$O$1001,MATCH('Index&amp;Match'!$A795,'Main Data'!$A$1:$A$1001,0),MATCH('Index&amp;Match'!K794,'Main Data'!$A794:$O794,0))</f>
        <v>848.62</v>
      </c>
      <c r="L795" s="11">
        <f>INDEX('Main Data'!$A$1:$O$1001,MATCH('Index&amp;Match'!$A795,'Main Data'!$A$1:$A$1001,0),MATCH('Index&amp;Match'!L794,'Main Data'!$A794:$O794,0))</f>
        <v>437.85</v>
      </c>
      <c r="M795" s="11">
        <f>INDEX('Main Data'!$A$1:$O$1001,MATCH('Index&amp;Match'!$A795,'Main Data'!$A$1:$A$1001,0),MATCH('Index&amp;Match'!M794,'Main Data'!$A794:$O794,0))</f>
        <v>100.06</v>
      </c>
      <c r="N795" s="2" t="str">
        <f>INDEX('Main Data'!$A$1:$O$1001,MATCH('Index&amp;Match'!$A795,'Main Data'!$A$1:$A$1001,0),MATCH('Index&amp;Match'!N794,'Main Data'!$A794:$O794,0))</f>
        <v>Yes</v>
      </c>
      <c r="O795" s="2">
        <f>INDEX('Main Data'!$A$1:$O$1001,MATCH('Index&amp;Match'!$A795,'Main Data'!$A$1:$A$1001,0),MATCH('Index&amp;Match'!O794,'Main Data'!$A794:$O794,0))</f>
        <v>38</v>
      </c>
    </row>
    <row r="796" spans="1:15" x14ac:dyDescent="0.3">
      <c r="A796" s="2" t="s">
        <v>853</v>
      </c>
      <c r="B796" s="1">
        <f>INDEX('Main Data'!$A$1:$O$1001,MATCH('Index&amp;Match'!$A796,'Main Data'!$A$1:$A$1001,0),MATCH('Index&amp;Match'!B795,'Main Data'!$A795:$O795,0))</f>
        <v>45978</v>
      </c>
      <c r="C796" s="2" t="str">
        <f>INDEX('Main Data'!$A$1:$O$1001,MATCH('Index&amp;Match'!$A796,'Main Data'!$A$1:$A$1001,0),MATCH('Index&amp;Match'!C795,'Main Data'!$A795:$O795,0))</f>
        <v>Alex</v>
      </c>
      <c r="D796" s="2" t="str">
        <f>INDEX('Main Data'!$A$1:$O$1001,MATCH('Index&amp;Match'!$A796,'Main Data'!$A$1:$A$1001,0),MATCH('Index&amp;Match'!D795,'Main Data'!$A795:$O795,0))</f>
        <v>BR-014</v>
      </c>
      <c r="E796" s="2" t="str">
        <f>INDEX('Main Data'!$A$1:$O$1001,MATCH('Index&amp;Match'!$A796,'Main Data'!$A$1:$A$1001,0),MATCH('Index&amp;Match'!E795,'Main Data'!$A795:$O795,0))</f>
        <v>South</v>
      </c>
      <c r="F796" s="2" t="str">
        <f>INDEX('Main Data'!$A$1:$O$1001,MATCH('Index&amp;Match'!$A796,'Main Data'!$A$1:$A$1001,0),MATCH('Index&amp;Match'!F795,'Main Data'!$A795:$O795,0))</f>
        <v>Wealth Management</v>
      </c>
      <c r="G796" s="2" t="str">
        <f>INDEX('Main Data'!$A$1:$O$1001,MATCH('Index&amp;Match'!$A796,'Main Data'!$A$1:$A$1001,0),MATCH('Index&amp;Match'!G795,'Main Data'!$A795:$O795,0))</f>
        <v>Walk-in</v>
      </c>
      <c r="H796" s="2" t="str">
        <f>INDEX('Main Data'!$A$1:$O$1001,MATCH('Index&amp;Match'!$A796,'Main Data'!$A$1:$A$1001,0),MATCH('Index&amp;Match'!H795,'Main Data'!$A795:$O795,0))</f>
        <v>High Net Worth</v>
      </c>
      <c r="I796" s="2">
        <f>INDEX('Main Data'!$A$1:$O$1001,MATCH('Index&amp;Match'!$A796,'Main Data'!$A$1:$A$1001,0),MATCH('Index&amp;Match'!I795,'Main Data'!$A795:$O795,0))</f>
        <v>64</v>
      </c>
      <c r="J796" s="2">
        <f>INDEX('Main Data'!$A$1:$O$1001,MATCH('Index&amp;Match'!$A796,'Main Data'!$A$1:$A$1001,0),MATCH('Index&amp;Match'!J795,'Main Data'!$A795:$O795,0))</f>
        <v>64</v>
      </c>
      <c r="K796" s="11">
        <f>INDEX('Main Data'!$A$1:$O$1001,MATCH('Index&amp;Match'!$A796,'Main Data'!$A$1:$A$1001,0),MATCH('Index&amp;Match'!K795,'Main Data'!$A795:$O795,0))</f>
        <v>40372.050000000003</v>
      </c>
      <c r="L796" s="11">
        <f>INDEX('Main Data'!$A$1:$O$1001,MATCH('Index&amp;Match'!$A796,'Main Data'!$A$1:$A$1001,0),MATCH('Index&amp;Match'!L795,'Main Data'!$A795:$O795,0))</f>
        <v>303.93</v>
      </c>
      <c r="M796" s="11">
        <f>INDEX('Main Data'!$A$1:$O$1001,MATCH('Index&amp;Match'!$A796,'Main Data'!$A$1:$A$1001,0),MATCH('Index&amp;Match'!M795,'Main Data'!$A795:$O795,0))</f>
        <v>203.67</v>
      </c>
      <c r="N796" s="2" t="str">
        <f>INDEX('Main Data'!$A$1:$O$1001,MATCH('Index&amp;Match'!$A796,'Main Data'!$A$1:$A$1001,0),MATCH('Index&amp;Match'!N795,'Main Data'!$A795:$O795,0))</f>
        <v>Yes</v>
      </c>
      <c r="O796" s="2">
        <f>INDEX('Main Data'!$A$1:$O$1001,MATCH('Index&amp;Match'!$A796,'Main Data'!$A$1:$A$1001,0),MATCH('Index&amp;Match'!O795,'Main Data'!$A795:$O795,0))</f>
        <v>64</v>
      </c>
    </row>
    <row r="797" spans="1:15" x14ac:dyDescent="0.3">
      <c r="A797" s="2" t="s">
        <v>854</v>
      </c>
      <c r="B797" s="1">
        <f>INDEX('Main Data'!$A$1:$O$1001,MATCH('Index&amp;Match'!$A797,'Main Data'!$A$1:$A$1001,0),MATCH('Index&amp;Match'!B796,'Main Data'!$A796:$O796,0))</f>
        <v>46102</v>
      </c>
      <c r="C797" s="2" t="str">
        <f>INDEX('Main Data'!$A$1:$O$1001,MATCH('Index&amp;Match'!$A797,'Main Data'!$A$1:$A$1001,0),MATCH('Index&amp;Match'!C796,'Main Data'!$A796:$O796,0))</f>
        <v>Jamie</v>
      </c>
      <c r="D797" s="2" t="str">
        <f>INDEX('Main Data'!$A$1:$O$1001,MATCH('Index&amp;Match'!$A797,'Main Data'!$A$1:$A$1001,0),MATCH('Index&amp;Match'!D796,'Main Data'!$A796:$O796,0))</f>
        <v>BR-009</v>
      </c>
      <c r="E797" s="2" t="str">
        <f>INDEX('Main Data'!$A$1:$O$1001,MATCH('Index&amp;Match'!$A797,'Main Data'!$A$1:$A$1001,0),MATCH('Index&amp;Match'!E796,'Main Data'!$A796:$O796,0))</f>
        <v>North</v>
      </c>
      <c r="F797" s="2" t="str">
        <f>INDEX('Main Data'!$A$1:$O$1001,MATCH('Index&amp;Match'!$A797,'Main Data'!$A$1:$A$1001,0),MATCH('Index&amp;Match'!F796,'Main Data'!$A796:$O796,0))</f>
        <v>Mortgage</v>
      </c>
      <c r="G797" s="2" t="str">
        <f>INDEX('Main Data'!$A$1:$O$1001,MATCH('Index&amp;Match'!$A797,'Main Data'!$A$1:$A$1001,0),MATCH('Index&amp;Match'!G796,'Main Data'!$A796:$O796,0))</f>
        <v>Social Media</v>
      </c>
      <c r="H797" s="2" t="str">
        <f>INDEX('Main Data'!$A$1:$O$1001,MATCH('Index&amp;Match'!$A797,'Main Data'!$A$1:$A$1001,0),MATCH('Index&amp;Match'!H796,'Main Data'!$A796:$O796,0))</f>
        <v>Corporate</v>
      </c>
      <c r="I797" s="2">
        <f>INDEX('Main Data'!$A$1:$O$1001,MATCH('Index&amp;Match'!$A797,'Main Data'!$A$1:$A$1001,0),MATCH('Index&amp;Match'!I796,'Main Data'!$A796:$O796,0))</f>
        <v>58</v>
      </c>
      <c r="J797" s="2">
        <f>INDEX('Main Data'!$A$1:$O$1001,MATCH('Index&amp;Match'!$A797,'Main Data'!$A$1:$A$1001,0),MATCH('Index&amp;Match'!J796,'Main Data'!$A796:$O796,0))</f>
        <v>58</v>
      </c>
      <c r="K797" s="11">
        <f>INDEX('Main Data'!$A$1:$O$1001,MATCH('Index&amp;Match'!$A797,'Main Data'!$A$1:$A$1001,0),MATCH('Index&amp;Match'!K796,'Main Data'!$A796:$O796,0))</f>
        <v>4301.3900000000003</v>
      </c>
      <c r="L797" s="11">
        <f>INDEX('Main Data'!$A$1:$O$1001,MATCH('Index&amp;Match'!$A797,'Main Data'!$A$1:$A$1001,0),MATCH('Index&amp;Match'!L796,'Main Data'!$A796:$O796,0))</f>
        <v>234.63</v>
      </c>
      <c r="M797" s="11">
        <f>INDEX('Main Data'!$A$1:$O$1001,MATCH('Index&amp;Match'!$A797,'Main Data'!$A$1:$A$1001,0),MATCH('Index&amp;Match'!M796,'Main Data'!$A796:$O796,0))</f>
        <v>78.39</v>
      </c>
      <c r="N797" s="2" t="str">
        <f>INDEX('Main Data'!$A$1:$O$1001,MATCH('Index&amp;Match'!$A797,'Main Data'!$A$1:$A$1001,0),MATCH('Index&amp;Match'!N796,'Main Data'!$A796:$O796,0))</f>
        <v>Yes</v>
      </c>
      <c r="O797" s="2">
        <f>INDEX('Main Data'!$A$1:$O$1001,MATCH('Index&amp;Match'!$A797,'Main Data'!$A$1:$A$1001,0),MATCH('Index&amp;Match'!O796,'Main Data'!$A796:$O796,0))</f>
        <v>58</v>
      </c>
    </row>
    <row r="798" spans="1:15" x14ac:dyDescent="0.3">
      <c r="A798" s="2" t="s">
        <v>855</v>
      </c>
      <c r="B798" s="1">
        <f>INDEX('Main Data'!$A$1:$O$1001,MATCH('Index&amp;Match'!$A798,'Main Data'!$A$1:$A$1001,0),MATCH('Index&amp;Match'!B797,'Main Data'!$A797:$O797,0))</f>
        <v>45920</v>
      </c>
      <c r="C798" s="2" t="str">
        <f>INDEX('Main Data'!$A$1:$O$1001,MATCH('Index&amp;Match'!$A798,'Main Data'!$A$1:$A$1001,0),MATCH('Index&amp;Match'!C797,'Main Data'!$A797:$O797,0))</f>
        <v>Casey</v>
      </c>
      <c r="D798" s="2" t="str">
        <f>INDEX('Main Data'!$A$1:$O$1001,MATCH('Index&amp;Match'!$A798,'Main Data'!$A$1:$A$1001,0),MATCH('Index&amp;Match'!D797,'Main Data'!$A797:$O797,0))</f>
        <v>BR-002</v>
      </c>
      <c r="E798" s="2" t="str">
        <f>INDEX('Main Data'!$A$1:$O$1001,MATCH('Index&amp;Match'!$A798,'Main Data'!$A$1:$A$1001,0),MATCH('Index&amp;Match'!E797,'Main Data'!$A797:$O797,0))</f>
        <v>Central</v>
      </c>
      <c r="F798" s="2" t="str">
        <f>INDEX('Main Data'!$A$1:$O$1001,MATCH('Index&amp;Match'!$A798,'Main Data'!$A$1:$A$1001,0),MATCH('Index&amp;Match'!F797,'Main Data'!$A797:$O797,0))</f>
        <v>Auto Loan</v>
      </c>
      <c r="G798" s="2" t="str">
        <f>INDEX('Main Data'!$A$1:$O$1001,MATCH('Index&amp;Match'!$A798,'Main Data'!$A$1:$A$1001,0),MATCH('Index&amp;Match'!G797,'Main Data'!$A797:$O797,0))</f>
        <v>Social Media</v>
      </c>
      <c r="H798" s="2" t="str">
        <f>INDEX('Main Data'!$A$1:$O$1001,MATCH('Index&amp;Match'!$A798,'Main Data'!$A$1:$A$1001,0),MATCH('Index&amp;Match'!H797,'Main Data'!$A797:$O797,0))</f>
        <v>SME</v>
      </c>
      <c r="I798" s="2">
        <f>INDEX('Main Data'!$A$1:$O$1001,MATCH('Index&amp;Match'!$A798,'Main Data'!$A$1:$A$1001,0),MATCH('Index&amp;Match'!I797,'Main Data'!$A797:$O797,0))</f>
        <v>57</v>
      </c>
      <c r="J798" s="2">
        <f>INDEX('Main Data'!$A$1:$O$1001,MATCH('Index&amp;Match'!$A798,'Main Data'!$A$1:$A$1001,0),MATCH('Index&amp;Match'!J797,'Main Data'!$A797:$O797,0))</f>
        <v>57</v>
      </c>
      <c r="K798" s="11">
        <f>INDEX('Main Data'!$A$1:$O$1001,MATCH('Index&amp;Match'!$A798,'Main Data'!$A$1:$A$1001,0),MATCH('Index&amp;Match'!K797,'Main Data'!$A797:$O797,0))</f>
        <v>20978.45</v>
      </c>
      <c r="L798" s="11">
        <f>INDEX('Main Data'!$A$1:$O$1001,MATCH('Index&amp;Match'!$A798,'Main Data'!$A$1:$A$1001,0),MATCH('Index&amp;Match'!L797,'Main Data'!$A797:$O797,0))</f>
        <v>199.83</v>
      </c>
      <c r="M798" s="11">
        <f>INDEX('Main Data'!$A$1:$O$1001,MATCH('Index&amp;Match'!$A798,'Main Data'!$A$1:$A$1001,0),MATCH('Index&amp;Match'!M797,'Main Data'!$A797:$O797,0))</f>
        <v>52.72</v>
      </c>
      <c r="N798" s="2" t="str">
        <f>INDEX('Main Data'!$A$1:$O$1001,MATCH('Index&amp;Match'!$A798,'Main Data'!$A$1:$A$1001,0),MATCH('Index&amp;Match'!N797,'Main Data'!$A797:$O797,0))</f>
        <v>No</v>
      </c>
      <c r="O798" s="2">
        <f>INDEX('Main Data'!$A$1:$O$1001,MATCH('Index&amp;Match'!$A798,'Main Data'!$A$1:$A$1001,0),MATCH('Index&amp;Match'!O797,'Main Data'!$A797:$O797,0))</f>
        <v>57</v>
      </c>
    </row>
    <row r="799" spans="1:15" x14ac:dyDescent="0.3">
      <c r="A799" s="2" t="s">
        <v>856</v>
      </c>
      <c r="B799" s="1">
        <f>INDEX('Main Data'!$A$1:$O$1001,MATCH('Index&amp;Match'!$A799,'Main Data'!$A$1:$A$1001,0),MATCH('Index&amp;Match'!B798,'Main Data'!$A798:$O798,0))</f>
        <v>46144</v>
      </c>
      <c r="C799" s="2" t="str">
        <f>INDEX('Main Data'!$A$1:$O$1001,MATCH('Index&amp;Match'!$A799,'Main Data'!$A$1:$A$1001,0),MATCH('Index&amp;Match'!C798,'Main Data'!$A798:$O798,0))</f>
        <v>Jamie</v>
      </c>
      <c r="D799" s="2" t="str">
        <f>INDEX('Main Data'!$A$1:$O$1001,MATCH('Index&amp;Match'!$A799,'Main Data'!$A$1:$A$1001,0),MATCH('Index&amp;Match'!D798,'Main Data'!$A798:$O798,0))</f>
        <v>BR-005</v>
      </c>
      <c r="E799" s="2" t="str">
        <f>INDEX('Main Data'!$A$1:$O$1001,MATCH('Index&amp;Match'!$A799,'Main Data'!$A$1:$A$1001,0),MATCH('Index&amp;Match'!E798,'Main Data'!$A798:$O798,0))</f>
        <v>West</v>
      </c>
      <c r="F799" s="2" t="str">
        <f>INDEX('Main Data'!$A$1:$O$1001,MATCH('Index&amp;Match'!$A799,'Main Data'!$A$1:$A$1001,0),MATCH('Index&amp;Match'!F798,'Main Data'!$A798:$O798,0))</f>
        <v>Credit Card</v>
      </c>
      <c r="G799" s="2" t="str">
        <f>INDEX('Main Data'!$A$1:$O$1001,MATCH('Index&amp;Match'!$A799,'Main Data'!$A$1:$A$1001,0),MATCH('Index&amp;Match'!G798,'Main Data'!$A798:$O798,0))</f>
        <v>Social Media</v>
      </c>
      <c r="H799" s="2" t="str">
        <f>INDEX('Main Data'!$A$1:$O$1001,MATCH('Index&amp;Match'!$A799,'Main Data'!$A$1:$A$1001,0),MATCH('Index&amp;Match'!H798,'Main Data'!$A798:$O798,0))</f>
        <v>High Net Worth</v>
      </c>
      <c r="I799" s="2">
        <f>INDEX('Main Data'!$A$1:$O$1001,MATCH('Index&amp;Match'!$A799,'Main Data'!$A$1:$A$1001,0),MATCH('Index&amp;Match'!I798,'Main Data'!$A798:$O798,0))</f>
        <v>53</v>
      </c>
      <c r="J799" s="2">
        <f>INDEX('Main Data'!$A$1:$O$1001,MATCH('Index&amp;Match'!$A799,'Main Data'!$A$1:$A$1001,0),MATCH('Index&amp;Match'!J798,'Main Data'!$A798:$O798,0))</f>
        <v>53</v>
      </c>
      <c r="K799" s="11">
        <f>INDEX('Main Data'!$A$1:$O$1001,MATCH('Index&amp;Match'!$A799,'Main Data'!$A$1:$A$1001,0),MATCH('Index&amp;Match'!K798,'Main Data'!$A798:$O798,0))</f>
        <v>34104.92</v>
      </c>
      <c r="L799" s="11">
        <f>INDEX('Main Data'!$A$1:$O$1001,MATCH('Index&amp;Match'!$A799,'Main Data'!$A$1:$A$1001,0),MATCH('Index&amp;Match'!L798,'Main Data'!$A798:$O798,0))</f>
        <v>106.23</v>
      </c>
      <c r="M799" s="11">
        <f>INDEX('Main Data'!$A$1:$O$1001,MATCH('Index&amp;Match'!$A799,'Main Data'!$A$1:$A$1001,0),MATCH('Index&amp;Match'!M798,'Main Data'!$A798:$O798,0))</f>
        <v>286.39999999999998</v>
      </c>
      <c r="N799" s="2" t="str">
        <f>INDEX('Main Data'!$A$1:$O$1001,MATCH('Index&amp;Match'!$A799,'Main Data'!$A$1:$A$1001,0),MATCH('Index&amp;Match'!N798,'Main Data'!$A798:$O798,0))</f>
        <v>Yes</v>
      </c>
      <c r="O799" s="2">
        <f>INDEX('Main Data'!$A$1:$O$1001,MATCH('Index&amp;Match'!$A799,'Main Data'!$A$1:$A$1001,0),MATCH('Index&amp;Match'!O798,'Main Data'!$A798:$O798,0))</f>
        <v>53</v>
      </c>
    </row>
    <row r="800" spans="1:15" x14ac:dyDescent="0.3">
      <c r="A800" s="2" t="s">
        <v>857</v>
      </c>
      <c r="B800" s="1">
        <f>INDEX('Main Data'!$A$1:$O$1001,MATCH('Index&amp;Match'!$A800,'Main Data'!$A$1:$A$1001,0),MATCH('Index&amp;Match'!B799,'Main Data'!$A799:$O799,0))</f>
        <v>46059</v>
      </c>
      <c r="C800" s="2" t="str">
        <f>INDEX('Main Data'!$A$1:$O$1001,MATCH('Index&amp;Match'!$A800,'Main Data'!$A$1:$A$1001,0),MATCH('Index&amp;Match'!C799,'Main Data'!$A799:$O799,0))</f>
        <v>Alex</v>
      </c>
      <c r="D800" s="2" t="str">
        <f>INDEX('Main Data'!$A$1:$O$1001,MATCH('Index&amp;Match'!$A800,'Main Data'!$A$1:$A$1001,0),MATCH('Index&amp;Match'!D799,'Main Data'!$A799:$O799,0))</f>
        <v>BR-012</v>
      </c>
      <c r="E800" s="2" t="str">
        <f>INDEX('Main Data'!$A$1:$O$1001,MATCH('Index&amp;Match'!$A800,'Main Data'!$A$1:$A$1001,0),MATCH('Index&amp;Match'!E799,'Main Data'!$A799:$O799,0))</f>
        <v>West</v>
      </c>
      <c r="F800" s="2" t="str">
        <f>INDEX('Main Data'!$A$1:$O$1001,MATCH('Index&amp;Match'!$A800,'Main Data'!$A$1:$A$1001,0),MATCH('Index&amp;Match'!F799,'Main Data'!$A799:$O799,0))</f>
        <v>Wealth Management</v>
      </c>
      <c r="G800" s="2" t="str">
        <f>INDEX('Main Data'!$A$1:$O$1001,MATCH('Index&amp;Match'!$A800,'Main Data'!$A$1:$A$1001,0),MATCH('Index&amp;Match'!G799,'Main Data'!$A799:$O799,0))</f>
        <v>Email Campaign</v>
      </c>
      <c r="H800" s="2" t="str">
        <f>INDEX('Main Data'!$A$1:$O$1001,MATCH('Index&amp;Match'!$A800,'Main Data'!$A$1:$A$1001,0),MATCH('Index&amp;Match'!H799,'Main Data'!$A799:$O799,0))</f>
        <v>Corporate</v>
      </c>
      <c r="I800" s="2">
        <f>INDEX('Main Data'!$A$1:$O$1001,MATCH('Index&amp;Match'!$A800,'Main Data'!$A$1:$A$1001,0),MATCH('Index&amp;Match'!I799,'Main Data'!$A799:$O799,0))</f>
        <v>64</v>
      </c>
      <c r="J800" s="2">
        <f>INDEX('Main Data'!$A$1:$O$1001,MATCH('Index&amp;Match'!$A800,'Main Data'!$A$1:$A$1001,0),MATCH('Index&amp;Match'!J799,'Main Data'!$A799:$O799,0))</f>
        <v>64</v>
      </c>
      <c r="K800" s="11">
        <f>INDEX('Main Data'!$A$1:$O$1001,MATCH('Index&amp;Match'!$A800,'Main Data'!$A$1:$A$1001,0),MATCH('Index&amp;Match'!K799,'Main Data'!$A799:$O799,0))</f>
        <v>12221.48</v>
      </c>
      <c r="L800" s="11">
        <f>INDEX('Main Data'!$A$1:$O$1001,MATCH('Index&amp;Match'!$A800,'Main Data'!$A$1:$A$1001,0),MATCH('Index&amp;Match'!L799,'Main Data'!$A799:$O799,0))</f>
        <v>97.95</v>
      </c>
      <c r="M800" s="11">
        <f>INDEX('Main Data'!$A$1:$O$1001,MATCH('Index&amp;Match'!$A800,'Main Data'!$A$1:$A$1001,0),MATCH('Index&amp;Match'!M799,'Main Data'!$A799:$O799,0))</f>
        <v>120.72</v>
      </c>
      <c r="N800" s="2" t="str">
        <f>INDEX('Main Data'!$A$1:$O$1001,MATCH('Index&amp;Match'!$A800,'Main Data'!$A$1:$A$1001,0),MATCH('Index&amp;Match'!N799,'Main Data'!$A799:$O799,0))</f>
        <v>Yes</v>
      </c>
      <c r="O800" s="2">
        <f>INDEX('Main Data'!$A$1:$O$1001,MATCH('Index&amp;Match'!$A800,'Main Data'!$A$1:$A$1001,0),MATCH('Index&amp;Match'!O799,'Main Data'!$A799:$O799,0))</f>
        <v>64</v>
      </c>
    </row>
    <row r="801" spans="1:15" x14ac:dyDescent="0.3">
      <c r="A801" s="2" t="s">
        <v>858</v>
      </c>
      <c r="B801" s="1">
        <f>INDEX('Main Data'!$A$1:$O$1001,MATCH('Index&amp;Match'!$A801,'Main Data'!$A$1:$A$1001,0),MATCH('Index&amp;Match'!B800,'Main Data'!$A800:$O800,0))</f>
        <v>46068</v>
      </c>
      <c r="C801" s="2" t="str">
        <f>INDEX('Main Data'!$A$1:$O$1001,MATCH('Index&amp;Match'!$A801,'Main Data'!$A$1:$A$1001,0),MATCH('Index&amp;Match'!C800,'Main Data'!$A800:$O800,0))</f>
        <v>Taylor</v>
      </c>
      <c r="D801" s="2" t="str">
        <f>INDEX('Main Data'!$A$1:$O$1001,MATCH('Index&amp;Match'!$A801,'Main Data'!$A$1:$A$1001,0),MATCH('Index&amp;Match'!D800,'Main Data'!$A800:$O800,0))</f>
        <v>BR-003</v>
      </c>
      <c r="E801" s="2" t="str">
        <f>INDEX('Main Data'!$A$1:$O$1001,MATCH('Index&amp;Match'!$A801,'Main Data'!$A$1:$A$1001,0),MATCH('Index&amp;Match'!E800,'Main Data'!$A800:$O800,0))</f>
        <v>South</v>
      </c>
      <c r="F801" s="2" t="str">
        <f>INDEX('Main Data'!$A$1:$O$1001,MATCH('Index&amp;Match'!$A801,'Main Data'!$A$1:$A$1001,0),MATCH('Index&amp;Match'!F800,'Main Data'!$A800:$O800,0))</f>
        <v>Auto Loan</v>
      </c>
      <c r="G801" s="2" t="str">
        <f>INDEX('Main Data'!$A$1:$O$1001,MATCH('Index&amp;Match'!$A801,'Main Data'!$A$1:$A$1001,0),MATCH('Index&amp;Match'!G800,'Main Data'!$A800:$O800,0))</f>
        <v>Social Media</v>
      </c>
      <c r="H801" s="2" t="str">
        <f>INDEX('Main Data'!$A$1:$O$1001,MATCH('Index&amp;Match'!$A801,'Main Data'!$A$1:$A$1001,0),MATCH('Index&amp;Match'!H800,'Main Data'!$A800:$O800,0))</f>
        <v>High Net Worth</v>
      </c>
      <c r="I801" s="2">
        <f>INDEX('Main Data'!$A$1:$O$1001,MATCH('Index&amp;Match'!$A801,'Main Data'!$A$1:$A$1001,0),MATCH('Index&amp;Match'!I800,'Main Data'!$A800:$O800,0))</f>
        <v>51</v>
      </c>
      <c r="J801" s="2">
        <f>INDEX('Main Data'!$A$1:$O$1001,MATCH('Index&amp;Match'!$A801,'Main Data'!$A$1:$A$1001,0),MATCH('Index&amp;Match'!J800,'Main Data'!$A800:$O800,0))</f>
        <v>51</v>
      </c>
      <c r="K801" s="11">
        <f>INDEX('Main Data'!$A$1:$O$1001,MATCH('Index&amp;Match'!$A801,'Main Data'!$A$1:$A$1001,0),MATCH('Index&amp;Match'!K800,'Main Data'!$A800:$O800,0))</f>
        <v>4656.1499999999996</v>
      </c>
      <c r="L801" s="11">
        <f>INDEX('Main Data'!$A$1:$O$1001,MATCH('Index&amp;Match'!$A801,'Main Data'!$A$1:$A$1001,0),MATCH('Index&amp;Match'!L800,'Main Data'!$A800:$O800,0))</f>
        <v>359.76</v>
      </c>
      <c r="M801" s="11">
        <f>INDEX('Main Data'!$A$1:$O$1001,MATCH('Index&amp;Match'!$A801,'Main Data'!$A$1:$A$1001,0),MATCH('Index&amp;Match'!M800,'Main Data'!$A800:$O800,0))</f>
        <v>280.18</v>
      </c>
      <c r="N801" s="2" t="str">
        <f>INDEX('Main Data'!$A$1:$O$1001,MATCH('Index&amp;Match'!$A801,'Main Data'!$A$1:$A$1001,0),MATCH('Index&amp;Match'!N800,'Main Data'!$A800:$O800,0))</f>
        <v>Yes</v>
      </c>
      <c r="O801" s="2">
        <f>INDEX('Main Data'!$A$1:$O$1001,MATCH('Index&amp;Match'!$A801,'Main Data'!$A$1:$A$1001,0),MATCH('Index&amp;Match'!O800,'Main Data'!$A800:$O800,0))</f>
        <v>51</v>
      </c>
    </row>
    <row r="802" spans="1:15" x14ac:dyDescent="0.3">
      <c r="A802" s="2" t="s">
        <v>859</v>
      </c>
      <c r="B802" s="1">
        <f>INDEX('Main Data'!$A$1:$O$1001,MATCH('Index&amp;Match'!$A802,'Main Data'!$A$1:$A$1001,0),MATCH('Index&amp;Match'!B801,'Main Data'!$A801:$O801,0))</f>
        <v>45943</v>
      </c>
      <c r="C802" s="2" t="str">
        <f>INDEX('Main Data'!$A$1:$O$1001,MATCH('Index&amp;Match'!$A802,'Main Data'!$A$1:$A$1001,0),MATCH('Index&amp;Match'!C801,'Main Data'!$A801:$O801,0))</f>
        <v>Alex</v>
      </c>
      <c r="D802" s="2" t="str">
        <f>INDEX('Main Data'!$A$1:$O$1001,MATCH('Index&amp;Match'!$A802,'Main Data'!$A$1:$A$1001,0),MATCH('Index&amp;Match'!D801,'Main Data'!$A801:$O801,0))</f>
        <v>BR-004</v>
      </c>
      <c r="E802" s="2" t="str">
        <f>INDEX('Main Data'!$A$1:$O$1001,MATCH('Index&amp;Match'!$A802,'Main Data'!$A$1:$A$1001,0),MATCH('Index&amp;Match'!E801,'Main Data'!$A801:$O801,0))</f>
        <v>Central</v>
      </c>
      <c r="F802" s="2" t="str">
        <f>INDEX('Main Data'!$A$1:$O$1001,MATCH('Index&amp;Match'!$A802,'Main Data'!$A$1:$A$1001,0),MATCH('Index&amp;Match'!F801,'Main Data'!$A801:$O801,0))</f>
        <v>Wealth Management</v>
      </c>
      <c r="G802" s="2" t="str">
        <f>INDEX('Main Data'!$A$1:$O$1001,MATCH('Index&amp;Match'!$A802,'Main Data'!$A$1:$A$1001,0),MATCH('Index&amp;Match'!G801,'Main Data'!$A801:$O801,0))</f>
        <v>Walk-in</v>
      </c>
      <c r="H802" s="2" t="str">
        <f>INDEX('Main Data'!$A$1:$O$1001,MATCH('Index&amp;Match'!$A802,'Main Data'!$A$1:$A$1001,0),MATCH('Index&amp;Match'!H801,'Main Data'!$A801:$O801,0))</f>
        <v>Corporate</v>
      </c>
      <c r="I802" s="2">
        <f>INDEX('Main Data'!$A$1:$O$1001,MATCH('Index&amp;Match'!$A802,'Main Data'!$A$1:$A$1001,0),MATCH('Index&amp;Match'!I801,'Main Data'!$A801:$O801,0))</f>
        <v>31</v>
      </c>
      <c r="J802" s="2">
        <f>INDEX('Main Data'!$A$1:$O$1001,MATCH('Index&amp;Match'!$A802,'Main Data'!$A$1:$A$1001,0),MATCH('Index&amp;Match'!J801,'Main Data'!$A801:$O801,0))</f>
        <v>31</v>
      </c>
      <c r="K802" s="11">
        <f>INDEX('Main Data'!$A$1:$O$1001,MATCH('Index&amp;Match'!$A802,'Main Data'!$A$1:$A$1001,0),MATCH('Index&amp;Match'!K801,'Main Data'!$A801:$O801,0))</f>
        <v>38616.050000000003</v>
      </c>
      <c r="L802" s="11">
        <f>INDEX('Main Data'!$A$1:$O$1001,MATCH('Index&amp;Match'!$A802,'Main Data'!$A$1:$A$1001,0),MATCH('Index&amp;Match'!L801,'Main Data'!$A801:$O801,0))</f>
        <v>166.91</v>
      </c>
      <c r="M802" s="11">
        <f>INDEX('Main Data'!$A$1:$O$1001,MATCH('Index&amp;Match'!$A802,'Main Data'!$A$1:$A$1001,0),MATCH('Index&amp;Match'!M801,'Main Data'!$A801:$O801,0))</f>
        <v>40.68</v>
      </c>
      <c r="N802" s="2" t="str">
        <f>INDEX('Main Data'!$A$1:$O$1001,MATCH('Index&amp;Match'!$A802,'Main Data'!$A$1:$A$1001,0),MATCH('Index&amp;Match'!N801,'Main Data'!$A801:$O801,0))</f>
        <v>Yes</v>
      </c>
      <c r="O802" s="2">
        <f>INDEX('Main Data'!$A$1:$O$1001,MATCH('Index&amp;Match'!$A802,'Main Data'!$A$1:$A$1001,0),MATCH('Index&amp;Match'!O801,'Main Data'!$A801:$O801,0))</f>
        <v>31</v>
      </c>
    </row>
    <row r="803" spans="1:15" x14ac:dyDescent="0.3">
      <c r="A803" s="2" t="s">
        <v>860</v>
      </c>
      <c r="B803" s="1">
        <f>INDEX('Main Data'!$A$1:$O$1001,MATCH('Index&amp;Match'!$A803,'Main Data'!$A$1:$A$1001,0),MATCH('Index&amp;Match'!B802,'Main Data'!$A802:$O802,0))</f>
        <v>45966</v>
      </c>
      <c r="C803" s="2" t="str">
        <f>INDEX('Main Data'!$A$1:$O$1001,MATCH('Index&amp;Match'!$A803,'Main Data'!$A$1:$A$1001,0),MATCH('Index&amp;Match'!C802,'Main Data'!$A802:$O802,0))</f>
        <v>Sam</v>
      </c>
      <c r="D803" s="2" t="str">
        <f>INDEX('Main Data'!$A$1:$O$1001,MATCH('Index&amp;Match'!$A803,'Main Data'!$A$1:$A$1001,0),MATCH('Index&amp;Match'!D802,'Main Data'!$A802:$O802,0))</f>
        <v>BR-010</v>
      </c>
      <c r="E803" s="2" t="str">
        <f>INDEX('Main Data'!$A$1:$O$1001,MATCH('Index&amp;Match'!$A803,'Main Data'!$A$1:$A$1001,0),MATCH('Index&amp;Match'!E802,'Main Data'!$A802:$O802,0))</f>
        <v>West</v>
      </c>
      <c r="F803" s="2" t="str">
        <f>INDEX('Main Data'!$A$1:$O$1001,MATCH('Index&amp;Match'!$A803,'Main Data'!$A$1:$A$1001,0),MATCH('Index&amp;Match'!F802,'Main Data'!$A802:$O802,0))</f>
        <v>Wealth Management</v>
      </c>
      <c r="G803" s="2" t="str">
        <f>INDEX('Main Data'!$A$1:$O$1001,MATCH('Index&amp;Match'!$A803,'Main Data'!$A$1:$A$1001,0),MATCH('Index&amp;Match'!G802,'Main Data'!$A802:$O802,0))</f>
        <v>Social Media</v>
      </c>
      <c r="H803" s="2" t="str">
        <f>INDEX('Main Data'!$A$1:$O$1001,MATCH('Index&amp;Match'!$A803,'Main Data'!$A$1:$A$1001,0),MATCH('Index&amp;Match'!H802,'Main Data'!$A802:$O802,0))</f>
        <v>High Net Worth</v>
      </c>
      <c r="I803" s="2">
        <f>INDEX('Main Data'!$A$1:$O$1001,MATCH('Index&amp;Match'!$A803,'Main Data'!$A$1:$A$1001,0),MATCH('Index&amp;Match'!I802,'Main Data'!$A802:$O802,0))</f>
        <v>24</v>
      </c>
      <c r="J803" s="2">
        <f>INDEX('Main Data'!$A$1:$O$1001,MATCH('Index&amp;Match'!$A803,'Main Data'!$A$1:$A$1001,0),MATCH('Index&amp;Match'!J802,'Main Data'!$A802:$O802,0))</f>
        <v>24</v>
      </c>
      <c r="K803" s="11">
        <f>INDEX('Main Data'!$A$1:$O$1001,MATCH('Index&amp;Match'!$A803,'Main Data'!$A$1:$A$1001,0),MATCH('Index&amp;Match'!K802,'Main Data'!$A802:$O802,0))</f>
        <v>31693.67</v>
      </c>
      <c r="L803" s="11">
        <f>INDEX('Main Data'!$A$1:$O$1001,MATCH('Index&amp;Match'!$A803,'Main Data'!$A$1:$A$1001,0),MATCH('Index&amp;Match'!L802,'Main Data'!$A802:$O802,0))</f>
        <v>164.6</v>
      </c>
      <c r="M803" s="11">
        <f>INDEX('Main Data'!$A$1:$O$1001,MATCH('Index&amp;Match'!$A803,'Main Data'!$A$1:$A$1001,0),MATCH('Index&amp;Match'!M802,'Main Data'!$A802:$O802,0))</f>
        <v>44.07</v>
      </c>
      <c r="N803" s="2" t="str">
        <f>INDEX('Main Data'!$A$1:$O$1001,MATCH('Index&amp;Match'!$A803,'Main Data'!$A$1:$A$1001,0),MATCH('Index&amp;Match'!N802,'Main Data'!$A802:$O802,0))</f>
        <v>Yes</v>
      </c>
      <c r="O803" s="2">
        <f>INDEX('Main Data'!$A$1:$O$1001,MATCH('Index&amp;Match'!$A803,'Main Data'!$A$1:$A$1001,0),MATCH('Index&amp;Match'!O802,'Main Data'!$A802:$O802,0))</f>
        <v>24</v>
      </c>
    </row>
    <row r="804" spans="1:15" x14ac:dyDescent="0.3">
      <c r="A804" s="2" t="s">
        <v>861</v>
      </c>
      <c r="B804" s="1">
        <f>INDEX('Main Data'!$A$1:$O$1001,MATCH('Index&amp;Match'!$A804,'Main Data'!$A$1:$A$1001,0),MATCH('Index&amp;Match'!B803,'Main Data'!$A803:$O803,0))</f>
        <v>46182</v>
      </c>
      <c r="C804" s="2" t="str">
        <f>INDEX('Main Data'!$A$1:$O$1001,MATCH('Index&amp;Match'!$A804,'Main Data'!$A$1:$A$1001,0),MATCH('Index&amp;Match'!C803,'Main Data'!$A803:$O803,0))</f>
        <v>Alex</v>
      </c>
      <c r="D804" s="2" t="str">
        <f>INDEX('Main Data'!$A$1:$O$1001,MATCH('Index&amp;Match'!$A804,'Main Data'!$A$1:$A$1001,0),MATCH('Index&amp;Match'!D803,'Main Data'!$A803:$O803,0))</f>
        <v>BR-006</v>
      </c>
      <c r="E804" s="2" t="str">
        <f>INDEX('Main Data'!$A$1:$O$1001,MATCH('Index&amp;Match'!$A804,'Main Data'!$A$1:$A$1001,0),MATCH('Index&amp;Match'!E803,'Main Data'!$A803:$O803,0))</f>
        <v>North</v>
      </c>
      <c r="F804" s="2" t="str">
        <f>INDEX('Main Data'!$A$1:$O$1001,MATCH('Index&amp;Match'!$A804,'Main Data'!$A$1:$A$1001,0),MATCH('Index&amp;Match'!F803,'Main Data'!$A803:$O803,0))</f>
        <v>Credit Card</v>
      </c>
      <c r="G804" s="2" t="str">
        <f>INDEX('Main Data'!$A$1:$O$1001,MATCH('Index&amp;Match'!$A804,'Main Data'!$A$1:$A$1001,0),MATCH('Index&amp;Match'!G803,'Main Data'!$A803:$O803,0))</f>
        <v>Website</v>
      </c>
      <c r="H804" s="2" t="str">
        <f>INDEX('Main Data'!$A$1:$O$1001,MATCH('Index&amp;Match'!$A804,'Main Data'!$A$1:$A$1001,0),MATCH('Index&amp;Match'!H803,'Main Data'!$A803:$O803,0))</f>
        <v>SME</v>
      </c>
      <c r="I804" s="2">
        <f>INDEX('Main Data'!$A$1:$O$1001,MATCH('Index&amp;Match'!$A804,'Main Data'!$A$1:$A$1001,0),MATCH('Index&amp;Match'!I803,'Main Data'!$A803:$O803,0))</f>
        <v>38</v>
      </c>
      <c r="J804" s="2">
        <f>INDEX('Main Data'!$A$1:$O$1001,MATCH('Index&amp;Match'!$A804,'Main Data'!$A$1:$A$1001,0),MATCH('Index&amp;Match'!J803,'Main Data'!$A803:$O803,0))</f>
        <v>38</v>
      </c>
      <c r="K804" s="11">
        <f>INDEX('Main Data'!$A$1:$O$1001,MATCH('Index&amp;Match'!$A804,'Main Data'!$A$1:$A$1001,0),MATCH('Index&amp;Match'!K803,'Main Data'!$A803:$O803,0))</f>
        <v>49430.28</v>
      </c>
      <c r="L804" s="11">
        <f>INDEX('Main Data'!$A$1:$O$1001,MATCH('Index&amp;Match'!$A804,'Main Data'!$A$1:$A$1001,0),MATCH('Index&amp;Match'!L803,'Main Data'!$A803:$O803,0))</f>
        <v>499.19</v>
      </c>
      <c r="M804" s="11">
        <f>INDEX('Main Data'!$A$1:$O$1001,MATCH('Index&amp;Match'!$A804,'Main Data'!$A$1:$A$1001,0),MATCH('Index&amp;Match'!M803,'Main Data'!$A803:$O803,0))</f>
        <v>171.16</v>
      </c>
      <c r="N804" s="2" t="str">
        <f>INDEX('Main Data'!$A$1:$O$1001,MATCH('Index&amp;Match'!$A804,'Main Data'!$A$1:$A$1001,0),MATCH('Index&amp;Match'!N803,'Main Data'!$A803:$O803,0))</f>
        <v>Yes</v>
      </c>
      <c r="O804" s="2">
        <f>INDEX('Main Data'!$A$1:$O$1001,MATCH('Index&amp;Match'!$A804,'Main Data'!$A$1:$A$1001,0),MATCH('Index&amp;Match'!O803,'Main Data'!$A803:$O803,0))</f>
        <v>38</v>
      </c>
    </row>
    <row r="805" spans="1:15" x14ac:dyDescent="0.3">
      <c r="A805" s="2" t="s">
        <v>862</v>
      </c>
      <c r="B805" s="1">
        <f>INDEX('Main Data'!$A$1:$O$1001,MATCH('Index&amp;Match'!$A805,'Main Data'!$A$1:$A$1001,0),MATCH('Index&amp;Match'!B804,'Main Data'!$A804:$O804,0))</f>
        <v>45899</v>
      </c>
      <c r="C805" s="2" t="str">
        <f>INDEX('Main Data'!$A$1:$O$1001,MATCH('Index&amp;Match'!$A805,'Main Data'!$A$1:$A$1001,0),MATCH('Index&amp;Match'!C804,'Main Data'!$A804:$O804,0))</f>
        <v>Alex</v>
      </c>
      <c r="D805" s="2" t="str">
        <f>INDEX('Main Data'!$A$1:$O$1001,MATCH('Index&amp;Match'!$A805,'Main Data'!$A$1:$A$1001,0),MATCH('Index&amp;Match'!D804,'Main Data'!$A804:$O804,0))</f>
        <v>BR-012</v>
      </c>
      <c r="E805" s="2" t="str">
        <f>INDEX('Main Data'!$A$1:$O$1001,MATCH('Index&amp;Match'!$A805,'Main Data'!$A$1:$A$1001,0),MATCH('Index&amp;Match'!E804,'Main Data'!$A804:$O804,0))</f>
        <v>South</v>
      </c>
      <c r="F805" s="2" t="str">
        <f>INDEX('Main Data'!$A$1:$O$1001,MATCH('Index&amp;Match'!$A805,'Main Data'!$A$1:$A$1001,0),MATCH('Index&amp;Match'!F804,'Main Data'!$A804:$O804,0))</f>
        <v>Credit Card</v>
      </c>
      <c r="G805" s="2" t="str">
        <f>INDEX('Main Data'!$A$1:$O$1001,MATCH('Index&amp;Match'!$A805,'Main Data'!$A$1:$A$1001,0),MATCH('Index&amp;Match'!G804,'Main Data'!$A804:$O804,0))</f>
        <v>Social Media</v>
      </c>
      <c r="H805" s="2" t="str">
        <f>INDEX('Main Data'!$A$1:$O$1001,MATCH('Index&amp;Match'!$A805,'Main Data'!$A$1:$A$1001,0),MATCH('Index&amp;Match'!H804,'Main Data'!$A804:$O804,0))</f>
        <v>SME</v>
      </c>
      <c r="I805" s="2">
        <f>INDEX('Main Data'!$A$1:$O$1001,MATCH('Index&amp;Match'!$A805,'Main Data'!$A$1:$A$1001,0),MATCH('Index&amp;Match'!I804,'Main Data'!$A804:$O804,0))</f>
        <v>24</v>
      </c>
      <c r="J805" s="2">
        <f>INDEX('Main Data'!$A$1:$O$1001,MATCH('Index&amp;Match'!$A805,'Main Data'!$A$1:$A$1001,0),MATCH('Index&amp;Match'!J804,'Main Data'!$A804:$O804,0))</f>
        <v>24</v>
      </c>
      <c r="K805" s="11">
        <f>INDEX('Main Data'!$A$1:$O$1001,MATCH('Index&amp;Match'!$A805,'Main Data'!$A$1:$A$1001,0),MATCH('Index&amp;Match'!K804,'Main Data'!$A804:$O804,0))</f>
        <v>17543.25</v>
      </c>
      <c r="L805" s="11">
        <f>INDEX('Main Data'!$A$1:$O$1001,MATCH('Index&amp;Match'!$A805,'Main Data'!$A$1:$A$1001,0),MATCH('Index&amp;Match'!L804,'Main Data'!$A804:$O804,0))</f>
        <v>134.57</v>
      </c>
      <c r="M805" s="11">
        <f>INDEX('Main Data'!$A$1:$O$1001,MATCH('Index&amp;Match'!$A805,'Main Data'!$A$1:$A$1001,0),MATCH('Index&amp;Match'!M804,'Main Data'!$A804:$O804,0))</f>
        <v>136.18</v>
      </c>
      <c r="N805" s="2" t="str">
        <f>INDEX('Main Data'!$A$1:$O$1001,MATCH('Index&amp;Match'!$A805,'Main Data'!$A$1:$A$1001,0),MATCH('Index&amp;Match'!N804,'Main Data'!$A804:$O804,0))</f>
        <v>Yes</v>
      </c>
      <c r="O805" s="2">
        <f>INDEX('Main Data'!$A$1:$O$1001,MATCH('Index&amp;Match'!$A805,'Main Data'!$A$1:$A$1001,0),MATCH('Index&amp;Match'!O804,'Main Data'!$A804:$O804,0))</f>
        <v>24</v>
      </c>
    </row>
    <row r="806" spans="1:15" x14ac:dyDescent="0.3">
      <c r="A806" s="2" t="s">
        <v>863</v>
      </c>
      <c r="B806" s="1">
        <f>INDEX('Main Data'!$A$1:$O$1001,MATCH('Index&amp;Match'!$A806,'Main Data'!$A$1:$A$1001,0),MATCH('Index&amp;Match'!B805,'Main Data'!$A805:$O805,0))</f>
        <v>46173</v>
      </c>
      <c r="C806" s="2" t="str">
        <f>INDEX('Main Data'!$A$1:$O$1001,MATCH('Index&amp;Match'!$A806,'Main Data'!$A$1:$A$1001,0),MATCH('Index&amp;Match'!C805,'Main Data'!$A805:$O805,0))</f>
        <v>Sam</v>
      </c>
      <c r="D806" s="2" t="str">
        <f>INDEX('Main Data'!$A$1:$O$1001,MATCH('Index&amp;Match'!$A806,'Main Data'!$A$1:$A$1001,0),MATCH('Index&amp;Match'!D805,'Main Data'!$A805:$O805,0))</f>
        <v>BR-008</v>
      </c>
      <c r="E806" s="2" t="str">
        <f>INDEX('Main Data'!$A$1:$O$1001,MATCH('Index&amp;Match'!$A806,'Main Data'!$A$1:$A$1001,0),MATCH('Index&amp;Match'!E805,'Main Data'!$A805:$O805,0))</f>
        <v>Central</v>
      </c>
      <c r="F806" s="2" t="str">
        <f>INDEX('Main Data'!$A$1:$O$1001,MATCH('Index&amp;Match'!$A806,'Main Data'!$A$1:$A$1001,0),MATCH('Index&amp;Match'!F805,'Main Data'!$A805:$O805,0))</f>
        <v>Wealth Management</v>
      </c>
      <c r="G806" s="2" t="str">
        <f>INDEX('Main Data'!$A$1:$O$1001,MATCH('Index&amp;Match'!$A806,'Main Data'!$A$1:$A$1001,0),MATCH('Index&amp;Match'!G805,'Main Data'!$A805:$O805,0))</f>
        <v>Email Campaign</v>
      </c>
      <c r="H806" s="2" t="str">
        <f>INDEX('Main Data'!$A$1:$O$1001,MATCH('Index&amp;Match'!$A806,'Main Data'!$A$1:$A$1001,0),MATCH('Index&amp;Match'!H805,'Main Data'!$A805:$O805,0))</f>
        <v>Retail</v>
      </c>
      <c r="I806" s="2">
        <f>INDEX('Main Data'!$A$1:$O$1001,MATCH('Index&amp;Match'!$A806,'Main Data'!$A$1:$A$1001,0),MATCH('Index&amp;Match'!I805,'Main Data'!$A805:$O805,0))</f>
        <v>69</v>
      </c>
      <c r="J806" s="2">
        <f>INDEX('Main Data'!$A$1:$O$1001,MATCH('Index&amp;Match'!$A806,'Main Data'!$A$1:$A$1001,0),MATCH('Index&amp;Match'!J805,'Main Data'!$A805:$O805,0))</f>
        <v>69</v>
      </c>
      <c r="K806" s="11">
        <f>INDEX('Main Data'!$A$1:$O$1001,MATCH('Index&amp;Match'!$A806,'Main Data'!$A$1:$A$1001,0),MATCH('Index&amp;Match'!K805,'Main Data'!$A805:$O805,0))</f>
        <v>3557.24</v>
      </c>
      <c r="L806" s="11">
        <f>INDEX('Main Data'!$A$1:$O$1001,MATCH('Index&amp;Match'!$A806,'Main Data'!$A$1:$A$1001,0),MATCH('Index&amp;Match'!L805,'Main Data'!$A805:$O805,0))</f>
        <v>116.63</v>
      </c>
      <c r="M806" s="11">
        <f>INDEX('Main Data'!$A$1:$O$1001,MATCH('Index&amp;Match'!$A806,'Main Data'!$A$1:$A$1001,0),MATCH('Index&amp;Match'!M805,'Main Data'!$A805:$O805,0))</f>
        <v>37.32</v>
      </c>
      <c r="N806" s="2" t="str">
        <f>INDEX('Main Data'!$A$1:$O$1001,MATCH('Index&amp;Match'!$A806,'Main Data'!$A$1:$A$1001,0),MATCH('Index&amp;Match'!N805,'Main Data'!$A805:$O805,0))</f>
        <v>Yes</v>
      </c>
      <c r="O806" s="2">
        <f>INDEX('Main Data'!$A$1:$O$1001,MATCH('Index&amp;Match'!$A806,'Main Data'!$A$1:$A$1001,0),MATCH('Index&amp;Match'!O805,'Main Data'!$A805:$O805,0))</f>
        <v>69</v>
      </c>
    </row>
    <row r="807" spans="1:15" x14ac:dyDescent="0.3">
      <c r="A807" s="2" t="s">
        <v>864</v>
      </c>
      <c r="B807" s="1">
        <f>INDEX('Main Data'!$A$1:$O$1001,MATCH('Index&amp;Match'!$A807,'Main Data'!$A$1:$A$1001,0),MATCH('Index&amp;Match'!B806,'Main Data'!$A806:$O806,0))</f>
        <v>46058</v>
      </c>
      <c r="C807" s="2" t="str">
        <f>INDEX('Main Data'!$A$1:$O$1001,MATCH('Index&amp;Match'!$A807,'Main Data'!$A$1:$A$1001,0),MATCH('Index&amp;Match'!C806,'Main Data'!$A806:$O806,0))</f>
        <v>Morgan</v>
      </c>
      <c r="D807" s="2" t="str">
        <f>INDEX('Main Data'!$A$1:$O$1001,MATCH('Index&amp;Match'!$A807,'Main Data'!$A$1:$A$1001,0),MATCH('Index&amp;Match'!D806,'Main Data'!$A806:$O806,0))</f>
        <v>BR-001</v>
      </c>
      <c r="E807" s="2" t="str">
        <f>INDEX('Main Data'!$A$1:$O$1001,MATCH('Index&amp;Match'!$A807,'Main Data'!$A$1:$A$1001,0),MATCH('Index&amp;Match'!E806,'Main Data'!$A806:$O806,0))</f>
        <v>South</v>
      </c>
      <c r="F807" s="2" t="str">
        <f>INDEX('Main Data'!$A$1:$O$1001,MATCH('Index&amp;Match'!$A807,'Main Data'!$A$1:$A$1001,0),MATCH('Index&amp;Match'!F806,'Main Data'!$A806:$O806,0))</f>
        <v>Personal Loan</v>
      </c>
      <c r="G807" s="2" t="str">
        <f>INDEX('Main Data'!$A$1:$O$1001,MATCH('Index&amp;Match'!$A807,'Main Data'!$A$1:$A$1001,0),MATCH('Index&amp;Match'!G806,'Main Data'!$A806:$O806,0))</f>
        <v>Website</v>
      </c>
      <c r="H807" s="2" t="str">
        <f>INDEX('Main Data'!$A$1:$O$1001,MATCH('Index&amp;Match'!$A807,'Main Data'!$A$1:$A$1001,0),MATCH('Index&amp;Match'!H806,'Main Data'!$A806:$O806,0))</f>
        <v>High Net Worth</v>
      </c>
      <c r="I807" s="2">
        <f>INDEX('Main Data'!$A$1:$O$1001,MATCH('Index&amp;Match'!$A807,'Main Data'!$A$1:$A$1001,0),MATCH('Index&amp;Match'!I806,'Main Data'!$A806:$O806,0))</f>
        <v>54</v>
      </c>
      <c r="J807" s="2">
        <f>INDEX('Main Data'!$A$1:$O$1001,MATCH('Index&amp;Match'!$A807,'Main Data'!$A$1:$A$1001,0),MATCH('Index&amp;Match'!J806,'Main Data'!$A806:$O806,0))</f>
        <v>54</v>
      </c>
      <c r="K807" s="11">
        <f>INDEX('Main Data'!$A$1:$O$1001,MATCH('Index&amp;Match'!$A807,'Main Data'!$A$1:$A$1001,0),MATCH('Index&amp;Match'!K806,'Main Data'!$A806:$O806,0))</f>
        <v>36850.33</v>
      </c>
      <c r="L807" s="11">
        <f>INDEX('Main Data'!$A$1:$O$1001,MATCH('Index&amp;Match'!$A807,'Main Data'!$A$1:$A$1001,0),MATCH('Index&amp;Match'!L806,'Main Data'!$A806:$O806,0))</f>
        <v>94.41</v>
      </c>
      <c r="M807" s="11">
        <f>INDEX('Main Data'!$A$1:$O$1001,MATCH('Index&amp;Match'!$A807,'Main Data'!$A$1:$A$1001,0),MATCH('Index&amp;Match'!M806,'Main Data'!$A806:$O806,0))</f>
        <v>80.8</v>
      </c>
      <c r="N807" s="2" t="str">
        <f>INDEX('Main Data'!$A$1:$O$1001,MATCH('Index&amp;Match'!$A807,'Main Data'!$A$1:$A$1001,0),MATCH('Index&amp;Match'!N806,'Main Data'!$A806:$O806,0))</f>
        <v>No</v>
      </c>
      <c r="O807" s="2">
        <f>INDEX('Main Data'!$A$1:$O$1001,MATCH('Index&amp;Match'!$A807,'Main Data'!$A$1:$A$1001,0),MATCH('Index&amp;Match'!O806,'Main Data'!$A806:$O806,0))</f>
        <v>54</v>
      </c>
    </row>
    <row r="808" spans="1:15" x14ac:dyDescent="0.3">
      <c r="A808" s="2" t="s">
        <v>865</v>
      </c>
      <c r="B808" s="1">
        <f>INDEX('Main Data'!$A$1:$O$1001,MATCH('Index&amp;Match'!$A808,'Main Data'!$A$1:$A$1001,0),MATCH('Index&amp;Match'!B807,'Main Data'!$A807:$O807,0))</f>
        <v>46215</v>
      </c>
      <c r="C808" s="2" t="str">
        <f>INDEX('Main Data'!$A$1:$O$1001,MATCH('Index&amp;Match'!$A808,'Main Data'!$A$1:$A$1001,0),MATCH('Index&amp;Match'!C807,'Main Data'!$A807:$O807,0))</f>
        <v>Drew</v>
      </c>
      <c r="D808" s="2" t="str">
        <f>INDEX('Main Data'!$A$1:$O$1001,MATCH('Index&amp;Match'!$A808,'Main Data'!$A$1:$A$1001,0),MATCH('Index&amp;Match'!D807,'Main Data'!$A807:$O807,0))</f>
        <v>BR-010</v>
      </c>
      <c r="E808" s="2" t="str">
        <f>INDEX('Main Data'!$A$1:$O$1001,MATCH('Index&amp;Match'!$A808,'Main Data'!$A$1:$A$1001,0),MATCH('Index&amp;Match'!E807,'Main Data'!$A807:$O807,0))</f>
        <v>North</v>
      </c>
      <c r="F808" s="2" t="str">
        <f>INDEX('Main Data'!$A$1:$O$1001,MATCH('Index&amp;Match'!$A808,'Main Data'!$A$1:$A$1001,0),MATCH('Index&amp;Match'!F807,'Main Data'!$A807:$O807,0))</f>
        <v>Wealth Management</v>
      </c>
      <c r="G808" s="2" t="str">
        <f>INDEX('Main Data'!$A$1:$O$1001,MATCH('Index&amp;Match'!$A808,'Main Data'!$A$1:$A$1001,0),MATCH('Index&amp;Match'!G807,'Main Data'!$A807:$O807,0))</f>
        <v>Walk-in</v>
      </c>
      <c r="H808" s="2" t="str">
        <f>INDEX('Main Data'!$A$1:$O$1001,MATCH('Index&amp;Match'!$A808,'Main Data'!$A$1:$A$1001,0),MATCH('Index&amp;Match'!H807,'Main Data'!$A807:$O807,0))</f>
        <v>Retail</v>
      </c>
      <c r="I808" s="2">
        <f>INDEX('Main Data'!$A$1:$O$1001,MATCH('Index&amp;Match'!$A808,'Main Data'!$A$1:$A$1001,0),MATCH('Index&amp;Match'!I807,'Main Data'!$A807:$O807,0))</f>
        <v>49</v>
      </c>
      <c r="J808" s="2">
        <f>INDEX('Main Data'!$A$1:$O$1001,MATCH('Index&amp;Match'!$A808,'Main Data'!$A$1:$A$1001,0),MATCH('Index&amp;Match'!J807,'Main Data'!$A807:$O807,0))</f>
        <v>49</v>
      </c>
      <c r="K808" s="11">
        <f>INDEX('Main Data'!$A$1:$O$1001,MATCH('Index&amp;Match'!$A808,'Main Data'!$A$1:$A$1001,0),MATCH('Index&amp;Match'!K807,'Main Data'!$A807:$O807,0))</f>
        <v>26325.8</v>
      </c>
      <c r="L808" s="11">
        <f>INDEX('Main Data'!$A$1:$O$1001,MATCH('Index&amp;Match'!$A808,'Main Data'!$A$1:$A$1001,0),MATCH('Index&amp;Match'!L807,'Main Data'!$A807:$O807,0))</f>
        <v>310.91000000000003</v>
      </c>
      <c r="M808" s="11">
        <f>INDEX('Main Data'!$A$1:$O$1001,MATCH('Index&amp;Match'!$A808,'Main Data'!$A$1:$A$1001,0),MATCH('Index&amp;Match'!M807,'Main Data'!$A807:$O807,0))</f>
        <v>160.13</v>
      </c>
      <c r="N808" s="2" t="str">
        <f>INDEX('Main Data'!$A$1:$O$1001,MATCH('Index&amp;Match'!$A808,'Main Data'!$A$1:$A$1001,0),MATCH('Index&amp;Match'!N807,'Main Data'!$A807:$O807,0))</f>
        <v>Yes</v>
      </c>
      <c r="O808" s="2">
        <f>INDEX('Main Data'!$A$1:$O$1001,MATCH('Index&amp;Match'!$A808,'Main Data'!$A$1:$A$1001,0),MATCH('Index&amp;Match'!O807,'Main Data'!$A807:$O807,0))</f>
        <v>49</v>
      </c>
    </row>
    <row r="809" spans="1:15" x14ac:dyDescent="0.3">
      <c r="A809" s="2" t="s">
        <v>866</v>
      </c>
      <c r="B809" s="1">
        <f>INDEX('Main Data'!$A$1:$O$1001,MATCH('Index&amp;Match'!$A809,'Main Data'!$A$1:$A$1001,0),MATCH('Index&amp;Match'!B808,'Main Data'!$A808:$O808,0))</f>
        <v>45972</v>
      </c>
      <c r="C809" s="2" t="str">
        <f>INDEX('Main Data'!$A$1:$O$1001,MATCH('Index&amp;Match'!$A809,'Main Data'!$A$1:$A$1001,0),MATCH('Index&amp;Match'!C808,'Main Data'!$A808:$O808,0))</f>
        <v>Alex</v>
      </c>
      <c r="D809" s="2" t="str">
        <f>INDEX('Main Data'!$A$1:$O$1001,MATCH('Index&amp;Match'!$A809,'Main Data'!$A$1:$A$1001,0),MATCH('Index&amp;Match'!D808,'Main Data'!$A808:$O808,0))</f>
        <v>BR-014</v>
      </c>
      <c r="E809" s="2" t="str">
        <f>INDEX('Main Data'!$A$1:$O$1001,MATCH('Index&amp;Match'!$A809,'Main Data'!$A$1:$A$1001,0),MATCH('Index&amp;Match'!E808,'Main Data'!$A808:$O808,0))</f>
        <v>Central</v>
      </c>
      <c r="F809" s="2" t="str">
        <f>INDEX('Main Data'!$A$1:$O$1001,MATCH('Index&amp;Match'!$A809,'Main Data'!$A$1:$A$1001,0),MATCH('Index&amp;Match'!F808,'Main Data'!$A808:$O808,0))</f>
        <v>Wealth Management</v>
      </c>
      <c r="G809" s="2" t="str">
        <f>INDEX('Main Data'!$A$1:$O$1001,MATCH('Index&amp;Match'!$A809,'Main Data'!$A$1:$A$1001,0),MATCH('Index&amp;Match'!G808,'Main Data'!$A808:$O808,0))</f>
        <v>Walk-in</v>
      </c>
      <c r="H809" s="2" t="str">
        <f>INDEX('Main Data'!$A$1:$O$1001,MATCH('Index&amp;Match'!$A809,'Main Data'!$A$1:$A$1001,0),MATCH('Index&amp;Match'!H808,'Main Data'!$A808:$O808,0))</f>
        <v>High Net Worth</v>
      </c>
      <c r="I809" s="2">
        <f>INDEX('Main Data'!$A$1:$O$1001,MATCH('Index&amp;Match'!$A809,'Main Data'!$A$1:$A$1001,0),MATCH('Index&amp;Match'!I808,'Main Data'!$A808:$O808,0))</f>
        <v>44</v>
      </c>
      <c r="J809" s="2">
        <f>INDEX('Main Data'!$A$1:$O$1001,MATCH('Index&amp;Match'!$A809,'Main Data'!$A$1:$A$1001,0),MATCH('Index&amp;Match'!J808,'Main Data'!$A808:$O808,0))</f>
        <v>44</v>
      </c>
      <c r="K809" s="11">
        <f>INDEX('Main Data'!$A$1:$O$1001,MATCH('Index&amp;Match'!$A809,'Main Data'!$A$1:$A$1001,0),MATCH('Index&amp;Match'!K808,'Main Data'!$A808:$O808,0))</f>
        <v>11053.59</v>
      </c>
      <c r="L809" s="11">
        <f>INDEX('Main Data'!$A$1:$O$1001,MATCH('Index&amp;Match'!$A809,'Main Data'!$A$1:$A$1001,0),MATCH('Index&amp;Match'!L808,'Main Data'!$A808:$O808,0))</f>
        <v>332.54</v>
      </c>
      <c r="M809" s="11">
        <f>INDEX('Main Data'!$A$1:$O$1001,MATCH('Index&amp;Match'!$A809,'Main Data'!$A$1:$A$1001,0),MATCH('Index&amp;Match'!M808,'Main Data'!$A808:$O808,0))</f>
        <v>136.16</v>
      </c>
      <c r="N809" s="2" t="str">
        <f>INDEX('Main Data'!$A$1:$O$1001,MATCH('Index&amp;Match'!$A809,'Main Data'!$A$1:$A$1001,0),MATCH('Index&amp;Match'!N808,'Main Data'!$A808:$O808,0))</f>
        <v>Yes</v>
      </c>
      <c r="O809" s="2">
        <f>INDEX('Main Data'!$A$1:$O$1001,MATCH('Index&amp;Match'!$A809,'Main Data'!$A$1:$A$1001,0),MATCH('Index&amp;Match'!O808,'Main Data'!$A808:$O808,0))</f>
        <v>44</v>
      </c>
    </row>
    <row r="810" spans="1:15" x14ac:dyDescent="0.3">
      <c r="A810" s="2" t="s">
        <v>867</v>
      </c>
      <c r="B810" s="1">
        <f>INDEX('Main Data'!$A$1:$O$1001,MATCH('Index&amp;Match'!$A810,'Main Data'!$A$1:$A$1001,0),MATCH('Index&amp;Match'!B809,'Main Data'!$A809:$O809,0))</f>
        <v>45896</v>
      </c>
      <c r="C810" s="2" t="str">
        <f>INDEX('Main Data'!$A$1:$O$1001,MATCH('Index&amp;Match'!$A810,'Main Data'!$A$1:$A$1001,0),MATCH('Index&amp;Match'!C809,'Main Data'!$A809:$O809,0))</f>
        <v>Sam</v>
      </c>
      <c r="D810" s="2" t="str">
        <f>INDEX('Main Data'!$A$1:$O$1001,MATCH('Index&amp;Match'!$A810,'Main Data'!$A$1:$A$1001,0),MATCH('Index&amp;Match'!D809,'Main Data'!$A809:$O809,0))</f>
        <v>BR-008</v>
      </c>
      <c r="E810" s="2" t="str">
        <f>INDEX('Main Data'!$A$1:$O$1001,MATCH('Index&amp;Match'!$A810,'Main Data'!$A$1:$A$1001,0),MATCH('Index&amp;Match'!E809,'Main Data'!$A809:$O809,0))</f>
        <v>South</v>
      </c>
      <c r="F810" s="2" t="str">
        <f>INDEX('Main Data'!$A$1:$O$1001,MATCH('Index&amp;Match'!$A810,'Main Data'!$A$1:$A$1001,0),MATCH('Index&amp;Match'!F809,'Main Data'!$A809:$O809,0))</f>
        <v>Mortgage</v>
      </c>
      <c r="G810" s="2" t="str">
        <f>INDEX('Main Data'!$A$1:$O$1001,MATCH('Index&amp;Match'!$A810,'Main Data'!$A$1:$A$1001,0),MATCH('Index&amp;Match'!G809,'Main Data'!$A809:$O809,0))</f>
        <v>Referral</v>
      </c>
      <c r="H810" s="2" t="str">
        <f>INDEX('Main Data'!$A$1:$O$1001,MATCH('Index&amp;Match'!$A810,'Main Data'!$A$1:$A$1001,0),MATCH('Index&amp;Match'!H809,'Main Data'!$A809:$O809,0))</f>
        <v>Corporate</v>
      </c>
      <c r="I810" s="2">
        <f>INDEX('Main Data'!$A$1:$O$1001,MATCH('Index&amp;Match'!$A810,'Main Data'!$A$1:$A$1001,0),MATCH('Index&amp;Match'!I809,'Main Data'!$A809:$O809,0))</f>
        <v>42</v>
      </c>
      <c r="J810" s="2">
        <f>INDEX('Main Data'!$A$1:$O$1001,MATCH('Index&amp;Match'!$A810,'Main Data'!$A$1:$A$1001,0),MATCH('Index&amp;Match'!J809,'Main Data'!$A809:$O809,0))</f>
        <v>42</v>
      </c>
      <c r="K810" s="11">
        <f>INDEX('Main Data'!$A$1:$O$1001,MATCH('Index&amp;Match'!$A810,'Main Data'!$A$1:$A$1001,0),MATCH('Index&amp;Match'!K809,'Main Data'!$A809:$O809,0))</f>
        <v>39195.58</v>
      </c>
      <c r="L810" s="11">
        <f>INDEX('Main Data'!$A$1:$O$1001,MATCH('Index&amp;Match'!$A810,'Main Data'!$A$1:$A$1001,0),MATCH('Index&amp;Match'!L809,'Main Data'!$A809:$O809,0))</f>
        <v>214.35</v>
      </c>
      <c r="M810" s="11">
        <f>INDEX('Main Data'!$A$1:$O$1001,MATCH('Index&amp;Match'!$A810,'Main Data'!$A$1:$A$1001,0),MATCH('Index&amp;Match'!M809,'Main Data'!$A809:$O809,0))</f>
        <v>134.11000000000001</v>
      </c>
      <c r="N810" s="2" t="str">
        <f>INDEX('Main Data'!$A$1:$O$1001,MATCH('Index&amp;Match'!$A810,'Main Data'!$A$1:$A$1001,0),MATCH('Index&amp;Match'!N809,'Main Data'!$A809:$O809,0))</f>
        <v>Yes</v>
      </c>
      <c r="O810" s="2">
        <f>INDEX('Main Data'!$A$1:$O$1001,MATCH('Index&amp;Match'!$A810,'Main Data'!$A$1:$A$1001,0),MATCH('Index&amp;Match'!O809,'Main Data'!$A809:$O809,0))</f>
        <v>42</v>
      </c>
    </row>
    <row r="811" spans="1:15" x14ac:dyDescent="0.3">
      <c r="A811" s="2" t="s">
        <v>868</v>
      </c>
      <c r="B811" s="1">
        <f>INDEX('Main Data'!$A$1:$O$1001,MATCH('Index&amp;Match'!$A811,'Main Data'!$A$1:$A$1001,0),MATCH('Index&amp;Match'!B810,'Main Data'!$A810:$O810,0))</f>
        <v>46183</v>
      </c>
      <c r="C811" s="2" t="str">
        <f>INDEX('Main Data'!$A$1:$O$1001,MATCH('Index&amp;Match'!$A811,'Main Data'!$A$1:$A$1001,0),MATCH('Index&amp;Match'!C810,'Main Data'!$A810:$O810,0))</f>
        <v>Casey</v>
      </c>
      <c r="D811" s="2" t="str">
        <f>INDEX('Main Data'!$A$1:$O$1001,MATCH('Index&amp;Match'!$A811,'Main Data'!$A$1:$A$1001,0),MATCH('Index&amp;Match'!D810,'Main Data'!$A810:$O810,0))</f>
        <v>BR-011</v>
      </c>
      <c r="E811" s="2" t="str">
        <f>INDEX('Main Data'!$A$1:$O$1001,MATCH('Index&amp;Match'!$A811,'Main Data'!$A$1:$A$1001,0),MATCH('Index&amp;Match'!E810,'Main Data'!$A810:$O810,0))</f>
        <v>East</v>
      </c>
      <c r="F811" s="2" t="str">
        <f>INDEX('Main Data'!$A$1:$O$1001,MATCH('Index&amp;Match'!$A811,'Main Data'!$A$1:$A$1001,0),MATCH('Index&amp;Match'!F810,'Main Data'!$A810:$O810,0))</f>
        <v>Mortgage</v>
      </c>
      <c r="G811" s="2" t="str">
        <f>INDEX('Main Data'!$A$1:$O$1001,MATCH('Index&amp;Match'!$A811,'Main Data'!$A$1:$A$1001,0),MATCH('Index&amp;Match'!G810,'Main Data'!$A810:$O810,0))</f>
        <v>Website</v>
      </c>
      <c r="H811" s="2" t="str">
        <f>INDEX('Main Data'!$A$1:$O$1001,MATCH('Index&amp;Match'!$A811,'Main Data'!$A$1:$A$1001,0),MATCH('Index&amp;Match'!H810,'Main Data'!$A810:$O810,0))</f>
        <v>Corporate</v>
      </c>
      <c r="I811" s="2">
        <f>INDEX('Main Data'!$A$1:$O$1001,MATCH('Index&amp;Match'!$A811,'Main Data'!$A$1:$A$1001,0),MATCH('Index&amp;Match'!I810,'Main Data'!$A810:$O810,0))</f>
        <v>22</v>
      </c>
      <c r="J811" s="2">
        <f>INDEX('Main Data'!$A$1:$O$1001,MATCH('Index&amp;Match'!$A811,'Main Data'!$A$1:$A$1001,0),MATCH('Index&amp;Match'!J810,'Main Data'!$A810:$O810,0))</f>
        <v>22</v>
      </c>
      <c r="K811" s="11">
        <f>INDEX('Main Data'!$A$1:$O$1001,MATCH('Index&amp;Match'!$A811,'Main Data'!$A$1:$A$1001,0),MATCH('Index&amp;Match'!K810,'Main Data'!$A810:$O810,0))</f>
        <v>10585.9</v>
      </c>
      <c r="L811" s="11">
        <f>INDEX('Main Data'!$A$1:$O$1001,MATCH('Index&amp;Match'!$A811,'Main Data'!$A$1:$A$1001,0),MATCH('Index&amp;Match'!L810,'Main Data'!$A810:$O810,0))</f>
        <v>290.94</v>
      </c>
      <c r="M811" s="11">
        <f>INDEX('Main Data'!$A$1:$O$1001,MATCH('Index&amp;Match'!$A811,'Main Data'!$A$1:$A$1001,0),MATCH('Index&amp;Match'!M810,'Main Data'!$A810:$O810,0))</f>
        <v>63.67</v>
      </c>
      <c r="N811" s="2" t="str">
        <f>INDEX('Main Data'!$A$1:$O$1001,MATCH('Index&amp;Match'!$A811,'Main Data'!$A$1:$A$1001,0),MATCH('Index&amp;Match'!N810,'Main Data'!$A810:$O810,0))</f>
        <v>Yes</v>
      </c>
      <c r="O811" s="2">
        <f>INDEX('Main Data'!$A$1:$O$1001,MATCH('Index&amp;Match'!$A811,'Main Data'!$A$1:$A$1001,0),MATCH('Index&amp;Match'!O810,'Main Data'!$A810:$O810,0))</f>
        <v>22</v>
      </c>
    </row>
    <row r="812" spans="1:15" x14ac:dyDescent="0.3">
      <c r="A812" s="2" t="s">
        <v>869</v>
      </c>
      <c r="B812" s="1">
        <f>INDEX('Main Data'!$A$1:$O$1001,MATCH('Index&amp;Match'!$A812,'Main Data'!$A$1:$A$1001,0),MATCH('Index&amp;Match'!B811,'Main Data'!$A811:$O811,0))</f>
        <v>46007</v>
      </c>
      <c r="C812" s="2" t="str">
        <f>INDEX('Main Data'!$A$1:$O$1001,MATCH('Index&amp;Match'!$A812,'Main Data'!$A$1:$A$1001,0),MATCH('Index&amp;Match'!C811,'Main Data'!$A811:$O811,0))</f>
        <v>Taylor</v>
      </c>
      <c r="D812" s="2" t="str">
        <f>INDEX('Main Data'!$A$1:$O$1001,MATCH('Index&amp;Match'!$A812,'Main Data'!$A$1:$A$1001,0),MATCH('Index&amp;Match'!D811,'Main Data'!$A811:$O811,0))</f>
        <v>BR-014</v>
      </c>
      <c r="E812" s="2" t="str">
        <f>INDEX('Main Data'!$A$1:$O$1001,MATCH('Index&amp;Match'!$A812,'Main Data'!$A$1:$A$1001,0),MATCH('Index&amp;Match'!E811,'Main Data'!$A811:$O811,0))</f>
        <v>North</v>
      </c>
      <c r="F812" s="2" t="str">
        <f>INDEX('Main Data'!$A$1:$O$1001,MATCH('Index&amp;Match'!$A812,'Main Data'!$A$1:$A$1001,0),MATCH('Index&amp;Match'!F811,'Main Data'!$A811:$O811,0))</f>
        <v>Mortgage</v>
      </c>
      <c r="G812" s="2" t="str">
        <f>INDEX('Main Data'!$A$1:$O$1001,MATCH('Index&amp;Match'!$A812,'Main Data'!$A$1:$A$1001,0),MATCH('Index&amp;Match'!G811,'Main Data'!$A811:$O811,0))</f>
        <v>Referral</v>
      </c>
      <c r="H812" s="2" t="str">
        <f>INDEX('Main Data'!$A$1:$O$1001,MATCH('Index&amp;Match'!$A812,'Main Data'!$A$1:$A$1001,0),MATCH('Index&amp;Match'!H811,'Main Data'!$A811:$O811,0))</f>
        <v>Retail</v>
      </c>
      <c r="I812" s="2">
        <f>INDEX('Main Data'!$A$1:$O$1001,MATCH('Index&amp;Match'!$A812,'Main Data'!$A$1:$A$1001,0),MATCH('Index&amp;Match'!I811,'Main Data'!$A811:$O811,0))</f>
        <v>64</v>
      </c>
      <c r="J812" s="2">
        <f>INDEX('Main Data'!$A$1:$O$1001,MATCH('Index&amp;Match'!$A812,'Main Data'!$A$1:$A$1001,0),MATCH('Index&amp;Match'!J811,'Main Data'!$A811:$O811,0))</f>
        <v>64</v>
      </c>
      <c r="K812" s="11">
        <f>INDEX('Main Data'!$A$1:$O$1001,MATCH('Index&amp;Match'!$A812,'Main Data'!$A$1:$A$1001,0),MATCH('Index&amp;Match'!K811,'Main Data'!$A811:$O811,0))</f>
        <v>13402.75</v>
      </c>
      <c r="L812" s="11">
        <f>INDEX('Main Data'!$A$1:$O$1001,MATCH('Index&amp;Match'!$A812,'Main Data'!$A$1:$A$1001,0),MATCH('Index&amp;Match'!L811,'Main Data'!$A811:$O811,0))</f>
        <v>404.78</v>
      </c>
      <c r="M812" s="11">
        <f>INDEX('Main Data'!$A$1:$O$1001,MATCH('Index&amp;Match'!$A812,'Main Data'!$A$1:$A$1001,0),MATCH('Index&amp;Match'!M811,'Main Data'!$A811:$O811,0))</f>
        <v>76.25</v>
      </c>
      <c r="N812" s="2" t="str">
        <f>INDEX('Main Data'!$A$1:$O$1001,MATCH('Index&amp;Match'!$A812,'Main Data'!$A$1:$A$1001,0),MATCH('Index&amp;Match'!N811,'Main Data'!$A811:$O811,0))</f>
        <v>No</v>
      </c>
      <c r="O812" s="2">
        <f>INDEX('Main Data'!$A$1:$O$1001,MATCH('Index&amp;Match'!$A812,'Main Data'!$A$1:$A$1001,0),MATCH('Index&amp;Match'!O811,'Main Data'!$A811:$O811,0))</f>
        <v>64</v>
      </c>
    </row>
    <row r="813" spans="1:15" x14ac:dyDescent="0.3">
      <c r="A813" s="2" t="s">
        <v>870</v>
      </c>
      <c r="B813" s="1">
        <f>INDEX('Main Data'!$A$1:$O$1001,MATCH('Index&amp;Match'!$A813,'Main Data'!$A$1:$A$1001,0),MATCH('Index&amp;Match'!B812,'Main Data'!$A812:$O812,0))</f>
        <v>46054</v>
      </c>
      <c r="C813" s="2" t="str">
        <f>INDEX('Main Data'!$A$1:$O$1001,MATCH('Index&amp;Match'!$A813,'Main Data'!$A$1:$A$1001,0),MATCH('Index&amp;Match'!C812,'Main Data'!$A812:$O812,0))</f>
        <v>Taylor</v>
      </c>
      <c r="D813" s="2" t="str">
        <f>INDEX('Main Data'!$A$1:$O$1001,MATCH('Index&amp;Match'!$A813,'Main Data'!$A$1:$A$1001,0),MATCH('Index&amp;Match'!D812,'Main Data'!$A812:$O812,0))</f>
        <v>BR-007</v>
      </c>
      <c r="E813" s="2" t="str">
        <f>INDEX('Main Data'!$A$1:$O$1001,MATCH('Index&amp;Match'!$A813,'Main Data'!$A$1:$A$1001,0),MATCH('Index&amp;Match'!E812,'Main Data'!$A812:$O812,0))</f>
        <v>North</v>
      </c>
      <c r="F813" s="2" t="str">
        <f>INDEX('Main Data'!$A$1:$O$1001,MATCH('Index&amp;Match'!$A813,'Main Data'!$A$1:$A$1001,0),MATCH('Index&amp;Match'!F812,'Main Data'!$A812:$O812,0))</f>
        <v>Personal Loan</v>
      </c>
      <c r="G813" s="2" t="str">
        <f>INDEX('Main Data'!$A$1:$O$1001,MATCH('Index&amp;Match'!$A813,'Main Data'!$A$1:$A$1001,0),MATCH('Index&amp;Match'!G812,'Main Data'!$A812:$O812,0))</f>
        <v>Website</v>
      </c>
      <c r="H813" s="2" t="str">
        <f>INDEX('Main Data'!$A$1:$O$1001,MATCH('Index&amp;Match'!$A813,'Main Data'!$A$1:$A$1001,0),MATCH('Index&amp;Match'!H812,'Main Data'!$A812:$O812,0))</f>
        <v>High Net Worth</v>
      </c>
      <c r="I813" s="2">
        <f>INDEX('Main Data'!$A$1:$O$1001,MATCH('Index&amp;Match'!$A813,'Main Data'!$A$1:$A$1001,0),MATCH('Index&amp;Match'!I812,'Main Data'!$A812:$O812,0))</f>
        <v>26</v>
      </c>
      <c r="J813" s="2">
        <f>INDEX('Main Data'!$A$1:$O$1001,MATCH('Index&amp;Match'!$A813,'Main Data'!$A$1:$A$1001,0),MATCH('Index&amp;Match'!J812,'Main Data'!$A812:$O812,0))</f>
        <v>26</v>
      </c>
      <c r="K813" s="11">
        <f>INDEX('Main Data'!$A$1:$O$1001,MATCH('Index&amp;Match'!$A813,'Main Data'!$A$1:$A$1001,0),MATCH('Index&amp;Match'!K812,'Main Data'!$A812:$O812,0))</f>
        <v>5080.16</v>
      </c>
      <c r="L813" s="11">
        <f>INDEX('Main Data'!$A$1:$O$1001,MATCH('Index&amp;Match'!$A813,'Main Data'!$A$1:$A$1001,0),MATCH('Index&amp;Match'!L812,'Main Data'!$A812:$O812,0))</f>
        <v>418.15</v>
      </c>
      <c r="M813" s="11">
        <f>INDEX('Main Data'!$A$1:$O$1001,MATCH('Index&amp;Match'!$A813,'Main Data'!$A$1:$A$1001,0),MATCH('Index&amp;Match'!M812,'Main Data'!$A812:$O812,0))</f>
        <v>297.20999999999998</v>
      </c>
      <c r="N813" s="2" t="str">
        <f>INDEX('Main Data'!$A$1:$O$1001,MATCH('Index&amp;Match'!$A813,'Main Data'!$A$1:$A$1001,0),MATCH('Index&amp;Match'!N812,'Main Data'!$A812:$O812,0))</f>
        <v>Yes</v>
      </c>
      <c r="O813" s="2">
        <f>INDEX('Main Data'!$A$1:$O$1001,MATCH('Index&amp;Match'!$A813,'Main Data'!$A$1:$A$1001,0),MATCH('Index&amp;Match'!O812,'Main Data'!$A812:$O812,0))</f>
        <v>26</v>
      </c>
    </row>
    <row r="814" spans="1:15" x14ac:dyDescent="0.3">
      <c r="A814" s="2" t="s">
        <v>871</v>
      </c>
      <c r="B814" s="1">
        <f>INDEX('Main Data'!$A$1:$O$1001,MATCH('Index&amp;Match'!$A814,'Main Data'!$A$1:$A$1001,0),MATCH('Index&amp;Match'!B813,'Main Data'!$A813:$O813,0))</f>
        <v>45992</v>
      </c>
      <c r="C814" s="2" t="str">
        <f>INDEX('Main Data'!$A$1:$O$1001,MATCH('Index&amp;Match'!$A814,'Main Data'!$A$1:$A$1001,0),MATCH('Index&amp;Match'!C813,'Main Data'!$A813:$O813,0))</f>
        <v>Alex</v>
      </c>
      <c r="D814" s="2" t="str">
        <f>INDEX('Main Data'!$A$1:$O$1001,MATCH('Index&amp;Match'!$A814,'Main Data'!$A$1:$A$1001,0),MATCH('Index&amp;Match'!D813,'Main Data'!$A813:$O813,0))</f>
        <v>BR-001</v>
      </c>
      <c r="E814" s="2" t="str">
        <f>INDEX('Main Data'!$A$1:$O$1001,MATCH('Index&amp;Match'!$A814,'Main Data'!$A$1:$A$1001,0),MATCH('Index&amp;Match'!E813,'Main Data'!$A813:$O813,0))</f>
        <v>North</v>
      </c>
      <c r="F814" s="2" t="str">
        <f>INDEX('Main Data'!$A$1:$O$1001,MATCH('Index&amp;Match'!$A814,'Main Data'!$A$1:$A$1001,0),MATCH('Index&amp;Match'!F813,'Main Data'!$A813:$O813,0))</f>
        <v>Personal Loan</v>
      </c>
      <c r="G814" s="2" t="str">
        <f>INDEX('Main Data'!$A$1:$O$1001,MATCH('Index&amp;Match'!$A814,'Main Data'!$A$1:$A$1001,0),MATCH('Index&amp;Match'!G813,'Main Data'!$A813:$O813,0))</f>
        <v>Website</v>
      </c>
      <c r="H814" s="2" t="str">
        <f>INDEX('Main Data'!$A$1:$O$1001,MATCH('Index&amp;Match'!$A814,'Main Data'!$A$1:$A$1001,0),MATCH('Index&amp;Match'!H813,'Main Data'!$A813:$O813,0))</f>
        <v>Retail</v>
      </c>
      <c r="I814" s="2">
        <f>INDEX('Main Data'!$A$1:$O$1001,MATCH('Index&amp;Match'!$A814,'Main Data'!$A$1:$A$1001,0),MATCH('Index&amp;Match'!I813,'Main Data'!$A813:$O813,0))</f>
        <v>62</v>
      </c>
      <c r="J814" s="2">
        <f>INDEX('Main Data'!$A$1:$O$1001,MATCH('Index&amp;Match'!$A814,'Main Data'!$A$1:$A$1001,0),MATCH('Index&amp;Match'!J813,'Main Data'!$A813:$O813,0))</f>
        <v>62</v>
      </c>
      <c r="K814" s="11">
        <f>INDEX('Main Data'!$A$1:$O$1001,MATCH('Index&amp;Match'!$A814,'Main Data'!$A$1:$A$1001,0),MATCH('Index&amp;Match'!K813,'Main Data'!$A813:$O813,0))</f>
        <v>20271.900000000001</v>
      </c>
      <c r="L814" s="11">
        <f>INDEX('Main Data'!$A$1:$O$1001,MATCH('Index&amp;Match'!$A814,'Main Data'!$A$1:$A$1001,0),MATCH('Index&amp;Match'!L813,'Main Data'!$A813:$O813,0))</f>
        <v>481.06</v>
      </c>
      <c r="M814" s="11">
        <f>INDEX('Main Data'!$A$1:$O$1001,MATCH('Index&amp;Match'!$A814,'Main Data'!$A$1:$A$1001,0),MATCH('Index&amp;Match'!M813,'Main Data'!$A813:$O813,0))</f>
        <v>49.52</v>
      </c>
      <c r="N814" s="2" t="str">
        <f>INDEX('Main Data'!$A$1:$O$1001,MATCH('Index&amp;Match'!$A814,'Main Data'!$A$1:$A$1001,0),MATCH('Index&amp;Match'!N813,'Main Data'!$A813:$O813,0))</f>
        <v>Yes</v>
      </c>
      <c r="O814" s="2">
        <f>INDEX('Main Data'!$A$1:$O$1001,MATCH('Index&amp;Match'!$A814,'Main Data'!$A$1:$A$1001,0),MATCH('Index&amp;Match'!O813,'Main Data'!$A813:$O813,0))</f>
        <v>62</v>
      </c>
    </row>
    <row r="815" spans="1:15" x14ac:dyDescent="0.3">
      <c r="A815" s="2" t="s">
        <v>872</v>
      </c>
      <c r="B815" s="1">
        <f>INDEX('Main Data'!$A$1:$O$1001,MATCH('Index&amp;Match'!$A815,'Main Data'!$A$1:$A$1001,0),MATCH('Index&amp;Match'!B814,'Main Data'!$A814:$O814,0))</f>
        <v>45989</v>
      </c>
      <c r="C815" s="2" t="str">
        <f>INDEX('Main Data'!$A$1:$O$1001,MATCH('Index&amp;Match'!$A815,'Main Data'!$A$1:$A$1001,0),MATCH('Index&amp;Match'!C814,'Main Data'!$A814:$O814,0))</f>
        <v>Morgan</v>
      </c>
      <c r="D815" s="2" t="str">
        <f>INDEX('Main Data'!$A$1:$O$1001,MATCH('Index&amp;Match'!$A815,'Main Data'!$A$1:$A$1001,0),MATCH('Index&amp;Match'!D814,'Main Data'!$A814:$O814,0))</f>
        <v>BR-002</v>
      </c>
      <c r="E815" s="2" t="str">
        <f>INDEX('Main Data'!$A$1:$O$1001,MATCH('Index&amp;Match'!$A815,'Main Data'!$A$1:$A$1001,0),MATCH('Index&amp;Match'!E814,'Main Data'!$A814:$O814,0))</f>
        <v>East</v>
      </c>
      <c r="F815" s="2" t="str">
        <f>INDEX('Main Data'!$A$1:$O$1001,MATCH('Index&amp;Match'!$A815,'Main Data'!$A$1:$A$1001,0),MATCH('Index&amp;Match'!F814,'Main Data'!$A814:$O814,0))</f>
        <v>Wealth Management</v>
      </c>
      <c r="G815" s="2" t="str">
        <f>INDEX('Main Data'!$A$1:$O$1001,MATCH('Index&amp;Match'!$A815,'Main Data'!$A$1:$A$1001,0),MATCH('Index&amp;Match'!G814,'Main Data'!$A814:$O814,0))</f>
        <v>Email Campaign</v>
      </c>
      <c r="H815" s="2" t="str">
        <f>INDEX('Main Data'!$A$1:$O$1001,MATCH('Index&amp;Match'!$A815,'Main Data'!$A$1:$A$1001,0),MATCH('Index&amp;Match'!H814,'Main Data'!$A814:$O814,0))</f>
        <v>SME</v>
      </c>
      <c r="I815" s="2">
        <f>INDEX('Main Data'!$A$1:$O$1001,MATCH('Index&amp;Match'!$A815,'Main Data'!$A$1:$A$1001,0),MATCH('Index&amp;Match'!I814,'Main Data'!$A814:$O814,0))</f>
        <v>45</v>
      </c>
      <c r="J815" s="2">
        <f>INDEX('Main Data'!$A$1:$O$1001,MATCH('Index&amp;Match'!$A815,'Main Data'!$A$1:$A$1001,0),MATCH('Index&amp;Match'!J814,'Main Data'!$A814:$O814,0))</f>
        <v>45</v>
      </c>
      <c r="K815" s="11">
        <f>INDEX('Main Data'!$A$1:$O$1001,MATCH('Index&amp;Match'!$A815,'Main Data'!$A$1:$A$1001,0),MATCH('Index&amp;Match'!K814,'Main Data'!$A814:$O814,0))</f>
        <v>21237</v>
      </c>
      <c r="L815" s="11">
        <f>INDEX('Main Data'!$A$1:$O$1001,MATCH('Index&amp;Match'!$A815,'Main Data'!$A$1:$A$1001,0),MATCH('Index&amp;Match'!L814,'Main Data'!$A814:$O814,0))</f>
        <v>420.92</v>
      </c>
      <c r="M815" s="11">
        <f>INDEX('Main Data'!$A$1:$O$1001,MATCH('Index&amp;Match'!$A815,'Main Data'!$A$1:$A$1001,0),MATCH('Index&amp;Match'!M814,'Main Data'!$A814:$O814,0))</f>
        <v>101.29</v>
      </c>
      <c r="N815" s="2" t="str">
        <f>INDEX('Main Data'!$A$1:$O$1001,MATCH('Index&amp;Match'!$A815,'Main Data'!$A$1:$A$1001,0),MATCH('Index&amp;Match'!N814,'Main Data'!$A814:$O814,0))</f>
        <v>Yes</v>
      </c>
      <c r="O815" s="2">
        <f>INDEX('Main Data'!$A$1:$O$1001,MATCH('Index&amp;Match'!$A815,'Main Data'!$A$1:$A$1001,0),MATCH('Index&amp;Match'!O814,'Main Data'!$A814:$O814,0))</f>
        <v>45</v>
      </c>
    </row>
    <row r="816" spans="1:15" x14ac:dyDescent="0.3">
      <c r="A816" s="2" t="s">
        <v>873</v>
      </c>
      <c r="B816" s="1">
        <f>INDEX('Main Data'!$A$1:$O$1001,MATCH('Index&amp;Match'!$A816,'Main Data'!$A$1:$A$1001,0),MATCH('Index&amp;Match'!B815,'Main Data'!$A815:$O815,0))</f>
        <v>45928</v>
      </c>
      <c r="C816" s="2" t="str">
        <f>INDEX('Main Data'!$A$1:$O$1001,MATCH('Index&amp;Match'!$A816,'Main Data'!$A$1:$A$1001,0),MATCH('Index&amp;Match'!C815,'Main Data'!$A815:$O815,0))</f>
        <v>Morgan</v>
      </c>
      <c r="D816" s="2" t="str">
        <f>INDEX('Main Data'!$A$1:$O$1001,MATCH('Index&amp;Match'!$A816,'Main Data'!$A$1:$A$1001,0),MATCH('Index&amp;Match'!D815,'Main Data'!$A815:$O815,0))</f>
        <v>BR-003</v>
      </c>
      <c r="E816" s="2" t="str">
        <f>INDEX('Main Data'!$A$1:$O$1001,MATCH('Index&amp;Match'!$A816,'Main Data'!$A$1:$A$1001,0),MATCH('Index&amp;Match'!E815,'Main Data'!$A815:$O815,0))</f>
        <v>East</v>
      </c>
      <c r="F816" s="2" t="str">
        <f>INDEX('Main Data'!$A$1:$O$1001,MATCH('Index&amp;Match'!$A816,'Main Data'!$A$1:$A$1001,0),MATCH('Index&amp;Match'!F815,'Main Data'!$A815:$O815,0))</f>
        <v>Mortgage</v>
      </c>
      <c r="G816" s="2" t="str">
        <f>INDEX('Main Data'!$A$1:$O$1001,MATCH('Index&amp;Match'!$A816,'Main Data'!$A$1:$A$1001,0),MATCH('Index&amp;Match'!G815,'Main Data'!$A815:$O815,0))</f>
        <v>Referral</v>
      </c>
      <c r="H816" s="2" t="str">
        <f>INDEX('Main Data'!$A$1:$O$1001,MATCH('Index&amp;Match'!$A816,'Main Data'!$A$1:$A$1001,0),MATCH('Index&amp;Match'!H815,'Main Data'!$A815:$O815,0))</f>
        <v>Retail</v>
      </c>
      <c r="I816" s="2">
        <f>INDEX('Main Data'!$A$1:$O$1001,MATCH('Index&amp;Match'!$A816,'Main Data'!$A$1:$A$1001,0),MATCH('Index&amp;Match'!I815,'Main Data'!$A815:$O815,0))</f>
        <v>41</v>
      </c>
      <c r="J816" s="2">
        <f>INDEX('Main Data'!$A$1:$O$1001,MATCH('Index&amp;Match'!$A816,'Main Data'!$A$1:$A$1001,0),MATCH('Index&amp;Match'!J815,'Main Data'!$A815:$O815,0))</f>
        <v>41</v>
      </c>
      <c r="K816" s="11">
        <f>INDEX('Main Data'!$A$1:$O$1001,MATCH('Index&amp;Match'!$A816,'Main Data'!$A$1:$A$1001,0),MATCH('Index&amp;Match'!K815,'Main Data'!$A815:$O815,0))</f>
        <v>25970.81</v>
      </c>
      <c r="L816" s="11">
        <f>INDEX('Main Data'!$A$1:$O$1001,MATCH('Index&amp;Match'!$A816,'Main Data'!$A$1:$A$1001,0),MATCH('Index&amp;Match'!L815,'Main Data'!$A815:$O815,0))</f>
        <v>304.18</v>
      </c>
      <c r="M816" s="11">
        <f>INDEX('Main Data'!$A$1:$O$1001,MATCH('Index&amp;Match'!$A816,'Main Data'!$A$1:$A$1001,0),MATCH('Index&amp;Match'!M815,'Main Data'!$A815:$O815,0))</f>
        <v>168.88</v>
      </c>
      <c r="N816" s="2" t="str">
        <f>INDEX('Main Data'!$A$1:$O$1001,MATCH('Index&amp;Match'!$A816,'Main Data'!$A$1:$A$1001,0),MATCH('Index&amp;Match'!N815,'Main Data'!$A815:$O815,0))</f>
        <v>Yes</v>
      </c>
      <c r="O816" s="2">
        <f>INDEX('Main Data'!$A$1:$O$1001,MATCH('Index&amp;Match'!$A816,'Main Data'!$A$1:$A$1001,0),MATCH('Index&amp;Match'!O815,'Main Data'!$A815:$O815,0))</f>
        <v>41</v>
      </c>
    </row>
    <row r="817" spans="1:15" x14ac:dyDescent="0.3">
      <c r="A817" s="2" t="s">
        <v>874</v>
      </c>
      <c r="B817" s="1">
        <f>INDEX('Main Data'!$A$1:$O$1001,MATCH('Index&amp;Match'!$A817,'Main Data'!$A$1:$A$1001,0),MATCH('Index&amp;Match'!B816,'Main Data'!$A816:$O816,0))</f>
        <v>45896</v>
      </c>
      <c r="C817" s="2" t="str">
        <f>INDEX('Main Data'!$A$1:$O$1001,MATCH('Index&amp;Match'!$A817,'Main Data'!$A$1:$A$1001,0),MATCH('Index&amp;Match'!C816,'Main Data'!$A816:$O816,0))</f>
        <v>Casey</v>
      </c>
      <c r="D817" s="2" t="str">
        <f>INDEX('Main Data'!$A$1:$O$1001,MATCH('Index&amp;Match'!$A817,'Main Data'!$A$1:$A$1001,0),MATCH('Index&amp;Match'!D816,'Main Data'!$A816:$O816,0))</f>
        <v>BR-001</v>
      </c>
      <c r="E817" s="2" t="str">
        <f>INDEX('Main Data'!$A$1:$O$1001,MATCH('Index&amp;Match'!$A817,'Main Data'!$A$1:$A$1001,0),MATCH('Index&amp;Match'!E816,'Main Data'!$A816:$O816,0))</f>
        <v>West</v>
      </c>
      <c r="F817" s="2" t="str">
        <f>INDEX('Main Data'!$A$1:$O$1001,MATCH('Index&amp;Match'!$A817,'Main Data'!$A$1:$A$1001,0),MATCH('Index&amp;Match'!F816,'Main Data'!$A816:$O816,0))</f>
        <v>Personal Loan</v>
      </c>
      <c r="G817" s="2" t="str">
        <f>INDEX('Main Data'!$A$1:$O$1001,MATCH('Index&amp;Match'!$A817,'Main Data'!$A$1:$A$1001,0),MATCH('Index&amp;Match'!G816,'Main Data'!$A816:$O816,0))</f>
        <v>Email Campaign</v>
      </c>
      <c r="H817" s="2" t="str">
        <f>INDEX('Main Data'!$A$1:$O$1001,MATCH('Index&amp;Match'!$A817,'Main Data'!$A$1:$A$1001,0),MATCH('Index&amp;Match'!H816,'Main Data'!$A816:$O816,0))</f>
        <v>Retail</v>
      </c>
      <c r="I817" s="2">
        <f>INDEX('Main Data'!$A$1:$O$1001,MATCH('Index&amp;Match'!$A817,'Main Data'!$A$1:$A$1001,0),MATCH('Index&amp;Match'!I816,'Main Data'!$A816:$O816,0))</f>
        <v>36</v>
      </c>
      <c r="J817" s="2">
        <f>INDEX('Main Data'!$A$1:$O$1001,MATCH('Index&amp;Match'!$A817,'Main Data'!$A$1:$A$1001,0),MATCH('Index&amp;Match'!J816,'Main Data'!$A816:$O816,0))</f>
        <v>36</v>
      </c>
      <c r="K817" s="11">
        <f>INDEX('Main Data'!$A$1:$O$1001,MATCH('Index&amp;Match'!$A817,'Main Data'!$A$1:$A$1001,0),MATCH('Index&amp;Match'!K816,'Main Data'!$A816:$O816,0))</f>
        <v>35593.730000000003</v>
      </c>
      <c r="L817" s="11">
        <f>INDEX('Main Data'!$A$1:$O$1001,MATCH('Index&amp;Match'!$A817,'Main Data'!$A$1:$A$1001,0),MATCH('Index&amp;Match'!L816,'Main Data'!$A816:$O816,0))</f>
        <v>130.85</v>
      </c>
      <c r="M817" s="11">
        <f>INDEX('Main Data'!$A$1:$O$1001,MATCH('Index&amp;Match'!$A817,'Main Data'!$A$1:$A$1001,0),MATCH('Index&amp;Match'!M816,'Main Data'!$A816:$O816,0))</f>
        <v>47.84</v>
      </c>
      <c r="N817" s="2" t="str">
        <f>INDEX('Main Data'!$A$1:$O$1001,MATCH('Index&amp;Match'!$A817,'Main Data'!$A$1:$A$1001,0),MATCH('Index&amp;Match'!N816,'Main Data'!$A816:$O816,0))</f>
        <v>No</v>
      </c>
      <c r="O817" s="2">
        <f>INDEX('Main Data'!$A$1:$O$1001,MATCH('Index&amp;Match'!$A817,'Main Data'!$A$1:$A$1001,0),MATCH('Index&amp;Match'!O816,'Main Data'!$A816:$O816,0))</f>
        <v>36</v>
      </c>
    </row>
    <row r="818" spans="1:15" x14ac:dyDescent="0.3">
      <c r="A818" s="2" t="s">
        <v>875</v>
      </c>
      <c r="B818" s="1">
        <f>INDEX('Main Data'!$A$1:$O$1001,MATCH('Index&amp;Match'!$A818,'Main Data'!$A$1:$A$1001,0),MATCH('Index&amp;Match'!B817,'Main Data'!$A817:$O817,0))</f>
        <v>46007</v>
      </c>
      <c r="C818" s="2" t="str">
        <f>INDEX('Main Data'!$A$1:$O$1001,MATCH('Index&amp;Match'!$A818,'Main Data'!$A$1:$A$1001,0),MATCH('Index&amp;Match'!C817,'Main Data'!$A817:$O817,0))</f>
        <v>Alex</v>
      </c>
      <c r="D818" s="2" t="str">
        <f>INDEX('Main Data'!$A$1:$O$1001,MATCH('Index&amp;Match'!$A818,'Main Data'!$A$1:$A$1001,0),MATCH('Index&amp;Match'!D817,'Main Data'!$A817:$O817,0))</f>
        <v>BR-014</v>
      </c>
      <c r="E818" s="2" t="str">
        <f>INDEX('Main Data'!$A$1:$O$1001,MATCH('Index&amp;Match'!$A818,'Main Data'!$A$1:$A$1001,0),MATCH('Index&amp;Match'!E817,'Main Data'!$A817:$O817,0))</f>
        <v>South</v>
      </c>
      <c r="F818" s="2" t="str">
        <f>INDEX('Main Data'!$A$1:$O$1001,MATCH('Index&amp;Match'!$A818,'Main Data'!$A$1:$A$1001,0),MATCH('Index&amp;Match'!F817,'Main Data'!$A817:$O817,0))</f>
        <v>Credit Card</v>
      </c>
      <c r="G818" s="2" t="str">
        <f>INDEX('Main Data'!$A$1:$O$1001,MATCH('Index&amp;Match'!$A818,'Main Data'!$A$1:$A$1001,0),MATCH('Index&amp;Match'!G817,'Main Data'!$A817:$O817,0))</f>
        <v>Website</v>
      </c>
      <c r="H818" s="2" t="str">
        <f>INDEX('Main Data'!$A$1:$O$1001,MATCH('Index&amp;Match'!$A818,'Main Data'!$A$1:$A$1001,0),MATCH('Index&amp;Match'!H817,'Main Data'!$A817:$O817,0))</f>
        <v>Corporate</v>
      </c>
      <c r="I818" s="2">
        <f>INDEX('Main Data'!$A$1:$O$1001,MATCH('Index&amp;Match'!$A818,'Main Data'!$A$1:$A$1001,0),MATCH('Index&amp;Match'!I817,'Main Data'!$A817:$O817,0))</f>
        <v>51</v>
      </c>
      <c r="J818" s="2">
        <f>INDEX('Main Data'!$A$1:$O$1001,MATCH('Index&amp;Match'!$A818,'Main Data'!$A$1:$A$1001,0),MATCH('Index&amp;Match'!J817,'Main Data'!$A817:$O817,0))</f>
        <v>51</v>
      </c>
      <c r="K818" s="11">
        <f>INDEX('Main Data'!$A$1:$O$1001,MATCH('Index&amp;Match'!$A818,'Main Data'!$A$1:$A$1001,0),MATCH('Index&amp;Match'!K817,'Main Data'!$A817:$O817,0))</f>
        <v>45352</v>
      </c>
      <c r="L818" s="11">
        <f>INDEX('Main Data'!$A$1:$O$1001,MATCH('Index&amp;Match'!$A818,'Main Data'!$A$1:$A$1001,0),MATCH('Index&amp;Match'!L817,'Main Data'!$A817:$O817,0))</f>
        <v>94.89</v>
      </c>
      <c r="M818" s="11">
        <f>INDEX('Main Data'!$A$1:$O$1001,MATCH('Index&amp;Match'!$A818,'Main Data'!$A$1:$A$1001,0),MATCH('Index&amp;Match'!M817,'Main Data'!$A817:$O817,0))</f>
        <v>83.04</v>
      </c>
      <c r="N818" s="2" t="str">
        <f>INDEX('Main Data'!$A$1:$O$1001,MATCH('Index&amp;Match'!$A818,'Main Data'!$A$1:$A$1001,0),MATCH('Index&amp;Match'!N817,'Main Data'!$A817:$O817,0))</f>
        <v>Yes</v>
      </c>
      <c r="O818" s="2">
        <f>INDEX('Main Data'!$A$1:$O$1001,MATCH('Index&amp;Match'!$A818,'Main Data'!$A$1:$A$1001,0),MATCH('Index&amp;Match'!O817,'Main Data'!$A817:$O817,0))</f>
        <v>51</v>
      </c>
    </row>
    <row r="819" spans="1:15" x14ac:dyDescent="0.3">
      <c r="A819" s="2" t="s">
        <v>876</v>
      </c>
      <c r="B819" s="1">
        <f>INDEX('Main Data'!$A$1:$O$1001,MATCH('Index&amp;Match'!$A819,'Main Data'!$A$1:$A$1001,0),MATCH('Index&amp;Match'!B818,'Main Data'!$A818:$O818,0))</f>
        <v>46068</v>
      </c>
      <c r="C819" s="2" t="str">
        <f>INDEX('Main Data'!$A$1:$O$1001,MATCH('Index&amp;Match'!$A819,'Main Data'!$A$1:$A$1001,0),MATCH('Index&amp;Match'!C818,'Main Data'!$A818:$O818,0))</f>
        <v>Taylor</v>
      </c>
      <c r="D819" s="2" t="str">
        <f>INDEX('Main Data'!$A$1:$O$1001,MATCH('Index&amp;Match'!$A819,'Main Data'!$A$1:$A$1001,0),MATCH('Index&amp;Match'!D818,'Main Data'!$A818:$O818,0))</f>
        <v>BR-009</v>
      </c>
      <c r="E819" s="2" t="str">
        <f>INDEX('Main Data'!$A$1:$O$1001,MATCH('Index&amp;Match'!$A819,'Main Data'!$A$1:$A$1001,0),MATCH('Index&amp;Match'!E818,'Main Data'!$A818:$O818,0))</f>
        <v>West</v>
      </c>
      <c r="F819" s="2" t="str">
        <f>INDEX('Main Data'!$A$1:$O$1001,MATCH('Index&amp;Match'!$A819,'Main Data'!$A$1:$A$1001,0),MATCH('Index&amp;Match'!F818,'Main Data'!$A818:$O818,0))</f>
        <v>Wealth Management</v>
      </c>
      <c r="G819" s="2" t="str">
        <f>INDEX('Main Data'!$A$1:$O$1001,MATCH('Index&amp;Match'!$A819,'Main Data'!$A$1:$A$1001,0),MATCH('Index&amp;Match'!G818,'Main Data'!$A818:$O818,0))</f>
        <v>Walk-in</v>
      </c>
      <c r="H819" s="2" t="str">
        <f>INDEX('Main Data'!$A$1:$O$1001,MATCH('Index&amp;Match'!$A819,'Main Data'!$A$1:$A$1001,0),MATCH('Index&amp;Match'!H818,'Main Data'!$A818:$O818,0))</f>
        <v>Retail</v>
      </c>
      <c r="I819" s="2">
        <f>INDEX('Main Data'!$A$1:$O$1001,MATCH('Index&amp;Match'!$A819,'Main Data'!$A$1:$A$1001,0),MATCH('Index&amp;Match'!I818,'Main Data'!$A818:$O818,0))</f>
        <v>34</v>
      </c>
      <c r="J819" s="2">
        <f>INDEX('Main Data'!$A$1:$O$1001,MATCH('Index&amp;Match'!$A819,'Main Data'!$A$1:$A$1001,0),MATCH('Index&amp;Match'!J818,'Main Data'!$A818:$O818,0))</f>
        <v>34</v>
      </c>
      <c r="K819" s="11">
        <f>INDEX('Main Data'!$A$1:$O$1001,MATCH('Index&amp;Match'!$A819,'Main Data'!$A$1:$A$1001,0),MATCH('Index&amp;Match'!K818,'Main Data'!$A818:$O818,0))</f>
        <v>7317.84</v>
      </c>
      <c r="L819" s="11">
        <f>INDEX('Main Data'!$A$1:$O$1001,MATCH('Index&amp;Match'!$A819,'Main Data'!$A$1:$A$1001,0),MATCH('Index&amp;Match'!L818,'Main Data'!$A818:$O818,0))</f>
        <v>74.53</v>
      </c>
      <c r="M819" s="11">
        <f>INDEX('Main Data'!$A$1:$O$1001,MATCH('Index&amp;Match'!$A819,'Main Data'!$A$1:$A$1001,0),MATCH('Index&amp;Match'!M818,'Main Data'!$A818:$O818,0))</f>
        <v>123.02</v>
      </c>
      <c r="N819" s="2" t="str">
        <f>INDEX('Main Data'!$A$1:$O$1001,MATCH('Index&amp;Match'!$A819,'Main Data'!$A$1:$A$1001,0),MATCH('Index&amp;Match'!N818,'Main Data'!$A818:$O818,0))</f>
        <v>Yes</v>
      </c>
      <c r="O819" s="2">
        <f>INDEX('Main Data'!$A$1:$O$1001,MATCH('Index&amp;Match'!$A819,'Main Data'!$A$1:$A$1001,0),MATCH('Index&amp;Match'!O818,'Main Data'!$A818:$O818,0))</f>
        <v>34</v>
      </c>
    </row>
    <row r="820" spans="1:15" x14ac:dyDescent="0.3">
      <c r="A820" s="2" t="s">
        <v>877</v>
      </c>
      <c r="B820" s="1">
        <f>INDEX('Main Data'!$A$1:$O$1001,MATCH('Index&amp;Match'!$A820,'Main Data'!$A$1:$A$1001,0),MATCH('Index&amp;Match'!B819,'Main Data'!$A819:$O819,0))</f>
        <v>45926</v>
      </c>
      <c r="C820" s="2" t="str">
        <f>INDEX('Main Data'!$A$1:$O$1001,MATCH('Index&amp;Match'!$A820,'Main Data'!$A$1:$A$1001,0),MATCH('Index&amp;Match'!C819,'Main Data'!$A819:$O819,0))</f>
        <v>Morgan</v>
      </c>
      <c r="D820" s="2" t="str">
        <f>INDEX('Main Data'!$A$1:$O$1001,MATCH('Index&amp;Match'!$A820,'Main Data'!$A$1:$A$1001,0),MATCH('Index&amp;Match'!D819,'Main Data'!$A819:$O819,0))</f>
        <v>BR-008</v>
      </c>
      <c r="E820" s="2" t="str">
        <f>INDEX('Main Data'!$A$1:$O$1001,MATCH('Index&amp;Match'!$A820,'Main Data'!$A$1:$A$1001,0),MATCH('Index&amp;Match'!E819,'Main Data'!$A819:$O819,0))</f>
        <v>South</v>
      </c>
      <c r="F820" s="2" t="str">
        <f>INDEX('Main Data'!$A$1:$O$1001,MATCH('Index&amp;Match'!$A820,'Main Data'!$A$1:$A$1001,0),MATCH('Index&amp;Match'!F819,'Main Data'!$A819:$O819,0))</f>
        <v>Auto Loan</v>
      </c>
      <c r="G820" s="2" t="str">
        <f>INDEX('Main Data'!$A$1:$O$1001,MATCH('Index&amp;Match'!$A820,'Main Data'!$A$1:$A$1001,0),MATCH('Index&amp;Match'!G819,'Main Data'!$A819:$O819,0))</f>
        <v>Website</v>
      </c>
      <c r="H820" s="2" t="str">
        <f>INDEX('Main Data'!$A$1:$O$1001,MATCH('Index&amp;Match'!$A820,'Main Data'!$A$1:$A$1001,0),MATCH('Index&amp;Match'!H819,'Main Data'!$A819:$O819,0))</f>
        <v>High Net Worth</v>
      </c>
      <c r="I820" s="2">
        <f>INDEX('Main Data'!$A$1:$O$1001,MATCH('Index&amp;Match'!$A820,'Main Data'!$A$1:$A$1001,0),MATCH('Index&amp;Match'!I819,'Main Data'!$A819:$O819,0))</f>
        <v>59</v>
      </c>
      <c r="J820" s="2">
        <f>INDEX('Main Data'!$A$1:$O$1001,MATCH('Index&amp;Match'!$A820,'Main Data'!$A$1:$A$1001,0),MATCH('Index&amp;Match'!J819,'Main Data'!$A819:$O819,0))</f>
        <v>59</v>
      </c>
      <c r="K820" s="11">
        <f>INDEX('Main Data'!$A$1:$O$1001,MATCH('Index&amp;Match'!$A820,'Main Data'!$A$1:$A$1001,0),MATCH('Index&amp;Match'!K819,'Main Data'!$A819:$O819,0))</f>
        <v>3190.23</v>
      </c>
      <c r="L820" s="11">
        <f>INDEX('Main Data'!$A$1:$O$1001,MATCH('Index&amp;Match'!$A820,'Main Data'!$A$1:$A$1001,0),MATCH('Index&amp;Match'!L819,'Main Data'!$A819:$O819,0))</f>
        <v>349.94</v>
      </c>
      <c r="M820" s="11">
        <f>INDEX('Main Data'!$A$1:$O$1001,MATCH('Index&amp;Match'!$A820,'Main Data'!$A$1:$A$1001,0),MATCH('Index&amp;Match'!M819,'Main Data'!$A819:$O819,0))</f>
        <v>144.36000000000001</v>
      </c>
      <c r="N820" s="2" t="str">
        <f>INDEX('Main Data'!$A$1:$O$1001,MATCH('Index&amp;Match'!$A820,'Main Data'!$A$1:$A$1001,0),MATCH('Index&amp;Match'!N819,'Main Data'!$A819:$O819,0))</f>
        <v>Yes</v>
      </c>
      <c r="O820" s="2">
        <f>INDEX('Main Data'!$A$1:$O$1001,MATCH('Index&amp;Match'!$A820,'Main Data'!$A$1:$A$1001,0),MATCH('Index&amp;Match'!O819,'Main Data'!$A819:$O819,0))</f>
        <v>59</v>
      </c>
    </row>
    <row r="821" spans="1:15" x14ac:dyDescent="0.3">
      <c r="A821" s="2" t="s">
        <v>878</v>
      </c>
      <c r="B821" s="1">
        <f>INDEX('Main Data'!$A$1:$O$1001,MATCH('Index&amp;Match'!$A821,'Main Data'!$A$1:$A$1001,0),MATCH('Index&amp;Match'!B820,'Main Data'!$A820:$O820,0))</f>
        <v>46068</v>
      </c>
      <c r="C821" s="2" t="str">
        <f>INDEX('Main Data'!$A$1:$O$1001,MATCH('Index&amp;Match'!$A821,'Main Data'!$A$1:$A$1001,0),MATCH('Index&amp;Match'!C820,'Main Data'!$A820:$O820,0))</f>
        <v>Alex</v>
      </c>
      <c r="D821" s="2" t="str">
        <f>INDEX('Main Data'!$A$1:$O$1001,MATCH('Index&amp;Match'!$A821,'Main Data'!$A$1:$A$1001,0),MATCH('Index&amp;Match'!D820,'Main Data'!$A820:$O820,0))</f>
        <v>BR-002</v>
      </c>
      <c r="E821" s="2" t="str">
        <f>INDEX('Main Data'!$A$1:$O$1001,MATCH('Index&amp;Match'!$A821,'Main Data'!$A$1:$A$1001,0),MATCH('Index&amp;Match'!E820,'Main Data'!$A820:$O820,0))</f>
        <v>East</v>
      </c>
      <c r="F821" s="2" t="str">
        <f>INDEX('Main Data'!$A$1:$O$1001,MATCH('Index&amp;Match'!$A821,'Main Data'!$A$1:$A$1001,0),MATCH('Index&amp;Match'!F820,'Main Data'!$A820:$O820,0))</f>
        <v>Wealth Management</v>
      </c>
      <c r="G821" s="2" t="str">
        <f>INDEX('Main Data'!$A$1:$O$1001,MATCH('Index&amp;Match'!$A821,'Main Data'!$A$1:$A$1001,0),MATCH('Index&amp;Match'!G820,'Main Data'!$A820:$O820,0))</f>
        <v>Email Campaign</v>
      </c>
      <c r="H821" s="2" t="str">
        <f>INDEX('Main Data'!$A$1:$O$1001,MATCH('Index&amp;Match'!$A821,'Main Data'!$A$1:$A$1001,0),MATCH('Index&amp;Match'!H820,'Main Data'!$A820:$O820,0))</f>
        <v>Corporate</v>
      </c>
      <c r="I821" s="2">
        <f>INDEX('Main Data'!$A$1:$O$1001,MATCH('Index&amp;Match'!$A821,'Main Data'!$A$1:$A$1001,0),MATCH('Index&amp;Match'!I820,'Main Data'!$A820:$O820,0))</f>
        <v>48</v>
      </c>
      <c r="J821" s="2">
        <f>INDEX('Main Data'!$A$1:$O$1001,MATCH('Index&amp;Match'!$A821,'Main Data'!$A$1:$A$1001,0),MATCH('Index&amp;Match'!J820,'Main Data'!$A820:$O820,0))</f>
        <v>48</v>
      </c>
      <c r="K821" s="11">
        <f>INDEX('Main Data'!$A$1:$O$1001,MATCH('Index&amp;Match'!$A821,'Main Data'!$A$1:$A$1001,0),MATCH('Index&amp;Match'!K820,'Main Data'!$A820:$O820,0))</f>
        <v>1417.3</v>
      </c>
      <c r="L821" s="11">
        <f>INDEX('Main Data'!$A$1:$O$1001,MATCH('Index&amp;Match'!$A821,'Main Data'!$A$1:$A$1001,0),MATCH('Index&amp;Match'!L820,'Main Data'!$A820:$O820,0))</f>
        <v>413.39</v>
      </c>
      <c r="M821" s="11">
        <f>INDEX('Main Data'!$A$1:$O$1001,MATCH('Index&amp;Match'!$A821,'Main Data'!$A$1:$A$1001,0),MATCH('Index&amp;Match'!M820,'Main Data'!$A820:$O820,0))</f>
        <v>91.9</v>
      </c>
      <c r="N821" s="2" t="str">
        <f>INDEX('Main Data'!$A$1:$O$1001,MATCH('Index&amp;Match'!$A821,'Main Data'!$A$1:$A$1001,0),MATCH('Index&amp;Match'!N820,'Main Data'!$A820:$O820,0))</f>
        <v>Yes</v>
      </c>
      <c r="O821" s="2">
        <f>INDEX('Main Data'!$A$1:$O$1001,MATCH('Index&amp;Match'!$A821,'Main Data'!$A$1:$A$1001,0),MATCH('Index&amp;Match'!O820,'Main Data'!$A820:$O820,0))</f>
        <v>48</v>
      </c>
    </row>
    <row r="822" spans="1:15" x14ac:dyDescent="0.3">
      <c r="A822" s="2" t="s">
        <v>879</v>
      </c>
      <c r="B822" s="1">
        <f>INDEX('Main Data'!$A$1:$O$1001,MATCH('Index&amp;Match'!$A822,'Main Data'!$A$1:$A$1001,0),MATCH('Index&amp;Match'!B821,'Main Data'!$A821:$O821,0))</f>
        <v>46073</v>
      </c>
      <c r="C822" s="2" t="str">
        <f>INDEX('Main Data'!$A$1:$O$1001,MATCH('Index&amp;Match'!$A822,'Main Data'!$A$1:$A$1001,0),MATCH('Index&amp;Match'!C821,'Main Data'!$A821:$O821,0))</f>
        <v>Jamie</v>
      </c>
      <c r="D822" s="2" t="str">
        <f>INDEX('Main Data'!$A$1:$O$1001,MATCH('Index&amp;Match'!$A822,'Main Data'!$A$1:$A$1001,0),MATCH('Index&amp;Match'!D821,'Main Data'!$A821:$O821,0))</f>
        <v>BR-013</v>
      </c>
      <c r="E822" s="2" t="str">
        <f>INDEX('Main Data'!$A$1:$O$1001,MATCH('Index&amp;Match'!$A822,'Main Data'!$A$1:$A$1001,0),MATCH('Index&amp;Match'!E821,'Main Data'!$A821:$O821,0))</f>
        <v>East</v>
      </c>
      <c r="F822" s="2" t="str">
        <f>INDEX('Main Data'!$A$1:$O$1001,MATCH('Index&amp;Match'!$A822,'Main Data'!$A$1:$A$1001,0),MATCH('Index&amp;Match'!F821,'Main Data'!$A821:$O821,0))</f>
        <v>Auto Loan</v>
      </c>
      <c r="G822" s="2" t="str">
        <f>INDEX('Main Data'!$A$1:$O$1001,MATCH('Index&amp;Match'!$A822,'Main Data'!$A$1:$A$1001,0),MATCH('Index&amp;Match'!G821,'Main Data'!$A821:$O821,0))</f>
        <v>Referral</v>
      </c>
      <c r="H822" s="2" t="str">
        <f>INDEX('Main Data'!$A$1:$O$1001,MATCH('Index&amp;Match'!$A822,'Main Data'!$A$1:$A$1001,0),MATCH('Index&amp;Match'!H821,'Main Data'!$A821:$O821,0))</f>
        <v>Retail</v>
      </c>
      <c r="I822" s="2">
        <f>INDEX('Main Data'!$A$1:$O$1001,MATCH('Index&amp;Match'!$A822,'Main Data'!$A$1:$A$1001,0),MATCH('Index&amp;Match'!I821,'Main Data'!$A821:$O821,0))</f>
        <v>52</v>
      </c>
      <c r="J822" s="2">
        <f>INDEX('Main Data'!$A$1:$O$1001,MATCH('Index&amp;Match'!$A822,'Main Data'!$A$1:$A$1001,0),MATCH('Index&amp;Match'!J821,'Main Data'!$A821:$O821,0))</f>
        <v>52</v>
      </c>
      <c r="K822" s="11">
        <f>INDEX('Main Data'!$A$1:$O$1001,MATCH('Index&amp;Match'!$A822,'Main Data'!$A$1:$A$1001,0),MATCH('Index&amp;Match'!K821,'Main Data'!$A821:$O821,0))</f>
        <v>7609.26</v>
      </c>
      <c r="L822" s="11">
        <f>INDEX('Main Data'!$A$1:$O$1001,MATCH('Index&amp;Match'!$A822,'Main Data'!$A$1:$A$1001,0),MATCH('Index&amp;Match'!L821,'Main Data'!$A821:$O821,0))</f>
        <v>278.91000000000003</v>
      </c>
      <c r="M822" s="11">
        <f>INDEX('Main Data'!$A$1:$O$1001,MATCH('Index&amp;Match'!$A822,'Main Data'!$A$1:$A$1001,0),MATCH('Index&amp;Match'!M821,'Main Data'!$A821:$O821,0))</f>
        <v>72.5</v>
      </c>
      <c r="N822" s="2" t="str">
        <f>INDEX('Main Data'!$A$1:$O$1001,MATCH('Index&amp;Match'!$A822,'Main Data'!$A$1:$A$1001,0),MATCH('Index&amp;Match'!N821,'Main Data'!$A821:$O821,0))</f>
        <v>Yes</v>
      </c>
      <c r="O822" s="2">
        <f>INDEX('Main Data'!$A$1:$O$1001,MATCH('Index&amp;Match'!$A822,'Main Data'!$A$1:$A$1001,0),MATCH('Index&amp;Match'!O821,'Main Data'!$A821:$O821,0))</f>
        <v>52</v>
      </c>
    </row>
    <row r="823" spans="1:15" x14ac:dyDescent="0.3">
      <c r="A823" s="2" t="s">
        <v>880</v>
      </c>
      <c r="B823" s="1">
        <f>INDEX('Main Data'!$A$1:$O$1001,MATCH('Index&amp;Match'!$A823,'Main Data'!$A$1:$A$1001,0),MATCH('Index&amp;Match'!B822,'Main Data'!$A822:$O822,0))</f>
        <v>46103</v>
      </c>
      <c r="C823" s="2" t="str">
        <f>INDEX('Main Data'!$A$1:$O$1001,MATCH('Index&amp;Match'!$A823,'Main Data'!$A$1:$A$1001,0),MATCH('Index&amp;Match'!C822,'Main Data'!$A822:$O822,0))</f>
        <v>Morgan</v>
      </c>
      <c r="D823" s="2" t="str">
        <f>INDEX('Main Data'!$A$1:$O$1001,MATCH('Index&amp;Match'!$A823,'Main Data'!$A$1:$A$1001,0),MATCH('Index&amp;Match'!D822,'Main Data'!$A822:$O822,0))</f>
        <v>BR-009</v>
      </c>
      <c r="E823" s="2" t="str">
        <f>INDEX('Main Data'!$A$1:$O$1001,MATCH('Index&amp;Match'!$A823,'Main Data'!$A$1:$A$1001,0),MATCH('Index&amp;Match'!E822,'Main Data'!$A822:$O822,0))</f>
        <v>West</v>
      </c>
      <c r="F823" s="2" t="str">
        <f>INDEX('Main Data'!$A$1:$O$1001,MATCH('Index&amp;Match'!$A823,'Main Data'!$A$1:$A$1001,0),MATCH('Index&amp;Match'!F822,'Main Data'!$A822:$O822,0))</f>
        <v>Mortgage</v>
      </c>
      <c r="G823" s="2" t="str">
        <f>INDEX('Main Data'!$A$1:$O$1001,MATCH('Index&amp;Match'!$A823,'Main Data'!$A$1:$A$1001,0),MATCH('Index&amp;Match'!G822,'Main Data'!$A822:$O822,0))</f>
        <v>Referral</v>
      </c>
      <c r="H823" s="2" t="str">
        <f>INDEX('Main Data'!$A$1:$O$1001,MATCH('Index&amp;Match'!$A823,'Main Data'!$A$1:$A$1001,0),MATCH('Index&amp;Match'!H822,'Main Data'!$A822:$O822,0))</f>
        <v>SME</v>
      </c>
      <c r="I823" s="2">
        <f>INDEX('Main Data'!$A$1:$O$1001,MATCH('Index&amp;Match'!$A823,'Main Data'!$A$1:$A$1001,0),MATCH('Index&amp;Match'!I822,'Main Data'!$A822:$O822,0))</f>
        <v>48</v>
      </c>
      <c r="J823" s="2">
        <f>INDEX('Main Data'!$A$1:$O$1001,MATCH('Index&amp;Match'!$A823,'Main Data'!$A$1:$A$1001,0),MATCH('Index&amp;Match'!J822,'Main Data'!$A822:$O822,0))</f>
        <v>48</v>
      </c>
      <c r="K823" s="11">
        <f>INDEX('Main Data'!$A$1:$O$1001,MATCH('Index&amp;Match'!$A823,'Main Data'!$A$1:$A$1001,0),MATCH('Index&amp;Match'!K822,'Main Data'!$A822:$O822,0))</f>
        <v>33068.5</v>
      </c>
      <c r="L823" s="11">
        <f>INDEX('Main Data'!$A$1:$O$1001,MATCH('Index&amp;Match'!$A823,'Main Data'!$A$1:$A$1001,0),MATCH('Index&amp;Match'!L822,'Main Data'!$A822:$O822,0))</f>
        <v>74.62</v>
      </c>
      <c r="M823" s="11">
        <f>INDEX('Main Data'!$A$1:$O$1001,MATCH('Index&amp;Match'!$A823,'Main Data'!$A$1:$A$1001,0),MATCH('Index&amp;Match'!M822,'Main Data'!$A822:$O822,0))</f>
        <v>117.33</v>
      </c>
      <c r="N823" s="2" t="str">
        <f>INDEX('Main Data'!$A$1:$O$1001,MATCH('Index&amp;Match'!$A823,'Main Data'!$A$1:$A$1001,0),MATCH('Index&amp;Match'!N822,'Main Data'!$A822:$O822,0))</f>
        <v>Yes</v>
      </c>
      <c r="O823" s="2">
        <f>INDEX('Main Data'!$A$1:$O$1001,MATCH('Index&amp;Match'!$A823,'Main Data'!$A$1:$A$1001,0),MATCH('Index&amp;Match'!O822,'Main Data'!$A822:$O822,0))</f>
        <v>48</v>
      </c>
    </row>
    <row r="824" spans="1:15" x14ac:dyDescent="0.3">
      <c r="A824" s="2" t="s">
        <v>881</v>
      </c>
      <c r="B824" s="1">
        <f>INDEX('Main Data'!$A$1:$O$1001,MATCH('Index&amp;Match'!$A824,'Main Data'!$A$1:$A$1001,0),MATCH('Index&amp;Match'!B823,'Main Data'!$A823:$O823,0))</f>
        <v>45905</v>
      </c>
      <c r="C824" s="2" t="str">
        <f>INDEX('Main Data'!$A$1:$O$1001,MATCH('Index&amp;Match'!$A824,'Main Data'!$A$1:$A$1001,0),MATCH('Index&amp;Match'!C823,'Main Data'!$A823:$O823,0))</f>
        <v>Sam</v>
      </c>
      <c r="D824" s="2" t="str">
        <f>INDEX('Main Data'!$A$1:$O$1001,MATCH('Index&amp;Match'!$A824,'Main Data'!$A$1:$A$1001,0),MATCH('Index&amp;Match'!D823,'Main Data'!$A823:$O823,0))</f>
        <v>BR-007</v>
      </c>
      <c r="E824" s="2" t="str">
        <f>INDEX('Main Data'!$A$1:$O$1001,MATCH('Index&amp;Match'!$A824,'Main Data'!$A$1:$A$1001,0),MATCH('Index&amp;Match'!E823,'Main Data'!$A823:$O823,0))</f>
        <v>Central</v>
      </c>
      <c r="F824" s="2" t="str">
        <f>INDEX('Main Data'!$A$1:$O$1001,MATCH('Index&amp;Match'!$A824,'Main Data'!$A$1:$A$1001,0),MATCH('Index&amp;Match'!F823,'Main Data'!$A823:$O823,0))</f>
        <v>Auto Loan</v>
      </c>
      <c r="G824" s="2" t="str">
        <f>INDEX('Main Data'!$A$1:$O$1001,MATCH('Index&amp;Match'!$A824,'Main Data'!$A$1:$A$1001,0),MATCH('Index&amp;Match'!G823,'Main Data'!$A823:$O823,0))</f>
        <v>Email Campaign</v>
      </c>
      <c r="H824" s="2" t="str">
        <f>INDEX('Main Data'!$A$1:$O$1001,MATCH('Index&amp;Match'!$A824,'Main Data'!$A$1:$A$1001,0),MATCH('Index&amp;Match'!H823,'Main Data'!$A823:$O823,0))</f>
        <v>Retail</v>
      </c>
      <c r="I824" s="2">
        <f>INDEX('Main Data'!$A$1:$O$1001,MATCH('Index&amp;Match'!$A824,'Main Data'!$A$1:$A$1001,0),MATCH('Index&amp;Match'!I823,'Main Data'!$A823:$O823,0))</f>
        <v>71</v>
      </c>
      <c r="J824" s="2">
        <f>INDEX('Main Data'!$A$1:$O$1001,MATCH('Index&amp;Match'!$A824,'Main Data'!$A$1:$A$1001,0),MATCH('Index&amp;Match'!J823,'Main Data'!$A823:$O823,0))</f>
        <v>71</v>
      </c>
      <c r="K824" s="11">
        <f>INDEX('Main Data'!$A$1:$O$1001,MATCH('Index&amp;Match'!$A824,'Main Data'!$A$1:$A$1001,0),MATCH('Index&amp;Match'!K823,'Main Data'!$A823:$O823,0))</f>
        <v>36510.120000000003</v>
      </c>
      <c r="L824" s="11">
        <f>INDEX('Main Data'!$A$1:$O$1001,MATCH('Index&amp;Match'!$A824,'Main Data'!$A$1:$A$1001,0),MATCH('Index&amp;Match'!L823,'Main Data'!$A823:$O823,0))</f>
        <v>290.95999999999998</v>
      </c>
      <c r="M824" s="11">
        <f>INDEX('Main Data'!$A$1:$O$1001,MATCH('Index&amp;Match'!$A824,'Main Data'!$A$1:$A$1001,0),MATCH('Index&amp;Match'!M823,'Main Data'!$A823:$O823,0))</f>
        <v>124.87</v>
      </c>
      <c r="N824" s="2" t="str">
        <f>INDEX('Main Data'!$A$1:$O$1001,MATCH('Index&amp;Match'!$A824,'Main Data'!$A$1:$A$1001,0),MATCH('Index&amp;Match'!N823,'Main Data'!$A823:$O823,0))</f>
        <v>No</v>
      </c>
      <c r="O824" s="2">
        <f>INDEX('Main Data'!$A$1:$O$1001,MATCH('Index&amp;Match'!$A824,'Main Data'!$A$1:$A$1001,0),MATCH('Index&amp;Match'!O823,'Main Data'!$A823:$O823,0))</f>
        <v>71</v>
      </c>
    </row>
    <row r="825" spans="1:15" x14ac:dyDescent="0.3">
      <c r="A825" s="2" t="s">
        <v>882</v>
      </c>
      <c r="B825" s="1">
        <f>INDEX('Main Data'!$A$1:$O$1001,MATCH('Index&amp;Match'!$A825,'Main Data'!$A$1:$A$1001,0),MATCH('Index&amp;Match'!B824,'Main Data'!$A824:$O824,0))</f>
        <v>45977</v>
      </c>
      <c r="C825" s="2" t="str">
        <f>INDEX('Main Data'!$A$1:$O$1001,MATCH('Index&amp;Match'!$A825,'Main Data'!$A$1:$A$1001,0),MATCH('Index&amp;Match'!C824,'Main Data'!$A824:$O824,0))</f>
        <v>Jamie</v>
      </c>
      <c r="D825" s="2" t="str">
        <f>INDEX('Main Data'!$A$1:$O$1001,MATCH('Index&amp;Match'!$A825,'Main Data'!$A$1:$A$1001,0),MATCH('Index&amp;Match'!D824,'Main Data'!$A824:$O824,0))</f>
        <v>BR-009</v>
      </c>
      <c r="E825" s="2" t="str">
        <f>INDEX('Main Data'!$A$1:$O$1001,MATCH('Index&amp;Match'!$A825,'Main Data'!$A$1:$A$1001,0),MATCH('Index&amp;Match'!E824,'Main Data'!$A824:$O824,0))</f>
        <v>West</v>
      </c>
      <c r="F825" s="2" t="str">
        <f>INDEX('Main Data'!$A$1:$O$1001,MATCH('Index&amp;Match'!$A825,'Main Data'!$A$1:$A$1001,0),MATCH('Index&amp;Match'!F824,'Main Data'!$A824:$O824,0))</f>
        <v>Mortgage</v>
      </c>
      <c r="G825" s="2" t="str">
        <f>INDEX('Main Data'!$A$1:$O$1001,MATCH('Index&amp;Match'!$A825,'Main Data'!$A$1:$A$1001,0),MATCH('Index&amp;Match'!G824,'Main Data'!$A824:$O824,0))</f>
        <v>Referral</v>
      </c>
      <c r="H825" s="2" t="str">
        <f>INDEX('Main Data'!$A$1:$O$1001,MATCH('Index&amp;Match'!$A825,'Main Data'!$A$1:$A$1001,0),MATCH('Index&amp;Match'!H824,'Main Data'!$A824:$O824,0))</f>
        <v>Retail</v>
      </c>
      <c r="I825" s="2">
        <f>INDEX('Main Data'!$A$1:$O$1001,MATCH('Index&amp;Match'!$A825,'Main Data'!$A$1:$A$1001,0),MATCH('Index&amp;Match'!I824,'Main Data'!$A824:$O824,0))</f>
        <v>69</v>
      </c>
      <c r="J825" s="2">
        <f>INDEX('Main Data'!$A$1:$O$1001,MATCH('Index&amp;Match'!$A825,'Main Data'!$A$1:$A$1001,0),MATCH('Index&amp;Match'!J824,'Main Data'!$A824:$O824,0))</f>
        <v>69</v>
      </c>
      <c r="K825" s="11">
        <f>INDEX('Main Data'!$A$1:$O$1001,MATCH('Index&amp;Match'!$A825,'Main Data'!$A$1:$A$1001,0),MATCH('Index&amp;Match'!K824,'Main Data'!$A824:$O824,0))</f>
        <v>39432.03</v>
      </c>
      <c r="L825" s="11">
        <f>INDEX('Main Data'!$A$1:$O$1001,MATCH('Index&amp;Match'!$A825,'Main Data'!$A$1:$A$1001,0),MATCH('Index&amp;Match'!L824,'Main Data'!$A824:$O824,0))</f>
        <v>471.09</v>
      </c>
      <c r="M825" s="11">
        <f>INDEX('Main Data'!$A$1:$O$1001,MATCH('Index&amp;Match'!$A825,'Main Data'!$A$1:$A$1001,0),MATCH('Index&amp;Match'!M824,'Main Data'!$A824:$O824,0))</f>
        <v>130.66</v>
      </c>
      <c r="N825" s="2" t="str">
        <f>INDEX('Main Data'!$A$1:$O$1001,MATCH('Index&amp;Match'!$A825,'Main Data'!$A$1:$A$1001,0),MATCH('Index&amp;Match'!N824,'Main Data'!$A824:$O824,0))</f>
        <v>Yes</v>
      </c>
      <c r="O825" s="2">
        <f>INDEX('Main Data'!$A$1:$O$1001,MATCH('Index&amp;Match'!$A825,'Main Data'!$A$1:$A$1001,0),MATCH('Index&amp;Match'!O824,'Main Data'!$A824:$O824,0))</f>
        <v>69</v>
      </c>
    </row>
    <row r="826" spans="1:15" x14ac:dyDescent="0.3">
      <c r="A826" s="2" t="s">
        <v>883</v>
      </c>
      <c r="B826" s="1">
        <f>INDEX('Main Data'!$A$1:$O$1001,MATCH('Index&amp;Match'!$A826,'Main Data'!$A$1:$A$1001,0),MATCH('Index&amp;Match'!B825,'Main Data'!$A825:$O825,0))</f>
        <v>45968</v>
      </c>
      <c r="C826" s="2" t="str">
        <f>INDEX('Main Data'!$A$1:$O$1001,MATCH('Index&amp;Match'!$A826,'Main Data'!$A$1:$A$1001,0),MATCH('Index&amp;Match'!C825,'Main Data'!$A825:$O825,0))</f>
        <v>Drew</v>
      </c>
      <c r="D826" s="2" t="str">
        <f>INDEX('Main Data'!$A$1:$O$1001,MATCH('Index&amp;Match'!$A826,'Main Data'!$A$1:$A$1001,0),MATCH('Index&amp;Match'!D825,'Main Data'!$A825:$O825,0))</f>
        <v>BR-006</v>
      </c>
      <c r="E826" s="2" t="str">
        <f>INDEX('Main Data'!$A$1:$O$1001,MATCH('Index&amp;Match'!$A826,'Main Data'!$A$1:$A$1001,0),MATCH('Index&amp;Match'!E825,'Main Data'!$A825:$O825,0))</f>
        <v>South</v>
      </c>
      <c r="F826" s="2" t="str">
        <f>INDEX('Main Data'!$A$1:$O$1001,MATCH('Index&amp;Match'!$A826,'Main Data'!$A$1:$A$1001,0),MATCH('Index&amp;Match'!F825,'Main Data'!$A825:$O825,0))</f>
        <v>Credit Card</v>
      </c>
      <c r="G826" s="2" t="str">
        <f>INDEX('Main Data'!$A$1:$O$1001,MATCH('Index&amp;Match'!$A826,'Main Data'!$A$1:$A$1001,0),MATCH('Index&amp;Match'!G825,'Main Data'!$A825:$O825,0))</f>
        <v>Social Media</v>
      </c>
      <c r="H826" s="2" t="str">
        <f>INDEX('Main Data'!$A$1:$O$1001,MATCH('Index&amp;Match'!$A826,'Main Data'!$A$1:$A$1001,0),MATCH('Index&amp;Match'!H825,'Main Data'!$A825:$O825,0))</f>
        <v>Retail</v>
      </c>
      <c r="I826" s="2">
        <f>INDEX('Main Data'!$A$1:$O$1001,MATCH('Index&amp;Match'!$A826,'Main Data'!$A$1:$A$1001,0),MATCH('Index&amp;Match'!I825,'Main Data'!$A825:$O825,0))</f>
        <v>29</v>
      </c>
      <c r="J826" s="2">
        <f>INDEX('Main Data'!$A$1:$O$1001,MATCH('Index&amp;Match'!$A826,'Main Data'!$A$1:$A$1001,0),MATCH('Index&amp;Match'!J825,'Main Data'!$A825:$O825,0))</f>
        <v>29</v>
      </c>
      <c r="K826" s="11">
        <f>INDEX('Main Data'!$A$1:$O$1001,MATCH('Index&amp;Match'!$A826,'Main Data'!$A$1:$A$1001,0),MATCH('Index&amp;Match'!K825,'Main Data'!$A825:$O825,0))</f>
        <v>12563.56</v>
      </c>
      <c r="L826" s="11">
        <f>INDEX('Main Data'!$A$1:$O$1001,MATCH('Index&amp;Match'!$A826,'Main Data'!$A$1:$A$1001,0),MATCH('Index&amp;Match'!L825,'Main Data'!$A825:$O825,0))</f>
        <v>318.93</v>
      </c>
      <c r="M826" s="11">
        <f>INDEX('Main Data'!$A$1:$O$1001,MATCH('Index&amp;Match'!$A826,'Main Data'!$A$1:$A$1001,0),MATCH('Index&amp;Match'!M825,'Main Data'!$A825:$O825,0))</f>
        <v>14.07</v>
      </c>
      <c r="N826" s="2" t="str">
        <f>INDEX('Main Data'!$A$1:$O$1001,MATCH('Index&amp;Match'!$A826,'Main Data'!$A$1:$A$1001,0),MATCH('Index&amp;Match'!N825,'Main Data'!$A825:$O825,0))</f>
        <v>Yes</v>
      </c>
      <c r="O826" s="2">
        <f>INDEX('Main Data'!$A$1:$O$1001,MATCH('Index&amp;Match'!$A826,'Main Data'!$A$1:$A$1001,0),MATCH('Index&amp;Match'!O825,'Main Data'!$A825:$O825,0))</f>
        <v>29</v>
      </c>
    </row>
    <row r="827" spans="1:15" x14ac:dyDescent="0.3">
      <c r="A827" s="2" t="s">
        <v>884</v>
      </c>
      <c r="B827" s="1">
        <f>INDEX('Main Data'!$A$1:$O$1001,MATCH('Index&amp;Match'!$A827,'Main Data'!$A$1:$A$1001,0),MATCH('Index&amp;Match'!B826,'Main Data'!$A826:$O826,0))</f>
        <v>45947</v>
      </c>
      <c r="C827" s="2" t="str">
        <f>INDEX('Main Data'!$A$1:$O$1001,MATCH('Index&amp;Match'!$A827,'Main Data'!$A$1:$A$1001,0),MATCH('Index&amp;Match'!C826,'Main Data'!$A826:$O826,0))</f>
        <v>Morgan</v>
      </c>
      <c r="D827" s="2" t="str">
        <f>INDEX('Main Data'!$A$1:$O$1001,MATCH('Index&amp;Match'!$A827,'Main Data'!$A$1:$A$1001,0),MATCH('Index&amp;Match'!D826,'Main Data'!$A826:$O826,0))</f>
        <v>BR-006</v>
      </c>
      <c r="E827" s="2" t="str">
        <f>INDEX('Main Data'!$A$1:$O$1001,MATCH('Index&amp;Match'!$A827,'Main Data'!$A$1:$A$1001,0),MATCH('Index&amp;Match'!E826,'Main Data'!$A826:$O826,0))</f>
        <v>West</v>
      </c>
      <c r="F827" s="2" t="str">
        <f>INDEX('Main Data'!$A$1:$O$1001,MATCH('Index&amp;Match'!$A827,'Main Data'!$A$1:$A$1001,0),MATCH('Index&amp;Match'!F826,'Main Data'!$A826:$O826,0))</f>
        <v>Auto Loan</v>
      </c>
      <c r="G827" s="2" t="str">
        <f>INDEX('Main Data'!$A$1:$O$1001,MATCH('Index&amp;Match'!$A827,'Main Data'!$A$1:$A$1001,0),MATCH('Index&amp;Match'!G826,'Main Data'!$A826:$O826,0))</f>
        <v>Walk-in</v>
      </c>
      <c r="H827" s="2" t="str">
        <f>INDEX('Main Data'!$A$1:$O$1001,MATCH('Index&amp;Match'!$A827,'Main Data'!$A$1:$A$1001,0),MATCH('Index&amp;Match'!H826,'Main Data'!$A826:$O826,0))</f>
        <v>Corporate</v>
      </c>
      <c r="I827" s="2">
        <f>INDEX('Main Data'!$A$1:$O$1001,MATCH('Index&amp;Match'!$A827,'Main Data'!$A$1:$A$1001,0),MATCH('Index&amp;Match'!I826,'Main Data'!$A826:$O826,0))</f>
        <v>65</v>
      </c>
      <c r="J827" s="2">
        <f>INDEX('Main Data'!$A$1:$O$1001,MATCH('Index&amp;Match'!$A827,'Main Data'!$A$1:$A$1001,0),MATCH('Index&amp;Match'!J826,'Main Data'!$A826:$O826,0))</f>
        <v>65</v>
      </c>
      <c r="K827" s="11">
        <f>INDEX('Main Data'!$A$1:$O$1001,MATCH('Index&amp;Match'!$A827,'Main Data'!$A$1:$A$1001,0),MATCH('Index&amp;Match'!K826,'Main Data'!$A826:$O826,0))</f>
        <v>15641.79</v>
      </c>
      <c r="L827" s="11">
        <f>INDEX('Main Data'!$A$1:$O$1001,MATCH('Index&amp;Match'!$A827,'Main Data'!$A$1:$A$1001,0),MATCH('Index&amp;Match'!L826,'Main Data'!$A826:$O826,0))</f>
        <v>414.24</v>
      </c>
      <c r="M827" s="11">
        <f>INDEX('Main Data'!$A$1:$O$1001,MATCH('Index&amp;Match'!$A827,'Main Data'!$A$1:$A$1001,0),MATCH('Index&amp;Match'!M826,'Main Data'!$A826:$O826,0))</f>
        <v>126.21</v>
      </c>
      <c r="N827" s="2" t="str">
        <f>INDEX('Main Data'!$A$1:$O$1001,MATCH('Index&amp;Match'!$A827,'Main Data'!$A$1:$A$1001,0),MATCH('Index&amp;Match'!N826,'Main Data'!$A826:$O826,0))</f>
        <v>Yes</v>
      </c>
      <c r="O827" s="2">
        <f>INDEX('Main Data'!$A$1:$O$1001,MATCH('Index&amp;Match'!$A827,'Main Data'!$A$1:$A$1001,0),MATCH('Index&amp;Match'!O826,'Main Data'!$A826:$O826,0))</f>
        <v>65</v>
      </c>
    </row>
    <row r="828" spans="1:15" x14ac:dyDescent="0.3">
      <c r="A828" s="2" t="s">
        <v>885</v>
      </c>
      <c r="B828" s="1">
        <f>INDEX('Main Data'!$A$1:$O$1001,MATCH('Index&amp;Match'!$A828,'Main Data'!$A$1:$A$1001,0),MATCH('Index&amp;Match'!B827,'Main Data'!$A827:$O827,0))</f>
        <v>45920</v>
      </c>
      <c r="C828" s="2" t="str">
        <f>INDEX('Main Data'!$A$1:$O$1001,MATCH('Index&amp;Match'!$A828,'Main Data'!$A$1:$A$1001,0),MATCH('Index&amp;Match'!C827,'Main Data'!$A827:$O827,0))</f>
        <v>Taylor</v>
      </c>
      <c r="D828" s="2" t="str">
        <f>INDEX('Main Data'!$A$1:$O$1001,MATCH('Index&amp;Match'!$A828,'Main Data'!$A$1:$A$1001,0),MATCH('Index&amp;Match'!D827,'Main Data'!$A827:$O827,0))</f>
        <v>BR-011</v>
      </c>
      <c r="E828" s="2" t="str">
        <f>INDEX('Main Data'!$A$1:$O$1001,MATCH('Index&amp;Match'!$A828,'Main Data'!$A$1:$A$1001,0),MATCH('Index&amp;Match'!E827,'Main Data'!$A827:$O827,0))</f>
        <v>North</v>
      </c>
      <c r="F828" s="2" t="str">
        <f>INDEX('Main Data'!$A$1:$O$1001,MATCH('Index&amp;Match'!$A828,'Main Data'!$A$1:$A$1001,0),MATCH('Index&amp;Match'!F827,'Main Data'!$A827:$O827,0))</f>
        <v>Wealth Management</v>
      </c>
      <c r="G828" s="2" t="str">
        <f>INDEX('Main Data'!$A$1:$O$1001,MATCH('Index&amp;Match'!$A828,'Main Data'!$A$1:$A$1001,0),MATCH('Index&amp;Match'!G827,'Main Data'!$A827:$O827,0))</f>
        <v>Walk-in</v>
      </c>
      <c r="H828" s="2" t="str">
        <f>INDEX('Main Data'!$A$1:$O$1001,MATCH('Index&amp;Match'!$A828,'Main Data'!$A$1:$A$1001,0),MATCH('Index&amp;Match'!H827,'Main Data'!$A827:$O827,0))</f>
        <v>High Net Worth</v>
      </c>
      <c r="I828" s="2">
        <f>INDEX('Main Data'!$A$1:$O$1001,MATCH('Index&amp;Match'!$A828,'Main Data'!$A$1:$A$1001,0),MATCH('Index&amp;Match'!I827,'Main Data'!$A827:$O827,0))</f>
        <v>42</v>
      </c>
      <c r="J828" s="2">
        <f>INDEX('Main Data'!$A$1:$O$1001,MATCH('Index&amp;Match'!$A828,'Main Data'!$A$1:$A$1001,0),MATCH('Index&amp;Match'!J827,'Main Data'!$A827:$O827,0))</f>
        <v>42</v>
      </c>
      <c r="K828" s="11">
        <f>INDEX('Main Data'!$A$1:$O$1001,MATCH('Index&amp;Match'!$A828,'Main Data'!$A$1:$A$1001,0),MATCH('Index&amp;Match'!K827,'Main Data'!$A827:$O827,0))</f>
        <v>24415.16</v>
      </c>
      <c r="L828" s="11">
        <f>INDEX('Main Data'!$A$1:$O$1001,MATCH('Index&amp;Match'!$A828,'Main Data'!$A$1:$A$1001,0),MATCH('Index&amp;Match'!L827,'Main Data'!$A827:$O827,0))</f>
        <v>410.07</v>
      </c>
      <c r="M828" s="11">
        <f>INDEX('Main Data'!$A$1:$O$1001,MATCH('Index&amp;Match'!$A828,'Main Data'!$A$1:$A$1001,0),MATCH('Index&amp;Match'!M827,'Main Data'!$A827:$O827,0))</f>
        <v>285.98</v>
      </c>
      <c r="N828" s="2" t="str">
        <f>INDEX('Main Data'!$A$1:$O$1001,MATCH('Index&amp;Match'!$A828,'Main Data'!$A$1:$A$1001,0),MATCH('Index&amp;Match'!N827,'Main Data'!$A827:$O827,0))</f>
        <v>Yes</v>
      </c>
      <c r="O828" s="2">
        <f>INDEX('Main Data'!$A$1:$O$1001,MATCH('Index&amp;Match'!$A828,'Main Data'!$A$1:$A$1001,0),MATCH('Index&amp;Match'!O827,'Main Data'!$A827:$O827,0))</f>
        <v>42</v>
      </c>
    </row>
    <row r="829" spans="1:15" x14ac:dyDescent="0.3">
      <c r="A829" s="2" t="s">
        <v>886</v>
      </c>
      <c r="B829" s="1">
        <f>INDEX('Main Data'!$A$1:$O$1001,MATCH('Index&amp;Match'!$A829,'Main Data'!$A$1:$A$1001,0),MATCH('Index&amp;Match'!B828,'Main Data'!$A828:$O828,0))</f>
        <v>45870</v>
      </c>
      <c r="C829" s="2" t="str">
        <f>INDEX('Main Data'!$A$1:$O$1001,MATCH('Index&amp;Match'!$A829,'Main Data'!$A$1:$A$1001,0),MATCH('Index&amp;Match'!C828,'Main Data'!$A828:$O828,0))</f>
        <v>Jordan</v>
      </c>
      <c r="D829" s="2" t="str">
        <f>INDEX('Main Data'!$A$1:$O$1001,MATCH('Index&amp;Match'!$A829,'Main Data'!$A$1:$A$1001,0),MATCH('Index&amp;Match'!D828,'Main Data'!$A828:$O828,0))</f>
        <v>BR-014</v>
      </c>
      <c r="E829" s="2" t="str">
        <f>INDEX('Main Data'!$A$1:$O$1001,MATCH('Index&amp;Match'!$A829,'Main Data'!$A$1:$A$1001,0),MATCH('Index&amp;Match'!E828,'Main Data'!$A828:$O828,0))</f>
        <v>South</v>
      </c>
      <c r="F829" s="2" t="str">
        <f>INDEX('Main Data'!$A$1:$O$1001,MATCH('Index&amp;Match'!$A829,'Main Data'!$A$1:$A$1001,0),MATCH('Index&amp;Match'!F828,'Main Data'!$A828:$O828,0))</f>
        <v>Mortgage</v>
      </c>
      <c r="G829" s="2" t="str">
        <f>INDEX('Main Data'!$A$1:$O$1001,MATCH('Index&amp;Match'!$A829,'Main Data'!$A$1:$A$1001,0),MATCH('Index&amp;Match'!G828,'Main Data'!$A828:$O828,0))</f>
        <v>Walk-in</v>
      </c>
      <c r="H829" s="2" t="str">
        <f>INDEX('Main Data'!$A$1:$O$1001,MATCH('Index&amp;Match'!$A829,'Main Data'!$A$1:$A$1001,0),MATCH('Index&amp;Match'!H828,'Main Data'!$A828:$O828,0))</f>
        <v>SME</v>
      </c>
      <c r="I829" s="2">
        <f>INDEX('Main Data'!$A$1:$O$1001,MATCH('Index&amp;Match'!$A829,'Main Data'!$A$1:$A$1001,0),MATCH('Index&amp;Match'!I828,'Main Data'!$A828:$O828,0))</f>
        <v>52</v>
      </c>
      <c r="J829" s="2">
        <f>INDEX('Main Data'!$A$1:$O$1001,MATCH('Index&amp;Match'!$A829,'Main Data'!$A$1:$A$1001,0),MATCH('Index&amp;Match'!J828,'Main Data'!$A828:$O828,0))</f>
        <v>52</v>
      </c>
      <c r="K829" s="11">
        <f>INDEX('Main Data'!$A$1:$O$1001,MATCH('Index&amp;Match'!$A829,'Main Data'!$A$1:$A$1001,0),MATCH('Index&amp;Match'!K828,'Main Data'!$A828:$O828,0))</f>
        <v>3627.56</v>
      </c>
      <c r="L829" s="11">
        <f>INDEX('Main Data'!$A$1:$O$1001,MATCH('Index&amp;Match'!$A829,'Main Data'!$A$1:$A$1001,0),MATCH('Index&amp;Match'!L828,'Main Data'!$A828:$O828,0))</f>
        <v>469.46</v>
      </c>
      <c r="M829" s="11">
        <f>INDEX('Main Data'!$A$1:$O$1001,MATCH('Index&amp;Match'!$A829,'Main Data'!$A$1:$A$1001,0),MATCH('Index&amp;Match'!M828,'Main Data'!$A828:$O828,0))</f>
        <v>108.2</v>
      </c>
      <c r="N829" s="2" t="str">
        <f>INDEX('Main Data'!$A$1:$O$1001,MATCH('Index&amp;Match'!$A829,'Main Data'!$A$1:$A$1001,0),MATCH('Index&amp;Match'!N828,'Main Data'!$A828:$O828,0))</f>
        <v>Yes</v>
      </c>
      <c r="O829" s="2">
        <f>INDEX('Main Data'!$A$1:$O$1001,MATCH('Index&amp;Match'!$A829,'Main Data'!$A$1:$A$1001,0),MATCH('Index&amp;Match'!O828,'Main Data'!$A828:$O828,0))</f>
        <v>52</v>
      </c>
    </row>
    <row r="830" spans="1:15" x14ac:dyDescent="0.3">
      <c r="A830" s="2" t="s">
        <v>887</v>
      </c>
      <c r="B830" s="1">
        <f>INDEX('Main Data'!$A$1:$O$1001,MATCH('Index&amp;Match'!$A830,'Main Data'!$A$1:$A$1001,0),MATCH('Index&amp;Match'!B829,'Main Data'!$A829:$O829,0))</f>
        <v>46165</v>
      </c>
      <c r="C830" s="2" t="str">
        <f>INDEX('Main Data'!$A$1:$O$1001,MATCH('Index&amp;Match'!$A830,'Main Data'!$A$1:$A$1001,0),MATCH('Index&amp;Match'!C829,'Main Data'!$A829:$O829,0))</f>
        <v>Jamie</v>
      </c>
      <c r="D830" s="2" t="str">
        <f>INDEX('Main Data'!$A$1:$O$1001,MATCH('Index&amp;Match'!$A830,'Main Data'!$A$1:$A$1001,0),MATCH('Index&amp;Match'!D829,'Main Data'!$A829:$O829,0))</f>
        <v>BR-004</v>
      </c>
      <c r="E830" s="2" t="str">
        <f>INDEX('Main Data'!$A$1:$O$1001,MATCH('Index&amp;Match'!$A830,'Main Data'!$A$1:$A$1001,0),MATCH('Index&amp;Match'!E829,'Main Data'!$A829:$O829,0))</f>
        <v>South</v>
      </c>
      <c r="F830" s="2" t="str">
        <f>INDEX('Main Data'!$A$1:$O$1001,MATCH('Index&amp;Match'!$A830,'Main Data'!$A$1:$A$1001,0),MATCH('Index&amp;Match'!F829,'Main Data'!$A829:$O829,0))</f>
        <v>Wealth Management</v>
      </c>
      <c r="G830" s="2" t="str">
        <f>INDEX('Main Data'!$A$1:$O$1001,MATCH('Index&amp;Match'!$A830,'Main Data'!$A$1:$A$1001,0),MATCH('Index&amp;Match'!G829,'Main Data'!$A829:$O829,0))</f>
        <v>Referral</v>
      </c>
      <c r="H830" s="2" t="str">
        <f>INDEX('Main Data'!$A$1:$O$1001,MATCH('Index&amp;Match'!$A830,'Main Data'!$A$1:$A$1001,0),MATCH('Index&amp;Match'!H829,'Main Data'!$A829:$O829,0))</f>
        <v>Retail</v>
      </c>
      <c r="I830" s="2">
        <f>INDEX('Main Data'!$A$1:$O$1001,MATCH('Index&amp;Match'!$A830,'Main Data'!$A$1:$A$1001,0),MATCH('Index&amp;Match'!I829,'Main Data'!$A829:$O829,0))</f>
        <v>25</v>
      </c>
      <c r="J830" s="2">
        <f>INDEX('Main Data'!$A$1:$O$1001,MATCH('Index&amp;Match'!$A830,'Main Data'!$A$1:$A$1001,0),MATCH('Index&amp;Match'!J829,'Main Data'!$A829:$O829,0))</f>
        <v>25</v>
      </c>
      <c r="K830" s="11">
        <f>INDEX('Main Data'!$A$1:$O$1001,MATCH('Index&amp;Match'!$A830,'Main Data'!$A$1:$A$1001,0),MATCH('Index&amp;Match'!K829,'Main Data'!$A829:$O829,0))</f>
        <v>30751.51</v>
      </c>
      <c r="L830" s="11">
        <f>INDEX('Main Data'!$A$1:$O$1001,MATCH('Index&amp;Match'!$A830,'Main Data'!$A$1:$A$1001,0),MATCH('Index&amp;Match'!L829,'Main Data'!$A829:$O829,0))</f>
        <v>396.6</v>
      </c>
      <c r="M830" s="11">
        <f>INDEX('Main Data'!$A$1:$O$1001,MATCH('Index&amp;Match'!$A830,'Main Data'!$A$1:$A$1001,0),MATCH('Index&amp;Match'!M829,'Main Data'!$A829:$O829,0))</f>
        <v>143.05000000000001</v>
      </c>
      <c r="N830" s="2" t="str">
        <f>INDEX('Main Data'!$A$1:$O$1001,MATCH('Index&amp;Match'!$A830,'Main Data'!$A$1:$A$1001,0),MATCH('Index&amp;Match'!N829,'Main Data'!$A829:$O829,0))</f>
        <v>No</v>
      </c>
      <c r="O830" s="2">
        <f>INDEX('Main Data'!$A$1:$O$1001,MATCH('Index&amp;Match'!$A830,'Main Data'!$A$1:$A$1001,0),MATCH('Index&amp;Match'!O829,'Main Data'!$A829:$O829,0))</f>
        <v>25</v>
      </c>
    </row>
    <row r="831" spans="1:15" x14ac:dyDescent="0.3">
      <c r="A831" s="2" t="s">
        <v>888</v>
      </c>
      <c r="B831" s="1">
        <f>INDEX('Main Data'!$A$1:$O$1001,MATCH('Index&amp;Match'!$A831,'Main Data'!$A$1:$A$1001,0),MATCH('Index&amp;Match'!B830,'Main Data'!$A830:$O830,0))</f>
        <v>46211</v>
      </c>
      <c r="C831" s="2" t="str">
        <f>INDEX('Main Data'!$A$1:$O$1001,MATCH('Index&amp;Match'!$A831,'Main Data'!$A$1:$A$1001,0),MATCH('Index&amp;Match'!C830,'Main Data'!$A830:$O830,0))</f>
        <v>Drew</v>
      </c>
      <c r="D831" s="2" t="str">
        <f>INDEX('Main Data'!$A$1:$O$1001,MATCH('Index&amp;Match'!$A831,'Main Data'!$A$1:$A$1001,0),MATCH('Index&amp;Match'!D830,'Main Data'!$A830:$O830,0))</f>
        <v>BR-010</v>
      </c>
      <c r="E831" s="2" t="str">
        <f>INDEX('Main Data'!$A$1:$O$1001,MATCH('Index&amp;Match'!$A831,'Main Data'!$A$1:$A$1001,0),MATCH('Index&amp;Match'!E830,'Main Data'!$A830:$O830,0))</f>
        <v>Central</v>
      </c>
      <c r="F831" s="2" t="str">
        <f>INDEX('Main Data'!$A$1:$O$1001,MATCH('Index&amp;Match'!$A831,'Main Data'!$A$1:$A$1001,0),MATCH('Index&amp;Match'!F830,'Main Data'!$A830:$O830,0))</f>
        <v>Personal Loan</v>
      </c>
      <c r="G831" s="2" t="str">
        <f>INDEX('Main Data'!$A$1:$O$1001,MATCH('Index&amp;Match'!$A831,'Main Data'!$A$1:$A$1001,0),MATCH('Index&amp;Match'!G830,'Main Data'!$A830:$O830,0))</f>
        <v>Referral</v>
      </c>
      <c r="H831" s="2" t="str">
        <f>INDEX('Main Data'!$A$1:$O$1001,MATCH('Index&amp;Match'!$A831,'Main Data'!$A$1:$A$1001,0),MATCH('Index&amp;Match'!H830,'Main Data'!$A830:$O830,0))</f>
        <v>High Net Worth</v>
      </c>
      <c r="I831" s="2">
        <f>INDEX('Main Data'!$A$1:$O$1001,MATCH('Index&amp;Match'!$A831,'Main Data'!$A$1:$A$1001,0),MATCH('Index&amp;Match'!I830,'Main Data'!$A830:$O830,0))</f>
        <v>43</v>
      </c>
      <c r="J831" s="2">
        <f>INDEX('Main Data'!$A$1:$O$1001,MATCH('Index&amp;Match'!$A831,'Main Data'!$A$1:$A$1001,0),MATCH('Index&amp;Match'!J830,'Main Data'!$A830:$O830,0))</f>
        <v>43</v>
      </c>
      <c r="K831" s="11">
        <f>INDEX('Main Data'!$A$1:$O$1001,MATCH('Index&amp;Match'!$A831,'Main Data'!$A$1:$A$1001,0),MATCH('Index&amp;Match'!K830,'Main Data'!$A830:$O830,0))</f>
        <v>49194.879999999997</v>
      </c>
      <c r="L831" s="11">
        <f>INDEX('Main Data'!$A$1:$O$1001,MATCH('Index&amp;Match'!$A831,'Main Data'!$A$1:$A$1001,0),MATCH('Index&amp;Match'!L830,'Main Data'!$A830:$O830,0))</f>
        <v>386.47</v>
      </c>
      <c r="M831" s="11">
        <f>INDEX('Main Data'!$A$1:$O$1001,MATCH('Index&amp;Match'!$A831,'Main Data'!$A$1:$A$1001,0),MATCH('Index&amp;Match'!M830,'Main Data'!$A830:$O830,0))</f>
        <v>167.02</v>
      </c>
      <c r="N831" s="2" t="str">
        <f>INDEX('Main Data'!$A$1:$O$1001,MATCH('Index&amp;Match'!$A831,'Main Data'!$A$1:$A$1001,0),MATCH('Index&amp;Match'!N830,'Main Data'!$A830:$O830,0))</f>
        <v>No</v>
      </c>
      <c r="O831" s="2">
        <f>INDEX('Main Data'!$A$1:$O$1001,MATCH('Index&amp;Match'!$A831,'Main Data'!$A$1:$A$1001,0),MATCH('Index&amp;Match'!O830,'Main Data'!$A830:$O830,0))</f>
        <v>43</v>
      </c>
    </row>
    <row r="832" spans="1:15" x14ac:dyDescent="0.3">
      <c r="A832" s="2" t="s">
        <v>889</v>
      </c>
      <c r="B832" s="1">
        <f>INDEX('Main Data'!$A$1:$O$1001,MATCH('Index&amp;Match'!$A832,'Main Data'!$A$1:$A$1001,0),MATCH('Index&amp;Match'!B831,'Main Data'!$A831:$O831,0))</f>
        <v>45883</v>
      </c>
      <c r="C832" s="2" t="str">
        <f>INDEX('Main Data'!$A$1:$O$1001,MATCH('Index&amp;Match'!$A832,'Main Data'!$A$1:$A$1001,0),MATCH('Index&amp;Match'!C831,'Main Data'!$A831:$O831,0))</f>
        <v>Casey</v>
      </c>
      <c r="D832" s="2" t="str">
        <f>INDEX('Main Data'!$A$1:$O$1001,MATCH('Index&amp;Match'!$A832,'Main Data'!$A$1:$A$1001,0),MATCH('Index&amp;Match'!D831,'Main Data'!$A831:$O831,0))</f>
        <v>BR-010</v>
      </c>
      <c r="E832" s="2" t="str">
        <f>INDEX('Main Data'!$A$1:$O$1001,MATCH('Index&amp;Match'!$A832,'Main Data'!$A$1:$A$1001,0),MATCH('Index&amp;Match'!E831,'Main Data'!$A831:$O831,0))</f>
        <v>East</v>
      </c>
      <c r="F832" s="2" t="str">
        <f>INDEX('Main Data'!$A$1:$O$1001,MATCH('Index&amp;Match'!$A832,'Main Data'!$A$1:$A$1001,0),MATCH('Index&amp;Match'!F831,'Main Data'!$A831:$O831,0))</f>
        <v>Mortgage</v>
      </c>
      <c r="G832" s="2" t="str">
        <f>INDEX('Main Data'!$A$1:$O$1001,MATCH('Index&amp;Match'!$A832,'Main Data'!$A$1:$A$1001,0),MATCH('Index&amp;Match'!G831,'Main Data'!$A831:$O831,0))</f>
        <v>Website</v>
      </c>
      <c r="H832" s="2" t="str">
        <f>INDEX('Main Data'!$A$1:$O$1001,MATCH('Index&amp;Match'!$A832,'Main Data'!$A$1:$A$1001,0),MATCH('Index&amp;Match'!H831,'Main Data'!$A831:$O831,0))</f>
        <v>High Net Worth</v>
      </c>
      <c r="I832" s="2">
        <f>INDEX('Main Data'!$A$1:$O$1001,MATCH('Index&amp;Match'!$A832,'Main Data'!$A$1:$A$1001,0),MATCH('Index&amp;Match'!I831,'Main Data'!$A831:$O831,0))</f>
        <v>25</v>
      </c>
      <c r="J832" s="2">
        <f>INDEX('Main Data'!$A$1:$O$1001,MATCH('Index&amp;Match'!$A832,'Main Data'!$A$1:$A$1001,0),MATCH('Index&amp;Match'!J831,'Main Data'!$A831:$O831,0))</f>
        <v>25</v>
      </c>
      <c r="K832" s="11">
        <f>INDEX('Main Data'!$A$1:$O$1001,MATCH('Index&amp;Match'!$A832,'Main Data'!$A$1:$A$1001,0),MATCH('Index&amp;Match'!K831,'Main Data'!$A831:$O831,0))</f>
        <v>18359.91</v>
      </c>
      <c r="L832" s="11">
        <f>INDEX('Main Data'!$A$1:$O$1001,MATCH('Index&amp;Match'!$A832,'Main Data'!$A$1:$A$1001,0),MATCH('Index&amp;Match'!L831,'Main Data'!$A831:$O831,0))</f>
        <v>155.35</v>
      </c>
      <c r="M832" s="11">
        <f>INDEX('Main Data'!$A$1:$O$1001,MATCH('Index&amp;Match'!$A832,'Main Data'!$A$1:$A$1001,0),MATCH('Index&amp;Match'!M831,'Main Data'!$A831:$O831,0))</f>
        <v>256.42</v>
      </c>
      <c r="N832" s="2" t="str">
        <f>INDEX('Main Data'!$A$1:$O$1001,MATCH('Index&amp;Match'!$A832,'Main Data'!$A$1:$A$1001,0),MATCH('Index&amp;Match'!N831,'Main Data'!$A831:$O831,0))</f>
        <v>Yes</v>
      </c>
      <c r="O832" s="2">
        <f>INDEX('Main Data'!$A$1:$O$1001,MATCH('Index&amp;Match'!$A832,'Main Data'!$A$1:$A$1001,0),MATCH('Index&amp;Match'!O831,'Main Data'!$A831:$O831,0))</f>
        <v>25</v>
      </c>
    </row>
    <row r="833" spans="1:15" x14ac:dyDescent="0.3">
      <c r="A833" s="2" t="s">
        <v>890</v>
      </c>
      <c r="B833" s="1">
        <f>INDEX('Main Data'!$A$1:$O$1001,MATCH('Index&amp;Match'!$A833,'Main Data'!$A$1:$A$1001,0),MATCH('Index&amp;Match'!B832,'Main Data'!$A832:$O832,0))</f>
        <v>45974</v>
      </c>
      <c r="C833" s="2" t="str">
        <f>INDEX('Main Data'!$A$1:$O$1001,MATCH('Index&amp;Match'!$A833,'Main Data'!$A$1:$A$1001,0),MATCH('Index&amp;Match'!C832,'Main Data'!$A832:$O832,0))</f>
        <v>Casey</v>
      </c>
      <c r="D833" s="2" t="str">
        <f>INDEX('Main Data'!$A$1:$O$1001,MATCH('Index&amp;Match'!$A833,'Main Data'!$A$1:$A$1001,0),MATCH('Index&amp;Match'!D832,'Main Data'!$A832:$O832,0))</f>
        <v>BR-013</v>
      </c>
      <c r="E833" s="2" t="str">
        <f>INDEX('Main Data'!$A$1:$O$1001,MATCH('Index&amp;Match'!$A833,'Main Data'!$A$1:$A$1001,0),MATCH('Index&amp;Match'!E832,'Main Data'!$A832:$O832,0))</f>
        <v>South</v>
      </c>
      <c r="F833" s="2" t="str">
        <f>INDEX('Main Data'!$A$1:$O$1001,MATCH('Index&amp;Match'!$A833,'Main Data'!$A$1:$A$1001,0),MATCH('Index&amp;Match'!F832,'Main Data'!$A832:$O832,0))</f>
        <v>Auto Loan</v>
      </c>
      <c r="G833" s="2" t="str">
        <f>INDEX('Main Data'!$A$1:$O$1001,MATCH('Index&amp;Match'!$A833,'Main Data'!$A$1:$A$1001,0),MATCH('Index&amp;Match'!G832,'Main Data'!$A832:$O832,0))</f>
        <v>Website</v>
      </c>
      <c r="H833" s="2" t="str">
        <f>INDEX('Main Data'!$A$1:$O$1001,MATCH('Index&amp;Match'!$A833,'Main Data'!$A$1:$A$1001,0),MATCH('Index&amp;Match'!H832,'Main Data'!$A832:$O832,0))</f>
        <v>Corporate</v>
      </c>
      <c r="I833" s="2">
        <f>INDEX('Main Data'!$A$1:$O$1001,MATCH('Index&amp;Match'!$A833,'Main Data'!$A$1:$A$1001,0),MATCH('Index&amp;Match'!I832,'Main Data'!$A832:$O832,0))</f>
        <v>62</v>
      </c>
      <c r="J833" s="2">
        <f>INDEX('Main Data'!$A$1:$O$1001,MATCH('Index&amp;Match'!$A833,'Main Data'!$A$1:$A$1001,0),MATCH('Index&amp;Match'!J832,'Main Data'!$A832:$O832,0))</f>
        <v>62</v>
      </c>
      <c r="K833" s="11">
        <f>INDEX('Main Data'!$A$1:$O$1001,MATCH('Index&amp;Match'!$A833,'Main Data'!$A$1:$A$1001,0),MATCH('Index&amp;Match'!K832,'Main Data'!$A832:$O832,0))</f>
        <v>37765.949999999997</v>
      </c>
      <c r="L833" s="11">
        <f>INDEX('Main Data'!$A$1:$O$1001,MATCH('Index&amp;Match'!$A833,'Main Data'!$A$1:$A$1001,0),MATCH('Index&amp;Match'!L832,'Main Data'!$A832:$O832,0))</f>
        <v>76.97</v>
      </c>
      <c r="M833" s="11">
        <f>INDEX('Main Data'!$A$1:$O$1001,MATCH('Index&amp;Match'!$A833,'Main Data'!$A$1:$A$1001,0),MATCH('Index&amp;Match'!M832,'Main Data'!$A832:$O832,0))</f>
        <v>185.92</v>
      </c>
      <c r="N833" s="2" t="str">
        <f>INDEX('Main Data'!$A$1:$O$1001,MATCH('Index&amp;Match'!$A833,'Main Data'!$A$1:$A$1001,0),MATCH('Index&amp;Match'!N832,'Main Data'!$A832:$O832,0))</f>
        <v>Yes</v>
      </c>
      <c r="O833" s="2">
        <f>INDEX('Main Data'!$A$1:$O$1001,MATCH('Index&amp;Match'!$A833,'Main Data'!$A$1:$A$1001,0),MATCH('Index&amp;Match'!O832,'Main Data'!$A832:$O832,0))</f>
        <v>62</v>
      </c>
    </row>
    <row r="834" spans="1:15" x14ac:dyDescent="0.3">
      <c r="A834" s="2" t="s">
        <v>891</v>
      </c>
      <c r="B834" s="1">
        <f>INDEX('Main Data'!$A$1:$O$1001,MATCH('Index&amp;Match'!$A834,'Main Data'!$A$1:$A$1001,0),MATCH('Index&amp;Match'!B833,'Main Data'!$A833:$O833,0))</f>
        <v>46033</v>
      </c>
      <c r="C834" s="2" t="str">
        <f>INDEX('Main Data'!$A$1:$O$1001,MATCH('Index&amp;Match'!$A834,'Main Data'!$A$1:$A$1001,0),MATCH('Index&amp;Match'!C833,'Main Data'!$A833:$O833,0))</f>
        <v>Taylor</v>
      </c>
      <c r="D834" s="2" t="str">
        <f>INDEX('Main Data'!$A$1:$O$1001,MATCH('Index&amp;Match'!$A834,'Main Data'!$A$1:$A$1001,0),MATCH('Index&amp;Match'!D833,'Main Data'!$A833:$O833,0))</f>
        <v>BR-013</v>
      </c>
      <c r="E834" s="2" t="str">
        <f>INDEX('Main Data'!$A$1:$O$1001,MATCH('Index&amp;Match'!$A834,'Main Data'!$A$1:$A$1001,0),MATCH('Index&amp;Match'!E833,'Main Data'!$A833:$O833,0))</f>
        <v>East</v>
      </c>
      <c r="F834" s="2" t="str">
        <f>INDEX('Main Data'!$A$1:$O$1001,MATCH('Index&amp;Match'!$A834,'Main Data'!$A$1:$A$1001,0),MATCH('Index&amp;Match'!F833,'Main Data'!$A833:$O833,0))</f>
        <v>Mortgage</v>
      </c>
      <c r="G834" s="2" t="str">
        <f>INDEX('Main Data'!$A$1:$O$1001,MATCH('Index&amp;Match'!$A834,'Main Data'!$A$1:$A$1001,0),MATCH('Index&amp;Match'!G833,'Main Data'!$A833:$O833,0))</f>
        <v>Walk-in</v>
      </c>
      <c r="H834" s="2" t="str">
        <f>INDEX('Main Data'!$A$1:$O$1001,MATCH('Index&amp;Match'!$A834,'Main Data'!$A$1:$A$1001,0),MATCH('Index&amp;Match'!H833,'Main Data'!$A833:$O833,0))</f>
        <v>SME</v>
      </c>
      <c r="I834" s="2">
        <f>INDEX('Main Data'!$A$1:$O$1001,MATCH('Index&amp;Match'!$A834,'Main Data'!$A$1:$A$1001,0),MATCH('Index&amp;Match'!I833,'Main Data'!$A833:$O833,0))</f>
        <v>73</v>
      </c>
      <c r="J834" s="2">
        <f>INDEX('Main Data'!$A$1:$O$1001,MATCH('Index&amp;Match'!$A834,'Main Data'!$A$1:$A$1001,0),MATCH('Index&amp;Match'!J833,'Main Data'!$A833:$O833,0))</f>
        <v>73</v>
      </c>
      <c r="K834" s="11">
        <f>INDEX('Main Data'!$A$1:$O$1001,MATCH('Index&amp;Match'!$A834,'Main Data'!$A$1:$A$1001,0),MATCH('Index&amp;Match'!K833,'Main Data'!$A833:$O833,0))</f>
        <v>25251.68</v>
      </c>
      <c r="L834" s="11">
        <f>INDEX('Main Data'!$A$1:$O$1001,MATCH('Index&amp;Match'!$A834,'Main Data'!$A$1:$A$1001,0),MATCH('Index&amp;Match'!L833,'Main Data'!$A833:$O833,0))</f>
        <v>282.92</v>
      </c>
      <c r="M834" s="11">
        <f>INDEX('Main Data'!$A$1:$O$1001,MATCH('Index&amp;Match'!$A834,'Main Data'!$A$1:$A$1001,0),MATCH('Index&amp;Match'!M833,'Main Data'!$A833:$O833,0))</f>
        <v>36.840000000000003</v>
      </c>
      <c r="N834" s="2" t="str">
        <f>INDEX('Main Data'!$A$1:$O$1001,MATCH('Index&amp;Match'!$A834,'Main Data'!$A$1:$A$1001,0),MATCH('Index&amp;Match'!N833,'Main Data'!$A833:$O833,0))</f>
        <v>Yes</v>
      </c>
      <c r="O834" s="2">
        <f>INDEX('Main Data'!$A$1:$O$1001,MATCH('Index&amp;Match'!$A834,'Main Data'!$A$1:$A$1001,0),MATCH('Index&amp;Match'!O833,'Main Data'!$A833:$O833,0))</f>
        <v>73</v>
      </c>
    </row>
    <row r="835" spans="1:15" x14ac:dyDescent="0.3">
      <c r="A835" s="2" t="s">
        <v>892</v>
      </c>
      <c r="B835" s="1">
        <f>INDEX('Main Data'!$A$1:$O$1001,MATCH('Index&amp;Match'!$A835,'Main Data'!$A$1:$A$1001,0),MATCH('Index&amp;Match'!B834,'Main Data'!$A834:$O834,0))</f>
        <v>46085</v>
      </c>
      <c r="C835" s="2" t="str">
        <f>INDEX('Main Data'!$A$1:$O$1001,MATCH('Index&amp;Match'!$A835,'Main Data'!$A$1:$A$1001,0),MATCH('Index&amp;Match'!C834,'Main Data'!$A834:$O834,0))</f>
        <v>Morgan</v>
      </c>
      <c r="D835" s="2" t="str">
        <f>INDEX('Main Data'!$A$1:$O$1001,MATCH('Index&amp;Match'!$A835,'Main Data'!$A$1:$A$1001,0),MATCH('Index&amp;Match'!D834,'Main Data'!$A834:$O834,0))</f>
        <v>BR-002</v>
      </c>
      <c r="E835" s="2" t="str">
        <f>INDEX('Main Data'!$A$1:$O$1001,MATCH('Index&amp;Match'!$A835,'Main Data'!$A$1:$A$1001,0),MATCH('Index&amp;Match'!E834,'Main Data'!$A834:$O834,0))</f>
        <v>West</v>
      </c>
      <c r="F835" s="2" t="str">
        <f>INDEX('Main Data'!$A$1:$O$1001,MATCH('Index&amp;Match'!$A835,'Main Data'!$A$1:$A$1001,0),MATCH('Index&amp;Match'!F834,'Main Data'!$A834:$O834,0))</f>
        <v>Wealth Management</v>
      </c>
      <c r="G835" s="2" t="str">
        <f>INDEX('Main Data'!$A$1:$O$1001,MATCH('Index&amp;Match'!$A835,'Main Data'!$A$1:$A$1001,0),MATCH('Index&amp;Match'!G834,'Main Data'!$A834:$O834,0))</f>
        <v>Social Media</v>
      </c>
      <c r="H835" s="2" t="str">
        <f>INDEX('Main Data'!$A$1:$O$1001,MATCH('Index&amp;Match'!$A835,'Main Data'!$A$1:$A$1001,0),MATCH('Index&amp;Match'!H834,'Main Data'!$A834:$O834,0))</f>
        <v>Corporate</v>
      </c>
      <c r="I835" s="2">
        <f>INDEX('Main Data'!$A$1:$O$1001,MATCH('Index&amp;Match'!$A835,'Main Data'!$A$1:$A$1001,0),MATCH('Index&amp;Match'!I834,'Main Data'!$A834:$O834,0))</f>
        <v>52</v>
      </c>
      <c r="J835" s="2">
        <f>INDEX('Main Data'!$A$1:$O$1001,MATCH('Index&amp;Match'!$A835,'Main Data'!$A$1:$A$1001,0),MATCH('Index&amp;Match'!J834,'Main Data'!$A834:$O834,0))</f>
        <v>52</v>
      </c>
      <c r="K835" s="11">
        <f>INDEX('Main Data'!$A$1:$O$1001,MATCH('Index&amp;Match'!$A835,'Main Data'!$A$1:$A$1001,0),MATCH('Index&amp;Match'!K834,'Main Data'!$A834:$O834,0))</f>
        <v>6826.69</v>
      </c>
      <c r="L835" s="11">
        <f>INDEX('Main Data'!$A$1:$O$1001,MATCH('Index&amp;Match'!$A835,'Main Data'!$A$1:$A$1001,0),MATCH('Index&amp;Match'!L834,'Main Data'!$A834:$O834,0))</f>
        <v>106</v>
      </c>
      <c r="M835" s="11">
        <f>INDEX('Main Data'!$A$1:$O$1001,MATCH('Index&amp;Match'!$A835,'Main Data'!$A$1:$A$1001,0),MATCH('Index&amp;Match'!M834,'Main Data'!$A834:$O834,0))</f>
        <v>87.37</v>
      </c>
      <c r="N835" s="2" t="str">
        <f>INDEX('Main Data'!$A$1:$O$1001,MATCH('Index&amp;Match'!$A835,'Main Data'!$A$1:$A$1001,0),MATCH('Index&amp;Match'!N834,'Main Data'!$A834:$O834,0))</f>
        <v>Yes</v>
      </c>
      <c r="O835" s="2">
        <f>INDEX('Main Data'!$A$1:$O$1001,MATCH('Index&amp;Match'!$A835,'Main Data'!$A$1:$A$1001,0),MATCH('Index&amp;Match'!O834,'Main Data'!$A834:$O834,0))</f>
        <v>52</v>
      </c>
    </row>
    <row r="836" spans="1:15" x14ac:dyDescent="0.3">
      <c r="A836" s="2" t="s">
        <v>893</v>
      </c>
      <c r="B836" s="1">
        <f>INDEX('Main Data'!$A$1:$O$1001,MATCH('Index&amp;Match'!$A836,'Main Data'!$A$1:$A$1001,0),MATCH('Index&amp;Match'!B835,'Main Data'!$A835:$O835,0))</f>
        <v>45977</v>
      </c>
      <c r="C836" s="2" t="str">
        <f>INDEX('Main Data'!$A$1:$O$1001,MATCH('Index&amp;Match'!$A836,'Main Data'!$A$1:$A$1001,0),MATCH('Index&amp;Match'!C835,'Main Data'!$A835:$O835,0))</f>
        <v>Alex</v>
      </c>
      <c r="D836" s="2" t="str">
        <f>INDEX('Main Data'!$A$1:$O$1001,MATCH('Index&amp;Match'!$A836,'Main Data'!$A$1:$A$1001,0),MATCH('Index&amp;Match'!D835,'Main Data'!$A835:$O835,0))</f>
        <v>BR-007</v>
      </c>
      <c r="E836" s="2" t="str">
        <f>INDEX('Main Data'!$A$1:$O$1001,MATCH('Index&amp;Match'!$A836,'Main Data'!$A$1:$A$1001,0),MATCH('Index&amp;Match'!E835,'Main Data'!$A835:$O835,0))</f>
        <v>North</v>
      </c>
      <c r="F836" s="2" t="str">
        <f>INDEX('Main Data'!$A$1:$O$1001,MATCH('Index&amp;Match'!$A836,'Main Data'!$A$1:$A$1001,0),MATCH('Index&amp;Match'!F835,'Main Data'!$A835:$O835,0))</f>
        <v>Credit Card</v>
      </c>
      <c r="G836" s="2" t="str">
        <f>INDEX('Main Data'!$A$1:$O$1001,MATCH('Index&amp;Match'!$A836,'Main Data'!$A$1:$A$1001,0),MATCH('Index&amp;Match'!G835,'Main Data'!$A835:$O835,0))</f>
        <v>Website</v>
      </c>
      <c r="H836" s="2" t="str">
        <f>INDEX('Main Data'!$A$1:$O$1001,MATCH('Index&amp;Match'!$A836,'Main Data'!$A$1:$A$1001,0),MATCH('Index&amp;Match'!H835,'Main Data'!$A835:$O835,0))</f>
        <v>High Net Worth</v>
      </c>
      <c r="I836" s="2">
        <f>INDEX('Main Data'!$A$1:$O$1001,MATCH('Index&amp;Match'!$A836,'Main Data'!$A$1:$A$1001,0),MATCH('Index&amp;Match'!I835,'Main Data'!$A835:$O835,0))</f>
        <v>30</v>
      </c>
      <c r="J836" s="2">
        <f>INDEX('Main Data'!$A$1:$O$1001,MATCH('Index&amp;Match'!$A836,'Main Data'!$A$1:$A$1001,0),MATCH('Index&amp;Match'!J835,'Main Data'!$A835:$O835,0))</f>
        <v>30</v>
      </c>
      <c r="K836" s="11">
        <f>INDEX('Main Data'!$A$1:$O$1001,MATCH('Index&amp;Match'!$A836,'Main Data'!$A$1:$A$1001,0),MATCH('Index&amp;Match'!K835,'Main Data'!$A835:$O835,0))</f>
        <v>29320.75</v>
      </c>
      <c r="L836" s="11">
        <f>INDEX('Main Data'!$A$1:$O$1001,MATCH('Index&amp;Match'!$A836,'Main Data'!$A$1:$A$1001,0),MATCH('Index&amp;Match'!L835,'Main Data'!$A835:$O835,0))</f>
        <v>482.99</v>
      </c>
      <c r="M836" s="11">
        <f>INDEX('Main Data'!$A$1:$O$1001,MATCH('Index&amp;Match'!$A836,'Main Data'!$A$1:$A$1001,0),MATCH('Index&amp;Match'!M835,'Main Data'!$A835:$O835,0))</f>
        <v>117.72</v>
      </c>
      <c r="N836" s="2" t="str">
        <f>INDEX('Main Data'!$A$1:$O$1001,MATCH('Index&amp;Match'!$A836,'Main Data'!$A$1:$A$1001,0),MATCH('Index&amp;Match'!N835,'Main Data'!$A835:$O835,0))</f>
        <v>No</v>
      </c>
      <c r="O836" s="2">
        <f>INDEX('Main Data'!$A$1:$O$1001,MATCH('Index&amp;Match'!$A836,'Main Data'!$A$1:$A$1001,0),MATCH('Index&amp;Match'!O835,'Main Data'!$A835:$O835,0))</f>
        <v>30</v>
      </c>
    </row>
    <row r="837" spans="1:15" x14ac:dyDescent="0.3">
      <c r="A837" s="2" t="s">
        <v>894</v>
      </c>
      <c r="B837" s="1">
        <f>INDEX('Main Data'!$A$1:$O$1001,MATCH('Index&amp;Match'!$A837,'Main Data'!$A$1:$A$1001,0),MATCH('Index&amp;Match'!B836,'Main Data'!$A836:$O836,0))</f>
        <v>46137</v>
      </c>
      <c r="C837" s="2" t="str">
        <f>INDEX('Main Data'!$A$1:$O$1001,MATCH('Index&amp;Match'!$A837,'Main Data'!$A$1:$A$1001,0),MATCH('Index&amp;Match'!C836,'Main Data'!$A836:$O836,0))</f>
        <v>Morgan</v>
      </c>
      <c r="D837" s="2" t="str">
        <f>INDEX('Main Data'!$A$1:$O$1001,MATCH('Index&amp;Match'!$A837,'Main Data'!$A$1:$A$1001,0),MATCH('Index&amp;Match'!D836,'Main Data'!$A836:$O836,0))</f>
        <v>BR-005</v>
      </c>
      <c r="E837" s="2" t="str">
        <f>INDEX('Main Data'!$A$1:$O$1001,MATCH('Index&amp;Match'!$A837,'Main Data'!$A$1:$A$1001,0),MATCH('Index&amp;Match'!E836,'Main Data'!$A836:$O836,0))</f>
        <v>Central</v>
      </c>
      <c r="F837" s="2" t="str">
        <f>INDEX('Main Data'!$A$1:$O$1001,MATCH('Index&amp;Match'!$A837,'Main Data'!$A$1:$A$1001,0),MATCH('Index&amp;Match'!F836,'Main Data'!$A836:$O836,0))</f>
        <v>Mortgage</v>
      </c>
      <c r="G837" s="2" t="str">
        <f>INDEX('Main Data'!$A$1:$O$1001,MATCH('Index&amp;Match'!$A837,'Main Data'!$A$1:$A$1001,0),MATCH('Index&amp;Match'!G836,'Main Data'!$A836:$O836,0))</f>
        <v>Website</v>
      </c>
      <c r="H837" s="2" t="str">
        <f>INDEX('Main Data'!$A$1:$O$1001,MATCH('Index&amp;Match'!$A837,'Main Data'!$A$1:$A$1001,0),MATCH('Index&amp;Match'!H836,'Main Data'!$A836:$O836,0))</f>
        <v>High Net Worth</v>
      </c>
      <c r="I837" s="2">
        <f>INDEX('Main Data'!$A$1:$O$1001,MATCH('Index&amp;Match'!$A837,'Main Data'!$A$1:$A$1001,0),MATCH('Index&amp;Match'!I836,'Main Data'!$A836:$O836,0))</f>
        <v>59</v>
      </c>
      <c r="J837" s="2">
        <f>INDEX('Main Data'!$A$1:$O$1001,MATCH('Index&amp;Match'!$A837,'Main Data'!$A$1:$A$1001,0),MATCH('Index&amp;Match'!J836,'Main Data'!$A836:$O836,0))</f>
        <v>59</v>
      </c>
      <c r="K837" s="11">
        <f>INDEX('Main Data'!$A$1:$O$1001,MATCH('Index&amp;Match'!$A837,'Main Data'!$A$1:$A$1001,0),MATCH('Index&amp;Match'!K836,'Main Data'!$A836:$O836,0))</f>
        <v>15343.78</v>
      </c>
      <c r="L837" s="11">
        <f>INDEX('Main Data'!$A$1:$O$1001,MATCH('Index&amp;Match'!$A837,'Main Data'!$A$1:$A$1001,0),MATCH('Index&amp;Match'!L836,'Main Data'!$A836:$O836,0))</f>
        <v>180.47</v>
      </c>
      <c r="M837" s="11">
        <f>INDEX('Main Data'!$A$1:$O$1001,MATCH('Index&amp;Match'!$A837,'Main Data'!$A$1:$A$1001,0),MATCH('Index&amp;Match'!M836,'Main Data'!$A836:$O836,0))</f>
        <v>121.56</v>
      </c>
      <c r="N837" s="2" t="str">
        <f>INDEX('Main Data'!$A$1:$O$1001,MATCH('Index&amp;Match'!$A837,'Main Data'!$A$1:$A$1001,0),MATCH('Index&amp;Match'!N836,'Main Data'!$A836:$O836,0))</f>
        <v>Yes</v>
      </c>
      <c r="O837" s="2">
        <f>INDEX('Main Data'!$A$1:$O$1001,MATCH('Index&amp;Match'!$A837,'Main Data'!$A$1:$A$1001,0),MATCH('Index&amp;Match'!O836,'Main Data'!$A836:$O836,0))</f>
        <v>59</v>
      </c>
    </row>
    <row r="838" spans="1:15" x14ac:dyDescent="0.3">
      <c r="A838" s="2" t="s">
        <v>895</v>
      </c>
      <c r="B838" s="1">
        <f>INDEX('Main Data'!$A$1:$O$1001,MATCH('Index&amp;Match'!$A838,'Main Data'!$A$1:$A$1001,0),MATCH('Index&amp;Match'!B837,'Main Data'!$A837:$O837,0))</f>
        <v>45907</v>
      </c>
      <c r="C838" s="2" t="str">
        <f>INDEX('Main Data'!$A$1:$O$1001,MATCH('Index&amp;Match'!$A838,'Main Data'!$A$1:$A$1001,0),MATCH('Index&amp;Match'!C837,'Main Data'!$A837:$O837,0))</f>
        <v>Taylor</v>
      </c>
      <c r="D838" s="2" t="str">
        <f>INDEX('Main Data'!$A$1:$O$1001,MATCH('Index&amp;Match'!$A838,'Main Data'!$A$1:$A$1001,0),MATCH('Index&amp;Match'!D837,'Main Data'!$A837:$O837,0))</f>
        <v>BR-011</v>
      </c>
      <c r="E838" s="2" t="str">
        <f>INDEX('Main Data'!$A$1:$O$1001,MATCH('Index&amp;Match'!$A838,'Main Data'!$A$1:$A$1001,0),MATCH('Index&amp;Match'!E837,'Main Data'!$A837:$O837,0))</f>
        <v>East</v>
      </c>
      <c r="F838" s="2" t="str">
        <f>INDEX('Main Data'!$A$1:$O$1001,MATCH('Index&amp;Match'!$A838,'Main Data'!$A$1:$A$1001,0),MATCH('Index&amp;Match'!F837,'Main Data'!$A837:$O837,0))</f>
        <v>Auto Loan</v>
      </c>
      <c r="G838" s="2" t="str">
        <f>INDEX('Main Data'!$A$1:$O$1001,MATCH('Index&amp;Match'!$A838,'Main Data'!$A$1:$A$1001,0),MATCH('Index&amp;Match'!G837,'Main Data'!$A837:$O837,0))</f>
        <v>Referral</v>
      </c>
      <c r="H838" s="2" t="str">
        <f>INDEX('Main Data'!$A$1:$O$1001,MATCH('Index&amp;Match'!$A838,'Main Data'!$A$1:$A$1001,0),MATCH('Index&amp;Match'!H837,'Main Data'!$A837:$O837,0))</f>
        <v>High Net Worth</v>
      </c>
      <c r="I838" s="2">
        <f>INDEX('Main Data'!$A$1:$O$1001,MATCH('Index&amp;Match'!$A838,'Main Data'!$A$1:$A$1001,0),MATCH('Index&amp;Match'!I837,'Main Data'!$A837:$O837,0))</f>
        <v>35</v>
      </c>
      <c r="J838" s="2">
        <f>INDEX('Main Data'!$A$1:$O$1001,MATCH('Index&amp;Match'!$A838,'Main Data'!$A$1:$A$1001,0),MATCH('Index&amp;Match'!J837,'Main Data'!$A837:$O837,0))</f>
        <v>35</v>
      </c>
      <c r="K838" s="11">
        <f>INDEX('Main Data'!$A$1:$O$1001,MATCH('Index&amp;Match'!$A838,'Main Data'!$A$1:$A$1001,0),MATCH('Index&amp;Match'!K837,'Main Data'!$A837:$O837,0))</f>
        <v>2202.96</v>
      </c>
      <c r="L838" s="11">
        <f>INDEX('Main Data'!$A$1:$O$1001,MATCH('Index&amp;Match'!$A838,'Main Data'!$A$1:$A$1001,0),MATCH('Index&amp;Match'!L837,'Main Data'!$A837:$O837,0))</f>
        <v>433.82</v>
      </c>
      <c r="M838" s="11">
        <f>INDEX('Main Data'!$A$1:$O$1001,MATCH('Index&amp;Match'!$A838,'Main Data'!$A$1:$A$1001,0),MATCH('Index&amp;Match'!M837,'Main Data'!$A837:$O837,0))</f>
        <v>37.65</v>
      </c>
      <c r="N838" s="2" t="str">
        <f>INDEX('Main Data'!$A$1:$O$1001,MATCH('Index&amp;Match'!$A838,'Main Data'!$A$1:$A$1001,0),MATCH('Index&amp;Match'!N837,'Main Data'!$A837:$O837,0))</f>
        <v>Yes</v>
      </c>
      <c r="O838" s="2">
        <f>INDEX('Main Data'!$A$1:$O$1001,MATCH('Index&amp;Match'!$A838,'Main Data'!$A$1:$A$1001,0),MATCH('Index&amp;Match'!O837,'Main Data'!$A837:$O837,0))</f>
        <v>35</v>
      </c>
    </row>
    <row r="839" spans="1:15" x14ac:dyDescent="0.3">
      <c r="A839" s="2" t="s">
        <v>896</v>
      </c>
      <c r="B839" s="1">
        <f>INDEX('Main Data'!$A$1:$O$1001,MATCH('Index&amp;Match'!$A839,'Main Data'!$A$1:$A$1001,0),MATCH('Index&amp;Match'!B838,'Main Data'!$A838:$O838,0))</f>
        <v>46177</v>
      </c>
      <c r="C839" s="2" t="str">
        <f>INDEX('Main Data'!$A$1:$O$1001,MATCH('Index&amp;Match'!$A839,'Main Data'!$A$1:$A$1001,0),MATCH('Index&amp;Match'!C838,'Main Data'!$A838:$O838,0))</f>
        <v>Casey</v>
      </c>
      <c r="D839" s="2" t="str">
        <f>INDEX('Main Data'!$A$1:$O$1001,MATCH('Index&amp;Match'!$A839,'Main Data'!$A$1:$A$1001,0),MATCH('Index&amp;Match'!D838,'Main Data'!$A838:$O838,0))</f>
        <v>BR-006</v>
      </c>
      <c r="E839" s="2" t="str">
        <f>INDEX('Main Data'!$A$1:$O$1001,MATCH('Index&amp;Match'!$A839,'Main Data'!$A$1:$A$1001,0),MATCH('Index&amp;Match'!E838,'Main Data'!$A838:$O838,0))</f>
        <v>South</v>
      </c>
      <c r="F839" s="2" t="str">
        <f>INDEX('Main Data'!$A$1:$O$1001,MATCH('Index&amp;Match'!$A839,'Main Data'!$A$1:$A$1001,0),MATCH('Index&amp;Match'!F838,'Main Data'!$A838:$O838,0))</f>
        <v>Personal Loan</v>
      </c>
      <c r="G839" s="2" t="str">
        <f>INDEX('Main Data'!$A$1:$O$1001,MATCH('Index&amp;Match'!$A839,'Main Data'!$A$1:$A$1001,0),MATCH('Index&amp;Match'!G838,'Main Data'!$A838:$O838,0))</f>
        <v>Social Media</v>
      </c>
      <c r="H839" s="2" t="str">
        <f>INDEX('Main Data'!$A$1:$O$1001,MATCH('Index&amp;Match'!$A839,'Main Data'!$A$1:$A$1001,0),MATCH('Index&amp;Match'!H838,'Main Data'!$A838:$O838,0))</f>
        <v>Corporate</v>
      </c>
      <c r="I839" s="2">
        <f>INDEX('Main Data'!$A$1:$O$1001,MATCH('Index&amp;Match'!$A839,'Main Data'!$A$1:$A$1001,0),MATCH('Index&amp;Match'!I838,'Main Data'!$A838:$O838,0))</f>
        <v>27</v>
      </c>
      <c r="J839" s="2">
        <f>INDEX('Main Data'!$A$1:$O$1001,MATCH('Index&amp;Match'!$A839,'Main Data'!$A$1:$A$1001,0),MATCH('Index&amp;Match'!J838,'Main Data'!$A838:$O838,0))</f>
        <v>27</v>
      </c>
      <c r="K839" s="11">
        <f>INDEX('Main Data'!$A$1:$O$1001,MATCH('Index&amp;Match'!$A839,'Main Data'!$A$1:$A$1001,0),MATCH('Index&amp;Match'!K838,'Main Data'!$A838:$O838,0))</f>
        <v>31929.02</v>
      </c>
      <c r="L839" s="11">
        <f>INDEX('Main Data'!$A$1:$O$1001,MATCH('Index&amp;Match'!$A839,'Main Data'!$A$1:$A$1001,0),MATCH('Index&amp;Match'!L838,'Main Data'!$A838:$O838,0))</f>
        <v>224.43</v>
      </c>
      <c r="M839" s="11">
        <f>INDEX('Main Data'!$A$1:$O$1001,MATCH('Index&amp;Match'!$A839,'Main Data'!$A$1:$A$1001,0),MATCH('Index&amp;Match'!M838,'Main Data'!$A838:$O838,0))</f>
        <v>162.72</v>
      </c>
      <c r="N839" s="2" t="str">
        <f>INDEX('Main Data'!$A$1:$O$1001,MATCH('Index&amp;Match'!$A839,'Main Data'!$A$1:$A$1001,0),MATCH('Index&amp;Match'!N838,'Main Data'!$A838:$O838,0))</f>
        <v>No</v>
      </c>
      <c r="O839" s="2">
        <f>INDEX('Main Data'!$A$1:$O$1001,MATCH('Index&amp;Match'!$A839,'Main Data'!$A$1:$A$1001,0),MATCH('Index&amp;Match'!O838,'Main Data'!$A838:$O838,0))</f>
        <v>27</v>
      </c>
    </row>
    <row r="840" spans="1:15" x14ac:dyDescent="0.3">
      <c r="A840" s="2" t="s">
        <v>897</v>
      </c>
      <c r="B840" s="1">
        <f>INDEX('Main Data'!$A$1:$O$1001,MATCH('Index&amp;Match'!$A840,'Main Data'!$A$1:$A$1001,0),MATCH('Index&amp;Match'!B839,'Main Data'!$A839:$O839,0))</f>
        <v>46075</v>
      </c>
      <c r="C840" s="2" t="str">
        <f>INDEX('Main Data'!$A$1:$O$1001,MATCH('Index&amp;Match'!$A840,'Main Data'!$A$1:$A$1001,0),MATCH('Index&amp;Match'!C839,'Main Data'!$A839:$O839,0))</f>
        <v>Morgan</v>
      </c>
      <c r="D840" s="2" t="str">
        <f>INDEX('Main Data'!$A$1:$O$1001,MATCH('Index&amp;Match'!$A840,'Main Data'!$A$1:$A$1001,0),MATCH('Index&amp;Match'!D839,'Main Data'!$A839:$O839,0))</f>
        <v>BR-002</v>
      </c>
      <c r="E840" s="2" t="str">
        <f>INDEX('Main Data'!$A$1:$O$1001,MATCH('Index&amp;Match'!$A840,'Main Data'!$A$1:$A$1001,0),MATCH('Index&amp;Match'!E839,'Main Data'!$A839:$O839,0))</f>
        <v>East</v>
      </c>
      <c r="F840" s="2" t="str">
        <f>INDEX('Main Data'!$A$1:$O$1001,MATCH('Index&amp;Match'!$A840,'Main Data'!$A$1:$A$1001,0),MATCH('Index&amp;Match'!F839,'Main Data'!$A839:$O839,0))</f>
        <v>Credit Card</v>
      </c>
      <c r="G840" s="2" t="str">
        <f>INDEX('Main Data'!$A$1:$O$1001,MATCH('Index&amp;Match'!$A840,'Main Data'!$A$1:$A$1001,0),MATCH('Index&amp;Match'!G839,'Main Data'!$A839:$O839,0))</f>
        <v>Walk-in</v>
      </c>
      <c r="H840" s="2" t="str">
        <f>INDEX('Main Data'!$A$1:$O$1001,MATCH('Index&amp;Match'!$A840,'Main Data'!$A$1:$A$1001,0),MATCH('Index&amp;Match'!H839,'Main Data'!$A839:$O839,0))</f>
        <v>SME</v>
      </c>
      <c r="I840" s="2">
        <f>INDEX('Main Data'!$A$1:$O$1001,MATCH('Index&amp;Match'!$A840,'Main Data'!$A$1:$A$1001,0),MATCH('Index&amp;Match'!I839,'Main Data'!$A839:$O839,0))</f>
        <v>49</v>
      </c>
      <c r="J840" s="2">
        <f>INDEX('Main Data'!$A$1:$O$1001,MATCH('Index&amp;Match'!$A840,'Main Data'!$A$1:$A$1001,0),MATCH('Index&amp;Match'!J839,'Main Data'!$A839:$O839,0))</f>
        <v>49</v>
      </c>
      <c r="K840" s="11">
        <f>INDEX('Main Data'!$A$1:$O$1001,MATCH('Index&amp;Match'!$A840,'Main Data'!$A$1:$A$1001,0),MATCH('Index&amp;Match'!K839,'Main Data'!$A839:$O839,0))</f>
        <v>43017.15</v>
      </c>
      <c r="L840" s="11">
        <f>INDEX('Main Data'!$A$1:$O$1001,MATCH('Index&amp;Match'!$A840,'Main Data'!$A$1:$A$1001,0),MATCH('Index&amp;Match'!L839,'Main Data'!$A839:$O839,0))</f>
        <v>195.44</v>
      </c>
      <c r="M840" s="11">
        <f>INDEX('Main Data'!$A$1:$O$1001,MATCH('Index&amp;Match'!$A840,'Main Data'!$A$1:$A$1001,0),MATCH('Index&amp;Match'!M839,'Main Data'!$A839:$O839,0))</f>
        <v>7.15</v>
      </c>
      <c r="N840" s="2" t="str">
        <f>INDEX('Main Data'!$A$1:$O$1001,MATCH('Index&amp;Match'!$A840,'Main Data'!$A$1:$A$1001,0),MATCH('Index&amp;Match'!N839,'Main Data'!$A839:$O839,0))</f>
        <v>Yes</v>
      </c>
      <c r="O840" s="2">
        <f>INDEX('Main Data'!$A$1:$O$1001,MATCH('Index&amp;Match'!$A840,'Main Data'!$A$1:$A$1001,0),MATCH('Index&amp;Match'!O839,'Main Data'!$A839:$O839,0))</f>
        <v>49</v>
      </c>
    </row>
    <row r="841" spans="1:15" x14ac:dyDescent="0.3">
      <c r="A841" s="2" t="s">
        <v>898</v>
      </c>
      <c r="B841" s="1">
        <f>INDEX('Main Data'!$A$1:$O$1001,MATCH('Index&amp;Match'!$A841,'Main Data'!$A$1:$A$1001,0),MATCH('Index&amp;Match'!B840,'Main Data'!$A840:$O840,0))</f>
        <v>46210</v>
      </c>
      <c r="C841" s="2" t="str">
        <f>INDEX('Main Data'!$A$1:$O$1001,MATCH('Index&amp;Match'!$A841,'Main Data'!$A$1:$A$1001,0),MATCH('Index&amp;Match'!C840,'Main Data'!$A840:$O840,0))</f>
        <v>Casey</v>
      </c>
      <c r="D841" s="2" t="str">
        <f>INDEX('Main Data'!$A$1:$O$1001,MATCH('Index&amp;Match'!$A841,'Main Data'!$A$1:$A$1001,0),MATCH('Index&amp;Match'!D840,'Main Data'!$A840:$O840,0))</f>
        <v>BR-005</v>
      </c>
      <c r="E841" s="2" t="str">
        <f>INDEX('Main Data'!$A$1:$O$1001,MATCH('Index&amp;Match'!$A841,'Main Data'!$A$1:$A$1001,0),MATCH('Index&amp;Match'!E840,'Main Data'!$A840:$O840,0))</f>
        <v>South</v>
      </c>
      <c r="F841" s="2" t="str">
        <f>INDEX('Main Data'!$A$1:$O$1001,MATCH('Index&amp;Match'!$A841,'Main Data'!$A$1:$A$1001,0),MATCH('Index&amp;Match'!F840,'Main Data'!$A840:$O840,0))</f>
        <v>Personal Loan</v>
      </c>
      <c r="G841" s="2" t="str">
        <f>INDEX('Main Data'!$A$1:$O$1001,MATCH('Index&amp;Match'!$A841,'Main Data'!$A$1:$A$1001,0),MATCH('Index&amp;Match'!G840,'Main Data'!$A840:$O840,0))</f>
        <v>Website</v>
      </c>
      <c r="H841" s="2" t="str">
        <f>INDEX('Main Data'!$A$1:$O$1001,MATCH('Index&amp;Match'!$A841,'Main Data'!$A$1:$A$1001,0),MATCH('Index&amp;Match'!H840,'Main Data'!$A840:$O840,0))</f>
        <v>Retail</v>
      </c>
      <c r="I841" s="2">
        <f>INDEX('Main Data'!$A$1:$O$1001,MATCH('Index&amp;Match'!$A841,'Main Data'!$A$1:$A$1001,0),MATCH('Index&amp;Match'!I840,'Main Data'!$A840:$O840,0))</f>
        <v>67</v>
      </c>
      <c r="J841" s="2">
        <f>INDEX('Main Data'!$A$1:$O$1001,MATCH('Index&amp;Match'!$A841,'Main Data'!$A$1:$A$1001,0),MATCH('Index&amp;Match'!J840,'Main Data'!$A840:$O840,0))</f>
        <v>67</v>
      </c>
      <c r="K841" s="11">
        <f>INDEX('Main Data'!$A$1:$O$1001,MATCH('Index&amp;Match'!$A841,'Main Data'!$A$1:$A$1001,0),MATCH('Index&amp;Match'!K840,'Main Data'!$A840:$O840,0))</f>
        <v>17566.099999999999</v>
      </c>
      <c r="L841" s="11">
        <f>INDEX('Main Data'!$A$1:$O$1001,MATCH('Index&amp;Match'!$A841,'Main Data'!$A$1:$A$1001,0),MATCH('Index&amp;Match'!L840,'Main Data'!$A840:$O840,0))</f>
        <v>470.82</v>
      </c>
      <c r="M841" s="11">
        <f>INDEX('Main Data'!$A$1:$O$1001,MATCH('Index&amp;Match'!$A841,'Main Data'!$A$1:$A$1001,0),MATCH('Index&amp;Match'!M840,'Main Data'!$A840:$O840,0))</f>
        <v>105.65</v>
      </c>
      <c r="N841" s="2" t="str">
        <f>INDEX('Main Data'!$A$1:$O$1001,MATCH('Index&amp;Match'!$A841,'Main Data'!$A$1:$A$1001,0),MATCH('Index&amp;Match'!N840,'Main Data'!$A840:$O840,0))</f>
        <v>No</v>
      </c>
      <c r="O841" s="2">
        <f>INDEX('Main Data'!$A$1:$O$1001,MATCH('Index&amp;Match'!$A841,'Main Data'!$A$1:$A$1001,0),MATCH('Index&amp;Match'!O840,'Main Data'!$A840:$O840,0))</f>
        <v>67</v>
      </c>
    </row>
    <row r="842" spans="1:15" x14ac:dyDescent="0.3">
      <c r="A842" s="2" t="s">
        <v>899</v>
      </c>
      <c r="B842" s="1">
        <f>INDEX('Main Data'!$A$1:$O$1001,MATCH('Index&amp;Match'!$A842,'Main Data'!$A$1:$A$1001,0),MATCH('Index&amp;Match'!B841,'Main Data'!$A841:$O841,0))</f>
        <v>46037</v>
      </c>
      <c r="C842" s="2" t="str">
        <f>INDEX('Main Data'!$A$1:$O$1001,MATCH('Index&amp;Match'!$A842,'Main Data'!$A$1:$A$1001,0),MATCH('Index&amp;Match'!C841,'Main Data'!$A841:$O841,0))</f>
        <v>Jamie</v>
      </c>
      <c r="D842" s="2" t="str">
        <f>INDEX('Main Data'!$A$1:$O$1001,MATCH('Index&amp;Match'!$A842,'Main Data'!$A$1:$A$1001,0),MATCH('Index&amp;Match'!D841,'Main Data'!$A841:$O841,0))</f>
        <v>BR-010</v>
      </c>
      <c r="E842" s="2" t="str">
        <f>INDEX('Main Data'!$A$1:$O$1001,MATCH('Index&amp;Match'!$A842,'Main Data'!$A$1:$A$1001,0),MATCH('Index&amp;Match'!E841,'Main Data'!$A841:$O841,0))</f>
        <v>East</v>
      </c>
      <c r="F842" s="2" t="str">
        <f>INDEX('Main Data'!$A$1:$O$1001,MATCH('Index&amp;Match'!$A842,'Main Data'!$A$1:$A$1001,0),MATCH('Index&amp;Match'!F841,'Main Data'!$A841:$O841,0))</f>
        <v>Mortgage</v>
      </c>
      <c r="G842" s="2" t="str">
        <f>INDEX('Main Data'!$A$1:$O$1001,MATCH('Index&amp;Match'!$A842,'Main Data'!$A$1:$A$1001,0),MATCH('Index&amp;Match'!G841,'Main Data'!$A841:$O841,0))</f>
        <v>Social Media</v>
      </c>
      <c r="H842" s="2" t="str">
        <f>INDEX('Main Data'!$A$1:$O$1001,MATCH('Index&amp;Match'!$A842,'Main Data'!$A$1:$A$1001,0),MATCH('Index&amp;Match'!H841,'Main Data'!$A841:$O841,0))</f>
        <v>Corporate</v>
      </c>
      <c r="I842" s="2">
        <f>INDEX('Main Data'!$A$1:$O$1001,MATCH('Index&amp;Match'!$A842,'Main Data'!$A$1:$A$1001,0),MATCH('Index&amp;Match'!I841,'Main Data'!$A841:$O841,0))</f>
        <v>23</v>
      </c>
      <c r="J842" s="2">
        <f>INDEX('Main Data'!$A$1:$O$1001,MATCH('Index&amp;Match'!$A842,'Main Data'!$A$1:$A$1001,0),MATCH('Index&amp;Match'!J841,'Main Data'!$A841:$O841,0))</f>
        <v>23</v>
      </c>
      <c r="K842" s="11">
        <f>INDEX('Main Data'!$A$1:$O$1001,MATCH('Index&amp;Match'!$A842,'Main Data'!$A$1:$A$1001,0),MATCH('Index&amp;Match'!K841,'Main Data'!$A841:$O841,0))</f>
        <v>19819.63</v>
      </c>
      <c r="L842" s="11">
        <f>INDEX('Main Data'!$A$1:$O$1001,MATCH('Index&amp;Match'!$A842,'Main Data'!$A$1:$A$1001,0),MATCH('Index&amp;Match'!L841,'Main Data'!$A841:$O841,0))</f>
        <v>213.5</v>
      </c>
      <c r="M842" s="11">
        <f>INDEX('Main Data'!$A$1:$O$1001,MATCH('Index&amp;Match'!$A842,'Main Data'!$A$1:$A$1001,0),MATCH('Index&amp;Match'!M841,'Main Data'!$A841:$O841,0))</f>
        <v>132.38</v>
      </c>
      <c r="N842" s="2" t="str">
        <f>INDEX('Main Data'!$A$1:$O$1001,MATCH('Index&amp;Match'!$A842,'Main Data'!$A$1:$A$1001,0),MATCH('Index&amp;Match'!N841,'Main Data'!$A841:$O841,0))</f>
        <v>No</v>
      </c>
      <c r="O842" s="2">
        <f>INDEX('Main Data'!$A$1:$O$1001,MATCH('Index&amp;Match'!$A842,'Main Data'!$A$1:$A$1001,0),MATCH('Index&amp;Match'!O841,'Main Data'!$A841:$O841,0))</f>
        <v>23</v>
      </c>
    </row>
    <row r="843" spans="1:15" x14ac:dyDescent="0.3">
      <c r="A843" s="2" t="s">
        <v>900</v>
      </c>
      <c r="B843" s="1">
        <f>INDEX('Main Data'!$A$1:$O$1001,MATCH('Index&amp;Match'!$A843,'Main Data'!$A$1:$A$1001,0),MATCH('Index&amp;Match'!B842,'Main Data'!$A842:$O842,0))</f>
        <v>45994</v>
      </c>
      <c r="C843" s="2" t="str">
        <f>INDEX('Main Data'!$A$1:$O$1001,MATCH('Index&amp;Match'!$A843,'Main Data'!$A$1:$A$1001,0),MATCH('Index&amp;Match'!C842,'Main Data'!$A842:$O842,0))</f>
        <v>Drew</v>
      </c>
      <c r="D843" s="2" t="str">
        <f>INDEX('Main Data'!$A$1:$O$1001,MATCH('Index&amp;Match'!$A843,'Main Data'!$A$1:$A$1001,0),MATCH('Index&amp;Match'!D842,'Main Data'!$A842:$O842,0))</f>
        <v>BR-004</v>
      </c>
      <c r="E843" s="2" t="str">
        <f>INDEX('Main Data'!$A$1:$O$1001,MATCH('Index&amp;Match'!$A843,'Main Data'!$A$1:$A$1001,0),MATCH('Index&amp;Match'!E842,'Main Data'!$A842:$O842,0))</f>
        <v>South</v>
      </c>
      <c r="F843" s="2" t="str">
        <f>INDEX('Main Data'!$A$1:$O$1001,MATCH('Index&amp;Match'!$A843,'Main Data'!$A$1:$A$1001,0),MATCH('Index&amp;Match'!F842,'Main Data'!$A842:$O842,0))</f>
        <v>Wealth Management</v>
      </c>
      <c r="G843" s="2" t="str">
        <f>INDEX('Main Data'!$A$1:$O$1001,MATCH('Index&amp;Match'!$A843,'Main Data'!$A$1:$A$1001,0),MATCH('Index&amp;Match'!G842,'Main Data'!$A842:$O842,0))</f>
        <v>Social Media</v>
      </c>
      <c r="H843" s="2" t="str">
        <f>INDEX('Main Data'!$A$1:$O$1001,MATCH('Index&amp;Match'!$A843,'Main Data'!$A$1:$A$1001,0),MATCH('Index&amp;Match'!H842,'Main Data'!$A842:$O842,0))</f>
        <v>High Net Worth</v>
      </c>
      <c r="I843" s="2">
        <f>INDEX('Main Data'!$A$1:$O$1001,MATCH('Index&amp;Match'!$A843,'Main Data'!$A$1:$A$1001,0),MATCH('Index&amp;Match'!I842,'Main Data'!$A842:$O842,0))</f>
        <v>39</v>
      </c>
      <c r="J843" s="2">
        <f>INDEX('Main Data'!$A$1:$O$1001,MATCH('Index&amp;Match'!$A843,'Main Data'!$A$1:$A$1001,0),MATCH('Index&amp;Match'!J842,'Main Data'!$A842:$O842,0))</f>
        <v>39</v>
      </c>
      <c r="K843" s="11">
        <f>INDEX('Main Data'!$A$1:$O$1001,MATCH('Index&amp;Match'!$A843,'Main Data'!$A$1:$A$1001,0),MATCH('Index&amp;Match'!K842,'Main Data'!$A842:$O842,0))</f>
        <v>44605.57</v>
      </c>
      <c r="L843" s="11">
        <f>INDEX('Main Data'!$A$1:$O$1001,MATCH('Index&amp;Match'!$A843,'Main Data'!$A$1:$A$1001,0),MATCH('Index&amp;Match'!L842,'Main Data'!$A842:$O842,0))</f>
        <v>225.63</v>
      </c>
      <c r="M843" s="11">
        <f>INDEX('Main Data'!$A$1:$O$1001,MATCH('Index&amp;Match'!$A843,'Main Data'!$A$1:$A$1001,0),MATCH('Index&amp;Match'!M842,'Main Data'!$A842:$O842,0))</f>
        <v>62.24</v>
      </c>
      <c r="N843" s="2" t="str">
        <f>INDEX('Main Data'!$A$1:$O$1001,MATCH('Index&amp;Match'!$A843,'Main Data'!$A$1:$A$1001,0),MATCH('Index&amp;Match'!N842,'Main Data'!$A842:$O842,0))</f>
        <v>Yes</v>
      </c>
      <c r="O843" s="2">
        <f>INDEX('Main Data'!$A$1:$O$1001,MATCH('Index&amp;Match'!$A843,'Main Data'!$A$1:$A$1001,0),MATCH('Index&amp;Match'!O842,'Main Data'!$A842:$O842,0))</f>
        <v>39</v>
      </c>
    </row>
    <row r="844" spans="1:15" x14ac:dyDescent="0.3">
      <c r="A844" s="2" t="s">
        <v>901</v>
      </c>
      <c r="B844" s="1">
        <f>INDEX('Main Data'!$A$1:$O$1001,MATCH('Index&amp;Match'!$A844,'Main Data'!$A$1:$A$1001,0),MATCH('Index&amp;Match'!B843,'Main Data'!$A843:$O843,0))</f>
        <v>45959</v>
      </c>
      <c r="C844" s="2" t="str">
        <f>INDEX('Main Data'!$A$1:$O$1001,MATCH('Index&amp;Match'!$A844,'Main Data'!$A$1:$A$1001,0),MATCH('Index&amp;Match'!C843,'Main Data'!$A843:$O843,0))</f>
        <v>Alex</v>
      </c>
      <c r="D844" s="2" t="str">
        <f>INDEX('Main Data'!$A$1:$O$1001,MATCH('Index&amp;Match'!$A844,'Main Data'!$A$1:$A$1001,0),MATCH('Index&amp;Match'!D843,'Main Data'!$A843:$O843,0))</f>
        <v>BR-009</v>
      </c>
      <c r="E844" s="2" t="str">
        <f>INDEX('Main Data'!$A$1:$O$1001,MATCH('Index&amp;Match'!$A844,'Main Data'!$A$1:$A$1001,0),MATCH('Index&amp;Match'!E843,'Main Data'!$A843:$O843,0))</f>
        <v>West</v>
      </c>
      <c r="F844" s="2" t="str">
        <f>INDEX('Main Data'!$A$1:$O$1001,MATCH('Index&amp;Match'!$A844,'Main Data'!$A$1:$A$1001,0),MATCH('Index&amp;Match'!F843,'Main Data'!$A843:$O843,0))</f>
        <v>Wealth Management</v>
      </c>
      <c r="G844" s="2" t="str">
        <f>INDEX('Main Data'!$A$1:$O$1001,MATCH('Index&amp;Match'!$A844,'Main Data'!$A$1:$A$1001,0),MATCH('Index&amp;Match'!G843,'Main Data'!$A843:$O843,0))</f>
        <v>Walk-in</v>
      </c>
      <c r="H844" s="2" t="str">
        <f>INDEX('Main Data'!$A$1:$O$1001,MATCH('Index&amp;Match'!$A844,'Main Data'!$A$1:$A$1001,0),MATCH('Index&amp;Match'!H843,'Main Data'!$A843:$O843,0))</f>
        <v>Corporate</v>
      </c>
      <c r="I844" s="2">
        <f>INDEX('Main Data'!$A$1:$O$1001,MATCH('Index&amp;Match'!$A844,'Main Data'!$A$1:$A$1001,0),MATCH('Index&amp;Match'!I843,'Main Data'!$A843:$O843,0))</f>
        <v>30</v>
      </c>
      <c r="J844" s="2">
        <f>INDEX('Main Data'!$A$1:$O$1001,MATCH('Index&amp;Match'!$A844,'Main Data'!$A$1:$A$1001,0),MATCH('Index&amp;Match'!J843,'Main Data'!$A843:$O843,0))</f>
        <v>30</v>
      </c>
      <c r="K844" s="11">
        <f>INDEX('Main Data'!$A$1:$O$1001,MATCH('Index&amp;Match'!$A844,'Main Data'!$A$1:$A$1001,0),MATCH('Index&amp;Match'!K843,'Main Data'!$A843:$O843,0))</f>
        <v>40773.64</v>
      </c>
      <c r="L844" s="11">
        <f>INDEX('Main Data'!$A$1:$O$1001,MATCH('Index&amp;Match'!$A844,'Main Data'!$A$1:$A$1001,0),MATCH('Index&amp;Match'!L843,'Main Data'!$A843:$O843,0))</f>
        <v>97.74</v>
      </c>
      <c r="M844" s="11">
        <f>INDEX('Main Data'!$A$1:$O$1001,MATCH('Index&amp;Match'!$A844,'Main Data'!$A$1:$A$1001,0),MATCH('Index&amp;Match'!M843,'Main Data'!$A843:$O843,0))</f>
        <v>181.17</v>
      </c>
      <c r="N844" s="2" t="str">
        <f>INDEX('Main Data'!$A$1:$O$1001,MATCH('Index&amp;Match'!$A844,'Main Data'!$A$1:$A$1001,0),MATCH('Index&amp;Match'!N843,'Main Data'!$A843:$O843,0))</f>
        <v>Yes</v>
      </c>
      <c r="O844" s="2">
        <f>INDEX('Main Data'!$A$1:$O$1001,MATCH('Index&amp;Match'!$A844,'Main Data'!$A$1:$A$1001,0),MATCH('Index&amp;Match'!O843,'Main Data'!$A843:$O843,0))</f>
        <v>30</v>
      </c>
    </row>
    <row r="845" spans="1:15" x14ac:dyDescent="0.3">
      <c r="A845" s="2" t="s">
        <v>902</v>
      </c>
      <c r="B845" s="1">
        <f>INDEX('Main Data'!$A$1:$O$1001,MATCH('Index&amp;Match'!$A845,'Main Data'!$A$1:$A$1001,0),MATCH('Index&amp;Match'!B844,'Main Data'!$A844:$O844,0))</f>
        <v>45965</v>
      </c>
      <c r="C845" s="2" t="str">
        <f>INDEX('Main Data'!$A$1:$O$1001,MATCH('Index&amp;Match'!$A845,'Main Data'!$A$1:$A$1001,0),MATCH('Index&amp;Match'!C844,'Main Data'!$A844:$O844,0))</f>
        <v>Jamie</v>
      </c>
      <c r="D845" s="2" t="str">
        <f>INDEX('Main Data'!$A$1:$O$1001,MATCH('Index&amp;Match'!$A845,'Main Data'!$A$1:$A$1001,0),MATCH('Index&amp;Match'!D844,'Main Data'!$A844:$O844,0))</f>
        <v>BR-006</v>
      </c>
      <c r="E845" s="2" t="str">
        <f>INDEX('Main Data'!$A$1:$O$1001,MATCH('Index&amp;Match'!$A845,'Main Data'!$A$1:$A$1001,0),MATCH('Index&amp;Match'!E844,'Main Data'!$A844:$O844,0))</f>
        <v>South</v>
      </c>
      <c r="F845" s="2" t="str">
        <f>INDEX('Main Data'!$A$1:$O$1001,MATCH('Index&amp;Match'!$A845,'Main Data'!$A$1:$A$1001,0),MATCH('Index&amp;Match'!F844,'Main Data'!$A844:$O844,0))</f>
        <v>Auto Loan</v>
      </c>
      <c r="G845" s="2" t="str">
        <f>INDEX('Main Data'!$A$1:$O$1001,MATCH('Index&amp;Match'!$A845,'Main Data'!$A$1:$A$1001,0),MATCH('Index&amp;Match'!G844,'Main Data'!$A844:$O844,0))</f>
        <v>Social Media</v>
      </c>
      <c r="H845" s="2" t="str">
        <f>INDEX('Main Data'!$A$1:$O$1001,MATCH('Index&amp;Match'!$A845,'Main Data'!$A$1:$A$1001,0),MATCH('Index&amp;Match'!H844,'Main Data'!$A844:$O844,0))</f>
        <v>High Net Worth</v>
      </c>
      <c r="I845" s="2">
        <f>INDEX('Main Data'!$A$1:$O$1001,MATCH('Index&amp;Match'!$A845,'Main Data'!$A$1:$A$1001,0),MATCH('Index&amp;Match'!I844,'Main Data'!$A844:$O844,0))</f>
        <v>48</v>
      </c>
      <c r="J845" s="2">
        <f>INDEX('Main Data'!$A$1:$O$1001,MATCH('Index&amp;Match'!$A845,'Main Data'!$A$1:$A$1001,0),MATCH('Index&amp;Match'!J844,'Main Data'!$A844:$O844,0))</f>
        <v>48</v>
      </c>
      <c r="K845" s="11">
        <f>INDEX('Main Data'!$A$1:$O$1001,MATCH('Index&amp;Match'!$A845,'Main Data'!$A$1:$A$1001,0),MATCH('Index&amp;Match'!K844,'Main Data'!$A844:$O844,0))</f>
        <v>35890.160000000003</v>
      </c>
      <c r="L845" s="11">
        <f>INDEX('Main Data'!$A$1:$O$1001,MATCH('Index&amp;Match'!$A845,'Main Data'!$A$1:$A$1001,0),MATCH('Index&amp;Match'!L844,'Main Data'!$A844:$O844,0))</f>
        <v>351.7</v>
      </c>
      <c r="M845" s="11">
        <f>INDEX('Main Data'!$A$1:$O$1001,MATCH('Index&amp;Match'!$A845,'Main Data'!$A$1:$A$1001,0),MATCH('Index&amp;Match'!M844,'Main Data'!$A844:$O844,0))</f>
        <v>251.56</v>
      </c>
      <c r="N845" s="2" t="str">
        <f>INDEX('Main Data'!$A$1:$O$1001,MATCH('Index&amp;Match'!$A845,'Main Data'!$A$1:$A$1001,0),MATCH('Index&amp;Match'!N844,'Main Data'!$A844:$O844,0))</f>
        <v>No</v>
      </c>
      <c r="O845" s="2">
        <f>INDEX('Main Data'!$A$1:$O$1001,MATCH('Index&amp;Match'!$A845,'Main Data'!$A$1:$A$1001,0),MATCH('Index&amp;Match'!O844,'Main Data'!$A844:$O844,0))</f>
        <v>48</v>
      </c>
    </row>
    <row r="846" spans="1:15" x14ac:dyDescent="0.3">
      <c r="A846" s="2" t="s">
        <v>903</v>
      </c>
      <c r="B846" s="1">
        <f>INDEX('Main Data'!$A$1:$O$1001,MATCH('Index&amp;Match'!$A846,'Main Data'!$A$1:$A$1001,0),MATCH('Index&amp;Match'!B845,'Main Data'!$A845:$O845,0))</f>
        <v>46006</v>
      </c>
      <c r="C846" s="2" t="str">
        <f>INDEX('Main Data'!$A$1:$O$1001,MATCH('Index&amp;Match'!$A846,'Main Data'!$A$1:$A$1001,0),MATCH('Index&amp;Match'!C845,'Main Data'!$A845:$O845,0))</f>
        <v>Casey</v>
      </c>
      <c r="D846" s="2" t="str">
        <f>INDEX('Main Data'!$A$1:$O$1001,MATCH('Index&amp;Match'!$A846,'Main Data'!$A$1:$A$1001,0),MATCH('Index&amp;Match'!D845,'Main Data'!$A845:$O845,0))</f>
        <v>BR-002</v>
      </c>
      <c r="E846" s="2" t="str">
        <f>INDEX('Main Data'!$A$1:$O$1001,MATCH('Index&amp;Match'!$A846,'Main Data'!$A$1:$A$1001,0),MATCH('Index&amp;Match'!E845,'Main Data'!$A845:$O845,0))</f>
        <v>South</v>
      </c>
      <c r="F846" s="2" t="str">
        <f>INDEX('Main Data'!$A$1:$O$1001,MATCH('Index&amp;Match'!$A846,'Main Data'!$A$1:$A$1001,0),MATCH('Index&amp;Match'!F845,'Main Data'!$A845:$O845,0))</f>
        <v>Wealth Management</v>
      </c>
      <c r="G846" s="2" t="str">
        <f>INDEX('Main Data'!$A$1:$O$1001,MATCH('Index&amp;Match'!$A846,'Main Data'!$A$1:$A$1001,0),MATCH('Index&amp;Match'!G845,'Main Data'!$A845:$O845,0))</f>
        <v>Social Media</v>
      </c>
      <c r="H846" s="2" t="str">
        <f>INDEX('Main Data'!$A$1:$O$1001,MATCH('Index&amp;Match'!$A846,'Main Data'!$A$1:$A$1001,0),MATCH('Index&amp;Match'!H845,'Main Data'!$A845:$O845,0))</f>
        <v>Retail</v>
      </c>
      <c r="I846" s="2">
        <f>INDEX('Main Data'!$A$1:$O$1001,MATCH('Index&amp;Match'!$A846,'Main Data'!$A$1:$A$1001,0),MATCH('Index&amp;Match'!I845,'Main Data'!$A845:$O845,0))</f>
        <v>49</v>
      </c>
      <c r="J846" s="2">
        <f>INDEX('Main Data'!$A$1:$O$1001,MATCH('Index&amp;Match'!$A846,'Main Data'!$A$1:$A$1001,0),MATCH('Index&amp;Match'!J845,'Main Data'!$A845:$O845,0))</f>
        <v>49</v>
      </c>
      <c r="K846" s="11">
        <f>INDEX('Main Data'!$A$1:$O$1001,MATCH('Index&amp;Match'!$A846,'Main Data'!$A$1:$A$1001,0),MATCH('Index&amp;Match'!K845,'Main Data'!$A845:$O845,0))</f>
        <v>12815.45</v>
      </c>
      <c r="L846" s="11">
        <f>INDEX('Main Data'!$A$1:$O$1001,MATCH('Index&amp;Match'!$A846,'Main Data'!$A$1:$A$1001,0),MATCH('Index&amp;Match'!L845,'Main Data'!$A845:$O845,0))</f>
        <v>179.98</v>
      </c>
      <c r="M846" s="11">
        <f>INDEX('Main Data'!$A$1:$O$1001,MATCH('Index&amp;Match'!$A846,'Main Data'!$A$1:$A$1001,0),MATCH('Index&amp;Match'!M845,'Main Data'!$A845:$O845,0))</f>
        <v>94.22</v>
      </c>
      <c r="N846" s="2" t="str">
        <f>INDEX('Main Data'!$A$1:$O$1001,MATCH('Index&amp;Match'!$A846,'Main Data'!$A$1:$A$1001,0),MATCH('Index&amp;Match'!N845,'Main Data'!$A845:$O845,0))</f>
        <v>No</v>
      </c>
      <c r="O846" s="2">
        <f>INDEX('Main Data'!$A$1:$O$1001,MATCH('Index&amp;Match'!$A846,'Main Data'!$A$1:$A$1001,0),MATCH('Index&amp;Match'!O845,'Main Data'!$A845:$O845,0))</f>
        <v>49</v>
      </c>
    </row>
    <row r="847" spans="1:15" x14ac:dyDescent="0.3">
      <c r="A847" s="2" t="s">
        <v>904</v>
      </c>
      <c r="B847" s="1">
        <f>INDEX('Main Data'!$A$1:$O$1001,MATCH('Index&amp;Match'!$A847,'Main Data'!$A$1:$A$1001,0),MATCH('Index&amp;Match'!B846,'Main Data'!$A846:$O846,0))</f>
        <v>45961</v>
      </c>
      <c r="C847" s="2" t="str">
        <f>INDEX('Main Data'!$A$1:$O$1001,MATCH('Index&amp;Match'!$A847,'Main Data'!$A$1:$A$1001,0),MATCH('Index&amp;Match'!C846,'Main Data'!$A846:$O846,0))</f>
        <v>Casey</v>
      </c>
      <c r="D847" s="2" t="str">
        <f>INDEX('Main Data'!$A$1:$O$1001,MATCH('Index&amp;Match'!$A847,'Main Data'!$A$1:$A$1001,0),MATCH('Index&amp;Match'!D846,'Main Data'!$A846:$O846,0))</f>
        <v>BR-001</v>
      </c>
      <c r="E847" s="2" t="str">
        <f>INDEX('Main Data'!$A$1:$O$1001,MATCH('Index&amp;Match'!$A847,'Main Data'!$A$1:$A$1001,0),MATCH('Index&amp;Match'!E846,'Main Data'!$A846:$O846,0))</f>
        <v>North</v>
      </c>
      <c r="F847" s="2" t="str">
        <f>INDEX('Main Data'!$A$1:$O$1001,MATCH('Index&amp;Match'!$A847,'Main Data'!$A$1:$A$1001,0),MATCH('Index&amp;Match'!F846,'Main Data'!$A846:$O846,0))</f>
        <v>Credit Card</v>
      </c>
      <c r="G847" s="2" t="str">
        <f>INDEX('Main Data'!$A$1:$O$1001,MATCH('Index&amp;Match'!$A847,'Main Data'!$A$1:$A$1001,0),MATCH('Index&amp;Match'!G846,'Main Data'!$A846:$O846,0))</f>
        <v>Social Media</v>
      </c>
      <c r="H847" s="2" t="str">
        <f>INDEX('Main Data'!$A$1:$O$1001,MATCH('Index&amp;Match'!$A847,'Main Data'!$A$1:$A$1001,0),MATCH('Index&amp;Match'!H846,'Main Data'!$A846:$O846,0))</f>
        <v>Retail</v>
      </c>
      <c r="I847" s="2">
        <f>INDEX('Main Data'!$A$1:$O$1001,MATCH('Index&amp;Match'!$A847,'Main Data'!$A$1:$A$1001,0),MATCH('Index&amp;Match'!I846,'Main Data'!$A846:$O846,0))</f>
        <v>35</v>
      </c>
      <c r="J847" s="2">
        <f>INDEX('Main Data'!$A$1:$O$1001,MATCH('Index&amp;Match'!$A847,'Main Data'!$A$1:$A$1001,0),MATCH('Index&amp;Match'!J846,'Main Data'!$A846:$O846,0))</f>
        <v>35</v>
      </c>
      <c r="K847" s="11">
        <f>INDEX('Main Data'!$A$1:$O$1001,MATCH('Index&amp;Match'!$A847,'Main Data'!$A$1:$A$1001,0),MATCH('Index&amp;Match'!K846,'Main Data'!$A846:$O846,0))</f>
        <v>45555.72</v>
      </c>
      <c r="L847" s="11">
        <f>INDEX('Main Data'!$A$1:$O$1001,MATCH('Index&amp;Match'!$A847,'Main Data'!$A$1:$A$1001,0),MATCH('Index&amp;Match'!L846,'Main Data'!$A846:$O846,0))</f>
        <v>313.52</v>
      </c>
      <c r="M847" s="11">
        <f>INDEX('Main Data'!$A$1:$O$1001,MATCH('Index&amp;Match'!$A847,'Main Data'!$A$1:$A$1001,0),MATCH('Index&amp;Match'!M846,'Main Data'!$A846:$O846,0))</f>
        <v>82.23</v>
      </c>
      <c r="N847" s="2" t="str">
        <f>INDEX('Main Data'!$A$1:$O$1001,MATCH('Index&amp;Match'!$A847,'Main Data'!$A$1:$A$1001,0),MATCH('Index&amp;Match'!N846,'Main Data'!$A846:$O846,0))</f>
        <v>Yes</v>
      </c>
      <c r="O847" s="2">
        <f>INDEX('Main Data'!$A$1:$O$1001,MATCH('Index&amp;Match'!$A847,'Main Data'!$A$1:$A$1001,0),MATCH('Index&amp;Match'!O846,'Main Data'!$A846:$O846,0))</f>
        <v>35</v>
      </c>
    </row>
    <row r="848" spans="1:15" x14ac:dyDescent="0.3">
      <c r="A848" s="2" t="s">
        <v>905</v>
      </c>
      <c r="B848" s="1">
        <f>INDEX('Main Data'!$A$1:$O$1001,MATCH('Index&amp;Match'!$A848,'Main Data'!$A$1:$A$1001,0),MATCH('Index&amp;Match'!B847,'Main Data'!$A847:$O847,0))</f>
        <v>45888</v>
      </c>
      <c r="C848" s="2" t="str">
        <f>INDEX('Main Data'!$A$1:$O$1001,MATCH('Index&amp;Match'!$A848,'Main Data'!$A$1:$A$1001,0),MATCH('Index&amp;Match'!C847,'Main Data'!$A847:$O847,0))</f>
        <v>Jordan</v>
      </c>
      <c r="D848" s="2" t="str">
        <f>INDEX('Main Data'!$A$1:$O$1001,MATCH('Index&amp;Match'!$A848,'Main Data'!$A$1:$A$1001,0),MATCH('Index&amp;Match'!D847,'Main Data'!$A847:$O847,0))</f>
        <v>BR-005</v>
      </c>
      <c r="E848" s="2" t="str">
        <f>INDEX('Main Data'!$A$1:$O$1001,MATCH('Index&amp;Match'!$A848,'Main Data'!$A$1:$A$1001,0),MATCH('Index&amp;Match'!E847,'Main Data'!$A847:$O847,0))</f>
        <v>South</v>
      </c>
      <c r="F848" s="2" t="str">
        <f>INDEX('Main Data'!$A$1:$O$1001,MATCH('Index&amp;Match'!$A848,'Main Data'!$A$1:$A$1001,0),MATCH('Index&amp;Match'!F847,'Main Data'!$A847:$O847,0))</f>
        <v>Wealth Management</v>
      </c>
      <c r="G848" s="2" t="str">
        <f>INDEX('Main Data'!$A$1:$O$1001,MATCH('Index&amp;Match'!$A848,'Main Data'!$A$1:$A$1001,0),MATCH('Index&amp;Match'!G847,'Main Data'!$A847:$O847,0))</f>
        <v>Website</v>
      </c>
      <c r="H848" s="2" t="str">
        <f>INDEX('Main Data'!$A$1:$O$1001,MATCH('Index&amp;Match'!$A848,'Main Data'!$A$1:$A$1001,0),MATCH('Index&amp;Match'!H847,'Main Data'!$A847:$O847,0))</f>
        <v>SME</v>
      </c>
      <c r="I848" s="2">
        <f>INDEX('Main Data'!$A$1:$O$1001,MATCH('Index&amp;Match'!$A848,'Main Data'!$A$1:$A$1001,0),MATCH('Index&amp;Match'!I847,'Main Data'!$A847:$O847,0))</f>
        <v>55</v>
      </c>
      <c r="J848" s="2">
        <f>INDEX('Main Data'!$A$1:$O$1001,MATCH('Index&amp;Match'!$A848,'Main Data'!$A$1:$A$1001,0),MATCH('Index&amp;Match'!J847,'Main Data'!$A847:$O847,0))</f>
        <v>55</v>
      </c>
      <c r="K848" s="11">
        <f>INDEX('Main Data'!$A$1:$O$1001,MATCH('Index&amp;Match'!$A848,'Main Data'!$A$1:$A$1001,0),MATCH('Index&amp;Match'!K847,'Main Data'!$A847:$O847,0))</f>
        <v>8143.58</v>
      </c>
      <c r="L848" s="11">
        <f>INDEX('Main Data'!$A$1:$O$1001,MATCH('Index&amp;Match'!$A848,'Main Data'!$A$1:$A$1001,0),MATCH('Index&amp;Match'!L847,'Main Data'!$A847:$O847,0))</f>
        <v>316.11</v>
      </c>
      <c r="M848" s="11">
        <f>INDEX('Main Data'!$A$1:$O$1001,MATCH('Index&amp;Match'!$A848,'Main Data'!$A$1:$A$1001,0),MATCH('Index&amp;Match'!M847,'Main Data'!$A847:$O847,0))</f>
        <v>47.31</v>
      </c>
      <c r="N848" s="2" t="str">
        <f>INDEX('Main Data'!$A$1:$O$1001,MATCH('Index&amp;Match'!$A848,'Main Data'!$A$1:$A$1001,0),MATCH('Index&amp;Match'!N847,'Main Data'!$A847:$O847,0))</f>
        <v>Yes</v>
      </c>
      <c r="O848" s="2">
        <f>INDEX('Main Data'!$A$1:$O$1001,MATCH('Index&amp;Match'!$A848,'Main Data'!$A$1:$A$1001,0),MATCH('Index&amp;Match'!O847,'Main Data'!$A847:$O847,0))</f>
        <v>55</v>
      </c>
    </row>
    <row r="849" spans="1:15" x14ac:dyDescent="0.3">
      <c r="A849" s="2" t="s">
        <v>906</v>
      </c>
      <c r="B849" s="1">
        <f>INDEX('Main Data'!$A$1:$O$1001,MATCH('Index&amp;Match'!$A849,'Main Data'!$A$1:$A$1001,0),MATCH('Index&amp;Match'!B848,'Main Data'!$A848:$O848,0))</f>
        <v>46043</v>
      </c>
      <c r="C849" s="2" t="str">
        <f>INDEX('Main Data'!$A$1:$O$1001,MATCH('Index&amp;Match'!$A849,'Main Data'!$A$1:$A$1001,0),MATCH('Index&amp;Match'!C848,'Main Data'!$A848:$O848,0))</f>
        <v>Jordan</v>
      </c>
      <c r="D849" s="2" t="str">
        <f>INDEX('Main Data'!$A$1:$O$1001,MATCH('Index&amp;Match'!$A849,'Main Data'!$A$1:$A$1001,0),MATCH('Index&amp;Match'!D848,'Main Data'!$A848:$O848,0))</f>
        <v>BR-009</v>
      </c>
      <c r="E849" s="2" t="str">
        <f>INDEX('Main Data'!$A$1:$O$1001,MATCH('Index&amp;Match'!$A849,'Main Data'!$A$1:$A$1001,0),MATCH('Index&amp;Match'!E848,'Main Data'!$A848:$O848,0))</f>
        <v>North</v>
      </c>
      <c r="F849" s="2" t="str">
        <f>INDEX('Main Data'!$A$1:$O$1001,MATCH('Index&amp;Match'!$A849,'Main Data'!$A$1:$A$1001,0),MATCH('Index&amp;Match'!F848,'Main Data'!$A848:$O848,0))</f>
        <v>Auto Loan</v>
      </c>
      <c r="G849" s="2" t="str">
        <f>INDEX('Main Data'!$A$1:$O$1001,MATCH('Index&amp;Match'!$A849,'Main Data'!$A$1:$A$1001,0),MATCH('Index&amp;Match'!G848,'Main Data'!$A848:$O848,0))</f>
        <v>Walk-in</v>
      </c>
      <c r="H849" s="2" t="str">
        <f>INDEX('Main Data'!$A$1:$O$1001,MATCH('Index&amp;Match'!$A849,'Main Data'!$A$1:$A$1001,0),MATCH('Index&amp;Match'!H848,'Main Data'!$A848:$O848,0))</f>
        <v>High Net Worth</v>
      </c>
      <c r="I849" s="2">
        <f>INDEX('Main Data'!$A$1:$O$1001,MATCH('Index&amp;Match'!$A849,'Main Data'!$A$1:$A$1001,0),MATCH('Index&amp;Match'!I848,'Main Data'!$A848:$O848,0))</f>
        <v>26</v>
      </c>
      <c r="J849" s="2">
        <f>INDEX('Main Data'!$A$1:$O$1001,MATCH('Index&amp;Match'!$A849,'Main Data'!$A$1:$A$1001,0),MATCH('Index&amp;Match'!J848,'Main Data'!$A848:$O848,0))</f>
        <v>26</v>
      </c>
      <c r="K849" s="11">
        <f>INDEX('Main Data'!$A$1:$O$1001,MATCH('Index&amp;Match'!$A849,'Main Data'!$A$1:$A$1001,0),MATCH('Index&amp;Match'!K848,'Main Data'!$A848:$O848,0))</f>
        <v>31525.14</v>
      </c>
      <c r="L849" s="11">
        <f>INDEX('Main Data'!$A$1:$O$1001,MATCH('Index&amp;Match'!$A849,'Main Data'!$A$1:$A$1001,0),MATCH('Index&amp;Match'!L848,'Main Data'!$A848:$O848,0))</f>
        <v>373.64</v>
      </c>
      <c r="M849" s="11">
        <f>INDEX('Main Data'!$A$1:$O$1001,MATCH('Index&amp;Match'!$A849,'Main Data'!$A$1:$A$1001,0),MATCH('Index&amp;Match'!M848,'Main Data'!$A848:$O848,0))</f>
        <v>219</v>
      </c>
      <c r="N849" s="2" t="str">
        <f>INDEX('Main Data'!$A$1:$O$1001,MATCH('Index&amp;Match'!$A849,'Main Data'!$A$1:$A$1001,0),MATCH('Index&amp;Match'!N848,'Main Data'!$A848:$O848,0))</f>
        <v>Yes</v>
      </c>
      <c r="O849" s="2">
        <f>INDEX('Main Data'!$A$1:$O$1001,MATCH('Index&amp;Match'!$A849,'Main Data'!$A$1:$A$1001,0),MATCH('Index&amp;Match'!O848,'Main Data'!$A848:$O848,0))</f>
        <v>26</v>
      </c>
    </row>
    <row r="850" spans="1:15" x14ac:dyDescent="0.3">
      <c r="A850" s="2" t="s">
        <v>907</v>
      </c>
      <c r="B850" s="1">
        <f>INDEX('Main Data'!$A$1:$O$1001,MATCH('Index&amp;Match'!$A850,'Main Data'!$A$1:$A$1001,0),MATCH('Index&amp;Match'!B849,'Main Data'!$A849:$O849,0))</f>
        <v>46221</v>
      </c>
      <c r="C850" s="2" t="str">
        <f>INDEX('Main Data'!$A$1:$O$1001,MATCH('Index&amp;Match'!$A850,'Main Data'!$A$1:$A$1001,0),MATCH('Index&amp;Match'!C849,'Main Data'!$A849:$O849,0))</f>
        <v>Jamie</v>
      </c>
      <c r="D850" s="2" t="str">
        <f>INDEX('Main Data'!$A$1:$O$1001,MATCH('Index&amp;Match'!$A850,'Main Data'!$A$1:$A$1001,0),MATCH('Index&amp;Match'!D849,'Main Data'!$A849:$O849,0))</f>
        <v>BR-006</v>
      </c>
      <c r="E850" s="2" t="str">
        <f>INDEX('Main Data'!$A$1:$O$1001,MATCH('Index&amp;Match'!$A850,'Main Data'!$A$1:$A$1001,0),MATCH('Index&amp;Match'!E849,'Main Data'!$A849:$O849,0))</f>
        <v>Central</v>
      </c>
      <c r="F850" s="2" t="str">
        <f>INDEX('Main Data'!$A$1:$O$1001,MATCH('Index&amp;Match'!$A850,'Main Data'!$A$1:$A$1001,0),MATCH('Index&amp;Match'!F849,'Main Data'!$A849:$O849,0))</f>
        <v>Mortgage</v>
      </c>
      <c r="G850" s="2" t="str">
        <f>INDEX('Main Data'!$A$1:$O$1001,MATCH('Index&amp;Match'!$A850,'Main Data'!$A$1:$A$1001,0),MATCH('Index&amp;Match'!G849,'Main Data'!$A849:$O849,0))</f>
        <v>Social Media</v>
      </c>
      <c r="H850" s="2" t="str">
        <f>INDEX('Main Data'!$A$1:$O$1001,MATCH('Index&amp;Match'!$A850,'Main Data'!$A$1:$A$1001,0),MATCH('Index&amp;Match'!H849,'Main Data'!$A849:$O849,0))</f>
        <v>SME</v>
      </c>
      <c r="I850" s="2">
        <f>INDEX('Main Data'!$A$1:$O$1001,MATCH('Index&amp;Match'!$A850,'Main Data'!$A$1:$A$1001,0),MATCH('Index&amp;Match'!I849,'Main Data'!$A849:$O849,0))</f>
        <v>32</v>
      </c>
      <c r="J850" s="2">
        <f>INDEX('Main Data'!$A$1:$O$1001,MATCH('Index&amp;Match'!$A850,'Main Data'!$A$1:$A$1001,0),MATCH('Index&amp;Match'!J849,'Main Data'!$A849:$O849,0))</f>
        <v>32</v>
      </c>
      <c r="K850" s="11">
        <f>INDEX('Main Data'!$A$1:$O$1001,MATCH('Index&amp;Match'!$A850,'Main Data'!$A$1:$A$1001,0),MATCH('Index&amp;Match'!K849,'Main Data'!$A849:$O849,0))</f>
        <v>1925.66</v>
      </c>
      <c r="L850" s="11">
        <f>INDEX('Main Data'!$A$1:$O$1001,MATCH('Index&amp;Match'!$A850,'Main Data'!$A$1:$A$1001,0),MATCH('Index&amp;Match'!L849,'Main Data'!$A849:$O849,0))</f>
        <v>385.36</v>
      </c>
      <c r="M850" s="11">
        <f>INDEX('Main Data'!$A$1:$O$1001,MATCH('Index&amp;Match'!$A850,'Main Data'!$A$1:$A$1001,0),MATCH('Index&amp;Match'!M849,'Main Data'!$A849:$O849,0))</f>
        <v>26.35</v>
      </c>
      <c r="N850" s="2" t="str">
        <f>INDEX('Main Data'!$A$1:$O$1001,MATCH('Index&amp;Match'!$A850,'Main Data'!$A$1:$A$1001,0),MATCH('Index&amp;Match'!N849,'Main Data'!$A849:$O849,0))</f>
        <v>Yes</v>
      </c>
      <c r="O850" s="2">
        <f>INDEX('Main Data'!$A$1:$O$1001,MATCH('Index&amp;Match'!$A850,'Main Data'!$A$1:$A$1001,0),MATCH('Index&amp;Match'!O849,'Main Data'!$A849:$O849,0))</f>
        <v>32</v>
      </c>
    </row>
    <row r="851" spans="1:15" x14ac:dyDescent="0.3">
      <c r="A851" s="2" t="s">
        <v>908</v>
      </c>
      <c r="B851" s="1">
        <f>INDEX('Main Data'!$A$1:$O$1001,MATCH('Index&amp;Match'!$A851,'Main Data'!$A$1:$A$1001,0),MATCH('Index&amp;Match'!B850,'Main Data'!$A850:$O850,0))</f>
        <v>45963</v>
      </c>
      <c r="C851" s="2" t="str">
        <f>INDEX('Main Data'!$A$1:$O$1001,MATCH('Index&amp;Match'!$A851,'Main Data'!$A$1:$A$1001,0),MATCH('Index&amp;Match'!C850,'Main Data'!$A850:$O850,0))</f>
        <v>Sam</v>
      </c>
      <c r="D851" s="2" t="str">
        <f>INDEX('Main Data'!$A$1:$O$1001,MATCH('Index&amp;Match'!$A851,'Main Data'!$A$1:$A$1001,0),MATCH('Index&amp;Match'!D850,'Main Data'!$A850:$O850,0))</f>
        <v>BR-010</v>
      </c>
      <c r="E851" s="2" t="str">
        <f>INDEX('Main Data'!$A$1:$O$1001,MATCH('Index&amp;Match'!$A851,'Main Data'!$A$1:$A$1001,0),MATCH('Index&amp;Match'!E850,'Main Data'!$A850:$O850,0))</f>
        <v>North</v>
      </c>
      <c r="F851" s="2" t="str">
        <f>INDEX('Main Data'!$A$1:$O$1001,MATCH('Index&amp;Match'!$A851,'Main Data'!$A$1:$A$1001,0),MATCH('Index&amp;Match'!F850,'Main Data'!$A850:$O850,0))</f>
        <v>Mortgage</v>
      </c>
      <c r="G851" s="2" t="str">
        <f>INDEX('Main Data'!$A$1:$O$1001,MATCH('Index&amp;Match'!$A851,'Main Data'!$A$1:$A$1001,0),MATCH('Index&amp;Match'!G850,'Main Data'!$A850:$O850,0))</f>
        <v>Social Media</v>
      </c>
      <c r="H851" s="2" t="str">
        <f>INDEX('Main Data'!$A$1:$O$1001,MATCH('Index&amp;Match'!$A851,'Main Data'!$A$1:$A$1001,0),MATCH('Index&amp;Match'!H850,'Main Data'!$A850:$O850,0))</f>
        <v>SME</v>
      </c>
      <c r="I851" s="2">
        <f>INDEX('Main Data'!$A$1:$O$1001,MATCH('Index&amp;Match'!$A851,'Main Data'!$A$1:$A$1001,0),MATCH('Index&amp;Match'!I850,'Main Data'!$A850:$O850,0))</f>
        <v>67</v>
      </c>
      <c r="J851" s="2">
        <f>INDEX('Main Data'!$A$1:$O$1001,MATCH('Index&amp;Match'!$A851,'Main Data'!$A$1:$A$1001,0),MATCH('Index&amp;Match'!J850,'Main Data'!$A850:$O850,0))</f>
        <v>67</v>
      </c>
      <c r="K851" s="11">
        <f>INDEX('Main Data'!$A$1:$O$1001,MATCH('Index&amp;Match'!$A851,'Main Data'!$A$1:$A$1001,0),MATCH('Index&amp;Match'!K850,'Main Data'!$A850:$O850,0))</f>
        <v>32364.13</v>
      </c>
      <c r="L851" s="11">
        <f>INDEX('Main Data'!$A$1:$O$1001,MATCH('Index&amp;Match'!$A851,'Main Data'!$A$1:$A$1001,0),MATCH('Index&amp;Match'!L850,'Main Data'!$A850:$O850,0))</f>
        <v>281.5</v>
      </c>
      <c r="M851" s="11">
        <f>INDEX('Main Data'!$A$1:$O$1001,MATCH('Index&amp;Match'!$A851,'Main Data'!$A$1:$A$1001,0),MATCH('Index&amp;Match'!M850,'Main Data'!$A850:$O850,0))</f>
        <v>136.05000000000001</v>
      </c>
      <c r="N851" s="2" t="str">
        <f>INDEX('Main Data'!$A$1:$O$1001,MATCH('Index&amp;Match'!$A851,'Main Data'!$A$1:$A$1001,0),MATCH('Index&amp;Match'!N850,'Main Data'!$A850:$O850,0))</f>
        <v>Yes</v>
      </c>
      <c r="O851" s="2">
        <f>INDEX('Main Data'!$A$1:$O$1001,MATCH('Index&amp;Match'!$A851,'Main Data'!$A$1:$A$1001,0),MATCH('Index&amp;Match'!O850,'Main Data'!$A850:$O850,0))</f>
        <v>67</v>
      </c>
    </row>
    <row r="852" spans="1:15" x14ac:dyDescent="0.3">
      <c r="A852" s="2" t="s">
        <v>909</v>
      </c>
      <c r="B852" s="1">
        <f>INDEX('Main Data'!$A$1:$O$1001,MATCH('Index&amp;Match'!$A852,'Main Data'!$A$1:$A$1001,0),MATCH('Index&amp;Match'!B851,'Main Data'!$A851:$O851,0))</f>
        <v>46100</v>
      </c>
      <c r="C852" s="2" t="str">
        <f>INDEX('Main Data'!$A$1:$O$1001,MATCH('Index&amp;Match'!$A852,'Main Data'!$A$1:$A$1001,0),MATCH('Index&amp;Match'!C851,'Main Data'!$A851:$O851,0))</f>
        <v>Jamie</v>
      </c>
      <c r="D852" s="2" t="str">
        <f>INDEX('Main Data'!$A$1:$O$1001,MATCH('Index&amp;Match'!$A852,'Main Data'!$A$1:$A$1001,0),MATCH('Index&amp;Match'!D851,'Main Data'!$A851:$O851,0))</f>
        <v>BR-012</v>
      </c>
      <c r="E852" s="2" t="str">
        <f>INDEX('Main Data'!$A$1:$O$1001,MATCH('Index&amp;Match'!$A852,'Main Data'!$A$1:$A$1001,0),MATCH('Index&amp;Match'!E851,'Main Data'!$A851:$O851,0))</f>
        <v>West</v>
      </c>
      <c r="F852" s="2" t="str">
        <f>INDEX('Main Data'!$A$1:$O$1001,MATCH('Index&amp;Match'!$A852,'Main Data'!$A$1:$A$1001,0),MATCH('Index&amp;Match'!F851,'Main Data'!$A851:$O851,0))</f>
        <v>Wealth Management</v>
      </c>
      <c r="G852" s="2" t="str">
        <f>INDEX('Main Data'!$A$1:$O$1001,MATCH('Index&amp;Match'!$A852,'Main Data'!$A$1:$A$1001,0),MATCH('Index&amp;Match'!G851,'Main Data'!$A851:$O851,0))</f>
        <v>Website</v>
      </c>
      <c r="H852" s="2" t="str">
        <f>INDEX('Main Data'!$A$1:$O$1001,MATCH('Index&amp;Match'!$A852,'Main Data'!$A$1:$A$1001,0),MATCH('Index&amp;Match'!H851,'Main Data'!$A851:$O851,0))</f>
        <v>Retail</v>
      </c>
      <c r="I852" s="2">
        <f>INDEX('Main Data'!$A$1:$O$1001,MATCH('Index&amp;Match'!$A852,'Main Data'!$A$1:$A$1001,0),MATCH('Index&amp;Match'!I851,'Main Data'!$A851:$O851,0))</f>
        <v>58</v>
      </c>
      <c r="J852" s="2">
        <f>INDEX('Main Data'!$A$1:$O$1001,MATCH('Index&amp;Match'!$A852,'Main Data'!$A$1:$A$1001,0),MATCH('Index&amp;Match'!J851,'Main Data'!$A851:$O851,0))</f>
        <v>58</v>
      </c>
      <c r="K852" s="11">
        <f>INDEX('Main Data'!$A$1:$O$1001,MATCH('Index&amp;Match'!$A852,'Main Data'!$A$1:$A$1001,0),MATCH('Index&amp;Match'!K851,'Main Data'!$A851:$O851,0))</f>
        <v>14218.65</v>
      </c>
      <c r="L852" s="11">
        <f>INDEX('Main Data'!$A$1:$O$1001,MATCH('Index&amp;Match'!$A852,'Main Data'!$A$1:$A$1001,0),MATCH('Index&amp;Match'!L851,'Main Data'!$A851:$O851,0))</f>
        <v>198.95</v>
      </c>
      <c r="M852" s="11">
        <f>INDEX('Main Data'!$A$1:$O$1001,MATCH('Index&amp;Match'!$A852,'Main Data'!$A$1:$A$1001,0),MATCH('Index&amp;Match'!M851,'Main Data'!$A851:$O851,0))</f>
        <v>168.49</v>
      </c>
      <c r="N852" s="2" t="str">
        <f>INDEX('Main Data'!$A$1:$O$1001,MATCH('Index&amp;Match'!$A852,'Main Data'!$A$1:$A$1001,0),MATCH('Index&amp;Match'!N851,'Main Data'!$A851:$O851,0))</f>
        <v>Yes</v>
      </c>
      <c r="O852" s="2">
        <f>INDEX('Main Data'!$A$1:$O$1001,MATCH('Index&amp;Match'!$A852,'Main Data'!$A$1:$A$1001,0),MATCH('Index&amp;Match'!O851,'Main Data'!$A851:$O851,0))</f>
        <v>58</v>
      </c>
    </row>
    <row r="853" spans="1:15" x14ac:dyDescent="0.3">
      <c r="A853" s="2" t="s">
        <v>910</v>
      </c>
      <c r="B853" s="1">
        <f>INDEX('Main Data'!$A$1:$O$1001,MATCH('Index&amp;Match'!$A853,'Main Data'!$A$1:$A$1001,0),MATCH('Index&amp;Match'!B852,'Main Data'!$A852:$O852,0))</f>
        <v>46087</v>
      </c>
      <c r="C853" s="2" t="str">
        <f>INDEX('Main Data'!$A$1:$O$1001,MATCH('Index&amp;Match'!$A853,'Main Data'!$A$1:$A$1001,0),MATCH('Index&amp;Match'!C852,'Main Data'!$A852:$O852,0))</f>
        <v>Jordan</v>
      </c>
      <c r="D853" s="2" t="str">
        <f>INDEX('Main Data'!$A$1:$O$1001,MATCH('Index&amp;Match'!$A853,'Main Data'!$A$1:$A$1001,0),MATCH('Index&amp;Match'!D852,'Main Data'!$A852:$O852,0))</f>
        <v>BR-007</v>
      </c>
      <c r="E853" s="2" t="str">
        <f>INDEX('Main Data'!$A$1:$O$1001,MATCH('Index&amp;Match'!$A853,'Main Data'!$A$1:$A$1001,0),MATCH('Index&amp;Match'!E852,'Main Data'!$A852:$O852,0))</f>
        <v>North</v>
      </c>
      <c r="F853" s="2" t="str">
        <f>INDEX('Main Data'!$A$1:$O$1001,MATCH('Index&amp;Match'!$A853,'Main Data'!$A$1:$A$1001,0),MATCH('Index&amp;Match'!F852,'Main Data'!$A852:$O852,0))</f>
        <v>Personal Loan</v>
      </c>
      <c r="G853" s="2" t="str">
        <f>INDEX('Main Data'!$A$1:$O$1001,MATCH('Index&amp;Match'!$A853,'Main Data'!$A$1:$A$1001,0),MATCH('Index&amp;Match'!G852,'Main Data'!$A852:$O852,0))</f>
        <v>Walk-in</v>
      </c>
      <c r="H853" s="2" t="str">
        <f>INDEX('Main Data'!$A$1:$O$1001,MATCH('Index&amp;Match'!$A853,'Main Data'!$A$1:$A$1001,0),MATCH('Index&amp;Match'!H852,'Main Data'!$A852:$O852,0))</f>
        <v>Corporate</v>
      </c>
      <c r="I853" s="2">
        <f>INDEX('Main Data'!$A$1:$O$1001,MATCH('Index&amp;Match'!$A853,'Main Data'!$A$1:$A$1001,0),MATCH('Index&amp;Match'!I852,'Main Data'!$A852:$O852,0))</f>
        <v>33</v>
      </c>
      <c r="J853" s="2">
        <f>INDEX('Main Data'!$A$1:$O$1001,MATCH('Index&amp;Match'!$A853,'Main Data'!$A$1:$A$1001,0),MATCH('Index&amp;Match'!J852,'Main Data'!$A852:$O852,0))</f>
        <v>33</v>
      </c>
      <c r="K853" s="11">
        <f>INDEX('Main Data'!$A$1:$O$1001,MATCH('Index&amp;Match'!$A853,'Main Data'!$A$1:$A$1001,0),MATCH('Index&amp;Match'!K852,'Main Data'!$A852:$O852,0))</f>
        <v>22759.01</v>
      </c>
      <c r="L853" s="11">
        <f>INDEX('Main Data'!$A$1:$O$1001,MATCH('Index&amp;Match'!$A853,'Main Data'!$A$1:$A$1001,0),MATCH('Index&amp;Match'!L852,'Main Data'!$A852:$O852,0))</f>
        <v>426.85</v>
      </c>
      <c r="M853" s="11">
        <f>INDEX('Main Data'!$A$1:$O$1001,MATCH('Index&amp;Match'!$A853,'Main Data'!$A$1:$A$1001,0),MATCH('Index&amp;Match'!M852,'Main Data'!$A852:$O852,0))</f>
        <v>45.69</v>
      </c>
      <c r="N853" s="2" t="str">
        <f>INDEX('Main Data'!$A$1:$O$1001,MATCH('Index&amp;Match'!$A853,'Main Data'!$A$1:$A$1001,0),MATCH('Index&amp;Match'!N852,'Main Data'!$A852:$O852,0))</f>
        <v>Yes</v>
      </c>
      <c r="O853" s="2">
        <f>INDEX('Main Data'!$A$1:$O$1001,MATCH('Index&amp;Match'!$A853,'Main Data'!$A$1:$A$1001,0),MATCH('Index&amp;Match'!O852,'Main Data'!$A852:$O852,0))</f>
        <v>33</v>
      </c>
    </row>
    <row r="854" spans="1:15" x14ac:dyDescent="0.3">
      <c r="A854" s="2" t="s">
        <v>911</v>
      </c>
      <c r="B854" s="1">
        <f>INDEX('Main Data'!$A$1:$O$1001,MATCH('Index&amp;Match'!$A854,'Main Data'!$A$1:$A$1001,0),MATCH('Index&amp;Match'!B853,'Main Data'!$A853:$O853,0))</f>
        <v>45982</v>
      </c>
      <c r="C854" s="2" t="str">
        <f>INDEX('Main Data'!$A$1:$O$1001,MATCH('Index&amp;Match'!$A854,'Main Data'!$A$1:$A$1001,0),MATCH('Index&amp;Match'!C853,'Main Data'!$A853:$O853,0))</f>
        <v>Casey</v>
      </c>
      <c r="D854" s="2" t="str">
        <f>INDEX('Main Data'!$A$1:$O$1001,MATCH('Index&amp;Match'!$A854,'Main Data'!$A$1:$A$1001,0),MATCH('Index&amp;Match'!D853,'Main Data'!$A853:$O853,0))</f>
        <v>BR-005</v>
      </c>
      <c r="E854" s="2" t="str">
        <f>INDEX('Main Data'!$A$1:$O$1001,MATCH('Index&amp;Match'!$A854,'Main Data'!$A$1:$A$1001,0),MATCH('Index&amp;Match'!E853,'Main Data'!$A853:$O853,0))</f>
        <v>Central</v>
      </c>
      <c r="F854" s="2" t="str">
        <f>INDEX('Main Data'!$A$1:$O$1001,MATCH('Index&amp;Match'!$A854,'Main Data'!$A$1:$A$1001,0),MATCH('Index&amp;Match'!F853,'Main Data'!$A853:$O853,0))</f>
        <v>Mortgage</v>
      </c>
      <c r="G854" s="2" t="str">
        <f>INDEX('Main Data'!$A$1:$O$1001,MATCH('Index&amp;Match'!$A854,'Main Data'!$A$1:$A$1001,0),MATCH('Index&amp;Match'!G853,'Main Data'!$A853:$O853,0))</f>
        <v>Referral</v>
      </c>
      <c r="H854" s="2" t="str">
        <f>INDEX('Main Data'!$A$1:$O$1001,MATCH('Index&amp;Match'!$A854,'Main Data'!$A$1:$A$1001,0),MATCH('Index&amp;Match'!H853,'Main Data'!$A853:$O853,0))</f>
        <v>Corporate</v>
      </c>
      <c r="I854" s="2">
        <f>INDEX('Main Data'!$A$1:$O$1001,MATCH('Index&amp;Match'!$A854,'Main Data'!$A$1:$A$1001,0),MATCH('Index&amp;Match'!I853,'Main Data'!$A853:$O853,0))</f>
        <v>49</v>
      </c>
      <c r="J854" s="2">
        <f>INDEX('Main Data'!$A$1:$O$1001,MATCH('Index&amp;Match'!$A854,'Main Data'!$A$1:$A$1001,0),MATCH('Index&amp;Match'!J853,'Main Data'!$A853:$O853,0))</f>
        <v>49</v>
      </c>
      <c r="K854" s="11">
        <f>INDEX('Main Data'!$A$1:$O$1001,MATCH('Index&amp;Match'!$A854,'Main Data'!$A$1:$A$1001,0),MATCH('Index&amp;Match'!K853,'Main Data'!$A853:$O853,0))</f>
        <v>17590.599999999999</v>
      </c>
      <c r="L854" s="11">
        <f>INDEX('Main Data'!$A$1:$O$1001,MATCH('Index&amp;Match'!$A854,'Main Data'!$A$1:$A$1001,0),MATCH('Index&amp;Match'!L853,'Main Data'!$A853:$O853,0))</f>
        <v>189.44</v>
      </c>
      <c r="M854" s="11">
        <f>INDEX('Main Data'!$A$1:$O$1001,MATCH('Index&amp;Match'!$A854,'Main Data'!$A$1:$A$1001,0),MATCH('Index&amp;Match'!M853,'Main Data'!$A853:$O853,0))</f>
        <v>173.29</v>
      </c>
      <c r="N854" s="2" t="str">
        <f>INDEX('Main Data'!$A$1:$O$1001,MATCH('Index&amp;Match'!$A854,'Main Data'!$A$1:$A$1001,0),MATCH('Index&amp;Match'!N853,'Main Data'!$A853:$O853,0))</f>
        <v>Yes</v>
      </c>
      <c r="O854" s="2">
        <f>INDEX('Main Data'!$A$1:$O$1001,MATCH('Index&amp;Match'!$A854,'Main Data'!$A$1:$A$1001,0),MATCH('Index&amp;Match'!O853,'Main Data'!$A853:$O853,0))</f>
        <v>49</v>
      </c>
    </row>
    <row r="855" spans="1:15" x14ac:dyDescent="0.3">
      <c r="A855" s="2" t="s">
        <v>912</v>
      </c>
      <c r="B855" s="1">
        <f>INDEX('Main Data'!$A$1:$O$1001,MATCH('Index&amp;Match'!$A855,'Main Data'!$A$1:$A$1001,0),MATCH('Index&amp;Match'!B854,'Main Data'!$A854:$O854,0))</f>
        <v>46178</v>
      </c>
      <c r="C855" s="2" t="str">
        <f>INDEX('Main Data'!$A$1:$O$1001,MATCH('Index&amp;Match'!$A855,'Main Data'!$A$1:$A$1001,0),MATCH('Index&amp;Match'!C854,'Main Data'!$A854:$O854,0))</f>
        <v>Taylor</v>
      </c>
      <c r="D855" s="2" t="str">
        <f>INDEX('Main Data'!$A$1:$O$1001,MATCH('Index&amp;Match'!$A855,'Main Data'!$A$1:$A$1001,0),MATCH('Index&amp;Match'!D854,'Main Data'!$A854:$O854,0))</f>
        <v>BR-010</v>
      </c>
      <c r="E855" s="2" t="str">
        <f>INDEX('Main Data'!$A$1:$O$1001,MATCH('Index&amp;Match'!$A855,'Main Data'!$A$1:$A$1001,0),MATCH('Index&amp;Match'!E854,'Main Data'!$A854:$O854,0))</f>
        <v>West</v>
      </c>
      <c r="F855" s="2" t="str">
        <f>INDEX('Main Data'!$A$1:$O$1001,MATCH('Index&amp;Match'!$A855,'Main Data'!$A$1:$A$1001,0),MATCH('Index&amp;Match'!F854,'Main Data'!$A854:$O854,0))</f>
        <v>Wealth Management</v>
      </c>
      <c r="G855" s="2" t="str">
        <f>INDEX('Main Data'!$A$1:$O$1001,MATCH('Index&amp;Match'!$A855,'Main Data'!$A$1:$A$1001,0),MATCH('Index&amp;Match'!G854,'Main Data'!$A854:$O854,0))</f>
        <v>Website</v>
      </c>
      <c r="H855" s="2" t="str">
        <f>INDEX('Main Data'!$A$1:$O$1001,MATCH('Index&amp;Match'!$A855,'Main Data'!$A$1:$A$1001,0),MATCH('Index&amp;Match'!H854,'Main Data'!$A854:$O854,0))</f>
        <v>SME</v>
      </c>
      <c r="I855" s="2">
        <f>INDEX('Main Data'!$A$1:$O$1001,MATCH('Index&amp;Match'!$A855,'Main Data'!$A$1:$A$1001,0),MATCH('Index&amp;Match'!I854,'Main Data'!$A854:$O854,0))</f>
        <v>39</v>
      </c>
      <c r="J855" s="2">
        <f>INDEX('Main Data'!$A$1:$O$1001,MATCH('Index&amp;Match'!$A855,'Main Data'!$A$1:$A$1001,0),MATCH('Index&amp;Match'!J854,'Main Data'!$A854:$O854,0))</f>
        <v>39</v>
      </c>
      <c r="K855" s="11">
        <f>INDEX('Main Data'!$A$1:$O$1001,MATCH('Index&amp;Match'!$A855,'Main Data'!$A$1:$A$1001,0),MATCH('Index&amp;Match'!K854,'Main Data'!$A854:$O854,0))</f>
        <v>9051.4599999999991</v>
      </c>
      <c r="L855" s="11">
        <f>INDEX('Main Data'!$A$1:$O$1001,MATCH('Index&amp;Match'!$A855,'Main Data'!$A$1:$A$1001,0),MATCH('Index&amp;Match'!L854,'Main Data'!$A854:$O854,0))</f>
        <v>278.38</v>
      </c>
      <c r="M855" s="11">
        <f>INDEX('Main Data'!$A$1:$O$1001,MATCH('Index&amp;Match'!$A855,'Main Data'!$A$1:$A$1001,0),MATCH('Index&amp;Match'!M854,'Main Data'!$A854:$O854,0))</f>
        <v>6.66</v>
      </c>
      <c r="N855" s="2" t="str">
        <f>INDEX('Main Data'!$A$1:$O$1001,MATCH('Index&amp;Match'!$A855,'Main Data'!$A$1:$A$1001,0),MATCH('Index&amp;Match'!N854,'Main Data'!$A854:$O854,0))</f>
        <v>No</v>
      </c>
      <c r="O855" s="2">
        <f>INDEX('Main Data'!$A$1:$O$1001,MATCH('Index&amp;Match'!$A855,'Main Data'!$A$1:$A$1001,0),MATCH('Index&amp;Match'!O854,'Main Data'!$A854:$O854,0))</f>
        <v>39</v>
      </c>
    </row>
    <row r="856" spans="1:15" x14ac:dyDescent="0.3">
      <c r="A856" s="2" t="s">
        <v>913</v>
      </c>
      <c r="B856" s="1">
        <f>INDEX('Main Data'!$A$1:$O$1001,MATCH('Index&amp;Match'!$A856,'Main Data'!$A$1:$A$1001,0),MATCH('Index&amp;Match'!B855,'Main Data'!$A855:$O855,0))</f>
        <v>46141</v>
      </c>
      <c r="C856" s="2" t="str">
        <f>INDEX('Main Data'!$A$1:$O$1001,MATCH('Index&amp;Match'!$A856,'Main Data'!$A$1:$A$1001,0),MATCH('Index&amp;Match'!C855,'Main Data'!$A855:$O855,0))</f>
        <v>Jamie</v>
      </c>
      <c r="D856" s="2" t="str">
        <f>INDEX('Main Data'!$A$1:$O$1001,MATCH('Index&amp;Match'!$A856,'Main Data'!$A$1:$A$1001,0),MATCH('Index&amp;Match'!D855,'Main Data'!$A855:$O855,0))</f>
        <v>BR-006</v>
      </c>
      <c r="E856" s="2" t="str">
        <f>INDEX('Main Data'!$A$1:$O$1001,MATCH('Index&amp;Match'!$A856,'Main Data'!$A$1:$A$1001,0),MATCH('Index&amp;Match'!E855,'Main Data'!$A855:$O855,0))</f>
        <v>East</v>
      </c>
      <c r="F856" s="2" t="str">
        <f>INDEX('Main Data'!$A$1:$O$1001,MATCH('Index&amp;Match'!$A856,'Main Data'!$A$1:$A$1001,0),MATCH('Index&amp;Match'!F855,'Main Data'!$A855:$O855,0))</f>
        <v>Auto Loan</v>
      </c>
      <c r="G856" s="2" t="str">
        <f>INDEX('Main Data'!$A$1:$O$1001,MATCH('Index&amp;Match'!$A856,'Main Data'!$A$1:$A$1001,0),MATCH('Index&amp;Match'!G855,'Main Data'!$A855:$O855,0))</f>
        <v>Walk-in</v>
      </c>
      <c r="H856" s="2" t="str">
        <f>INDEX('Main Data'!$A$1:$O$1001,MATCH('Index&amp;Match'!$A856,'Main Data'!$A$1:$A$1001,0),MATCH('Index&amp;Match'!H855,'Main Data'!$A855:$O855,0))</f>
        <v>Retail</v>
      </c>
      <c r="I856" s="2">
        <f>INDEX('Main Data'!$A$1:$O$1001,MATCH('Index&amp;Match'!$A856,'Main Data'!$A$1:$A$1001,0),MATCH('Index&amp;Match'!I855,'Main Data'!$A855:$O855,0))</f>
        <v>23</v>
      </c>
      <c r="J856" s="2">
        <f>INDEX('Main Data'!$A$1:$O$1001,MATCH('Index&amp;Match'!$A856,'Main Data'!$A$1:$A$1001,0),MATCH('Index&amp;Match'!J855,'Main Data'!$A855:$O855,0))</f>
        <v>23</v>
      </c>
      <c r="K856" s="11">
        <f>INDEX('Main Data'!$A$1:$O$1001,MATCH('Index&amp;Match'!$A856,'Main Data'!$A$1:$A$1001,0),MATCH('Index&amp;Match'!K855,'Main Data'!$A855:$O855,0))</f>
        <v>31288.05</v>
      </c>
      <c r="L856" s="11">
        <f>INDEX('Main Data'!$A$1:$O$1001,MATCH('Index&amp;Match'!$A856,'Main Data'!$A$1:$A$1001,0),MATCH('Index&amp;Match'!L855,'Main Data'!$A855:$O855,0))</f>
        <v>230.56</v>
      </c>
      <c r="M856" s="11">
        <f>INDEX('Main Data'!$A$1:$O$1001,MATCH('Index&amp;Match'!$A856,'Main Data'!$A$1:$A$1001,0),MATCH('Index&amp;Match'!M855,'Main Data'!$A855:$O855,0))</f>
        <v>182.56</v>
      </c>
      <c r="N856" s="2" t="str">
        <f>INDEX('Main Data'!$A$1:$O$1001,MATCH('Index&amp;Match'!$A856,'Main Data'!$A$1:$A$1001,0),MATCH('Index&amp;Match'!N855,'Main Data'!$A855:$O855,0))</f>
        <v>No</v>
      </c>
      <c r="O856" s="2">
        <f>INDEX('Main Data'!$A$1:$O$1001,MATCH('Index&amp;Match'!$A856,'Main Data'!$A$1:$A$1001,0),MATCH('Index&amp;Match'!O855,'Main Data'!$A855:$O855,0))</f>
        <v>23</v>
      </c>
    </row>
    <row r="857" spans="1:15" x14ac:dyDescent="0.3">
      <c r="A857" s="2" t="s">
        <v>914</v>
      </c>
      <c r="B857" s="1">
        <f>INDEX('Main Data'!$A$1:$O$1001,MATCH('Index&amp;Match'!$A857,'Main Data'!$A$1:$A$1001,0),MATCH('Index&amp;Match'!B856,'Main Data'!$A856:$O856,0))</f>
        <v>46209</v>
      </c>
      <c r="C857" s="2" t="str">
        <f>INDEX('Main Data'!$A$1:$O$1001,MATCH('Index&amp;Match'!$A857,'Main Data'!$A$1:$A$1001,0),MATCH('Index&amp;Match'!C856,'Main Data'!$A856:$O856,0))</f>
        <v>Casey</v>
      </c>
      <c r="D857" s="2" t="str">
        <f>INDEX('Main Data'!$A$1:$O$1001,MATCH('Index&amp;Match'!$A857,'Main Data'!$A$1:$A$1001,0),MATCH('Index&amp;Match'!D856,'Main Data'!$A856:$O856,0))</f>
        <v>BR-005</v>
      </c>
      <c r="E857" s="2" t="str">
        <f>INDEX('Main Data'!$A$1:$O$1001,MATCH('Index&amp;Match'!$A857,'Main Data'!$A$1:$A$1001,0),MATCH('Index&amp;Match'!E856,'Main Data'!$A856:$O856,0))</f>
        <v>East</v>
      </c>
      <c r="F857" s="2" t="str">
        <f>INDEX('Main Data'!$A$1:$O$1001,MATCH('Index&amp;Match'!$A857,'Main Data'!$A$1:$A$1001,0),MATCH('Index&amp;Match'!F856,'Main Data'!$A856:$O856,0))</f>
        <v>Wealth Management</v>
      </c>
      <c r="G857" s="2" t="str">
        <f>INDEX('Main Data'!$A$1:$O$1001,MATCH('Index&amp;Match'!$A857,'Main Data'!$A$1:$A$1001,0),MATCH('Index&amp;Match'!G856,'Main Data'!$A856:$O856,0))</f>
        <v>Social Media</v>
      </c>
      <c r="H857" s="2" t="str">
        <f>INDEX('Main Data'!$A$1:$O$1001,MATCH('Index&amp;Match'!$A857,'Main Data'!$A$1:$A$1001,0),MATCH('Index&amp;Match'!H856,'Main Data'!$A856:$O856,0))</f>
        <v>High Net Worth</v>
      </c>
      <c r="I857" s="2">
        <f>INDEX('Main Data'!$A$1:$O$1001,MATCH('Index&amp;Match'!$A857,'Main Data'!$A$1:$A$1001,0),MATCH('Index&amp;Match'!I856,'Main Data'!$A856:$O856,0))</f>
        <v>28</v>
      </c>
      <c r="J857" s="2">
        <f>INDEX('Main Data'!$A$1:$O$1001,MATCH('Index&amp;Match'!$A857,'Main Data'!$A$1:$A$1001,0),MATCH('Index&amp;Match'!J856,'Main Data'!$A856:$O856,0))</f>
        <v>28</v>
      </c>
      <c r="K857" s="11">
        <f>INDEX('Main Data'!$A$1:$O$1001,MATCH('Index&amp;Match'!$A857,'Main Data'!$A$1:$A$1001,0),MATCH('Index&amp;Match'!K856,'Main Data'!$A856:$O856,0))</f>
        <v>44157.79</v>
      </c>
      <c r="L857" s="11">
        <f>INDEX('Main Data'!$A$1:$O$1001,MATCH('Index&amp;Match'!$A857,'Main Data'!$A$1:$A$1001,0),MATCH('Index&amp;Match'!L856,'Main Data'!$A856:$O856,0))</f>
        <v>434.79</v>
      </c>
      <c r="M857" s="11">
        <f>INDEX('Main Data'!$A$1:$O$1001,MATCH('Index&amp;Match'!$A857,'Main Data'!$A$1:$A$1001,0),MATCH('Index&amp;Match'!M856,'Main Data'!$A856:$O856,0))</f>
        <v>35.51</v>
      </c>
      <c r="N857" s="2" t="str">
        <f>INDEX('Main Data'!$A$1:$O$1001,MATCH('Index&amp;Match'!$A857,'Main Data'!$A$1:$A$1001,0),MATCH('Index&amp;Match'!N856,'Main Data'!$A856:$O856,0))</f>
        <v>Yes</v>
      </c>
      <c r="O857" s="2">
        <f>INDEX('Main Data'!$A$1:$O$1001,MATCH('Index&amp;Match'!$A857,'Main Data'!$A$1:$A$1001,0),MATCH('Index&amp;Match'!O856,'Main Data'!$A856:$O856,0))</f>
        <v>28</v>
      </c>
    </row>
    <row r="858" spans="1:15" x14ac:dyDescent="0.3">
      <c r="A858" s="2" t="s">
        <v>915</v>
      </c>
      <c r="B858" s="1">
        <f>INDEX('Main Data'!$A$1:$O$1001,MATCH('Index&amp;Match'!$A858,'Main Data'!$A$1:$A$1001,0),MATCH('Index&amp;Match'!B857,'Main Data'!$A857:$O857,0))</f>
        <v>46006</v>
      </c>
      <c r="C858" s="2" t="str">
        <f>INDEX('Main Data'!$A$1:$O$1001,MATCH('Index&amp;Match'!$A858,'Main Data'!$A$1:$A$1001,0),MATCH('Index&amp;Match'!C857,'Main Data'!$A857:$O857,0))</f>
        <v>Taylor</v>
      </c>
      <c r="D858" s="2" t="str">
        <f>INDEX('Main Data'!$A$1:$O$1001,MATCH('Index&amp;Match'!$A858,'Main Data'!$A$1:$A$1001,0),MATCH('Index&amp;Match'!D857,'Main Data'!$A857:$O857,0))</f>
        <v>BR-011</v>
      </c>
      <c r="E858" s="2" t="str">
        <f>INDEX('Main Data'!$A$1:$O$1001,MATCH('Index&amp;Match'!$A858,'Main Data'!$A$1:$A$1001,0),MATCH('Index&amp;Match'!E857,'Main Data'!$A857:$O857,0))</f>
        <v>North</v>
      </c>
      <c r="F858" s="2" t="str">
        <f>INDEX('Main Data'!$A$1:$O$1001,MATCH('Index&amp;Match'!$A858,'Main Data'!$A$1:$A$1001,0),MATCH('Index&amp;Match'!F857,'Main Data'!$A857:$O857,0))</f>
        <v>Mortgage</v>
      </c>
      <c r="G858" s="2" t="str">
        <f>INDEX('Main Data'!$A$1:$O$1001,MATCH('Index&amp;Match'!$A858,'Main Data'!$A$1:$A$1001,0),MATCH('Index&amp;Match'!G857,'Main Data'!$A857:$O857,0))</f>
        <v>Walk-in</v>
      </c>
      <c r="H858" s="2" t="str">
        <f>INDEX('Main Data'!$A$1:$O$1001,MATCH('Index&amp;Match'!$A858,'Main Data'!$A$1:$A$1001,0),MATCH('Index&amp;Match'!H857,'Main Data'!$A857:$O857,0))</f>
        <v>Corporate</v>
      </c>
      <c r="I858" s="2">
        <f>INDEX('Main Data'!$A$1:$O$1001,MATCH('Index&amp;Match'!$A858,'Main Data'!$A$1:$A$1001,0),MATCH('Index&amp;Match'!I857,'Main Data'!$A857:$O857,0))</f>
        <v>28</v>
      </c>
      <c r="J858" s="2">
        <f>INDEX('Main Data'!$A$1:$O$1001,MATCH('Index&amp;Match'!$A858,'Main Data'!$A$1:$A$1001,0),MATCH('Index&amp;Match'!J857,'Main Data'!$A857:$O857,0))</f>
        <v>28</v>
      </c>
      <c r="K858" s="11">
        <f>INDEX('Main Data'!$A$1:$O$1001,MATCH('Index&amp;Match'!$A858,'Main Data'!$A$1:$A$1001,0),MATCH('Index&amp;Match'!K857,'Main Data'!$A857:$O857,0))</f>
        <v>47974.67</v>
      </c>
      <c r="L858" s="11">
        <f>INDEX('Main Data'!$A$1:$O$1001,MATCH('Index&amp;Match'!$A858,'Main Data'!$A$1:$A$1001,0),MATCH('Index&amp;Match'!L857,'Main Data'!$A857:$O857,0))</f>
        <v>244.36</v>
      </c>
      <c r="M858" s="11">
        <f>INDEX('Main Data'!$A$1:$O$1001,MATCH('Index&amp;Match'!$A858,'Main Data'!$A$1:$A$1001,0),MATCH('Index&amp;Match'!M857,'Main Data'!$A857:$O857,0))</f>
        <v>129.15</v>
      </c>
      <c r="N858" s="2" t="str">
        <f>INDEX('Main Data'!$A$1:$O$1001,MATCH('Index&amp;Match'!$A858,'Main Data'!$A$1:$A$1001,0),MATCH('Index&amp;Match'!N857,'Main Data'!$A857:$O857,0))</f>
        <v>Yes</v>
      </c>
      <c r="O858" s="2">
        <f>INDEX('Main Data'!$A$1:$O$1001,MATCH('Index&amp;Match'!$A858,'Main Data'!$A$1:$A$1001,0),MATCH('Index&amp;Match'!O857,'Main Data'!$A857:$O857,0))</f>
        <v>28</v>
      </c>
    </row>
    <row r="859" spans="1:15" x14ac:dyDescent="0.3">
      <c r="A859" s="2" t="s">
        <v>916</v>
      </c>
      <c r="B859" s="1">
        <f>INDEX('Main Data'!$A$1:$O$1001,MATCH('Index&amp;Match'!$A859,'Main Data'!$A$1:$A$1001,0),MATCH('Index&amp;Match'!B858,'Main Data'!$A858:$O858,0))</f>
        <v>46186</v>
      </c>
      <c r="C859" s="2" t="str">
        <f>INDEX('Main Data'!$A$1:$O$1001,MATCH('Index&amp;Match'!$A859,'Main Data'!$A$1:$A$1001,0),MATCH('Index&amp;Match'!C858,'Main Data'!$A858:$O858,0))</f>
        <v>Taylor</v>
      </c>
      <c r="D859" s="2" t="str">
        <f>INDEX('Main Data'!$A$1:$O$1001,MATCH('Index&amp;Match'!$A859,'Main Data'!$A$1:$A$1001,0),MATCH('Index&amp;Match'!D858,'Main Data'!$A858:$O858,0))</f>
        <v>BR-009</v>
      </c>
      <c r="E859" s="2" t="str">
        <f>INDEX('Main Data'!$A$1:$O$1001,MATCH('Index&amp;Match'!$A859,'Main Data'!$A$1:$A$1001,0),MATCH('Index&amp;Match'!E858,'Main Data'!$A858:$O858,0))</f>
        <v>North</v>
      </c>
      <c r="F859" s="2" t="str">
        <f>INDEX('Main Data'!$A$1:$O$1001,MATCH('Index&amp;Match'!$A859,'Main Data'!$A$1:$A$1001,0),MATCH('Index&amp;Match'!F858,'Main Data'!$A858:$O858,0))</f>
        <v>Auto Loan</v>
      </c>
      <c r="G859" s="2" t="str">
        <f>INDEX('Main Data'!$A$1:$O$1001,MATCH('Index&amp;Match'!$A859,'Main Data'!$A$1:$A$1001,0),MATCH('Index&amp;Match'!G858,'Main Data'!$A858:$O858,0))</f>
        <v>Walk-in</v>
      </c>
      <c r="H859" s="2" t="str">
        <f>INDEX('Main Data'!$A$1:$O$1001,MATCH('Index&amp;Match'!$A859,'Main Data'!$A$1:$A$1001,0),MATCH('Index&amp;Match'!H858,'Main Data'!$A858:$O858,0))</f>
        <v>SME</v>
      </c>
      <c r="I859" s="2">
        <f>INDEX('Main Data'!$A$1:$O$1001,MATCH('Index&amp;Match'!$A859,'Main Data'!$A$1:$A$1001,0),MATCH('Index&amp;Match'!I858,'Main Data'!$A858:$O858,0))</f>
        <v>40</v>
      </c>
      <c r="J859" s="2">
        <f>INDEX('Main Data'!$A$1:$O$1001,MATCH('Index&amp;Match'!$A859,'Main Data'!$A$1:$A$1001,0),MATCH('Index&amp;Match'!J858,'Main Data'!$A858:$O858,0))</f>
        <v>40</v>
      </c>
      <c r="K859" s="11">
        <f>INDEX('Main Data'!$A$1:$O$1001,MATCH('Index&amp;Match'!$A859,'Main Data'!$A$1:$A$1001,0),MATCH('Index&amp;Match'!K858,'Main Data'!$A858:$O858,0))</f>
        <v>10021.14</v>
      </c>
      <c r="L859" s="11">
        <f>INDEX('Main Data'!$A$1:$O$1001,MATCH('Index&amp;Match'!$A859,'Main Data'!$A$1:$A$1001,0),MATCH('Index&amp;Match'!L858,'Main Data'!$A858:$O858,0))</f>
        <v>223.74</v>
      </c>
      <c r="M859" s="11">
        <f>INDEX('Main Data'!$A$1:$O$1001,MATCH('Index&amp;Match'!$A859,'Main Data'!$A$1:$A$1001,0),MATCH('Index&amp;Match'!M858,'Main Data'!$A858:$O858,0))</f>
        <v>50.02</v>
      </c>
      <c r="N859" s="2" t="str">
        <f>INDEX('Main Data'!$A$1:$O$1001,MATCH('Index&amp;Match'!$A859,'Main Data'!$A$1:$A$1001,0),MATCH('Index&amp;Match'!N858,'Main Data'!$A858:$O858,0))</f>
        <v>Yes</v>
      </c>
      <c r="O859" s="2">
        <f>INDEX('Main Data'!$A$1:$O$1001,MATCH('Index&amp;Match'!$A859,'Main Data'!$A$1:$A$1001,0),MATCH('Index&amp;Match'!O858,'Main Data'!$A858:$O858,0))</f>
        <v>40</v>
      </c>
    </row>
    <row r="860" spans="1:15" x14ac:dyDescent="0.3">
      <c r="A860" s="2" t="s">
        <v>917</v>
      </c>
      <c r="B860" s="1">
        <f>INDEX('Main Data'!$A$1:$O$1001,MATCH('Index&amp;Match'!$A860,'Main Data'!$A$1:$A$1001,0),MATCH('Index&amp;Match'!B859,'Main Data'!$A859:$O859,0))</f>
        <v>45909</v>
      </c>
      <c r="C860" s="2" t="str">
        <f>INDEX('Main Data'!$A$1:$O$1001,MATCH('Index&amp;Match'!$A860,'Main Data'!$A$1:$A$1001,0),MATCH('Index&amp;Match'!C859,'Main Data'!$A859:$O859,0))</f>
        <v>Jordan</v>
      </c>
      <c r="D860" s="2" t="str">
        <f>INDEX('Main Data'!$A$1:$O$1001,MATCH('Index&amp;Match'!$A860,'Main Data'!$A$1:$A$1001,0),MATCH('Index&amp;Match'!D859,'Main Data'!$A859:$O859,0))</f>
        <v>BR-015</v>
      </c>
      <c r="E860" s="2" t="str">
        <f>INDEX('Main Data'!$A$1:$O$1001,MATCH('Index&amp;Match'!$A860,'Main Data'!$A$1:$A$1001,0),MATCH('Index&amp;Match'!E859,'Main Data'!$A859:$O859,0))</f>
        <v>Central</v>
      </c>
      <c r="F860" s="2" t="str">
        <f>INDEX('Main Data'!$A$1:$O$1001,MATCH('Index&amp;Match'!$A860,'Main Data'!$A$1:$A$1001,0),MATCH('Index&amp;Match'!F859,'Main Data'!$A859:$O859,0))</f>
        <v>Wealth Management</v>
      </c>
      <c r="G860" s="2" t="str">
        <f>INDEX('Main Data'!$A$1:$O$1001,MATCH('Index&amp;Match'!$A860,'Main Data'!$A$1:$A$1001,0),MATCH('Index&amp;Match'!G859,'Main Data'!$A859:$O859,0))</f>
        <v>Walk-in</v>
      </c>
      <c r="H860" s="2" t="str">
        <f>INDEX('Main Data'!$A$1:$O$1001,MATCH('Index&amp;Match'!$A860,'Main Data'!$A$1:$A$1001,0),MATCH('Index&amp;Match'!H859,'Main Data'!$A859:$O859,0))</f>
        <v>Corporate</v>
      </c>
      <c r="I860" s="2">
        <f>INDEX('Main Data'!$A$1:$O$1001,MATCH('Index&amp;Match'!$A860,'Main Data'!$A$1:$A$1001,0),MATCH('Index&amp;Match'!I859,'Main Data'!$A859:$O859,0))</f>
        <v>67</v>
      </c>
      <c r="J860" s="2">
        <f>INDEX('Main Data'!$A$1:$O$1001,MATCH('Index&amp;Match'!$A860,'Main Data'!$A$1:$A$1001,0),MATCH('Index&amp;Match'!J859,'Main Data'!$A859:$O859,0))</f>
        <v>67</v>
      </c>
      <c r="K860" s="11">
        <f>INDEX('Main Data'!$A$1:$O$1001,MATCH('Index&amp;Match'!$A860,'Main Data'!$A$1:$A$1001,0),MATCH('Index&amp;Match'!K859,'Main Data'!$A859:$O859,0))</f>
        <v>36009.949999999997</v>
      </c>
      <c r="L860" s="11">
        <f>INDEX('Main Data'!$A$1:$O$1001,MATCH('Index&amp;Match'!$A860,'Main Data'!$A$1:$A$1001,0),MATCH('Index&amp;Match'!L859,'Main Data'!$A859:$O859,0))</f>
        <v>360.42</v>
      </c>
      <c r="M860" s="11">
        <f>INDEX('Main Data'!$A$1:$O$1001,MATCH('Index&amp;Match'!$A860,'Main Data'!$A$1:$A$1001,0),MATCH('Index&amp;Match'!M859,'Main Data'!$A859:$O859,0))</f>
        <v>167.31</v>
      </c>
      <c r="N860" s="2" t="str">
        <f>INDEX('Main Data'!$A$1:$O$1001,MATCH('Index&amp;Match'!$A860,'Main Data'!$A$1:$A$1001,0),MATCH('Index&amp;Match'!N859,'Main Data'!$A859:$O859,0))</f>
        <v>Yes</v>
      </c>
      <c r="O860" s="2">
        <f>INDEX('Main Data'!$A$1:$O$1001,MATCH('Index&amp;Match'!$A860,'Main Data'!$A$1:$A$1001,0),MATCH('Index&amp;Match'!O859,'Main Data'!$A859:$O859,0))</f>
        <v>67</v>
      </c>
    </row>
    <row r="861" spans="1:15" x14ac:dyDescent="0.3">
      <c r="A861" s="2" t="s">
        <v>918</v>
      </c>
      <c r="B861" s="1">
        <f>INDEX('Main Data'!$A$1:$O$1001,MATCH('Index&amp;Match'!$A861,'Main Data'!$A$1:$A$1001,0),MATCH('Index&amp;Match'!B860,'Main Data'!$A860:$O860,0))</f>
        <v>46093</v>
      </c>
      <c r="C861" s="2" t="str">
        <f>INDEX('Main Data'!$A$1:$O$1001,MATCH('Index&amp;Match'!$A861,'Main Data'!$A$1:$A$1001,0),MATCH('Index&amp;Match'!C860,'Main Data'!$A860:$O860,0))</f>
        <v>Jamie</v>
      </c>
      <c r="D861" s="2" t="str">
        <f>INDEX('Main Data'!$A$1:$O$1001,MATCH('Index&amp;Match'!$A861,'Main Data'!$A$1:$A$1001,0),MATCH('Index&amp;Match'!D860,'Main Data'!$A860:$O860,0))</f>
        <v>BR-006</v>
      </c>
      <c r="E861" s="2" t="str">
        <f>INDEX('Main Data'!$A$1:$O$1001,MATCH('Index&amp;Match'!$A861,'Main Data'!$A$1:$A$1001,0),MATCH('Index&amp;Match'!E860,'Main Data'!$A860:$O860,0))</f>
        <v>Central</v>
      </c>
      <c r="F861" s="2" t="str">
        <f>INDEX('Main Data'!$A$1:$O$1001,MATCH('Index&amp;Match'!$A861,'Main Data'!$A$1:$A$1001,0),MATCH('Index&amp;Match'!F860,'Main Data'!$A860:$O860,0))</f>
        <v>Credit Card</v>
      </c>
      <c r="G861" s="2" t="str">
        <f>INDEX('Main Data'!$A$1:$O$1001,MATCH('Index&amp;Match'!$A861,'Main Data'!$A$1:$A$1001,0),MATCH('Index&amp;Match'!G860,'Main Data'!$A860:$O860,0))</f>
        <v>Referral</v>
      </c>
      <c r="H861" s="2" t="str">
        <f>INDEX('Main Data'!$A$1:$O$1001,MATCH('Index&amp;Match'!$A861,'Main Data'!$A$1:$A$1001,0),MATCH('Index&amp;Match'!H860,'Main Data'!$A860:$O860,0))</f>
        <v>Corporate</v>
      </c>
      <c r="I861" s="2">
        <f>INDEX('Main Data'!$A$1:$O$1001,MATCH('Index&amp;Match'!$A861,'Main Data'!$A$1:$A$1001,0),MATCH('Index&amp;Match'!I860,'Main Data'!$A860:$O860,0))</f>
        <v>24</v>
      </c>
      <c r="J861" s="2">
        <f>INDEX('Main Data'!$A$1:$O$1001,MATCH('Index&amp;Match'!$A861,'Main Data'!$A$1:$A$1001,0),MATCH('Index&amp;Match'!J860,'Main Data'!$A860:$O860,0))</f>
        <v>24</v>
      </c>
      <c r="K861" s="11">
        <f>INDEX('Main Data'!$A$1:$O$1001,MATCH('Index&amp;Match'!$A861,'Main Data'!$A$1:$A$1001,0),MATCH('Index&amp;Match'!K860,'Main Data'!$A860:$O860,0))</f>
        <v>33384.800000000003</v>
      </c>
      <c r="L861" s="11">
        <f>INDEX('Main Data'!$A$1:$O$1001,MATCH('Index&amp;Match'!$A861,'Main Data'!$A$1:$A$1001,0),MATCH('Index&amp;Match'!L860,'Main Data'!$A860:$O860,0))</f>
        <v>321.10000000000002</v>
      </c>
      <c r="M861" s="11">
        <f>INDEX('Main Data'!$A$1:$O$1001,MATCH('Index&amp;Match'!$A861,'Main Data'!$A$1:$A$1001,0),MATCH('Index&amp;Match'!M860,'Main Data'!$A860:$O860,0))</f>
        <v>102.46</v>
      </c>
      <c r="N861" s="2" t="str">
        <f>INDEX('Main Data'!$A$1:$O$1001,MATCH('Index&amp;Match'!$A861,'Main Data'!$A$1:$A$1001,0),MATCH('Index&amp;Match'!N860,'Main Data'!$A860:$O860,0))</f>
        <v>No</v>
      </c>
      <c r="O861" s="2">
        <f>INDEX('Main Data'!$A$1:$O$1001,MATCH('Index&amp;Match'!$A861,'Main Data'!$A$1:$A$1001,0),MATCH('Index&amp;Match'!O860,'Main Data'!$A860:$O860,0))</f>
        <v>24</v>
      </c>
    </row>
    <row r="862" spans="1:15" x14ac:dyDescent="0.3">
      <c r="A862" s="2" t="s">
        <v>919</v>
      </c>
      <c r="B862" s="1">
        <f>INDEX('Main Data'!$A$1:$O$1001,MATCH('Index&amp;Match'!$A862,'Main Data'!$A$1:$A$1001,0),MATCH('Index&amp;Match'!B861,'Main Data'!$A861:$O861,0))</f>
        <v>46030</v>
      </c>
      <c r="C862" s="2" t="str">
        <f>INDEX('Main Data'!$A$1:$O$1001,MATCH('Index&amp;Match'!$A862,'Main Data'!$A$1:$A$1001,0),MATCH('Index&amp;Match'!C861,'Main Data'!$A861:$O861,0))</f>
        <v>Morgan</v>
      </c>
      <c r="D862" s="2" t="str">
        <f>INDEX('Main Data'!$A$1:$O$1001,MATCH('Index&amp;Match'!$A862,'Main Data'!$A$1:$A$1001,0),MATCH('Index&amp;Match'!D861,'Main Data'!$A861:$O861,0))</f>
        <v>BR-011</v>
      </c>
      <c r="E862" s="2" t="str">
        <f>INDEX('Main Data'!$A$1:$O$1001,MATCH('Index&amp;Match'!$A862,'Main Data'!$A$1:$A$1001,0),MATCH('Index&amp;Match'!E861,'Main Data'!$A861:$O861,0))</f>
        <v>South</v>
      </c>
      <c r="F862" s="2" t="str">
        <f>INDEX('Main Data'!$A$1:$O$1001,MATCH('Index&amp;Match'!$A862,'Main Data'!$A$1:$A$1001,0),MATCH('Index&amp;Match'!F861,'Main Data'!$A861:$O861,0))</f>
        <v>Auto Loan</v>
      </c>
      <c r="G862" s="2" t="str">
        <f>INDEX('Main Data'!$A$1:$O$1001,MATCH('Index&amp;Match'!$A862,'Main Data'!$A$1:$A$1001,0),MATCH('Index&amp;Match'!G861,'Main Data'!$A861:$O861,0))</f>
        <v>Walk-in</v>
      </c>
      <c r="H862" s="2" t="str">
        <f>INDEX('Main Data'!$A$1:$O$1001,MATCH('Index&amp;Match'!$A862,'Main Data'!$A$1:$A$1001,0),MATCH('Index&amp;Match'!H861,'Main Data'!$A861:$O861,0))</f>
        <v>High Net Worth</v>
      </c>
      <c r="I862" s="2">
        <f>INDEX('Main Data'!$A$1:$O$1001,MATCH('Index&amp;Match'!$A862,'Main Data'!$A$1:$A$1001,0),MATCH('Index&amp;Match'!I861,'Main Data'!$A861:$O861,0))</f>
        <v>71</v>
      </c>
      <c r="J862" s="2">
        <f>INDEX('Main Data'!$A$1:$O$1001,MATCH('Index&amp;Match'!$A862,'Main Data'!$A$1:$A$1001,0),MATCH('Index&amp;Match'!J861,'Main Data'!$A861:$O861,0))</f>
        <v>71</v>
      </c>
      <c r="K862" s="11">
        <f>INDEX('Main Data'!$A$1:$O$1001,MATCH('Index&amp;Match'!$A862,'Main Data'!$A$1:$A$1001,0),MATCH('Index&amp;Match'!K861,'Main Data'!$A861:$O861,0))</f>
        <v>17497.2</v>
      </c>
      <c r="L862" s="11">
        <f>INDEX('Main Data'!$A$1:$O$1001,MATCH('Index&amp;Match'!$A862,'Main Data'!$A$1:$A$1001,0),MATCH('Index&amp;Match'!L861,'Main Data'!$A861:$O861,0))</f>
        <v>98.26</v>
      </c>
      <c r="M862" s="11">
        <f>INDEX('Main Data'!$A$1:$O$1001,MATCH('Index&amp;Match'!$A862,'Main Data'!$A$1:$A$1001,0),MATCH('Index&amp;Match'!M861,'Main Data'!$A861:$O861,0))</f>
        <v>40.58</v>
      </c>
      <c r="N862" s="2" t="str">
        <f>INDEX('Main Data'!$A$1:$O$1001,MATCH('Index&amp;Match'!$A862,'Main Data'!$A$1:$A$1001,0),MATCH('Index&amp;Match'!N861,'Main Data'!$A861:$O861,0))</f>
        <v>Yes</v>
      </c>
      <c r="O862" s="2">
        <f>INDEX('Main Data'!$A$1:$O$1001,MATCH('Index&amp;Match'!$A862,'Main Data'!$A$1:$A$1001,0),MATCH('Index&amp;Match'!O861,'Main Data'!$A861:$O861,0))</f>
        <v>71</v>
      </c>
    </row>
    <row r="863" spans="1:15" x14ac:dyDescent="0.3">
      <c r="A863" s="2" t="s">
        <v>920</v>
      </c>
      <c r="B863" s="1">
        <f>INDEX('Main Data'!$A$1:$O$1001,MATCH('Index&amp;Match'!$A863,'Main Data'!$A$1:$A$1001,0),MATCH('Index&amp;Match'!B862,'Main Data'!$A862:$O862,0))</f>
        <v>46083</v>
      </c>
      <c r="C863" s="2" t="str">
        <f>INDEX('Main Data'!$A$1:$O$1001,MATCH('Index&amp;Match'!$A863,'Main Data'!$A$1:$A$1001,0),MATCH('Index&amp;Match'!C862,'Main Data'!$A862:$O862,0))</f>
        <v>Alex</v>
      </c>
      <c r="D863" s="2" t="str">
        <f>INDEX('Main Data'!$A$1:$O$1001,MATCH('Index&amp;Match'!$A863,'Main Data'!$A$1:$A$1001,0),MATCH('Index&amp;Match'!D862,'Main Data'!$A862:$O862,0))</f>
        <v>BR-008</v>
      </c>
      <c r="E863" s="2" t="str">
        <f>INDEX('Main Data'!$A$1:$O$1001,MATCH('Index&amp;Match'!$A863,'Main Data'!$A$1:$A$1001,0),MATCH('Index&amp;Match'!E862,'Main Data'!$A862:$O862,0))</f>
        <v>Central</v>
      </c>
      <c r="F863" s="2" t="str">
        <f>INDEX('Main Data'!$A$1:$O$1001,MATCH('Index&amp;Match'!$A863,'Main Data'!$A$1:$A$1001,0),MATCH('Index&amp;Match'!F862,'Main Data'!$A862:$O862,0))</f>
        <v>Credit Card</v>
      </c>
      <c r="G863" s="2" t="str">
        <f>INDEX('Main Data'!$A$1:$O$1001,MATCH('Index&amp;Match'!$A863,'Main Data'!$A$1:$A$1001,0),MATCH('Index&amp;Match'!G862,'Main Data'!$A862:$O862,0))</f>
        <v>Referral</v>
      </c>
      <c r="H863" s="2" t="str">
        <f>INDEX('Main Data'!$A$1:$O$1001,MATCH('Index&amp;Match'!$A863,'Main Data'!$A$1:$A$1001,0),MATCH('Index&amp;Match'!H862,'Main Data'!$A862:$O862,0))</f>
        <v>Retail</v>
      </c>
      <c r="I863" s="2">
        <f>INDEX('Main Data'!$A$1:$O$1001,MATCH('Index&amp;Match'!$A863,'Main Data'!$A$1:$A$1001,0),MATCH('Index&amp;Match'!I862,'Main Data'!$A862:$O862,0))</f>
        <v>41</v>
      </c>
      <c r="J863" s="2">
        <f>INDEX('Main Data'!$A$1:$O$1001,MATCH('Index&amp;Match'!$A863,'Main Data'!$A$1:$A$1001,0),MATCH('Index&amp;Match'!J862,'Main Data'!$A862:$O862,0))</f>
        <v>41</v>
      </c>
      <c r="K863" s="11">
        <f>INDEX('Main Data'!$A$1:$O$1001,MATCH('Index&amp;Match'!$A863,'Main Data'!$A$1:$A$1001,0),MATCH('Index&amp;Match'!K862,'Main Data'!$A862:$O862,0))</f>
        <v>1445.41</v>
      </c>
      <c r="L863" s="11">
        <f>INDEX('Main Data'!$A$1:$O$1001,MATCH('Index&amp;Match'!$A863,'Main Data'!$A$1:$A$1001,0),MATCH('Index&amp;Match'!L862,'Main Data'!$A862:$O862,0))</f>
        <v>278.68</v>
      </c>
      <c r="M863" s="11">
        <f>INDEX('Main Data'!$A$1:$O$1001,MATCH('Index&amp;Match'!$A863,'Main Data'!$A$1:$A$1001,0),MATCH('Index&amp;Match'!M862,'Main Data'!$A862:$O862,0))</f>
        <v>114.2</v>
      </c>
      <c r="N863" s="2" t="str">
        <f>INDEX('Main Data'!$A$1:$O$1001,MATCH('Index&amp;Match'!$A863,'Main Data'!$A$1:$A$1001,0),MATCH('Index&amp;Match'!N862,'Main Data'!$A862:$O862,0))</f>
        <v>No</v>
      </c>
      <c r="O863" s="2">
        <f>INDEX('Main Data'!$A$1:$O$1001,MATCH('Index&amp;Match'!$A863,'Main Data'!$A$1:$A$1001,0),MATCH('Index&amp;Match'!O862,'Main Data'!$A862:$O862,0))</f>
        <v>41</v>
      </c>
    </row>
    <row r="864" spans="1:15" x14ac:dyDescent="0.3">
      <c r="A864" s="2" t="s">
        <v>921</v>
      </c>
      <c r="B864" s="1">
        <f>INDEX('Main Data'!$A$1:$O$1001,MATCH('Index&amp;Match'!$A864,'Main Data'!$A$1:$A$1001,0),MATCH('Index&amp;Match'!B863,'Main Data'!$A863:$O863,0))</f>
        <v>46135</v>
      </c>
      <c r="C864" s="2" t="str">
        <f>INDEX('Main Data'!$A$1:$O$1001,MATCH('Index&amp;Match'!$A864,'Main Data'!$A$1:$A$1001,0),MATCH('Index&amp;Match'!C863,'Main Data'!$A863:$O863,0))</f>
        <v>Jordan</v>
      </c>
      <c r="D864" s="2" t="str">
        <f>INDEX('Main Data'!$A$1:$O$1001,MATCH('Index&amp;Match'!$A864,'Main Data'!$A$1:$A$1001,0),MATCH('Index&amp;Match'!D863,'Main Data'!$A863:$O863,0))</f>
        <v>BR-002</v>
      </c>
      <c r="E864" s="2" t="str">
        <f>INDEX('Main Data'!$A$1:$O$1001,MATCH('Index&amp;Match'!$A864,'Main Data'!$A$1:$A$1001,0),MATCH('Index&amp;Match'!E863,'Main Data'!$A863:$O863,0))</f>
        <v>South</v>
      </c>
      <c r="F864" s="2" t="str">
        <f>INDEX('Main Data'!$A$1:$O$1001,MATCH('Index&amp;Match'!$A864,'Main Data'!$A$1:$A$1001,0),MATCH('Index&amp;Match'!F863,'Main Data'!$A863:$O863,0))</f>
        <v>Personal Loan</v>
      </c>
      <c r="G864" s="2" t="str">
        <f>INDEX('Main Data'!$A$1:$O$1001,MATCH('Index&amp;Match'!$A864,'Main Data'!$A$1:$A$1001,0),MATCH('Index&amp;Match'!G863,'Main Data'!$A863:$O863,0))</f>
        <v>Social Media</v>
      </c>
      <c r="H864" s="2" t="str">
        <f>INDEX('Main Data'!$A$1:$O$1001,MATCH('Index&amp;Match'!$A864,'Main Data'!$A$1:$A$1001,0),MATCH('Index&amp;Match'!H863,'Main Data'!$A863:$O863,0))</f>
        <v>High Net Worth</v>
      </c>
      <c r="I864" s="2">
        <f>INDEX('Main Data'!$A$1:$O$1001,MATCH('Index&amp;Match'!$A864,'Main Data'!$A$1:$A$1001,0),MATCH('Index&amp;Match'!I863,'Main Data'!$A863:$O863,0))</f>
        <v>23</v>
      </c>
      <c r="J864" s="2">
        <f>INDEX('Main Data'!$A$1:$O$1001,MATCH('Index&amp;Match'!$A864,'Main Data'!$A$1:$A$1001,0),MATCH('Index&amp;Match'!J863,'Main Data'!$A863:$O863,0))</f>
        <v>23</v>
      </c>
      <c r="K864" s="11">
        <f>INDEX('Main Data'!$A$1:$O$1001,MATCH('Index&amp;Match'!$A864,'Main Data'!$A$1:$A$1001,0),MATCH('Index&amp;Match'!K863,'Main Data'!$A863:$O863,0))</f>
        <v>34644.67</v>
      </c>
      <c r="L864" s="11">
        <f>INDEX('Main Data'!$A$1:$O$1001,MATCH('Index&amp;Match'!$A864,'Main Data'!$A$1:$A$1001,0),MATCH('Index&amp;Match'!L863,'Main Data'!$A863:$O863,0))</f>
        <v>380.97</v>
      </c>
      <c r="M864" s="11">
        <f>INDEX('Main Data'!$A$1:$O$1001,MATCH('Index&amp;Match'!$A864,'Main Data'!$A$1:$A$1001,0),MATCH('Index&amp;Match'!M863,'Main Data'!$A863:$O863,0))</f>
        <v>122.37</v>
      </c>
      <c r="N864" s="2" t="str">
        <f>INDEX('Main Data'!$A$1:$O$1001,MATCH('Index&amp;Match'!$A864,'Main Data'!$A$1:$A$1001,0),MATCH('Index&amp;Match'!N863,'Main Data'!$A863:$O863,0))</f>
        <v>Yes</v>
      </c>
      <c r="O864" s="2">
        <f>INDEX('Main Data'!$A$1:$O$1001,MATCH('Index&amp;Match'!$A864,'Main Data'!$A$1:$A$1001,0),MATCH('Index&amp;Match'!O863,'Main Data'!$A863:$O863,0))</f>
        <v>23</v>
      </c>
    </row>
    <row r="865" spans="1:15" x14ac:dyDescent="0.3">
      <c r="A865" s="2" t="s">
        <v>922</v>
      </c>
      <c r="B865" s="1">
        <f>INDEX('Main Data'!$A$1:$O$1001,MATCH('Index&amp;Match'!$A865,'Main Data'!$A$1:$A$1001,0),MATCH('Index&amp;Match'!B864,'Main Data'!$A864:$O864,0))</f>
        <v>46135</v>
      </c>
      <c r="C865" s="2" t="str">
        <f>INDEX('Main Data'!$A$1:$O$1001,MATCH('Index&amp;Match'!$A865,'Main Data'!$A$1:$A$1001,0),MATCH('Index&amp;Match'!C864,'Main Data'!$A864:$O864,0))</f>
        <v>Jordan</v>
      </c>
      <c r="D865" s="2" t="str">
        <f>INDEX('Main Data'!$A$1:$O$1001,MATCH('Index&amp;Match'!$A865,'Main Data'!$A$1:$A$1001,0),MATCH('Index&amp;Match'!D864,'Main Data'!$A864:$O864,0))</f>
        <v>BR-012</v>
      </c>
      <c r="E865" s="2" t="str">
        <f>INDEX('Main Data'!$A$1:$O$1001,MATCH('Index&amp;Match'!$A865,'Main Data'!$A$1:$A$1001,0),MATCH('Index&amp;Match'!E864,'Main Data'!$A864:$O864,0))</f>
        <v>West</v>
      </c>
      <c r="F865" s="2" t="str">
        <f>INDEX('Main Data'!$A$1:$O$1001,MATCH('Index&amp;Match'!$A865,'Main Data'!$A$1:$A$1001,0),MATCH('Index&amp;Match'!F864,'Main Data'!$A864:$O864,0))</f>
        <v>Auto Loan</v>
      </c>
      <c r="G865" s="2" t="str">
        <f>INDEX('Main Data'!$A$1:$O$1001,MATCH('Index&amp;Match'!$A865,'Main Data'!$A$1:$A$1001,0),MATCH('Index&amp;Match'!G864,'Main Data'!$A864:$O864,0))</f>
        <v>Referral</v>
      </c>
      <c r="H865" s="2" t="str">
        <f>INDEX('Main Data'!$A$1:$O$1001,MATCH('Index&amp;Match'!$A865,'Main Data'!$A$1:$A$1001,0),MATCH('Index&amp;Match'!H864,'Main Data'!$A864:$O864,0))</f>
        <v>Retail</v>
      </c>
      <c r="I865" s="2">
        <f>INDEX('Main Data'!$A$1:$O$1001,MATCH('Index&amp;Match'!$A865,'Main Data'!$A$1:$A$1001,0),MATCH('Index&amp;Match'!I864,'Main Data'!$A864:$O864,0))</f>
        <v>65</v>
      </c>
      <c r="J865" s="2">
        <f>INDEX('Main Data'!$A$1:$O$1001,MATCH('Index&amp;Match'!$A865,'Main Data'!$A$1:$A$1001,0),MATCH('Index&amp;Match'!J864,'Main Data'!$A864:$O864,0))</f>
        <v>65</v>
      </c>
      <c r="K865" s="11">
        <f>INDEX('Main Data'!$A$1:$O$1001,MATCH('Index&amp;Match'!$A865,'Main Data'!$A$1:$A$1001,0),MATCH('Index&amp;Match'!K864,'Main Data'!$A864:$O864,0))</f>
        <v>47302</v>
      </c>
      <c r="L865" s="11">
        <f>INDEX('Main Data'!$A$1:$O$1001,MATCH('Index&amp;Match'!$A865,'Main Data'!$A$1:$A$1001,0),MATCH('Index&amp;Match'!L864,'Main Data'!$A864:$O864,0))</f>
        <v>496.43</v>
      </c>
      <c r="M865" s="11">
        <f>INDEX('Main Data'!$A$1:$O$1001,MATCH('Index&amp;Match'!$A865,'Main Data'!$A$1:$A$1001,0),MATCH('Index&amp;Match'!M864,'Main Data'!$A864:$O864,0))</f>
        <v>132.29</v>
      </c>
      <c r="N865" s="2" t="str">
        <f>INDEX('Main Data'!$A$1:$O$1001,MATCH('Index&amp;Match'!$A865,'Main Data'!$A$1:$A$1001,0),MATCH('Index&amp;Match'!N864,'Main Data'!$A864:$O864,0))</f>
        <v>Yes</v>
      </c>
      <c r="O865" s="2">
        <f>INDEX('Main Data'!$A$1:$O$1001,MATCH('Index&amp;Match'!$A865,'Main Data'!$A$1:$A$1001,0),MATCH('Index&amp;Match'!O864,'Main Data'!$A864:$O864,0))</f>
        <v>65</v>
      </c>
    </row>
    <row r="866" spans="1:15" x14ac:dyDescent="0.3">
      <c r="A866" s="2" t="s">
        <v>923</v>
      </c>
      <c r="B866" s="1">
        <f>INDEX('Main Data'!$A$1:$O$1001,MATCH('Index&amp;Match'!$A866,'Main Data'!$A$1:$A$1001,0),MATCH('Index&amp;Match'!B865,'Main Data'!$A865:$O865,0))</f>
        <v>45928</v>
      </c>
      <c r="C866" s="2" t="str">
        <f>INDEX('Main Data'!$A$1:$O$1001,MATCH('Index&amp;Match'!$A866,'Main Data'!$A$1:$A$1001,0),MATCH('Index&amp;Match'!C865,'Main Data'!$A865:$O865,0))</f>
        <v>Morgan</v>
      </c>
      <c r="D866" s="2" t="str">
        <f>INDEX('Main Data'!$A$1:$O$1001,MATCH('Index&amp;Match'!$A866,'Main Data'!$A$1:$A$1001,0),MATCH('Index&amp;Match'!D865,'Main Data'!$A865:$O865,0))</f>
        <v>BR-013</v>
      </c>
      <c r="E866" s="2" t="str">
        <f>INDEX('Main Data'!$A$1:$O$1001,MATCH('Index&amp;Match'!$A866,'Main Data'!$A$1:$A$1001,0),MATCH('Index&amp;Match'!E865,'Main Data'!$A865:$O865,0))</f>
        <v>North</v>
      </c>
      <c r="F866" s="2" t="str">
        <f>INDEX('Main Data'!$A$1:$O$1001,MATCH('Index&amp;Match'!$A866,'Main Data'!$A$1:$A$1001,0),MATCH('Index&amp;Match'!F865,'Main Data'!$A865:$O865,0))</f>
        <v>Credit Card</v>
      </c>
      <c r="G866" s="2" t="str">
        <f>INDEX('Main Data'!$A$1:$O$1001,MATCH('Index&amp;Match'!$A866,'Main Data'!$A$1:$A$1001,0),MATCH('Index&amp;Match'!G865,'Main Data'!$A865:$O865,0))</f>
        <v>Social Media</v>
      </c>
      <c r="H866" s="2" t="str">
        <f>INDEX('Main Data'!$A$1:$O$1001,MATCH('Index&amp;Match'!$A866,'Main Data'!$A$1:$A$1001,0),MATCH('Index&amp;Match'!H865,'Main Data'!$A865:$O865,0))</f>
        <v>Corporate</v>
      </c>
      <c r="I866" s="2">
        <f>INDEX('Main Data'!$A$1:$O$1001,MATCH('Index&amp;Match'!$A866,'Main Data'!$A$1:$A$1001,0),MATCH('Index&amp;Match'!I865,'Main Data'!$A865:$O865,0))</f>
        <v>28</v>
      </c>
      <c r="J866" s="2">
        <f>INDEX('Main Data'!$A$1:$O$1001,MATCH('Index&amp;Match'!$A866,'Main Data'!$A$1:$A$1001,0),MATCH('Index&amp;Match'!J865,'Main Data'!$A865:$O865,0))</f>
        <v>28</v>
      </c>
      <c r="K866" s="11">
        <f>INDEX('Main Data'!$A$1:$O$1001,MATCH('Index&amp;Match'!$A866,'Main Data'!$A$1:$A$1001,0),MATCH('Index&amp;Match'!K865,'Main Data'!$A865:$O865,0))</f>
        <v>31789.95</v>
      </c>
      <c r="L866" s="11">
        <f>INDEX('Main Data'!$A$1:$O$1001,MATCH('Index&amp;Match'!$A866,'Main Data'!$A$1:$A$1001,0),MATCH('Index&amp;Match'!L865,'Main Data'!$A865:$O865,0))</f>
        <v>333.12</v>
      </c>
      <c r="M866" s="11">
        <f>INDEX('Main Data'!$A$1:$O$1001,MATCH('Index&amp;Match'!$A866,'Main Data'!$A$1:$A$1001,0),MATCH('Index&amp;Match'!M865,'Main Data'!$A865:$O865,0))</f>
        <v>176.38</v>
      </c>
      <c r="N866" s="2" t="str">
        <f>INDEX('Main Data'!$A$1:$O$1001,MATCH('Index&amp;Match'!$A866,'Main Data'!$A$1:$A$1001,0),MATCH('Index&amp;Match'!N865,'Main Data'!$A865:$O865,0))</f>
        <v>Yes</v>
      </c>
      <c r="O866" s="2">
        <f>INDEX('Main Data'!$A$1:$O$1001,MATCH('Index&amp;Match'!$A866,'Main Data'!$A$1:$A$1001,0),MATCH('Index&amp;Match'!O865,'Main Data'!$A865:$O865,0))</f>
        <v>28</v>
      </c>
    </row>
    <row r="867" spans="1:15" x14ac:dyDescent="0.3">
      <c r="A867" s="2" t="s">
        <v>924</v>
      </c>
      <c r="B867" s="1">
        <f>INDEX('Main Data'!$A$1:$O$1001,MATCH('Index&amp;Match'!$A867,'Main Data'!$A$1:$A$1001,0),MATCH('Index&amp;Match'!B866,'Main Data'!$A866:$O866,0))</f>
        <v>46120</v>
      </c>
      <c r="C867" s="2" t="str">
        <f>INDEX('Main Data'!$A$1:$O$1001,MATCH('Index&amp;Match'!$A867,'Main Data'!$A$1:$A$1001,0),MATCH('Index&amp;Match'!C866,'Main Data'!$A866:$O866,0))</f>
        <v>Alex</v>
      </c>
      <c r="D867" s="2" t="str">
        <f>INDEX('Main Data'!$A$1:$O$1001,MATCH('Index&amp;Match'!$A867,'Main Data'!$A$1:$A$1001,0),MATCH('Index&amp;Match'!D866,'Main Data'!$A866:$O866,0))</f>
        <v>BR-009</v>
      </c>
      <c r="E867" s="2" t="str">
        <f>INDEX('Main Data'!$A$1:$O$1001,MATCH('Index&amp;Match'!$A867,'Main Data'!$A$1:$A$1001,0),MATCH('Index&amp;Match'!E866,'Main Data'!$A866:$O866,0))</f>
        <v>West</v>
      </c>
      <c r="F867" s="2" t="str">
        <f>INDEX('Main Data'!$A$1:$O$1001,MATCH('Index&amp;Match'!$A867,'Main Data'!$A$1:$A$1001,0),MATCH('Index&amp;Match'!F866,'Main Data'!$A866:$O866,0))</f>
        <v>Mortgage</v>
      </c>
      <c r="G867" s="2" t="str">
        <f>INDEX('Main Data'!$A$1:$O$1001,MATCH('Index&amp;Match'!$A867,'Main Data'!$A$1:$A$1001,0),MATCH('Index&amp;Match'!G866,'Main Data'!$A866:$O866,0))</f>
        <v>Social Media</v>
      </c>
      <c r="H867" s="2" t="str">
        <f>INDEX('Main Data'!$A$1:$O$1001,MATCH('Index&amp;Match'!$A867,'Main Data'!$A$1:$A$1001,0),MATCH('Index&amp;Match'!H866,'Main Data'!$A866:$O866,0))</f>
        <v>SME</v>
      </c>
      <c r="I867" s="2">
        <f>INDEX('Main Data'!$A$1:$O$1001,MATCH('Index&amp;Match'!$A867,'Main Data'!$A$1:$A$1001,0),MATCH('Index&amp;Match'!I866,'Main Data'!$A866:$O866,0))</f>
        <v>43</v>
      </c>
      <c r="J867" s="2">
        <f>INDEX('Main Data'!$A$1:$O$1001,MATCH('Index&amp;Match'!$A867,'Main Data'!$A$1:$A$1001,0),MATCH('Index&amp;Match'!J866,'Main Data'!$A866:$O866,0))</f>
        <v>43</v>
      </c>
      <c r="K867" s="11">
        <f>INDEX('Main Data'!$A$1:$O$1001,MATCH('Index&amp;Match'!$A867,'Main Data'!$A$1:$A$1001,0),MATCH('Index&amp;Match'!K866,'Main Data'!$A866:$O866,0))</f>
        <v>22046.99</v>
      </c>
      <c r="L867" s="11">
        <f>INDEX('Main Data'!$A$1:$O$1001,MATCH('Index&amp;Match'!$A867,'Main Data'!$A$1:$A$1001,0),MATCH('Index&amp;Match'!L866,'Main Data'!$A866:$O866,0))</f>
        <v>216.63</v>
      </c>
      <c r="M867" s="11">
        <f>INDEX('Main Data'!$A$1:$O$1001,MATCH('Index&amp;Match'!$A867,'Main Data'!$A$1:$A$1001,0),MATCH('Index&amp;Match'!M866,'Main Data'!$A866:$O866,0))</f>
        <v>81.88</v>
      </c>
      <c r="N867" s="2" t="str">
        <f>INDEX('Main Data'!$A$1:$O$1001,MATCH('Index&amp;Match'!$A867,'Main Data'!$A$1:$A$1001,0),MATCH('Index&amp;Match'!N866,'Main Data'!$A866:$O866,0))</f>
        <v>Yes</v>
      </c>
      <c r="O867" s="2">
        <f>INDEX('Main Data'!$A$1:$O$1001,MATCH('Index&amp;Match'!$A867,'Main Data'!$A$1:$A$1001,0),MATCH('Index&amp;Match'!O866,'Main Data'!$A866:$O866,0))</f>
        <v>43</v>
      </c>
    </row>
    <row r="868" spans="1:15" x14ac:dyDescent="0.3">
      <c r="A868" s="2" t="s">
        <v>925</v>
      </c>
      <c r="B868" s="1">
        <f>INDEX('Main Data'!$A$1:$O$1001,MATCH('Index&amp;Match'!$A868,'Main Data'!$A$1:$A$1001,0),MATCH('Index&amp;Match'!B867,'Main Data'!$A867:$O867,0))</f>
        <v>46156</v>
      </c>
      <c r="C868" s="2" t="str">
        <f>INDEX('Main Data'!$A$1:$O$1001,MATCH('Index&amp;Match'!$A868,'Main Data'!$A$1:$A$1001,0),MATCH('Index&amp;Match'!C867,'Main Data'!$A867:$O867,0))</f>
        <v>Casey</v>
      </c>
      <c r="D868" s="2" t="str">
        <f>INDEX('Main Data'!$A$1:$O$1001,MATCH('Index&amp;Match'!$A868,'Main Data'!$A$1:$A$1001,0),MATCH('Index&amp;Match'!D867,'Main Data'!$A867:$O867,0))</f>
        <v>BR-005</v>
      </c>
      <c r="E868" s="2" t="str">
        <f>INDEX('Main Data'!$A$1:$O$1001,MATCH('Index&amp;Match'!$A868,'Main Data'!$A$1:$A$1001,0),MATCH('Index&amp;Match'!E867,'Main Data'!$A867:$O867,0))</f>
        <v>Central</v>
      </c>
      <c r="F868" s="2" t="str">
        <f>INDEX('Main Data'!$A$1:$O$1001,MATCH('Index&amp;Match'!$A868,'Main Data'!$A$1:$A$1001,0),MATCH('Index&amp;Match'!F867,'Main Data'!$A867:$O867,0))</f>
        <v>Mortgage</v>
      </c>
      <c r="G868" s="2" t="str">
        <f>INDEX('Main Data'!$A$1:$O$1001,MATCH('Index&amp;Match'!$A868,'Main Data'!$A$1:$A$1001,0),MATCH('Index&amp;Match'!G867,'Main Data'!$A867:$O867,0))</f>
        <v>Referral</v>
      </c>
      <c r="H868" s="2" t="str">
        <f>INDEX('Main Data'!$A$1:$O$1001,MATCH('Index&amp;Match'!$A868,'Main Data'!$A$1:$A$1001,0),MATCH('Index&amp;Match'!H867,'Main Data'!$A867:$O867,0))</f>
        <v>High Net Worth</v>
      </c>
      <c r="I868" s="2">
        <f>INDEX('Main Data'!$A$1:$O$1001,MATCH('Index&amp;Match'!$A868,'Main Data'!$A$1:$A$1001,0),MATCH('Index&amp;Match'!I867,'Main Data'!$A867:$O867,0))</f>
        <v>36</v>
      </c>
      <c r="J868" s="2">
        <f>INDEX('Main Data'!$A$1:$O$1001,MATCH('Index&amp;Match'!$A868,'Main Data'!$A$1:$A$1001,0),MATCH('Index&amp;Match'!J867,'Main Data'!$A867:$O867,0))</f>
        <v>36</v>
      </c>
      <c r="K868" s="11">
        <f>INDEX('Main Data'!$A$1:$O$1001,MATCH('Index&amp;Match'!$A868,'Main Data'!$A$1:$A$1001,0),MATCH('Index&amp;Match'!K867,'Main Data'!$A867:$O867,0))</f>
        <v>26495.119999999999</v>
      </c>
      <c r="L868" s="11">
        <f>INDEX('Main Data'!$A$1:$O$1001,MATCH('Index&amp;Match'!$A868,'Main Data'!$A$1:$A$1001,0),MATCH('Index&amp;Match'!L867,'Main Data'!$A867:$O867,0))</f>
        <v>151.77000000000001</v>
      </c>
      <c r="M868" s="11">
        <f>INDEX('Main Data'!$A$1:$O$1001,MATCH('Index&amp;Match'!$A868,'Main Data'!$A$1:$A$1001,0),MATCH('Index&amp;Match'!M867,'Main Data'!$A867:$O867,0))</f>
        <v>86.97</v>
      </c>
      <c r="N868" s="2" t="str">
        <f>INDEX('Main Data'!$A$1:$O$1001,MATCH('Index&amp;Match'!$A868,'Main Data'!$A$1:$A$1001,0),MATCH('Index&amp;Match'!N867,'Main Data'!$A867:$O867,0))</f>
        <v>Yes</v>
      </c>
      <c r="O868" s="2">
        <f>INDEX('Main Data'!$A$1:$O$1001,MATCH('Index&amp;Match'!$A868,'Main Data'!$A$1:$A$1001,0),MATCH('Index&amp;Match'!O867,'Main Data'!$A867:$O867,0))</f>
        <v>36</v>
      </c>
    </row>
    <row r="869" spans="1:15" x14ac:dyDescent="0.3">
      <c r="A869" s="2" t="s">
        <v>926</v>
      </c>
      <c r="B869" s="1">
        <f>INDEX('Main Data'!$A$1:$O$1001,MATCH('Index&amp;Match'!$A869,'Main Data'!$A$1:$A$1001,0),MATCH('Index&amp;Match'!B868,'Main Data'!$A868:$O868,0))</f>
        <v>46042</v>
      </c>
      <c r="C869" s="2" t="str">
        <f>INDEX('Main Data'!$A$1:$O$1001,MATCH('Index&amp;Match'!$A869,'Main Data'!$A$1:$A$1001,0),MATCH('Index&amp;Match'!C868,'Main Data'!$A868:$O868,0))</f>
        <v>Sam</v>
      </c>
      <c r="D869" s="2" t="str">
        <f>INDEX('Main Data'!$A$1:$O$1001,MATCH('Index&amp;Match'!$A869,'Main Data'!$A$1:$A$1001,0),MATCH('Index&amp;Match'!D868,'Main Data'!$A868:$O868,0))</f>
        <v>BR-007</v>
      </c>
      <c r="E869" s="2" t="str">
        <f>INDEX('Main Data'!$A$1:$O$1001,MATCH('Index&amp;Match'!$A869,'Main Data'!$A$1:$A$1001,0),MATCH('Index&amp;Match'!E868,'Main Data'!$A868:$O868,0))</f>
        <v>West</v>
      </c>
      <c r="F869" s="2" t="str">
        <f>INDEX('Main Data'!$A$1:$O$1001,MATCH('Index&amp;Match'!$A869,'Main Data'!$A$1:$A$1001,0),MATCH('Index&amp;Match'!F868,'Main Data'!$A868:$O868,0))</f>
        <v>Personal Loan</v>
      </c>
      <c r="G869" s="2" t="str">
        <f>INDEX('Main Data'!$A$1:$O$1001,MATCH('Index&amp;Match'!$A869,'Main Data'!$A$1:$A$1001,0),MATCH('Index&amp;Match'!G868,'Main Data'!$A868:$O868,0))</f>
        <v>Website</v>
      </c>
      <c r="H869" s="2" t="str">
        <f>INDEX('Main Data'!$A$1:$O$1001,MATCH('Index&amp;Match'!$A869,'Main Data'!$A$1:$A$1001,0),MATCH('Index&amp;Match'!H868,'Main Data'!$A868:$O868,0))</f>
        <v>Retail</v>
      </c>
      <c r="I869" s="2">
        <f>INDEX('Main Data'!$A$1:$O$1001,MATCH('Index&amp;Match'!$A869,'Main Data'!$A$1:$A$1001,0),MATCH('Index&amp;Match'!I868,'Main Data'!$A868:$O868,0))</f>
        <v>33</v>
      </c>
      <c r="J869" s="2">
        <f>INDEX('Main Data'!$A$1:$O$1001,MATCH('Index&amp;Match'!$A869,'Main Data'!$A$1:$A$1001,0),MATCH('Index&amp;Match'!J868,'Main Data'!$A868:$O868,0))</f>
        <v>33</v>
      </c>
      <c r="K869" s="11">
        <f>INDEX('Main Data'!$A$1:$O$1001,MATCH('Index&amp;Match'!$A869,'Main Data'!$A$1:$A$1001,0),MATCH('Index&amp;Match'!K868,'Main Data'!$A868:$O868,0))</f>
        <v>10381.629999999999</v>
      </c>
      <c r="L869" s="11">
        <f>INDEX('Main Data'!$A$1:$O$1001,MATCH('Index&amp;Match'!$A869,'Main Data'!$A$1:$A$1001,0),MATCH('Index&amp;Match'!L868,'Main Data'!$A868:$O868,0))</f>
        <v>442.77</v>
      </c>
      <c r="M869" s="11">
        <f>INDEX('Main Data'!$A$1:$O$1001,MATCH('Index&amp;Match'!$A869,'Main Data'!$A$1:$A$1001,0),MATCH('Index&amp;Match'!M868,'Main Data'!$A868:$O868,0))</f>
        <v>2.9</v>
      </c>
      <c r="N869" s="2" t="str">
        <f>INDEX('Main Data'!$A$1:$O$1001,MATCH('Index&amp;Match'!$A869,'Main Data'!$A$1:$A$1001,0),MATCH('Index&amp;Match'!N868,'Main Data'!$A868:$O868,0))</f>
        <v>No</v>
      </c>
      <c r="O869" s="2">
        <f>INDEX('Main Data'!$A$1:$O$1001,MATCH('Index&amp;Match'!$A869,'Main Data'!$A$1:$A$1001,0),MATCH('Index&amp;Match'!O868,'Main Data'!$A868:$O868,0))</f>
        <v>33</v>
      </c>
    </row>
    <row r="870" spans="1:15" x14ac:dyDescent="0.3">
      <c r="A870" s="2" t="s">
        <v>927</v>
      </c>
      <c r="B870" s="1">
        <f>INDEX('Main Data'!$A$1:$O$1001,MATCH('Index&amp;Match'!$A870,'Main Data'!$A$1:$A$1001,0),MATCH('Index&amp;Match'!B869,'Main Data'!$A869:$O869,0))</f>
        <v>46136</v>
      </c>
      <c r="C870" s="2" t="str">
        <f>INDEX('Main Data'!$A$1:$O$1001,MATCH('Index&amp;Match'!$A870,'Main Data'!$A$1:$A$1001,0),MATCH('Index&amp;Match'!C869,'Main Data'!$A869:$O869,0))</f>
        <v>Jamie</v>
      </c>
      <c r="D870" s="2" t="str">
        <f>INDEX('Main Data'!$A$1:$O$1001,MATCH('Index&amp;Match'!$A870,'Main Data'!$A$1:$A$1001,0),MATCH('Index&amp;Match'!D869,'Main Data'!$A869:$O869,0))</f>
        <v>BR-010</v>
      </c>
      <c r="E870" s="2" t="str">
        <f>INDEX('Main Data'!$A$1:$O$1001,MATCH('Index&amp;Match'!$A870,'Main Data'!$A$1:$A$1001,0),MATCH('Index&amp;Match'!E869,'Main Data'!$A869:$O869,0))</f>
        <v>West</v>
      </c>
      <c r="F870" s="2" t="str">
        <f>INDEX('Main Data'!$A$1:$O$1001,MATCH('Index&amp;Match'!$A870,'Main Data'!$A$1:$A$1001,0),MATCH('Index&amp;Match'!F869,'Main Data'!$A869:$O869,0))</f>
        <v>Auto Loan</v>
      </c>
      <c r="G870" s="2" t="str">
        <f>INDEX('Main Data'!$A$1:$O$1001,MATCH('Index&amp;Match'!$A870,'Main Data'!$A$1:$A$1001,0),MATCH('Index&amp;Match'!G869,'Main Data'!$A869:$O869,0))</f>
        <v>Email Campaign</v>
      </c>
      <c r="H870" s="2" t="str">
        <f>INDEX('Main Data'!$A$1:$O$1001,MATCH('Index&amp;Match'!$A870,'Main Data'!$A$1:$A$1001,0),MATCH('Index&amp;Match'!H869,'Main Data'!$A869:$O869,0))</f>
        <v>Corporate</v>
      </c>
      <c r="I870" s="2">
        <f>INDEX('Main Data'!$A$1:$O$1001,MATCH('Index&amp;Match'!$A870,'Main Data'!$A$1:$A$1001,0),MATCH('Index&amp;Match'!I869,'Main Data'!$A869:$O869,0))</f>
        <v>23</v>
      </c>
      <c r="J870" s="2">
        <f>INDEX('Main Data'!$A$1:$O$1001,MATCH('Index&amp;Match'!$A870,'Main Data'!$A$1:$A$1001,0),MATCH('Index&amp;Match'!J869,'Main Data'!$A869:$O869,0))</f>
        <v>23</v>
      </c>
      <c r="K870" s="11">
        <f>INDEX('Main Data'!$A$1:$O$1001,MATCH('Index&amp;Match'!$A870,'Main Data'!$A$1:$A$1001,0),MATCH('Index&amp;Match'!K869,'Main Data'!$A869:$O869,0))</f>
        <v>37651.94</v>
      </c>
      <c r="L870" s="11">
        <f>INDEX('Main Data'!$A$1:$O$1001,MATCH('Index&amp;Match'!$A870,'Main Data'!$A$1:$A$1001,0),MATCH('Index&amp;Match'!L869,'Main Data'!$A869:$O869,0))</f>
        <v>416.55</v>
      </c>
      <c r="M870" s="11">
        <f>INDEX('Main Data'!$A$1:$O$1001,MATCH('Index&amp;Match'!$A870,'Main Data'!$A$1:$A$1001,0),MATCH('Index&amp;Match'!M869,'Main Data'!$A869:$O869,0))</f>
        <v>114.97</v>
      </c>
      <c r="N870" s="2" t="str">
        <f>INDEX('Main Data'!$A$1:$O$1001,MATCH('Index&amp;Match'!$A870,'Main Data'!$A$1:$A$1001,0),MATCH('Index&amp;Match'!N869,'Main Data'!$A869:$O869,0))</f>
        <v>No</v>
      </c>
      <c r="O870" s="2">
        <f>INDEX('Main Data'!$A$1:$O$1001,MATCH('Index&amp;Match'!$A870,'Main Data'!$A$1:$A$1001,0),MATCH('Index&amp;Match'!O869,'Main Data'!$A869:$O869,0))</f>
        <v>23</v>
      </c>
    </row>
    <row r="871" spans="1:15" x14ac:dyDescent="0.3">
      <c r="A871" s="2" t="s">
        <v>928</v>
      </c>
      <c r="B871" s="1">
        <f>INDEX('Main Data'!$A$1:$O$1001,MATCH('Index&amp;Match'!$A871,'Main Data'!$A$1:$A$1001,0),MATCH('Index&amp;Match'!B870,'Main Data'!$A870:$O870,0))</f>
        <v>46089</v>
      </c>
      <c r="C871" s="2" t="str">
        <f>INDEX('Main Data'!$A$1:$O$1001,MATCH('Index&amp;Match'!$A871,'Main Data'!$A$1:$A$1001,0),MATCH('Index&amp;Match'!C870,'Main Data'!$A870:$O870,0))</f>
        <v>Sam</v>
      </c>
      <c r="D871" s="2" t="str">
        <f>INDEX('Main Data'!$A$1:$O$1001,MATCH('Index&amp;Match'!$A871,'Main Data'!$A$1:$A$1001,0),MATCH('Index&amp;Match'!D870,'Main Data'!$A870:$O870,0))</f>
        <v>BR-013</v>
      </c>
      <c r="E871" s="2" t="str">
        <f>INDEX('Main Data'!$A$1:$O$1001,MATCH('Index&amp;Match'!$A871,'Main Data'!$A$1:$A$1001,0),MATCH('Index&amp;Match'!E870,'Main Data'!$A870:$O870,0))</f>
        <v>West</v>
      </c>
      <c r="F871" s="2" t="str">
        <f>INDEX('Main Data'!$A$1:$O$1001,MATCH('Index&amp;Match'!$A871,'Main Data'!$A$1:$A$1001,0),MATCH('Index&amp;Match'!F870,'Main Data'!$A870:$O870,0))</f>
        <v>Auto Loan</v>
      </c>
      <c r="G871" s="2" t="str">
        <f>INDEX('Main Data'!$A$1:$O$1001,MATCH('Index&amp;Match'!$A871,'Main Data'!$A$1:$A$1001,0),MATCH('Index&amp;Match'!G870,'Main Data'!$A870:$O870,0))</f>
        <v>Walk-in</v>
      </c>
      <c r="H871" s="2" t="str">
        <f>INDEX('Main Data'!$A$1:$O$1001,MATCH('Index&amp;Match'!$A871,'Main Data'!$A$1:$A$1001,0),MATCH('Index&amp;Match'!H870,'Main Data'!$A870:$O870,0))</f>
        <v>Retail</v>
      </c>
      <c r="I871" s="2">
        <f>INDEX('Main Data'!$A$1:$O$1001,MATCH('Index&amp;Match'!$A871,'Main Data'!$A$1:$A$1001,0),MATCH('Index&amp;Match'!I870,'Main Data'!$A870:$O870,0))</f>
        <v>68</v>
      </c>
      <c r="J871" s="2">
        <f>INDEX('Main Data'!$A$1:$O$1001,MATCH('Index&amp;Match'!$A871,'Main Data'!$A$1:$A$1001,0),MATCH('Index&amp;Match'!J870,'Main Data'!$A870:$O870,0))</f>
        <v>68</v>
      </c>
      <c r="K871" s="11">
        <f>INDEX('Main Data'!$A$1:$O$1001,MATCH('Index&amp;Match'!$A871,'Main Data'!$A$1:$A$1001,0),MATCH('Index&amp;Match'!K870,'Main Data'!$A870:$O870,0))</f>
        <v>37447.78</v>
      </c>
      <c r="L871" s="11">
        <f>INDEX('Main Data'!$A$1:$O$1001,MATCH('Index&amp;Match'!$A871,'Main Data'!$A$1:$A$1001,0),MATCH('Index&amp;Match'!L870,'Main Data'!$A870:$O870,0))</f>
        <v>155.27000000000001</v>
      </c>
      <c r="M871" s="11">
        <f>INDEX('Main Data'!$A$1:$O$1001,MATCH('Index&amp;Match'!$A871,'Main Data'!$A$1:$A$1001,0),MATCH('Index&amp;Match'!M870,'Main Data'!$A870:$O870,0))</f>
        <v>80.45</v>
      </c>
      <c r="N871" s="2" t="str">
        <f>INDEX('Main Data'!$A$1:$O$1001,MATCH('Index&amp;Match'!$A871,'Main Data'!$A$1:$A$1001,0),MATCH('Index&amp;Match'!N870,'Main Data'!$A870:$O870,0))</f>
        <v>No</v>
      </c>
      <c r="O871" s="2">
        <f>INDEX('Main Data'!$A$1:$O$1001,MATCH('Index&amp;Match'!$A871,'Main Data'!$A$1:$A$1001,0),MATCH('Index&amp;Match'!O870,'Main Data'!$A870:$O870,0))</f>
        <v>68</v>
      </c>
    </row>
    <row r="872" spans="1:15" x14ac:dyDescent="0.3">
      <c r="A872" s="2" t="s">
        <v>929</v>
      </c>
      <c r="B872" s="1">
        <f>INDEX('Main Data'!$A$1:$O$1001,MATCH('Index&amp;Match'!$A872,'Main Data'!$A$1:$A$1001,0),MATCH('Index&amp;Match'!B871,'Main Data'!$A871:$O871,0))</f>
        <v>46199</v>
      </c>
      <c r="C872" s="2" t="str">
        <f>INDEX('Main Data'!$A$1:$O$1001,MATCH('Index&amp;Match'!$A872,'Main Data'!$A$1:$A$1001,0),MATCH('Index&amp;Match'!C871,'Main Data'!$A871:$O871,0))</f>
        <v>Casey</v>
      </c>
      <c r="D872" s="2" t="str">
        <f>INDEX('Main Data'!$A$1:$O$1001,MATCH('Index&amp;Match'!$A872,'Main Data'!$A$1:$A$1001,0),MATCH('Index&amp;Match'!D871,'Main Data'!$A871:$O871,0))</f>
        <v>BR-001</v>
      </c>
      <c r="E872" s="2" t="str">
        <f>INDEX('Main Data'!$A$1:$O$1001,MATCH('Index&amp;Match'!$A872,'Main Data'!$A$1:$A$1001,0),MATCH('Index&amp;Match'!E871,'Main Data'!$A871:$O871,0))</f>
        <v>Central</v>
      </c>
      <c r="F872" s="2" t="str">
        <f>INDEX('Main Data'!$A$1:$O$1001,MATCH('Index&amp;Match'!$A872,'Main Data'!$A$1:$A$1001,0),MATCH('Index&amp;Match'!F871,'Main Data'!$A871:$O871,0))</f>
        <v>Auto Loan</v>
      </c>
      <c r="G872" s="2" t="str">
        <f>INDEX('Main Data'!$A$1:$O$1001,MATCH('Index&amp;Match'!$A872,'Main Data'!$A$1:$A$1001,0),MATCH('Index&amp;Match'!G871,'Main Data'!$A871:$O871,0))</f>
        <v>Email Campaign</v>
      </c>
      <c r="H872" s="2" t="str">
        <f>INDEX('Main Data'!$A$1:$O$1001,MATCH('Index&amp;Match'!$A872,'Main Data'!$A$1:$A$1001,0),MATCH('Index&amp;Match'!H871,'Main Data'!$A871:$O871,0))</f>
        <v>Retail</v>
      </c>
      <c r="I872" s="2">
        <f>INDEX('Main Data'!$A$1:$O$1001,MATCH('Index&amp;Match'!$A872,'Main Data'!$A$1:$A$1001,0),MATCH('Index&amp;Match'!I871,'Main Data'!$A871:$O871,0))</f>
        <v>29</v>
      </c>
      <c r="J872" s="2">
        <f>INDEX('Main Data'!$A$1:$O$1001,MATCH('Index&amp;Match'!$A872,'Main Data'!$A$1:$A$1001,0),MATCH('Index&amp;Match'!J871,'Main Data'!$A871:$O871,0))</f>
        <v>29</v>
      </c>
      <c r="K872" s="11">
        <f>INDEX('Main Data'!$A$1:$O$1001,MATCH('Index&amp;Match'!$A872,'Main Data'!$A$1:$A$1001,0),MATCH('Index&amp;Match'!K871,'Main Data'!$A871:$O871,0))</f>
        <v>7703.11</v>
      </c>
      <c r="L872" s="11">
        <f>INDEX('Main Data'!$A$1:$O$1001,MATCH('Index&amp;Match'!$A872,'Main Data'!$A$1:$A$1001,0),MATCH('Index&amp;Match'!L871,'Main Data'!$A871:$O871,0))</f>
        <v>140.28</v>
      </c>
      <c r="M872" s="11">
        <f>INDEX('Main Data'!$A$1:$O$1001,MATCH('Index&amp;Match'!$A872,'Main Data'!$A$1:$A$1001,0),MATCH('Index&amp;Match'!M871,'Main Data'!$A871:$O871,0))</f>
        <v>74.930000000000007</v>
      </c>
      <c r="N872" s="2" t="str">
        <f>INDEX('Main Data'!$A$1:$O$1001,MATCH('Index&amp;Match'!$A872,'Main Data'!$A$1:$A$1001,0),MATCH('Index&amp;Match'!N871,'Main Data'!$A871:$O871,0))</f>
        <v>No</v>
      </c>
      <c r="O872" s="2">
        <f>INDEX('Main Data'!$A$1:$O$1001,MATCH('Index&amp;Match'!$A872,'Main Data'!$A$1:$A$1001,0),MATCH('Index&amp;Match'!O871,'Main Data'!$A871:$O871,0))</f>
        <v>29</v>
      </c>
    </row>
    <row r="873" spans="1:15" x14ac:dyDescent="0.3">
      <c r="A873" s="2" t="s">
        <v>930</v>
      </c>
      <c r="B873" s="1">
        <f>INDEX('Main Data'!$A$1:$O$1001,MATCH('Index&amp;Match'!$A873,'Main Data'!$A$1:$A$1001,0),MATCH('Index&amp;Match'!B872,'Main Data'!$A872:$O872,0))</f>
        <v>46038</v>
      </c>
      <c r="C873" s="2" t="str">
        <f>INDEX('Main Data'!$A$1:$O$1001,MATCH('Index&amp;Match'!$A873,'Main Data'!$A$1:$A$1001,0),MATCH('Index&amp;Match'!C872,'Main Data'!$A872:$O872,0))</f>
        <v>Drew</v>
      </c>
      <c r="D873" s="2" t="str">
        <f>INDEX('Main Data'!$A$1:$O$1001,MATCH('Index&amp;Match'!$A873,'Main Data'!$A$1:$A$1001,0),MATCH('Index&amp;Match'!D872,'Main Data'!$A872:$O872,0))</f>
        <v>BR-010</v>
      </c>
      <c r="E873" s="2" t="str">
        <f>INDEX('Main Data'!$A$1:$O$1001,MATCH('Index&amp;Match'!$A873,'Main Data'!$A$1:$A$1001,0),MATCH('Index&amp;Match'!E872,'Main Data'!$A872:$O872,0))</f>
        <v>West</v>
      </c>
      <c r="F873" s="2" t="str">
        <f>INDEX('Main Data'!$A$1:$O$1001,MATCH('Index&amp;Match'!$A873,'Main Data'!$A$1:$A$1001,0),MATCH('Index&amp;Match'!F872,'Main Data'!$A872:$O872,0))</f>
        <v>Personal Loan</v>
      </c>
      <c r="G873" s="2" t="str">
        <f>INDEX('Main Data'!$A$1:$O$1001,MATCH('Index&amp;Match'!$A873,'Main Data'!$A$1:$A$1001,0),MATCH('Index&amp;Match'!G872,'Main Data'!$A872:$O872,0))</f>
        <v>Walk-in</v>
      </c>
      <c r="H873" s="2" t="str">
        <f>INDEX('Main Data'!$A$1:$O$1001,MATCH('Index&amp;Match'!$A873,'Main Data'!$A$1:$A$1001,0),MATCH('Index&amp;Match'!H872,'Main Data'!$A872:$O872,0))</f>
        <v>Retail</v>
      </c>
      <c r="I873" s="2">
        <f>INDEX('Main Data'!$A$1:$O$1001,MATCH('Index&amp;Match'!$A873,'Main Data'!$A$1:$A$1001,0),MATCH('Index&amp;Match'!I872,'Main Data'!$A872:$O872,0))</f>
        <v>34</v>
      </c>
      <c r="J873" s="2">
        <f>INDEX('Main Data'!$A$1:$O$1001,MATCH('Index&amp;Match'!$A873,'Main Data'!$A$1:$A$1001,0),MATCH('Index&amp;Match'!J872,'Main Data'!$A872:$O872,0))</f>
        <v>34</v>
      </c>
      <c r="K873" s="11">
        <f>INDEX('Main Data'!$A$1:$O$1001,MATCH('Index&amp;Match'!$A873,'Main Data'!$A$1:$A$1001,0),MATCH('Index&amp;Match'!K872,'Main Data'!$A872:$O872,0))</f>
        <v>43959.93</v>
      </c>
      <c r="L873" s="11">
        <f>INDEX('Main Data'!$A$1:$O$1001,MATCH('Index&amp;Match'!$A873,'Main Data'!$A$1:$A$1001,0),MATCH('Index&amp;Match'!L872,'Main Data'!$A872:$O872,0))</f>
        <v>371.81</v>
      </c>
      <c r="M873" s="11">
        <f>INDEX('Main Data'!$A$1:$O$1001,MATCH('Index&amp;Match'!$A873,'Main Data'!$A$1:$A$1001,0),MATCH('Index&amp;Match'!M872,'Main Data'!$A872:$O872,0))</f>
        <v>36.590000000000003</v>
      </c>
      <c r="N873" s="2" t="str">
        <f>INDEX('Main Data'!$A$1:$O$1001,MATCH('Index&amp;Match'!$A873,'Main Data'!$A$1:$A$1001,0),MATCH('Index&amp;Match'!N872,'Main Data'!$A872:$O872,0))</f>
        <v>No</v>
      </c>
      <c r="O873" s="2">
        <f>INDEX('Main Data'!$A$1:$O$1001,MATCH('Index&amp;Match'!$A873,'Main Data'!$A$1:$A$1001,0),MATCH('Index&amp;Match'!O872,'Main Data'!$A872:$O872,0))</f>
        <v>34</v>
      </c>
    </row>
    <row r="874" spans="1:15" x14ac:dyDescent="0.3">
      <c r="A874" s="2" t="s">
        <v>931</v>
      </c>
      <c r="B874" s="1">
        <f>INDEX('Main Data'!$A$1:$O$1001,MATCH('Index&amp;Match'!$A874,'Main Data'!$A$1:$A$1001,0),MATCH('Index&amp;Match'!B873,'Main Data'!$A873:$O873,0))</f>
        <v>46185</v>
      </c>
      <c r="C874" s="2" t="str">
        <f>INDEX('Main Data'!$A$1:$O$1001,MATCH('Index&amp;Match'!$A874,'Main Data'!$A$1:$A$1001,0),MATCH('Index&amp;Match'!C873,'Main Data'!$A873:$O873,0))</f>
        <v>Jordan</v>
      </c>
      <c r="D874" s="2" t="str">
        <f>INDEX('Main Data'!$A$1:$O$1001,MATCH('Index&amp;Match'!$A874,'Main Data'!$A$1:$A$1001,0),MATCH('Index&amp;Match'!D873,'Main Data'!$A873:$O873,0))</f>
        <v>BR-005</v>
      </c>
      <c r="E874" s="2" t="str">
        <f>INDEX('Main Data'!$A$1:$O$1001,MATCH('Index&amp;Match'!$A874,'Main Data'!$A$1:$A$1001,0),MATCH('Index&amp;Match'!E873,'Main Data'!$A873:$O873,0))</f>
        <v>South</v>
      </c>
      <c r="F874" s="2" t="str">
        <f>INDEX('Main Data'!$A$1:$O$1001,MATCH('Index&amp;Match'!$A874,'Main Data'!$A$1:$A$1001,0),MATCH('Index&amp;Match'!F873,'Main Data'!$A873:$O873,0))</f>
        <v>Auto Loan</v>
      </c>
      <c r="G874" s="2" t="str">
        <f>INDEX('Main Data'!$A$1:$O$1001,MATCH('Index&amp;Match'!$A874,'Main Data'!$A$1:$A$1001,0),MATCH('Index&amp;Match'!G873,'Main Data'!$A873:$O873,0))</f>
        <v>Walk-in</v>
      </c>
      <c r="H874" s="2" t="str">
        <f>INDEX('Main Data'!$A$1:$O$1001,MATCH('Index&amp;Match'!$A874,'Main Data'!$A$1:$A$1001,0),MATCH('Index&amp;Match'!H873,'Main Data'!$A873:$O873,0))</f>
        <v>Corporate</v>
      </c>
      <c r="I874" s="2">
        <f>INDEX('Main Data'!$A$1:$O$1001,MATCH('Index&amp;Match'!$A874,'Main Data'!$A$1:$A$1001,0),MATCH('Index&amp;Match'!I873,'Main Data'!$A873:$O873,0))</f>
        <v>33</v>
      </c>
      <c r="J874" s="2">
        <f>INDEX('Main Data'!$A$1:$O$1001,MATCH('Index&amp;Match'!$A874,'Main Data'!$A$1:$A$1001,0),MATCH('Index&amp;Match'!J873,'Main Data'!$A873:$O873,0))</f>
        <v>33</v>
      </c>
      <c r="K874" s="11">
        <f>INDEX('Main Data'!$A$1:$O$1001,MATCH('Index&amp;Match'!$A874,'Main Data'!$A$1:$A$1001,0),MATCH('Index&amp;Match'!K873,'Main Data'!$A873:$O873,0))</f>
        <v>13824.89</v>
      </c>
      <c r="L874" s="11">
        <f>INDEX('Main Data'!$A$1:$O$1001,MATCH('Index&amp;Match'!$A874,'Main Data'!$A$1:$A$1001,0),MATCH('Index&amp;Match'!L873,'Main Data'!$A873:$O873,0))</f>
        <v>191.73</v>
      </c>
      <c r="M874" s="11">
        <f>INDEX('Main Data'!$A$1:$O$1001,MATCH('Index&amp;Match'!$A874,'Main Data'!$A$1:$A$1001,0),MATCH('Index&amp;Match'!M873,'Main Data'!$A873:$O873,0))</f>
        <v>86.01</v>
      </c>
      <c r="N874" s="2" t="str">
        <f>INDEX('Main Data'!$A$1:$O$1001,MATCH('Index&amp;Match'!$A874,'Main Data'!$A$1:$A$1001,0),MATCH('Index&amp;Match'!N873,'Main Data'!$A873:$O873,0))</f>
        <v>Yes</v>
      </c>
      <c r="O874" s="2">
        <f>INDEX('Main Data'!$A$1:$O$1001,MATCH('Index&amp;Match'!$A874,'Main Data'!$A$1:$A$1001,0),MATCH('Index&amp;Match'!O873,'Main Data'!$A873:$O873,0))</f>
        <v>33</v>
      </c>
    </row>
    <row r="875" spans="1:15" x14ac:dyDescent="0.3">
      <c r="A875" s="2" t="s">
        <v>932</v>
      </c>
      <c r="B875" s="1">
        <f>INDEX('Main Data'!$A$1:$O$1001,MATCH('Index&amp;Match'!$A875,'Main Data'!$A$1:$A$1001,0),MATCH('Index&amp;Match'!B874,'Main Data'!$A874:$O874,0))</f>
        <v>46012</v>
      </c>
      <c r="C875" s="2" t="str">
        <f>INDEX('Main Data'!$A$1:$O$1001,MATCH('Index&amp;Match'!$A875,'Main Data'!$A$1:$A$1001,0),MATCH('Index&amp;Match'!C874,'Main Data'!$A874:$O874,0))</f>
        <v>Alex</v>
      </c>
      <c r="D875" s="2" t="str">
        <f>INDEX('Main Data'!$A$1:$O$1001,MATCH('Index&amp;Match'!$A875,'Main Data'!$A$1:$A$1001,0),MATCH('Index&amp;Match'!D874,'Main Data'!$A874:$O874,0))</f>
        <v>BR-012</v>
      </c>
      <c r="E875" s="2" t="str">
        <f>INDEX('Main Data'!$A$1:$O$1001,MATCH('Index&amp;Match'!$A875,'Main Data'!$A$1:$A$1001,0),MATCH('Index&amp;Match'!E874,'Main Data'!$A874:$O874,0))</f>
        <v>Central</v>
      </c>
      <c r="F875" s="2" t="str">
        <f>INDEX('Main Data'!$A$1:$O$1001,MATCH('Index&amp;Match'!$A875,'Main Data'!$A$1:$A$1001,0),MATCH('Index&amp;Match'!F874,'Main Data'!$A874:$O874,0))</f>
        <v>Mortgage</v>
      </c>
      <c r="G875" s="2" t="str">
        <f>INDEX('Main Data'!$A$1:$O$1001,MATCH('Index&amp;Match'!$A875,'Main Data'!$A$1:$A$1001,0),MATCH('Index&amp;Match'!G874,'Main Data'!$A874:$O874,0))</f>
        <v>Social Media</v>
      </c>
      <c r="H875" s="2" t="str">
        <f>INDEX('Main Data'!$A$1:$O$1001,MATCH('Index&amp;Match'!$A875,'Main Data'!$A$1:$A$1001,0),MATCH('Index&amp;Match'!H874,'Main Data'!$A874:$O874,0))</f>
        <v>SME</v>
      </c>
      <c r="I875" s="2">
        <f>INDEX('Main Data'!$A$1:$O$1001,MATCH('Index&amp;Match'!$A875,'Main Data'!$A$1:$A$1001,0),MATCH('Index&amp;Match'!I874,'Main Data'!$A874:$O874,0))</f>
        <v>73</v>
      </c>
      <c r="J875" s="2">
        <f>INDEX('Main Data'!$A$1:$O$1001,MATCH('Index&amp;Match'!$A875,'Main Data'!$A$1:$A$1001,0),MATCH('Index&amp;Match'!J874,'Main Data'!$A874:$O874,0))</f>
        <v>73</v>
      </c>
      <c r="K875" s="11">
        <f>INDEX('Main Data'!$A$1:$O$1001,MATCH('Index&amp;Match'!$A875,'Main Data'!$A$1:$A$1001,0),MATCH('Index&amp;Match'!K874,'Main Data'!$A874:$O874,0))</f>
        <v>49121.68</v>
      </c>
      <c r="L875" s="11">
        <f>INDEX('Main Data'!$A$1:$O$1001,MATCH('Index&amp;Match'!$A875,'Main Data'!$A$1:$A$1001,0),MATCH('Index&amp;Match'!L874,'Main Data'!$A874:$O874,0))</f>
        <v>187.88</v>
      </c>
      <c r="M875" s="11">
        <f>INDEX('Main Data'!$A$1:$O$1001,MATCH('Index&amp;Match'!$A875,'Main Data'!$A$1:$A$1001,0),MATCH('Index&amp;Match'!M874,'Main Data'!$A874:$O874,0))</f>
        <v>196.89</v>
      </c>
      <c r="N875" s="2" t="str">
        <f>INDEX('Main Data'!$A$1:$O$1001,MATCH('Index&amp;Match'!$A875,'Main Data'!$A$1:$A$1001,0),MATCH('Index&amp;Match'!N874,'Main Data'!$A874:$O874,0))</f>
        <v>Yes</v>
      </c>
      <c r="O875" s="2">
        <f>INDEX('Main Data'!$A$1:$O$1001,MATCH('Index&amp;Match'!$A875,'Main Data'!$A$1:$A$1001,0),MATCH('Index&amp;Match'!O874,'Main Data'!$A874:$O874,0))</f>
        <v>73</v>
      </c>
    </row>
    <row r="876" spans="1:15" x14ac:dyDescent="0.3">
      <c r="A876" s="2" t="s">
        <v>933</v>
      </c>
      <c r="B876" s="1">
        <f>INDEX('Main Data'!$A$1:$O$1001,MATCH('Index&amp;Match'!$A876,'Main Data'!$A$1:$A$1001,0),MATCH('Index&amp;Match'!B875,'Main Data'!$A875:$O875,0))</f>
        <v>45976</v>
      </c>
      <c r="C876" s="2" t="str">
        <f>INDEX('Main Data'!$A$1:$O$1001,MATCH('Index&amp;Match'!$A876,'Main Data'!$A$1:$A$1001,0),MATCH('Index&amp;Match'!C875,'Main Data'!$A875:$O875,0))</f>
        <v>Jordan</v>
      </c>
      <c r="D876" s="2" t="str">
        <f>INDEX('Main Data'!$A$1:$O$1001,MATCH('Index&amp;Match'!$A876,'Main Data'!$A$1:$A$1001,0),MATCH('Index&amp;Match'!D875,'Main Data'!$A875:$O875,0))</f>
        <v>BR-014</v>
      </c>
      <c r="E876" s="2" t="str">
        <f>INDEX('Main Data'!$A$1:$O$1001,MATCH('Index&amp;Match'!$A876,'Main Data'!$A$1:$A$1001,0),MATCH('Index&amp;Match'!E875,'Main Data'!$A875:$O875,0))</f>
        <v>West</v>
      </c>
      <c r="F876" s="2" t="str">
        <f>INDEX('Main Data'!$A$1:$O$1001,MATCH('Index&amp;Match'!$A876,'Main Data'!$A$1:$A$1001,0),MATCH('Index&amp;Match'!F875,'Main Data'!$A875:$O875,0))</f>
        <v>Credit Card</v>
      </c>
      <c r="G876" s="2" t="str">
        <f>INDEX('Main Data'!$A$1:$O$1001,MATCH('Index&amp;Match'!$A876,'Main Data'!$A$1:$A$1001,0),MATCH('Index&amp;Match'!G875,'Main Data'!$A875:$O875,0))</f>
        <v>Walk-in</v>
      </c>
      <c r="H876" s="2" t="str">
        <f>INDEX('Main Data'!$A$1:$O$1001,MATCH('Index&amp;Match'!$A876,'Main Data'!$A$1:$A$1001,0),MATCH('Index&amp;Match'!H875,'Main Data'!$A875:$O875,0))</f>
        <v>SME</v>
      </c>
      <c r="I876" s="2">
        <f>INDEX('Main Data'!$A$1:$O$1001,MATCH('Index&amp;Match'!$A876,'Main Data'!$A$1:$A$1001,0),MATCH('Index&amp;Match'!I875,'Main Data'!$A875:$O875,0))</f>
        <v>27</v>
      </c>
      <c r="J876" s="2">
        <f>INDEX('Main Data'!$A$1:$O$1001,MATCH('Index&amp;Match'!$A876,'Main Data'!$A$1:$A$1001,0),MATCH('Index&amp;Match'!J875,'Main Data'!$A875:$O875,0))</f>
        <v>27</v>
      </c>
      <c r="K876" s="11">
        <f>INDEX('Main Data'!$A$1:$O$1001,MATCH('Index&amp;Match'!$A876,'Main Data'!$A$1:$A$1001,0),MATCH('Index&amp;Match'!K875,'Main Data'!$A875:$O875,0))</f>
        <v>19453.7</v>
      </c>
      <c r="L876" s="11">
        <f>INDEX('Main Data'!$A$1:$O$1001,MATCH('Index&amp;Match'!$A876,'Main Data'!$A$1:$A$1001,0),MATCH('Index&amp;Match'!L875,'Main Data'!$A875:$O875,0))</f>
        <v>118.53</v>
      </c>
      <c r="M876" s="11">
        <f>INDEX('Main Data'!$A$1:$O$1001,MATCH('Index&amp;Match'!$A876,'Main Data'!$A$1:$A$1001,0),MATCH('Index&amp;Match'!M875,'Main Data'!$A875:$O875,0))</f>
        <v>59.55</v>
      </c>
      <c r="N876" s="2" t="str">
        <f>INDEX('Main Data'!$A$1:$O$1001,MATCH('Index&amp;Match'!$A876,'Main Data'!$A$1:$A$1001,0),MATCH('Index&amp;Match'!N875,'Main Data'!$A875:$O875,0))</f>
        <v>No</v>
      </c>
      <c r="O876" s="2">
        <f>INDEX('Main Data'!$A$1:$O$1001,MATCH('Index&amp;Match'!$A876,'Main Data'!$A$1:$A$1001,0),MATCH('Index&amp;Match'!O875,'Main Data'!$A875:$O875,0))</f>
        <v>27</v>
      </c>
    </row>
    <row r="877" spans="1:15" x14ac:dyDescent="0.3">
      <c r="A877" s="2" t="s">
        <v>934</v>
      </c>
      <c r="B877" s="1">
        <f>INDEX('Main Data'!$A$1:$O$1001,MATCH('Index&amp;Match'!$A877,'Main Data'!$A$1:$A$1001,0),MATCH('Index&amp;Match'!B876,'Main Data'!$A876:$O876,0))</f>
        <v>45895</v>
      </c>
      <c r="C877" s="2" t="str">
        <f>INDEX('Main Data'!$A$1:$O$1001,MATCH('Index&amp;Match'!$A877,'Main Data'!$A$1:$A$1001,0),MATCH('Index&amp;Match'!C876,'Main Data'!$A876:$O876,0))</f>
        <v>Taylor</v>
      </c>
      <c r="D877" s="2" t="str">
        <f>INDEX('Main Data'!$A$1:$O$1001,MATCH('Index&amp;Match'!$A877,'Main Data'!$A$1:$A$1001,0),MATCH('Index&amp;Match'!D876,'Main Data'!$A876:$O876,0))</f>
        <v>BR-010</v>
      </c>
      <c r="E877" s="2" t="str">
        <f>INDEX('Main Data'!$A$1:$O$1001,MATCH('Index&amp;Match'!$A877,'Main Data'!$A$1:$A$1001,0),MATCH('Index&amp;Match'!E876,'Main Data'!$A876:$O876,0))</f>
        <v>Central</v>
      </c>
      <c r="F877" s="2" t="str">
        <f>INDEX('Main Data'!$A$1:$O$1001,MATCH('Index&amp;Match'!$A877,'Main Data'!$A$1:$A$1001,0),MATCH('Index&amp;Match'!F876,'Main Data'!$A876:$O876,0))</f>
        <v>Mortgage</v>
      </c>
      <c r="G877" s="2" t="str">
        <f>INDEX('Main Data'!$A$1:$O$1001,MATCH('Index&amp;Match'!$A877,'Main Data'!$A$1:$A$1001,0),MATCH('Index&amp;Match'!G876,'Main Data'!$A876:$O876,0))</f>
        <v>Walk-in</v>
      </c>
      <c r="H877" s="2" t="str">
        <f>INDEX('Main Data'!$A$1:$O$1001,MATCH('Index&amp;Match'!$A877,'Main Data'!$A$1:$A$1001,0),MATCH('Index&amp;Match'!H876,'Main Data'!$A876:$O876,0))</f>
        <v>SME</v>
      </c>
      <c r="I877" s="2">
        <f>INDEX('Main Data'!$A$1:$O$1001,MATCH('Index&amp;Match'!$A877,'Main Data'!$A$1:$A$1001,0),MATCH('Index&amp;Match'!I876,'Main Data'!$A876:$O876,0))</f>
        <v>35</v>
      </c>
      <c r="J877" s="2">
        <f>INDEX('Main Data'!$A$1:$O$1001,MATCH('Index&amp;Match'!$A877,'Main Data'!$A$1:$A$1001,0),MATCH('Index&amp;Match'!J876,'Main Data'!$A876:$O876,0))</f>
        <v>35</v>
      </c>
      <c r="K877" s="11">
        <f>INDEX('Main Data'!$A$1:$O$1001,MATCH('Index&amp;Match'!$A877,'Main Data'!$A$1:$A$1001,0),MATCH('Index&amp;Match'!K876,'Main Data'!$A876:$O876,0))</f>
        <v>9305.26</v>
      </c>
      <c r="L877" s="11">
        <f>INDEX('Main Data'!$A$1:$O$1001,MATCH('Index&amp;Match'!$A877,'Main Data'!$A$1:$A$1001,0),MATCH('Index&amp;Match'!L876,'Main Data'!$A876:$O876,0))</f>
        <v>168.79</v>
      </c>
      <c r="M877" s="11">
        <f>INDEX('Main Data'!$A$1:$O$1001,MATCH('Index&amp;Match'!$A877,'Main Data'!$A$1:$A$1001,0),MATCH('Index&amp;Match'!M876,'Main Data'!$A876:$O876,0))</f>
        <v>119.94</v>
      </c>
      <c r="N877" s="2" t="str">
        <f>INDEX('Main Data'!$A$1:$O$1001,MATCH('Index&amp;Match'!$A877,'Main Data'!$A$1:$A$1001,0),MATCH('Index&amp;Match'!N876,'Main Data'!$A876:$O876,0))</f>
        <v>Yes</v>
      </c>
      <c r="O877" s="2">
        <f>INDEX('Main Data'!$A$1:$O$1001,MATCH('Index&amp;Match'!$A877,'Main Data'!$A$1:$A$1001,0),MATCH('Index&amp;Match'!O876,'Main Data'!$A876:$O876,0))</f>
        <v>35</v>
      </c>
    </row>
    <row r="878" spans="1:15" x14ac:dyDescent="0.3">
      <c r="A878" s="2" t="s">
        <v>935</v>
      </c>
      <c r="B878" s="1">
        <f>INDEX('Main Data'!$A$1:$O$1001,MATCH('Index&amp;Match'!$A878,'Main Data'!$A$1:$A$1001,0),MATCH('Index&amp;Match'!B877,'Main Data'!$A877:$O877,0))</f>
        <v>46099</v>
      </c>
      <c r="C878" s="2" t="str">
        <f>INDEX('Main Data'!$A$1:$O$1001,MATCH('Index&amp;Match'!$A878,'Main Data'!$A$1:$A$1001,0),MATCH('Index&amp;Match'!C877,'Main Data'!$A877:$O877,0))</f>
        <v>Jordan</v>
      </c>
      <c r="D878" s="2" t="str">
        <f>INDEX('Main Data'!$A$1:$O$1001,MATCH('Index&amp;Match'!$A878,'Main Data'!$A$1:$A$1001,0),MATCH('Index&amp;Match'!D877,'Main Data'!$A877:$O877,0))</f>
        <v>BR-014</v>
      </c>
      <c r="E878" s="2" t="str">
        <f>INDEX('Main Data'!$A$1:$O$1001,MATCH('Index&amp;Match'!$A878,'Main Data'!$A$1:$A$1001,0),MATCH('Index&amp;Match'!E877,'Main Data'!$A877:$O877,0))</f>
        <v>East</v>
      </c>
      <c r="F878" s="2" t="str">
        <f>INDEX('Main Data'!$A$1:$O$1001,MATCH('Index&amp;Match'!$A878,'Main Data'!$A$1:$A$1001,0),MATCH('Index&amp;Match'!F877,'Main Data'!$A877:$O877,0))</f>
        <v>Mortgage</v>
      </c>
      <c r="G878" s="2" t="str">
        <f>INDEX('Main Data'!$A$1:$O$1001,MATCH('Index&amp;Match'!$A878,'Main Data'!$A$1:$A$1001,0),MATCH('Index&amp;Match'!G877,'Main Data'!$A877:$O877,0))</f>
        <v>Referral</v>
      </c>
      <c r="H878" s="2" t="str">
        <f>INDEX('Main Data'!$A$1:$O$1001,MATCH('Index&amp;Match'!$A878,'Main Data'!$A$1:$A$1001,0),MATCH('Index&amp;Match'!H877,'Main Data'!$A877:$O877,0))</f>
        <v>Retail</v>
      </c>
      <c r="I878" s="2">
        <f>INDEX('Main Data'!$A$1:$O$1001,MATCH('Index&amp;Match'!$A878,'Main Data'!$A$1:$A$1001,0),MATCH('Index&amp;Match'!I877,'Main Data'!$A877:$O877,0))</f>
        <v>27</v>
      </c>
      <c r="J878" s="2">
        <f>INDEX('Main Data'!$A$1:$O$1001,MATCH('Index&amp;Match'!$A878,'Main Data'!$A$1:$A$1001,0),MATCH('Index&amp;Match'!J877,'Main Data'!$A877:$O877,0))</f>
        <v>27</v>
      </c>
      <c r="K878" s="11">
        <f>INDEX('Main Data'!$A$1:$O$1001,MATCH('Index&amp;Match'!$A878,'Main Data'!$A$1:$A$1001,0),MATCH('Index&amp;Match'!K877,'Main Data'!$A877:$O877,0))</f>
        <v>17910.150000000001</v>
      </c>
      <c r="L878" s="11">
        <f>INDEX('Main Data'!$A$1:$O$1001,MATCH('Index&amp;Match'!$A878,'Main Data'!$A$1:$A$1001,0),MATCH('Index&amp;Match'!L877,'Main Data'!$A877:$O877,0))</f>
        <v>242.38</v>
      </c>
      <c r="M878" s="11">
        <f>INDEX('Main Data'!$A$1:$O$1001,MATCH('Index&amp;Match'!$A878,'Main Data'!$A$1:$A$1001,0),MATCH('Index&amp;Match'!M877,'Main Data'!$A877:$O877,0))</f>
        <v>155.30000000000001</v>
      </c>
      <c r="N878" s="2" t="str">
        <f>INDEX('Main Data'!$A$1:$O$1001,MATCH('Index&amp;Match'!$A878,'Main Data'!$A$1:$A$1001,0),MATCH('Index&amp;Match'!N877,'Main Data'!$A877:$O877,0))</f>
        <v>No</v>
      </c>
      <c r="O878" s="2">
        <f>INDEX('Main Data'!$A$1:$O$1001,MATCH('Index&amp;Match'!$A878,'Main Data'!$A$1:$A$1001,0),MATCH('Index&amp;Match'!O877,'Main Data'!$A877:$O877,0))</f>
        <v>27</v>
      </c>
    </row>
    <row r="879" spans="1:15" x14ac:dyDescent="0.3">
      <c r="A879" s="2" t="s">
        <v>936</v>
      </c>
      <c r="B879" s="1">
        <f>INDEX('Main Data'!$A$1:$O$1001,MATCH('Index&amp;Match'!$A879,'Main Data'!$A$1:$A$1001,0),MATCH('Index&amp;Match'!B878,'Main Data'!$A878:$O878,0))</f>
        <v>46131</v>
      </c>
      <c r="C879" s="2" t="str">
        <f>INDEX('Main Data'!$A$1:$O$1001,MATCH('Index&amp;Match'!$A879,'Main Data'!$A$1:$A$1001,0),MATCH('Index&amp;Match'!C878,'Main Data'!$A878:$O878,0))</f>
        <v>Jordan</v>
      </c>
      <c r="D879" s="2" t="str">
        <f>INDEX('Main Data'!$A$1:$O$1001,MATCH('Index&amp;Match'!$A879,'Main Data'!$A$1:$A$1001,0),MATCH('Index&amp;Match'!D878,'Main Data'!$A878:$O878,0))</f>
        <v>BR-002</v>
      </c>
      <c r="E879" s="2" t="str">
        <f>INDEX('Main Data'!$A$1:$O$1001,MATCH('Index&amp;Match'!$A879,'Main Data'!$A$1:$A$1001,0),MATCH('Index&amp;Match'!E878,'Main Data'!$A878:$O878,0))</f>
        <v>South</v>
      </c>
      <c r="F879" s="2" t="str">
        <f>INDEX('Main Data'!$A$1:$O$1001,MATCH('Index&amp;Match'!$A879,'Main Data'!$A$1:$A$1001,0),MATCH('Index&amp;Match'!F878,'Main Data'!$A878:$O878,0))</f>
        <v>Credit Card</v>
      </c>
      <c r="G879" s="2" t="str">
        <f>INDEX('Main Data'!$A$1:$O$1001,MATCH('Index&amp;Match'!$A879,'Main Data'!$A$1:$A$1001,0),MATCH('Index&amp;Match'!G878,'Main Data'!$A878:$O878,0))</f>
        <v>Email Campaign</v>
      </c>
      <c r="H879" s="2" t="str">
        <f>INDEX('Main Data'!$A$1:$O$1001,MATCH('Index&amp;Match'!$A879,'Main Data'!$A$1:$A$1001,0),MATCH('Index&amp;Match'!H878,'Main Data'!$A878:$O878,0))</f>
        <v>Corporate</v>
      </c>
      <c r="I879" s="2">
        <f>INDEX('Main Data'!$A$1:$O$1001,MATCH('Index&amp;Match'!$A879,'Main Data'!$A$1:$A$1001,0),MATCH('Index&amp;Match'!I878,'Main Data'!$A878:$O878,0))</f>
        <v>58</v>
      </c>
      <c r="J879" s="2">
        <f>INDEX('Main Data'!$A$1:$O$1001,MATCH('Index&amp;Match'!$A879,'Main Data'!$A$1:$A$1001,0),MATCH('Index&amp;Match'!J878,'Main Data'!$A878:$O878,0))</f>
        <v>58</v>
      </c>
      <c r="K879" s="11">
        <f>INDEX('Main Data'!$A$1:$O$1001,MATCH('Index&amp;Match'!$A879,'Main Data'!$A$1:$A$1001,0),MATCH('Index&amp;Match'!K878,'Main Data'!$A878:$O878,0))</f>
        <v>22288.93</v>
      </c>
      <c r="L879" s="11">
        <f>INDEX('Main Data'!$A$1:$O$1001,MATCH('Index&amp;Match'!$A879,'Main Data'!$A$1:$A$1001,0),MATCH('Index&amp;Match'!L878,'Main Data'!$A878:$O878,0))</f>
        <v>379.78</v>
      </c>
      <c r="M879" s="11">
        <f>INDEX('Main Data'!$A$1:$O$1001,MATCH('Index&amp;Match'!$A879,'Main Data'!$A$1:$A$1001,0),MATCH('Index&amp;Match'!M878,'Main Data'!$A878:$O878,0))</f>
        <v>149.83000000000001</v>
      </c>
      <c r="N879" s="2" t="str">
        <f>INDEX('Main Data'!$A$1:$O$1001,MATCH('Index&amp;Match'!$A879,'Main Data'!$A$1:$A$1001,0),MATCH('Index&amp;Match'!N878,'Main Data'!$A878:$O878,0))</f>
        <v>Yes</v>
      </c>
      <c r="O879" s="2">
        <f>INDEX('Main Data'!$A$1:$O$1001,MATCH('Index&amp;Match'!$A879,'Main Data'!$A$1:$A$1001,0),MATCH('Index&amp;Match'!O878,'Main Data'!$A878:$O878,0))</f>
        <v>58</v>
      </c>
    </row>
    <row r="880" spans="1:15" x14ac:dyDescent="0.3">
      <c r="A880" s="2" t="s">
        <v>937</v>
      </c>
      <c r="B880" s="1">
        <f>INDEX('Main Data'!$A$1:$O$1001,MATCH('Index&amp;Match'!$A880,'Main Data'!$A$1:$A$1001,0),MATCH('Index&amp;Match'!B879,'Main Data'!$A879:$O879,0))</f>
        <v>45904</v>
      </c>
      <c r="C880" s="2" t="str">
        <f>INDEX('Main Data'!$A$1:$O$1001,MATCH('Index&amp;Match'!$A880,'Main Data'!$A$1:$A$1001,0),MATCH('Index&amp;Match'!C879,'Main Data'!$A879:$O879,0))</f>
        <v>Casey</v>
      </c>
      <c r="D880" s="2" t="str">
        <f>INDEX('Main Data'!$A$1:$O$1001,MATCH('Index&amp;Match'!$A880,'Main Data'!$A$1:$A$1001,0),MATCH('Index&amp;Match'!D879,'Main Data'!$A879:$O879,0))</f>
        <v>BR-012</v>
      </c>
      <c r="E880" s="2" t="str">
        <f>INDEX('Main Data'!$A$1:$O$1001,MATCH('Index&amp;Match'!$A880,'Main Data'!$A$1:$A$1001,0),MATCH('Index&amp;Match'!E879,'Main Data'!$A879:$O879,0))</f>
        <v>West</v>
      </c>
      <c r="F880" s="2" t="str">
        <f>INDEX('Main Data'!$A$1:$O$1001,MATCH('Index&amp;Match'!$A880,'Main Data'!$A$1:$A$1001,0),MATCH('Index&amp;Match'!F879,'Main Data'!$A879:$O879,0))</f>
        <v>Mortgage</v>
      </c>
      <c r="G880" s="2" t="str">
        <f>INDEX('Main Data'!$A$1:$O$1001,MATCH('Index&amp;Match'!$A880,'Main Data'!$A$1:$A$1001,0),MATCH('Index&amp;Match'!G879,'Main Data'!$A879:$O879,0))</f>
        <v>Referral</v>
      </c>
      <c r="H880" s="2" t="str">
        <f>INDEX('Main Data'!$A$1:$O$1001,MATCH('Index&amp;Match'!$A880,'Main Data'!$A$1:$A$1001,0),MATCH('Index&amp;Match'!H879,'Main Data'!$A879:$O879,0))</f>
        <v>Retail</v>
      </c>
      <c r="I880" s="2">
        <f>INDEX('Main Data'!$A$1:$O$1001,MATCH('Index&amp;Match'!$A880,'Main Data'!$A$1:$A$1001,0),MATCH('Index&amp;Match'!I879,'Main Data'!$A879:$O879,0))</f>
        <v>54</v>
      </c>
      <c r="J880" s="2">
        <f>INDEX('Main Data'!$A$1:$O$1001,MATCH('Index&amp;Match'!$A880,'Main Data'!$A$1:$A$1001,0),MATCH('Index&amp;Match'!J879,'Main Data'!$A879:$O879,0))</f>
        <v>54</v>
      </c>
      <c r="K880" s="11">
        <f>INDEX('Main Data'!$A$1:$O$1001,MATCH('Index&amp;Match'!$A880,'Main Data'!$A$1:$A$1001,0),MATCH('Index&amp;Match'!K879,'Main Data'!$A879:$O879,0))</f>
        <v>3930.73</v>
      </c>
      <c r="L880" s="11">
        <f>INDEX('Main Data'!$A$1:$O$1001,MATCH('Index&amp;Match'!$A880,'Main Data'!$A$1:$A$1001,0),MATCH('Index&amp;Match'!L879,'Main Data'!$A879:$O879,0))</f>
        <v>201.34</v>
      </c>
      <c r="M880" s="11">
        <f>INDEX('Main Data'!$A$1:$O$1001,MATCH('Index&amp;Match'!$A880,'Main Data'!$A$1:$A$1001,0),MATCH('Index&amp;Match'!M879,'Main Data'!$A879:$O879,0))</f>
        <v>65.75</v>
      </c>
      <c r="N880" s="2" t="str">
        <f>INDEX('Main Data'!$A$1:$O$1001,MATCH('Index&amp;Match'!$A880,'Main Data'!$A$1:$A$1001,0),MATCH('Index&amp;Match'!N879,'Main Data'!$A879:$O879,0))</f>
        <v>Yes</v>
      </c>
      <c r="O880" s="2">
        <f>INDEX('Main Data'!$A$1:$O$1001,MATCH('Index&amp;Match'!$A880,'Main Data'!$A$1:$A$1001,0),MATCH('Index&amp;Match'!O879,'Main Data'!$A879:$O879,0))</f>
        <v>54</v>
      </c>
    </row>
    <row r="881" spans="1:15" x14ac:dyDescent="0.3">
      <c r="A881" s="2" t="s">
        <v>938</v>
      </c>
      <c r="B881" s="1">
        <f>INDEX('Main Data'!$A$1:$O$1001,MATCH('Index&amp;Match'!$A881,'Main Data'!$A$1:$A$1001,0),MATCH('Index&amp;Match'!B880,'Main Data'!$A880:$O880,0))</f>
        <v>46088</v>
      </c>
      <c r="C881" s="2" t="str">
        <f>INDEX('Main Data'!$A$1:$O$1001,MATCH('Index&amp;Match'!$A881,'Main Data'!$A$1:$A$1001,0),MATCH('Index&amp;Match'!C880,'Main Data'!$A880:$O880,0))</f>
        <v>Casey</v>
      </c>
      <c r="D881" s="2" t="str">
        <f>INDEX('Main Data'!$A$1:$O$1001,MATCH('Index&amp;Match'!$A881,'Main Data'!$A$1:$A$1001,0),MATCH('Index&amp;Match'!D880,'Main Data'!$A880:$O880,0))</f>
        <v>BR-006</v>
      </c>
      <c r="E881" s="2" t="str">
        <f>INDEX('Main Data'!$A$1:$O$1001,MATCH('Index&amp;Match'!$A881,'Main Data'!$A$1:$A$1001,0),MATCH('Index&amp;Match'!E880,'Main Data'!$A880:$O880,0))</f>
        <v>East</v>
      </c>
      <c r="F881" s="2" t="str">
        <f>INDEX('Main Data'!$A$1:$O$1001,MATCH('Index&amp;Match'!$A881,'Main Data'!$A$1:$A$1001,0),MATCH('Index&amp;Match'!F880,'Main Data'!$A880:$O880,0))</f>
        <v>Personal Loan</v>
      </c>
      <c r="G881" s="2" t="str">
        <f>INDEX('Main Data'!$A$1:$O$1001,MATCH('Index&amp;Match'!$A881,'Main Data'!$A$1:$A$1001,0),MATCH('Index&amp;Match'!G880,'Main Data'!$A880:$O880,0))</f>
        <v>Walk-in</v>
      </c>
      <c r="H881" s="2" t="str">
        <f>INDEX('Main Data'!$A$1:$O$1001,MATCH('Index&amp;Match'!$A881,'Main Data'!$A$1:$A$1001,0),MATCH('Index&amp;Match'!H880,'Main Data'!$A880:$O880,0))</f>
        <v>SME</v>
      </c>
      <c r="I881" s="2">
        <f>INDEX('Main Data'!$A$1:$O$1001,MATCH('Index&amp;Match'!$A881,'Main Data'!$A$1:$A$1001,0),MATCH('Index&amp;Match'!I880,'Main Data'!$A880:$O880,0))</f>
        <v>61</v>
      </c>
      <c r="J881" s="2">
        <f>INDEX('Main Data'!$A$1:$O$1001,MATCH('Index&amp;Match'!$A881,'Main Data'!$A$1:$A$1001,0),MATCH('Index&amp;Match'!J880,'Main Data'!$A880:$O880,0))</f>
        <v>61</v>
      </c>
      <c r="K881" s="11">
        <f>INDEX('Main Data'!$A$1:$O$1001,MATCH('Index&amp;Match'!$A881,'Main Data'!$A$1:$A$1001,0),MATCH('Index&amp;Match'!K880,'Main Data'!$A880:$O880,0))</f>
        <v>29121.81</v>
      </c>
      <c r="L881" s="11">
        <f>INDEX('Main Data'!$A$1:$O$1001,MATCH('Index&amp;Match'!$A881,'Main Data'!$A$1:$A$1001,0),MATCH('Index&amp;Match'!L880,'Main Data'!$A880:$O880,0))</f>
        <v>197.87</v>
      </c>
      <c r="M881" s="11">
        <f>INDEX('Main Data'!$A$1:$O$1001,MATCH('Index&amp;Match'!$A881,'Main Data'!$A$1:$A$1001,0),MATCH('Index&amp;Match'!M880,'Main Data'!$A880:$O880,0))</f>
        <v>122.17</v>
      </c>
      <c r="N881" s="2" t="str">
        <f>INDEX('Main Data'!$A$1:$O$1001,MATCH('Index&amp;Match'!$A881,'Main Data'!$A$1:$A$1001,0),MATCH('Index&amp;Match'!N880,'Main Data'!$A880:$O880,0))</f>
        <v>No</v>
      </c>
      <c r="O881" s="2">
        <f>INDEX('Main Data'!$A$1:$O$1001,MATCH('Index&amp;Match'!$A881,'Main Data'!$A$1:$A$1001,0),MATCH('Index&amp;Match'!O880,'Main Data'!$A880:$O880,0))</f>
        <v>61</v>
      </c>
    </row>
    <row r="882" spans="1:15" x14ac:dyDescent="0.3">
      <c r="A882" s="2" t="s">
        <v>939</v>
      </c>
      <c r="B882" s="1">
        <f>INDEX('Main Data'!$A$1:$O$1001,MATCH('Index&amp;Match'!$A882,'Main Data'!$A$1:$A$1001,0),MATCH('Index&amp;Match'!B881,'Main Data'!$A881:$O881,0))</f>
        <v>45920</v>
      </c>
      <c r="C882" s="2" t="str">
        <f>INDEX('Main Data'!$A$1:$O$1001,MATCH('Index&amp;Match'!$A882,'Main Data'!$A$1:$A$1001,0),MATCH('Index&amp;Match'!C881,'Main Data'!$A881:$O881,0))</f>
        <v>Casey</v>
      </c>
      <c r="D882" s="2" t="str">
        <f>INDEX('Main Data'!$A$1:$O$1001,MATCH('Index&amp;Match'!$A882,'Main Data'!$A$1:$A$1001,0),MATCH('Index&amp;Match'!D881,'Main Data'!$A881:$O881,0))</f>
        <v>BR-011</v>
      </c>
      <c r="E882" s="2" t="str">
        <f>INDEX('Main Data'!$A$1:$O$1001,MATCH('Index&amp;Match'!$A882,'Main Data'!$A$1:$A$1001,0),MATCH('Index&amp;Match'!E881,'Main Data'!$A881:$O881,0))</f>
        <v>East</v>
      </c>
      <c r="F882" s="2" t="str">
        <f>INDEX('Main Data'!$A$1:$O$1001,MATCH('Index&amp;Match'!$A882,'Main Data'!$A$1:$A$1001,0),MATCH('Index&amp;Match'!F881,'Main Data'!$A881:$O881,0))</f>
        <v>Credit Card</v>
      </c>
      <c r="G882" s="2" t="str">
        <f>INDEX('Main Data'!$A$1:$O$1001,MATCH('Index&amp;Match'!$A882,'Main Data'!$A$1:$A$1001,0),MATCH('Index&amp;Match'!G881,'Main Data'!$A881:$O881,0))</f>
        <v>Social Media</v>
      </c>
      <c r="H882" s="2" t="str">
        <f>INDEX('Main Data'!$A$1:$O$1001,MATCH('Index&amp;Match'!$A882,'Main Data'!$A$1:$A$1001,0),MATCH('Index&amp;Match'!H881,'Main Data'!$A881:$O881,0))</f>
        <v>SME</v>
      </c>
      <c r="I882" s="2">
        <f>INDEX('Main Data'!$A$1:$O$1001,MATCH('Index&amp;Match'!$A882,'Main Data'!$A$1:$A$1001,0),MATCH('Index&amp;Match'!I881,'Main Data'!$A881:$O881,0))</f>
        <v>42</v>
      </c>
      <c r="J882" s="2">
        <f>INDEX('Main Data'!$A$1:$O$1001,MATCH('Index&amp;Match'!$A882,'Main Data'!$A$1:$A$1001,0),MATCH('Index&amp;Match'!J881,'Main Data'!$A881:$O881,0))</f>
        <v>42</v>
      </c>
      <c r="K882" s="11">
        <f>INDEX('Main Data'!$A$1:$O$1001,MATCH('Index&amp;Match'!$A882,'Main Data'!$A$1:$A$1001,0),MATCH('Index&amp;Match'!K881,'Main Data'!$A881:$O881,0))</f>
        <v>30082.81</v>
      </c>
      <c r="L882" s="11">
        <f>INDEX('Main Data'!$A$1:$O$1001,MATCH('Index&amp;Match'!$A882,'Main Data'!$A$1:$A$1001,0),MATCH('Index&amp;Match'!L881,'Main Data'!$A881:$O881,0))</f>
        <v>178.21</v>
      </c>
      <c r="M882" s="11">
        <f>INDEX('Main Data'!$A$1:$O$1001,MATCH('Index&amp;Match'!$A882,'Main Data'!$A$1:$A$1001,0),MATCH('Index&amp;Match'!M881,'Main Data'!$A881:$O881,0))</f>
        <v>174.25</v>
      </c>
      <c r="N882" s="2" t="str">
        <f>INDEX('Main Data'!$A$1:$O$1001,MATCH('Index&amp;Match'!$A882,'Main Data'!$A$1:$A$1001,0),MATCH('Index&amp;Match'!N881,'Main Data'!$A881:$O881,0))</f>
        <v>Yes</v>
      </c>
      <c r="O882" s="2">
        <f>INDEX('Main Data'!$A$1:$O$1001,MATCH('Index&amp;Match'!$A882,'Main Data'!$A$1:$A$1001,0),MATCH('Index&amp;Match'!O881,'Main Data'!$A881:$O881,0))</f>
        <v>42</v>
      </c>
    </row>
    <row r="883" spans="1:15" x14ac:dyDescent="0.3">
      <c r="A883" s="2" t="s">
        <v>940</v>
      </c>
      <c r="B883" s="1">
        <f>INDEX('Main Data'!$A$1:$O$1001,MATCH('Index&amp;Match'!$A883,'Main Data'!$A$1:$A$1001,0),MATCH('Index&amp;Match'!B882,'Main Data'!$A882:$O882,0))</f>
        <v>46197</v>
      </c>
      <c r="C883" s="2" t="str">
        <f>INDEX('Main Data'!$A$1:$O$1001,MATCH('Index&amp;Match'!$A883,'Main Data'!$A$1:$A$1001,0),MATCH('Index&amp;Match'!C882,'Main Data'!$A882:$O882,0))</f>
        <v>Sam</v>
      </c>
      <c r="D883" s="2" t="str">
        <f>INDEX('Main Data'!$A$1:$O$1001,MATCH('Index&amp;Match'!$A883,'Main Data'!$A$1:$A$1001,0),MATCH('Index&amp;Match'!D882,'Main Data'!$A882:$O882,0))</f>
        <v>BR-001</v>
      </c>
      <c r="E883" s="2" t="str">
        <f>INDEX('Main Data'!$A$1:$O$1001,MATCH('Index&amp;Match'!$A883,'Main Data'!$A$1:$A$1001,0),MATCH('Index&amp;Match'!E882,'Main Data'!$A882:$O882,0))</f>
        <v>Central</v>
      </c>
      <c r="F883" s="2" t="str">
        <f>INDEX('Main Data'!$A$1:$O$1001,MATCH('Index&amp;Match'!$A883,'Main Data'!$A$1:$A$1001,0),MATCH('Index&amp;Match'!F882,'Main Data'!$A882:$O882,0))</f>
        <v>Mortgage</v>
      </c>
      <c r="G883" s="2" t="str">
        <f>INDEX('Main Data'!$A$1:$O$1001,MATCH('Index&amp;Match'!$A883,'Main Data'!$A$1:$A$1001,0),MATCH('Index&amp;Match'!G882,'Main Data'!$A882:$O882,0))</f>
        <v>Referral</v>
      </c>
      <c r="H883" s="2" t="str">
        <f>INDEX('Main Data'!$A$1:$O$1001,MATCH('Index&amp;Match'!$A883,'Main Data'!$A$1:$A$1001,0),MATCH('Index&amp;Match'!H882,'Main Data'!$A882:$O882,0))</f>
        <v>Corporate</v>
      </c>
      <c r="I883" s="2">
        <f>INDEX('Main Data'!$A$1:$O$1001,MATCH('Index&amp;Match'!$A883,'Main Data'!$A$1:$A$1001,0),MATCH('Index&amp;Match'!I882,'Main Data'!$A882:$O882,0))</f>
        <v>44</v>
      </c>
      <c r="J883" s="2">
        <f>INDEX('Main Data'!$A$1:$O$1001,MATCH('Index&amp;Match'!$A883,'Main Data'!$A$1:$A$1001,0),MATCH('Index&amp;Match'!J882,'Main Data'!$A882:$O882,0))</f>
        <v>44</v>
      </c>
      <c r="K883" s="11">
        <f>INDEX('Main Data'!$A$1:$O$1001,MATCH('Index&amp;Match'!$A883,'Main Data'!$A$1:$A$1001,0),MATCH('Index&amp;Match'!K882,'Main Data'!$A882:$O882,0))</f>
        <v>37077.06</v>
      </c>
      <c r="L883" s="11">
        <f>INDEX('Main Data'!$A$1:$O$1001,MATCH('Index&amp;Match'!$A883,'Main Data'!$A$1:$A$1001,0),MATCH('Index&amp;Match'!L882,'Main Data'!$A882:$O882,0))</f>
        <v>265.23</v>
      </c>
      <c r="M883" s="11">
        <f>INDEX('Main Data'!$A$1:$O$1001,MATCH('Index&amp;Match'!$A883,'Main Data'!$A$1:$A$1001,0),MATCH('Index&amp;Match'!M882,'Main Data'!$A882:$O882,0))</f>
        <v>3.09</v>
      </c>
      <c r="N883" s="2" t="str">
        <f>INDEX('Main Data'!$A$1:$O$1001,MATCH('Index&amp;Match'!$A883,'Main Data'!$A$1:$A$1001,0),MATCH('Index&amp;Match'!N882,'Main Data'!$A882:$O882,0))</f>
        <v>Yes</v>
      </c>
      <c r="O883" s="2">
        <f>INDEX('Main Data'!$A$1:$O$1001,MATCH('Index&amp;Match'!$A883,'Main Data'!$A$1:$A$1001,0),MATCH('Index&amp;Match'!O882,'Main Data'!$A882:$O882,0))</f>
        <v>44</v>
      </c>
    </row>
    <row r="884" spans="1:15" x14ac:dyDescent="0.3">
      <c r="A884" s="2" t="s">
        <v>941</v>
      </c>
      <c r="B884" s="1">
        <f>INDEX('Main Data'!$A$1:$O$1001,MATCH('Index&amp;Match'!$A884,'Main Data'!$A$1:$A$1001,0),MATCH('Index&amp;Match'!B883,'Main Data'!$A883:$O883,0))</f>
        <v>45995</v>
      </c>
      <c r="C884" s="2" t="str">
        <f>INDEX('Main Data'!$A$1:$O$1001,MATCH('Index&amp;Match'!$A884,'Main Data'!$A$1:$A$1001,0),MATCH('Index&amp;Match'!C883,'Main Data'!$A883:$O883,0))</f>
        <v>Taylor</v>
      </c>
      <c r="D884" s="2" t="str">
        <f>INDEX('Main Data'!$A$1:$O$1001,MATCH('Index&amp;Match'!$A884,'Main Data'!$A$1:$A$1001,0),MATCH('Index&amp;Match'!D883,'Main Data'!$A883:$O883,0))</f>
        <v>BR-003</v>
      </c>
      <c r="E884" s="2" t="str">
        <f>INDEX('Main Data'!$A$1:$O$1001,MATCH('Index&amp;Match'!$A884,'Main Data'!$A$1:$A$1001,0),MATCH('Index&amp;Match'!E883,'Main Data'!$A883:$O883,0))</f>
        <v>East</v>
      </c>
      <c r="F884" s="2" t="str">
        <f>INDEX('Main Data'!$A$1:$O$1001,MATCH('Index&amp;Match'!$A884,'Main Data'!$A$1:$A$1001,0),MATCH('Index&amp;Match'!F883,'Main Data'!$A883:$O883,0))</f>
        <v>Wealth Management</v>
      </c>
      <c r="G884" s="2" t="str">
        <f>INDEX('Main Data'!$A$1:$O$1001,MATCH('Index&amp;Match'!$A884,'Main Data'!$A$1:$A$1001,0),MATCH('Index&amp;Match'!G883,'Main Data'!$A883:$O883,0))</f>
        <v>Referral</v>
      </c>
      <c r="H884" s="2" t="str">
        <f>INDEX('Main Data'!$A$1:$O$1001,MATCH('Index&amp;Match'!$A884,'Main Data'!$A$1:$A$1001,0),MATCH('Index&amp;Match'!H883,'Main Data'!$A883:$O883,0))</f>
        <v>Retail</v>
      </c>
      <c r="I884" s="2">
        <f>INDEX('Main Data'!$A$1:$O$1001,MATCH('Index&amp;Match'!$A884,'Main Data'!$A$1:$A$1001,0),MATCH('Index&amp;Match'!I883,'Main Data'!$A883:$O883,0))</f>
        <v>69</v>
      </c>
      <c r="J884" s="2">
        <f>INDEX('Main Data'!$A$1:$O$1001,MATCH('Index&amp;Match'!$A884,'Main Data'!$A$1:$A$1001,0),MATCH('Index&amp;Match'!J883,'Main Data'!$A883:$O883,0))</f>
        <v>69</v>
      </c>
      <c r="K884" s="11">
        <f>INDEX('Main Data'!$A$1:$O$1001,MATCH('Index&amp;Match'!$A884,'Main Data'!$A$1:$A$1001,0),MATCH('Index&amp;Match'!K883,'Main Data'!$A883:$O883,0))</f>
        <v>1943.91</v>
      </c>
      <c r="L884" s="11">
        <f>INDEX('Main Data'!$A$1:$O$1001,MATCH('Index&amp;Match'!$A884,'Main Data'!$A$1:$A$1001,0),MATCH('Index&amp;Match'!L883,'Main Data'!$A883:$O883,0))</f>
        <v>131.29</v>
      </c>
      <c r="M884" s="11">
        <f>INDEX('Main Data'!$A$1:$O$1001,MATCH('Index&amp;Match'!$A884,'Main Data'!$A$1:$A$1001,0),MATCH('Index&amp;Match'!M883,'Main Data'!$A883:$O883,0))</f>
        <v>87.15</v>
      </c>
      <c r="N884" s="2" t="str">
        <f>INDEX('Main Data'!$A$1:$O$1001,MATCH('Index&amp;Match'!$A884,'Main Data'!$A$1:$A$1001,0),MATCH('Index&amp;Match'!N883,'Main Data'!$A883:$O883,0))</f>
        <v>No</v>
      </c>
      <c r="O884" s="2">
        <f>INDEX('Main Data'!$A$1:$O$1001,MATCH('Index&amp;Match'!$A884,'Main Data'!$A$1:$A$1001,0),MATCH('Index&amp;Match'!O883,'Main Data'!$A883:$O883,0))</f>
        <v>69</v>
      </c>
    </row>
    <row r="885" spans="1:15" x14ac:dyDescent="0.3">
      <c r="A885" s="2" t="s">
        <v>942</v>
      </c>
      <c r="B885" s="1">
        <f>INDEX('Main Data'!$A$1:$O$1001,MATCH('Index&amp;Match'!$A885,'Main Data'!$A$1:$A$1001,0),MATCH('Index&amp;Match'!B884,'Main Data'!$A884:$O884,0))</f>
        <v>46081</v>
      </c>
      <c r="C885" s="2" t="str">
        <f>INDEX('Main Data'!$A$1:$O$1001,MATCH('Index&amp;Match'!$A885,'Main Data'!$A$1:$A$1001,0),MATCH('Index&amp;Match'!C884,'Main Data'!$A884:$O884,0))</f>
        <v>Drew</v>
      </c>
      <c r="D885" s="2" t="str">
        <f>INDEX('Main Data'!$A$1:$O$1001,MATCH('Index&amp;Match'!$A885,'Main Data'!$A$1:$A$1001,0),MATCH('Index&amp;Match'!D884,'Main Data'!$A884:$O884,0))</f>
        <v>BR-005</v>
      </c>
      <c r="E885" s="2" t="str">
        <f>INDEX('Main Data'!$A$1:$O$1001,MATCH('Index&amp;Match'!$A885,'Main Data'!$A$1:$A$1001,0),MATCH('Index&amp;Match'!E884,'Main Data'!$A884:$O884,0))</f>
        <v>South</v>
      </c>
      <c r="F885" s="2" t="str">
        <f>INDEX('Main Data'!$A$1:$O$1001,MATCH('Index&amp;Match'!$A885,'Main Data'!$A$1:$A$1001,0),MATCH('Index&amp;Match'!F884,'Main Data'!$A884:$O884,0))</f>
        <v>Mortgage</v>
      </c>
      <c r="G885" s="2" t="str">
        <f>INDEX('Main Data'!$A$1:$O$1001,MATCH('Index&amp;Match'!$A885,'Main Data'!$A$1:$A$1001,0),MATCH('Index&amp;Match'!G884,'Main Data'!$A884:$O884,0))</f>
        <v>Website</v>
      </c>
      <c r="H885" s="2" t="str">
        <f>INDEX('Main Data'!$A$1:$O$1001,MATCH('Index&amp;Match'!$A885,'Main Data'!$A$1:$A$1001,0),MATCH('Index&amp;Match'!H884,'Main Data'!$A884:$O884,0))</f>
        <v>High Net Worth</v>
      </c>
      <c r="I885" s="2">
        <f>INDEX('Main Data'!$A$1:$O$1001,MATCH('Index&amp;Match'!$A885,'Main Data'!$A$1:$A$1001,0),MATCH('Index&amp;Match'!I884,'Main Data'!$A884:$O884,0))</f>
        <v>57</v>
      </c>
      <c r="J885" s="2">
        <f>INDEX('Main Data'!$A$1:$O$1001,MATCH('Index&amp;Match'!$A885,'Main Data'!$A$1:$A$1001,0),MATCH('Index&amp;Match'!J884,'Main Data'!$A884:$O884,0))</f>
        <v>57</v>
      </c>
      <c r="K885" s="11">
        <f>INDEX('Main Data'!$A$1:$O$1001,MATCH('Index&amp;Match'!$A885,'Main Data'!$A$1:$A$1001,0),MATCH('Index&amp;Match'!K884,'Main Data'!$A884:$O884,0))</f>
        <v>27291.29</v>
      </c>
      <c r="L885" s="11">
        <f>INDEX('Main Data'!$A$1:$O$1001,MATCH('Index&amp;Match'!$A885,'Main Data'!$A$1:$A$1001,0),MATCH('Index&amp;Match'!L884,'Main Data'!$A884:$O884,0))</f>
        <v>268.52999999999997</v>
      </c>
      <c r="M885" s="11">
        <f>INDEX('Main Data'!$A$1:$O$1001,MATCH('Index&amp;Match'!$A885,'Main Data'!$A$1:$A$1001,0),MATCH('Index&amp;Match'!M884,'Main Data'!$A884:$O884,0))</f>
        <v>67.28</v>
      </c>
      <c r="N885" s="2" t="str">
        <f>INDEX('Main Data'!$A$1:$O$1001,MATCH('Index&amp;Match'!$A885,'Main Data'!$A$1:$A$1001,0),MATCH('Index&amp;Match'!N884,'Main Data'!$A884:$O884,0))</f>
        <v>No</v>
      </c>
      <c r="O885" s="2">
        <f>INDEX('Main Data'!$A$1:$O$1001,MATCH('Index&amp;Match'!$A885,'Main Data'!$A$1:$A$1001,0),MATCH('Index&amp;Match'!O884,'Main Data'!$A884:$O884,0))</f>
        <v>57</v>
      </c>
    </row>
    <row r="886" spans="1:15" x14ac:dyDescent="0.3">
      <c r="A886" s="2" t="s">
        <v>943</v>
      </c>
      <c r="B886" s="1">
        <f>INDEX('Main Data'!$A$1:$O$1001,MATCH('Index&amp;Match'!$A886,'Main Data'!$A$1:$A$1001,0),MATCH('Index&amp;Match'!B885,'Main Data'!$A885:$O885,0))</f>
        <v>46197</v>
      </c>
      <c r="C886" s="2" t="str">
        <f>INDEX('Main Data'!$A$1:$O$1001,MATCH('Index&amp;Match'!$A886,'Main Data'!$A$1:$A$1001,0),MATCH('Index&amp;Match'!C885,'Main Data'!$A885:$O885,0))</f>
        <v>Drew</v>
      </c>
      <c r="D886" s="2" t="str">
        <f>INDEX('Main Data'!$A$1:$O$1001,MATCH('Index&amp;Match'!$A886,'Main Data'!$A$1:$A$1001,0),MATCH('Index&amp;Match'!D885,'Main Data'!$A885:$O885,0))</f>
        <v>BR-004</v>
      </c>
      <c r="E886" s="2" t="str">
        <f>INDEX('Main Data'!$A$1:$O$1001,MATCH('Index&amp;Match'!$A886,'Main Data'!$A$1:$A$1001,0),MATCH('Index&amp;Match'!E885,'Main Data'!$A885:$O885,0))</f>
        <v>South</v>
      </c>
      <c r="F886" s="2" t="str">
        <f>INDEX('Main Data'!$A$1:$O$1001,MATCH('Index&amp;Match'!$A886,'Main Data'!$A$1:$A$1001,0),MATCH('Index&amp;Match'!F885,'Main Data'!$A885:$O885,0))</f>
        <v>Personal Loan</v>
      </c>
      <c r="G886" s="2" t="str">
        <f>INDEX('Main Data'!$A$1:$O$1001,MATCH('Index&amp;Match'!$A886,'Main Data'!$A$1:$A$1001,0),MATCH('Index&amp;Match'!G885,'Main Data'!$A885:$O885,0))</f>
        <v>Walk-in</v>
      </c>
      <c r="H886" s="2" t="str">
        <f>INDEX('Main Data'!$A$1:$O$1001,MATCH('Index&amp;Match'!$A886,'Main Data'!$A$1:$A$1001,0),MATCH('Index&amp;Match'!H885,'Main Data'!$A885:$O885,0))</f>
        <v>High Net Worth</v>
      </c>
      <c r="I886" s="2">
        <f>INDEX('Main Data'!$A$1:$O$1001,MATCH('Index&amp;Match'!$A886,'Main Data'!$A$1:$A$1001,0),MATCH('Index&amp;Match'!I885,'Main Data'!$A885:$O885,0))</f>
        <v>64</v>
      </c>
      <c r="J886" s="2">
        <f>INDEX('Main Data'!$A$1:$O$1001,MATCH('Index&amp;Match'!$A886,'Main Data'!$A$1:$A$1001,0),MATCH('Index&amp;Match'!J885,'Main Data'!$A885:$O885,0))</f>
        <v>64</v>
      </c>
      <c r="K886" s="11">
        <f>INDEX('Main Data'!$A$1:$O$1001,MATCH('Index&amp;Match'!$A886,'Main Data'!$A$1:$A$1001,0),MATCH('Index&amp;Match'!K885,'Main Data'!$A885:$O885,0))</f>
        <v>3118.92</v>
      </c>
      <c r="L886" s="11">
        <f>INDEX('Main Data'!$A$1:$O$1001,MATCH('Index&amp;Match'!$A886,'Main Data'!$A$1:$A$1001,0),MATCH('Index&amp;Match'!L885,'Main Data'!$A885:$O885,0))</f>
        <v>366.88</v>
      </c>
      <c r="M886" s="11">
        <f>INDEX('Main Data'!$A$1:$O$1001,MATCH('Index&amp;Match'!$A886,'Main Data'!$A$1:$A$1001,0),MATCH('Index&amp;Match'!M885,'Main Data'!$A885:$O885,0))</f>
        <v>116.6</v>
      </c>
      <c r="N886" s="2" t="str">
        <f>INDEX('Main Data'!$A$1:$O$1001,MATCH('Index&amp;Match'!$A886,'Main Data'!$A$1:$A$1001,0),MATCH('Index&amp;Match'!N885,'Main Data'!$A885:$O885,0))</f>
        <v>Yes</v>
      </c>
      <c r="O886" s="2">
        <f>INDEX('Main Data'!$A$1:$O$1001,MATCH('Index&amp;Match'!$A886,'Main Data'!$A$1:$A$1001,0),MATCH('Index&amp;Match'!O885,'Main Data'!$A885:$O885,0))</f>
        <v>64</v>
      </c>
    </row>
    <row r="887" spans="1:15" x14ac:dyDescent="0.3">
      <c r="A887" s="2" t="s">
        <v>944</v>
      </c>
      <c r="B887" s="1">
        <f>INDEX('Main Data'!$A$1:$O$1001,MATCH('Index&amp;Match'!$A887,'Main Data'!$A$1:$A$1001,0),MATCH('Index&amp;Match'!B886,'Main Data'!$A886:$O886,0))</f>
        <v>45969</v>
      </c>
      <c r="C887" s="2" t="str">
        <f>INDEX('Main Data'!$A$1:$O$1001,MATCH('Index&amp;Match'!$A887,'Main Data'!$A$1:$A$1001,0),MATCH('Index&amp;Match'!C886,'Main Data'!$A886:$O886,0))</f>
        <v>Casey</v>
      </c>
      <c r="D887" s="2" t="str">
        <f>INDEX('Main Data'!$A$1:$O$1001,MATCH('Index&amp;Match'!$A887,'Main Data'!$A$1:$A$1001,0),MATCH('Index&amp;Match'!D886,'Main Data'!$A886:$O886,0))</f>
        <v>BR-003</v>
      </c>
      <c r="E887" s="2" t="str">
        <f>INDEX('Main Data'!$A$1:$O$1001,MATCH('Index&amp;Match'!$A887,'Main Data'!$A$1:$A$1001,0),MATCH('Index&amp;Match'!E886,'Main Data'!$A886:$O886,0))</f>
        <v>North</v>
      </c>
      <c r="F887" s="2" t="str">
        <f>INDEX('Main Data'!$A$1:$O$1001,MATCH('Index&amp;Match'!$A887,'Main Data'!$A$1:$A$1001,0),MATCH('Index&amp;Match'!F886,'Main Data'!$A886:$O886,0))</f>
        <v>Auto Loan</v>
      </c>
      <c r="G887" s="2" t="str">
        <f>INDEX('Main Data'!$A$1:$O$1001,MATCH('Index&amp;Match'!$A887,'Main Data'!$A$1:$A$1001,0),MATCH('Index&amp;Match'!G886,'Main Data'!$A886:$O886,0))</f>
        <v>Social Media</v>
      </c>
      <c r="H887" s="2" t="str">
        <f>INDEX('Main Data'!$A$1:$O$1001,MATCH('Index&amp;Match'!$A887,'Main Data'!$A$1:$A$1001,0),MATCH('Index&amp;Match'!H886,'Main Data'!$A886:$O886,0))</f>
        <v>SME</v>
      </c>
      <c r="I887" s="2">
        <f>INDEX('Main Data'!$A$1:$O$1001,MATCH('Index&amp;Match'!$A887,'Main Data'!$A$1:$A$1001,0),MATCH('Index&amp;Match'!I886,'Main Data'!$A886:$O886,0))</f>
        <v>21</v>
      </c>
      <c r="J887" s="2">
        <f>INDEX('Main Data'!$A$1:$O$1001,MATCH('Index&amp;Match'!$A887,'Main Data'!$A$1:$A$1001,0),MATCH('Index&amp;Match'!J886,'Main Data'!$A886:$O886,0))</f>
        <v>21</v>
      </c>
      <c r="K887" s="11">
        <f>INDEX('Main Data'!$A$1:$O$1001,MATCH('Index&amp;Match'!$A887,'Main Data'!$A$1:$A$1001,0),MATCH('Index&amp;Match'!K886,'Main Data'!$A886:$O886,0))</f>
        <v>35206.639999999999</v>
      </c>
      <c r="L887" s="11">
        <f>INDEX('Main Data'!$A$1:$O$1001,MATCH('Index&amp;Match'!$A887,'Main Data'!$A$1:$A$1001,0),MATCH('Index&amp;Match'!L886,'Main Data'!$A886:$O886,0))</f>
        <v>63.41</v>
      </c>
      <c r="M887" s="11">
        <f>INDEX('Main Data'!$A$1:$O$1001,MATCH('Index&amp;Match'!$A887,'Main Data'!$A$1:$A$1001,0),MATCH('Index&amp;Match'!M886,'Main Data'!$A886:$O886,0))</f>
        <v>83.2</v>
      </c>
      <c r="N887" s="2" t="str">
        <f>INDEX('Main Data'!$A$1:$O$1001,MATCH('Index&amp;Match'!$A887,'Main Data'!$A$1:$A$1001,0),MATCH('Index&amp;Match'!N886,'Main Data'!$A886:$O886,0))</f>
        <v>No</v>
      </c>
      <c r="O887" s="2">
        <f>INDEX('Main Data'!$A$1:$O$1001,MATCH('Index&amp;Match'!$A887,'Main Data'!$A$1:$A$1001,0),MATCH('Index&amp;Match'!O886,'Main Data'!$A886:$O886,0))</f>
        <v>21</v>
      </c>
    </row>
    <row r="888" spans="1:15" x14ac:dyDescent="0.3">
      <c r="A888" s="2" t="s">
        <v>945</v>
      </c>
      <c r="B888" s="1">
        <f>INDEX('Main Data'!$A$1:$O$1001,MATCH('Index&amp;Match'!$A888,'Main Data'!$A$1:$A$1001,0),MATCH('Index&amp;Match'!B887,'Main Data'!$A887:$O887,0))</f>
        <v>45991</v>
      </c>
      <c r="C888" s="2" t="str">
        <f>INDEX('Main Data'!$A$1:$O$1001,MATCH('Index&amp;Match'!$A888,'Main Data'!$A$1:$A$1001,0),MATCH('Index&amp;Match'!C887,'Main Data'!$A887:$O887,0))</f>
        <v>Alex</v>
      </c>
      <c r="D888" s="2" t="str">
        <f>INDEX('Main Data'!$A$1:$O$1001,MATCH('Index&amp;Match'!$A888,'Main Data'!$A$1:$A$1001,0),MATCH('Index&amp;Match'!D887,'Main Data'!$A887:$O887,0))</f>
        <v>BR-010</v>
      </c>
      <c r="E888" s="2" t="str">
        <f>INDEX('Main Data'!$A$1:$O$1001,MATCH('Index&amp;Match'!$A888,'Main Data'!$A$1:$A$1001,0),MATCH('Index&amp;Match'!E887,'Main Data'!$A887:$O887,0))</f>
        <v>South</v>
      </c>
      <c r="F888" s="2" t="str">
        <f>INDEX('Main Data'!$A$1:$O$1001,MATCH('Index&amp;Match'!$A888,'Main Data'!$A$1:$A$1001,0),MATCH('Index&amp;Match'!F887,'Main Data'!$A887:$O887,0))</f>
        <v>Mortgage</v>
      </c>
      <c r="G888" s="2" t="str">
        <f>INDEX('Main Data'!$A$1:$O$1001,MATCH('Index&amp;Match'!$A888,'Main Data'!$A$1:$A$1001,0),MATCH('Index&amp;Match'!G887,'Main Data'!$A887:$O887,0))</f>
        <v>Referral</v>
      </c>
      <c r="H888" s="2" t="str">
        <f>INDEX('Main Data'!$A$1:$O$1001,MATCH('Index&amp;Match'!$A888,'Main Data'!$A$1:$A$1001,0),MATCH('Index&amp;Match'!H887,'Main Data'!$A887:$O887,0))</f>
        <v>Corporate</v>
      </c>
      <c r="I888" s="2">
        <f>INDEX('Main Data'!$A$1:$O$1001,MATCH('Index&amp;Match'!$A888,'Main Data'!$A$1:$A$1001,0),MATCH('Index&amp;Match'!I887,'Main Data'!$A887:$O887,0))</f>
        <v>30</v>
      </c>
      <c r="J888" s="2">
        <f>INDEX('Main Data'!$A$1:$O$1001,MATCH('Index&amp;Match'!$A888,'Main Data'!$A$1:$A$1001,0),MATCH('Index&amp;Match'!J887,'Main Data'!$A887:$O887,0))</f>
        <v>30</v>
      </c>
      <c r="K888" s="11">
        <f>INDEX('Main Data'!$A$1:$O$1001,MATCH('Index&amp;Match'!$A888,'Main Data'!$A$1:$A$1001,0),MATCH('Index&amp;Match'!K887,'Main Data'!$A887:$O887,0))</f>
        <v>3258.54</v>
      </c>
      <c r="L888" s="11">
        <f>INDEX('Main Data'!$A$1:$O$1001,MATCH('Index&amp;Match'!$A888,'Main Data'!$A$1:$A$1001,0),MATCH('Index&amp;Match'!L887,'Main Data'!$A887:$O887,0))</f>
        <v>54.4</v>
      </c>
      <c r="M888" s="11">
        <f>INDEX('Main Data'!$A$1:$O$1001,MATCH('Index&amp;Match'!$A888,'Main Data'!$A$1:$A$1001,0),MATCH('Index&amp;Match'!M887,'Main Data'!$A887:$O887,0))</f>
        <v>149.33000000000001</v>
      </c>
      <c r="N888" s="2" t="str">
        <f>INDEX('Main Data'!$A$1:$O$1001,MATCH('Index&amp;Match'!$A888,'Main Data'!$A$1:$A$1001,0),MATCH('Index&amp;Match'!N887,'Main Data'!$A887:$O887,0))</f>
        <v>No</v>
      </c>
      <c r="O888" s="2">
        <f>INDEX('Main Data'!$A$1:$O$1001,MATCH('Index&amp;Match'!$A888,'Main Data'!$A$1:$A$1001,0),MATCH('Index&amp;Match'!O887,'Main Data'!$A887:$O887,0))</f>
        <v>30</v>
      </c>
    </row>
    <row r="889" spans="1:15" x14ac:dyDescent="0.3">
      <c r="A889" s="2" t="s">
        <v>946</v>
      </c>
      <c r="B889" s="1">
        <f>INDEX('Main Data'!$A$1:$O$1001,MATCH('Index&amp;Match'!$A889,'Main Data'!$A$1:$A$1001,0),MATCH('Index&amp;Match'!B888,'Main Data'!$A888:$O888,0))</f>
        <v>45950</v>
      </c>
      <c r="C889" s="2" t="str">
        <f>INDEX('Main Data'!$A$1:$O$1001,MATCH('Index&amp;Match'!$A889,'Main Data'!$A$1:$A$1001,0),MATCH('Index&amp;Match'!C888,'Main Data'!$A888:$O888,0))</f>
        <v>Sam</v>
      </c>
      <c r="D889" s="2" t="str">
        <f>INDEX('Main Data'!$A$1:$O$1001,MATCH('Index&amp;Match'!$A889,'Main Data'!$A$1:$A$1001,0),MATCH('Index&amp;Match'!D888,'Main Data'!$A888:$O888,0))</f>
        <v>BR-013</v>
      </c>
      <c r="E889" s="2" t="str">
        <f>INDEX('Main Data'!$A$1:$O$1001,MATCH('Index&amp;Match'!$A889,'Main Data'!$A$1:$A$1001,0),MATCH('Index&amp;Match'!E888,'Main Data'!$A888:$O888,0))</f>
        <v>East</v>
      </c>
      <c r="F889" s="2" t="str">
        <f>INDEX('Main Data'!$A$1:$O$1001,MATCH('Index&amp;Match'!$A889,'Main Data'!$A$1:$A$1001,0),MATCH('Index&amp;Match'!F888,'Main Data'!$A888:$O888,0))</f>
        <v>Auto Loan</v>
      </c>
      <c r="G889" s="2" t="str">
        <f>INDEX('Main Data'!$A$1:$O$1001,MATCH('Index&amp;Match'!$A889,'Main Data'!$A$1:$A$1001,0),MATCH('Index&amp;Match'!G888,'Main Data'!$A888:$O888,0))</f>
        <v>Referral</v>
      </c>
      <c r="H889" s="2" t="str">
        <f>INDEX('Main Data'!$A$1:$O$1001,MATCH('Index&amp;Match'!$A889,'Main Data'!$A$1:$A$1001,0),MATCH('Index&amp;Match'!H888,'Main Data'!$A888:$O888,0))</f>
        <v>Retail</v>
      </c>
      <c r="I889" s="2">
        <f>INDEX('Main Data'!$A$1:$O$1001,MATCH('Index&amp;Match'!$A889,'Main Data'!$A$1:$A$1001,0),MATCH('Index&amp;Match'!I888,'Main Data'!$A888:$O888,0))</f>
        <v>63</v>
      </c>
      <c r="J889" s="2">
        <f>INDEX('Main Data'!$A$1:$O$1001,MATCH('Index&amp;Match'!$A889,'Main Data'!$A$1:$A$1001,0),MATCH('Index&amp;Match'!J888,'Main Data'!$A888:$O888,0))</f>
        <v>63</v>
      </c>
      <c r="K889" s="11">
        <f>INDEX('Main Data'!$A$1:$O$1001,MATCH('Index&amp;Match'!$A889,'Main Data'!$A$1:$A$1001,0),MATCH('Index&amp;Match'!K888,'Main Data'!$A888:$O888,0))</f>
        <v>45630.53</v>
      </c>
      <c r="L889" s="11">
        <f>INDEX('Main Data'!$A$1:$O$1001,MATCH('Index&amp;Match'!$A889,'Main Data'!$A$1:$A$1001,0),MATCH('Index&amp;Match'!L888,'Main Data'!$A888:$O888,0))</f>
        <v>83.81</v>
      </c>
      <c r="M889" s="11">
        <f>INDEX('Main Data'!$A$1:$O$1001,MATCH('Index&amp;Match'!$A889,'Main Data'!$A$1:$A$1001,0),MATCH('Index&amp;Match'!M888,'Main Data'!$A888:$O888,0))</f>
        <v>18.760000000000002</v>
      </c>
      <c r="N889" s="2" t="str">
        <f>INDEX('Main Data'!$A$1:$O$1001,MATCH('Index&amp;Match'!$A889,'Main Data'!$A$1:$A$1001,0),MATCH('Index&amp;Match'!N888,'Main Data'!$A888:$O888,0))</f>
        <v>No</v>
      </c>
      <c r="O889" s="2">
        <f>INDEX('Main Data'!$A$1:$O$1001,MATCH('Index&amp;Match'!$A889,'Main Data'!$A$1:$A$1001,0),MATCH('Index&amp;Match'!O888,'Main Data'!$A888:$O888,0))</f>
        <v>63</v>
      </c>
    </row>
    <row r="890" spans="1:15" x14ac:dyDescent="0.3">
      <c r="A890" s="2" t="s">
        <v>947</v>
      </c>
      <c r="B890" s="1">
        <f>INDEX('Main Data'!$A$1:$O$1001,MATCH('Index&amp;Match'!$A890,'Main Data'!$A$1:$A$1001,0),MATCH('Index&amp;Match'!B889,'Main Data'!$A889:$O889,0))</f>
        <v>46130</v>
      </c>
      <c r="C890" s="2" t="str">
        <f>INDEX('Main Data'!$A$1:$O$1001,MATCH('Index&amp;Match'!$A890,'Main Data'!$A$1:$A$1001,0),MATCH('Index&amp;Match'!C889,'Main Data'!$A889:$O889,0))</f>
        <v>Morgan</v>
      </c>
      <c r="D890" s="2" t="str">
        <f>INDEX('Main Data'!$A$1:$O$1001,MATCH('Index&amp;Match'!$A890,'Main Data'!$A$1:$A$1001,0),MATCH('Index&amp;Match'!D889,'Main Data'!$A889:$O889,0))</f>
        <v>BR-005</v>
      </c>
      <c r="E890" s="2" t="str">
        <f>INDEX('Main Data'!$A$1:$O$1001,MATCH('Index&amp;Match'!$A890,'Main Data'!$A$1:$A$1001,0),MATCH('Index&amp;Match'!E889,'Main Data'!$A889:$O889,0))</f>
        <v>South</v>
      </c>
      <c r="F890" s="2" t="str">
        <f>INDEX('Main Data'!$A$1:$O$1001,MATCH('Index&amp;Match'!$A890,'Main Data'!$A$1:$A$1001,0),MATCH('Index&amp;Match'!F889,'Main Data'!$A889:$O889,0))</f>
        <v>Wealth Management</v>
      </c>
      <c r="G890" s="2" t="str">
        <f>INDEX('Main Data'!$A$1:$O$1001,MATCH('Index&amp;Match'!$A890,'Main Data'!$A$1:$A$1001,0),MATCH('Index&amp;Match'!G889,'Main Data'!$A889:$O889,0))</f>
        <v>Social Media</v>
      </c>
      <c r="H890" s="2" t="str">
        <f>INDEX('Main Data'!$A$1:$O$1001,MATCH('Index&amp;Match'!$A890,'Main Data'!$A$1:$A$1001,0),MATCH('Index&amp;Match'!H889,'Main Data'!$A889:$O889,0))</f>
        <v>Retail</v>
      </c>
      <c r="I890" s="2">
        <f>INDEX('Main Data'!$A$1:$O$1001,MATCH('Index&amp;Match'!$A890,'Main Data'!$A$1:$A$1001,0),MATCH('Index&amp;Match'!I889,'Main Data'!$A889:$O889,0))</f>
        <v>36</v>
      </c>
      <c r="J890" s="2">
        <f>INDEX('Main Data'!$A$1:$O$1001,MATCH('Index&amp;Match'!$A890,'Main Data'!$A$1:$A$1001,0),MATCH('Index&amp;Match'!J889,'Main Data'!$A889:$O889,0))</f>
        <v>36</v>
      </c>
      <c r="K890" s="11">
        <f>INDEX('Main Data'!$A$1:$O$1001,MATCH('Index&amp;Match'!$A890,'Main Data'!$A$1:$A$1001,0),MATCH('Index&amp;Match'!K889,'Main Data'!$A889:$O889,0))</f>
        <v>35253.089999999997</v>
      </c>
      <c r="L890" s="11">
        <f>INDEX('Main Data'!$A$1:$O$1001,MATCH('Index&amp;Match'!$A890,'Main Data'!$A$1:$A$1001,0),MATCH('Index&amp;Match'!L889,'Main Data'!$A889:$O889,0))</f>
        <v>291.05</v>
      </c>
      <c r="M890" s="11">
        <f>INDEX('Main Data'!$A$1:$O$1001,MATCH('Index&amp;Match'!$A890,'Main Data'!$A$1:$A$1001,0),MATCH('Index&amp;Match'!M889,'Main Data'!$A889:$O889,0))</f>
        <v>102.52</v>
      </c>
      <c r="N890" s="2" t="str">
        <f>INDEX('Main Data'!$A$1:$O$1001,MATCH('Index&amp;Match'!$A890,'Main Data'!$A$1:$A$1001,0),MATCH('Index&amp;Match'!N889,'Main Data'!$A889:$O889,0))</f>
        <v>No</v>
      </c>
      <c r="O890" s="2">
        <f>INDEX('Main Data'!$A$1:$O$1001,MATCH('Index&amp;Match'!$A890,'Main Data'!$A$1:$A$1001,0),MATCH('Index&amp;Match'!O889,'Main Data'!$A889:$O889,0))</f>
        <v>36</v>
      </c>
    </row>
    <row r="891" spans="1:15" x14ac:dyDescent="0.3">
      <c r="A891" s="2" t="s">
        <v>948</v>
      </c>
      <c r="B891" s="1">
        <f>INDEX('Main Data'!$A$1:$O$1001,MATCH('Index&amp;Match'!$A891,'Main Data'!$A$1:$A$1001,0),MATCH('Index&amp;Match'!B890,'Main Data'!$A890:$O890,0))</f>
        <v>46176</v>
      </c>
      <c r="C891" s="2" t="str">
        <f>INDEX('Main Data'!$A$1:$O$1001,MATCH('Index&amp;Match'!$A891,'Main Data'!$A$1:$A$1001,0),MATCH('Index&amp;Match'!C890,'Main Data'!$A890:$O890,0))</f>
        <v>Alex</v>
      </c>
      <c r="D891" s="2" t="str">
        <f>INDEX('Main Data'!$A$1:$O$1001,MATCH('Index&amp;Match'!$A891,'Main Data'!$A$1:$A$1001,0),MATCH('Index&amp;Match'!D890,'Main Data'!$A890:$O890,0))</f>
        <v>BR-011</v>
      </c>
      <c r="E891" s="2" t="str">
        <f>INDEX('Main Data'!$A$1:$O$1001,MATCH('Index&amp;Match'!$A891,'Main Data'!$A$1:$A$1001,0),MATCH('Index&amp;Match'!E890,'Main Data'!$A890:$O890,0))</f>
        <v>Central</v>
      </c>
      <c r="F891" s="2" t="str">
        <f>INDEX('Main Data'!$A$1:$O$1001,MATCH('Index&amp;Match'!$A891,'Main Data'!$A$1:$A$1001,0),MATCH('Index&amp;Match'!F890,'Main Data'!$A890:$O890,0))</f>
        <v>Mortgage</v>
      </c>
      <c r="G891" s="2" t="str">
        <f>INDEX('Main Data'!$A$1:$O$1001,MATCH('Index&amp;Match'!$A891,'Main Data'!$A$1:$A$1001,0),MATCH('Index&amp;Match'!G890,'Main Data'!$A890:$O890,0))</f>
        <v>Walk-in</v>
      </c>
      <c r="H891" s="2" t="str">
        <f>INDEX('Main Data'!$A$1:$O$1001,MATCH('Index&amp;Match'!$A891,'Main Data'!$A$1:$A$1001,0),MATCH('Index&amp;Match'!H890,'Main Data'!$A890:$O890,0))</f>
        <v>SME</v>
      </c>
      <c r="I891" s="2">
        <f>INDEX('Main Data'!$A$1:$O$1001,MATCH('Index&amp;Match'!$A891,'Main Data'!$A$1:$A$1001,0),MATCH('Index&amp;Match'!I890,'Main Data'!$A890:$O890,0))</f>
        <v>66</v>
      </c>
      <c r="J891" s="2">
        <f>INDEX('Main Data'!$A$1:$O$1001,MATCH('Index&amp;Match'!$A891,'Main Data'!$A$1:$A$1001,0),MATCH('Index&amp;Match'!J890,'Main Data'!$A890:$O890,0))</f>
        <v>66</v>
      </c>
      <c r="K891" s="11">
        <f>INDEX('Main Data'!$A$1:$O$1001,MATCH('Index&amp;Match'!$A891,'Main Data'!$A$1:$A$1001,0),MATCH('Index&amp;Match'!K890,'Main Data'!$A890:$O890,0))</f>
        <v>25615.79</v>
      </c>
      <c r="L891" s="11">
        <f>INDEX('Main Data'!$A$1:$O$1001,MATCH('Index&amp;Match'!$A891,'Main Data'!$A$1:$A$1001,0),MATCH('Index&amp;Match'!L890,'Main Data'!$A890:$O890,0))</f>
        <v>434.5</v>
      </c>
      <c r="M891" s="11">
        <f>INDEX('Main Data'!$A$1:$O$1001,MATCH('Index&amp;Match'!$A891,'Main Data'!$A$1:$A$1001,0),MATCH('Index&amp;Match'!M890,'Main Data'!$A890:$O890,0))</f>
        <v>112.84</v>
      </c>
      <c r="N891" s="2" t="str">
        <f>INDEX('Main Data'!$A$1:$O$1001,MATCH('Index&amp;Match'!$A891,'Main Data'!$A$1:$A$1001,0),MATCH('Index&amp;Match'!N890,'Main Data'!$A890:$O890,0))</f>
        <v>Yes</v>
      </c>
      <c r="O891" s="2">
        <f>INDEX('Main Data'!$A$1:$O$1001,MATCH('Index&amp;Match'!$A891,'Main Data'!$A$1:$A$1001,0),MATCH('Index&amp;Match'!O890,'Main Data'!$A890:$O890,0))</f>
        <v>66</v>
      </c>
    </row>
    <row r="892" spans="1:15" x14ac:dyDescent="0.3">
      <c r="A892" s="2" t="s">
        <v>949</v>
      </c>
      <c r="B892" s="1">
        <f>INDEX('Main Data'!$A$1:$O$1001,MATCH('Index&amp;Match'!$A892,'Main Data'!$A$1:$A$1001,0),MATCH('Index&amp;Match'!B891,'Main Data'!$A891:$O891,0))</f>
        <v>46094</v>
      </c>
      <c r="C892" s="2" t="str">
        <f>INDEX('Main Data'!$A$1:$O$1001,MATCH('Index&amp;Match'!$A892,'Main Data'!$A$1:$A$1001,0),MATCH('Index&amp;Match'!C891,'Main Data'!$A891:$O891,0))</f>
        <v>Jamie</v>
      </c>
      <c r="D892" s="2" t="str">
        <f>INDEX('Main Data'!$A$1:$O$1001,MATCH('Index&amp;Match'!$A892,'Main Data'!$A$1:$A$1001,0),MATCH('Index&amp;Match'!D891,'Main Data'!$A891:$O891,0))</f>
        <v>BR-008</v>
      </c>
      <c r="E892" s="2" t="str">
        <f>INDEX('Main Data'!$A$1:$O$1001,MATCH('Index&amp;Match'!$A892,'Main Data'!$A$1:$A$1001,0),MATCH('Index&amp;Match'!E891,'Main Data'!$A891:$O891,0))</f>
        <v>North</v>
      </c>
      <c r="F892" s="2" t="str">
        <f>INDEX('Main Data'!$A$1:$O$1001,MATCH('Index&amp;Match'!$A892,'Main Data'!$A$1:$A$1001,0),MATCH('Index&amp;Match'!F891,'Main Data'!$A891:$O891,0))</f>
        <v>Credit Card</v>
      </c>
      <c r="G892" s="2" t="str">
        <f>INDEX('Main Data'!$A$1:$O$1001,MATCH('Index&amp;Match'!$A892,'Main Data'!$A$1:$A$1001,0),MATCH('Index&amp;Match'!G891,'Main Data'!$A891:$O891,0))</f>
        <v>Website</v>
      </c>
      <c r="H892" s="2" t="str">
        <f>INDEX('Main Data'!$A$1:$O$1001,MATCH('Index&amp;Match'!$A892,'Main Data'!$A$1:$A$1001,0),MATCH('Index&amp;Match'!H891,'Main Data'!$A891:$O891,0))</f>
        <v>SME</v>
      </c>
      <c r="I892" s="2">
        <f>INDEX('Main Data'!$A$1:$O$1001,MATCH('Index&amp;Match'!$A892,'Main Data'!$A$1:$A$1001,0),MATCH('Index&amp;Match'!I891,'Main Data'!$A891:$O891,0))</f>
        <v>28</v>
      </c>
      <c r="J892" s="2">
        <f>INDEX('Main Data'!$A$1:$O$1001,MATCH('Index&amp;Match'!$A892,'Main Data'!$A$1:$A$1001,0),MATCH('Index&amp;Match'!J891,'Main Data'!$A891:$O891,0))</f>
        <v>28</v>
      </c>
      <c r="K892" s="11">
        <f>INDEX('Main Data'!$A$1:$O$1001,MATCH('Index&amp;Match'!$A892,'Main Data'!$A$1:$A$1001,0),MATCH('Index&amp;Match'!K891,'Main Data'!$A891:$O891,0))</f>
        <v>22354.44</v>
      </c>
      <c r="L892" s="11">
        <f>INDEX('Main Data'!$A$1:$O$1001,MATCH('Index&amp;Match'!$A892,'Main Data'!$A$1:$A$1001,0),MATCH('Index&amp;Match'!L891,'Main Data'!$A891:$O891,0))</f>
        <v>52.2</v>
      </c>
      <c r="M892" s="11">
        <f>INDEX('Main Data'!$A$1:$O$1001,MATCH('Index&amp;Match'!$A892,'Main Data'!$A$1:$A$1001,0),MATCH('Index&amp;Match'!M891,'Main Data'!$A891:$O891,0))</f>
        <v>98.83</v>
      </c>
      <c r="N892" s="2" t="str">
        <f>INDEX('Main Data'!$A$1:$O$1001,MATCH('Index&amp;Match'!$A892,'Main Data'!$A$1:$A$1001,0),MATCH('Index&amp;Match'!N891,'Main Data'!$A891:$O891,0))</f>
        <v>Yes</v>
      </c>
      <c r="O892" s="2">
        <f>INDEX('Main Data'!$A$1:$O$1001,MATCH('Index&amp;Match'!$A892,'Main Data'!$A$1:$A$1001,0),MATCH('Index&amp;Match'!O891,'Main Data'!$A891:$O891,0))</f>
        <v>28</v>
      </c>
    </row>
    <row r="893" spans="1:15" x14ac:dyDescent="0.3">
      <c r="A893" s="2" t="s">
        <v>950</v>
      </c>
      <c r="B893" s="1">
        <f>INDEX('Main Data'!$A$1:$O$1001,MATCH('Index&amp;Match'!$A893,'Main Data'!$A$1:$A$1001,0),MATCH('Index&amp;Match'!B892,'Main Data'!$A892:$O892,0))</f>
        <v>46129</v>
      </c>
      <c r="C893" s="2" t="str">
        <f>INDEX('Main Data'!$A$1:$O$1001,MATCH('Index&amp;Match'!$A893,'Main Data'!$A$1:$A$1001,0),MATCH('Index&amp;Match'!C892,'Main Data'!$A892:$O892,0))</f>
        <v>Jamie</v>
      </c>
      <c r="D893" s="2" t="str">
        <f>INDEX('Main Data'!$A$1:$O$1001,MATCH('Index&amp;Match'!$A893,'Main Data'!$A$1:$A$1001,0),MATCH('Index&amp;Match'!D892,'Main Data'!$A892:$O892,0))</f>
        <v>BR-011</v>
      </c>
      <c r="E893" s="2" t="str">
        <f>INDEX('Main Data'!$A$1:$O$1001,MATCH('Index&amp;Match'!$A893,'Main Data'!$A$1:$A$1001,0),MATCH('Index&amp;Match'!E892,'Main Data'!$A892:$O892,0))</f>
        <v>East</v>
      </c>
      <c r="F893" s="2" t="str">
        <f>INDEX('Main Data'!$A$1:$O$1001,MATCH('Index&amp;Match'!$A893,'Main Data'!$A$1:$A$1001,0),MATCH('Index&amp;Match'!F892,'Main Data'!$A892:$O892,0))</f>
        <v>Auto Loan</v>
      </c>
      <c r="G893" s="2" t="str">
        <f>INDEX('Main Data'!$A$1:$O$1001,MATCH('Index&amp;Match'!$A893,'Main Data'!$A$1:$A$1001,0),MATCH('Index&amp;Match'!G892,'Main Data'!$A892:$O892,0))</f>
        <v>Referral</v>
      </c>
      <c r="H893" s="2" t="str">
        <f>INDEX('Main Data'!$A$1:$O$1001,MATCH('Index&amp;Match'!$A893,'Main Data'!$A$1:$A$1001,0),MATCH('Index&amp;Match'!H892,'Main Data'!$A892:$O892,0))</f>
        <v>Retail</v>
      </c>
      <c r="I893" s="2">
        <f>INDEX('Main Data'!$A$1:$O$1001,MATCH('Index&amp;Match'!$A893,'Main Data'!$A$1:$A$1001,0),MATCH('Index&amp;Match'!I892,'Main Data'!$A892:$O892,0))</f>
        <v>69</v>
      </c>
      <c r="J893" s="2">
        <f>INDEX('Main Data'!$A$1:$O$1001,MATCH('Index&amp;Match'!$A893,'Main Data'!$A$1:$A$1001,0),MATCH('Index&amp;Match'!J892,'Main Data'!$A892:$O892,0))</f>
        <v>69</v>
      </c>
      <c r="K893" s="11">
        <f>INDEX('Main Data'!$A$1:$O$1001,MATCH('Index&amp;Match'!$A893,'Main Data'!$A$1:$A$1001,0),MATCH('Index&amp;Match'!K892,'Main Data'!$A892:$O892,0))</f>
        <v>6968.3</v>
      </c>
      <c r="L893" s="11">
        <f>INDEX('Main Data'!$A$1:$O$1001,MATCH('Index&amp;Match'!$A893,'Main Data'!$A$1:$A$1001,0),MATCH('Index&amp;Match'!L892,'Main Data'!$A892:$O892,0))</f>
        <v>471.5</v>
      </c>
      <c r="M893" s="11">
        <f>INDEX('Main Data'!$A$1:$O$1001,MATCH('Index&amp;Match'!$A893,'Main Data'!$A$1:$A$1001,0),MATCH('Index&amp;Match'!M892,'Main Data'!$A892:$O892,0))</f>
        <v>146.37</v>
      </c>
      <c r="N893" s="2" t="str">
        <f>INDEX('Main Data'!$A$1:$O$1001,MATCH('Index&amp;Match'!$A893,'Main Data'!$A$1:$A$1001,0),MATCH('Index&amp;Match'!N892,'Main Data'!$A892:$O892,0))</f>
        <v>Yes</v>
      </c>
      <c r="O893" s="2">
        <f>INDEX('Main Data'!$A$1:$O$1001,MATCH('Index&amp;Match'!$A893,'Main Data'!$A$1:$A$1001,0),MATCH('Index&amp;Match'!O892,'Main Data'!$A892:$O892,0))</f>
        <v>69</v>
      </c>
    </row>
    <row r="894" spans="1:15" x14ac:dyDescent="0.3">
      <c r="A894" s="2" t="s">
        <v>951</v>
      </c>
      <c r="B894" s="1">
        <f>INDEX('Main Data'!$A$1:$O$1001,MATCH('Index&amp;Match'!$A894,'Main Data'!$A$1:$A$1001,0),MATCH('Index&amp;Match'!B893,'Main Data'!$A893:$O893,0))</f>
        <v>46093</v>
      </c>
      <c r="C894" s="2" t="str">
        <f>INDEX('Main Data'!$A$1:$O$1001,MATCH('Index&amp;Match'!$A894,'Main Data'!$A$1:$A$1001,0),MATCH('Index&amp;Match'!C893,'Main Data'!$A893:$O893,0))</f>
        <v>Alex</v>
      </c>
      <c r="D894" s="2" t="str">
        <f>INDEX('Main Data'!$A$1:$O$1001,MATCH('Index&amp;Match'!$A894,'Main Data'!$A$1:$A$1001,0),MATCH('Index&amp;Match'!D893,'Main Data'!$A893:$O893,0))</f>
        <v>BR-004</v>
      </c>
      <c r="E894" s="2" t="str">
        <f>INDEX('Main Data'!$A$1:$O$1001,MATCH('Index&amp;Match'!$A894,'Main Data'!$A$1:$A$1001,0),MATCH('Index&amp;Match'!E893,'Main Data'!$A893:$O893,0))</f>
        <v>North</v>
      </c>
      <c r="F894" s="2" t="str">
        <f>INDEX('Main Data'!$A$1:$O$1001,MATCH('Index&amp;Match'!$A894,'Main Data'!$A$1:$A$1001,0),MATCH('Index&amp;Match'!F893,'Main Data'!$A893:$O893,0))</f>
        <v>Wealth Management</v>
      </c>
      <c r="G894" s="2" t="str">
        <f>INDEX('Main Data'!$A$1:$O$1001,MATCH('Index&amp;Match'!$A894,'Main Data'!$A$1:$A$1001,0),MATCH('Index&amp;Match'!G893,'Main Data'!$A893:$O893,0))</f>
        <v>Website</v>
      </c>
      <c r="H894" s="2" t="str">
        <f>INDEX('Main Data'!$A$1:$O$1001,MATCH('Index&amp;Match'!$A894,'Main Data'!$A$1:$A$1001,0),MATCH('Index&amp;Match'!H893,'Main Data'!$A893:$O893,0))</f>
        <v>Retail</v>
      </c>
      <c r="I894" s="2">
        <f>INDEX('Main Data'!$A$1:$O$1001,MATCH('Index&amp;Match'!$A894,'Main Data'!$A$1:$A$1001,0),MATCH('Index&amp;Match'!I893,'Main Data'!$A893:$O893,0))</f>
        <v>45</v>
      </c>
      <c r="J894" s="2">
        <f>INDEX('Main Data'!$A$1:$O$1001,MATCH('Index&amp;Match'!$A894,'Main Data'!$A$1:$A$1001,0),MATCH('Index&amp;Match'!J893,'Main Data'!$A893:$O893,0))</f>
        <v>45</v>
      </c>
      <c r="K894" s="11">
        <f>INDEX('Main Data'!$A$1:$O$1001,MATCH('Index&amp;Match'!$A894,'Main Data'!$A$1:$A$1001,0),MATCH('Index&amp;Match'!K893,'Main Data'!$A893:$O893,0))</f>
        <v>14904.47</v>
      </c>
      <c r="L894" s="11">
        <f>INDEX('Main Data'!$A$1:$O$1001,MATCH('Index&amp;Match'!$A894,'Main Data'!$A$1:$A$1001,0),MATCH('Index&amp;Match'!L893,'Main Data'!$A893:$O893,0))</f>
        <v>97.83</v>
      </c>
      <c r="M894" s="11">
        <f>INDEX('Main Data'!$A$1:$O$1001,MATCH('Index&amp;Match'!$A894,'Main Data'!$A$1:$A$1001,0),MATCH('Index&amp;Match'!M893,'Main Data'!$A893:$O893,0))</f>
        <v>76.760000000000005</v>
      </c>
      <c r="N894" s="2" t="str">
        <f>INDEX('Main Data'!$A$1:$O$1001,MATCH('Index&amp;Match'!$A894,'Main Data'!$A$1:$A$1001,0),MATCH('Index&amp;Match'!N893,'Main Data'!$A893:$O893,0))</f>
        <v>Yes</v>
      </c>
      <c r="O894" s="2">
        <f>INDEX('Main Data'!$A$1:$O$1001,MATCH('Index&amp;Match'!$A894,'Main Data'!$A$1:$A$1001,0),MATCH('Index&amp;Match'!O893,'Main Data'!$A893:$O893,0))</f>
        <v>45</v>
      </c>
    </row>
    <row r="895" spans="1:15" x14ac:dyDescent="0.3">
      <c r="A895" s="2" t="s">
        <v>952</v>
      </c>
      <c r="B895" s="1">
        <f>INDEX('Main Data'!$A$1:$O$1001,MATCH('Index&amp;Match'!$A895,'Main Data'!$A$1:$A$1001,0),MATCH('Index&amp;Match'!B894,'Main Data'!$A894:$O894,0))</f>
        <v>46067</v>
      </c>
      <c r="C895" s="2" t="str">
        <f>INDEX('Main Data'!$A$1:$O$1001,MATCH('Index&amp;Match'!$A895,'Main Data'!$A$1:$A$1001,0),MATCH('Index&amp;Match'!C894,'Main Data'!$A894:$O894,0))</f>
        <v>Casey</v>
      </c>
      <c r="D895" s="2" t="str">
        <f>INDEX('Main Data'!$A$1:$O$1001,MATCH('Index&amp;Match'!$A895,'Main Data'!$A$1:$A$1001,0),MATCH('Index&amp;Match'!D894,'Main Data'!$A894:$O894,0))</f>
        <v>BR-001</v>
      </c>
      <c r="E895" s="2" t="str">
        <f>INDEX('Main Data'!$A$1:$O$1001,MATCH('Index&amp;Match'!$A895,'Main Data'!$A$1:$A$1001,0),MATCH('Index&amp;Match'!E894,'Main Data'!$A894:$O894,0))</f>
        <v>East</v>
      </c>
      <c r="F895" s="2" t="str">
        <f>INDEX('Main Data'!$A$1:$O$1001,MATCH('Index&amp;Match'!$A895,'Main Data'!$A$1:$A$1001,0),MATCH('Index&amp;Match'!F894,'Main Data'!$A894:$O894,0))</f>
        <v>Credit Card</v>
      </c>
      <c r="G895" s="2" t="str">
        <f>INDEX('Main Data'!$A$1:$O$1001,MATCH('Index&amp;Match'!$A895,'Main Data'!$A$1:$A$1001,0),MATCH('Index&amp;Match'!G894,'Main Data'!$A894:$O894,0))</f>
        <v>Email Campaign</v>
      </c>
      <c r="H895" s="2" t="str">
        <f>INDEX('Main Data'!$A$1:$O$1001,MATCH('Index&amp;Match'!$A895,'Main Data'!$A$1:$A$1001,0),MATCH('Index&amp;Match'!H894,'Main Data'!$A894:$O894,0))</f>
        <v>SME</v>
      </c>
      <c r="I895" s="2">
        <f>INDEX('Main Data'!$A$1:$O$1001,MATCH('Index&amp;Match'!$A895,'Main Data'!$A$1:$A$1001,0),MATCH('Index&amp;Match'!I894,'Main Data'!$A894:$O894,0))</f>
        <v>70</v>
      </c>
      <c r="J895" s="2">
        <f>INDEX('Main Data'!$A$1:$O$1001,MATCH('Index&amp;Match'!$A895,'Main Data'!$A$1:$A$1001,0),MATCH('Index&amp;Match'!J894,'Main Data'!$A894:$O894,0))</f>
        <v>70</v>
      </c>
      <c r="K895" s="11">
        <f>INDEX('Main Data'!$A$1:$O$1001,MATCH('Index&amp;Match'!$A895,'Main Data'!$A$1:$A$1001,0),MATCH('Index&amp;Match'!K894,'Main Data'!$A894:$O894,0))</f>
        <v>43513.48</v>
      </c>
      <c r="L895" s="11">
        <f>INDEX('Main Data'!$A$1:$O$1001,MATCH('Index&amp;Match'!$A895,'Main Data'!$A$1:$A$1001,0),MATCH('Index&amp;Match'!L894,'Main Data'!$A894:$O894,0))</f>
        <v>428.89</v>
      </c>
      <c r="M895" s="11">
        <f>INDEX('Main Data'!$A$1:$O$1001,MATCH('Index&amp;Match'!$A895,'Main Data'!$A$1:$A$1001,0),MATCH('Index&amp;Match'!M894,'Main Data'!$A894:$O894,0))</f>
        <v>188.99</v>
      </c>
      <c r="N895" s="2" t="str">
        <f>INDEX('Main Data'!$A$1:$O$1001,MATCH('Index&amp;Match'!$A895,'Main Data'!$A$1:$A$1001,0),MATCH('Index&amp;Match'!N894,'Main Data'!$A894:$O894,0))</f>
        <v>Yes</v>
      </c>
      <c r="O895" s="2">
        <f>INDEX('Main Data'!$A$1:$O$1001,MATCH('Index&amp;Match'!$A895,'Main Data'!$A$1:$A$1001,0),MATCH('Index&amp;Match'!O894,'Main Data'!$A894:$O894,0))</f>
        <v>70</v>
      </c>
    </row>
    <row r="896" spans="1:15" x14ac:dyDescent="0.3">
      <c r="A896" s="2" t="s">
        <v>953</v>
      </c>
      <c r="B896" s="1">
        <f>INDEX('Main Data'!$A$1:$O$1001,MATCH('Index&amp;Match'!$A896,'Main Data'!$A$1:$A$1001,0),MATCH('Index&amp;Match'!B895,'Main Data'!$A895:$O895,0))</f>
        <v>46131</v>
      </c>
      <c r="C896" s="2" t="str">
        <f>INDEX('Main Data'!$A$1:$O$1001,MATCH('Index&amp;Match'!$A896,'Main Data'!$A$1:$A$1001,0),MATCH('Index&amp;Match'!C895,'Main Data'!$A895:$O895,0))</f>
        <v>Morgan</v>
      </c>
      <c r="D896" s="2" t="str">
        <f>INDEX('Main Data'!$A$1:$O$1001,MATCH('Index&amp;Match'!$A896,'Main Data'!$A$1:$A$1001,0),MATCH('Index&amp;Match'!D895,'Main Data'!$A895:$O895,0))</f>
        <v>BR-011</v>
      </c>
      <c r="E896" s="2" t="str">
        <f>INDEX('Main Data'!$A$1:$O$1001,MATCH('Index&amp;Match'!$A896,'Main Data'!$A$1:$A$1001,0),MATCH('Index&amp;Match'!E895,'Main Data'!$A895:$O895,0))</f>
        <v>Central</v>
      </c>
      <c r="F896" s="2" t="str">
        <f>INDEX('Main Data'!$A$1:$O$1001,MATCH('Index&amp;Match'!$A896,'Main Data'!$A$1:$A$1001,0),MATCH('Index&amp;Match'!F895,'Main Data'!$A895:$O895,0))</f>
        <v>Credit Card</v>
      </c>
      <c r="G896" s="2" t="str">
        <f>INDEX('Main Data'!$A$1:$O$1001,MATCH('Index&amp;Match'!$A896,'Main Data'!$A$1:$A$1001,0),MATCH('Index&amp;Match'!G895,'Main Data'!$A895:$O895,0))</f>
        <v>Walk-in</v>
      </c>
      <c r="H896" s="2" t="str">
        <f>INDEX('Main Data'!$A$1:$O$1001,MATCH('Index&amp;Match'!$A896,'Main Data'!$A$1:$A$1001,0),MATCH('Index&amp;Match'!H895,'Main Data'!$A895:$O895,0))</f>
        <v>Retail</v>
      </c>
      <c r="I896" s="2">
        <f>INDEX('Main Data'!$A$1:$O$1001,MATCH('Index&amp;Match'!$A896,'Main Data'!$A$1:$A$1001,0),MATCH('Index&amp;Match'!I895,'Main Data'!$A895:$O895,0))</f>
        <v>32</v>
      </c>
      <c r="J896" s="2">
        <f>INDEX('Main Data'!$A$1:$O$1001,MATCH('Index&amp;Match'!$A896,'Main Data'!$A$1:$A$1001,0),MATCH('Index&amp;Match'!J895,'Main Data'!$A895:$O895,0))</f>
        <v>32</v>
      </c>
      <c r="K896" s="11">
        <f>INDEX('Main Data'!$A$1:$O$1001,MATCH('Index&amp;Match'!$A896,'Main Data'!$A$1:$A$1001,0),MATCH('Index&amp;Match'!K895,'Main Data'!$A895:$O895,0))</f>
        <v>45270.41</v>
      </c>
      <c r="L896" s="11">
        <f>INDEX('Main Data'!$A$1:$O$1001,MATCH('Index&amp;Match'!$A896,'Main Data'!$A$1:$A$1001,0),MATCH('Index&amp;Match'!L895,'Main Data'!$A895:$O895,0))</f>
        <v>267.27999999999997</v>
      </c>
      <c r="M896" s="11">
        <f>INDEX('Main Data'!$A$1:$O$1001,MATCH('Index&amp;Match'!$A896,'Main Data'!$A$1:$A$1001,0),MATCH('Index&amp;Match'!M895,'Main Data'!$A895:$O895,0))</f>
        <v>96.36</v>
      </c>
      <c r="N896" s="2" t="str">
        <f>INDEX('Main Data'!$A$1:$O$1001,MATCH('Index&amp;Match'!$A896,'Main Data'!$A$1:$A$1001,0),MATCH('Index&amp;Match'!N895,'Main Data'!$A895:$O895,0))</f>
        <v>Yes</v>
      </c>
      <c r="O896" s="2">
        <f>INDEX('Main Data'!$A$1:$O$1001,MATCH('Index&amp;Match'!$A896,'Main Data'!$A$1:$A$1001,0),MATCH('Index&amp;Match'!O895,'Main Data'!$A895:$O895,0))</f>
        <v>32</v>
      </c>
    </row>
    <row r="897" spans="1:15" x14ac:dyDescent="0.3">
      <c r="A897" s="2" t="s">
        <v>954</v>
      </c>
      <c r="B897" s="1">
        <f>INDEX('Main Data'!$A$1:$O$1001,MATCH('Index&amp;Match'!$A897,'Main Data'!$A$1:$A$1001,0),MATCH('Index&amp;Match'!B896,'Main Data'!$A896:$O896,0))</f>
        <v>45942</v>
      </c>
      <c r="C897" s="2" t="str">
        <f>INDEX('Main Data'!$A$1:$O$1001,MATCH('Index&amp;Match'!$A897,'Main Data'!$A$1:$A$1001,0),MATCH('Index&amp;Match'!C896,'Main Data'!$A896:$O896,0))</f>
        <v>Morgan</v>
      </c>
      <c r="D897" s="2" t="str">
        <f>INDEX('Main Data'!$A$1:$O$1001,MATCH('Index&amp;Match'!$A897,'Main Data'!$A$1:$A$1001,0),MATCH('Index&amp;Match'!D896,'Main Data'!$A896:$O896,0))</f>
        <v>BR-007</v>
      </c>
      <c r="E897" s="2" t="str">
        <f>INDEX('Main Data'!$A$1:$O$1001,MATCH('Index&amp;Match'!$A897,'Main Data'!$A$1:$A$1001,0),MATCH('Index&amp;Match'!E896,'Main Data'!$A896:$O896,0))</f>
        <v>North</v>
      </c>
      <c r="F897" s="2" t="str">
        <f>INDEX('Main Data'!$A$1:$O$1001,MATCH('Index&amp;Match'!$A897,'Main Data'!$A$1:$A$1001,0),MATCH('Index&amp;Match'!F896,'Main Data'!$A896:$O896,0))</f>
        <v>Credit Card</v>
      </c>
      <c r="G897" s="2" t="str">
        <f>INDEX('Main Data'!$A$1:$O$1001,MATCH('Index&amp;Match'!$A897,'Main Data'!$A$1:$A$1001,0),MATCH('Index&amp;Match'!G896,'Main Data'!$A896:$O896,0))</f>
        <v>Email Campaign</v>
      </c>
      <c r="H897" s="2" t="str">
        <f>INDEX('Main Data'!$A$1:$O$1001,MATCH('Index&amp;Match'!$A897,'Main Data'!$A$1:$A$1001,0),MATCH('Index&amp;Match'!H896,'Main Data'!$A896:$O896,0))</f>
        <v>High Net Worth</v>
      </c>
      <c r="I897" s="2">
        <f>INDEX('Main Data'!$A$1:$O$1001,MATCH('Index&amp;Match'!$A897,'Main Data'!$A$1:$A$1001,0),MATCH('Index&amp;Match'!I896,'Main Data'!$A896:$O896,0))</f>
        <v>45</v>
      </c>
      <c r="J897" s="2">
        <f>INDEX('Main Data'!$A$1:$O$1001,MATCH('Index&amp;Match'!$A897,'Main Data'!$A$1:$A$1001,0),MATCH('Index&amp;Match'!J896,'Main Data'!$A896:$O896,0))</f>
        <v>45</v>
      </c>
      <c r="K897" s="11">
        <f>INDEX('Main Data'!$A$1:$O$1001,MATCH('Index&amp;Match'!$A897,'Main Data'!$A$1:$A$1001,0),MATCH('Index&amp;Match'!K896,'Main Data'!$A896:$O896,0))</f>
        <v>537.01</v>
      </c>
      <c r="L897" s="11">
        <f>INDEX('Main Data'!$A$1:$O$1001,MATCH('Index&amp;Match'!$A897,'Main Data'!$A$1:$A$1001,0),MATCH('Index&amp;Match'!L896,'Main Data'!$A896:$O896,0))</f>
        <v>346.71</v>
      </c>
      <c r="M897" s="11">
        <f>INDEX('Main Data'!$A$1:$O$1001,MATCH('Index&amp;Match'!$A897,'Main Data'!$A$1:$A$1001,0),MATCH('Index&amp;Match'!M896,'Main Data'!$A896:$O896,0))</f>
        <v>171.36</v>
      </c>
      <c r="N897" s="2" t="str">
        <f>INDEX('Main Data'!$A$1:$O$1001,MATCH('Index&amp;Match'!$A897,'Main Data'!$A$1:$A$1001,0),MATCH('Index&amp;Match'!N896,'Main Data'!$A896:$O896,0))</f>
        <v>Yes</v>
      </c>
      <c r="O897" s="2">
        <f>INDEX('Main Data'!$A$1:$O$1001,MATCH('Index&amp;Match'!$A897,'Main Data'!$A$1:$A$1001,0),MATCH('Index&amp;Match'!O896,'Main Data'!$A896:$O896,0))</f>
        <v>45</v>
      </c>
    </row>
    <row r="898" spans="1:15" x14ac:dyDescent="0.3">
      <c r="A898" s="2" t="s">
        <v>955</v>
      </c>
      <c r="B898" s="1">
        <f>INDEX('Main Data'!$A$1:$O$1001,MATCH('Index&amp;Match'!$A898,'Main Data'!$A$1:$A$1001,0),MATCH('Index&amp;Match'!B897,'Main Data'!$A897:$O897,0))</f>
        <v>46098</v>
      </c>
      <c r="C898" s="2" t="str">
        <f>INDEX('Main Data'!$A$1:$O$1001,MATCH('Index&amp;Match'!$A898,'Main Data'!$A$1:$A$1001,0),MATCH('Index&amp;Match'!C897,'Main Data'!$A897:$O897,0))</f>
        <v>Sam</v>
      </c>
      <c r="D898" s="2" t="str">
        <f>INDEX('Main Data'!$A$1:$O$1001,MATCH('Index&amp;Match'!$A898,'Main Data'!$A$1:$A$1001,0),MATCH('Index&amp;Match'!D897,'Main Data'!$A897:$O897,0))</f>
        <v>BR-008</v>
      </c>
      <c r="E898" s="2" t="str">
        <f>INDEX('Main Data'!$A$1:$O$1001,MATCH('Index&amp;Match'!$A898,'Main Data'!$A$1:$A$1001,0),MATCH('Index&amp;Match'!E897,'Main Data'!$A897:$O897,0))</f>
        <v>West</v>
      </c>
      <c r="F898" s="2" t="str">
        <f>INDEX('Main Data'!$A$1:$O$1001,MATCH('Index&amp;Match'!$A898,'Main Data'!$A$1:$A$1001,0),MATCH('Index&amp;Match'!F897,'Main Data'!$A897:$O897,0))</f>
        <v>Credit Card</v>
      </c>
      <c r="G898" s="2" t="str">
        <f>INDEX('Main Data'!$A$1:$O$1001,MATCH('Index&amp;Match'!$A898,'Main Data'!$A$1:$A$1001,0),MATCH('Index&amp;Match'!G897,'Main Data'!$A897:$O897,0))</f>
        <v>Email Campaign</v>
      </c>
      <c r="H898" s="2" t="str">
        <f>INDEX('Main Data'!$A$1:$O$1001,MATCH('Index&amp;Match'!$A898,'Main Data'!$A$1:$A$1001,0),MATCH('Index&amp;Match'!H897,'Main Data'!$A897:$O897,0))</f>
        <v>SME</v>
      </c>
      <c r="I898" s="2">
        <f>INDEX('Main Data'!$A$1:$O$1001,MATCH('Index&amp;Match'!$A898,'Main Data'!$A$1:$A$1001,0),MATCH('Index&amp;Match'!I897,'Main Data'!$A897:$O897,0))</f>
        <v>37</v>
      </c>
      <c r="J898" s="2">
        <f>INDEX('Main Data'!$A$1:$O$1001,MATCH('Index&amp;Match'!$A898,'Main Data'!$A$1:$A$1001,0),MATCH('Index&amp;Match'!J897,'Main Data'!$A897:$O897,0))</f>
        <v>37</v>
      </c>
      <c r="K898" s="11">
        <f>INDEX('Main Data'!$A$1:$O$1001,MATCH('Index&amp;Match'!$A898,'Main Data'!$A$1:$A$1001,0),MATCH('Index&amp;Match'!K897,'Main Data'!$A897:$O897,0))</f>
        <v>29909.75</v>
      </c>
      <c r="L898" s="11">
        <f>INDEX('Main Data'!$A$1:$O$1001,MATCH('Index&amp;Match'!$A898,'Main Data'!$A$1:$A$1001,0),MATCH('Index&amp;Match'!L897,'Main Data'!$A897:$O897,0))</f>
        <v>279.81</v>
      </c>
      <c r="M898" s="11">
        <f>INDEX('Main Data'!$A$1:$O$1001,MATCH('Index&amp;Match'!$A898,'Main Data'!$A$1:$A$1001,0),MATCH('Index&amp;Match'!M897,'Main Data'!$A897:$O897,0))</f>
        <v>165.11</v>
      </c>
      <c r="N898" s="2" t="str">
        <f>INDEX('Main Data'!$A$1:$O$1001,MATCH('Index&amp;Match'!$A898,'Main Data'!$A$1:$A$1001,0),MATCH('Index&amp;Match'!N897,'Main Data'!$A897:$O897,0))</f>
        <v>Yes</v>
      </c>
      <c r="O898" s="2">
        <f>INDEX('Main Data'!$A$1:$O$1001,MATCH('Index&amp;Match'!$A898,'Main Data'!$A$1:$A$1001,0),MATCH('Index&amp;Match'!O897,'Main Data'!$A897:$O897,0))</f>
        <v>37</v>
      </c>
    </row>
    <row r="899" spans="1:15" x14ac:dyDescent="0.3">
      <c r="A899" s="2" t="s">
        <v>956</v>
      </c>
      <c r="B899" s="1">
        <f>INDEX('Main Data'!$A$1:$O$1001,MATCH('Index&amp;Match'!$A899,'Main Data'!$A$1:$A$1001,0),MATCH('Index&amp;Match'!B898,'Main Data'!$A898:$O898,0))</f>
        <v>45875</v>
      </c>
      <c r="C899" s="2" t="str">
        <f>INDEX('Main Data'!$A$1:$O$1001,MATCH('Index&amp;Match'!$A899,'Main Data'!$A$1:$A$1001,0),MATCH('Index&amp;Match'!C898,'Main Data'!$A898:$O898,0))</f>
        <v>Morgan</v>
      </c>
      <c r="D899" s="2" t="str">
        <f>INDEX('Main Data'!$A$1:$O$1001,MATCH('Index&amp;Match'!$A899,'Main Data'!$A$1:$A$1001,0),MATCH('Index&amp;Match'!D898,'Main Data'!$A898:$O898,0))</f>
        <v>BR-003</v>
      </c>
      <c r="E899" s="2" t="str">
        <f>INDEX('Main Data'!$A$1:$O$1001,MATCH('Index&amp;Match'!$A899,'Main Data'!$A$1:$A$1001,0),MATCH('Index&amp;Match'!E898,'Main Data'!$A898:$O898,0))</f>
        <v>East</v>
      </c>
      <c r="F899" s="2" t="str">
        <f>INDEX('Main Data'!$A$1:$O$1001,MATCH('Index&amp;Match'!$A899,'Main Data'!$A$1:$A$1001,0),MATCH('Index&amp;Match'!F898,'Main Data'!$A898:$O898,0))</f>
        <v>Mortgage</v>
      </c>
      <c r="G899" s="2" t="str">
        <f>INDEX('Main Data'!$A$1:$O$1001,MATCH('Index&amp;Match'!$A899,'Main Data'!$A$1:$A$1001,0),MATCH('Index&amp;Match'!G898,'Main Data'!$A898:$O898,0))</f>
        <v>Email Campaign</v>
      </c>
      <c r="H899" s="2" t="str">
        <f>INDEX('Main Data'!$A$1:$O$1001,MATCH('Index&amp;Match'!$A899,'Main Data'!$A$1:$A$1001,0),MATCH('Index&amp;Match'!H898,'Main Data'!$A898:$O898,0))</f>
        <v>Retail</v>
      </c>
      <c r="I899" s="2">
        <f>INDEX('Main Data'!$A$1:$O$1001,MATCH('Index&amp;Match'!$A899,'Main Data'!$A$1:$A$1001,0),MATCH('Index&amp;Match'!I898,'Main Data'!$A898:$O898,0))</f>
        <v>46</v>
      </c>
      <c r="J899" s="2">
        <f>INDEX('Main Data'!$A$1:$O$1001,MATCH('Index&amp;Match'!$A899,'Main Data'!$A$1:$A$1001,0),MATCH('Index&amp;Match'!J898,'Main Data'!$A898:$O898,0))</f>
        <v>46</v>
      </c>
      <c r="K899" s="11">
        <f>INDEX('Main Data'!$A$1:$O$1001,MATCH('Index&amp;Match'!$A899,'Main Data'!$A$1:$A$1001,0),MATCH('Index&amp;Match'!K898,'Main Data'!$A898:$O898,0))</f>
        <v>36105.379999999997</v>
      </c>
      <c r="L899" s="11">
        <f>INDEX('Main Data'!$A$1:$O$1001,MATCH('Index&amp;Match'!$A899,'Main Data'!$A$1:$A$1001,0),MATCH('Index&amp;Match'!L898,'Main Data'!$A898:$O898,0))</f>
        <v>264.67</v>
      </c>
      <c r="M899" s="11">
        <f>INDEX('Main Data'!$A$1:$O$1001,MATCH('Index&amp;Match'!$A899,'Main Data'!$A$1:$A$1001,0),MATCH('Index&amp;Match'!M898,'Main Data'!$A898:$O898,0))</f>
        <v>55.05</v>
      </c>
      <c r="N899" s="2" t="str">
        <f>INDEX('Main Data'!$A$1:$O$1001,MATCH('Index&amp;Match'!$A899,'Main Data'!$A$1:$A$1001,0),MATCH('Index&amp;Match'!N898,'Main Data'!$A898:$O898,0))</f>
        <v>Yes</v>
      </c>
      <c r="O899" s="2">
        <f>INDEX('Main Data'!$A$1:$O$1001,MATCH('Index&amp;Match'!$A899,'Main Data'!$A$1:$A$1001,0),MATCH('Index&amp;Match'!O898,'Main Data'!$A898:$O898,0))</f>
        <v>46</v>
      </c>
    </row>
    <row r="900" spans="1:15" x14ac:dyDescent="0.3">
      <c r="A900" s="2" t="s">
        <v>957</v>
      </c>
      <c r="B900" s="1">
        <f>INDEX('Main Data'!$A$1:$O$1001,MATCH('Index&amp;Match'!$A900,'Main Data'!$A$1:$A$1001,0),MATCH('Index&amp;Match'!B899,'Main Data'!$A899:$O899,0))</f>
        <v>45874</v>
      </c>
      <c r="C900" s="2" t="str">
        <f>INDEX('Main Data'!$A$1:$O$1001,MATCH('Index&amp;Match'!$A900,'Main Data'!$A$1:$A$1001,0),MATCH('Index&amp;Match'!C899,'Main Data'!$A899:$O899,0))</f>
        <v>Jamie</v>
      </c>
      <c r="D900" s="2" t="str">
        <f>INDEX('Main Data'!$A$1:$O$1001,MATCH('Index&amp;Match'!$A900,'Main Data'!$A$1:$A$1001,0),MATCH('Index&amp;Match'!D899,'Main Data'!$A899:$O899,0))</f>
        <v>BR-006</v>
      </c>
      <c r="E900" s="2" t="str">
        <f>INDEX('Main Data'!$A$1:$O$1001,MATCH('Index&amp;Match'!$A900,'Main Data'!$A$1:$A$1001,0),MATCH('Index&amp;Match'!E899,'Main Data'!$A899:$O899,0))</f>
        <v>West</v>
      </c>
      <c r="F900" s="2" t="str">
        <f>INDEX('Main Data'!$A$1:$O$1001,MATCH('Index&amp;Match'!$A900,'Main Data'!$A$1:$A$1001,0),MATCH('Index&amp;Match'!F899,'Main Data'!$A899:$O899,0))</f>
        <v>Mortgage</v>
      </c>
      <c r="G900" s="2" t="str">
        <f>INDEX('Main Data'!$A$1:$O$1001,MATCH('Index&amp;Match'!$A900,'Main Data'!$A$1:$A$1001,0),MATCH('Index&amp;Match'!G899,'Main Data'!$A899:$O899,0))</f>
        <v>Walk-in</v>
      </c>
      <c r="H900" s="2" t="str">
        <f>INDEX('Main Data'!$A$1:$O$1001,MATCH('Index&amp;Match'!$A900,'Main Data'!$A$1:$A$1001,0),MATCH('Index&amp;Match'!H899,'Main Data'!$A899:$O899,0))</f>
        <v>SME</v>
      </c>
      <c r="I900" s="2">
        <f>INDEX('Main Data'!$A$1:$O$1001,MATCH('Index&amp;Match'!$A900,'Main Data'!$A$1:$A$1001,0),MATCH('Index&amp;Match'!I899,'Main Data'!$A899:$O899,0))</f>
        <v>66</v>
      </c>
      <c r="J900" s="2">
        <f>INDEX('Main Data'!$A$1:$O$1001,MATCH('Index&amp;Match'!$A900,'Main Data'!$A$1:$A$1001,0),MATCH('Index&amp;Match'!J899,'Main Data'!$A899:$O899,0))</f>
        <v>66</v>
      </c>
      <c r="K900" s="11">
        <f>INDEX('Main Data'!$A$1:$O$1001,MATCH('Index&amp;Match'!$A900,'Main Data'!$A$1:$A$1001,0),MATCH('Index&amp;Match'!K899,'Main Data'!$A899:$O899,0))</f>
        <v>31127.98</v>
      </c>
      <c r="L900" s="11">
        <f>INDEX('Main Data'!$A$1:$O$1001,MATCH('Index&amp;Match'!$A900,'Main Data'!$A$1:$A$1001,0),MATCH('Index&amp;Match'!L899,'Main Data'!$A899:$O899,0))</f>
        <v>425.7</v>
      </c>
      <c r="M900" s="11">
        <f>INDEX('Main Data'!$A$1:$O$1001,MATCH('Index&amp;Match'!$A900,'Main Data'!$A$1:$A$1001,0),MATCH('Index&amp;Match'!M899,'Main Data'!$A899:$O899,0))</f>
        <v>15.04</v>
      </c>
      <c r="N900" s="2" t="str">
        <f>INDEX('Main Data'!$A$1:$O$1001,MATCH('Index&amp;Match'!$A900,'Main Data'!$A$1:$A$1001,0),MATCH('Index&amp;Match'!N899,'Main Data'!$A899:$O899,0))</f>
        <v>No</v>
      </c>
      <c r="O900" s="2">
        <f>INDEX('Main Data'!$A$1:$O$1001,MATCH('Index&amp;Match'!$A900,'Main Data'!$A$1:$A$1001,0),MATCH('Index&amp;Match'!O899,'Main Data'!$A899:$O899,0))</f>
        <v>66</v>
      </c>
    </row>
    <row r="901" spans="1:15" x14ac:dyDescent="0.3">
      <c r="A901" s="2" t="s">
        <v>958</v>
      </c>
      <c r="B901" s="1">
        <f>INDEX('Main Data'!$A$1:$O$1001,MATCH('Index&amp;Match'!$A901,'Main Data'!$A$1:$A$1001,0),MATCH('Index&amp;Match'!B900,'Main Data'!$A900:$O900,0))</f>
        <v>45921</v>
      </c>
      <c r="C901" s="2" t="str">
        <f>INDEX('Main Data'!$A$1:$O$1001,MATCH('Index&amp;Match'!$A901,'Main Data'!$A$1:$A$1001,0),MATCH('Index&amp;Match'!C900,'Main Data'!$A900:$O900,0))</f>
        <v>Taylor</v>
      </c>
      <c r="D901" s="2" t="str">
        <f>INDEX('Main Data'!$A$1:$O$1001,MATCH('Index&amp;Match'!$A901,'Main Data'!$A$1:$A$1001,0),MATCH('Index&amp;Match'!D900,'Main Data'!$A900:$O900,0))</f>
        <v>BR-002</v>
      </c>
      <c r="E901" s="2" t="str">
        <f>INDEX('Main Data'!$A$1:$O$1001,MATCH('Index&amp;Match'!$A901,'Main Data'!$A$1:$A$1001,0),MATCH('Index&amp;Match'!E900,'Main Data'!$A900:$O900,0))</f>
        <v>North</v>
      </c>
      <c r="F901" s="2" t="str">
        <f>INDEX('Main Data'!$A$1:$O$1001,MATCH('Index&amp;Match'!$A901,'Main Data'!$A$1:$A$1001,0),MATCH('Index&amp;Match'!F900,'Main Data'!$A900:$O900,0))</f>
        <v>Mortgage</v>
      </c>
      <c r="G901" s="2" t="str">
        <f>INDEX('Main Data'!$A$1:$O$1001,MATCH('Index&amp;Match'!$A901,'Main Data'!$A$1:$A$1001,0),MATCH('Index&amp;Match'!G900,'Main Data'!$A900:$O900,0))</f>
        <v>Walk-in</v>
      </c>
      <c r="H901" s="2" t="str">
        <f>INDEX('Main Data'!$A$1:$O$1001,MATCH('Index&amp;Match'!$A901,'Main Data'!$A$1:$A$1001,0),MATCH('Index&amp;Match'!H900,'Main Data'!$A900:$O900,0))</f>
        <v>Corporate</v>
      </c>
      <c r="I901" s="2">
        <f>INDEX('Main Data'!$A$1:$O$1001,MATCH('Index&amp;Match'!$A901,'Main Data'!$A$1:$A$1001,0),MATCH('Index&amp;Match'!I900,'Main Data'!$A900:$O900,0))</f>
        <v>68</v>
      </c>
      <c r="J901" s="2">
        <f>INDEX('Main Data'!$A$1:$O$1001,MATCH('Index&amp;Match'!$A901,'Main Data'!$A$1:$A$1001,0),MATCH('Index&amp;Match'!J900,'Main Data'!$A900:$O900,0))</f>
        <v>68</v>
      </c>
      <c r="K901" s="11">
        <f>INDEX('Main Data'!$A$1:$O$1001,MATCH('Index&amp;Match'!$A901,'Main Data'!$A$1:$A$1001,0),MATCH('Index&amp;Match'!K900,'Main Data'!$A900:$O900,0))</f>
        <v>4543.1499999999996</v>
      </c>
      <c r="L901" s="11">
        <f>INDEX('Main Data'!$A$1:$O$1001,MATCH('Index&amp;Match'!$A901,'Main Data'!$A$1:$A$1001,0),MATCH('Index&amp;Match'!L900,'Main Data'!$A900:$O900,0))</f>
        <v>390.15</v>
      </c>
      <c r="M901" s="11">
        <f>INDEX('Main Data'!$A$1:$O$1001,MATCH('Index&amp;Match'!$A901,'Main Data'!$A$1:$A$1001,0),MATCH('Index&amp;Match'!M900,'Main Data'!$A900:$O900,0))</f>
        <v>141.56</v>
      </c>
      <c r="N901" s="2" t="str">
        <f>INDEX('Main Data'!$A$1:$O$1001,MATCH('Index&amp;Match'!$A901,'Main Data'!$A$1:$A$1001,0),MATCH('Index&amp;Match'!N900,'Main Data'!$A900:$O900,0))</f>
        <v>Yes</v>
      </c>
      <c r="O901" s="2">
        <f>INDEX('Main Data'!$A$1:$O$1001,MATCH('Index&amp;Match'!$A901,'Main Data'!$A$1:$A$1001,0),MATCH('Index&amp;Match'!O900,'Main Data'!$A900:$O900,0))</f>
        <v>68</v>
      </c>
    </row>
    <row r="902" spans="1:15" x14ac:dyDescent="0.3">
      <c r="A902" s="2" t="s">
        <v>959</v>
      </c>
      <c r="B902" s="1">
        <f>INDEX('Main Data'!$A$1:$O$1001,MATCH('Index&amp;Match'!$A902,'Main Data'!$A$1:$A$1001,0),MATCH('Index&amp;Match'!B901,'Main Data'!$A901:$O901,0))</f>
        <v>46118</v>
      </c>
      <c r="C902" s="2" t="str">
        <f>INDEX('Main Data'!$A$1:$O$1001,MATCH('Index&amp;Match'!$A902,'Main Data'!$A$1:$A$1001,0),MATCH('Index&amp;Match'!C901,'Main Data'!$A901:$O901,0))</f>
        <v>Casey</v>
      </c>
      <c r="D902" s="2" t="str">
        <f>INDEX('Main Data'!$A$1:$O$1001,MATCH('Index&amp;Match'!$A902,'Main Data'!$A$1:$A$1001,0),MATCH('Index&amp;Match'!D901,'Main Data'!$A901:$O901,0))</f>
        <v>BR-007</v>
      </c>
      <c r="E902" s="2" t="str">
        <f>INDEX('Main Data'!$A$1:$O$1001,MATCH('Index&amp;Match'!$A902,'Main Data'!$A$1:$A$1001,0),MATCH('Index&amp;Match'!E901,'Main Data'!$A901:$O901,0))</f>
        <v>West</v>
      </c>
      <c r="F902" s="2" t="str">
        <f>INDEX('Main Data'!$A$1:$O$1001,MATCH('Index&amp;Match'!$A902,'Main Data'!$A$1:$A$1001,0),MATCH('Index&amp;Match'!F901,'Main Data'!$A901:$O901,0))</f>
        <v>Wealth Management</v>
      </c>
      <c r="G902" s="2" t="str">
        <f>INDEX('Main Data'!$A$1:$O$1001,MATCH('Index&amp;Match'!$A902,'Main Data'!$A$1:$A$1001,0),MATCH('Index&amp;Match'!G901,'Main Data'!$A901:$O901,0))</f>
        <v>Social Media</v>
      </c>
      <c r="H902" s="2" t="str">
        <f>INDEX('Main Data'!$A$1:$O$1001,MATCH('Index&amp;Match'!$A902,'Main Data'!$A$1:$A$1001,0),MATCH('Index&amp;Match'!H901,'Main Data'!$A901:$O901,0))</f>
        <v>SME</v>
      </c>
      <c r="I902" s="2">
        <f>INDEX('Main Data'!$A$1:$O$1001,MATCH('Index&amp;Match'!$A902,'Main Data'!$A$1:$A$1001,0),MATCH('Index&amp;Match'!I901,'Main Data'!$A901:$O901,0))</f>
        <v>34</v>
      </c>
      <c r="J902" s="2">
        <f>INDEX('Main Data'!$A$1:$O$1001,MATCH('Index&amp;Match'!$A902,'Main Data'!$A$1:$A$1001,0),MATCH('Index&amp;Match'!J901,'Main Data'!$A901:$O901,0))</f>
        <v>34</v>
      </c>
      <c r="K902" s="11">
        <f>INDEX('Main Data'!$A$1:$O$1001,MATCH('Index&amp;Match'!$A902,'Main Data'!$A$1:$A$1001,0),MATCH('Index&amp;Match'!K901,'Main Data'!$A901:$O901,0))</f>
        <v>11277.38</v>
      </c>
      <c r="L902" s="11">
        <f>INDEX('Main Data'!$A$1:$O$1001,MATCH('Index&amp;Match'!$A902,'Main Data'!$A$1:$A$1001,0),MATCH('Index&amp;Match'!L901,'Main Data'!$A901:$O901,0))</f>
        <v>267.52999999999997</v>
      </c>
      <c r="M902" s="11">
        <f>INDEX('Main Data'!$A$1:$O$1001,MATCH('Index&amp;Match'!$A902,'Main Data'!$A$1:$A$1001,0),MATCH('Index&amp;Match'!M901,'Main Data'!$A901:$O901,0))</f>
        <v>96.6</v>
      </c>
      <c r="N902" s="2" t="str">
        <f>INDEX('Main Data'!$A$1:$O$1001,MATCH('Index&amp;Match'!$A902,'Main Data'!$A$1:$A$1001,0),MATCH('Index&amp;Match'!N901,'Main Data'!$A901:$O901,0))</f>
        <v>Yes</v>
      </c>
      <c r="O902" s="2">
        <f>INDEX('Main Data'!$A$1:$O$1001,MATCH('Index&amp;Match'!$A902,'Main Data'!$A$1:$A$1001,0),MATCH('Index&amp;Match'!O901,'Main Data'!$A901:$O901,0))</f>
        <v>34</v>
      </c>
    </row>
    <row r="903" spans="1:15" x14ac:dyDescent="0.3">
      <c r="A903" s="2" t="s">
        <v>960</v>
      </c>
      <c r="B903" s="1">
        <f>INDEX('Main Data'!$A$1:$O$1001,MATCH('Index&amp;Match'!$A903,'Main Data'!$A$1:$A$1001,0),MATCH('Index&amp;Match'!B902,'Main Data'!$A902:$O902,0))</f>
        <v>46212</v>
      </c>
      <c r="C903" s="2" t="str">
        <f>INDEX('Main Data'!$A$1:$O$1001,MATCH('Index&amp;Match'!$A903,'Main Data'!$A$1:$A$1001,0),MATCH('Index&amp;Match'!C902,'Main Data'!$A902:$O902,0))</f>
        <v>Morgan</v>
      </c>
      <c r="D903" s="2" t="str">
        <f>INDEX('Main Data'!$A$1:$O$1001,MATCH('Index&amp;Match'!$A903,'Main Data'!$A$1:$A$1001,0),MATCH('Index&amp;Match'!D902,'Main Data'!$A902:$O902,0))</f>
        <v>BR-015</v>
      </c>
      <c r="E903" s="2" t="str">
        <f>INDEX('Main Data'!$A$1:$O$1001,MATCH('Index&amp;Match'!$A903,'Main Data'!$A$1:$A$1001,0),MATCH('Index&amp;Match'!E902,'Main Data'!$A902:$O902,0))</f>
        <v>West</v>
      </c>
      <c r="F903" s="2" t="str">
        <f>INDEX('Main Data'!$A$1:$O$1001,MATCH('Index&amp;Match'!$A903,'Main Data'!$A$1:$A$1001,0),MATCH('Index&amp;Match'!F902,'Main Data'!$A902:$O902,0))</f>
        <v>Wealth Management</v>
      </c>
      <c r="G903" s="2" t="str">
        <f>INDEX('Main Data'!$A$1:$O$1001,MATCH('Index&amp;Match'!$A903,'Main Data'!$A$1:$A$1001,0),MATCH('Index&amp;Match'!G902,'Main Data'!$A902:$O902,0))</f>
        <v>Website</v>
      </c>
      <c r="H903" s="2" t="str">
        <f>INDEX('Main Data'!$A$1:$O$1001,MATCH('Index&amp;Match'!$A903,'Main Data'!$A$1:$A$1001,0),MATCH('Index&amp;Match'!H902,'Main Data'!$A902:$O902,0))</f>
        <v>SME</v>
      </c>
      <c r="I903" s="2">
        <f>INDEX('Main Data'!$A$1:$O$1001,MATCH('Index&amp;Match'!$A903,'Main Data'!$A$1:$A$1001,0),MATCH('Index&amp;Match'!I902,'Main Data'!$A902:$O902,0))</f>
        <v>61</v>
      </c>
      <c r="J903" s="2">
        <f>INDEX('Main Data'!$A$1:$O$1001,MATCH('Index&amp;Match'!$A903,'Main Data'!$A$1:$A$1001,0),MATCH('Index&amp;Match'!J902,'Main Data'!$A902:$O902,0))</f>
        <v>61</v>
      </c>
      <c r="K903" s="11">
        <f>INDEX('Main Data'!$A$1:$O$1001,MATCH('Index&amp;Match'!$A903,'Main Data'!$A$1:$A$1001,0),MATCH('Index&amp;Match'!K902,'Main Data'!$A902:$O902,0))</f>
        <v>12891.84</v>
      </c>
      <c r="L903" s="11">
        <f>INDEX('Main Data'!$A$1:$O$1001,MATCH('Index&amp;Match'!$A903,'Main Data'!$A$1:$A$1001,0),MATCH('Index&amp;Match'!L902,'Main Data'!$A902:$O902,0))</f>
        <v>100.24</v>
      </c>
      <c r="M903" s="11">
        <f>INDEX('Main Data'!$A$1:$O$1001,MATCH('Index&amp;Match'!$A903,'Main Data'!$A$1:$A$1001,0),MATCH('Index&amp;Match'!M902,'Main Data'!$A902:$O902,0))</f>
        <v>179.3</v>
      </c>
      <c r="N903" s="2" t="str">
        <f>INDEX('Main Data'!$A$1:$O$1001,MATCH('Index&amp;Match'!$A903,'Main Data'!$A$1:$A$1001,0),MATCH('Index&amp;Match'!N902,'Main Data'!$A902:$O902,0))</f>
        <v>Yes</v>
      </c>
      <c r="O903" s="2">
        <f>INDEX('Main Data'!$A$1:$O$1001,MATCH('Index&amp;Match'!$A903,'Main Data'!$A$1:$A$1001,0),MATCH('Index&amp;Match'!O902,'Main Data'!$A902:$O902,0))</f>
        <v>61</v>
      </c>
    </row>
    <row r="904" spans="1:15" x14ac:dyDescent="0.3">
      <c r="A904" s="2" t="s">
        <v>961</v>
      </c>
      <c r="B904" s="1">
        <f>INDEX('Main Data'!$A$1:$O$1001,MATCH('Index&amp;Match'!$A904,'Main Data'!$A$1:$A$1001,0),MATCH('Index&amp;Match'!B903,'Main Data'!$A903:$O903,0))</f>
        <v>45992</v>
      </c>
      <c r="C904" s="2" t="str">
        <f>INDEX('Main Data'!$A$1:$O$1001,MATCH('Index&amp;Match'!$A904,'Main Data'!$A$1:$A$1001,0),MATCH('Index&amp;Match'!C903,'Main Data'!$A903:$O903,0))</f>
        <v>Sam</v>
      </c>
      <c r="D904" s="2" t="str">
        <f>INDEX('Main Data'!$A$1:$O$1001,MATCH('Index&amp;Match'!$A904,'Main Data'!$A$1:$A$1001,0),MATCH('Index&amp;Match'!D903,'Main Data'!$A903:$O903,0))</f>
        <v>BR-008</v>
      </c>
      <c r="E904" s="2" t="str">
        <f>INDEX('Main Data'!$A$1:$O$1001,MATCH('Index&amp;Match'!$A904,'Main Data'!$A$1:$A$1001,0),MATCH('Index&amp;Match'!E903,'Main Data'!$A903:$O903,0))</f>
        <v>North</v>
      </c>
      <c r="F904" s="2" t="str">
        <f>INDEX('Main Data'!$A$1:$O$1001,MATCH('Index&amp;Match'!$A904,'Main Data'!$A$1:$A$1001,0),MATCH('Index&amp;Match'!F903,'Main Data'!$A903:$O903,0))</f>
        <v>Wealth Management</v>
      </c>
      <c r="G904" s="2" t="str">
        <f>INDEX('Main Data'!$A$1:$O$1001,MATCH('Index&amp;Match'!$A904,'Main Data'!$A$1:$A$1001,0),MATCH('Index&amp;Match'!G903,'Main Data'!$A903:$O903,0))</f>
        <v>Website</v>
      </c>
      <c r="H904" s="2" t="str">
        <f>INDEX('Main Data'!$A$1:$O$1001,MATCH('Index&amp;Match'!$A904,'Main Data'!$A$1:$A$1001,0),MATCH('Index&amp;Match'!H903,'Main Data'!$A903:$O903,0))</f>
        <v>Corporate</v>
      </c>
      <c r="I904" s="2">
        <f>INDEX('Main Data'!$A$1:$O$1001,MATCH('Index&amp;Match'!$A904,'Main Data'!$A$1:$A$1001,0),MATCH('Index&amp;Match'!I903,'Main Data'!$A903:$O903,0))</f>
        <v>56</v>
      </c>
      <c r="J904" s="2">
        <f>INDEX('Main Data'!$A$1:$O$1001,MATCH('Index&amp;Match'!$A904,'Main Data'!$A$1:$A$1001,0),MATCH('Index&amp;Match'!J903,'Main Data'!$A903:$O903,0))</f>
        <v>56</v>
      </c>
      <c r="K904" s="11">
        <f>INDEX('Main Data'!$A$1:$O$1001,MATCH('Index&amp;Match'!$A904,'Main Data'!$A$1:$A$1001,0),MATCH('Index&amp;Match'!K903,'Main Data'!$A903:$O903,0))</f>
        <v>41670.370000000003</v>
      </c>
      <c r="L904" s="11">
        <f>INDEX('Main Data'!$A$1:$O$1001,MATCH('Index&amp;Match'!$A904,'Main Data'!$A$1:$A$1001,0),MATCH('Index&amp;Match'!L903,'Main Data'!$A903:$O903,0))</f>
        <v>101.93</v>
      </c>
      <c r="M904" s="11">
        <f>INDEX('Main Data'!$A$1:$O$1001,MATCH('Index&amp;Match'!$A904,'Main Data'!$A$1:$A$1001,0),MATCH('Index&amp;Match'!M903,'Main Data'!$A903:$O903,0))</f>
        <v>196.54</v>
      </c>
      <c r="N904" s="2" t="str">
        <f>INDEX('Main Data'!$A$1:$O$1001,MATCH('Index&amp;Match'!$A904,'Main Data'!$A$1:$A$1001,0),MATCH('Index&amp;Match'!N903,'Main Data'!$A903:$O903,0))</f>
        <v>Yes</v>
      </c>
      <c r="O904" s="2">
        <f>INDEX('Main Data'!$A$1:$O$1001,MATCH('Index&amp;Match'!$A904,'Main Data'!$A$1:$A$1001,0),MATCH('Index&amp;Match'!O903,'Main Data'!$A903:$O903,0))</f>
        <v>56</v>
      </c>
    </row>
    <row r="905" spans="1:15" x14ac:dyDescent="0.3">
      <c r="A905" s="2" t="s">
        <v>962</v>
      </c>
      <c r="B905" s="1">
        <f>INDEX('Main Data'!$A$1:$O$1001,MATCH('Index&amp;Match'!$A905,'Main Data'!$A$1:$A$1001,0),MATCH('Index&amp;Match'!B904,'Main Data'!$A904:$O904,0))</f>
        <v>46011</v>
      </c>
      <c r="C905" s="2" t="str">
        <f>INDEX('Main Data'!$A$1:$O$1001,MATCH('Index&amp;Match'!$A905,'Main Data'!$A$1:$A$1001,0),MATCH('Index&amp;Match'!C904,'Main Data'!$A904:$O904,0))</f>
        <v>Jamie</v>
      </c>
      <c r="D905" s="2" t="str">
        <f>INDEX('Main Data'!$A$1:$O$1001,MATCH('Index&amp;Match'!$A905,'Main Data'!$A$1:$A$1001,0),MATCH('Index&amp;Match'!D904,'Main Data'!$A904:$O904,0))</f>
        <v>BR-006</v>
      </c>
      <c r="E905" s="2" t="str">
        <f>INDEX('Main Data'!$A$1:$O$1001,MATCH('Index&amp;Match'!$A905,'Main Data'!$A$1:$A$1001,0),MATCH('Index&amp;Match'!E904,'Main Data'!$A904:$O904,0))</f>
        <v>Central</v>
      </c>
      <c r="F905" s="2" t="str">
        <f>INDEX('Main Data'!$A$1:$O$1001,MATCH('Index&amp;Match'!$A905,'Main Data'!$A$1:$A$1001,0),MATCH('Index&amp;Match'!F904,'Main Data'!$A904:$O904,0))</f>
        <v>Personal Loan</v>
      </c>
      <c r="G905" s="2" t="str">
        <f>INDEX('Main Data'!$A$1:$O$1001,MATCH('Index&amp;Match'!$A905,'Main Data'!$A$1:$A$1001,0),MATCH('Index&amp;Match'!G904,'Main Data'!$A904:$O904,0))</f>
        <v>Social Media</v>
      </c>
      <c r="H905" s="2" t="str">
        <f>INDEX('Main Data'!$A$1:$O$1001,MATCH('Index&amp;Match'!$A905,'Main Data'!$A$1:$A$1001,0),MATCH('Index&amp;Match'!H904,'Main Data'!$A904:$O904,0))</f>
        <v>High Net Worth</v>
      </c>
      <c r="I905" s="2">
        <f>INDEX('Main Data'!$A$1:$O$1001,MATCH('Index&amp;Match'!$A905,'Main Data'!$A$1:$A$1001,0),MATCH('Index&amp;Match'!I904,'Main Data'!$A904:$O904,0))</f>
        <v>43</v>
      </c>
      <c r="J905" s="2">
        <f>INDEX('Main Data'!$A$1:$O$1001,MATCH('Index&amp;Match'!$A905,'Main Data'!$A$1:$A$1001,0),MATCH('Index&amp;Match'!J904,'Main Data'!$A904:$O904,0))</f>
        <v>43</v>
      </c>
      <c r="K905" s="11">
        <f>INDEX('Main Data'!$A$1:$O$1001,MATCH('Index&amp;Match'!$A905,'Main Data'!$A$1:$A$1001,0),MATCH('Index&amp;Match'!K904,'Main Data'!$A904:$O904,0))</f>
        <v>23428.37</v>
      </c>
      <c r="L905" s="11">
        <f>INDEX('Main Data'!$A$1:$O$1001,MATCH('Index&amp;Match'!$A905,'Main Data'!$A$1:$A$1001,0),MATCH('Index&amp;Match'!L904,'Main Data'!$A904:$O904,0))</f>
        <v>410.69</v>
      </c>
      <c r="M905" s="11">
        <f>INDEX('Main Data'!$A$1:$O$1001,MATCH('Index&amp;Match'!$A905,'Main Data'!$A$1:$A$1001,0),MATCH('Index&amp;Match'!M904,'Main Data'!$A904:$O904,0))</f>
        <v>119.73</v>
      </c>
      <c r="N905" s="2" t="str">
        <f>INDEX('Main Data'!$A$1:$O$1001,MATCH('Index&amp;Match'!$A905,'Main Data'!$A$1:$A$1001,0),MATCH('Index&amp;Match'!N904,'Main Data'!$A904:$O904,0))</f>
        <v>No</v>
      </c>
      <c r="O905" s="2">
        <f>INDEX('Main Data'!$A$1:$O$1001,MATCH('Index&amp;Match'!$A905,'Main Data'!$A$1:$A$1001,0),MATCH('Index&amp;Match'!O904,'Main Data'!$A904:$O904,0))</f>
        <v>43</v>
      </c>
    </row>
    <row r="906" spans="1:15" x14ac:dyDescent="0.3">
      <c r="A906" s="2" t="s">
        <v>963</v>
      </c>
      <c r="B906" s="1">
        <f>INDEX('Main Data'!$A$1:$O$1001,MATCH('Index&amp;Match'!$A906,'Main Data'!$A$1:$A$1001,0),MATCH('Index&amp;Match'!B905,'Main Data'!$A905:$O905,0))</f>
        <v>46190</v>
      </c>
      <c r="C906" s="2" t="str">
        <f>INDEX('Main Data'!$A$1:$O$1001,MATCH('Index&amp;Match'!$A906,'Main Data'!$A$1:$A$1001,0),MATCH('Index&amp;Match'!C905,'Main Data'!$A905:$O905,0))</f>
        <v>Taylor</v>
      </c>
      <c r="D906" s="2" t="str">
        <f>INDEX('Main Data'!$A$1:$O$1001,MATCH('Index&amp;Match'!$A906,'Main Data'!$A$1:$A$1001,0),MATCH('Index&amp;Match'!D905,'Main Data'!$A905:$O905,0))</f>
        <v>BR-006</v>
      </c>
      <c r="E906" s="2" t="str">
        <f>INDEX('Main Data'!$A$1:$O$1001,MATCH('Index&amp;Match'!$A906,'Main Data'!$A$1:$A$1001,0),MATCH('Index&amp;Match'!E905,'Main Data'!$A905:$O905,0))</f>
        <v>West</v>
      </c>
      <c r="F906" s="2" t="str">
        <f>INDEX('Main Data'!$A$1:$O$1001,MATCH('Index&amp;Match'!$A906,'Main Data'!$A$1:$A$1001,0),MATCH('Index&amp;Match'!F905,'Main Data'!$A905:$O905,0))</f>
        <v>Wealth Management</v>
      </c>
      <c r="G906" s="2" t="str">
        <f>INDEX('Main Data'!$A$1:$O$1001,MATCH('Index&amp;Match'!$A906,'Main Data'!$A$1:$A$1001,0),MATCH('Index&amp;Match'!G905,'Main Data'!$A905:$O905,0))</f>
        <v>Social Media</v>
      </c>
      <c r="H906" s="2" t="str">
        <f>INDEX('Main Data'!$A$1:$O$1001,MATCH('Index&amp;Match'!$A906,'Main Data'!$A$1:$A$1001,0),MATCH('Index&amp;Match'!H905,'Main Data'!$A905:$O905,0))</f>
        <v>Retail</v>
      </c>
      <c r="I906" s="2">
        <f>INDEX('Main Data'!$A$1:$O$1001,MATCH('Index&amp;Match'!$A906,'Main Data'!$A$1:$A$1001,0),MATCH('Index&amp;Match'!I905,'Main Data'!$A905:$O905,0))</f>
        <v>63</v>
      </c>
      <c r="J906" s="2">
        <f>INDEX('Main Data'!$A$1:$O$1001,MATCH('Index&amp;Match'!$A906,'Main Data'!$A$1:$A$1001,0),MATCH('Index&amp;Match'!J905,'Main Data'!$A905:$O905,0))</f>
        <v>63</v>
      </c>
      <c r="K906" s="11">
        <f>INDEX('Main Data'!$A$1:$O$1001,MATCH('Index&amp;Match'!$A906,'Main Data'!$A$1:$A$1001,0),MATCH('Index&amp;Match'!K905,'Main Data'!$A905:$O905,0))</f>
        <v>24598</v>
      </c>
      <c r="L906" s="11">
        <f>INDEX('Main Data'!$A$1:$O$1001,MATCH('Index&amp;Match'!$A906,'Main Data'!$A$1:$A$1001,0),MATCH('Index&amp;Match'!L905,'Main Data'!$A905:$O905,0))</f>
        <v>288.23</v>
      </c>
      <c r="M906" s="11">
        <f>INDEX('Main Data'!$A$1:$O$1001,MATCH('Index&amp;Match'!$A906,'Main Data'!$A$1:$A$1001,0),MATCH('Index&amp;Match'!M905,'Main Data'!$A905:$O905,0))</f>
        <v>83.09</v>
      </c>
      <c r="N906" s="2" t="str">
        <f>INDEX('Main Data'!$A$1:$O$1001,MATCH('Index&amp;Match'!$A906,'Main Data'!$A$1:$A$1001,0),MATCH('Index&amp;Match'!N905,'Main Data'!$A905:$O905,0))</f>
        <v>Yes</v>
      </c>
      <c r="O906" s="2">
        <f>INDEX('Main Data'!$A$1:$O$1001,MATCH('Index&amp;Match'!$A906,'Main Data'!$A$1:$A$1001,0),MATCH('Index&amp;Match'!O905,'Main Data'!$A905:$O905,0))</f>
        <v>63</v>
      </c>
    </row>
    <row r="907" spans="1:15" x14ac:dyDescent="0.3">
      <c r="A907" s="2" t="s">
        <v>964</v>
      </c>
      <c r="B907" s="1">
        <f>INDEX('Main Data'!$A$1:$O$1001,MATCH('Index&amp;Match'!$A907,'Main Data'!$A$1:$A$1001,0),MATCH('Index&amp;Match'!B906,'Main Data'!$A906:$O906,0))</f>
        <v>46105</v>
      </c>
      <c r="C907" s="2" t="str">
        <f>INDEX('Main Data'!$A$1:$O$1001,MATCH('Index&amp;Match'!$A907,'Main Data'!$A$1:$A$1001,0),MATCH('Index&amp;Match'!C906,'Main Data'!$A906:$O906,0))</f>
        <v>Jordan</v>
      </c>
      <c r="D907" s="2" t="str">
        <f>INDEX('Main Data'!$A$1:$O$1001,MATCH('Index&amp;Match'!$A907,'Main Data'!$A$1:$A$1001,0),MATCH('Index&amp;Match'!D906,'Main Data'!$A906:$O906,0))</f>
        <v>BR-005</v>
      </c>
      <c r="E907" s="2" t="str">
        <f>INDEX('Main Data'!$A$1:$O$1001,MATCH('Index&amp;Match'!$A907,'Main Data'!$A$1:$A$1001,0),MATCH('Index&amp;Match'!E906,'Main Data'!$A906:$O906,0))</f>
        <v>West</v>
      </c>
      <c r="F907" s="2" t="str">
        <f>INDEX('Main Data'!$A$1:$O$1001,MATCH('Index&amp;Match'!$A907,'Main Data'!$A$1:$A$1001,0),MATCH('Index&amp;Match'!F906,'Main Data'!$A906:$O906,0))</f>
        <v>Mortgage</v>
      </c>
      <c r="G907" s="2" t="str">
        <f>INDEX('Main Data'!$A$1:$O$1001,MATCH('Index&amp;Match'!$A907,'Main Data'!$A$1:$A$1001,0),MATCH('Index&amp;Match'!G906,'Main Data'!$A906:$O906,0))</f>
        <v>Email Campaign</v>
      </c>
      <c r="H907" s="2" t="str">
        <f>INDEX('Main Data'!$A$1:$O$1001,MATCH('Index&amp;Match'!$A907,'Main Data'!$A$1:$A$1001,0),MATCH('Index&amp;Match'!H906,'Main Data'!$A906:$O906,0))</f>
        <v>Corporate</v>
      </c>
      <c r="I907" s="2">
        <f>INDEX('Main Data'!$A$1:$O$1001,MATCH('Index&amp;Match'!$A907,'Main Data'!$A$1:$A$1001,0),MATCH('Index&amp;Match'!I906,'Main Data'!$A906:$O906,0))</f>
        <v>26</v>
      </c>
      <c r="J907" s="2">
        <f>INDEX('Main Data'!$A$1:$O$1001,MATCH('Index&amp;Match'!$A907,'Main Data'!$A$1:$A$1001,0),MATCH('Index&amp;Match'!J906,'Main Data'!$A906:$O906,0))</f>
        <v>26</v>
      </c>
      <c r="K907" s="11">
        <f>INDEX('Main Data'!$A$1:$O$1001,MATCH('Index&amp;Match'!$A907,'Main Data'!$A$1:$A$1001,0),MATCH('Index&amp;Match'!K906,'Main Data'!$A906:$O906,0))</f>
        <v>46777.21</v>
      </c>
      <c r="L907" s="11">
        <f>INDEX('Main Data'!$A$1:$O$1001,MATCH('Index&amp;Match'!$A907,'Main Data'!$A$1:$A$1001,0),MATCH('Index&amp;Match'!L906,'Main Data'!$A906:$O906,0))</f>
        <v>266.72000000000003</v>
      </c>
      <c r="M907" s="11">
        <f>INDEX('Main Data'!$A$1:$O$1001,MATCH('Index&amp;Match'!$A907,'Main Data'!$A$1:$A$1001,0),MATCH('Index&amp;Match'!M906,'Main Data'!$A906:$O906,0))</f>
        <v>81.59</v>
      </c>
      <c r="N907" s="2" t="str">
        <f>INDEX('Main Data'!$A$1:$O$1001,MATCH('Index&amp;Match'!$A907,'Main Data'!$A$1:$A$1001,0),MATCH('Index&amp;Match'!N906,'Main Data'!$A906:$O906,0))</f>
        <v>Yes</v>
      </c>
      <c r="O907" s="2">
        <f>INDEX('Main Data'!$A$1:$O$1001,MATCH('Index&amp;Match'!$A907,'Main Data'!$A$1:$A$1001,0),MATCH('Index&amp;Match'!O906,'Main Data'!$A906:$O906,0))</f>
        <v>26</v>
      </c>
    </row>
    <row r="908" spans="1:15" x14ac:dyDescent="0.3">
      <c r="A908" s="2" t="s">
        <v>965</v>
      </c>
      <c r="B908" s="1">
        <f>INDEX('Main Data'!$A$1:$O$1001,MATCH('Index&amp;Match'!$A908,'Main Data'!$A$1:$A$1001,0),MATCH('Index&amp;Match'!B907,'Main Data'!$A907:$O907,0))</f>
        <v>45914</v>
      </c>
      <c r="C908" s="2" t="str">
        <f>INDEX('Main Data'!$A$1:$O$1001,MATCH('Index&amp;Match'!$A908,'Main Data'!$A$1:$A$1001,0),MATCH('Index&amp;Match'!C907,'Main Data'!$A907:$O907,0))</f>
        <v>Jordan</v>
      </c>
      <c r="D908" s="2" t="str">
        <f>INDEX('Main Data'!$A$1:$O$1001,MATCH('Index&amp;Match'!$A908,'Main Data'!$A$1:$A$1001,0),MATCH('Index&amp;Match'!D907,'Main Data'!$A907:$O907,0))</f>
        <v>BR-008</v>
      </c>
      <c r="E908" s="2" t="str">
        <f>INDEX('Main Data'!$A$1:$O$1001,MATCH('Index&amp;Match'!$A908,'Main Data'!$A$1:$A$1001,0),MATCH('Index&amp;Match'!E907,'Main Data'!$A907:$O907,0))</f>
        <v>Central</v>
      </c>
      <c r="F908" s="2" t="str">
        <f>INDEX('Main Data'!$A$1:$O$1001,MATCH('Index&amp;Match'!$A908,'Main Data'!$A$1:$A$1001,0),MATCH('Index&amp;Match'!F907,'Main Data'!$A907:$O907,0))</f>
        <v>Mortgage</v>
      </c>
      <c r="G908" s="2" t="str">
        <f>INDEX('Main Data'!$A$1:$O$1001,MATCH('Index&amp;Match'!$A908,'Main Data'!$A$1:$A$1001,0),MATCH('Index&amp;Match'!G907,'Main Data'!$A907:$O907,0))</f>
        <v>Social Media</v>
      </c>
      <c r="H908" s="2" t="str">
        <f>INDEX('Main Data'!$A$1:$O$1001,MATCH('Index&amp;Match'!$A908,'Main Data'!$A$1:$A$1001,0),MATCH('Index&amp;Match'!H907,'Main Data'!$A907:$O907,0))</f>
        <v>SME</v>
      </c>
      <c r="I908" s="2">
        <f>INDEX('Main Data'!$A$1:$O$1001,MATCH('Index&amp;Match'!$A908,'Main Data'!$A$1:$A$1001,0),MATCH('Index&amp;Match'!I907,'Main Data'!$A907:$O907,0))</f>
        <v>67</v>
      </c>
      <c r="J908" s="2">
        <f>INDEX('Main Data'!$A$1:$O$1001,MATCH('Index&amp;Match'!$A908,'Main Data'!$A$1:$A$1001,0),MATCH('Index&amp;Match'!J907,'Main Data'!$A907:$O907,0))</f>
        <v>67</v>
      </c>
      <c r="K908" s="11">
        <f>INDEX('Main Data'!$A$1:$O$1001,MATCH('Index&amp;Match'!$A908,'Main Data'!$A$1:$A$1001,0),MATCH('Index&amp;Match'!K907,'Main Data'!$A907:$O907,0))</f>
        <v>32035.75</v>
      </c>
      <c r="L908" s="11">
        <f>INDEX('Main Data'!$A$1:$O$1001,MATCH('Index&amp;Match'!$A908,'Main Data'!$A$1:$A$1001,0),MATCH('Index&amp;Match'!L907,'Main Data'!$A907:$O907,0))</f>
        <v>356.26</v>
      </c>
      <c r="M908" s="11">
        <f>INDEX('Main Data'!$A$1:$O$1001,MATCH('Index&amp;Match'!$A908,'Main Data'!$A$1:$A$1001,0),MATCH('Index&amp;Match'!M907,'Main Data'!$A907:$O907,0))</f>
        <v>64.91</v>
      </c>
      <c r="N908" s="2" t="str">
        <f>INDEX('Main Data'!$A$1:$O$1001,MATCH('Index&amp;Match'!$A908,'Main Data'!$A$1:$A$1001,0),MATCH('Index&amp;Match'!N907,'Main Data'!$A907:$O907,0))</f>
        <v>Yes</v>
      </c>
      <c r="O908" s="2">
        <f>INDEX('Main Data'!$A$1:$O$1001,MATCH('Index&amp;Match'!$A908,'Main Data'!$A$1:$A$1001,0),MATCH('Index&amp;Match'!O907,'Main Data'!$A907:$O907,0))</f>
        <v>67</v>
      </c>
    </row>
    <row r="909" spans="1:15" x14ac:dyDescent="0.3">
      <c r="A909" s="2" t="s">
        <v>966</v>
      </c>
      <c r="B909" s="1">
        <f>INDEX('Main Data'!$A$1:$O$1001,MATCH('Index&amp;Match'!$A909,'Main Data'!$A$1:$A$1001,0),MATCH('Index&amp;Match'!B908,'Main Data'!$A908:$O908,0))</f>
        <v>45872</v>
      </c>
      <c r="C909" s="2" t="str">
        <f>INDEX('Main Data'!$A$1:$O$1001,MATCH('Index&amp;Match'!$A909,'Main Data'!$A$1:$A$1001,0),MATCH('Index&amp;Match'!C908,'Main Data'!$A908:$O908,0))</f>
        <v>Taylor</v>
      </c>
      <c r="D909" s="2" t="str">
        <f>INDEX('Main Data'!$A$1:$O$1001,MATCH('Index&amp;Match'!$A909,'Main Data'!$A$1:$A$1001,0),MATCH('Index&amp;Match'!D908,'Main Data'!$A908:$O908,0))</f>
        <v>BR-001</v>
      </c>
      <c r="E909" s="2" t="str">
        <f>INDEX('Main Data'!$A$1:$O$1001,MATCH('Index&amp;Match'!$A909,'Main Data'!$A$1:$A$1001,0),MATCH('Index&amp;Match'!E908,'Main Data'!$A908:$O908,0))</f>
        <v>West</v>
      </c>
      <c r="F909" s="2" t="str">
        <f>INDEX('Main Data'!$A$1:$O$1001,MATCH('Index&amp;Match'!$A909,'Main Data'!$A$1:$A$1001,0),MATCH('Index&amp;Match'!F908,'Main Data'!$A908:$O908,0))</f>
        <v>Personal Loan</v>
      </c>
      <c r="G909" s="2" t="str">
        <f>INDEX('Main Data'!$A$1:$O$1001,MATCH('Index&amp;Match'!$A909,'Main Data'!$A$1:$A$1001,0),MATCH('Index&amp;Match'!G908,'Main Data'!$A908:$O908,0))</f>
        <v>Referral</v>
      </c>
      <c r="H909" s="2" t="str">
        <f>INDEX('Main Data'!$A$1:$O$1001,MATCH('Index&amp;Match'!$A909,'Main Data'!$A$1:$A$1001,0),MATCH('Index&amp;Match'!H908,'Main Data'!$A908:$O908,0))</f>
        <v>Retail</v>
      </c>
      <c r="I909" s="2">
        <f>INDEX('Main Data'!$A$1:$O$1001,MATCH('Index&amp;Match'!$A909,'Main Data'!$A$1:$A$1001,0),MATCH('Index&amp;Match'!I908,'Main Data'!$A908:$O908,0))</f>
        <v>25</v>
      </c>
      <c r="J909" s="2">
        <f>INDEX('Main Data'!$A$1:$O$1001,MATCH('Index&amp;Match'!$A909,'Main Data'!$A$1:$A$1001,0),MATCH('Index&amp;Match'!J908,'Main Data'!$A908:$O908,0))</f>
        <v>25</v>
      </c>
      <c r="K909" s="11">
        <f>INDEX('Main Data'!$A$1:$O$1001,MATCH('Index&amp;Match'!$A909,'Main Data'!$A$1:$A$1001,0),MATCH('Index&amp;Match'!K908,'Main Data'!$A908:$O908,0))</f>
        <v>44984.05</v>
      </c>
      <c r="L909" s="11">
        <f>INDEX('Main Data'!$A$1:$O$1001,MATCH('Index&amp;Match'!$A909,'Main Data'!$A$1:$A$1001,0),MATCH('Index&amp;Match'!L908,'Main Data'!$A908:$O908,0))</f>
        <v>436.48</v>
      </c>
      <c r="M909" s="11">
        <f>INDEX('Main Data'!$A$1:$O$1001,MATCH('Index&amp;Match'!$A909,'Main Data'!$A$1:$A$1001,0),MATCH('Index&amp;Match'!M908,'Main Data'!$A908:$O908,0))</f>
        <v>156.34</v>
      </c>
      <c r="N909" s="2" t="str">
        <f>INDEX('Main Data'!$A$1:$O$1001,MATCH('Index&amp;Match'!$A909,'Main Data'!$A$1:$A$1001,0),MATCH('Index&amp;Match'!N908,'Main Data'!$A908:$O908,0))</f>
        <v>Yes</v>
      </c>
      <c r="O909" s="2">
        <f>INDEX('Main Data'!$A$1:$O$1001,MATCH('Index&amp;Match'!$A909,'Main Data'!$A$1:$A$1001,0),MATCH('Index&amp;Match'!O908,'Main Data'!$A908:$O908,0))</f>
        <v>25</v>
      </c>
    </row>
    <row r="910" spans="1:15" x14ac:dyDescent="0.3">
      <c r="A910" s="2" t="s">
        <v>967</v>
      </c>
      <c r="B910" s="1">
        <f>INDEX('Main Data'!$A$1:$O$1001,MATCH('Index&amp;Match'!$A910,'Main Data'!$A$1:$A$1001,0),MATCH('Index&amp;Match'!B909,'Main Data'!$A909:$O909,0))</f>
        <v>45917</v>
      </c>
      <c r="C910" s="2" t="str">
        <f>INDEX('Main Data'!$A$1:$O$1001,MATCH('Index&amp;Match'!$A910,'Main Data'!$A$1:$A$1001,0),MATCH('Index&amp;Match'!C909,'Main Data'!$A909:$O909,0))</f>
        <v>Jamie</v>
      </c>
      <c r="D910" s="2" t="str">
        <f>INDEX('Main Data'!$A$1:$O$1001,MATCH('Index&amp;Match'!$A910,'Main Data'!$A$1:$A$1001,0),MATCH('Index&amp;Match'!D909,'Main Data'!$A909:$O909,0))</f>
        <v>BR-010</v>
      </c>
      <c r="E910" s="2" t="str">
        <f>INDEX('Main Data'!$A$1:$O$1001,MATCH('Index&amp;Match'!$A910,'Main Data'!$A$1:$A$1001,0),MATCH('Index&amp;Match'!E909,'Main Data'!$A909:$O909,0))</f>
        <v>West</v>
      </c>
      <c r="F910" s="2" t="str">
        <f>INDEX('Main Data'!$A$1:$O$1001,MATCH('Index&amp;Match'!$A910,'Main Data'!$A$1:$A$1001,0),MATCH('Index&amp;Match'!F909,'Main Data'!$A909:$O909,0))</f>
        <v>Personal Loan</v>
      </c>
      <c r="G910" s="2" t="str">
        <f>INDEX('Main Data'!$A$1:$O$1001,MATCH('Index&amp;Match'!$A910,'Main Data'!$A$1:$A$1001,0),MATCH('Index&amp;Match'!G909,'Main Data'!$A909:$O909,0))</f>
        <v>Website</v>
      </c>
      <c r="H910" s="2" t="str">
        <f>INDEX('Main Data'!$A$1:$O$1001,MATCH('Index&amp;Match'!$A910,'Main Data'!$A$1:$A$1001,0),MATCH('Index&amp;Match'!H909,'Main Data'!$A909:$O909,0))</f>
        <v>Corporate</v>
      </c>
      <c r="I910" s="2">
        <f>INDEX('Main Data'!$A$1:$O$1001,MATCH('Index&amp;Match'!$A910,'Main Data'!$A$1:$A$1001,0),MATCH('Index&amp;Match'!I909,'Main Data'!$A909:$O909,0))</f>
        <v>63</v>
      </c>
      <c r="J910" s="2">
        <f>INDEX('Main Data'!$A$1:$O$1001,MATCH('Index&amp;Match'!$A910,'Main Data'!$A$1:$A$1001,0),MATCH('Index&amp;Match'!J909,'Main Data'!$A909:$O909,0))</f>
        <v>63</v>
      </c>
      <c r="K910" s="11">
        <f>INDEX('Main Data'!$A$1:$O$1001,MATCH('Index&amp;Match'!$A910,'Main Data'!$A$1:$A$1001,0),MATCH('Index&amp;Match'!K909,'Main Data'!$A909:$O909,0))</f>
        <v>23097.19</v>
      </c>
      <c r="L910" s="11">
        <f>INDEX('Main Data'!$A$1:$O$1001,MATCH('Index&amp;Match'!$A910,'Main Data'!$A$1:$A$1001,0),MATCH('Index&amp;Match'!L909,'Main Data'!$A909:$O909,0))</f>
        <v>332.99</v>
      </c>
      <c r="M910" s="11">
        <f>INDEX('Main Data'!$A$1:$O$1001,MATCH('Index&amp;Match'!$A910,'Main Data'!$A$1:$A$1001,0),MATCH('Index&amp;Match'!M909,'Main Data'!$A909:$O909,0))</f>
        <v>151.80000000000001</v>
      </c>
      <c r="N910" s="2" t="str">
        <f>INDEX('Main Data'!$A$1:$O$1001,MATCH('Index&amp;Match'!$A910,'Main Data'!$A$1:$A$1001,0),MATCH('Index&amp;Match'!N909,'Main Data'!$A909:$O909,0))</f>
        <v>Yes</v>
      </c>
      <c r="O910" s="2">
        <f>INDEX('Main Data'!$A$1:$O$1001,MATCH('Index&amp;Match'!$A910,'Main Data'!$A$1:$A$1001,0),MATCH('Index&amp;Match'!O909,'Main Data'!$A909:$O909,0))</f>
        <v>63</v>
      </c>
    </row>
    <row r="911" spans="1:15" x14ac:dyDescent="0.3">
      <c r="A911" s="2" t="s">
        <v>968</v>
      </c>
      <c r="B911" s="1">
        <f>INDEX('Main Data'!$A$1:$O$1001,MATCH('Index&amp;Match'!$A911,'Main Data'!$A$1:$A$1001,0),MATCH('Index&amp;Match'!B910,'Main Data'!$A910:$O910,0))</f>
        <v>45989</v>
      </c>
      <c r="C911" s="2" t="str">
        <f>INDEX('Main Data'!$A$1:$O$1001,MATCH('Index&amp;Match'!$A911,'Main Data'!$A$1:$A$1001,0),MATCH('Index&amp;Match'!C910,'Main Data'!$A910:$O910,0))</f>
        <v>Sam</v>
      </c>
      <c r="D911" s="2" t="str">
        <f>INDEX('Main Data'!$A$1:$O$1001,MATCH('Index&amp;Match'!$A911,'Main Data'!$A$1:$A$1001,0),MATCH('Index&amp;Match'!D910,'Main Data'!$A910:$O910,0))</f>
        <v>BR-004</v>
      </c>
      <c r="E911" s="2" t="str">
        <f>INDEX('Main Data'!$A$1:$O$1001,MATCH('Index&amp;Match'!$A911,'Main Data'!$A$1:$A$1001,0),MATCH('Index&amp;Match'!E910,'Main Data'!$A910:$O910,0))</f>
        <v>West</v>
      </c>
      <c r="F911" s="2" t="str">
        <f>INDEX('Main Data'!$A$1:$O$1001,MATCH('Index&amp;Match'!$A911,'Main Data'!$A$1:$A$1001,0),MATCH('Index&amp;Match'!F910,'Main Data'!$A910:$O910,0))</f>
        <v>Wealth Management</v>
      </c>
      <c r="G911" s="2" t="str">
        <f>INDEX('Main Data'!$A$1:$O$1001,MATCH('Index&amp;Match'!$A911,'Main Data'!$A$1:$A$1001,0),MATCH('Index&amp;Match'!G910,'Main Data'!$A910:$O910,0))</f>
        <v>Social Media</v>
      </c>
      <c r="H911" s="2" t="str">
        <f>INDEX('Main Data'!$A$1:$O$1001,MATCH('Index&amp;Match'!$A911,'Main Data'!$A$1:$A$1001,0),MATCH('Index&amp;Match'!H910,'Main Data'!$A910:$O910,0))</f>
        <v>Retail</v>
      </c>
      <c r="I911" s="2">
        <f>INDEX('Main Data'!$A$1:$O$1001,MATCH('Index&amp;Match'!$A911,'Main Data'!$A$1:$A$1001,0),MATCH('Index&amp;Match'!I910,'Main Data'!$A910:$O910,0))</f>
        <v>45</v>
      </c>
      <c r="J911" s="2">
        <f>INDEX('Main Data'!$A$1:$O$1001,MATCH('Index&amp;Match'!$A911,'Main Data'!$A$1:$A$1001,0),MATCH('Index&amp;Match'!J910,'Main Data'!$A910:$O910,0))</f>
        <v>45</v>
      </c>
      <c r="K911" s="11">
        <f>INDEX('Main Data'!$A$1:$O$1001,MATCH('Index&amp;Match'!$A911,'Main Data'!$A$1:$A$1001,0),MATCH('Index&amp;Match'!K910,'Main Data'!$A910:$O910,0))</f>
        <v>7897.09</v>
      </c>
      <c r="L911" s="11">
        <f>INDEX('Main Data'!$A$1:$O$1001,MATCH('Index&amp;Match'!$A911,'Main Data'!$A$1:$A$1001,0),MATCH('Index&amp;Match'!L910,'Main Data'!$A910:$O910,0))</f>
        <v>393.28</v>
      </c>
      <c r="M911" s="11">
        <f>INDEX('Main Data'!$A$1:$O$1001,MATCH('Index&amp;Match'!$A911,'Main Data'!$A$1:$A$1001,0),MATCH('Index&amp;Match'!M910,'Main Data'!$A910:$O910,0))</f>
        <v>95.73</v>
      </c>
      <c r="N911" s="2" t="str">
        <f>INDEX('Main Data'!$A$1:$O$1001,MATCH('Index&amp;Match'!$A911,'Main Data'!$A$1:$A$1001,0),MATCH('Index&amp;Match'!N910,'Main Data'!$A910:$O910,0))</f>
        <v>Yes</v>
      </c>
      <c r="O911" s="2">
        <f>INDEX('Main Data'!$A$1:$O$1001,MATCH('Index&amp;Match'!$A911,'Main Data'!$A$1:$A$1001,0),MATCH('Index&amp;Match'!O910,'Main Data'!$A910:$O910,0))</f>
        <v>45</v>
      </c>
    </row>
    <row r="912" spans="1:15" x14ac:dyDescent="0.3">
      <c r="A912" s="2" t="s">
        <v>969</v>
      </c>
      <c r="B912" s="1">
        <f>INDEX('Main Data'!$A$1:$O$1001,MATCH('Index&amp;Match'!$A912,'Main Data'!$A$1:$A$1001,0),MATCH('Index&amp;Match'!B911,'Main Data'!$A911:$O911,0))</f>
        <v>46119</v>
      </c>
      <c r="C912" s="2" t="str">
        <f>INDEX('Main Data'!$A$1:$O$1001,MATCH('Index&amp;Match'!$A912,'Main Data'!$A$1:$A$1001,0),MATCH('Index&amp;Match'!C911,'Main Data'!$A911:$O911,0))</f>
        <v>Taylor</v>
      </c>
      <c r="D912" s="2" t="str">
        <f>INDEX('Main Data'!$A$1:$O$1001,MATCH('Index&amp;Match'!$A912,'Main Data'!$A$1:$A$1001,0),MATCH('Index&amp;Match'!D911,'Main Data'!$A911:$O911,0))</f>
        <v>BR-015</v>
      </c>
      <c r="E912" s="2" t="str">
        <f>INDEX('Main Data'!$A$1:$O$1001,MATCH('Index&amp;Match'!$A912,'Main Data'!$A$1:$A$1001,0),MATCH('Index&amp;Match'!E911,'Main Data'!$A911:$O911,0))</f>
        <v>South</v>
      </c>
      <c r="F912" s="2" t="str">
        <f>INDEX('Main Data'!$A$1:$O$1001,MATCH('Index&amp;Match'!$A912,'Main Data'!$A$1:$A$1001,0),MATCH('Index&amp;Match'!F911,'Main Data'!$A911:$O911,0))</f>
        <v>Auto Loan</v>
      </c>
      <c r="G912" s="2" t="str">
        <f>INDEX('Main Data'!$A$1:$O$1001,MATCH('Index&amp;Match'!$A912,'Main Data'!$A$1:$A$1001,0),MATCH('Index&amp;Match'!G911,'Main Data'!$A911:$O911,0))</f>
        <v>Referral</v>
      </c>
      <c r="H912" s="2" t="str">
        <f>INDEX('Main Data'!$A$1:$O$1001,MATCH('Index&amp;Match'!$A912,'Main Data'!$A$1:$A$1001,0),MATCH('Index&amp;Match'!H911,'Main Data'!$A911:$O911,0))</f>
        <v>Retail</v>
      </c>
      <c r="I912" s="2">
        <f>INDEX('Main Data'!$A$1:$O$1001,MATCH('Index&amp;Match'!$A912,'Main Data'!$A$1:$A$1001,0),MATCH('Index&amp;Match'!I911,'Main Data'!$A911:$O911,0))</f>
        <v>38</v>
      </c>
      <c r="J912" s="2">
        <f>INDEX('Main Data'!$A$1:$O$1001,MATCH('Index&amp;Match'!$A912,'Main Data'!$A$1:$A$1001,0),MATCH('Index&amp;Match'!J911,'Main Data'!$A911:$O911,0))</f>
        <v>38</v>
      </c>
      <c r="K912" s="11">
        <f>INDEX('Main Data'!$A$1:$O$1001,MATCH('Index&amp;Match'!$A912,'Main Data'!$A$1:$A$1001,0),MATCH('Index&amp;Match'!K911,'Main Data'!$A911:$O911,0))</f>
        <v>46531.81</v>
      </c>
      <c r="L912" s="11">
        <f>INDEX('Main Data'!$A$1:$O$1001,MATCH('Index&amp;Match'!$A912,'Main Data'!$A$1:$A$1001,0),MATCH('Index&amp;Match'!L911,'Main Data'!$A911:$O911,0))</f>
        <v>394.37</v>
      </c>
      <c r="M912" s="11">
        <f>INDEX('Main Data'!$A$1:$O$1001,MATCH('Index&amp;Match'!$A912,'Main Data'!$A$1:$A$1001,0),MATCH('Index&amp;Match'!M911,'Main Data'!$A911:$O911,0))</f>
        <v>8.93</v>
      </c>
      <c r="N912" s="2" t="str">
        <f>INDEX('Main Data'!$A$1:$O$1001,MATCH('Index&amp;Match'!$A912,'Main Data'!$A$1:$A$1001,0),MATCH('Index&amp;Match'!N911,'Main Data'!$A911:$O911,0))</f>
        <v>Yes</v>
      </c>
      <c r="O912" s="2">
        <f>INDEX('Main Data'!$A$1:$O$1001,MATCH('Index&amp;Match'!$A912,'Main Data'!$A$1:$A$1001,0),MATCH('Index&amp;Match'!O911,'Main Data'!$A911:$O911,0))</f>
        <v>38</v>
      </c>
    </row>
    <row r="913" spans="1:15" x14ac:dyDescent="0.3">
      <c r="A913" s="2" t="s">
        <v>970</v>
      </c>
      <c r="B913" s="1">
        <f>INDEX('Main Data'!$A$1:$O$1001,MATCH('Index&amp;Match'!$A913,'Main Data'!$A$1:$A$1001,0),MATCH('Index&amp;Match'!B912,'Main Data'!$A912:$O912,0))</f>
        <v>46005</v>
      </c>
      <c r="C913" s="2" t="str">
        <f>INDEX('Main Data'!$A$1:$O$1001,MATCH('Index&amp;Match'!$A913,'Main Data'!$A$1:$A$1001,0),MATCH('Index&amp;Match'!C912,'Main Data'!$A912:$O912,0))</f>
        <v>Casey</v>
      </c>
      <c r="D913" s="2" t="str">
        <f>INDEX('Main Data'!$A$1:$O$1001,MATCH('Index&amp;Match'!$A913,'Main Data'!$A$1:$A$1001,0),MATCH('Index&amp;Match'!D912,'Main Data'!$A912:$O912,0))</f>
        <v>BR-004</v>
      </c>
      <c r="E913" s="2" t="str">
        <f>INDEX('Main Data'!$A$1:$O$1001,MATCH('Index&amp;Match'!$A913,'Main Data'!$A$1:$A$1001,0),MATCH('Index&amp;Match'!E912,'Main Data'!$A912:$O912,0))</f>
        <v>Central</v>
      </c>
      <c r="F913" s="2" t="str">
        <f>INDEX('Main Data'!$A$1:$O$1001,MATCH('Index&amp;Match'!$A913,'Main Data'!$A$1:$A$1001,0),MATCH('Index&amp;Match'!F912,'Main Data'!$A912:$O912,0))</f>
        <v>Personal Loan</v>
      </c>
      <c r="G913" s="2" t="str">
        <f>INDEX('Main Data'!$A$1:$O$1001,MATCH('Index&amp;Match'!$A913,'Main Data'!$A$1:$A$1001,0),MATCH('Index&amp;Match'!G912,'Main Data'!$A912:$O912,0))</f>
        <v>Referral</v>
      </c>
      <c r="H913" s="2" t="str">
        <f>INDEX('Main Data'!$A$1:$O$1001,MATCH('Index&amp;Match'!$A913,'Main Data'!$A$1:$A$1001,0),MATCH('Index&amp;Match'!H912,'Main Data'!$A912:$O912,0))</f>
        <v>Corporate</v>
      </c>
      <c r="I913" s="2">
        <f>INDEX('Main Data'!$A$1:$O$1001,MATCH('Index&amp;Match'!$A913,'Main Data'!$A$1:$A$1001,0),MATCH('Index&amp;Match'!I912,'Main Data'!$A912:$O912,0))</f>
        <v>33</v>
      </c>
      <c r="J913" s="2">
        <f>INDEX('Main Data'!$A$1:$O$1001,MATCH('Index&amp;Match'!$A913,'Main Data'!$A$1:$A$1001,0),MATCH('Index&amp;Match'!J912,'Main Data'!$A912:$O912,0))</f>
        <v>33</v>
      </c>
      <c r="K913" s="11">
        <f>INDEX('Main Data'!$A$1:$O$1001,MATCH('Index&amp;Match'!$A913,'Main Data'!$A$1:$A$1001,0),MATCH('Index&amp;Match'!K912,'Main Data'!$A912:$O912,0))</f>
        <v>23205.9</v>
      </c>
      <c r="L913" s="11">
        <f>INDEX('Main Data'!$A$1:$O$1001,MATCH('Index&amp;Match'!$A913,'Main Data'!$A$1:$A$1001,0),MATCH('Index&amp;Match'!L912,'Main Data'!$A912:$O912,0))</f>
        <v>210.32</v>
      </c>
      <c r="M913" s="11">
        <f>INDEX('Main Data'!$A$1:$O$1001,MATCH('Index&amp;Match'!$A913,'Main Data'!$A$1:$A$1001,0),MATCH('Index&amp;Match'!M912,'Main Data'!$A912:$O912,0))</f>
        <v>61.91</v>
      </c>
      <c r="N913" s="2" t="str">
        <f>INDEX('Main Data'!$A$1:$O$1001,MATCH('Index&amp;Match'!$A913,'Main Data'!$A$1:$A$1001,0),MATCH('Index&amp;Match'!N912,'Main Data'!$A912:$O912,0))</f>
        <v>No</v>
      </c>
      <c r="O913" s="2">
        <f>INDEX('Main Data'!$A$1:$O$1001,MATCH('Index&amp;Match'!$A913,'Main Data'!$A$1:$A$1001,0),MATCH('Index&amp;Match'!O912,'Main Data'!$A912:$O912,0))</f>
        <v>33</v>
      </c>
    </row>
    <row r="914" spans="1:15" x14ac:dyDescent="0.3">
      <c r="A914" s="2" t="s">
        <v>971</v>
      </c>
      <c r="B914" s="1">
        <f>INDEX('Main Data'!$A$1:$O$1001,MATCH('Index&amp;Match'!$A914,'Main Data'!$A$1:$A$1001,0),MATCH('Index&amp;Match'!B913,'Main Data'!$A913:$O913,0))</f>
        <v>46113</v>
      </c>
      <c r="C914" s="2" t="str">
        <f>INDEX('Main Data'!$A$1:$O$1001,MATCH('Index&amp;Match'!$A914,'Main Data'!$A$1:$A$1001,0),MATCH('Index&amp;Match'!C913,'Main Data'!$A913:$O913,0))</f>
        <v>Casey</v>
      </c>
      <c r="D914" s="2" t="str">
        <f>INDEX('Main Data'!$A$1:$O$1001,MATCH('Index&amp;Match'!$A914,'Main Data'!$A$1:$A$1001,0),MATCH('Index&amp;Match'!D913,'Main Data'!$A913:$O913,0))</f>
        <v>BR-003</v>
      </c>
      <c r="E914" s="2" t="str">
        <f>INDEX('Main Data'!$A$1:$O$1001,MATCH('Index&amp;Match'!$A914,'Main Data'!$A$1:$A$1001,0),MATCH('Index&amp;Match'!E913,'Main Data'!$A913:$O913,0))</f>
        <v>West</v>
      </c>
      <c r="F914" s="2" t="str">
        <f>INDEX('Main Data'!$A$1:$O$1001,MATCH('Index&amp;Match'!$A914,'Main Data'!$A$1:$A$1001,0),MATCH('Index&amp;Match'!F913,'Main Data'!$A913:$O913,0))</f>
        <v>Credit Card</v>
      </c>
      <c r="G914" s="2" t="str">
        <f>INDEX('Main Data'!$A$1:$O$1001,MATCH('Index&amp;Match'!$A914,'Main Data'!$A$1:$A$1001,0),MATCH('Index&amp;Match'!G913,'Main Data'!$A913:$O913,0))</f>
        <v>Referral</v>
      </c>
      <c r="H914" s="2" t="str">
        <f>INDEX('Main Data'!$A$1:$O$1001,MATCH('Index&amp;Match'!$A914,'Main Data'!$A$1:$A$1001,0),MATCH('Index&amp;Match'!H913,'Main Data'!$A913:$O913,0))</f>
        <v>Retail</v>
      </c>
      <c r="I914" s="2">
        <f>INDEX('Main Data'!$A$1:$O$1001,MATCH('Index&amp;Match'!$A914,'Main Data'!$A$1:$A$1001,0),MATCH('Index&amp;Match'!I913,'Main Data'!$A913:$O913,0))</f>
        <v>63</v>
      </c>
      <c r="J914" s="2">
        <f>INDEX('Main Data'!$A$1:$O$1001,MATCH('Index&amp;Match'!$A914,'Main Data'!$A$1:$A$1001,0),MATCH('Index&amp;Match'!J913,'Main Data'!$A913:$O913,0))</f>
        <v>63</v>
      </c>
      <c r="K914" s="11">
        <f>INDEX('Main Data'!$A$1:$O$1001,MATCH('Index&amp;Match'!$A914,'Main Data'!$A$1:$A$1001,0),MATCH('Index&amp;Match'!K913,'Main Data'!$A913:$O913,0))</f>
        <v>9490.76</v>
      </c>
      <c r="L914" s="11">
        <f>INDEX('Main Data'!$A$1:$O$1001,MATCH('Index&amp;Match'!$A914,'Main Data'!$A$1:$A$1001,0),MATCH('Index&amp;Match'!L913,'Main Data'!$A913:$O913,0))</f>
        <v>173.34</v>
      </c>
      <c r="M914" s="11">
        <f>INDEX('Main Data'!$A$1:$O$1001,MATCH('Index&amp;Match'!$A914,'Main Data'!$A$1:$A$1001,0),MATCH('Index&amp;Match'!M913,'Main Data'!$A913:$O913,0))</f>
        <v>58.46</v>
      </c>
      <c r="N914" s="2" t="str">
        <f>INDEX('Main Data'!$A$1:$O$1001,MATCH('Index&amp;Match'!$A914,'Main Data'!$A$1:$A$1001,0),MATCH('Index&amp;Match'!N913,'Main Data'!$A913:$O913,0))</f>
        <v>No</v>
      </c>
      <c r="O914" s="2">
        <f>INDEX('Main Data'!$A$1:$O$1001,MATCH('Index&amp;Match'!$A914,'Main Data'!$A$1:$A$1001,0),MATCH('Index&amp;Match'!O913,'Main Data'!$A913:$O913,0))</f>
        <v>63</v>
      </c>
    </row>
    <row r="915" spans="1:15" x14ac:dyDescent="0.3">
      <c r="A915" s="2" t="s">
        <v>972</v>
      </c>
      <c r="B915" s="1">
        <f>INDEX('Main Data'!$A$1:$O$1001,MATCH('Index&amp;Match'!$A915,'Main Data'!$A$1:$A$1001,0),MATCH('Index&amp;Match'!B914,'Main Data'!$A914:$O914,0))</f>
        <v>45872</v>
      </c>
      <c r="C915" s="2" t="str">
        <f>INDEX('Main Data'!$A$1:$O$1001,MATCH('Index&amp;Match'!$A915,'Main Data'!$A$1:$A$1001,0),MATCH('Index&amp;Match'!C914,'Main Data'!$A914:$O914,0))</f>
        <v>Jordan</v>
      </c>
      <c r="D915" s="2" t="str">
        <f>INDEX('Main Data'!$A$1:$O$1001,MATCH('Index&amp;Match'!$A915,'Main Data'!$A$1:$A$1001,0),MATCH('Index&amp;Match'!D914,'Main Data'!$A914:$O914,0))</f>
        <v>BR-003</v>
      </c>
      <c r="E915" s="2" t="str">
        <f>INDEX('Main Data'!$A$1:$O$1001,MATCH('Index&amp;Match'!$A915,'Main Data'!$A$1:$A$1001,0),MATCH('Index&amp;Match'!E914,'Main Data'!$A914:$O914,0))</f>
        <v>Central</v>
      </c>
      <c r="F915" s="2" t="str">
        <f>INDEX('Main Data'!$A$1:$O$1001,MATCH('Index&amp;Match'!$A915,'Main Data'!$A$1:$A$1001,0),MATCH('Index&amp;Match'!F914,'Main Data'!$A914:$O914,0))</f>
        <v>Mortgage</v>
      </c>
      <c r="G915" s="2" t="str">
        <f>INDEX('Main Data'!$A$1:$O$1001,MATCH('Index&amp;Match'!$A915,'Main Data'!$A$1:$A$1001,0),MATCH('Index&amp;Match'!G914,'Main Data'!$A914:$O914,0))</f>
        <v>Referral</v>
      </c>
      <c r="H915" s="2" t="str">
        <f>INDEX('Main Data'!$A$1:$O$1001,MATCH('Index&amp;Match'!$A915,'Main Data'!$A$1:$A$1001,0),MATCH('Index&amp;Match'!H914,'Main Data'!$A914:$O914,0))</f>
        <v>High Net Worth</v>
      </c>
      <c r="I915" s="2">
        <f>INDEX('Main Data'!$A$1:$O$1001,MATCH('Index&amp;Match'!$A915,'Main Data'!$A$1:$A$1001,0),MATCH('Index&amp;Match'!I914,'Main Data'!$A914:$O914,0))</f>
        <v>34</v>
      </c>
      <c r="J915" s="2">
        <f>INDEX('Main Data'!$A$1:$O$1001,MATCH('Index&amp;Match'!$A915,'Main Data'!$A$1:$A$1001,0),MATCH('Index&amp;Match'!J914,'Main Data'!$A914:$O914,0))</f>
        <v>34</v>
      </c>
      <c r="K915" s="11">
        <f>INDEX('Main Data'!$A$1:$O$1001,MATCH('Index&amp;Match'!$A915,'Main Data'!$A$1:$A$1001,0),MATCH('Index&amp;Match'!K914,'Main Data'!$A914:$O914,0))</f>
        <v>15468.59</v>
      </c>
      <c r="L915" s="11">
        <f>INDEX('Main Data'!$A$1:$O$1001,MATCH('Index&amp;Match'!$A915,'Main Data'!$A$1:$A$1001,0),MATCH('Index&amp;Match'!L914,'Main Data'!$A914:$O914,0))</f>
        <v>410.52</v>
      </c>
      <c r="M915" s="11">
        <f>INDEX('Main Data'!$A$1:$O$1001,MATCH('Index&amp;Match'!$A915,'Main Data'!$A$1:$A$1001,0),MATCH('Index&amp;Match'!M914,'Main Data'!$A914:$O914,0))</f>
        <v>243.33</v>
      </c>
      <c r="N915" s="2" t="str">
        <f>INDEX('Main Data'!$A$1:$O$1001,MATCH('Index&amp;Match'!$A915,'Main Data'!$A$1:$A$1001,0),MATCH('Index&amp;Match'!N914,'Main Data'!$A914:$O914,0))</f>
        <v>Yes</v>
      </c>
      <c r="O915" s="2">
        <f>INDEX('Main Data'!$A$1:$O$1001,MATCH('Index&amp;Match'!$A915,'Main Data'!$A$1:$A$1001,0),MATCH('Index&amp;Match'!O914,'Main Data'!$A914:$O914,0))</f>
        <v>34</v>
      </c>
    </row>
    <row r="916" spans="1:15" x14ac:dyDescent="0.3">
      <c r="A916" s="2" t="s">
        <v>973</v>
      </c>
      <c r="B916" s="1">
        <f>INDEX('Main Data'!$A$1:$O$1001,MATCH('Index&amp;Match'!$A916,'Main Data'!$A$1:$A$1001,0),MATCH('Index&amp;Match'!B915,'Main Data'!$A915:$O915,0))</f>
        <v>46235</v>
      </c>
      <c r="C916" s="2" t="str">
        <f>INDEX('Main Data'!$A$1:$O$1001,MATCH('Index&amp;Match'!$A916,'Main Data'!$A$1:$A$1001,0),MATCH('Index&amp;Match'!C915,'Main Data'!$A915:$O915,0))</f>
        <v>Morgan</v>
      </c>
      <c r="D916" s="2" t="str">
        <f>INDEX('Main Data'!$A$1:$O$1001,MATCH('Index&amp;Match'!$A916,'Main Data'!$A$1:$A$1001,0),MATCH('Index&amp;Match'!D915,'Main Data'!$A915:$O915,0))</f>
        <v>BR-004</v>
      </c>
      <c r="E916" s="2" t="str">
        <f>INDEX('Main Data'!$A$1:$O$1001,MATCH('Index&amp;Match'!$A916,'Main Data'!$A$1:$A$1001,0),MATCH('Index&amp;Match'!E915,'Main Data'!$A915:$O915,0))</f>
        <v>East</v>
      </c>
      <c r="F916" s="2" t="str">
        <f>INDEX('Main Data'!$A$1:$O$1001,MATCH('Index&amp;Match'!$A916,'Main Data'!$A$1:$A$1001,0),MATCH('Index&amp;Match'!F915,'Main Data'!$A915:$O915,0))</f>
        <v>Credit Card</v>
      </c>
      <c r="G916" s="2" t="str">
        <f>INDEX('Main Data'!$A$1:$O$1001,MATCH('Index&amp;Match'!$A916,'Main Data'!$A$1:$A$1001,0),MATCH('Index&amp;Match'!G915,'Main Data'!$A915:$O915,0))</f>
        <v>Email Campaign</v>
      </c>
      <c r="H916" s="2" t="str">
        <f>INDEX('Main Data'!$A$1:$O$1001,MATCH('Index&amp;Match'!$A916,'Main Data'!$A$1:$A$1001,0),MATCH('Index&amp;Match'!H915,'Main Data'!$A915:$O915,0))</f>
        <v>Corporate</v>
      </c>
      <c r="I916" s="2">
        <f>INDEX('Main Data'!$A$1:$O$1001,MATCH('Index&amp;Match'!$A916,'Main Data'!$A$1:$A$1001,0),MATCH('Index&amp;Match'!I915,'Main Data'!$A915:$O915,0))</f>
        <v>48</v>
      </c>
      <c r="J916" s="2">
        <f>INDEX('Main Data'!$A$1:$O$1001,MATCH('Index&amp;Match'!$A916,'Main Data'!$A$1:$A$1001,0),MATCH('Index&amp;Match'!J915,'Main Data'!$A915:$O915,0))</f>
        <v>48</v>
      </c>
      <c r="K916" s="11">
        <f>INDEX('Main Data'!$A$1:$O$1001,MATCH('Index&amp;Match'!$A916,'Main Data'!$A$1:$A$1001,0),MATCH('Index&amp;Match'!K915,'Main Data'!$A915:$O915,0))</f>
        <v>3014.73</v>
      </c>
      <c r="L916" s="11">
        <f>INDEX('Main Data'!$A$1:$O$1001,MATCH('Index&amp;Match'!$A916,'Main Data'!$A$1:$A$1001,0),MATCH('Index&amp;Match'!L915,'Main Data'!$A915:$O915,0))</f>
        <v>219.73</v>
      </c>
      <c r="M916" s="11">
        <f>INDEX('Main Data'!$A$1:$O$1001,MATCH('Index&amp;Match'!$A916,'Main Data'!$A$1:$A$1001,0),MATCH('Index&amp;Match'!M915,'Main Data'!$A915:$O915,0))</f>
        <v>17.52</v>
      </c>
      <c r="N916" s="2" t="str">
        <f>INDEX('Main Data'!$A$1:$O$1001,MATCH('Index&amp;Match'!$A916,'Main Data'!$A$1:$A$1001,0),MATCH('Index&amp;Match'!N915,'Main Data'!$A915:$O915,0))</f>
        <v>Yes</v>
      </c>
      <c r="O916" s="2">
        <f>INDEX('Main Data'!$A$1:$O$1001,MATCH('Index&amp;Match'!$A916,'Main Data'!$A$1:$A$1001,0),MATCH('Index&amp;Match'!O915,'Main Data'!$A915:$O915,0))</f>
        <v>48</v>
      </c>
    </row>
    <row r="917" spans="1:15" x14ac:dyDescent="0.3">
      <c r="A917" s="2" t="s">
        <v>974</v>
      </c>
      <c r="B917" s="1">
        <f>INDEX('Main Data'!$A$1:$O$1001,MATCH('Index&amp;Match'!$A917,'Main Data'!$A$1:$A$1001,0),MATCH('Index&amp;Match'!B916,'Main Data'!$A916:$O916,0))</f>
        <v>46129</v>
      </c>
      <c r="C917" s="2" t="str">
        <f>INDEX('Main Data'!$A$1:$O$1001,MATCH('Index&amp;Match'!$A917,'Main Data'!$A$1:$A$1001,0),MATCH('Index&amp;Match'!C916,'Main Data'!$A916:$O916,0))</f>
        <v>Sam</v>
      </c>
      <c r="D917" s="2" t="str">
        <f>INDEX('Main Data'!$A$1:$O$1001,MATCH('Index&amp;Match'!$A917,'Main Data'!$A$1:$A$1001,0),MATCH('Index&amp;Match'!D916,'Main Data'!$A916:$O916,0))</f>
        <v>BR-011</v>
      </c>
      <c r="E917" s="2" t="str">
        <f>INDEX('Main Data'!$A$1:$O$1001,MATCH('Index&amp;Match'!$A917,'Main Data'!$A$1:$A$1001,0),MATCH('Index&amp;Match'!E916,'Main Data'!$A916:$O916,0))</f>
        <v>East</v>
      </c>
      <c r="F917" s="2" t="str">
        <f>INDEX('Main Data'!$A$1:$O$1001,MATCH('Index&amp;Match'!$A917,'Main Data'!$A$1:$A$1001,0),MATCH('Index&amp;Match'!F916,'Main Data'!$A916:$O916,0))</f>
        <v>Mortgage</v>
      </c>
      <c r="G917" s="2" t="str">
        <f>INDEX('Main Data'!$A$1:$O$1001,MATCH('Index&amp;Match'!$A917,'Main Data'!$A$1:$A$1001,0),MATCH('Index&amp;Match'!G916,'Main Data'!$A916:$O916,0))</f>
        <v>Referral</v>
      </c>
      <c r="H917" s="2" t="str">
        <f>INDEX('Main Data'!$A$1:$O$1001,MATCH('Index&amp;Match'!$A917,'Main Data'!$A$1:$A$1001,0),MATCH('Index&amp;Match'!H916,'Main Data'!$A916:$O916,0))</f>
        <v>High Net Worth</v>
      </c>
      <c r="I917" s="2">
        <f>INDEX('Main Data'!$A$1:$O$1001,MATCH('Index&amp;Match'!$A917,'Main Data'!$A$1:$A$1001,0),MATCH('Index&amp;Match'!I916,'Main Data'!$A916:$O916,0))</f>
        <v>38</v>
      </c>
      <c r="J917" s="2">
        <f>INDEX('Main Data'!$A$1:$O$1001,MATCH('Index&amp;Match'!$A917,'Main Data'!$A$1:$A$1001,0),MATCH('Index&amp;Match'!J916,'Main Data'!$A916:$O916,0))</f>
        <v>38</v>
      </c>
      <c r="K917" s="11">
        <f>INDEX('Main Data'!$A$1:$O$1001,MATCH('Index&amp;Match'!$A917,'Main Data'!$A$1:$A$1001,0),MATCH('Index&amp;Match'!K916,'Main Data'!$A916:$O916,0))</f>
        <v>23680.880000000001</v>
      </c>
      <c r="L917" s="11">
        <f>INDEX('Main Data'!$A$1:$O$1001,MATCH('Index&amp;Match'!$A917,'Main Data'!$A$1:$A$1001,0),MATCH('Index&amp;Match'!L916,'Main Data'!$A916:$O916,0))</f>
        <v>456.5</v>
      </c>
      <c r="M917" s="11">
        <f>INDEX('Main Data'!$A$1:$O$1001,MATCH('Index&amp;Match'!$A917,'Main Data'!$A$1:$A$1001,0),MATCH('Index&amp;Match'!M916,'Main Data'!$A916:$O916,0))</f>
        <v>241.71</v>
      </c>
      <c r="N917" s="2" t="str">
        <f>INDEX('Main Data'!$A$1:$O$1001,MATCH('Index&amp;Match'!$A917,'Main Data'!$A$1:$A$1001,0),MATCH('Index&amp;Match'!N916,'Main Data'!$A916:$O916,0))</f>
        <v>Yes</v>
      </c>
      <c r="O917" s="2">
        <f>INDEX('Main Data'!$A$1:$O$1001,MATCH('Index&amp;Match'!$A917,'Main Data'!$A$1:$A$1001,0),MATCH('Index&amp;Match'!O916,'Main Data'!$A916:$O916,0))</f>
        <v>38</v>
      </c>
    </row>
    <row r="918" spans="1:15" x14ac:dyDescent="0.3">
      <c r="A918" s="2" t="s">
        <v>975</v>
      </c>
      <c r="B918" s="1">
        <f>INDEX('Main Data'!$A$1:$O$1001,MATCH('Index&amp;Match'!$A918,'Main Data'!$A$1:$A$1001,0),MATCH('Index&amp;Match'!B917,'Main Data'!$A917:$O917,0))</f>
        <v>45886</v>
      </c>
      <c r="C918" s="2" t="str">
        <f>INDEX('Main Data'!$A$1:$O$1001,MATCH('Index&amp;Match'!$A918,'Main Data'!$A$1:$A$1001,0),MATCH('Index&amp;Match'!C917,'Main Data'!$A917:$O917,0))</f>
        <v>Jordan</v>
      </c>
      <c r="D918" s="2" t="str">
        <f>INDEX('Main Data'!$A$1:$O$1001,MATCH('Index&amp;Match'!$A918,'Main Data'!$A$1:$A$1001,0),MATCH('Index&amp;Match'!D917,'Main Data'!$A917:$O917,0))</f>
        <v>BR-001</v>
      </c>
      <c r="E918" s="2" t="str">
        <f>INDEX('Main Data'!$A$1:$O$1001,MATCH('Index&amp;Match'!$A918,'Main Data'!$A$1:$A$1001,0),MATCH('Index&amp;Match'!E917,'Main Data'!$A917:$O917,0))</f>
        <v>West</v>
      </c>
      <c r="F918" s="2" t="str">
        <f>INDEX('Main Data'!$A$1:$O$1001,MATCH('Index&amp;Match'!$A918,'Main Data'!$A$1:$A$1001,0),MATCH('Index&amp;Match'!F917,'Main Data'!$A917:$O917,0))</f>
        <v>Mortgage</v>
      </c>
      <c r="G918" s="2" t="str">
        <f>INDEX('Main Data'!$A$1:$O$1001,MATCH('Index&amp;Match'!$A918,'Main Data'!$A$1:$A$1001,0),MATCH('Index&amp;Match'!G917,'Main Data'!$A917:$O917,0))</f>
        <v>Email Campaign</v>
      </c>
      <c r="H918" s="2" t="str">
        <f>INDEX('Main Data'!$A$1:$O$1001,MATCH('Index&amp;Match'!$A918,'Main Data'!$A$1:$A$1001,0),MATCH('Index&amp;Match'!H917,'Main Data'!$A917:$O917,0))</f>
        <v>SME</v>
      </c>
      <c r="I918" s="2">
        <f>INDEX('Main Data'!$A$1:$O$1001,MATCH('Index&amp;Match'!$A918,'Main Data'!$A$1:$A$1001,0),MATCH('Index&amp;Match'!I917,'Main Data'!$A917:$O917,0))</f>
        <v>48</v>
      </c>
      <c r="J918" s="2">
        <f>INDEX('Main Data'!$A$1:$O$1001,MATCH('Index&amp;Match'!$A918,'Main Data'!$A$1:$A$1001,0),MATCH('Index&amp;Match'!J917,'Main Data'!$A917:$O917,0))</f>
        <v>48</v>
      </c>
      <c r="K918" s="11">
        <f>INDEX('Main Data'!$A$1:$O$1001,MATCH('Index&amp;Match'!$A918,'Main Data'!$A$1:$A$1001,0),MATCH('Index&amp;Match'!K917,'Main Data'!$A917:$O917,0))</f>
        <v>42729.84</v>
      </c>
      <c r="L918" s="11">
        <f>INDEX('Main Data'!$A$1:$O$1001,MATCH('Index&amp;Match'!$A918,'Main Data'!$A$1:$A$1001,0),MATCH('Index&amp;Match'!L917,'Main Data'!$A917:$O917,0))</f>
        <v>81.36</v>
      </c>
      <c r="M918" s="11">
        <f>INDEX('Main Data'!$A$1:$O$1001,MATCH('Index&amp;Match'!$A918,'Main Data'!$A$1:$A$1001,0),MATCH('Index&amp;Match'!M917,'Main Data'!$A917:$O917,0))</f>
        <v>133.84</v>
      </c>
      <c r="N918" s="2" t="str">
        <f>INDEX('Main Data'!$A$1:$O$1001,MATCH('Index&amp;Match'!$A918,'Main Data'!$A$1:$A$1001,0),MATCH('Index&amp;Match'!N917,'Main Data'!$A917:$O917,0))</f>
        <v>Yes</v>
      </c>
      <c r="O918" s="2">
        <f>INDEX('Main Data'!$A$1:$O$1001,MATCH('Index&amp;Match'!$A918,'Main Data'!$A$1:$A$1001,0),MATCH('Index&amp;Match'!O917,'Main Data'!$A917:$O917,0))</f>
        <v>48</v>
      </c>
    </row>
    <row r="919" spans="1:15" x14ac:dyDescent="0.3">
      <c r="A919" s="2" t="s">
        <v>976</v>
      </c>
      <c r="B919" s="1">
        <f>INDEX('Main Data'!$A$1:$O$1001,MATCH('Index&amp;Match'!$A919,'Main Data'!$A$1:$A$1001,0),MATCH('Index&amp;Match'!B918,'Main Data'!$A918:$O918,0))</f>
        <v>45871</v>
      </c>
      <c r="C919" s="2" t="str">
        <f>INDEX('Main Data'!$A$1:$O$1001,MATCH('Index&amp;Match'!$A919,'Main Data'!$A$1:$A$1001,0),MATCH('Index&amp;Match'!C918,'Main Data'!$A918:$O918,0))</f>
        <v>Morgan</v>
      </c>
      <c r="D919" s="2" t="str">
        <f>INDEX('Main Data'!$A$1:$O$1001,MATCH('Index&amp;Match'!$A919,'Main Data'!$A$1:$A$1001,0),MATCH('Index&amp;Match'!D918,'Main Data'!$A918:$O918,0))</f>
        <v>BR-014</v>
      </c>
      <c r="E919" s="2" t="str">
        <f>INDEX('Main Data'!$A$1:$O$1001,MATCH('Index&amp;Match'!$A919,'Main Data'!$A$1:$A$1001,0),MATCH('Index&amp;Match'!E918,'Main Data'!$A918:$O918,0))</f>
        <v>Central</v>
      </c>
      <c r="F919" s="2" t="str">
        <f>INDEX('Main Data'!$A$1:$O$1001,MATCH('Index&amp;Match'!$A919,'Main Data'!$A$1:$A$1001,0),MATCH('Index&amp;Match'!F918,'Main Data'!$A918:$O918,0))</f>
        <v>Personal Loan</v>
      </c>
      <c r="G919" s="2" t="str">
        <f>INDEX('Main Data'!$A$1:$O$1001,MATCH('Index&amp;Match'!$A919,'Main Data'!$A$1:$A$1001,0),MATCH('Index&amp;Match'!G918,'Main Data'!$A918:$O918,0))</f>
        <v>Email Campaign</v>
      </c>
      <c r="H919" s="2" t="str">
        <f>INDEX('Main Data'!$A$1:$O$1001,MATCH('Index&amp;Match'!$A919,'Main Data'!$A$1:$A$1001,0),MATCH('Index&amp;Match'!H918,'Main Data'!$A918:$O918,0))</f>
        <v>Retail</v>
      </c>
      <c r="I919" s="2">
        <f>INDEX('Main Data'!$A$1:$O$1001,MATCH('Index&amp;Match'!$A919,'Main Data'!$A$1:$A$1001,0),MATCH('Index&amp;Match'!I918,'Main Data'!$A918:$O918,0))</f>
        <v>71</v>
      </c>
      <c r="J919" s="2">
        <f>INDEX('Main Data'!$A$1:$O$1001,MATCH('Index&amp;Match'!$A919,'Main Data'!$A$1:$A$1001,0),MATCH('Index&amp;Match'!J918,'Main Data'!$A918:$O918,0))</f>
        <v>71</v>
      </c>
      <c r="K919" s="11">
        <f>INDEX('Main Data'!$A$1:$O$1001,MATCH('Index&amp;Match'!$A919,'Main Data'!$A$1:$A$1001,0),MATCH('Index&amp;Match'!K918,'Main Data'!$A918:$O918,0))</f>
        <v>46712.23</v>
      </c>
      <c r="L919" s="11">
        <f>INDEX('Main Data'!$A$1:$O$1001,MATCH('Index&amp;Match'!$A919,'Main Data'!$A$1:$A$1001,0),MATCH('Index&amp;Match'!L918,'Main Data'!$A918:$O918,0))</f>
        <v>76.2</v>
      </c>
      <c r="M919" s="11">
        <f>INDEX('Main Data'!$A$1:$O$1001,MATCH('Index&amp;Match'!$A919,'Main Data'!$A$1:$A$1001,0),MATCH('Index&amp;Match'!M918,'Main Data'!$A918:$O918,0))</f>
        <v>146.49</v>
      </c>
      <c r="N919" s="2" t="str">
        <f>INDEX('Main Data'!$A$1:$O$1001,MATCH('Index&amp;Match'!$A919,'Main Data'!$A$1:$A$1001,0),MATCH('Index&amp;Match'!N918,'Main Data'!$A918:$O918,0))</f>
        <v>Yes</v>
      </c>
      <c r="O919" s="2">
        <f>INDEX('Main Data'!$A$1:$O$1001,MATCH('Index&amp;Match'!$A919,'Main Data'!$A$1:$A$1001,0),MATCH('Index&amp;Match'!O918,'Main Data'!$A918:$O918,0))</f>
        <v>71</v>
      </c>
    </row>
    <row r="920" spans="1:15" x14ac:dyDescent="0.3">
      <c r="A920" s="2" t="s">
        <v>977</v>
      </c>
      <c r="B920" s="1">
        <f>INDEX('Main Data'!$A$1:$O$1001,MATCH('Index&amp;Match'!$A920,'Main Data'!$A$1:$A$1001,0),MATCH('Index&amp;Match'!B919,'Main Data'!$A919:$O919,0))</f>
        <v>45957</v>
      </c>
      <c r="C920" s="2" t="str">
        <f>INDEX('Main Data'!$A$1:$O$1001,MATCH('Index&amp;Match'!$A920,'Main Data'!$A$1:$A$1001,0),MATCH('Index&amp;Match'!C919,'Main Data'!$A919:$O919,0))</f>
        <v>Morgan</v>
      </c>
      <c r="D920" s="2" t="str">
        <f>INDEX('Main Data'!$A$1:$O$1001,MATCH('Index&amp;Match'!$A920,'Main Data'!$A$1:$A$1001,0),MATCH('Index&amp;Match'!D919,'Main Data'!$A919:$O919,0))</f>
        <v>BR-011</v>
      </c>
      <c r="E920" s="2" t="str">
        <f>INDEX('Main Data'!$A$1:$O$1001,MATCH('Index&amp;Match'!$A920,'Main Data'!$A$1:$A$1001,0),MATCH('Index&amp;Match'!E919,'Main Data'!$A919:$O919,0))</f>
        <v>Central</v>
      </c>
      <c r="F920" s="2" t="str">
        <f>INDEX('Main Data'!$A$1:$O$1001,MATCH('Index&amp;Match'!$A920,'Main Data'!$A$1:$A$1001,0),MATCH('Index&amp;Match'!F919,'Main Data'!$A919:$O919,0))</f>
        <v>Personal Loan</v>
      </c>
      <c r="G920" s="2" t="str">
        <f>INDEX('Main Data'!$A$1:$O$1001,MATCH('Index&amp;Match'!$A920,'Main Data'!$A$1:$A$1001,0),MATCH('Index&amp;Match'!G919,'Main Data'!$A919:$O919,0))</f>
        <v>Referral</v>
      </c>
      <c r="H920" s="2" t="str">
        <f>INDEX('Main Data'!$A$1:$O$1001,MATCH('Index&amp;Match'!$A920,'Main Data'!$A$1:$A$1001,0),MATCH('Index&amp;Match'!H919,'Main Data'!$A919:$O919,0))</f>
        <v>SME</v>
      </c>
      <c r="I920" s="2">
        <f>INDEX('Main Data'!$A$1:$O$1001,MATCH('Index&amp;Match'!$A920,'Main Data'!$A$1:$A$1001,0),MATCH('Index&amp;Match'!I919,'Main Data'!$A919:$O919,0))</f>
        <v>47</v>
      </c>
      <c r="J920" s="2">
        <f>INDEX('Main Data'!$A$1:$O$1001,MATCH('Index&amp;Match'!$A920,'Main Data'!$A$1:$A$1001,0),MATCH('Index&amp;Match'!J919,'Main Data'!$A919:$O919,0))</f>
        <v>47</v>
      </c>
      <c r="K920" s="11">
        <f>INDEX('Main Data'!$A$1:$O$1001,MATCH('Index&amp;Match'!$A920,'Main Data'!$A$1:$A$1001,0),MATCH('Index&amp;Match'!K919,'Main Data'!$A919:$O919,0))</f>
        <v>46663.81</v>
      </c>
      <c r="L920" s="11">
        <f>INDEX('Main Data'!$A$1:$O$1001,MATCH('Index&amp;Match'!$A920,'Main Data'!$A$1:$A$1001,0),MATCH('Index&amp;Match'!L919,'Main Data'!$A919:$O919,0))</f>
        <v>467.15</v>
      </c>
      <c r="M920" s="11">
        <f>INDEX('Main Data'!$A$1:$O$1001,MATCH('Index&amp;Match'!$A920,'Main Data'!$A$1:$A$1001,0),MATCH('Index&amp;Match'!M919,'Main Data'!$A919:$O919,0))</f>
        <v>86.44</v>
      </c>
      <c r="N920" s="2" t="str">
        <f>INDEX('Main Data'!$A$1:$O$1001,MATCH('Index&amp;Match'!$A920,'Main Data'!$A$1:$A$1001,0),MATCH('Index&amp;Match'!N919,'Main Data'!$A919:$O919,0))</f>
        <v>No</v>
      </c>
      <c r="O920" s="2">
        <f>INDEX('Main Data'!$A$1:$O$1001,MATCH('Index&amp;Match'!$A920,'Main Data'!$A$1:$A$1001,0),MATCH('Index&amp;Match'!O919,'Main Data'!$A919:$O919,0))</f>
        <v>47</v>
      </c>
    </row>
    <row r="921" spans="1:15" x14ac:dyDescent="0.3">
      <c r="A921" s="2" t="s">
        <v>978</v>
      </c>
      <c r="B921" s="1">
        <f>INDEX('Main Data'!$A$1:$O$1001,MATCH('Index&amp;Match'!$A921,'Main Data'!$A$1:$A$1001,0),MATCH('Index&amp;Match'!B920,'Main Data'!$A920:$O920,0))</f>
        <v>46005</v>
      </c>
      <c r="C921" s="2" t="str">
        <f>INDEX('Main Data'!$A$1:$O$1001,MATCH('Index&amp;Match'!$A921,'Main Data'!$A$1:$A$1001,0),MATCH('Index&amp;Match'!C920,'Main Data'!$A920:$O920,0))</f>
        <v>Drew</v>
      </c>
      <c r="D921" s="2" t="str">
        <f>INDEX('Main Data'!$A$1:$O$1001,MATCH('Index&amp;Match'!$A921,'Main Data'!$A$1:$A$1001,0),MATCH('Index&amp;Match'!D920,'Main Data'!$A920:$O920,0))</f>
        <v>BR-013</v>
      </c>
      <c r="E921" s="2" t="str">
        <f>INDEX('Main Data'!$A$1:$O$1001,MATCH('Index&amp;Match'!$A921,'Main Data'!$A$1:$A$1001,0),MATCH('Index&amp;Match'!E920,'Main Data'!$A920:$O920,0))</f>
        <v>Central</v>
      </c>
      <c r="F921" s="2" t="str">
        <f>INDEX('Main Data'!$A$1:$O$1001,MATCH('Index&amp;Match'!$A921,'Main Data'!$A$1:$A$1001,0),MATCH('Index&amp;Match'!F920,'Main Data'!$A920:$O920,0))</f>
        <v>Credit Card</v>
      </c>
      <c r="G921" s="2" t="str">
        <f>INDEX('Main Data'!$A$1:$O$1001,MATCH('Index&amp;Match'!$A921,'Main Data'!$A$1:$A$1001,0),MATCH('Index&amp;Match'!G920,'Main Data'!$A920:$O920,0))</f>
        <v>Website</v>
      </c>
      <c r="H921" s="2" t="str">
        <f>INDEX('Main Data'!$A$1:$O$1001,MATCH('Index&amp;Match'!$A921,'Main Data'!$A$1:$A$1001,0),MATCH('Index&amp;Match'!H920,'Main Data'!$A920:$O920,0))</f>
        <v>SME</v>
      </c>
      <c r="I921" s="2">
        <f>INDEX('Main Data'!$A$1:$O$1001,MATCH('Index&amp;Match'!$A921,'Main Data'!$A$1:$A$1001,0),MATCH('Index&amp;Match'!I920,'Main Data'!$A920:$O920,0))</f>
        <v>52</v>
      </c>
      <c r="J921" s="2">
        <f>INDEX('Main Data'!$A$1:$O$1001,MATCH('Index&amp;Match'!$A921,'Main Data'!$A$1:$A$1001,0),MATCH('Index&amp;Match'!J920,'Main Data'!$A920:$O920,0))</f>
        <v>52</v>
      </c>
      <c r="K921" s="11">
        <f>INDEX('Main Data'!$A$1:$O$1001,MATCH('Index&amp;Match'!$A921,'Main Data'!$A$1:$A$1001,0),MATCH('Index&amp;Match'!K920,'Main Data'!$A920:$O920,0))</f>
        <v>6698.89</v>
      </c>
      <c r="L921" s="11">
        <f>INDEX('Main Data'!$A$1:$O$1001,MATCH('Index&amp;Match'!$A921,'Main Data'!$A$1:$A$1001,0),MATCH('Index&amp;Match'!L920,'Main Data'!$A920:$O920,0))</f>
        <v>341.8</v>
      </c>
      <c r="M921" s="11">
        <f>INDEX('Main Data'!$A$1:$O$1001,MATCH('Index&amp;Match'!$A921,'Main Data'!$A$1:$A$1001,0),MATCH('Index&amp;Match'!M920,'Main Data'!$A920:$O920,0))</f>
        <v>135.94999999999999</v>
      </c>
      <c r="N921" s="2" t="str">
        <f>INDEX('Main Data'!$A$1:$O$1001,MATCH('Index&amp;Match'!$A921,'Main Data'!$A$1:$A$1001,0),MATCH('Index&amp;Match'!N920,'Main Data'!$A920:$O920,0))</f>
        <v>Yes</v>
      </c>
      <c r="O921" s="2">
        <f>INDEX('Main Data'!$A$1:$O$1001,MATCH('Index&amp;Match'!$A921,'Main Data'!$A$1:$A$1001,0),MATCH('Index&amp;Match'!O920,'Main Data'!$A920:$O920,0))</f>
        <v>52</v>
      </c>
    </row>
    <row r="922" spans="1:15" x14ac:dyDescent="0.3">
      <c r="A922" s="2" t="s">
        <v>979</v>
      </c>
      <c r="B922" s="1">
        <f>INDEX('Main Data'!$A$1:$O$1001,MATCH('Index&amp;Match'!$A922,'Main Data'!$A$1:$A$1001,0),MATCH('Index&amp;Match'!B921,'Main Data'!$A921:$O921,0))</f>
        <v>46229</v>
      </c>
      <c r="C922" s="2" t="str">
        <f>INDEX('Main Data'!$A$1:$O$1001,MATCH('Index&amp;Match'!$A922,'Main Data'!$A$1:$A$1001,0),MATCH('Index&amp;Match'!C921,'Main Data'!$A921:$O921,0))</f>
        <v>Casey</v>
      </c>
      <c r="D922" s="2" t="str">
        <f>INDEX('Main Data'!$A$1:$O$1001,MATCH('Index&amp;Match'!$A922,'Main Data'!$A$1:$A$1001,0),MATCH('Index&amp;Match'!D921,'Main Data'!$A921:$O921,0))</f>
        <v>BR-011</v>
      </c>
      <c r="E922" s="2" t="str">
        <f>INDEX('Main Data'!$A$1:$O$1001,MATCH('Index&amp;Match'!$A922,'Main Data'!$A$1:$A$1001,0),MATCH('Index&amp;Match'!E921,'Main Data'!$A921:$O921,0))</f>
        <v>South</v>
      </c>
      <c r="F922" s="2" t="str">
        <f>INDEX('Main Data'!$A$1:$O$1001,MATCH('Index&amp;Match'!$A922,'Main Data'!$A$1:$A$1001,0),MATCH('Index&amp;Match'!F921,'Main Data'!$A921:$O921,0))</f>
        <v>Mortgage</v>
      </c>
      <c r="G922" s="2" t="str">
        <f>INDEX('Main Data'!$A$1:$O$1001,MATCH('Index&amp;Match'!$A922,'Main Data'!$A$1:$A$1001,0),MATCH('Index&amp;Match'!G921,'Main Data'!$A921:$O921,0))</f>
        <v>Referral</v>
      </c>
      <c r="H922" s="2" t="str">
        <f>INDEX('Main Data'!$A$1:$O$1001,MATCH('Index&amp;Match'!$A922,'Main Data'!$A$1:$A$1001,0),MATCH('Index&amp;Match'!H921,'Main Data'!$A921:$O921,0))</f>
        <v>Retail</v>
      </c>
      <c r="I922" s="2">
        <f>INDEX('Main Data'!$A$1:$O$1001,MATCH('Index&amp;Match'!$A922,'Main Data'!$A$1:$A$1001,0),MATCH('Index&amp;Match'!I921,'Main Data'!$A921:$O921,0))</f>
        <v>67</v>
      </c>
      <c r="J922" s="2">
        <f>INDEX('Main Data'!$A$1:$O$1001,MATCH('Index&amp;Match'!$A922,'Main Data'!$A$1:$A$1001,0),MATCH('Index&amp;Match'!J921,'Main Data'!$A921:$O921,0))</f>
        <v>67</v>
      </c>
      <c r="K922" s="11">
        <f>INDEX('Main Data'!$A$1:$O$1001,MATCH('Index&amp;Match'!$A922,'Main Data'!$A$1:$A$1001,0),MATCH('Index&amp;Match'!K921,'Main Data'!$A921:$O921,0))</f>
        <v>19411.669999999998</v>
      </c>
      <c r="L922" s="11">
        <f>INDEX('Main Data'!$A$1:$O$1001,MATCH('Index&amp;Match'!$A922,'Main Data'!$A$1:$A$1001,0),MATCH('Index&amp;Match'!L921,'Main Data'!$A921:$O921,0))</f>
        <v>220.82</v>
      </c>
      <c r="M922" s="11">
        <f>INDEX('Main Data'!$A$1:$O$1001,MATCH('Index&amp;Match'!$A922,'Main Data'!$A$1:$A$1001,0),MATCH('Index&amp;Match'!M921,'Main Data'!$A921:$O921,0))</f>
        <v>121.81</v>
      </c>
      <c r="N922" s="2" t="str">
        <f>INDEX('Main Data'!$A$1:$O$1001,MATCH('Index&amp;Match'!$A922,'Main Data'!$A$1:$A$1001,0),MATCH('Index&amp;Match'!N921,'Main Data'!$A921:$O921,0))</f>
        <v>No</v>
      </c>
      <c r="O922" s="2">
        <f>INDEX('Main Data'!$A$1:$O$1001,MATCH('Index&amp;Match'!$A922,'Main Data'!$A$1:$A$1001,0),MATCH('Index&amp;Match'!O921,'Main Data'!$A921:$O921,0))</f>
        <v>67</v>
      </c>
    </row>
    <row r="923" spans="1:15" x14ac:dyDescent="0.3">
      <c r="A923" s="2" t="s">
        <v>980</v>
      </c>
      <c r="B923" s="1">
        <f>INDEX('Main Data'!$A$1:$O$1001,MATCH('Index&amp;Match'!$A923,'Main Data'!$A$1:$A$1001,0),MATCH('Index&amp;Match'!B922,'Main Data'!$A922:$O922,0))</f>
        <v>46087</v>
      </c>
      <c r="C923" s="2" t="str">
        <f>INDEX('Main Data'!$A$1:$O$1001,MATCH('Index&amp;Match'!$A923,'Main Data'!$A$1:$A$1001,0),MATCH('Index&amp;Match'!C922,'Main Data'!$A922:$O922,0))</f>
        <v>Jamie</v>
      </c>
      <c r="D923" s="2" t="str">
        <f>INDEX('Main Data'!$A$1:$O$1001,MATCH('Index&amp;Match'!$A923,'Main Data'!$A$1:$A$1001,0),MATCH('Index&amp;Match'!D922,'Main Data'!$A922:$O922,0))</f>
        <v>BR-002</v>
      </c>
      <c r="E923" s="2" t="str">
        <f>INDEX('Main Data'!$A$1:$O$1001,MATCH('Index&amp;Match'!$A923,'Main Data'!$A$1:$A$1001,0),MATCH('Index&amp;Match'!E922,'Main Data'!$A922:$O922,0))</f>
        <v>East</v>
      </c>
      <c r="F923" s="2" t="str">
        <f>INDEX('Main Data'!$A$1:$O$1001,MATCH('Index&amp;Match'!$A923,'Main Data'!$A$1:$A$1001,0),MATCH('Index&amp;Match'!F922,'Main Data'!$A922:$O922,0))</f>
        <v>Credit Card</v>
      </c>
      <c r="G923" s="2" t="str">
        <f>INDEX('Main Data'!$A$1:$O$1001,MATCH('Index&amp;Match'!$A923,'Main Data'!$A$1:$A$1001,0),MATCH('Index&amp;Match'!G922,'Main Data'!$A922:$O922,0))</f>
        <v>Referral</v>
      </c>
      <c r="H923" s="2" t="str">
        <f>INDEX('Main Data'!$A$1:$O$1001,MATCH('Index&amp;Match'!$A923,'Main Data'!$A$1:$A$1001,0),MATCH('Index&amp;Match'!H922,'Main Data'!$A922:$O922,0))</f>
        <v>Corporate</v>
      </c>
      <c r="I923" s="2">
        <f>INDEX('Main Data'!$A$1:$O$1001,MATCH('Index&amp;Match'!$A923,'Main Data'!$A$1:$A$1001,0),MATCH('Index&amp;Match'!I922,'Main Data'!$A922:$O922,0))</f>
        <v>29</v>
      </c>
      <c r="J923" s="2">
        <f>INDEX('Main Data'!$A$1:$O$1001,MATCH('Index&amp;Match'!$A923,'Main Data'!$A$1:$A$1001,0),MATCH('Index&amp;Match'!J922,'Main Data'!$A922:$O922,0))</f>
        <v>29</v>
      </c>
      <c r="K923" s="11">
        <f>INDEX('Main Data'!$A$1:$O$1001,MATCH('Index&amp;Match'!$A923,'Main Data'!$A$1:$A$1001,0),MATCH('Index&amp;Match'!K922,'Main Data'!$A922:$O922,0))</f>
        <v>1897.32</v>
      </c>
      <c r="L923" s="11">
        <f>INDEX('Main Data'!$A$1:$O$1001,MATCH('Index&amp;Match'!$A923,'Main Data'!$A$1:$A$1001,0),MATCH('Index&amp;Match'!L922,'Main Data'!$A922:$O922,0))</f>
        <v>389.78</v>
      </c>
      <c r="M923" s="11">
        <f>INDEX('Main Data'!$A$1:$O$1001,MATCH('Index&amp;Match'!$A923,'Main Data'!$A$1:$A$1001,0),MATCH('Index&amp;Match'!M922,'Main Data'!$A922:$O922,0))</f>
        <v>153.80000000000001</v>
      </c>
      <c r="N923" s="2" t="str">
        <f>INDEX('Main Data'!$A$1:$O$1001,MATCH('Index&amp;Match'!$A923,'Main Data'!$A$1:$A$1001,0),MATCH('Index&amp;Match'!N922,'Main Data'!$A922:$O922,0))</f>
        <v>Yes</v>
      </c>
      <c r="O923" s="2">
        <f>INDEX('Main Data'!$A$1:$O$1001,MATCH('Index&amp;Match'!$A923,'Main Data'!$A$1:$A$1001,0),MATCH('Index&amp;Match'!O922,'Main Data'!$A922:$O922,0))</f>
        <v>29</v>
      </c>
    </row>
    <row r="924" spans="1:15" x14ac:dyDescent="0.3">
      <c r="A924" s="2" t="s">
        <v>981</v>
      </c>
      <c r="B924" s="1">
        <f>INDEX('Main Data'!$A$1:$O$1001,MATCH('Index&amp;Match'!$A924,'Main Data'!$A$1:$A$1001,0),MATCH('Index&amp;Match'!B923,'Main Data'!$A923:$O923,0))</f>
        <v>46224</v>
      </c>
      <c r="C924" s="2" t="str">
        <f>INDEX('Main Data'!$A$1:$O$1001,MATCH('Index&amp;Match'!$A924,'Main Data'!$A$1:$A$1001,0),MATCH('Index&amp;Match'!C923,'Main Data'!$A923:$O923,0))</f>
        <v>Alex</v>
      </c>
      <c r="D924" s="2" t="str">
        <f>INDEX('Main Data'!$A$1:$O$1001,MATCH('Index&amp;Match'!$A924,'Main Data'!$A$1:$A$1001,0),MATCH('Index&amp;Match'!D923,'Main Data'!$A923:$O923,0))</f>
        <v>BR-009</v>
      </c>
      <c r="E924" s="2" t="str">
        <f>INDEX('Main Data'!$A$1:$O$1001,MATCH('Index&amp;Match'!$A924,'Main Data'!$A$1:$A$1001,0),MATCH('Index&amp;Match'!E923,'Main Data'!$A923:$O923,0))</f>
        <v>Central</v>
      </c>
      <c r="F924" s="2" t="str">
        <f>INDEX('Main Data'!$A$1:$O$1001,MATCH('Index&amp;Match'!$A924,'Main Data'!$A$1:$A$1001,0),MATCH('Index&amp;Match'!F923,'Main Data'!$A923:$O923,0))</f>
        <v>Auto Loan</v>
      </c>
      <c r="G924" s="2" t="str">
        <f>INDEX('Main Data'!$A$1:$O$1001,MATCH('Index&amp;Match'!$A924,'Main Data'!$A$1:$A$1001,0),MATCH('Index&amp;Match'!G923,'Main Data'!$A923:$O923,0))</f>
        <v>Referral</v>
      </c>
      <c r="H924" s="2" t="str">
        <f>INDEX('Main Data'!$A$1:$O$1001,MATCH('Index&amp;Match'!$A924,'Main Data'!$A$1:$A$1001,0),MATCH('Index&amp;Match'!H923,'Main Data'!$A923:$O923,0))</f>
        <v>Retail</v>
      </c>
      <c r="I924" s="2">
        <f>INDEX('Main Data'!$A$1:$O$1001,MATCH('Index&amp;Match'!$A924,'Main Data'!$A$1:$A$1001,0),MATCH('Index&amp;Match'!I923,'Main Data'!$A923:$O923,0))</f>
        <v>60</v>
      </c>
      <c r="J924" s="2">
        <f>INDEX('Main Data'!$A$1:$O$1001,MATCH('Index&amp;Match'!$A924,'Main Data'!$A$1:$A$1001,0),MATCH('Index&amp;Match'!J923,'Main Data'!$A923:$O923,0))</f>
        <v>60</v>
      </c>
      <c r="K924" s="11">
        <f>INDEX('Main Data'!$A$1:$O$1001,MATCH('Index&amp;Match'!$A924,'Main Data'!$A$1:$A$1001,0),MATCH('Index&amp;Match'!K923,'Main Data'!$A923:$O923,0))</f>
        <v>42830.68</v>
      </c>
      <c r="L924" s="11">
        <f>INDEX('Main Data'!$A$1:$O$1001,MATCH('Index&amp;Match'!$A924,'Main Data'!$A$1:$A$1001,0),MATCH('Index&amp;Match'!L923,'Main Data'!$A923:$O923,0))</f>
        <v>352.55</v>
      </c>
      <c r="M924" s="11">
        <f>INDEX('Main Data'!$A$1:$O$1001,MATCH('Index&amp;Match'!$A924,'Main Data'!$A$1:$A$1001,0),MATCH('Index&amp;Match'!M923,'Main Data'!$A923:$O923,0))</f>
        <v>89.35</v>
      </c>
      <c r="N924" s="2" t="str">
        <f>INDEX('Main Data'!$A$1:$O$1001,MATCH('Index&amp;Match'!$A924,'Main Data'!$A$1:$A$1001,0),MATCH('Index&amp;Match'!N923,'Main Data'!$A923:$O923,0))</f>
        <v>No</v>
      </c>
      <c r="O924" s="2">
        <f>INDEX('Main Data'!$A$1:$O$1001,MATCH('Index&amp;Match'!$A924,'Main Data'!$A$1:$A$1001,0),MATCH('Index&amp;Match'!O923,'Main Data'!$A923:$O923,0))</f>
        <v>60</v>
      </c>
    </row>
    <row r="925" spans="1:15" x14ac:dyDescent="0.3">
      <c r="A925" s="2" t="s">
        <v>982</v>
      </c>
      <c r="B925" s="1">
        <f>INDEX('Main Data'!$A$1:$O$1001,MATCH('Index&amp;Match'!$A925,'Main Data'!$A$1:$A$1001,0),MATCH('Index&amp;Match'!B924,'Main Data'!$A924:$O924,0))</f>
        <v>46164</v>
      </c>
      <c r="C925" s="2" t="str">
        <f>INDEX('Main Data'!$A$1:$O$1001,MATCH('Index&amp;Match'!$A925,'Main Data'!$A$1:$A$1001,0),MATCH('Index&amp;Match'!C924,'Main Data'!$A924:$O924,0))</f>
        <v>Jamie</v>
      </c>
      <c r="D925" s="2" t="str">
        <f>INDEX('Main Data'!$A$1:$O$1001,MATCH('Index&amp;Match'!$A925,'Main Data'!$A$1:$A$1001,0),MATCH('Index&amp;Match'!D924,'Main Data'!$A924:$O924,0))</f>
        <v>BR-010</v>
      </c>
      <c r="E925" s="2" t="str">
        <f>INDEX('Main Data'!$A$1:$O$1001,MATCH('Index&amp;Match'!$A925,'Main Data'!$A$1:$A$1001,0),MATCH('Index&amp;Match'!E924,'Main Data'!$A924:$O924,0))</f>
        <v>Central</v>
      </c>
      <c r="F925" s="2" t="str">
        <f>INDEX('Main Data'!$A$1:$O$1001,MATCH('Index&amp;Match'!$A925,'Main Data'!$A$1:$A$1001,0),MATCH('Index&amp;Match'!F924,'Main Data'!$A924:$O924,0))</f>
        <v>Credit Card</v>
      </c>
      <c r="G925" s="2" t="str">
        <f>INDEX('Main Data'!$A$1:$O$1001,MATCH('Index&amp;Match'!$A925,'Main Data'!$A$1:$A$1001,0),MATCH('Index&amp;Match'!G924,'Main Data'!$A924:$O924,0))</f>
        <v>Website</v>
      </c>
      <c r="H925" s="2" t="str">
        <f>INDEX('Main Data'!$A$1:$O$1001,MATCH('Index&amp;Match'!$A925,'Main Data'!$A$1:$A$1001,0),MATCH('Index&amp;Match'!H924,'Main Data'!$A924:$O924,0))</f>
        <v>SME</v>
      </c>
      <c r="I925" s="2">
        <f>INDEX('Main Data'!$A$1:$O$1001,MATCH('Index&amp;Match'!$A925,'Main Data'!$A$1:$A$1001,0),MATCH('Index&amp;Match'!I924,'Main Data'!$A924:$O924,0))</f>
        <v>52</v>
      </c>
      <c r="J925" s="2">
        <f>INDEX('Main Data'!$A$1:$O$1001,MATCH('Index&amp;Match'!$A925,'Main Data'!$A$1:$A$1001,0),MATCH('Index&amp;Match'!J924,'Main Data'!$A924:$O924,0))</f>
        <v>52</v>
      </c>
      <c r="K925" s="11">
        <f>INDEX('Main Data'!$A$1:$O$1001,MATCH('Index&amp;Match'!$A925,'Main Data'!$A$1:$A$1001,0),MATCH('Index&amp;Match'!K924,'Main Data'!$A924:$O924,0))</f>
        <v>18258.41</v>
      </c>
      <c r="L925" s="11">
        <f>INDEX('Main Data'!$A$1:$O$1001,MATCH('Index&amp;Match'!$A925,'Main Data'!$A$1:$A$1001,0),MATCH('Index&amp;Match'!L924,'Main Data'!$A924:$O924,0))</f>
        <v>289.04000000000002</v>
      </c>
      <c r="M925" s="11">
        <f>INDEX('Main Data'!$A$1:$O$1001,MATCH('Index&amp;Match'!$A925,'Main Data'!$A$1:$A$1001,0),MATCH('Index&amp;Match'!M924,'Main Data'!$A924:$O924,0))</f>
        <v>94.57</v>
      </c>
      <c r="N925" s="2" t="str">
        <f>INDEX('Main Data'!$A$1:$O$1001,MATCH('Index&amp;Match'!$A925,'Main Data'!$A$1:$A$1001,0),MATCH('Index&amp;Match'!N924,'Main Data'!$A924:$O924,0))</f>
        <v>Yes</v>
      </c>
      <c r="O925" s="2">
        <f>INDEX('Main Data'!$A$1:$O$1001,MATCH('Index&amp;Match'!$A925,'Main Data'!$A$1:$A$1001,0),MATCH('Index&amp;Match'!O924,'Main Data'!$A924:$O924,0))</f>
        <v>52</v>
      </c>
    </row>
    <row r="926" spans="1:15" x14ac:dyDescent="0.3">
      <c r="A926" s="2" t="s">
        <v>983</v>
      </c>
      <c r="B926" s="1">
        <f>INDEX('Main Data'!$A$1:$O$1001,MATCH('Index&amp;Match'!$A926,'Main Data'!$A$1:$A$1001,0),MATCH('Index&amp;Match'!B925,'Main Data'!$A925:$O925,0))</f>
        <v>46053</v>
      </c>
      <c r="C926" s="2" t="str">
        <f>INDEX('Main Data'!$A$1:$O$1001,MATCH('Index&amp;Match'!$A926,'Main Data'!$A$1:$A$1001,0),MATCH('Index&amp;Match'!C925,'Main Data'!$A925:$O925,0))</f>
        <v>Alex</v>
      </c>
      <c r="D926" s="2" t="str">
        <f>INDEX('Main Data'!$A$1:$O$1001,MATCH('Index&amp;Match'!$A926,'Main Data'!$A$1:$A$1001,0),MATCH('Index&amp;Match'!D925,'Main Data'!$A925:$O925,0))</f>
        <v>BR-002</v>
      </c>
      <c r="E926" s="2" t="str">
        <f>INDEX('Main Data'!$A$1:$O$1001,MATCH('Index&amp;Match'!$A926,'Main Data'!$A$1:$A$1001,0),MATCH('Index&amp;Match'!E925,'Main Data'!$A925:$O925,0))</f>
        <v>South</v>
      </c>
      <c r="F926" s="2" t="str">
        <f>INDEX('Main Data'!$A$1:$O$1001,MATCH('Index&amp;Match'!$A926,'Main Data'!$A$1:$A$1001,0),MATCH('Index&amp;Match'!F925,'Main Data'!$A925:$O925,0))</f>
        <v>Wealth Management</v>
      </c>
      <c r="G926" s="2" t="str">
        <f>INDEX('Main Data'!$A$1:$O$1001,MATCH('Index&amp;Match'!$A926,'Main Data'!$A$1:$A$1001,0),MATCH('Index&amp;Match'!G925,'Main Data'!$A925:$O925,0))</f>
        <v>Walk-in</v>
      </c>
      <c r="H926" s="2" t="str">
        <f>INDEX('Main Data'!$A$1:$O$1001,MATCH('Index&amp;Match'!$A926,'Main Data'!$A$1:$A$1001,0),MATCH('Index&amp;Match'!H925,'Main Data'!$A925:$O925,0))</f>
        <v>SME</v>
      </c>
      <c r="I926" s="2">
        <f>INDEX('Main Data'!$A$1:$O$1001,MATCH('Index&amp;Match'!$A926,'Main Data'!$A$1:$A$1001,0),MATCH('Index&amp;Match'!I925,'Main Data'!$A925:$O925,0))</f>
        <v>40</v>
      </c>
      <c r="J926" s="2">
        <f>INDEX('Main Data'!$A$1:$O$1001,MATCH('Index&amp;Match'!$A926,'Main Data'!$A$1:$A$1001,0),MATCH('Index&amp;Match'!J925,'Main Data'!$A925:$O925,0))</f>
        <v>40</v>
      </c>
      <c r="K926" s="11">
        <f>INDEX('Main Data'!$A$1:$O$1001,MATCH('Index&amp;Match'!$A926,'Main Data'!$A$1:$A$1001,0),MATCH('Index&amp;Match'!K925,'Main Data'!$A925:$O925,0))</f>
        <v>31740.29</v>
      </c>
      <c r="L926" s="11">
        <f>INDEX('Main Data'!$A$1:$O$1001,MATCH('Index&amp;Match'!$A926,'Main Data'!$A$1:$A$1001,0),MATCH('Index&amp;Match'!L925,'Main Data'!$A925:$O925,0))</f>
        <v>94.49</v>
      </c>
      <c r="M926" s="11">
        <f>INDEX('Main Data'!$A$1:$O$1001,MATCH('Index&amp;Match'!$A926,'Main Data'!$A$1:$A$1001,0),MATCH('Index&amp;Match'!M925,'Main Data'!$A925:$O925,0))</f>
        <v>128.72</v>
      </c>
      <c r="N926" s="2" t="str">
        <f>INDEX('Main Data'!$A$1:$O$1001,MATCH('Index&amp;Match'!$A926,'Main Data'!$A$1:$A$1001,0),MATCH('Index&amp;Match'!N925,'Main Data'!$A925:$O925,0))</f>
        <v>No</v>
      </c>
      <c r="O926" s="2">
        <f>INDEX('Main Data'!$A$1:$O$1001,MATCH('Index&amp;Match'!$A926,'Main Data'!$A$1:$A$1001,0),MATCH('Index&amp;Match'!O925,'Main Data'!$A925:$O925,0))</f>
        <v>40</v>
      </c>
    </row>
    <row r="927" spans="1:15" x14ac:dyDescent="0.3">
      <c r="A927" s="2" t="s">
        <v>984</v>
      </c>
      <c r="B927" s="1">
        <f>INDEX('Main Data'!$A$1:$O$1001,MATCH('Index&amp;Match'!$A927,'Main Data'!$A$1:$A$1001,0),MATCH('Index&amp;Match'!B926,'Main Data'!$A926:$O926,0))</f>
        <v>46017</v>
      </c>
      <c r="C927" s="2" t="str">
        <f>INDEX('Main Data'!$A$1:$O$1001,MATCH('Index&amp;Match'!$A927,'Main Data'!$A$1:$A$1001,0),MATCH('Index&amp;Match'!C926,'Main Data'!$A926:$O926,0))</f>
        <v>Taylor</v>
      </c>
      <c r="D927" s="2" t="str">
        <f>INDEX('Main Data'!$A$1:$O$1001,MATCH('Index&amp;Match'!$A927,'Main Data'!$A$1:$A$1001,0),MATCH('Index&amp;Match'!D926,'Main Data'!$A926:$O926,0))</f>
        <v>BR-005</v>
      </c>
      <c r="E927" s="2" t="str">
        <f>INDEX('Main Data'!$A$1:$O$1001,MATCH('Index&amp;Match'!$A927,'Main Data'!$A$1:$A$1001,0),MATCH('Index&amp;Match'!E926,'Main Data'!$A926:$O926,0))</f>
        <v>South</v>
      </c>
      <c r="F927" s="2" t="str">
        <f>INDEX('Main Data'!$A$1:$O$1001,MATCH('Index&amp;Match'!$A927,'Main Data'!$A$1:$A$1001,0),MATCH('Index&amp;Match'!F926,'Main Data'!$A926:$O926,0))</f>
        <v>Credit Card</v>
      </c>
      <c r="G927" s="2" t="str">
        <f>INDEX('Main Data'!$A$1:$O$1001,MATCH('Index&amp;Match'!$A927,'Main Data'!$A$1:$A$1001,0),MATCH('Index&amp;Match'!G926,'Main Data'!$A926:$O926,0))</f>
        <v>Walk-in</v>
      </c>
      <c r="H927" s="2" t="str">
        <f>INDEX('Main Data'!$A$1:$O$1001,MATCH('Index&amp;Match'!$A927,'Main Data'!$A$1:$A$1001,0),MATCH('Index&amp;Match'!H926,'Main Data'!$A926:$O926,0))</f>
        <v>Corporate</v>
      </c>
      <c r="I927" s="2">
        <f>INDEX('Main Data'!$A$1:$O$1001,MATCH('Index&amp;Match'!$A927,'Main Data'!$A$1:$A$1001,0),MATCH('Index&amp;Match'!I926,'Main Data'!$A926:$O926,0))</f>
        <v>48</v>
      </c>
      <c r="J927" s="2">
        <f>INDEX('Main Data'!$A$1:$O$1001,MATCH('Index&amp;Match'!$A927,'Main Data'!$A$1:$A$1001,0),MATCH('Index&amp;Match'!J926,'Main Data'!$A926:$O926,0))</f>
        <v>48</v>
      </c>
      <c r="K927" s="11">
        <f>INDEX('Main Data'!$A$1:$O$1001,MATCH('Index&amp;Match'!$A927,'Main Data'!$A$1:$A$1001,0),MATCH('Index&amp;Match'!K926,'Main Data'!$A926:$O926,0))</f>
        <v>35887.47</v>
      </c>
      <c r="L927" s="11">
        <f>INDEX('Main Data'!$A$1:$O$1001,MATCH('Index&amp;Match'!$A927,'Main Data'!$A$1:$A$1001,0),MATCH('Index&amp;Match'!L926,'Main Data'!$A926:$O926,0))</f>
        <v>415.48</v>
      </c>
      <c r="M927" s="11">
        <f>INDEX('Main Data'!$A$1:$O$1001,MATCH('Index&amp;Match'!$A927,'Main Data'!$A$1:$A$1001,0),MATCH('Index&amp;Match'!M926,'Main Data'!$A926:$O926,0))</f>
        <v>21.62</v>
      </c>
      <c r="N927" s="2" t="str">
        <f>INDEX('Main Data'!$A$1:$O$1001,MATCH('Index&amp;Match'!$A927,'Main Data'!$A$1:$A$1001,0),MATCH('Index&amp;Match'!N926,'Main Data'!$A926:$O926,0))</f>
        <v>Yes</v>
      </c>
      <c r="O927" s="2">
        <f>INDEX('Main Data'!$A$1:$O$1001,MATCH('Index&amp;Match'!$A927,'Main Data'!$A$1:$A$1001,0),MATCH('Index&amp;Match'!O926,'Main Data'!$A926:$O926,0))</f>
        <v>48</v>
      </c>
    </row>
    <row r="928" spans="1:15" x14ac:dyDescent="0.3">
      <c r="A928" s="2" t="s">
        <v>985</v>
      </c>
      <c r="B928" s="1">
        <f>INDEX('Main Data'!$A$1:$O$1001,MATCH('Index&amp;Match'!$A928,'Main Data'!$A$1:$A$1001,0),MATCH('Index&amp;Match'!B927,'Main Data'!$A927:$O927,0))</f>
        <v>46235</v>
      </c>
      <c r="C928" s="2" t="str">
        <f>INDEX('Main Data'!$A$1:$O$1001,MATCH('Index&amp;Match'!$A928,'Main Data'!$A$1:$A$1001,0),MATCH('Index&amp;Match'!C927,'Main Data'!$A927:$O927,0))</f>
        <v>Casey</v>
      </c>
      <c r="D928" s="2" t="str">
        <f>INDEX('Main Data'!$A$1:$O$1001,MATCH('Index&amp;Match'!$A928,'Main Data'!$A$1:$A$1001,0),MATCH('Index&amp;Match'!D927,'Main Data'!$A927:$O927,0))</f>
        <v>BR-009</v>
      </c>
      <c r="E928" s="2" t="str">
        <f>INDEX('Main Data'!$A$1:$O$1001,MATCH('Index&amp;Match'!$A928,'Main Data'!$A$1:$A$1001,0),MATCH('Index&amp;Match'!E927,'Main Data'!$A927:$O927,0))</f>
        <v>Central</v>
      </c>
      <c r="F928" s="2" t="str">
        <f>INDEX('Main Data'!$A$1:$O$1001,MATCH('Index&amp;Match'!$A928,'Main Data'!$A$1:$A$1001,0),MATCH('Index&amp;Match'!F927,'Main Data'!$A927:$O927,0))</f>
        <v>Wealth Management</v>
      </c>
      <c r="G928" s="2" t="str">
        <f>INDEX('Main Data'!$A$1:$O$1001,MATCH('Index&amp;Match'!$A928,'Main Data'!$A$1:$A$1001,0),MATCH('Index&amp;Match'!G927,'Main Data'!$A927:$O927,0))</f>
        <v>Email Campaign</v>
      </c>
      <c r="H928" s="2" t="str">
        <f>INDEX('Main Data'!$A$1:$O$1001,MATCH('Index&amp;Match'!$A928,'Main Data'!$A$1:$A$1001,0),MATCH('Index&amp;Match'!H927,'Main Data'!$A927:$O927,0))</f>
        <v>Retail</v>
      </c>
      <c r="I928" s="2">
        <f>INDEX('Main Data'!$A$1:$O$1001,MATCH('Index&amp;Match'!$A928,'Main Data'!$A$1:$A$1001,0),MATCH('Index&amp;Match'!I927,'Main Data'!$A927:$O927,0))</f>
        <v>53</v>
      </c>
      <c r="J928" s="2">
        <f>INDEX('Main Data'!$A$1:$O$1001,MATCH('Index&amp;Match'!$A928,'Main Data'!$A$1:$A$1001,0),MATCH('Index&amp;Match'!J927,'Main Data'!$A927:$O927,0))</f>
        <v>53</v>
      </c>
      <c r="K928" s="11">
        <f>INDEX('Main Data'!$A$1:$O$1001,MATCH('Index&amp;Match'!$A928,'Main Data'!$A$1:$A$1001,0),MATCH('Index&amp;Match'!K927,'Main Data'!$A927:$O927,0))</f>
        <v>21777.31</v>
      </c>
      <c r="L928" s="11">
        <f>INDEX('Main Data'!$A$1:$O$1001,MATCH('Index&amp;Match'!$A928,'Main Data'!$A$1:$A$1001,0),MATCH('Index&amp;Match'!L927,'Main Data'!$A927:$O927,0))</f>
        <v>439.71</v>
      </c>
      <c r="M928" s="11">
        <f>INDEX('Main Data'!$A$1:$O$1001,MATCH('Index&amp;Match'!$A928,'Main Data'!$A$1:$A$1001,0),MATCH('Index&amp;Match'!M927,'Main Data'!$A927:$O927,0))</f>
        <v>87.25</v>
      </c>
      <c r="N928" s="2" t="str">
        <f>INDEX('Main Data'!$A$1:$O$1001,MATCH('Index&amp;Match'!$A928,'Main Data'!$A$1:$A$1001,0),MATCH('Index&amp;Match'!N927,'Main Data'!$A927:$O927,0))</f>
        <v>No</v>
      </c>
      <c r="O928" s="2">
        <f>INDEX('Main Data'!$A$1:$O$1001,MATCH('Index&amp;Match'!$A928,'Main Data'!$A$1:$A$1001,0),MATCH('Index&amp;Match'!O927,'Main Data'!$A927:$O927,0))</f>
        <v>53</v>
      </c>
    </row>
    <row r="929" spans="1:15" x14ac:dyDescent="0.3">
      <c r="A929" s="2" t="s">
        <v>986</v>
      </c>
      <c r="B929" s="1">
        <f>INDEX('Main Data'!$A$1:$O$1001,MATCH('Index&amp;Match'!$A929,'Main Data'!$A$1:$A$1001,0),MATCH('Index&amp;Match'!B928,'Main Data'!$A928:$O928,0))</f>
        <v>45891</v>
      </c>
      <c r="C929" s="2" t="str">
        <f>INDEX('Main Data'!$A$1:$O$1001,MATCH('Index&amp;Match'!$A929,'Main Data'!$A$1:$A$1001,0),MATCH('Index&amp;Match'!C928,'Main Data'!$A928:$O928,0))</f>
        <v>Morgan</v>
      </c>
      <c r="D929" s="2" t="str">
        <f>INDEX('Main Data'!$A$1:$O$1001,MATCH('Index&amp;Match'!$A929,'Main Data'!$A$1:$A$1001,0),MATCH('Index&amp;Match'!D928,'Main Data'!$A928:$O928,0))</f>
        <v>BR-009</v>
      </c>
      <c r="E929" s="2" t="str">
        <f>INDEX('Main Data'!$A$1:$O$1001,MATCH('Index&amp;Match'!$A929,'Main Data'!$A$1:$A$1001,0),MATCH('Index&amp;Match'!E928,'Main Data'!$A928:$O928,0))</f>
        <v>North</v>
      </c>
      <c r="F929" s="2" t="str">
        <f>INDEX('Main Data'!$A$1:$O$1001,MATCH('Index&amp;Match'!$A929,'Main Data'!$A$1:$A$1001,0),MATCH('Index&amp;Match'!F928,'Main Data'!$A928:$O928,0))</f>
        <v>Wealth Management</v>
      </c>
      <c r="G929" s="2" t="str">
        <f>INDEX('Main Data'!$A$1:$O$1001,MATCH('Index&amp;Match'!$A929,'Main Data'!$A$1:$A$1001,0),MATCH('Index&amp;Match'!G928,'Main Data'!$A928:$O928,0))</f>
        <v>Email Campaign</v>
      </c>
      <c r="H929" s="2" t="str">
        <f>INDEX('Main Data'!$A$1:$O$1001,MATCH('Index&amp;Match'!$A929,'Main Data'!$A$1:$A$1001,0),MATCH('Index&amp;Match'!H928,'Main Data'!$A928:$O928,0))</f>
        <v>SME</v>
      </c>
      <c r="I929" s="2">
        <f>INDEX('Main Data'!$A$1:$O$1001,MATCH('Index&amp;Match'!$A929,'Main Data'!$A$1:$A$1001,0),MATCH('Index&amp;Match'!I928,'Main Data'!$A928:$O928,0))</f>
        <v>24</v>
      </c>
      <c r="J929" s="2">
        <f>INDEX('Main Data'!$A$1:$O$1001,MATCH('Index&amp;Match'!$A929,'Main Data'!$A$1:$A$1001,0),MATCH('Index&amp;Match'!J928,'Main Data'!$A928:$O928,0))</f>
        <v>24</v>
      </c>
      <c r="K929" s="11">
        <f>INDEX('Main Data'!$A$1:$O$1001,MATCH('Index&amp;Match'!$A929,'Main Data'!$A$1:$A$1001,0),MATCH('Index&amp;Match'!K928,'Main Data'!$A928:$O928,0))</f>
        <v>15668.9</v>
      </c>
      <c r="L929" s="11">
        <f>INDEX('Main Data'!$A$1:$O$1001,MATCH('Index&amp;Match'!$A929,'Main Data'!$A$1:$A$1001,0),MATCH('Index&amp;Match'!L928,'Main Data'!$A928:$O928,0))</f>
        <v>127.48</v>
      </c>
      <c r="M929" s="11">
        <f>INDEX('Main Data'!$A$1:$O$1001,MATCH('Index&amp;Match'!$A929,'Main Data'!$A$1:$A$1001,0),MATCH('Index&amp;Match'!M928,'Main Data'!$A928:$O928,0))</f>
        <v>194.39</v>
      </c>
      <c r="N929" s="2" t="str">
        <f>INDEX('Main Data'!$A$1:$O$1001,MATCH('Index&amp;Match'!$A929,'Main Data'!$A$1:$A$1001,0),MATCH('Index&amp;Match'!N928,'Main Data'!$A928:$O928,0))</f>
        <v>No</v>
      </c>
      <c r="O929" s="2">
        <f>INDEX('Main Data'!$A$1:$O$1001,MATCH('Index&amp;Match'!$A929,'Main Data'!$A$1:$A$1001,0),MATCH('Index&amp;Match'!O928,'Main Data'!$A928:$O928,0))</f>
        <v>24</v>
      </c>
    </row>
    <row r="930" spans="1:15" x14ac:dyDescent="0.3">
      <c r="A930" s="2" t="s">
        <v>987</v>
      </c>
      <c r="B930" s="1">
        <f>INDEX('Main Data'!$A$1:$O$1001,MATCH('Index&amp;Match'!$A930,'Main Data'!$A$1:$A$1001,0),MATCH('Index&amp;Match'!B929,'Main Data'!$A929:$O929,0))</f>
        <v>45915</v>
      </c>
      <c r="C930" s="2" t="str">
        <f>INDEX('Main Data'!$A$1:$O$1001,MATCH('Index&amp;Match'!$A930,'Main Data'!$A$1:$A$1001,0),MATCH('Index&amp;Match'!C929,'Main Data'!$A929:$O929,0))</f>
        <v>Sam</v>
      </c>
      <c r="D930" s="2" t="str">
        <f>INDEX('Main Data'!$A$1:$O$1001,MATCH('Index&amp;Match'!$A930,'Main Data'!$A$1:$A$1001,0),MATCH('Index&amp;Match'!D929,'Main Data'!$A929:$O929,0))</f>
        <v>BR-008</v>
      </c>
      <c r="E930" s="2" t="str">
        <f>INDEX('Main Data'!$A$1:$O$1001,MATCH('Index&amp;Match'!$A930,'Main Data'!$A$1:$A$1001,0),MATCH('Index&amp;Match'!E929,'Main Data'!$A929:$O929,0))</f>
        <v>Central</v>
      </c>
      <c r="F930" s="2" t="str">
        <f>INDEX('Main Data'!$A$1:$O$1001,MATCH('Index&amp;Match'!$A930,'Main Data'!$A$1:$A$1001,0),MATCH('Index&amp;Match'!F929,'Main Data'!$A929:$O929,0))</f>
        <v>Wealth Management</v>
      </c>
      <c r="G930" s="2" t="str">
        <f>INDEX('Main Data'!$A$1:$O$1001,MATCH('Index&amp;Match'!$A930,'Main Data'!$A$1:$A$1001,0),MATCH('Index&amp;Match'!G929,'Main Data'!$A929:$O929,0))</f>
        <v>Website</v>
      </c>
      <c r="H930" s="2" t="str">
        <f>INDEX('Main Data'!$A$1:$O$1001,MATCH('Index&amp;Match'!$A930,'Main Data'!$A$1:$A$1001,0),MATCH('Index&amp;Match'!H929,'Main Data'!$A929:$O929,0))</f>
        <v>High Net Worth</v>
      </c>
      <c r="I930" s="2">
        <f>INDEX('Main Data'!$A$1:$O$1001,MATCH('Index&amp;Match'!$A930,'Main Data'!$A$1:$A$1001,0),MATCH('Index&amp;Match'!I929,'Main Data'!$A929:$O929,0))</f>
        <v>66</v>
      </c>
      <c r="J930" s="2">
        <f>INDEX('Main Data'!$A$1:$O$1001,MATCH('Index&amp;Match'!$A930,'Main Data'!$A$1:$A$1001,0),MATCH('Index&amp;Match'!J929,'Main Data'!$A929:$O929,0))</f>
        <v>66</v>
      </c>
      <c r="K930" s="11">
        <f>INDEX('Main Data'!$A$1:$O$1001,MATCH('Index&amp;Match'!$A930,'Main Data'!$A$1:$A$1001,0),MATCH('Index&amp;Match'!K929,'Main Data'!$A929:$O929,0))</f>
        <v>48129.54</v>
      </c>
      <c r="L930" s="11">
        <f>INDEX('Main Data'!$A$1:$O$1001,MATCH('Index&amp;Match'!$A930,'Main Data'!$A$1:$A$1001,0),MATCH('Index&amp;Match'!L929,'Main Data'!$A929:$O929,0))</f>
        <v>432.73</v>
      </c>
      <c r="M930" s="11">
        <f>INDEX('Main Data'!$A$1:$O$1001,MATCH('Index&amp;Match'!$A930,'Main Data'!$A$1:$A$1001,0),MATCH('Index&amp;Match'!M929,'Main Data'!$A929:$O929,0))</f>
        <v>11.26</v>
      </c>
      <c r="N930" s="2" t="str">
        <f>INDEX('Main Data'!$A$1:$O$1001,MATCH('Index&amp;Match'!$A930,'Main Data'!$A$1:$A$1001,0),MATCH('Index&amp;Match'!N929,'Main Data'!$A929:$O929,0))</f>
        <v>No</v>
      </c>
      <c r="O930" s="2">
        <f>INDEX('Main Data'!$A$1:$O$1001,MATCH('Index&amp;Match'!$A930,'Main Data'!$A$1:$A$1001,0),MATCH('Index&amp;Match'!O929,'Main Data'!$A929:$O929,0))</f>
        <v>66</v>
      </c>
    </row>
    <row r="931" spans="1:15" x14ac:dyDescent="0.3">
      <c r="A931" s="2" t="s">
        <v>988</v>
      </c>
      <c r="B931" s="1">
        <f>INDEX('Main Data'!$A$1:$O$1001,MATCH('Index&amp;Match'!$A931,'Main Data'!$A$1:$A$1001,0),MATCH('Index&amp;Match'!B930,'Main Data'!$A930:$O930,0))</f>
        <v>45940</v>
      </c>
      <c r="C931" s="2" t="str">
        <f>INDEX('Main Data'!$A$1:$O$1001,MATCH('Index&amp;Match'!$A931,'Main Data'!$A$1:$A$1001,0),MATCH('Index&amp;Match'!C930,'Main Data'!$A930:$O930,0))</f>
        <v>Alex</v>
      </c>
      <c r="D931" s="2" t="str">
        <f>INDEX('Main Data'!$A$1:$O$1001,MATCH('Index&amp;Match'!$A931,'Main Data'!$A$1:$A$1001,0),MATCH('Index&amp;Match'!D930,'Main Data'!$A930:$O930,0))</f>
        <v>BR-001</v>
      </c>
      <c r="E931" s="2" t="str">
        <f>INDEX('Main Data'!$A$1:$O$1001,MATCH('Index&amp;Match'!$A931,'Main Data'!$A$1:$A$1001,0),MATCH('Index&amp;Match'!E930,'Main Data'!$A930:$O930,0))</f>
        <v>Central</v>
      </c>
      <c r="F931" s="2" t="str">
        <f>INDEX('Main Data'!$A$1:$O$1001,MATCH('Index&amp;Match'!$A931,'Main Data'!$A$1:$A$1001,0),MATCH('Index&amp;Match'!F930,'Main Data'!$A930:$O930,0))</f>
        <v>Auto Loan</v>
      </c>
      <c r="G931" s="2" t="str">
        <f>INDEX('Main Data'!$A$1:$O$1001,MATCH('Index&amp;Match'!$A931,'Main Data'!$A$1:$A$1001,0),MATCH('Index&amp;Match'!G930,'Main Data'!$A930:$O930,0))</f>
        <v>Social Media</v>
      </c>
      <c r="H931" s="2" t="str">
        <f>INDEX('Main Data'!$A$1:$O$1001,MATCH('Index&amp;Match'!$A931,'Main Data'!$A$1:$A$1001,0),MATCH('Index&amp;Match'!H930,'Main Data'!$A930:$O930,0))</f>
        <v>SME</v>
      </c>
      <c r="I931" s="2">
        <f>INDEX('Main Data'!$A$1:$O$1001,MATCH('Index&amp;Match'!$A931,'Main Data'!$A$1:$A$1001,0),MATCH('Index&amp;Match'!I930,'Main Data'!$A930:$O930,0))</f>
        <v>54</v>
      </c>
      <c r="J931" s="2">
        <f>INDEX('Main Data'!$A$1:$O$1001,MATCH('Index&amp;Match'!$A931,'Main Data'!$A$1:$A$1001,0),MATCH('Index&amp;Match'!J930,'Main Data'!$A930:$O930,0))</f>
        <v>54</v>
      </c>
      <c r="K931" s="11">
        <f>INDEX('Main Data'!$A$1:$O$1001,MATCH('Index&amp;Match'!$A931,'Main Data'!$A$1:$A$1001,0),MATCH('Index&amp;Match'!K930,'Main Data'!$A930:$O930,0))</f>
        <v>48242.17</v>
      </c>
      <c r="L931" s="11">
        <f>INDEX('Main Data'!$A$1:$O$1001,MATCH('Index&amp;Match'!$A931,'Main Data'!$A$1:$A$1001,0),MATCH('Index&amp;Match'!L930,'Main Data'!$A930:$O930,0))</f>
        <v>445.03</v>
      </c>
      <c r="M931" s="11">
        <f>INDEX('Main Data'!$A$1:$O$1001,MATCH('Index&amp;Match'!$A931,'Main Data'!$A$1:$A$1001,0),MATCH('Index&amp;Match'!M930,'Main Data'!$A930:$O930,0))</f>
        <v>63.2</v>
      </c>
      <c r="N931" s="2" t="str">
        <f>INDEX('Main Data'!$A$1:$O$1001,MATCH('Index&amp;Match'!$A931,'Main Data'!$A$1:$A$1001,0),MATCH('Index&amp;Match'!N930,'Main Data'!$A930:$O930,0))</f>
        <v>Yes</v>
      </c>
      <c r="O931" s="2">
        <f>INDEX('Main Data'!$A$1:$O$1001,MATCH('Index&amp;Match'!$A931,'Main Data'!$A$1:$A$1001,0),MATCH('Index&amp;Match'!O930,'Main Data'!$A930:$O930,0))</f>
        <v>54</v>
      </c>
    </row>
    <row r="932" spans="1:15" x14ac:dyDescent="0.3">
      <c r="A932" s="2" t="s">
        <v>989</v>
      </c>
      <c r="B932" s="1">
        <f>INDEX('Main Data'!$A$1:$O$1001,MATCH('Index&amp;Match'!$A932,'Main Data'!$A$1:$A$1001,0),MATCH('Index&amp;Match'!B931,'Main Data'!$A931:$O931,0))</f>
        <v>46138</v>
      </c>
      <c r="C932" s="2" t="str">
        <f>INDEX('Main Data'!$A$1:$O$1001,MATCH('Index&amp;Match'!$A932,'Main Data'!$A$1:$A$1001,0),MATCH('Index&amp;Match'!C931,'Main Data'!$A931:$O931,0))</f>
        <v>Jamie</v>
      </c>
      <c r="D932" s="2" t="str">
        <f>INDEX('Main Data'!$A$1:$O$1001,MATCH('Index&amp;Match'!$A932,'Main Data'!$A$1:$A$1001,0),MATCH('Index&amp;Match'!D931,'Main Data'!$A931:$O931,0))</f>
        <v>BR-001</v>
      </c>
      <c r="E932" s="2" t="str">
        <f>INDEX('Main Data'!$A$1:$O$1001,MATCH('Index&amp;Match'!$A932,'Main Data'!$A$1:$A$1001,0),MATCH('Index&amp;Match'!E931,'Main Data'!$A931:$O931,0))</f>
        <v>South</v>
      </c>
      <c r="F932" s="2" t="str">
        <f>INDEX('Main Data'!$A$1:$O$1001,MATCH('Index&amp;Match'!$A932,'Main Data'!$A$1:$A$1001,0),MATCH('Index&amp;Match'!F931,'Main Data'!$A931:$O931,0))</f>
        <v>Credit Card</v>
      </c>
      <c r="G932" s="2" t="str">
        <f>INDEX('Main Data'!$A$1:$O$1001,MATCH('Index&amp;Match'!$A932,'Main Data'!$A$1:$A$1001,0),MATCH('Index&amp;Match'!G931,'Main Data'!$A931:$O931,0))</f>
        <v>Walk-in</v>
      </c>
      <c r="H932" s="2" t="str">
        <f>INDEX('Main Data'!$A$1:$O$1001,MATCH('Index&amp;Match'!$A932,'Main Data'!$A$1:$A$1001,0),MATCH('Index&amp;Match'!H931,'Main Data'!$A931:$O931,0))</f>
        <v>SME</v>
      </c>
      <c r="I932" s="2">
        <f>INDEX('Main Data'!$A$1:$O$1001,MATCH('Index&amp;Match'!$A932,'Main Data'!$A$1:$A$1001,0),MATCH('Index&amp;Match'!I931,'Main Data'!$A931:$O931,0))</f>
        <v>68</v>
      </c>
      <c r="J932" s="2">
        <f>INDEX('Main Data'!$A$1:$O$1001,MATCH('Index&amp;Match'!$A932,'Main Data'!$A$1:$A$1001,0),MATCH('Index&amp;Match'!J931,'Main Data'!$A931:$O931,0))</f>
        <v>68</v>
      </c>
      <c r="K932" s="11">
        <f>INDEX('Main Data'!$A$1:$O$1001,MATCH('Index&amp;Match'!$A932,'Main Data'!$A$1:$A$1001,0),MATCH('Index&amp;Match'!K931,'Main Data'!$A931:$O931,0))</f>
        <v>14827.1</v>
      </c>
      <c r="L932" s="11">
        <f>INDEX('Main Data'!$A$1:$O$1001,MATCH('Index&amp;Match'!$A932,'Main Data'!$A$1:$A$1001,0),MATCH('Index&amp;Match'!L931,'Main Data'!$A931:$O931,0))</f>
        <v>297.24</v>
      </c>
      <c r="M932" s="11">
        <f>INDEX('Main Data'!$A$1:$O$1001,MATCH('Index&amp;Match'!$A932,'Main Data'!$A$1:$A$1001,0),MATCH('Index&amp;Match'!M931,'Main Data'!$A931:$O931,0))</f>
        <v>62.82</v>
      </c>
      <c r="N932" s="2" t="str">
        <f>INDEX('Main Data'!$A$1:$O$1001,MATCH('Index&amp;Match'!$A932,'Main Data'!$A$1:$A$1001,0),MATCH('Index&amp;Match'!N931,'Main Data'!$A931:$O931,0))</f>
        <v>No</v>
      </c>
      <c r="O932" s="2">
        <f>INDEX('Main Data'!$A$1:$O$1001,MATCH('Index&amp;Match'!$A932,'Main Data'!$A$1:$A$1001,0),MATCH('Index&amp;Match'!O931,'Main Data'!$A931:$O931,0))</f>
        <v>68</v>
      </c>
    </row>
    <row r="933" spans="1:15" x14ac:dyDescent="0.3">
      <c r="A933" s="2" t="s">
        <v>990</v>
      </c>
      <c r="B933" s="1">
        <f>INDEX('Main Data'!$A$1:$O$1001,MATCH('Index&amp;Match'!$A933,'Main Data'!$A$1:$A$1001,0),MATCH('Index&amp;Match'!B932,'Main Data'!$A932:$O932,0))</f>
        <v>46185</v>
      </c>
      <c r="C933" s="2" t="str">
        <f>INDEX('Main Data'!$A$1:$O$1001,MATCH('Index&amp;Match'!$A933,'Main Data'!$A$1:$A$1001,0),MATCH('Index&amp;Match'!C932,'Main Data'!$A932:$O932,0))</f>
        <v>Morgan</v>
      </c>
      <c r="D933" s="2" t="str">
        <f>INDEX('Main Data'!$A$1:$O$1001,MATCH('Index&amp;Match'!$A933,'Main Data'!$A$1:$A$1001,0),MATCH('Index&amp;Match'!D932,'Main Data'!$A932:$O932,0))</f>
        <v>BR-009</v>
      </c>
      <c r="E933" s="2" t="str">
        <f>INDEX('Main Data'!$A$1:$O$1001,MATCH('Index&amp;Match'!$A933,'Main Data'!$A$1:$A$1001,0),MATCH('Index&amp;Match'!E932,'Main Data'!$A932:$O932,0))</f>
        <v>South</v>
      </c>
      <c r="F933" s="2" t="str">
        <f>INDEX('Main Data'!$A$1:$O$1001,MATCH('Index&amp;Match'!$A933,'Main Data'!$A$1:$A$1001,0),MATCH('Index&amp;Match'!F932,'Main Data'!$A932:$O932,0))</f>
        <v>Credit Card</v>
      </c>
      <c r="G933" s="2" t="str">
        <f>INDEX('Main Data'!$A$1:$O$1001,MATCH('Index&amp;Match'!$A933,'Main Data'!$A$1:$A$1001,0),MATCH('Index&amp;Match'!G932,'Main Data'!$A932:$O932,0))</f>
        <v>Email Campaign</v>
      </c>
      <c r="H933" s="2" t="str">
        <f>INDEX('Main Data'!$A$1:$O$1001,MATCH('Index&amp;Match'!$A933,'Main Data'!$A$1:$A$1001,0),MATCH('Index&amp;Match'!H932,'Main Data'!$A932:$O932,0))</f>
        <v>Corporate</v>
      </c>
      <c r="I933" s="2">
        <f>INDEX('Main Data'!$A$1:$O$1001,MATCH('Index&amp;Match'!$A933,'Main Data'!$A$1:$A$1001,0),MATCH('Index&amp;Match'!I932,'Main Data'!$A932:$O932,0))</f>
        <v>23</v>
      </c>
      <c r="J933" s="2">
        <f>INDEX('Main Data'!$A$1:$O$1001,MATCH('Index&amp;Match'!$A933,'Main Data'!$A$1:$A$1001,0),MATCH('Index&amp;Match'!J932,'Main Data'!$A932:$O932,0))</f>
        <v>23</v>
      </c>
      <c r="K933" s="11">
        <f>INDEX('Main Data'!$A$1:$O$1001,MATCH('Index&amp;Match'!$A933,'Main Data'!$A$1:$A$1001,0),MATCH('Index&amp;Match'!K932,'Main Data'!$A932:$O932,0))</f>
        <v>24241.439999999999</v>
      </c>
      <c r="L933" s="11">
        <f>INDEX('Main Data'!$A$1:$O$1001,MATCH('Index&amp;Match'!$A933,'Main Data'!$A$1:$A$1001,0),MATCH('Index&amp;Match'!L932,'Main Data'!$A932:$O932,0))</f>
        <v>345.28</v>
      </c>
      <c r="M933" s="11">
        <f>INDEX('Main Data'!$A$1:$O$1001,MATCH('Index&amp;Match'!$A933,'Main Data'!$A$1:$A$1001,0),MATCH('Index&amp;Match'!M932,'Main Data'!$A932:$O932,0))</f>
        <v>126.69</v>
      </c>
      <c r="N933" s="2" t="str">
        <f>INDEX('Main Data'!$A$1:$O$1001,MATCH('Index&amp;Match'!$A933,'Main Data'!$A$1:$A$1001,0),MATCH('Index&amp;Match'!N932,'Main Data'!$A932:$O932,0))</f>
        <v>Yes</v>
      </c>
      <c r="O933" s="2">
        <f>INDEX('Main Data'!$A$1:$O$1001,MATCH('Index&amp;Match'!$A933,'Main Data'!$A$1:$A$1001,0),MATCH('Index&amp;Match'!O932,'Main Data'!$A932:$O932,0))</f>
        <v>23</v>
      </c>
    </row>
    <row r="934" spans="1:15" x14ac:dyDescent="0.3">
      <c r="A934" s="2" t="s">
        <v>991</v>
      </c>
      <c r="B934" s="1">
        <f>INDEX('Main Data'!$A$1:$O$1001,MATCH('Index&amp;Match'!$A934,'Main Data'!$A$1:$A$1001,0),MATCH('Index&amp;Match'!B933,'Main Data'!$A933:$O933,0))</f>
        <v>45914</v>
      </c>
      <c r="C934" s="2" t="str">
        <f>INDEX('Main Data'!$A$1:$O$1001,MATCH('Index&amp;Match'!$A934,'Main Data'!$A$1:$A$1001,0),MATCH('Index&amp;Match'!C933,'Main Data'!$A933:$O933,0))</f>
        <v>Alex</v>
      </c>
      <c r="D934" s="2" t="str">
        <f>INDEX('Main Data'!$A$1:$O$1001,MATCH('Index&amp;Match'!$A934,'Main Data'!$A$1:$A$1001,0),MATCH('Index&amp;Match'!D933,'Main Data'!$A933:$O933,0))</f>
        <v>BR-013</v>
      </c>
      <c r="E934" s="2" t="str">
        <f>INDEX('Main Data'!$A$1:$O$1001,MATCH('Index&amp;Match'!$A934,'Main Data'!$A$1:$A$1001,0),MATCH('Index&amp;Match'!E933,'Main Data'!$A933:$O933,0))</f>
        <v>Central</v>
      </c>
      <c r="F934" s="2" t="str">
        <f>INDEX('Main Data'!$A$1:$O$1001,MATCH('Index&amp;Match'!$A934,'Main Data'!$A$1:$A$1001,0),MATCH('Index&amp;Match'!F933,'Main Data'!$A933:$O933,0))</f>
        <v>Auto Loan</v>
      </c>
      <c r="G934" s="2" t="str">
        <f>INDEX('Main Data'!$A$1:$O$1001,MATCH('Index&amp;Match'!$A934,'Main Data'!$A$1:$A$1001,0),MATCH('Index&amp;Match'!G933,'Main Data'!$A933:$O933,0))</f>
        <v>Walk-in</v>
      </c>
      <c r="H934" s="2" t="str">
        <f>INDEX('Main Data'!$A$1:$O$1001,MATCH('Index&amp;Match'!$A934,'Main Data'!$A$1:$A$1001,0),MATCH('Index&amp;Match'!H933,'Main Data'!$A933:$O933,0))</f>
        <v>High Net Worth</v>
      </c>
      <c r="I934" s="2">
        <f>INDEX('Main Data'!$A$1:$O$1001,MATCH('Index&amp;Match'!$A934,'Main Data'!$A$1:$A$1001,0),MATCH('Index&amp;Match'!I933,'Main Data'!$A933:$O933,0))</f>
        <v>46</v>
      </c>
      <c r="J934" s="2">
        <f>INDEX('Main Data'!$A$1:$O$1001,MATCH('Index&amp;Match'!$A934,'Main Data'!$A$1:$A$1001,0),MATCH('Index&amp;Match'!J933,'Main Data'!$A933:$O933,0))</f>
        <v>46</v>
      </c>
      <c r="K934" s="11">
        <f>INDEX('Main Data'!$A$1:$O$1001,MATCH('Index&amp;Match'!$A934,'Main Data'!$A$1:$A$1001,0),MATCH('Index&amp;Match'!K933,'Main Data'!$A933:$O933,0))</f>
        <v>48655.79</v>
      </c>
      <c r="L934" s="11">
        <f>INDEX('Main Data'!$A$1:$O$1001,MATCH('Index&amp;Match'!$A934,'Main Data'!$A$1:$A$1001,0),MATCH('Index&amp;Match'!L933,'Main Data'!$A933:$O933,0))</f>
        <v>222.01</v>
      </c>
      <c r="M934" s="11">
        <f>INDEX('Main Data'!$A$1:$O$1001,MATCH('Index&amp;Match'!$A934,'Main Data'!$A$1:$A$1001,0),MATCH('Index&amp;Match'!M933,'Main Data'!$A933:$O933,0))</f>
        <v>31.74</v>
      </c>
      <c r="N934" s="2" t="str">
        <f>INDEX('Main Data'!$A$1:$O$1001,MATCH('Index&amp;Match'!$A934,'Main Data'!$A$1:$A$1001,0),MATCH('Index&amp;Match'!N933,'Main Data'!$A933:$O933,0))</f>
        <v>Yes</v>
      </c>
      <c r="O934" s="2">
        <f>INDEX('Main Data'!$A$1:$O$1001,MATCH('Index&amp;Match'!$A934,'Main Data'!$A$1:$A$1001,0),MATCH('Index&amp;Match'!O933,'Main Data'!$A933:$O933,0))</f>
        <v>46</v>
      </c>
    </row>
    <row r="935" spans="1:15" x14ac:dyDescent="0.3">
      <c r="A935" s="2" t="s">
        <v>992</v>
      </c>
      <c r="B935" s="1">
        <f>INDEX('Main Data'!$A$1:$O$1001,MATCH('Index&amp;Match'!$A935,'Main Data'!$A$1:$A$1001,0),MATCH('Index&amp;Match'!B934,'Main Data'!$A934:$O934,0))</f>
        <v>45992</v>
      </c>
      <c r="C935" s="2" t="str">
        <f>INDEX('Main Data'!$A$1:$O$1001,MATCH('Index&amp;Match'!$A935,'Main Data'!$A$1:$A$1001,0),MATCH('Index&amp;Match'!C934,'Main Data'!$A934:$O934,0))</f>
        <v>Alex</v>
      </c>
      <c r="D935" s="2" t="str">
        <f>INDEX('Main Data'!$A$1:$O$1001,MATCH('Index&amp;Match'!$A935,'Main Data'!$A$1:$A$1001,0),MATCH('Index&amp;Match'!D934,'Main Data'!$A934:$O934,0))</f>
        <v>BR-011</v>
      </c>
      <c r="E935" s="2" t="str">
        <f>INDEX('Main Data'!$A$1:$O$1001,MATCH('Index&amp;Match'!$A935,'Main Data'!$A$1:$A$1001,0),MATCH('Index&amp;Match'!E934,'Main Data'!$A934:$O934,0))</f>
        <v>Central</v>
      </c>
      <c r="F935" s="2" t="str">
        <f>INDEX('Main Data'!$A$1:$O$1001,MATCH('Index&amp;Match'!$A935,'Main Data'!$A$1:$A$1001,0),MATCH('Index&amp;Match'!F934,'Main Data'!$A934:$O934,0))</f>
        <v>Mortgage</v>
      </c>
      <c r="G935" s="2" t="str">
        <f>INDEX('Main Data'!$A$1:$O$1001,MATCH('Index&amp;Match'!$A935,'Main Data'!$A$1:$A$1001,0),MATCH('Index&amp;Match'!G934,'Main Data'!$A934:$O934,0))</f>
        <v>Website</v>
      </c>
      <c r="H935" s="2" t="str">
        <f>INDEX('Main Data'!$A$1:$O$1001,MATCH('Index&amp;Match'!$A935,'Main Data'!$A$1:$A$1001,0),MATCH('Index&amp;Match'!H934,'Main Data'!$A934:$O934,0))</f>
        <v>SME</v>
      </c>
      <c r="I935" s="2">
        <f>INDEX('Main Data'!$A$1:$O$1001,MATCH('Index&amp;Match'!$A935,'Main Data'!$A$1:$A$1001,0),MATCH('Index&amp;Match'!I934,'Main Data'!$A934:$O934,0))</f>
        <v>28</v>
      </c>
      <c r="J935" s="2">
        <f>INDEX('Main Data'!$A$1:$O$1001,MATCH('Index&amp;Match'!$A935,'Main Data'!$A$1:$A$1001,0),MATCH('Index&amp;Match'!J934,'Main Data'!$A934:$O934,0))</f>
        <v>28</v>
      </c>
      <c r="K935" s="11">
        <f>INDEX('Main Data'!$A$1:$O$1001,MATCH('Index&amp;Match'!$A935,'Main Data'!$A$1:$A$1001,0),MATCH('Index&amp;Match'!K934,'Main Data'!$A934:$O934,0))</f>
        <v>740.99</v>
      </c>
      <c r="L935" s="11">
        <f>INDEX('Main Data'!$A$1:$O$1001,MATCH('Index&amp;Match'!$A935,'Main Data'!$A$1:$A$1001,0),MATCH('Index&amp;Match'!L934,'Main Data'!$A934:$O934,0))</f>
        <v>176.81</v>
      </c>
      <c r="M935" s="11">
        <f>INDEX('Main Data'!$A$1:$O$1001,MATCH('Index&amp;Match'!$A935,'Main Data'!$A$1:$A$1001,0),MATCH('Index&amp;Match'!M934,'Main Data'!$A934:$O934,0))</f>
        <v>125.71</v>
      </c>
      <c r="N935" s="2" t="str">
        <f>INDEX('Main Data'!$A$1:$O$1001,MATCH('Index&amp;Match'!$A935,'Main Data'!$A$1:$A$1001,0),MATCH('Index&amp;Match'!N934,'Main Data'!$A934:$O934,0))</f>
        <v>No</v>
      </c>
      <c r="O935" s="2">
        <f>INDEX('Main Data'!$A$1:$O$1001,MATCH('Index&amp;Match'!$A935,'Main Data'!$A$1:$A$1001,0),MATCH('Index&amp;Match'!O934,'Main Data'!$A934:$O934,0))</f>
        <v>28</v>
      </c>
    </row>
    <row r="936" spans="1:15" x14ac:dyDescent="0.3">
      <c r="A936" s="2" t="s">
        <v>993</v>
      </c>
      <c r="B936" s="1">
        <f>INDEX('Main Data'!$A$1:$O$1001,MATCH('Index&amp;Match'!$A936,'Main Data'!$A$1:$A$1001,0),MATCH('Index&amp;Match'!B935,'Main Data'!$A935:$O935,0))</f>
        <v>46002</v>
      </c>
      <c r="C936" s="2" t="str">
        <f>INDEX('Main Data'!$A$1:$O$1001,MATCH('Index&amp;Match'!$A936,'Main Data'!$A$1:$A$1001,0),MATCH('Index&amp;Match'!C935,'Main Data'!$A935:$O935,0))</f>
        <v>Drew</v>
      </c>
      <c r="D936" s="2" t="str">
        <f>INDEX('Main Data'!$A$1:$O$1001,MATCH('Index&amp;Match'!$A936,'Main Data'!$A$1:$A$1001,0),MATCH('Index&amp;Match'!D935,'Main Data'!$A935:$O935,0))</f>
        <v>BR-008</v>
      </c>
      <c r="E936" s="2" t="str">
        <f>INDEX('Main Data'!$A$1:$O$1001,MATCH('Index&amp;Match'!$A936,'Main Data'!$A$1:$A$1001,0),MATCH('Index&amp;Match'!E935,'Main Data'!$A935:$O935,0))</f>
        <v>Central</v>
      </c>
      <c r="F936" s="2" t="str">
        <f>INDEX('Main Data'!$A$1:$O$1001,MATCH('Index&amp;Match'!$A936,'Main Data'!$A$1:$A$1001,0),MATCH('Index&amp;Match'!F935,'Main Data'!$A935:$O935,0))</f>
        <v>Personal Loan</v>
      </c>
      <c r="G936" s="2" t="str">
        <f>INDEX('Main Data'!$A$1:$O$1001,MATCH('Index&amp;Match'!$A936,'Main Data'!$A$1:$A$1001,0),MATCH('Index&amp;Match'!G935,'Main Data'!$A935:$O935,0))</f>
        <v>Website</v>
      </c>
      <c r="H936" s="2" t="str">
        <f>INDEX('Main Data'!$A$1:$O$1001,MATCH('Index&amp;Match'!$A936,'Main Data'!$A$1:$A$1001,0),MATCH('Index&amp;Match'!H935,'Main Data'!$A935:$O935,0))</f>
        <v>SME</v>
      </c>
      <c r="I936" s="2">
        <f>INDEX('Main Data'!$A$1:$O$1001,MATCH('Index&amp;Match'!$A936,'Main Data'!$A$1:$A$1001,0),MATCH('Index&amp;Match'!I935,'Main Data'!$A935:$O935,0))</f>
        <v>26</v>
      </c>
      <c r="J936" s="2">
        <f>INDEX('Main Data'!$A$1:$O$1001,MATCH('Index&amp;Match'!$A936,'Main Data'!$A$1:$A$1001,0),MATCH('Index&amp;Match'!J935,'Main Data'!$A935:$O935,0))</f>
        <v>26</v>
      </c>
      <c r="K936" s="11">
        <f>INDEX('Main Data'!$A$1:$O$1001,MATCH('Index&amp;Match'!$A936,'Main Data'!$A$1:$A$1001,0),MATCH('Index&amp;Match'!K935,'Main Data'!$A935:$O935,0))</f>
        <v>20927.57</v>
      </c>
      <c r="L936" s="11">
        <f>INDEX('Main Data'!$A$1:$O$1001,MATCH('Index&amp;Match'!$A936,'Main Data'!$A$1:$A$1001,0),MATCH('Index&amp;Match'!L935,'Main Data'!$A935:$O935,0))</f>
        <v>374.89</v>
      </c>
      <c r="M936" s="11">
        <f>INDEX('Main Data'!$A$1:$O$1001,MATCH('Index&amp;Match'!$A936,'Main Data'!$A$1:$A$1001,0),MATCH('Index&amp;Match'!M935,'Main Data'!$A935:$O935,0))</f>
        <v>19.010000000000002</v>
      </c>
      <c r="N936" s="2" t="str">
        <f>INDEX('Main Data'!$A$1:$O$1001,MATCH('Index&amp;Match'!$A936,'Main Data'!$A$1:$A$1001,0),MATCH('Index&amp;Match'!N935,'Main Data'!$A935:$O935,0))</f>
        <v>Yes</v>
      </c>
      <c r="O936" s="2">
        <f>INDEX('Main Data'!$A$1:$O$1001,MATCH('Index&amp;Match'!$A936,'Main Data'!$A$1:$A$1001,0),MATCH('Index&amp;Match'!O935,'Main Data'!$A935:$O935,0))</f>
        <v>26</v>
      </c>
    </row>
    <row r="937" spans="1:15" x14ac:dyDescent="0.3">
      <c r="A937" s="2" t="s">
        <v>994</v>
      </c>
      <c r="B937" s="1">
        <f>INDEX('Main Data'!$A$1:$O$1001,MATCH('Index&amp;Match'!$A937,'Main Data'!$A$1:$A$1001,0),MATCH('Index&amp;Match'!B936,'Main Data'!$A936:$O936,0))</f>
        <v>46065</v>
      </c>
      <c r="C937" s="2" t="str">
        <f>INDEX('Main Data'!$A$1:$O$1001,MATCH('Index&amp;Match'!$A937,'Main Data'!$A$1:$A$1001,0),MATCH('Index&amp;Match'!C936,'Main Data'!$A936:$O936,0))</f>
        <v>Alex</v>
      </c>
      <c r="D937" s="2" t="str">
        <f>INDEX('Main Data'!$A$1:$O$1001,MATCH('Index&amp;Match'!$A937,'Main Data'!$A$1:$A$1001,0),MATCH('Index&amp;Match'!D936,'Main Data'!$A936:$O936,0))</f>
        <v>BR-010</v>
      </c>
      <c r="E937" s="2" t="str">
        <f>INDEX('Main Data'!$A$1:$O$1001,MATCH('Index&amp;Match'!$A937,'Main Data'!$A$1:$A$1001,0),MATCH('Index&amp;Match'!E936,'Main Data'!$A936:$O936,0))</f>
        <v>South</v>
      </c>
      <c r="F937" s="2" t="str">
        <f>INDEX('Main Data'!$A$1:$O$1001,MATCH('Index&amp;Match'!$A937,'Main Data'!$A$1:$A$1001,0),MATCH('Index&amp;Match'!F936,'Main Data'!$A936:$O936,0))</f>
        <v>Credit Card</v>
      </c>
      <c r="G937" s="2" t="str">
        <f>INDEX('Main Data'!$A$1:$O$1001,MATCH('Index&amp;Match'!$A937,'Main Data'!$A$1:$A$1001,0),MATCH('Index&amp;Match'!G936,'Main Data'!$A936:$O936,0))</f>
        <v>Social Media</v>
      </c>
      <c r="H937" s="2" t="str">
        <f>INDEX('Main Data'!$A$1:$O$1001,MATCH('Index&amp;Match'!$A937,'Main Data'!$A$1:$A$1001,0),MATCH('Index&amp;Match'!H936,'Main Data'!$A936:$O936,0))</f>
        <v>High Net Worth</v>
      </c>
      <c r="I937" s="2">
        <f>INDEX('Main Data'!$A$1:$O$1001,MATCH('Index&amp;Match'!$A937,'Main Data'!$A$1:$A$1001,0),MATCH('Index&amp;Match'!I936,'Main Data'!$A936:$O936,0))</f>
        <v>36</v>
      </c>
      <c r="J937" s="2">
        <f>INDEX('Main Data'!$A$1:$O$1001,MATCH('Index&amp;Match'!$A937,'Main Data'!$A$1:$A$1001,0),MATCH('Index&amp;Match'!J936,'Main Data'!$A936:$O936,0))</f>
        <v>36</v>
      </c>
      <c r="K937" s="11">
        <f>INDEX('Main Data'!$A$1:$O$1001,MATCH('Index&amp;Match'!$A937,'Main Data'!$A$1:$A$1001,0),MATCH('Index&amp;Match'!K936,'Main Data'!$A936:$O936,0))</f>
        <v>5472.65</v>
      </c>
      <c r="L937" s="11">
        <f>INDEX('Main Data'!$A$1:$O$1001,MATCH('Index&amp;Match'!$A937,'Main Data'!$A$1:$A$1001,0),MATCH('Index&amp;Match'!L936,'Main Data'!$A936:$O936,0))</f>
        <v>437.84</v>
      </c>
      <c r="M937" s="11">
        <f>INDEX('Main Data'!$A$1:$O$1001,MATCH('Index&amp;Match'!$A937,'Main Data'!$A$1:$A$1001,0),MATCH('Index&amp;Match'!M936,'Main Data'!$A936:$O936,0))</f>
        <v>28.48</v>
      </c>
      <c r="N937" s="2" t="str">
        <f>INDEX('Main Data'!$A$1:$O$1001,MATCH('Index&amp;Match'!$A937,'Main Data'!$A$1:$A$1001,0),MATCH('Index&amp;Match'!N936,'Main Data'!$A936:$O936,0))</f>
        <v>Yes</v>
      </c>
      <c r="O937" s="2">
        <f>INDEX('Main Data'!$A$1:$O$1001,MATCH('Index&amp;Match'!$A937,'Main Data'!$A$1:$A$1001,0),MATCH('Index&amp;Match'!O936,'Main Data'!$A936:$O936,0))</f>
        <v>36</v>
      </c>
    </row>
    <row r="938" spans="1:15" x14ac:dyDescent="0.3">
      <c r="A938" s="2" t="s">
        <v>995</v>
      </c>
      <c r="B938" s="1">
        <f>INDEX('Main Data'!$A$1:$O$1001,MATCH('Index&amp;Match'!$A938,'Main Data'!$A$1:$A$1001,0),MATCH('Index&amp;Match'!B937,'Main Data'!$A937:$O937,0))</f>
        <v>46216</v>
      </c>
      <c r="C938" s="2" t="str">
        <f>INDEX('Main Data'!$A$1:$O$1001,MATCH('Index&amp;Match'!$A938,'Main Data'!$A$1:$A$1001,0),MATCH('Index&amp;Match'!C937,'Main Data'!$A937:$O937,0))</f>
        <v>Sam</v>
      </c>
      <c r="D938" s="2" t="str">
        <f>INDEX('Main Data'!$A$1:$O$1001,MATCH('Index&amp;Match'!$A938,'Main Data'!$A$1:$A$1001,0),MATCH('Index&amp;Match'!D937,'Main Data'!$A937:$O937,0))</f>
        <v>BR-009</v>
      </c>
      <c r="E938" s="2" t="str">
        <f>INDEX('Main Data'!$A$1:$O$1001,MATCH('Index&amp;Match'!$A938,'Main Data'!$A$1:$A$1001,0),MATCH('Index&amp;Match'!E937,'Main Data'!$A937:$O937,0))</f>
        <v>Central</v>
      </c>
      <c r="F938" s="2" t="str">
        <f>INDEX('Main Data'!$A$1:$O$1001,MATCH('Index&amp;Match'!$A938,'Main Data'!$A$1:$A$1001,0),MATCH('Index&amp;Match'!F937,'Main Data'!$A937:$O937,0))</f>
        <v>Personal Loan</v>
      </c>
      <c r="G938" s="2" t="str">
        <f>INDEX('Main Data'!$A$1:$O$1001,MATCH('Index&amp;Match'!$A938,'Main Data'!$A$1:$A$1001,0),MATCH('Index&amp;Match'!G937,'Main Data'!$A937:$O937,0))</f>
        <v>Social Media</v>
      </c>
      <c r="H938" s="2" t="str">
        <f>INDEX('Main Data'!$A$1:$O$1001,MATCH('Index&amp;Match'!$A938,'Main Data'!$A$1:$A$1001,0),MATCH('Index&amp;Match'!H937,'Main Data'!$A937:$O937,0))</f>
        <v>Retail</v>
      </c>
      <c r="I938" s="2">
        <f>INDEX('Main Data'!$A$1:$O$1001,MATCH('Index&amp;Match'!$A938,'Main Data'!$A$1:$A$1001,0),MATCH('Index&amp;Match'!I937,'Main Data'!$A937:$O937,0))</f>
        <v>44</v>
      </c>
      <c r="J938" s="2">
        <f>INDEX('Main Data'!$A$1:$O$1001,MATCH('Index&amp;Match'!$A938,'Main Data'!$A$1:$A$1001,0),MATCH('Index&amp;Match'!J937,'Main Data'!$A937:$O937,0))</f>
        <v>44</v>
      </c>
      <c r="K938" s="11">
        <f>INDEX('Main Data'!$A$1:$O$1001,MATCH('Index&amp;Match'!$A938,'Main Data'!$A$1:$A$1001,0),MATCH('Index&amp;Match'!K937,'Main Data'!$A937:$O937,0))</f>
        <v>25703.32</v>
      </c>
      <c r="L938" s="11">
        <f>INDEX('Main Data'!$A$1:$O$1001,MATCH('Index&amp;Match'!$A938,'Main Data'!$A$1:$A$1001,0),MATCH('Index&amp;Match'!L937,'Main Data'!$A937:$O937,0))</f>
        <v>344.33</v>
      </c>
      <c r="M938" s="11">
        <f>INDEX('Main Data'!$A$1:$O$1001,MATCH('Index&amp;Match'!$A938,'Main Data'!$A$1:$A$1001,0),MATCH('Index&amp;Match'!M937,'Main Data'!$A937:$O937,0))</f>
        <v>145.63999999999999</v>
      </c>
      <c r="N938" s="2" t="str">
        <f>INDEX('Main Data'!$A$1:$O$1001,MATCH('Index&amp;Match'!$A938,'Main Data'!$A$1:$A$1001,0),MATCH('Index&amp;Match'!N937,'Main Data'!$A937:$O937,0))</f>
        <v>Yes</v>
      </c>
      <c r="O938" s="2">
        <f>INDEX('Main Data'!$A$1:$O$1001,MATCH('Index&amp;Match'!$A938,'Main Data'!$A$1:$A$1001,0),MATCH('Index&amp;Match'!O937,'Main Data'!$A937:$O937,0))</f>
        <v>44</v>
      </c>
    </row>
    <row r="939" spans="1:15" x14ac:dyDescent="0.3">
      <c r="A939" s="2" t="s">
        <v>996</v>
      </c>
      <c r="B939" s="1">
        <f>INDEX('Main Data'!$A$1:$O$1001,MATCH('Index&amp;Match'!$A939,'Main Data'!$A$1:$A$1001,0),MATCH('Index&amp;Match'!B938,'Main Data'!$A938:$O938,0))</f>
        <v>46111</v>
      </c>
      <c r="C939" s="2" t="str">
        <f>INDEX('Main Data'!$A$1:$O$1001,MATCH('Index&amp;Match'!$A939,'Main Data'!$A$1:$A$1001,0),MATCH('Index&amp;Match'!C938,'Main Data'!$A938:$O938,0))</f>
        <v>Casey</v>
      </c>
      <c r="D939" s="2" t="str">
        <f>INDEX('Main Data'!$A$1:$O$1001,MATCH('Index&amp;Match'!$A939,'Main Data'!$A$1:$A$1001,0),MATCH('Index&amp;Match'!D938,'Main Data'!$A938:$O938,0))</f>
        <v>BR-007</v>
      </c>
      <c r="E939" s="2" t="str">
        <f>INDEX('Main Data'!$A$1:$O$1001,MATCH('Index&amp;Match'!$A939,'Main Data'!$A$1:$A$1001,0),MATCH('Index&amp;Match'!E938,'Main Data'!$A938:$O938,0))</f>
        <v>Central</v>
      </c>
      <c r="F939" s="2" t="str">
        <f>INDEX('Main Data'!$A$1:$O$1001,MATCH('Index&amp;Match'!$A939,'Main Data'!$A$1:$A$1001,0),MATCH('Index&amp;Match'!F938,'Main Data'!$A938:$O938,0))</f>
        <v>Auto Loan</v>
      </c>
      <c r="G939" s="2" t="str">
        <f>INDEX('Main Data'!$A$1:$O$1001,MATCH('Index&amp;Match'!$A939,'Main Data'!$A$1:$A$1001,0),MATCH('Index&amp;Match'!G938,'Main Data'!$A938:$O938,0))</f>
        <v>Website</v>
      </c>
      <c r="H939" s="2" t="str">
        <f>INDEX('Main Data'!$A$1:$O$1001,MATCH('Index&amp;Match'!$A939,'Main Data'!$A$1:$A$1001,0),MATCH('Index&amp;Match'!H938,'Main Data'!$A938:$O938,0))</f>
        <v>Retail</v>
      </c>
      <c r="I939" s="2">
        <f>INDEX('Main Data'!$A$1:$O$1001,MATCH('Index&amp;Match'!$A939,'Main Data'!$A$1:$A$1001,0),MATCH('Index&amp;Match'!I938,'Main Data'!$A938:$O938,0))</f>
        <v>68</v>
      </c>
      <c r="J939" s="2">
        <f>INDEX('Main Data'!$A$1:$O$1001,MATCH('Index&amp;Match'!$A939,'Main Data'!$A$1:$A$1001,0),MATCH('Index&amp;Match'!J938,'Main Data'!$A938:$O938,0))</f>
        <v>68</v>
      </c>
      <c r="K939" s="11">
        <f>INDEX('Main Data'!$A$1:$O$1001,MATCH('Index&amp;Match'!$A939,'Main Data'!$A$1:$A$1001,0),MATCH('Index&amp;Match'!K938,'Main Data'!$A938:$O938,0))</f>
        <v>1721.16</v>
      </c>
      <c r="L939" s="11">
        <f>INDEX('Main Data'!$A$1:$O$1001,MATCH('Index&amp;Match'!$A939,'Main Data'!$A$1:$A$1001,0),MATCH('Index&amp;Match'!L938,'Main Data'!$A938:$O938,0))</f>
        <v>280.22000000000003</v>
      </c>
      <c r="M939" s="11">
        <f>INDEX('Main Data'!$A$1:$O$1001,MATCH('Index&amp;Match'!$A939,'Main Data'!$A$1:$A$1001,0),MATCH('Index&amp;Match'!M938,'Main Data'!$A938:$O938,0))</f>
        <v>64.83</v>
      </c>
      <c r="N939" s="2" t="str">
        <f>INDEX('Main Data'!$A$1:$O$1001,MATCH('Index&amp;Match'!$A939,'Main Data'!$A$1:$A$1001,0),MATCH('Index&amp;Match'!N938,'Main Data'!$A938:$O938,0))</f>
        <v>No</v>
      </c>
      <c r="O939" s="2">
        <f>INDEX('Main Data'!$A$1:$O$1001,MATCH('Index&amp;Match'!$A939,'Main Data'!$A$1:$A$1001,0),MATCH('Index&amp;Match'!O938,'Main Data'!$A938:$O938,0))</f>
        <v>68</v>
      </c>
    </row>
    <row r="940" spans="1:15" x14ac:dyDescent="0.3">
      <c r="A940" s="2" t="s">
        <v>997</v>
      </c>
      <c r="B940" s="1">
        <f>INDEX('Main Data'!$A$1:$O$1001,MATCH('Index&amp;Match'!$A940,'Main Data'!$A$1:$A$1001,0),MATCH('Index&amp;Match'!B939,'Main Data'!$A939:$O939,0))</f>
        <v>45903</v>
      </c>
      <c r="C940" s="2" t="str">
        <f>INDEX('Main Data'!$A$1:$O$1001,MATCH('Index&amp;Match'!$A940,'Main Data'!$A$1:$A$1001,0),MATCH('Index&amp;Match'!C939,'Main Data'!$A939:$O939,0))</f>
        <v>Sam</v>
      </c>
      <c r="D940" s="2" t="str">
        <f>INDEX('Main Data'!$A$1:$O$1001,MATCH('Index&amp;Match'!$A940,'Main Data'!$A$1:$A$1001,0),MATCH('Index&amp;Match'!D939,'Main Data'!$A939:$O939,0))</f>
        <v>BR-003</v>
      </c>
      <c r="E940" s="2" t="str">
        <f>INDEX('Main Data'!$A$1:$O$1001,MATCH('Index&amp;Match'!$A940,'Main Data'!$A$1:$A$1001,0),MATCH('Index&amp;Match'!E939,'Main Data'!$A939:$O939,0))</f>
        <v>West</v>
      </c>
      <c r="F940" s="2" t="str">
        <f>INDEX('Main Data'!$A$1:$O$1001,MATCH('Index&amp;Match'!$A940,'Main Data'!$A$1:$A$1001,0),MATCH('Index&amp;Match'!F939,'Main Data'!$A939:$O939,0))</f>
        <v>Mortgage</v>
      </c>
      <c r="G940" s="2" t="str">
        <f>INDEX('Main Data'!$A$1:$O$1001,MATCH('Index&amp;Match'!$A940,'Main Data'!$A$1:$A$1001,0),MATCH('Index&amp;Match'!G939,'Main Data'!$A939:$O939,0))</f>
        <v>Email Campaign</v>
      </c>
      <c r="H940" s="2" t="str">
        <f>INDEX('Main Data'!$A$1:$O$1001,MATCH('Index&amp;Match'!$A940,'Main Data'!$A$1:$A$1001,0),MATCH('Index&amp;Match'!H939,'Main Data'!$A939:$O939,0))</f>
        <v>SME</v>
      </c>
      <c r="I940" s="2">
        <f>INDEX('Main Data'!$A$1:$O$1001,MATCH('Index&amp;Match'!$A940,'Main Data'!$A$1:$A$1001,0),MATCH('Index&amp;Match'!I939,'Main Data'!$A939:$O939,0))</f>
        <v>59</v>
      </c>
      <c r="J940" s="2">
        <f>INDEX('Main Data'!$A$1:$O$1001,MATCH('Index&amp;Match'!$A940,'Main Data'!$A$1:$A$1001,0),MATCH('Index&amp;Match'!J939,'Main Data'!$A939:$O939,0))</f>
        <v>59</v>
      </c>
      <c r="K940" s="11">
        <f>INDEX('Main Data'!$A$1:$O$1001,MATCH('Index&amp;Match'!$A940,'Main Data'!$A$1:$A$1001,0),MATCH('Index&amp;Match'!K939,'Main Data'!$A939:$O939,0))</f>
        <v>20641.47</v>
      </c>
      <c r="L940" s="11">
        <f>INDEX('Main Data'!$A$1:$O$1001,MATCH('Index&amp;Match'!$A940,'Main Data'!$A$1:$A$1001,0),MATCH('Index&amp;Match'!L939,'Main Data'!$A939:$O939,0))</f>
        <v>121.52</v>
      </c>
      <c r="M940" s="11">
        <f>INDEX('Main Data'!$A$1:$O$1001,MATCH('Index&amp;Match'!$A940,'Main Data'!$A$1:$A$1001,0),MATCH('Index&amp;Match'!M939,'Main Data'!$A939:$O939,0))</f>
        <v>195.48</v>
      </c>
      <c r="N940" s="2" t="str">
        <f>INDEX('Main Data'!$A$1:$O$1001,MATCH('Index&amp;Match'!$A940,'Main Data'!$A$1:$A$1001,0),MATCH('Index&amp;Match'!N939,'Main Data'!$A939:$O939,0))</f>
        <v>Yes</v>
      </c>
      <c r="O940" s="2">
        <f>INDEX('Main Data'!$A$1:$O$1001,MATCH('Index&amp;Match'!$A940,'Main Data'!$A$1:$A$1001,0),MATCH('Index&amp;Match'!O939,'Main Data'!$A939:$O939,0))</f>
        <v>59</v>
      </c>
    </row>
    <row r="941" spans="1:15" x14ac:dyDescent="0.3">
      <c r="A941" s="2" t="s">
        <v>998</v>
      </c>
      <c r="B941" s="1">
        <f>INDEX('Main Data'!$A$1:$O$1001,MATCH('Index&amp;Match'!$A941,'Main Data'!$A$1:$A$1001,0),MATCH('Index&amp;Match'!B940,'Main Data'!$A940:$O940,0))</f>
        <v>46212</v>
      </c>
      <c r="C941" s="2" t="str">
        <f>INDEX('Main Data'!$A$1:$O$1001,MATCH('Index&amp;Match'!$A941,'Main Data'!$A$1:$A$1001,0),MATCH('Index&amp;Match'!C940,'Main Data'!$A940:$O940,0))</f>
        <v>Jordan</v>
      </c>
      <c r="D941" s="2" t="str">
        <f>INDEX('Main Data'!$A$1:$O$1001,MATCH('Index&amp;Match'!$A941,'Main Data'!$A$1:$A$1001,0),MATCH('Index&amp;Match'!D940,'Main Data'!$A940:$O940,0))</f>
        <v>BR-003</v>
      </c>
      <c r="E941" s="2" t="str">
        <f>INDEX('Main Data'!$A$1:$O$1001,MATCH('Index&amp;Match'!$A941,'Main Data'!$A$1:$A$1001,0),MATCH('Index&amp;Match'!E940,'Main Data'!$A940:$O940,0))</f>
        <v>North</v>
      </c>
      <c r="F941" s="2" t="str">
        <f>INDEX('Main Data'!$A$1:$O$1001,MATCH('Index&amp;Match'!$A941,'Main Data'!$A$1:$A$1001,0),MATCH('Index&amp;Match'!F940,'Main Data'!$A940:$O940,0))</f>
        <v>Mortgage</v>
      </c>
      <c r="G941" s="2" t="str">
        <f>INDEX('Main Data'!$A$1:$O$1001,MATCH('Index&amp;Match'!$A941,'Main Data'!$A$1:$A$1001,0),MATCH('Index&amp;Match'!G940,'Main Data'!$A940:$O940,0))</f>
        <v>Walk-in</v>
      </c>
      <c r="H941" s="2" t="str">
        <f>INDEX('Main Data'!$A$1:$O$1001,MATCH('Index&amp;Match'!$A941,'Main Data'!$A$1:$A$1001,0),MATCH('Index&amp;Match'!H940,'Main Data'!$A940:$O940,0))</f>
        <v>SME</v>
      </c>
      <c r="I941" s="2">
        <f>INDEX('Main Data'!$A$1:$O$1001,MATCH('Index&amp;Match'!$A941,'Main Data'!$A$1:$A$1001,0),MATCH('Index&amp;Match'!I940,'Main Data'!$A940:$O940,0))</f>
        <v>50</v>
      </c>
      <c r="J941" s="2">
        <f>INDEX('Main Data'!$A$1:$O$1001,MATCH('Index&amp;Match'!$A941,'Main Data'!$A$1:$A$1001,0),MATCH('Index&amp;Match'!J940,'Main Data'!$A940:$O940,0))</f>
        <v>50</v>
      </c>
      <c r="K941" s="11">
        <f>INDEX('Main Data'!$A$1:$O$1001,MATCH('Index&amp;Match'!$A941,'Main Data'!$A$1:$A$1001,0),MATCH('Index&amp;Match'!K940,'Main Data'!$A940:$O940,0))</f>
        <v>11424.6</v>
      </c>
      <c r="L941" s="11">
        <f>INDEX('Main Data'!$A$1:$O$1001,MATCH('Index&amp;Match'!$A941,'Main Data'!$A$1:$A$1001,0),MATCH('Index&amp;Match'!L940,'Main Data'!$A940:$O940,0))</f>
        <v>74.06</v>
      </c>
      <c r="M941" s="11">
        <f>INDEX('Main Data'!$A$1:$O$1001,MATCH('Index&amp;Match'!$A941,'Main Data'!$A$1:$A$1001,0),MATCH('Index&amp;Match'!M940,'Main Data'!$A940:$O940,0))</f>
        <v>7.47</v>
      </c>
      <c r="N941" s="2" t="str">
        <f>INDEX('Main Data'!$A$1:$O$1001,MATCH('Index&amp;Match'!$A941,'Main Data'!$A$1:$A$1001,0),MATCH('Index&amp;Match'!N940,'Main Data'!$A940:$O940,0))</f>
        <v>Yes</v>
      </c>
      <c r="O941" s="2">
        <f>INDEX('Main Data'!$A$1:$O$1001,MATCH('Index&amp;Match'!$A941,'Main Data'!$A$1:$A$1001,0),MATCH('Index&amp;Match'!O940,'Main Data'!$A940:$O940,0))</f>
        <v>50</v>
      </c>
    </row>
    <row r="942" spans="1:15" x14ac:dyDescent="0.3">
      <c r="A942" s="2" t="s">
        <v>999</v>
      </c>
      <c r="B942" s="1">
        <f>INDEX('Main Data'!$A$1:$O$1001,MATCH('Index&amp;Match'!$A942,'Main Data'!$A$1:$A$1001,0),MATCH('Index&amp;Match'!B941,'Main Data'!$A941:$O941,0))</f>
        <v>46208</v>
      </c>
      <c r="C942" s="2" t="str">
        <f>INDEX('Main Data'!$A$1:$O$1001,MATCH('Index&amp;Match'!$A942,'Main Data'!$A$1:$A$1001,0),MATCH('Index&amp;Match'!C941,'Main Data'!$A941:$O941,0))</f>
        <v>Morgan</v>
      </c>
      <c r="D942" s="2" t="str">
        <f>INDEX('Main Data'!$A$1:$O$1001,MATCH('Index&amp;Match'!$A942,'Main Data'!$A$1:$A$1001,0),MATCH('Index&amp;Match'!D941,'Main Data'!$A941:$O941,0))</f>
        <v>BR-002</v>
      </c>
      <c r="E942" s="2" t="str">
        <f>INDEX('Main Data'!$A$1:$O$1001,MATCH('Index&amp;Match'!$A942,'Main Data'!$A$1:$A$1001,0),MATCH('Index&amp;Match'!E941,'Main Data'!$A941:$O941,0))</f>
        <v>East</v>
      </c>
      <c r="F942" s="2" t="str">
        <f>INDEX('Main Data'!$A$1:$O$1001,MATCH('Index&amp;Match'!$A942,'Main Data'!$A$1:$A$1001,0),MATCH('Index&amp;Match'!F941,'Main Data'!$A941:$O941,0))</f>
        <v>Mortgage</v>
      </c>
      <c r="G942" s="2" t="str">
        <f>INDEX('Main Data'!$A$1:$O$1001,MATCH('Index&amp;Match'!$A942,'Main Data'!$A$1:$A$1001,0),MATCH('Index&amp;Match'!G941,'Main Data'!$A941:$O941,0))</f>
        <v>Referral</v>
      </c>
      <c r="H942" s="2" t="str">
        <f>INDEX('Main Data'!$A$1:$O$1001,MATCH('Index&amp;Match'!$A942,'Main Data'!$A$1:$A$1001,0),MATCH('Index&amp;Match'!H941,'Main Data'!$A941:$O941,0))</f>
        <v>Retail</v>
      </c>
      <c r="I942" s="2">
        <f>INDEX('Main Data'!$A$1:$O$1001,MATCH('Index&amp;Match'!$A942,'Main Data'!$A$1:$A$1001,0),MATCH('Index&amp;Match'!I941,'Main Data'!$A941:$O941,0))</f>
        <v>65</v>
      </c>
      <c r="J942" s="2">
        <f>INDEX('Main Data'!$A$1:$O$1001,MATCH('Index&amp;Match'!$A942,'Main Data'!$A$1:$A$1001,0),MATCH('Index&amp;Match'!J941,'Main Data'!$A941:$O941,0))</f>
        <v>65</v>
      </c>
      <c r="K942" s="11">
        <f>INDEX('Main Data'!$A$1:$O$1001,MATCH('Index&amp;Match'!$A942,'Main Data'!$A$1:$A$1001,0),MATCH('Index&amp;Match'!K941,'Main Data'!$A941:$O941,0))</f>
        <v>26898.76</v>
      </c>
      <c r="L942" s="11">
        <f>INDEX('Main Data'!$A$1:$O$1001,MATCH('Index&amp;Match'!$A942,'Main Data'!$A$1:$A$1001,0),MATCH('Index&amp;Match'!L941,'Main Data'!$A941:$O941,0))</f>
        <v>250.56</v>
      </c>
      <c r="M942" s="11">
        <f>INDEX('Main Data'!$A$1:$O$1001,MATCH('Index&amp;Match'!$A942,'Main Data'!$A$1:$A$1001,0),MATCH('Index&amp;Match'!M941,'Main Data'!$A941:$O941,0))</f>
        <v>89.02</v>
      </c>
      <c r="N942" s="2" t="str">
        <f>INDEX('Main Data'!$A$1:$O$1001,MATCH('Index&amp;Match'!$A942,'Main Data'!$A$1:$A$1001,0),MATCH('Index&amp;Match'!N941,'Main Data'!$A941:$O941,0))</f>
        <v>Yes</v>
      </c>
      <c r="O942" s="2">
        <f>INDEX('Main Data'!$A$1:$O$1001,MATCH('Index&amp;Match'!$A942,'Main Data'!$A$1:$A$1001,0),MATCH('Index&amp;Match'!O941,'Main Data'!$A941:$O941,0))</f>
        <v>65</v>
      </c>
    </row>
    <row r="943" spans="1:15" x14ac:dyDescent="0.3">
      <c r="A943" s="2" t="s">
        <v>1000</v>
      </c>
      <c r="B943" s="1">
        <f>INDEX('Main Data'!$A$1:$O$1001,MATCH('Index&amp;Match'!$A943,'Main Data'!$A$1:$A$1001,0),MATCH('Index&amp;Match'!B942,'Main Data'!$A942:$O942,0))</f>
        <v>45939</v>
      </c>
      <c r="C943" s="2" t="str">
        <f>INDEX('Main Data'!$A$1:$O$1001,MATCH('Index&amp;Match'!$A943,'Main Data'!$A$1:$A$1001,0),MATCH('Index&amp;Match'!C942,'Main Data'!$A942:$O942,0))</f>
        <v>Casey</v>
      </c>
      <c r="D943" s="2" t="str">
        <f>INDEX('Main Data'!$A$1:$O$1001,MATCH('Index&amp;Match'!$A943,'Main Data'!$A$1:$A$1001,0),MATCH('Index&amp;Match'!D942,'Main Data'!$A942:$O942,0))</f>
        <v>BR-005</v>
      </c>
      <c r="E943" s="2" t="str">
        <f>INDEX('Main Data'!$A$1:$O$1001,MATCH('Index&amp;Match'!$A943,'Main Data'!$A$1:$A$1001,0),MATCH('Index&amp;Match'!E942,'Main Data'!$A942:$O942,0))</f>
        <v>North</v>
      </c>
      <c r="F943" s="2" t="str">
        <f>INDEX('Main Data'!$A$1:$O$1001,MATCH('Index&amp;Match'!$A943,'Main Data'!$A$1:$A$1001,0),MATCH('Index&amp;Match'!F942,'Main Data'!$A942:$O942,0))</f>
        <v>Auto Loan</v>
      </c>
      <c r="G943" s="2" t="str">
        <f>INDEX('Main Data'!$A$1:$O$1001,MATCH('Index&amp;Match'!$A943,'Main Data'!$A$1:$A$1001,0),MATCH('Index&amp;Match'!G942,'Main Data'!$A942:$O942,0))</f>
        <v>Social Media</v>
      </c>
      <c r="H943" s="2" t="str">
        <f>INDEX('Main Data'!$A$1:$O$1001,MATCH('Index&amp;Match'!$A943,'Main Data'!$A$1:$A$1001,0),MATCH('Index&amp;Match'!H942,'Main Data'!$A942:$O942,0))</f>
        <v>Corporate</v>
      </c>
      <c r="I943" s="2">
        <f>INDEX('Main Data'!$A$1:$O$1001,MATCH('Index&amp;Match'!$A943,'Main Data'!$A$1:$A$1001,0),MATCH('Index&amp;Match'!I942,'Main Data'!$A942:$O942,0))</f>
        <v>33</v>
      </c>
      <c r="J943" s="2">
        <f>INDEX('Main Data'!$A$1:$O$1001,MATCH('Index&amp;Match'!$A943,'Main Data'!$A$1:$A$1001,0),MATCH('Index&amp;Match'!J942,'Main Data'!$A942:$O942,0))</f>
        <v>33</v>
      </c>
      <c r="K943" s="11">
        <f>INDEX('Main Data'!$A$1:$O$1001,MATCH('Index&amp;Match'!$A943,'Main Data'!$A$1:$A$1001,0),MATCH('Index&amp;Match'!K942,'Main Data'!$A942:$O942,0))</f>
        <v>49801.69</v>
      </c>
      <c r="L943" s="11">
        <f>INDEX('Main Data'!$A$1:$O$1001,MATCH('Index&amp;Match'!$A943,'Main Data'!$A$1:$A$1001,0),MATCH('Index&amp;Match'!L942,'Main Data'!$A942:$O942,0))</f>
        <v>72.209999999999994</v>
      </c>
      <c r="M943" s="11">
        <f>INDEX('Main Data'!$A$1:$O$1001,MATCH('Index&amp;Match'!$A943,'Main Data'!$A$1:$A$1001,0),MATCH('Index&amp;Match'!M942,'Main Data'!$A942:$O942,0))</f>
        <v>22.63</v>
      </c>
      <c r="N943" s="2" t="str">
        <f>INDEX('Main Data'!$A$1:$O$1001,MATCH('Index&amp;Match'!$A943,'Main Data'!$A$1:$A$1001,0),MATCH('Index&amp;Match'!N942,'Main Data'!$A942:$O942,0))</f>
        <v>No</v>
      </c>
      <c r="O943" s="2">
        <f>INDEX('Main Data'!$A$1:$O$1001,MATCH('Index&amp;Match'!$A943,'Main Data'!$A$1:$A$1001,0),MATCH('Index&amp;Match'!O942,'Main Data'!$A942:$O942,0))</f>
        <v>33</v>
      </c>
    </row>
    <row r="944" spans="1:15" x14ac:dyDescent="0.3">
      <c r="A944" s="2" t="s">
        <v>1001</v>
      </c>
      <c r="B944" s="1">
        <f>INDEX('Main Data'!$A$1:$O$1001,MATCH('Index&amp;Match'!$A944,'Main Data'!$A$1:$A$1001,0),MATCH('Index&amp;Match'!B943,'Main Data'!$A943:$O943,0))</f>
        <v>46081</v>
      </c>
      <c r="C944" s="2" t="str">
        <f>INDEX('Main Data'!$A$1:$O$1001,MATCH('Index&amp;Match'!$A944,'Main Data'!$A$1:$A$1001,0),MATCH('Index&amp;Match'!C943,'Main Data'!$A943:$O943,0))</f>
        <v>Drew</v>
      </c>
      <c r="D944" s="2" t="str">
        <f>INDEX('Main Data'!$A$1:$O$1001,MATCH('Index&amp;Match'!$A944,'Main Data'!$A$1:$A$1001,0),MATCH('Index&amp;Match'!D943,'Main Data'!$A943:$O943,0))</f>
        <v>BR-012</v>
      </c>
      <c r="E944" s="2" t="str">
        <f>INDEX('Main Data'!$A$1:$O$1001,MATCH('Index&amp;Match'!$A944,'Main Data'!$A$1:$A$1001,0),MATCH('Index&amp;Match'!E943,'Main Data'!$A943:$O943,0))</f>
        <v>West</v>
      </c>
      <c r="F944" s="2" t="str">
        <f>INDEX('Main Data'!$A$1:$O$1001,MATCH('Index&amp;Match'!$A944,'Main Data'!$A$1:$A$1001,0),MATCH('Index&amp;Match'!F943,'Main Data'!$A943:$O943,0))</f>
        <v>Wealth Management</v>
      </c>
      <c r="G944" s="2" t="str">
        <f>INDEX('Main Data'!$A$1:$O$1001,MATCH('Index&amp;Match'!$A944,'Main Data'!$A$1:$A$1001,0),MATCH('Index&amp;Match'!G943,'Main Data'!$A943:$O943,0))</f>
        <v>Referral</v>
      </c>
      <c r="H944" s="2" t="str">
        <f>INDEX('Main Data'!$A$1:$O$1001,MATCH('Index&amp;Match'!$A944,'Main Data'!$A$1:$A$1001,0),MATCH('Index&amp;Match'!H943,'Main Data'!$A943:$O943,0))</f>
        <v>High Net Worth</v>
      </c>
      <c r="I944" s="2">
        <f>INDEX('Main Data'!$A$1:$O$1001,MATCH('Index&amp;Match'!$A944,'Main Data'!$A$1:$A$1001,0),MATCH('Index&amp;Match'!I943,'Main Data'!$A943:$O943,0))</f>
        <v>25</v>
      </c>
      <c r="J944" s="2">
        <f>INDEX('Main Data'!$A$1:$O$1001,MATCH('Index&amp;Match'!$A944,'Main Data'!$A$1:$A$1001,0),MATCH('Index&amp;Match'!J943,'Main Data'!$A943:$O943,0))</f>
        <v>25</v>
      </c>
      <c r="K944" s="11">
        <f>INDEX('Main Data'!$A$1:$O$1001,MATCH('Index&amp;Match'!$A944,'Main Data'!$A$1:$A$1001,0),MATCH('Index&amp;Match'!K943,'Main Data'!$A943:$O943,0))</f>
        <v>40126.54</v>
      </c>
      <c r="L944" s="11">
        <f>INDEX('Main Data'!$A$1:$O$1001,MATCH('Index&amp;Match'!$A944,'Main Data'!$A$1:$A$1001,0),MATCH('Index&amp;Match'!L943,'Main Data'!$A943:$O943,0))</f>
        <v>306.2</v>
      </c>
      <c r="M944" s="11">
        <f>INDEX('Main Data'!$A$1:$O$1001,MATCH('Index&amp;Match'!$A944,'Main Data'!$A$1:$A$1001,0),MATCH('Index&amp;Match'!M943,'Main Data'!$A943:$O943,0))</f>
        <v>105.42</v>
      </c>
      <c r="N944" s="2" t="str">
        <f>INDEX('Main Data'!$A$1:$O$1001,MATCH('Index&amp;Match'!$A944,'Main Data'!$A$1:$A$1001,0),MATCH('Index&amp;Match'!N943,'Main Data'!$A943:$O943,0))</f>
        <v>Yes</v>
      </c>
      <c r="O944" s="2">
        <f>INDEX('Main Data'!$A$1:$O$1001,MATCH('Index&amp;Match'!$A944,'Main Data'!$A$1:$A$1001,0),MATCH('Index&amp;Match'!O943,'Main Data'!$A943:$O943,0))</f>
        <v>25</v>
      </c>
    </row>
    <row r="945" spans="1:15" x14ac:dyDescent="0.3">
      <c r="A945" s="2" t="s">
        <v>1002</v>
      </c>
      <c r="B945" s="1">
        <f>INDEX('Main Data'!$A$1:$O$1001,MATCH('Index&amp;Match'!$A945,'Main Data'!$A$1:$A$1001,0),MATCH('Index&amp;Match'!B944,'Main Data'!$A944:$O944,0))</f>
        <v>46191</v>
      </c>
      <c r="C945" s="2" t="str">
        <f>INDEX('Main Data'!$A$1:$O$1001,MATCH('Index&amp;Match'!$A945,'Main Data'!$A$1:$A$1001,0),MATCH('Index&amp;Match'!C944,'Main Data'!$A944:$O944,0))</f>
        <v>Casey</v>
      </c>
      <c r="D945" s="2" t="str">
        <f>INDEX('Main Data'!$A$1:$O$1001,MATCH('Index&amp;Match'!$A945,'Main Data'!$A$1:$A$1001,0),MATCH('Index&amp;Match'!D944,'Main Data'!$A944:$O944,0))</f>
        <v>BR-012</v>
      </c>
      <c r="E945" s="2" t="str">
        <f>INDEX('Main Data'!$A$1:$O$1001,MATCH('Index&amp;Match'!$A945,'Main Data'!$A$1:$A$1001,0),MATCH('Index&amp;Match'!E944,'Main Data'!$A944:$O944,0))</f>
        <v>East</v>
      </c>
      <c r="F945" s="2" t="str">
        <f>INDEX('Main Data'!$A$1:$O$1001,MATCH('Index&amp;Match'!$A945,'Main Data'!$A$1:$A$1001,0),MATCH('Index&amp;Match'!F944,'Main Data'!$A944:$O944,0))</f>
        <v>Wealth Management</v>
      </c>
      <c r="G945" s="2" t="str">
        <f>INDEX('Main Data'!$A$1:$O$1001,MATCH('Index&amp;Match'!$A945,'Main Data'!$A$1:$A$1001,0),MATCH('Index&amp;Match'!G944,'Main Data'!$A944:$O944,0))</f>
        <v>Email Campaign</v>
      </c>
      <c r="H945" s="2" t="str">
        <f>INDEX('Main Data'!$A$1:$O$1001,MATCH('Index&amp;Match'!$A945,'Main Data'!$A$1:$A$1001,0),MATCH('Index&amp;Match'!H944,'Main Data'!$A944:$O944,0))</f>
        <v>High Net Worth</v>
      </c>
      <c r="I945" s="2">
        <f>INDEX('Main Data'!$A$1:$O$1001,MATCH('Index&amp;Match'!$A945,'Main Data'!$A$1:$A$1001,0),MATCH('Index&amp;Match'!I944,'Main Data'!$A944:$O944,0))</f>
        <v>45</v>
      </c>
      <c r="J945" s="2">
        <f>INDEX('Main Data'!$A$1:$O$1001,MATCH('Index&amp;Match'!$A945,'Main Data'!$A$1:$A$1001,0),MATCH('Index&amp;Match'!J944,'Main Data'!$A944:$O944,0))</f>
        <v>45</v>
      </c>
      <c r="K945" s="11">
        <f>INDEX('Main Data'!$A$1:$O$1001,MATCH('Index&amp;Match'!$A945,'Main Data'!$A$1:$A$1001,0),MATCH('Index&amp;Match'!K944,'Main Data'!$A944:$O944,0))</f>
        <v>42359.28</v>
      </c>
      <c r="L945" s="11">
        <f>INDEX('Main Data'!$A$1:$O$1001,MATCH('Index&amp;Match'!$A945,'Main Data'!$A$1:$A$1001,0),MATCH('Index&amp;Match'!L944,'Main Data'!$A944:$O944,0))</f>
        <v>222.23</v>
      </c>
      <c r="M945" s="11">
        <f>INDEX('Main Data'!$A$1:$O$1001,MATCH('Index&amp;Match'!$A945,'Main Data'!$A$1:$A$1001,0),MATCH('Index&amp;Match'!M944,'Main Data'!$A944:$O944,0))</f>
        <v>299.45999999999998</v>
      </c>
      <c r="N945" s="2" t="str">
        <f>INDEX('Main Data'!$A$1:$O$1001,MATCH('Index&amp;Match'!$A945,'Main Data'!$A$1:$A$1001,0),MATCH('Index&amp;Match'!N944,'Main Data'!$A944:$O944,0))</f>
        <v>No</v>
      </c>
      <c r="O945" s="2">
        <f>INDEX('Main Data'!$A$1:$O$1001,MATCH('Index&amp;Match'!$A945,'Main Data'!$A$1:$A$1001,0),MATCH('Index&amp;Match'!O944,'Main Data'!$A944:$O944,0))</f>
        <v>45</v>
      </c>
    </row>
    <row r="946" spans="1:15" x14ac:dyDescent="0.3">
      <c r="A946" s="2" t="s">
        <v>1003</v>
      </c>
      <c r="B946" s="1">
        <f>INDEX('Main Data'!$A$1:$O$1001,MATCH('Index&amp;Match'!$A946,'Main Data'!$A$1:$A$1001,0),MATCH('Index&amp;Match'!B945,'Main Data'!$A945:$O945,0))</f>
        <v>46203</v>
      </c>
      <c r="C946" s="2" t="str">
        <f>INDEX('Main Data'!$A$1:$O$1001,MATCH('Index&amp;Match'!$A946,'Main Data'!$A$1:$A$1001,0),MATCH('Index&amp;Match'!C945,'Main Data'!$A945:$O945,0))</f>
        <v>Casey</v>
      </c>
      <c r="D946" s="2" t="str">
        <f>INDEX('Main Data'!$A$1:$O$1001,MATCH('Index&amp;Match'!$A946,'Main Data'!$A$1:$A$1001,0),MATCH('Index&amp;Match'!D945,'Main Data'!$A945:$O945,0))</f>
        <v>BR-003</v>
      </c>
      <c r="E946" s="2" t="str">
        <f>INDEX('Main Data'!$A$1:$O$1001,MATCH('Index&amp;Match'!$A946,'Main Data'!$A$1:$A$1001,0),MATCH('Index&amp;Match'!E945,'Main Data'!$A945:$O945,0))</f>
        <v>Central</v>
      </c>
      <c r="F946" s="2" t="str">
        <f>INDEX('Main Data'!$A$1:$O$1001,MATCH('Index&amp;Match'!$A946,'Main Data'!$A$1:$A$1001,0),MATCH('Index&amp;Match'!F945,'Main Data'!$A945:$O945,0))</f>
        <v>Personal Loan</v>
      </c>
      <c r="G946" s="2" t="str">
        <f>INDEX('Main Data'!$A$1:$O$1001,MATCH('Index&amp;Match'!$A946,'Main Data'!$A$1:$A$1001,0),MATCH('Index&amp;Match'!G945,'Main Data'!$A945:$O945,0))</f>
        <v>Social Media</v>
      </c>
      <c r="H946" s="2" t="str">
        <f>INDEX('Main Data'!$A$1:$O$1001,MATCH('Index&amp;Match'!$A946,'Main Data'!$A$1:$A$1001,0),MATCH('Index&amp;Match'!H945,'Main Data'!$A945:$O945,0))</f>
        <v>Corporate</v>
      </c>
      <c r="I946" s="2">
        <f>INDEX('Main Data'!$A$1:$O$1001,MATCH('Index&amp;Match'!$A946,'Main Data'!$A$1:$A$1001,0),MATCH('Index&amp;Match'!I945,'Main Data'!$A945:$O945,0))</f>
        <v>40</v>
      </c>
      <c r="J946" s="2">
        <f>INDEX('Main Data'!$A$1:$O$1001,MATCH('Index&amp;Match'!$A946,'Main Data'!$A$1:$A$1001,0),MATCH('Index&amp;Match'!J945,'Main Data'!$A945:$O945,0))</f>
        <v>40</v>
      </c>
      <c r="K946" s="11">
        <f>INDEX('Main Data'!$A$1:$O$1001,MATCH('Index&amp;Match'!$A946,'Main Data'!$A$1:$A$1001,0),MATCH('Index&amp;Match'!K945,'Main Data'!$A945:$O945,0))</f>
        <v>31945.62</v>
      </c>
      <c r="L946" s="11">
        <f>INDEX('Main Data'!$A$1:$O$1001,MATCH('Index&amp;Match'!$A946,'Main Data'!$A$1:$A$1001,0),MATCH('Index&amp;Match'!L945,'Main Data'!$A945:$O945,0))</f>
        <v>390.74</v>
      </c>
      <c r="M946" s="11">
        <f>INDEX('Main Data'!$A$1:$O$1001,MATCH('Index&amp;Match'!$A946,'Main Data'!$A$1:$A$1001,0),MATCH('Index&amp;Match'!M945,'Main Data'!$A945:$O945,0))</f>
        <v>177.77</v>
      </c>
      <c r="N946" s="2" t="str">
        <f>INDEX('Main Data'!$A$1:$O$1001,MATCH('Index&amp;Match'!$A946,'Main Data'!$A$1:$A$1001,0),MATCH('Index&amp;Match'!N945,'Main Data'!$A945:$O945,0))</f>
        <v>Yes</v>
      </c>
      <c r="O946" s="2">
        <f>INDEX('Main Data'!$A$1:$O$1001,MATCH('Index&amp;Match'!$A946,'Main Data'!$A$1:$A$1001,0),MATCH('Index&amp;Match'!O945,'Main Data'!$A945:$O945,0))</f>
        <v>40</v>
      </c>
    </row>
    <row r="947" spans="1:15" x14ac:dyDescent="0.3">
      <c r="A947" s="2" t="s">
        <v>1004</v>
      </c>
      <c r="B947" s="1">
        <f>INDEX('Main Data'!$A$1:$O$1001,MATCH('Index&amp;Match'!$A947,'Main Data'!$A$1:$A$1001,0),MATCH('Index&amp;Match'!B946,'Main Data'!$A946:$O946,0))</f>
        <v>45920</v>
      </c>
      <c r="C947" s="2" t="str">
        <f>INDEX('Main Data'!$A$1:$O$1001,MATCH('Index&amp;Match'!$A947,'Main Data'!$A$1:$A$1001,0),MATCH('Index&amp;Match'!C946,'Main Data'!$A946:$O946,0))</f>
        <v>Jamie</v>
      </c>
      <c r="D947" s="2" t="str">
        <f>INDEX('Main Data'!$A$1:$O$1001,MATCH('Index&amp;Match'!$A947,'Main Data'!$A$1:$A$1001,0),MATCH('Index&amp;Match'!D946,'Main Data'!$A946:$O946,0))</f>
        <v>BR-014</v>
      </c>
      <c r="E947" s="2" t="str">
        <f>INDEX('Main Data'!$A$1:$O$1001,MATCH('Index&amp;Match'!$A947,'Main Data'!$A$1:$A$1001,0),MATCH('Index&amp;Match'!E946,'Main Data'!$A946:$O946,0))</f>
        <v>West</v>
      </c>
      <c r="F947" s="2" t="str">
        <f>INDEX('Main Data'!$A$1:$O$1001,MATCH('Index&amp;Match'!$A947,'Main Data'!$A$1:$A$1001,0),MATCH('Index&amp;Match'!F946,'Main Data'!$A946:$O946,0))</f>
        <v>Wealth Management</v>
      </c>
      <c r="G947" s="2" t="str">
        <f>INDEX('Main Data'!$A$1:$O$1001,MATCH('Index&amp;Match'!$A947,'Main Data'!$A$1:$A$1001,0),MATCH('Index&amp;Match'!G946,'Main Data'!$A946:$O946,0))</f>
        <v>Referral</v>
      </c>
      <c r="H947" s="2" t="str">
        <f>INDEX('Main Data'!$A$1:$O$1001,MATCH('Index&amp;Match'!$A947,'Main Data'!$A$1:$A$1001,0),MATCH('Index&amp;Match'!H946,'Main Data'!$A946:$O946,0))</f>
        <v>Corporate</v>
      </c>
      <c r="I947" s="2">
        <f>INDEX('Main Data'!$A$1:$O$1001,MATCH('Index&amp;Match'!$A947,'Main Data'!$A$1:$A$1001,0),MATCH('Index&amp;Match'!I946,'Main Data'!$A946:$O946,0))</f>
        <v>74</v>
      </c>
      <c r="J947" s="2">
        <f>INDEX('Main Data'!$A$1:$O$1001,MATCH('Index&amp;Match'!$A947,'Main Data'!$A$1:$A$1001,0),MATCH('Index&amp;Match'!J946,'Main Data'!$A946:$O946,0))</f>
        <v>74</v>
      </c>
      <c r="K947" s="11">
        <f>INDEX('Main Data'!$A$1:$O$1001,MATCH('Index&amp;Match'!$A947,'Main Data'!$A$1:$A$1001,0),MATCH('Index&amp;Match'!K946,'Main Data'!$A946:$O946,0))</f>
        <v>2557.21</v>
      </c>
      <c r="L947" s="11">
        <f>INDEX('Main Data'!$A$1:$O$1001,MATCH('Index&amp;Match'!$A947,'Main Data'!$A$1:$A$1001,0),MATCH('Index&amp;Match'!L946,'Main Data'!$A946:$O946,0))</f>
        <v>187.54</v>
      </c>
      <c r="M947" s="11">
        <f>INDEX('Main Data'!$A$1:$O$1001,MATCH('Index&amp;Match'!$A947,'Main Data'!$A$1:$A$1001,0),MATCH('Index&amp;Match'!M946,'Main Data'!$A946:$O946,0))</f>
        <v>9.66</v>
      </c>
      <c r="N947" s="2" t="str">
        <f>INDEX('Main Data'!$A$1:$O$1001,MATCH('Index&amp;Match'!$A947,'Main Data'!$A$1:$A$1001,0),MATCH('Index&amp;Match'!N946,'Main Data'!$A946:$O946,0))</f>
        <v>No</v>
      </c>
      <c r="O947" s="2">
        <f>INDEX('Main Data'!$A$1:$O$1001,MATCH('Index&amp;Match'!$A947,'Main Data'!$A$1:$A$1001,0),MATCH('Index&amp;Match'!O946,'Main Data'!$A946:$O946,0))</f>
        <v>74</v>
      </c>
    </row>
    <row r="948" spans="1:15" x14ac:dyDescent="0.3">
      <c r="A948" s="2" t="s">
        <v>1005</v>
      </c>
      <c r="B948" s="1">
        <f>INDEX('Main Data'!$A$1:$O$1001,MATCH('Index&amp;Match'!$A948,'Main Data'!$A$1:$A$1001,0),MATCH('Index&amp;Match'!B947,'Main Data'!$A947:$O947,0))</f>
        <v>46148</v>
      </c>
      <c r="C948" s="2" t="str">
        <f>INDEX('Main Data'!$A$1:$O$1001,MATCH('Index&amp;Match'!$A948,'Main Data'!$A$1:$A$1001,0),MATCH('Index&amp;Match'!C947,'Main Data'!$A947:$O947,0))</f>
        <v>Casey</v>
      </c>
      <c r="D948" s="2" t="str">
        <f>INDEX('Main Data'!$A$1:$O$1001,MATCH('Index&amp;Match'!$A948,'Main Data'!$A$1:$A$1001,0),MATCH('Index&amp;Match'!D947,'Main Data'!$A947:$O947,0))</f>
        <v>BR-006</v>
      </c>
      <c r="E948" s="2" t="str">
        <f>INDEX('Main Data'!$A$1:$O$1001,MATCH('Index&amp;Match'!$A948,'Main Data'!$A$1:$A$1001,0),MATCH('Index&amp;Match'!E947,'Main Data'!$A947:$O947,0))</f>
        <v>Central</v>
      </c>
      <c r="F948" s="2" t="str">
        <f>INDEX('Main Data'!$A$1:$O$1001,MATCH('Index&amp;Match'!$A948,'Main Data'!$A$1:$A$1001,0),MATCH('Index&amp;Match'!F947,'Main Data'!$A947:$O947,0))</f>
        <v>Wealth Management</v>
      </c>
      <c r="G948" s="2" t="str">
        <f>INDEX('Main Data'!$A$1:$O$1001,MATCH('Index&amp;Match'!$A948,'Main Data'!$A$1:$A$1001,0),MATCH('Index&amp;Match'!G947,'Main Data'!$A947:$O947,0))</f>
        <v>Email Campaign</v>
      </c>
      <c r="H948" s="2" t="str">
        <f>INDEX('Main Data'!$A$1:$O$1001,MATCH('Index&amp;Match'!$A948,'Main Data'!$A$1:$A$1001,0),MATCH('Index&amp;Match'!H947,'Main Data'!$A947:$O947,0))</f>
        <v>Corporate</v>
      </c>
      <c r="I948" s="2">
        <f>INDEX('Main Data'!$A$1:$O$1001,MATCH('Index&amp;Match'!$A948,'Main Data'!$A$1:$A$1001,0),MATCH('Index&amp;Match'!I947,'Main Data'!$A947:$O947,0))</f>
        <v>38</v>
      </c>
      <c r="J948" s="2">
        <f>INDEX('Main Data'!$A$1:$O$1001,MATCH('Index&amp;Match'!$A948,'Main Data'!$A$1:$A$1001,0),MATCH('Index&amp;Match'!J947,'Main Data'!$A947:$O947,0))</f>
        <v>38</v>
      </c>
      <c r="K948" s="11">
        <f>INDEX('Main Data'!$A$1:$O$1001,MATCH('Index&amp;Match'!$A948,'Main Data'!$A$1:$A$1001,0),MATCH('Index&amp;Match'!K947,'Main Data'!$A947:$O947,0))</f>
        <v>10736.48</v>
      </c>
      <c r="L948" s="11">
        <f>INDEX('Main Data'!$A$1:$O$1001,MATCH('Index&amp;Match'!$A948,'Main Data'!$A$1:$A$1001,0),MATCH('Index&amp;Match'!L947,'Main Data'!$A947:$O947,0))</f>
        <v>316.83999999999997</v>
      </c>
      <c r="M948" s="11">
        <f>INDEX('Main Data'!$A$1:$O$1001,MATCH('Index&amp;Match'!$A948,'Main Data'!$A$1:$A$1001,0),MATCH('Index&amp;Match'!M947,'Main Data'!$A947:$O947,0))</f>
        <v>112.65</v>
      </c>
      <c r="N948" s="2" t="str">
        <f>INDEX('Main Data'!$A$1:$O$1001,MATCH('Index&amp;Match'!$A948,'Main Data'!$A$1:$A$1001,0),MATCH('Index&amp;Match'!N947,'Main Data'!$A947:$O947,0))</f>
        <v>No</v>
      </c>
      <c r="O948" s="2">
        <f>INDEX('Main Data'!$A$1:$O$1001,MATCH('Index&amp;Match'!$A948,'Main Data'!$A$1:$A$1001,0),MATCH('Index&amp;Match'!O947,'Main Data'!$A947:$O947,0))</f>
        <v>38</v>
      </c>
    </row>
    <row r="949" spans="1:15" x14ac:dyDescent="0.3">
      <c r="A949" s="2" t="s">
        <v>1006</v>
      </c>
      <c r="B949" s="1">
        <f>INDEX('Main Data'!$A$1:$O$1001,MATCH('Index&amp;Match'!$A949,'Main Data'!$A$1:$A$1001,0),MATCH('Index&amp;Match'!B948,'Main Data'!$A948:$O948,0))</f>
        <v>46163</v>
      </c>
      <c r="C949" s="2" t="str">
        <f>INDEX('Main Data'!$A$1:$O$1001,MATCH('Index&amp;Match'!$A949,'Main Data'!$A$1:$A$1001,0),MATCH('Index&amp;Match'!C948,'Main Data'!$A948:$O948,0))</f>
        <v>Drew</v>
      </c>
      <c r="D949" s="2" t="str">
        <f>INDEX('Main Data'!$A$1:$O$1001,MATCH('Index&amp;Match'!$A949,'Main Data'!$A$1:$A$1001,0),MATCH('Index&amp;Match'!D948,'Main Data'!$A948:$O948,0))</f>
        <v>BR-002</v>
      </c>
      <c r="E949" s="2" t="str">
        <f>INDEX('Main Data'!$A$1:$O$1001,MATCH('Index&amp;Match'!$A949,'Main Data'!$A$1:$A$1001,0),MATCH('Index&amp;Match'!E948,'Main Data'!$A948:$O948,0))</f>
        <v>South</v>
      </c>
      <c r="F949" s="2" t="str">
        <f>INDEX('Main Data'!$A$1:$O$1001,MATCH('Index&amp;Match'!$A949,'Main Data'!$A$1:$A$1001,0),MATCH('Index&amp;Match'!F948,'Main Data'!$A948:$O948,0))</f>
        <v>Mortgage</v>
      </c>
      <c r="G949" s="2" t="str">
        <f>INDEX('Main Data'!$A$1:$O$1001,MATCH('Index&amp;Match'!$A949,'Main Data'!$A$1:$A$1001,0),MATCH('Index&amp;Match'!G948,'Main Data'!$A948:$O948,0))</f>
        <v>Walk-in</v>
      </c>
      <c r="H949" s="2" t="str">
        <f>INDEX('Main Data'!$A$1:$O$1001,MATCH('Index&amp;Match'!$A949,'Main Data'!$A$1:$A$1001,0),MATCH('Index&amp;Match'!H948,'Main Data'!$A948:$O948,0))</f>
        <v>Corporate</v>
      </c>
      <c r="I949" s="2">
        <f>INDEX('Main Data'!$A$1:$O$1001,MATCH('Index&amp;Match'!$A949,'Main Data'!$A$1:$A$1001,0),MATCH('Index&amp;Match'!I948,'Main Data'!$A948:$O948,0))</f>
        <v>67</v>
      </c>
      <c r="J949" s="2">
        <f>INDEX('Main Data'!$A$1:$O$1001,MATCH('Index&amp;Match'!$A949,'Main Data'!$A$1:$A$1001,0),MATCH('Index&amp;Match'!J948,'Main Data'!$A948:$O948,0))</f>
        <v>67</v>
      </c>
      <c r="K949" s="11">
        <f>INDEX('Main Data'!$A$1:$O$1001,MATCH('Index&amp;Match'!$A949,'Main Data'!$A$1:$A$1001,0),MATCH('Index&amp;Match'!K948,'Main Data'!$A948:$O948,0))</f>
        <v>46290.7</v>
      </c>
      <c r="L949" s="11">
        <f>INDEX('Main Data'!$A$1:$O$1001,MATCH('Index&amp;Match'!$A949,'Main Data'!$A$1:$A$1001,0),MATCH('Index&amp;Match'!L948,'Main Data'!$A948:$O948,0))</f>
        <v>291.95999999999998</v>
      </c>
      <c r="M949" s="11">
        <f>INDEX('Main Data'!$A$1:$O$1001,MATCH('Index&amp;Match'!$A949,'Main Data'!$A$1:$A$1001,0),MATCH('Index&amp;Match'!M948,'Main Data'!$A948:$O948,0))</f>
        <v>129.56</v>
      </c>
      <c r="N949" s="2" t="str">
        <f>INDEX('Main Data'!$A$1:$O$1001,MATCH('Index&amp;Match'!$A949,'Main Data'!$A$1:$A$1001,0),MATCH('Index&amp;Match'!N948,'Main Data'!$A948:$O948,0))</f>
        <v>Yes</v>
      </c>
      <c r="O949" s="2">
        <f>INDEX('Main Data'!$A$1:$O$1001,MATCH('Index&amp;Match'!$A949,'Main Data'!$A$1:$A$1001,0),MATCH('Index&amp;Match'!O948,'Main Data'!$A948:$O948,0))</f>
        <v>67</v>
      </c>
    </row>
    <row r="950" spans="1:15" x14ac:dyDescent="0.3">
      <c r="A950" s="2" t="s">
        <v>1007</v>
      </c>
      <c r="B950" s="1">
        <f>INDEX('Main Data'!$A$1:$O$1001,MATCH('Index&amp;Match'!$A950,'Main Data'!$A$1:$A$1001,0),MATCH('Index&amp;Match'!B949,'Main Data'!$A949:$O949,0))</f>
        <v>46122</v>
      </c>
      <c r="C950" s="2" t="str">
        <f>INDEX('Main Data'!$A$1:$O$1001,MATCH('Index&amp;Match'!$A950,'Main Data'!$A$1:$A$1001,0),MATCH('Index&amp;Match'!C949,'Main Data'!$A949:$O949,0))</f>
        <v>Sam</v>
      </c>
      <c r="D950" s="2" t="str">
        <f>INDEX('Main Data'!$A$1:$O$1001,MATCH('Index&amp;Match'!$A950,'Main Data'!$A$1:$A$1001,0),MATCH('Index&amp;Match'!D949,'Main Data'!$A949:$O949,0))</f>
        <v>BR-012</v>
      </c>
      <c r="E950" s="2" t="str">
        <f>INDEX('Main Data'!$A$1:$O$1001,MATCH('Index&amp;Match'!$A950,'Main Data'!$A$1:$A$1001,0),MATCH('Index&amp;Match'!E949,'Main Data'!$A949:$O949,0))</f>
        <v>West</v>
      </c>
      <c r="F950" s="2" t="str">
        <f>INDEX('Main Data'!$A$1:$O$1001,MATCH('Index&amp;Match'!$A950,'Main Data'!$A$1:$A$1001,0),MATCH('Index&amp;Match'!F949,'Main Data'!$A949:$O949,0))</f>
        <v>Mortgage</v>
      </c>
      <c r="G950" s="2" t="str">
        <f>INDEX('Main Data'!$A$1:$O$1001,MATCH('Index&amp;Match'!$A950,'Main Data'!$A$1:$A$1001,0),MATCH('Index&amp;Match'!G949,'Main Data'!$A949:$O949,0))</f>
        <v>Email Campaign</v>
      </c>
      <c r="H950" s="2" t="str">
        <f>INDEX('Main Data'!$A$1:$O$1001,MATCH('Index&amp;Match'!$A950,'Main Data'!$A$1:$A$1001,0),MATCH('Index&amp;Match'!H949,'Main Data'!$A949:$O949,0))</f>
        <v>Corporate</v>
      </c>
      <c r="I950" s="2">
        <f>INDEX('Main Data'!$A$1:$O$1001,MATCH('Index&amp;Match'!$A950,'Main Data'!$A$1:$A$1001,0),MATCH('Index&amp;Match'!I949,'Main Data'!$A949:$O949,0))</f>
        <v>38</v>
      </c>
      <c r="J950" s="2">
        <f>INDEX('Main Data'!$A$1:$O$1001,MATCH('Index&amp;Match'!$A950,'Main Data'!$A$1:$A$1001,0),MATCH('Index&amp;Match'!J949,'Main Data'!$A949:$O949,0))</f>
        <v>38</v>
      </c>
      <c r="K950" s="11">
        <f>INDEX('Main Data'!$A$1:$O$1001,MATCH('Index&amp;Match'!$A950,'Main Data'!$A$1:$A$1001,0),MATCH('Index&amp;Match'!K949,'Main Data'!$A949:$O949,0))</f>
        <v>18622.599999999999</v>
      </c>
      <c r="L950" s="11">
        <f>INDEX('Main Data'!$A$1:$O$1001,MATCH('Index&amp;Match'!$A950,'Main Data'!$A$1:$A$1001,0),MATCH('Index&amp;Match'!L949,'Main Data'!$A949:$O949,0))</f>
        <v>52.12</v>
      </c>
      <c r="M950" s="11">
        <f>INDEX('Main Data'!$A$1:$O$1001,MATCH('Index&amp;Match'!$A950,'Main Data'!$A$1:$A$1001,0),MATCH('Index&amp;Match'!M949,'Main Data'!$A949:$O949,0))</f>
        <v>41.91</v>
      </c>
      <c r="N950" s="2" t="str">
        <f>INDEX('Main Data'!$A$1:$O$1001,MATCH('Index&amp;Match'!$A950,'Main Data'!$A$1:$A$1001,0),MATCH('Index&amp;Match'!N949,'Main Data'!$A949:$O949,0))</f>
        <v>Yes</v>
      </c>
      <c r="O950" s="2">
        <f>INDEX('Main Data'!$A$1:$O$1001,MATCH('Index&amp;Match'!$A950,'Main Data'!$A$1:$A$1001,0),MATCH('Index&amp;Match'!O949,'Main Data'!$A949:$O949,0))</f>
        <v>38</v>
      </c>
    </row>
    <row r="951" spans="1:15" x14ac:dyDescent="0.3">
      <c r="A951" s="2" t="s">
        <v>1008</v>
      </c>
      <c r="B951" s="1">
        <f>INDEX('Main Data'!$A$1:$O$1001,MATCH('Index&amp;Match'!$A951,'Main Data'!$A$1:$A$1001,0),MATCH('Index&amp;Match'!B950,'Main Data'!$A950:$O950,0))</f>
        <v>46065</v>
      </c>
      <c r="C951" s="2" t="str">
        <f>INDEX('Main Data'!$A$1:$O$1001,MATCH('Index&amp;Match'!$A951,'Main Data'!$A$1:$A$1001,0),MATCH('Index&amp;Match'!C950,'Main Data'!$A950:$O950,0))</f>
        <v>Casey</v>
      </c>
      <c r="D951" s="2" t="str">
        <f>INDEX('Main Data'!$A$1:$O$1001,MATCH('Index&amp;Match'!$A951,'Main Data'!$A$1:$A$1001,0),MATCH('Index&amp;Match'!D950,'Main Data'!$A950:$O950,0))</f>
        <v>BR-003</v>
      </c>
      <c r="E951" s="2" t="str">
        <f>INDEX('Main Data'!$A$1:$O$1001,MATCH('Index&amp;Match'!$A951,'Main Data'!$A$1:$A$1001,0),MATCH('Index&amp;Match'!E950,'Main Data'!$A950:$O950,0))</f>
        <v>South</v>
      </c>
      <c r="F951" s="2" t="str">
        <f>INDEX('Main Data'!$A$1:$O$1001,MATCH('Index&amp;Match'!$A951,'Main Data'!$A$1:$A$1001,0),MATCH('Index&amp;Match'!F950,'Main Data'!$A950:$O950,0))</f>
        <v>Personal Loan</v>
      </c>
      <c r="G951" s="2" t="str">
        <f>INDEX('Main Data'!$A$1:$O$1001,MATCH('Index&amp;Match'!$A951,'Main Data'!$A$1:$A$1001,0),MATCH('Index&amp;Match'!G950,'Main Data'!$A950:$O950,0))</f>
        <v>Social Media</v>
      </c>
      <c r="H951" s="2" t="str">
        <f>INDEX('Main Data'!$A$1:$O$1001,MATCH('Index&amp;Match'!$A951,'Main Data'!$A$1:$A$1001,0),MATCH('Index&amp;Match'!H950,'Main Data'!$A950:$O950,0))</f>
        <v>Corporate</v>
      </c>
      <c r="I951" s="2">
        <f>INDEX('Main Data'!$A$1:$O$1001,MATCH('Index&amp;Match'!$A951,'Main Data'!$A$1:$A$1001,0),MATCH('Index&amp;Match'!I950,'Main Data'!$A950:$O950,0))</f>
        <v>22</v>
      </c>
      <c r="J951" s="2">
        <f>INDEX('Main Data'!$A$1:$O$1001,MATCH('Index&amp;Match'!$A951,'Main Data'!$A$1:$A$1001,0),MATCH('Index&amp;Match'!J950,'Main Data'!$A950:$O950,0))</f>
        <v>22</v>
      </c>
      <c r="K951" s="11">
        <f>INDEX('Main Data'!$A$1:$O$1001,MATCH('Index&amp;Match'!$A951,'Main Data'!$A$1:$A$1001,0),MATCH('Index&amp;Match'!K950,'Main Data'!$A950:$O950,0))</f>
        <v>5630.02</v>
      </c>
      <c r="L951" s="11">
        <f>INDEX('Main Data'!$A$1:$O$1001,MATCH('Index&amp;Match'!$A951,'Main Data'!$A$1:$A$1001,0),MATCH('Index&amp;Match'!L950,'Main Data'!$A950:$O950,0))</f>
        <v>82.58</v>
      </c>
      <c r="M951" s="11">
        <f>INDEX('Main Data'!$A$1:$O$1001,MATCH('Index&amp;Match'!$A951,'Main Data'!$A$1:$A$1001,0),MATCH('Index&amp;Match'!M950,'Main Data'!$A950:$O950,0))</f>
        <v>29.02</v>
      </c>
      <c r="N951" s="2" t="str">
        <f>INDEX('Main Data'!$A$1:$O$1001,MATCH('Index&amp;Match'!$A951,'Main Data'!$A$1:$A$1001,0),MATCH('Index&amp;Match'!N950,'Main Data'!$A950:$O950,0))</f>
        <v>No</v>
      </c>
      <c r="O951" s="2">
        <f>INDEX('Main Data'!$A$1:$O$1001,MATCH('Index&amp;Match'!$A951,'Main Data'!$A$1:$A$1001,0),MATCH('Index&amp;Match'!O950,'Main Data'!$A950:$O950,0))</f>
        <v>22</v>
      </c>
    </row>
    <row r="952" spans="1:15" x14ac:dyDescent="0.3">
      <c r="A952" s="2" t="s">
        <v>1009</v>
      </c>
      <c r="B952" s="1">
        <f>INDEX('Main Data'!$A$1:$O$1001,MATCH('Index&amp;Match'!$A952,'Main Data'!$A$1:$A$1001,0),MATCH('Index&amp;Match'!B951,'Main Data'!$A951:$O951,0))</f>
        <v>45896</v>
      </c>
      <c r="C952" s="2" t="str">
        <f>INDEX('Main Data'!$A$1:$O$1001,MATCH('Index&amp;Match'!$A952,'Main Data'!$A$1:$A$1001,0),MATCH('Index&amp;Match'!C951,'Main Data'!$A951:$O951,0))</f>
        <v>Taylor</v>
      </c>
      <c r="D952" s="2" t="str">
        <f>INDEX('Main Data'!$A$1:$O$1001,MATCH('Index&amp;Match'!$A952,'Main Data'!$A$1:$A$1001,0),MATCH('Index&amp;Match'!D951,'Main Data'!$A951:$O951,0))</f>
        <v>BR-005</v>
      </c>
      <c r="E952" s="2" t="str">
        <f>INDEX('Main Data'!$A$1:$O$1001,MATCH('Index&amp;Match'!$A952,'Main Data'!$A$1:$A$1001,0),MATCH('Index&amp;Match'!E951,'Main Data'!$A951:$O951,0))</f>
        <v>West</v>
      </c>
      <c r="F952" s="2" t="str">
        <f>INDEX('Main Data'!$A$1:$O$1001,MATCH('Index&amp;Match'!$A952,'Main Data'!$A$1:$A$1001,0),MATCH('Index&amp;Match'!F951,'Main Data'!$A951:$O951,0))</f>
        <v>Credit Card</v>
      </c>
      <c r="G952" s="2" t="str">
        <f>INDEX('Main Data'!$A$1:$O$1001,MATCH('Index&amp;Match'!$A952,'Main Data'!$A$1:$A$1001,0),MATCH('Index&amp;Match'!G951,'Main Data'!$A951:$O951,0))</f>
        <v>Website</v>
      </c>
      <c r="H952" s="2" t="str">
        <f>INDEX('Main Data'!$A$1:$O$1001,MATCH('Index&amp;Match'!$A952,'Main Data'!$A$1:$A$1001,0),MATCH('Index&amp;Match'!H951,'Main Data'!$A951:$O951,0))</f>
        <v>High Net Worth</v>
      </c>
      <c r="I952" s="2">
        <f>INDEX('Main Data'!$A$1:$O$1001,MATCH('Index&amp;Match'!$A952,'Main Data'!$A$1:$A$1001,0),MATCH('Index&amp;Match'!I951,'Main Data'!$A951:$O951,0))</f>
        <v>30</v>
      </c>
      <c r="J952" s="2">
        <f>INDEX('Main Data'!$A$1:$O$1001,MATCH('Index&amp;Match'!$A952,'Main Data'!$A$1:$A$1001,0),MATCH('Index&amp;Match'!J951,'Main Data'!$A951:$O951,0))</f>
        <v>30</v>
      </c>
      <c r="K952" s="11">
        <f>INDEX('Main Data'!$A$1:$O$1001,MATCH('Index&amp;Match'!$A952,'Main Data'!$A$1:$A$1001,0),MATCH('Index&amp;Match'!K951,'Main Data'!$A951:$O951,0))</f>
        <v>35269.07</v>
      </c>
      <c r="L952" s="11">
        <f>INDEX('Main Data'!$A$1:$O$1001,MATCH('Index&amp;Match'!$A952,'Main Data'!$A$1:$A$1001,0),MATCH('Index&amp;Match'!L951,'Main Data'!$A951:$O951,0))</f>
        <v>180.67</v>
      </c>
      <c r="M952" s="11">
        <f>INDEX('Main Data'!$A$1:$O$1001,MATCH('Index&amp;Match'!$A952,'Main Data'!$A$1:$A$1001,0),MATCH('Index&amp;Match'!M951,'Main Data'!$A951:$O951,0))</f>
        <v>271.32</v>
      </c>
      <c r="N952" s="2" t="str">
        <f>INDEX('Main Data'!$A$1:$O$1001,MATCH('Index&amp;Match'!$A952,'Main Data'!$A$1:$A$1001,0),MATCH('Index&amp;Match'!N951,'Main Data'!$A951:$O951,0))</f>
        <v>Yes</v>
      </c>
      <c r="O952" s="2">
        <f>INDEX('Main Data'!$A$1:$O$1001,MATCH('Index&amp;Match'!$A952,'Main Data'!$A$1:$A$1001,0),MATCH('Index&amp;Match'!O951,'Main Data'!$A951:$O951,0))</f>
        <v>30</v>
      </c>
    </row>
    <row r="953" spans="1:15" x14ac:dyDescent="0.3">
      <c r="A953" s="2" t="s">
        <v>1010</v>
      </c>
      <c r="B953" s="1">
        <f>INDEX('Main Data'!$A$1:$O$1001,MATCH('Index&amp;Match'!$A953,'Main Data'!$A$1:$A$1001,0),MATCH('Index&amp;Match'!B952,'Main Data'!$A952:$O952,0))</f>
        <v>46001</v>
      </c>
      <c r="C953" s="2" t="str">
        <f>INDEX('Main Data'!$A$1:$O$1001,MATCH('Index&amp;Match'!$A953,'Main Data'!$A$1:$A$1001,0),MATCH('Index&amp;Match'!C952,'Main Data'!$A952:$O952,0))</f>
        <v>Morgan</v>
      </c>
      <c r="D953" s="2" t="str">
        <f>INDEX('Main Data'!$A$1:$O$1001,MATCH('Index&amp;Match'!$A953,'Main Data'!$A$1:$A$1001,0),MATCH('Index&amp;Match'!D952,'Main Data'!$A952:$O952,0))</f>
        <v>BR-012</v>
      </c>
      <c r="E953" s="2" t="str">
        <f>INDEX('Main Data'!$A$1:$O$1001,MATCH('Index&amp;Match'!$A953,'Main Data'!$A$1:$A$1001,0),MATCH('Index&amp;Match'!E952,'Main Data'!$A952:$O952,0))</f>
        <v>West</v>
      </c>
      <c r="F953" s="2" t="str">
        <f>INDEX('Main Data'!$A$1:$O$1001,MATCH('Index&amp;Match'!$A953,'Main Data'!$A$1:$A$1001,0),MATCH('Index&amp;Match'!F952,'Main Data'!$A952:$O952,0))</f>
        <v>Personal Loan</v>
      </c>
      <c r="G953" s="2" t="str">
        <f>INDEX('Main Data'!$A$1:$O$1001,MATCH('Index&amp;Match'!$A953,'Main Data'!$A$1:$A$1001,0),MATCH('Index&amp;Match'!G952,'Main Data'!$A952:$O952,0))</f>
        <v>Walk-in</v>
      </c>
      <c r="H953" s="2" t="str">
        <f>INDEX('Main Data'!$A$1:$O$1001,MATCH('Index&amp;Match'!$A953,'Main Data'!$A$1:$A$1001,0),MATCH('Index&amp;Match'!H952,'Main Data'!$A952:$O952,0))</f>
        <v>Corporate</v>
      </c>
      <c r="I953" s="2">
        <f>INDEX('Main Data'!$A$1:$O$1001,MATCH('Index&amp;Match'!$A953,'Main Data'!$A$1:$A$1001,0),MATCH('Index&amp;Match'!I952,'Main Data'!$A952:$O952,0))</f>
        <v>65</v>
      </c>
      <c r="J953" s="2">
        <f>INDEX('Main Data'!$A$1:$O$1001,MATCH('Index&amp;Match'!$A953,'Main Data'!$A$1:$A$1001,0),MATCH('Index&amp;Match'!J952,'Main Data'!$A952:$O952,0))</f>
        <v>65</v>
      </c>
      <c r="K953" s="11">
        <f>INDEX('Main Data'!$A$1:$O$1001,MATCH('Index&amp;Match'!$A953,'Main Data'!$A$1:$A$1001,0),MATCH('Index&amp;Match'!K952,'Main Data'!$A952:$O952,0))</f>
        <v>15323.16</v>
      </c>
      <c r="L953" s="11">
        <f>INDEX('Main Data'!$A$1:$O$1001,MATCH('Index&amp;Match'!$A953,'Main Data'!$A$1:$A$1001,0),MATCH('Index&amp;Match'!L952,'Main Data'!$A952:$O952,0))</f>
        <v>447.01</v>
      </c>
      <c r="M953" s="11">
        <f>INDEX('Main Data'!$A$1:$O$1001,MATCH('Index&amp;Match'!$A953,'Main Data'!$A$1:$A$1001,0),MATCH('Index&amp;Match'!M952,'Main Data'!$A952:$O952,0))</f>
        <v>193.76</v>
      </c>
      <c r="N953" s="2" t="str">
        <f>INDEX('Main Data'!$A$1:$O$1001,MATCH('Index&amp;Match'!$A953,'Main Data'!$A$1:$A$1001,0),MATCH('Index&amp;Match'!N952,'Main Data'!$A952:$O952,0))</f>
        <v>Yes</v>
      </c>
      <c r="O953" s="2">
        <f>INDEX('Main Data'!$A$1:$O$1001,MATCH('Index&amp;Match'!$A953,'Main Data'!$A$1:$A$1001,0),MATCH('Index&amp;Match'!O952,'Main Data'!$A952:$O952,0))</f>
        <v>65</v>
      </c>
    </row>
    <row r="954" spans="1:15" x14ac:dyDescent="0.3">
      <c r="A954" s="2" t="s">
        <v>1011</v>
      </c>
      <c r="B954" s="1">
        <f>INDEX('Main Data'!$A$1:$O$1001,MATCH('Index&amp;Match'!$A954,'Main Data'!$A$1:$A$1001,0),MATCH('Index&amp;Match'!B953,'Main Data'!$A953:$O953,0))</f>
        <v>46231</v>
      </c>
      <c r="C954" s="2" t="str">
        <f>INDEX('Main Data'!$A$1:$O$1001,MATCH('Index&amp;Match'!$A954,'Main Data'!$A$1:$A$1001,0),MATCH('Index&amp;Match'!C953,'Main Data'!$A953:$O953,0))</f>
        <v>Casey</v>
      </c>
      <c r="D954" s="2" t="str">
        <f>INDEX('Main Data'!$A$1:$O$1001,MATCH('Index&amp;Match'!$A954,'Main Data'!$A$1:$A$1001,0),MATCH('Index&amp;Match'!D953,'Main Data'!$A953:$O953,0))</f>
        <v>BR-011</v>
      </c>
      <c r="E954" s="2" t="str">
        <f>INDEX('Main Data'!$A$1:$O$1001,MATCH('Index&amp;Match'!$A954,'Main Data'!$A$1:$A$1001,0),MATCH('Index&amp;Match'!E953,'Main Data'!$A953:$O953,0))</f>
        <v>South</v>
      </c>
      <c r="F954" s="2" t="str">
        <f>INDEX('Main Data'!$A$1:$O$1001,MATCH('Index&amp;Match'!$A954,'Main Data'!$A$1:$A$1001,0),MATCH('Index&amp;Match'!F953,'Main Data'!$A953:$O953,0))</f>
        <v>Personal Loan</v>
      </c>
      <c r="G954" s="2" t="str">
        <f>INDEX('Main Data'!$A$1:$O$1001,MATCH('Index&amp;Match'!$A954,'Main Data'!$A$1:$A$1001,0),MATCH('Index&amp;Match'!G953,'Main Data'!$A953:$O953,0))</f>
        <v>Referral</v>
      </c>
      <c r="H954" s="2" t="str">
        <f>INDEX('Main Data'!$A$1:$O$1001,MATCH('Index&amp;Match'!$A954,'Main Data'!$A$1:$A$1001,0),MATCH('Index&amp;Match'!H953,'Main Data'!$A953:$O953,0))</f>
        <v>Retail</v>
      </c>
      <c r="I954" s="2">
        <f>INDEX('Main Data'!$A$1:$O$1001,MATCH('Index&amp;Match'!$A954,'Main Data'!$A$1:$A$1001,0),MATCH('Index&amp;Match'!I953,'Main Data'!$A953:$O953,0))</f>
        <v>70</v>
      </c>
      <c r="J954" s="2">
        <f>INDEX('Main Data'!$A$1:$O$1001,MATCH('Index&amp;Match'!$A954,'Main Data'!$A$1:$A$1001,0),MATCH('Index&amp;Match'!J953,'Main Data'!$A953:$O953,0))</f>
        <v>70</v>
      </c>
      <c r="K954" s="11">
        <f>INDEX('Main Data'!$A$1:$O$1001,MATCH('Index&amp;Match'!$A954,'Main Data'!$A$1:$A$1001,0),MATCH('Index&amp;Match'!K953,'Main Data'!$A953:$O953,0))</f>
        <v>13808.42</v>
      </c>
      <c r="L954" s="11">
        <f>INDEX('Main Data'!$A$1:$O$1001,MATCH('Index&amp;Match'!$A954,'Main Data'!$A$1:$A$1001,0),MATCH('Index&amp;Match'!L953,'Main Data'!$A953:$O953,0))</f>
        <v>116.16</v>
      </c>
      <c r="M954" s="11">
        <f>INDEX('Main Data'!$A$1:$O$1001,MATCH('Index&amp;Match'!$A954,'Main Data'!$A$1:$A$1001,0),MATCH('Index&amp;Match'!M953,'Main Data'!$A953:$O953,0))</f>
        <v>198.38</v>
      </c>
      <c r="N954" s="2" t="str">
        <f>INDEX('Main Data'!$A$1:$O$1001,MATCH('Index&amp;Match'!$A954,'Main Data'!$A$1:$A$1001,0),MATCH('Index&amp;Match'!N953,'Main Data'!$A953:$O953,0))</f>
        <v>No</v>
      </c>
      <c r="O954" s="2">
        <f>INDEX('Main Data'!$A$1:$O$1001,MATCH('Index&amp;Match'!$A954,'Main Data'!$A$1:$A$1001,0),MATCH('Index&amp;Match'!O953,'Main Data'!$A953:$O953,0))</f>
        <v>70</v>
      </c>
    </row>
    <row r="955" spans="1:15" x14ac:dyDescent="0.3">
      <c r="A955" s="2" t="s">
        <v>1012</v>
      </c>
      <c r="B955" s="1">
        <f>INDEX('Main Data'!$A$1:$O$1001,MATCH('Index&amp;Match'!$A955,'Main Data'!$A$1:$A$1001,0),MATCH('Index&amp;Match'!B954,'Main Data'!$A954:$O954,0))</f>
        <v>46206</v>
      </c>
      <c r="C955" s="2" t="str">
        <f>INDEX('Main Data'!$A$1:$O$1001,MATCH('Index&amp;Match'!$A955,'Main Data'!$A$1:$A$1001,0),MATCH('Index&amp;Match'!C954,'Main Data'!$A954:$O954,0))</f>
        <v>Morgan</v>
      </c>
      <c r="D955" s="2" t="str">
        <f>INDEX('Main Data'!$A$1:$O$1001,MATCH('Index&amp;Match'!$A955,'Main Data'!$A$1:$A$1001,0),MATCH('Index&amp;Match'!D954,'Main Data'!$A954:$O954,0))</f>
        <v>BR-011</v>
      </c>
      <c r="E955" s="2" t="str">
        <f>INDEX('Main Data'!$A$1:$O$1001,MATCH('Index&amp;Match'!$A955,'Main Data'!$A$1:$A$1001,0),MATCH('Index&amp;Match'!E954,'Main Data'!$A954:$O954,0))</f>
        <v>East</v>
      </c>
      <c r="F955" s="2" t="str">
        <f>INDEX('Main Data'!$A$1:$O$1001,MATCH('Index&amp;Match'!$A955,'Main Data'!$A$1:$A$1001,0),MATCH('Index&amp;Match'!F954,'Main Data'!$A954:$O954,0))</f>
        <v>Auto Loan</v>
      </c>
      <c r="G955" s="2" t="str">
        <f>INDEX('Main Data'!$A$1:$O$1001,MATCH('Index&amp;Match'!$A955,'Main Data'!$A$1:$A$1001,0),MATCH('Index&amp;Match'!G954,'Main Data'!$A954:$O954,0))</f>
        <v>Social Media</v>
      </c>
      <c r="H955" s="2" t="str">
        <f>INDEX('Main Data'!$A$1:$O$1001,MATCH('Index&amp;Match'!$A955,'Main Data'!$A$1:$A$1001,0),MATCH('Index&amp;Match'!H954,'Main Data'!$A954:$O954,0))</f>
        <v>Corporate</v>
      </c>
      <c r="I955" s="2">
        <f>INDEX('Main Data'!$A$1:$O$1001,MATCH('Index&amp;Match'!$A955,'Main Data'!$A$1:$A$1001,0),MATCH('Index&amp;Match'!I954,'Main Data'!$A954:$O954,0))</f>
        <v>67</v>
      </c>
      <c r="J955" s="2">
        <f>INDEX('Main Data'!$A$1:$O$1001,MATCH('Index&amp;Match'!$A955,'Main Data'!$A$1:$A$1001,0),MATCH('Index&amp;Match'!J954,'Main Data'!$A954:$O954,0))</f>
        <v>67</v>
      </c>
      <c r="K955" s="11">
        <f>INDEX('Main Data'!$A$1:$O$1001,MATCH('Index&amp;Match'!$A955,'Main Data'!$A$1:$A$1001,0),MATCH('Index&amp;Match'!K954,'Main Data'!$A954:$O954,0))</f>
        <v>49899.88</v>
      </c>
      <c r="L955" s="11">
        <f>INDEX('Main Data'!$A$1:$O$1001,MATCH('Index&amp;Match'!$A955,'Main Data'!$A$1:$A$1001,0),MATCH('Index&amp;Match'!L954,'Main Data'!$A954:$O954,0))</f>
        <v>369.9</v>
      </c>
      <c r="M955" s="11">
        <f>INDEX('Main Data'!$A$1:$O$1001,MATCH('Index&amp;Match'!$A955,'Main Data'!$A$1:$A$1001,0),MATCH('Index&amp;Match'!M954,'Main Data'!$A954:$O954,0))</f>
        <v>157.94999999999999</v>
      </c>
      <c r="N955" s="2" t="str">
        <f>INDEX('Main Data'!$A$1:$O$1001,MATCH('Index&amp;Match'!$A955,'Main Data'!$A$1:$A$1001,0),MATCH('Index&amp;Match'!N954,'Main Data'!$A954:$O954,0))</f>
        <v>No</v>
      </c>
      <c r="O955" s="2">
        <f>INDEX('Main Data'!$A$1:$O$1001,MATCH('Index&amp;Match'!$A955,'Main Data'!$A$1:$A$1001,0),MATCH('Index&amp;Match'!O954,'Main Data'!$A954:$O954,0))</f>
        <v>67</v>
      </c>
    </row>
    <row r="956" spans="1:15" x14ac:dyDescent="0.3">
      <c r="A956" s="2" t="s">
        <v>1013</v>
      </c>
      <c r="B956" s="1">
        <f>INDEX('Main Data'!$A$1:$O$1001,MATCH('Index&amp;Match'!$A956,'Main Data'!$A$1:$A$1001,0),MATCH('Index&amp;Match'!B955,'Main Data'!$A955:$O955,0))</f>
        <v>46156</v>
      </c>
      <c r="C956" s="2" t="str">
        <f>INDEX('Main Data'!$A$1:$O$1001,MATCH('Index&amp;Match'!$A956,'Main Data'!$A$1:$A$1001,0),MATCH('Index&amp;Match'!C955,'Main Data'!$A955:$O955,0))</f>
        <v>Taylor</v>
      </c>
      <c r="D956" s="2" t="str">
        <f>INDEX('Main Data'!$A$1:$O$1001,MATCH('Index&amp;Match'!$A956,'Main Data'!$A$1:$A$1001,0),MATCH('Index&amp;Match'!D955,'Main Data'!$A955:$O955,0))</f>
        <v>BR-001</v>
      </c>
      <c r="E956" s="2" t="str">
        <f>INDEX('Main Data'!$A$1:$O$1001,MATCH('Index&amp;Match'!$A956,'Main Data'!$A$1:$A$1001,0),MATCH('Index&amp;Match'!E955,'Main Data'!$A955:$O955,0))</f>
        <v>North</v>
      </c>
      <c r="F956" s="2" t="str">
        <f>INDEX('Main Data'!$A$1:$O$1001,MATCH('Index&amp;Match'!$A956,'Main Data'!$A$1:$A$1001,0),MATCH('Index&amp;Match'!F955,'Main Data'!$A955:$O955,0))</f>
        <v>Auto Loan</v>
      </c>
      <c r="G956" s="2" t="str">
        <f>INDEX('Main Data'!$A$1:$O$1001,MATCH('Index&amp;Match'!$A956,'Main Data'!$A$1:$A$1001,0),MATCH('Index&amp;Match'!G955,'Main Data'!$A955:$O955,0))</f>
        <v>Website</v>
      </c>
      <c r="H956" s="2" t="str">
        <f>INDEX('Main Data'!$A$1:$O$1001,MATCH('Index&amp;Match'!$A956,'Main Data'!$A$1:$A$1001,0),MATCH('Index&amp;Match'!H955,'Main Data'!$A955:$O955,0))</f>
        <v>Corporate</v>
      </c>
      <c r="I956" s="2">
        <f>INDEX('Main Data'!$A$1:$O$1001,MATCH('Index&amp;Match'!$A956,'Main Data'!$A$1:$A$1001,0),MATCH('Index&amp;Match'!I955,'Main Data'!$A955:$O955,0))</f>
        <v>32</v>
      </c>
      <c r="J956" s="2">
        <f>INDEX('Main Data'!$A$1:$O$1001,MATCH('Index&amp;Match'!$A956,'Main Data'!$A$1:$A$1001,0),MATCH('Index&amp;Match'!J955,'Main Data'!$A955:$O955,0))</f>
        <v>32</v>
      </c>
      <c r="K956" s="11">
        <f>INDEX('Main Data'!$A$1:$O$1001,MATCH('Index&amp;Match'!$A956,'Main Data'!$A$1:$A$1001,0),MATCH('Index&amp;Match'!K955,'Main Data'!$A955:$O955,0))</f>
        <v>42977.88</v>
      </c>
      <c r="L956" s="11">
        <f>INDEX('Main Data'!$A$1:$O$1001,MATCH('Index&amp;Match'!$A956,'Main Data'!$A$1:$A$1001,0),MATCH('Index&amp;Match'!L955,'Main Data'!$A955:$O955,0))</f>
        <v>488.01</v>
      </c>
      <c r="M956" s="11">
        <f>INDEX('Main Data'!$A$1:$O$1001,MATCH('Index&amp;Match'!$A956,'Main Data'!$A$1:$A$1001,0),MATCH('Index&amp;Match'!M955,'Main Data'!$A955:$O955,0))</f>
        <v>132.69999999999999</v>
      </c>
      <c r="N956" s="2" t="str">
        <f>INDEX('Main Data'!$A$1:$O$1001,MATCH('Index&amp;Match'!$A956,'Main Data'!$A$1:$A$1001,0),MATCH('Index&amp;Match'!N955,'Main Data'!$A955:$O955,0))</f>
        <v>Yes</v>
      </c>
      <c r="O956" s="2">
        <f>INDEX('Main Data'!$A$1:$O$1001,MATCH('Index&amp;Match'!$A956,'Main Data'!$A$1:$A$1001,0),MATCH('Index&amp;Match'!O955,'Main Data'!$A955:$O955,0))</f>
        <v>32</v>
      </c>
    </row>
    <row r="957" spans="1:15" x14ac:dyDescent="0.3">
      <c r="A957" s="2" t="s">
        <v>1014</v>
      </c>
      <c r="B957" s="1">
        <f>INDEX('Main Data'!$A$1:$O$1001,MATCH('Index&amp;Match'!$A957,'Main Data'!$A$1:$A$1001,0),MATCH('Index&amp;Match'!B956,'Main Data'!$A956:$O956,0))</f>
        <v>45895</v>
      </c>
      <c r="C957" s="2" t="str">
        <f>INDEX('Main Data'!$A$1:$O$1001,MATCH('Index&amp;Match'!$A957,'Main Data'!$A$1:$A$1001,0),MATCH('Index&amp;Match'!C956,'Main Data'!$A956:$O956,0))</f>
        <v>Taylor</v>
      </c>
      <c r="D957" s="2" t="str">
        <f>INDEX('Main Data'!$A$1:$O$1001,MATCH('Index&amp;Match'!$A957,'Main Data'!$A$1:$A$1001,0),MATCH('Index&amp;Match'!D956,'Main Data'!$A956:$O956,0))</f>
        <v>BR-013</v>
      </c>
      <c r="E957" s="2" t="str">
        <f>INDEX('Main Data'!$A$1:$O$1001,MATCH('Index&amp;Match'!$A957,'Main Data'!$A$1:$A$1001,0),MATCH('Index&amp;Match'!E956,'Main Data'!$A956:$O956,0))</f>
        <v>Central</v>
      </c>
      <c r="F957" s="2" t="str">
        <f>INDEX('Main Data'!$A$1:$O$1001,MATCH('Index&amp;Match'!$A957,'Main Data'!$A$1:$A$1001,0),MATCH('Index&amp;Match'!F956,'Main Data'!$A956:$O956,0))</f>
        <v>Personal Loan</v>
      </c>
      <c r="G957" s="2" t="str">
        <f>INDEX('Main Data'!$A$1:$O$1001,MATCH('Index&amp;Match'!$A957,'Main Data'!$A$1:$A$1001,0),MATCH('Index&amp;Match'!G956,'Main Data'!$A956:$O956,0))</f>
        <v>Email Campaign</v>
      </c>
      <c r="H957" s="2" t="str">
        <f>INDEX('Main Data'!$A$1:$O$1001,MATCH('Index&amp;Match'!$A957,'Main Data'!$A$1:$A$1001,0),MATCH('Index&amp;Match'!H956,'Main Data'!$A956:$O956,0))</f>
        <v>High Net Worth</v>
      </c>
      <c r="I957" s="2">
        <f>INDEX('Main Data'!$A$1:$O$1001,MATCH('Index&amp;Match'!$A957,'Main Data'!$A$1:$A$1001,0),MATCH('Index&amp;Match'!I956,'Main Data'!$A956:$O956,0))</f>
        <v>67</v>
      </c>
      <c r="J957" s="2">
        <f>INDEX('Main Data'!$A$1:$O$1001,MATCH('Index&amp;Match'!$A957,'Main Data'!$A$1:$A$1001,0),MATCH('Index&amp;Match'!J956,'Main Data'!$A956:$O956,0))</f>
        <v>67</v>
      </c>
      <c r="K957" s="11">
        <f>INDEX('Main Data'!$A$1:$O$1001,MATCH('Index&amp;Match'!$A957,'Main Data'!$A$1:$A$1001,0),MATCH('Index&amp;Match'!K956,'Main Data'!$A956:$O956,0))</f>
        <v>20692.919999999998</v>
      </c>
      <c r="L957" s="11">
        <f>INDEX('Main Data'!$A$1:$O$1001,MATCH('Index&amp;Match'!$A957,'Main Data'!$A$1:$A$1001,0),MATCH('Index&amp;Match'!L956,'Main Data'!$A956:$O956,0))</f>
        <v>405.76</v>
      </c>
      <c r="M957" s="11">
        <f>INDEX('Main Data'!$A$1:$O$1001,MATCH('Index&amp;Match'!$A957,'Main Data'!$A$1:$A$1001,0),MATCH('Index&amp;Match'!M956,'Main Data'!$A956:$O956,0))</f>
        <v>103.72</v>
      </c>
      <c r="N957" s="2" t="str">
        <f>INDEX('Main Data'!$A$1:$O$1001,MATCH('Index&amp;Match'!$A957,'Main Data'!$A$1:$A$1001,0),MATCH('Index&amp;Match'!N956,'Main Data'!$A956:$O956,0))</f>
        <v>Yes</v>
      </c>
      <c r="O957" s="2">
        <f>INDEX('Main Data'!$A$1:$O$1001,MATCH('Index&amp;Match'!$A957,'Main Data'!$A$1:$A$1001,0),MATCH('Index&amp;Match'!O956,'Main Data'!$A956:$O956,0))</f>
        <v>67</v>
      </c>
    </row>
    <row r="958" spans="1:15" x14ac:dyDescent="0.3">
      <c r="A958" s="2" t="s">
        <v>1015</v>
      </c>
      <c r="B958" s="1">
        <f>INDEX('Main Data'!$A$1:$O$1001,MATCH('Index&amp;Match'!$A958,'Main Data'!$A$1:$A$1001,0),MATCH('Index&amp;Match'!B957,'Main Data'!$A957:$O957,0))</f>
        <v>45901</v>
      </c>
      <c r="C958" s="2" t="str">
        <f>INDEX('Main Data'!$A$1:$O$1001,MATCH('Index&amp;Match'!$A958,'Main Data'!$A$1:$A$1001,0),MATCH('Index&amp;Match'!C957,'Main Data'!$A957:$O957,0))</f>
        <v>Morgan</v>
      </c>
      <c r="D958" s="2" t="str">
        <f>INDEX('Main Data'!$A$1:$O$1001,MATCH('Index&amp;Match'!$A958,'Main Data'!$A$1:$A$1001,0),MATCH('Index&amp;Match'!D957,'Main Data'!$A957:$O957,0))</f>
        <v>BR-001</v>
      </c>
      <c r="E958" s="2" t="str">
        <f>INDEX('Main Data'!$A$1:$O$1001,MATCH('Index&amp;Match'!$A958,'Main Data'!$A$1:$A$1001,0),MATCH('Index&amp;Match'!E957,'Main Data'!$A957:$O957,0))</f>
        <v>West</v>
      </c>
      <c r="F958" s="2" t="str">
        <f>INDEX('Main Data'!$A$1:$O$1001,MATCH('Index&amp;Match'!$A958,'Main Data'!$A$1:$A$1001,0),MATCH('Index&amp;Match'!F957,'Main Data'!$A957:$O957,0))</f>
        <v>Personal Loan</v>
      </c>
      <c r="G958" s="2" t="str">
        <f>INDEX('Main Data'!$A$1:$O$1001,MATCH('Index&amp;Match'!$A958,'Main Data'!$A$1:$A$1001,0),MATCH('Index&amp;Match'!G957,'Main Data'!$A957:$O957,0))</f>
        <v>Website</v>
      </c>
      <c r="H958" s="2" t="str">
        <f>INDEX('Main Data'!$A$1:$O$1001,MATCH('Index&amp;Match'!$A958,'Main Data'!$A$1:$A$1001,0),MATCH('Index&amp;Match'!H957,'Main Data'!$A957:$O957,0))</f>
        <v>High Net Worth</v>
      </c>
      <c r="I958" s="2">
        <f>INDEX('Main Data'!$A$1:$O$1001,MATCH('Index&amp;Match'!$A958,'Main Data'!$A$1:$A$1001,0),MATCH('Index&amp;Match'!I957,'Main Data'!$A957:$O957,0))</f>
        <v>33</v>
      </c>
      <c r="J958" s="2">
        <f>INDEX('Main Data'!$A$1:$O$1001,MATCH('Index&amp;Match'!$A958,'Main Data'!$A$1:$A$1001,0),MATCH('Index&amp;Match'!J957,'Main Data'!$A957:$O957,0))</f>
        <v>33</v>
      </c>
      <c r="K958" s="11">
        <f>INDEX('Main Data'!$A$1:$O$1001,MATCH('Index&amp;Match'!$A958,'Main Data'!$A$1:$A$1001,0),MATCH('Index&amp;Match'!K957,'Main Data'!$A957:$O957,0))</f>
        <v>49022.93</v>
      </c>
      <c r="L958" s="11">
        <f>INDEX('Main Data'!$A$1:$O$1001,MATCH('Index&amp;Match'!$A958,'Main Data'!$A$1:$A$1001,0),MATCH('Index&amp;Match'!L957,'Main Data'!$A957:$O957,0))</f>
        <v>159.33000000000001</v>
      </c>
      <c r="M958" s="11">
        <f>INDEX('Main Data'!$A$1:$O$1001,MATCH('Index&amp;Match'!$A958,'Main Data'!$A$1:$A$1001,0),MATCH('Index&amp;Match'!M957,'Main Data'!$A957:$O957,0))</f>
        <v>51.42</v>
      </c>
      <c r="N958" s="2" t="str">
        <f>INDEX('Main Data'!$A$1:$O$1001,MATCH('Index&amp;Match'!$A958,'Main Data'!$A$1:$A$1001,0),MATCH('Index&amp;Match'!N957,'Main Data'!$A957:$O957,0))</f>
        <v>Yes</v>
      </c>
      <c r="O958" s="2">
        <f>INDEX('Main Data'!$A$1:$O$1001,MATCH('Index&amp;Match'!$A958,'Main Data'!$A$1:$A$1001,0),MATCH('Index&amp;Match'!O957,'Main Data'!$A957:$O957,0))</f>
        <v>33</v>
      </c>
    </row>
    <row r="959" spans="1:15" x14ac:dyDescent="0.3">
      <c r="A959" s="2" t="s">
        <v>1016</v>
      </c>
      <c r="B959" s="1">
        <f>INDEX('Main Data'!$A$1:$O$1001,MATCH('Index&amp;Match'!$A959,'Main Data'!$A$1:$A$1001,0),MATCH('Index&amp;Match'!B958,'Main Data'!$A958:$O958,0))</f>
        <v>45887</v>
      </c>
      <c r="C959" s="2" t="str">
        <f>INDEX('Main Data'!$A$1:$O$1001,MATCH('Index&amp;Match'!$A959,'Main Data'!$A$1:$A$1001,0),MATCH('Index&amp;Match'!C958,'Main Data'!$A958:$O958,0))</f>
        <v>Alex</v>
      </c>
      <c r="D959" s="2" t="str">
        <f>INDEX('Main Data'!$A$1:$O$1001,MATCH('Index&amp;Match'!$A959,'Main Data'!$A$1:$A$1001,0),MATCH('Index&amp;Match'!D958,'Main Data'!$A958:$O958,0))</f>
        <v>BR-010</v>
      </c>
      <c r="E959" s="2" t="str">
        <f>INDEX('Main Data'!$A$1:$O$1001,MATCH('Index&amp;Match'!$A959,'Main Data'!$A$1:$A$1001,0),MATCH('Index&amp;Match'!E958,'Main Data'!$A958:$O958,0))</f>
        <v>Central</v>
      </c>
      <c r="F959" s="2" t="str">
        <f>INDEX('Main Data'!$A$1:$O$1001,MATCH('Index&amp;Match'!$A959,'Main Data'!$A$1:$A$1001,0),MATCH('Index&amp;Match'!F958,'Main Data'!$A958:$O958,0))</f>
        <v>Personal Loan</v>
      </c>
      <c r="G959" s="2" t="str">
        <f>INDEX('Main Data'!$A$1:$O$1001,MATCH('Index&amp;Match'!$A959,'Main Data'!$A$1:$A$1001,0),MATCH('Index&amp;Match'!G958,'Main Data'!$A958:$O958,0))</f>
        <v>Social Media</v>
      </c>
      <c r="H959" s="2" t="str">
        <f>INDEX('Main Data'!$A$1:$O$1001,MATCH('Index&amp;Match'!$A959,'Main Data'!$A$1:$A$1001,0),MATCH('Index&amp;Match'!H958,'Main Data'!$A958:$O958,0))</f>
        <v>Corporate</v>
      </c>
      <c r="I959" s="2">
        <f>INDEX('Main Data'!$A$1:$O$1001,MATCH('Index&amp;Match'!$A959,'Main Data'!$A$1:$A$1001,0),MATCH('Index&amp;Match'!I958,'Main Data'!$A958:$O958,0))</f>
        <v>70</v>
      </c>
      <c r="J959" s="2">
        <f>INDEX('Main Data'!$A$1:$O$1001,MATCH('Index&amp;Match'!$A959,'Main Data'!$A$1:$A$1001,0),MATCH('Index&amp;Match'!J958,'Main Data'!$A958:$O958,0))</f>
        <v>70</v>
      </c>
      <c r="K959" s="11">
        <f>INDEX('Main Data'!$A$1:$O$1001,MATCH('Index&amp;Match'!$A959,'Main Data'!$A$1:$A$1001,0),MATCH('Index&amp;Match'!K958,'Main Data'!$A958:$O958,0))</f>
        <v>32680.6</v>
      </c>
      <c r="L959" s="11">
        <f>INDEX('Main Data'!$A$1:$O$1001,MATCH('Index&amp;Match'!$A959,'Main Data'!$A$1:$A$1001,0),MATCH('Index&amp;Match'!L958,'Main Data'!$A958:$O958,0))</f>
        <v>458.76</v>
      </c>
      <c r="M959" s="11">
        <f>INDEX('Main Data'!$A$1:$O$1001,MATCH('Index&amp;Match'!$A959,'Main Data'!$A$1:$A$1001,0),MATCH('Index&amp;Match'!M958,'Main Data'!$A958:$O958,0))</f>
        <v>15.8</v>
      </c>
      <c r="N959" s="2" t="str">
        <f>INDEX('Main Data'!$A$1:$O$1001,MATCH('Index&amp;Match'!$A959,'Main Data'!$A$1:$A$1001,0),MATCH('Index&amp;Match'!N958,'Main Data'!$A958:$O958,0))</f>
        <v>Yes</v>
      </c>
      <c r="O959" s="2">
        <f>INDEX('Main Data'!$A$1:$O$1001,MATCH('Index&amp;Match'!$A959,'Main Data'!$A$1:$A$1001,0),MATCH('Index&amp;Match'!O958,'Main Data'!$A958:$O958,0))</f>
        <v>70</v>
      </c>
    </row>
    <row r="960" spans="1:15" x14ac:dyDescent="0.3">
      <c r="A960" s="2" t="s">
        <v>1017</v>
      </c>
      <c r="B960" s="1">
        <f>INDEX('Main Data'!$A$1:$O$1001,MATCH('Index&amp;Match'!$A960,'Main Data'!$A$1:$A$1001,0),MATCH('Index&amp;Match'!B959,'Main Data'!$A959:$O959,0))</f>
        <v>46059</v>
      </c>
      <c r="C960" s="2" t="str">
        <f>INDEX('Main Data'!$A$1:$O$1001,MATCH('Index&amp;Match'!$A960,'Main Data'!$A$1:$A$1001,0),MATCH('Index&amp;Match'!C959,'Main Data'!$A959:$O959,0))</f>
        <v>Jordan</v>
      </c>
      <c r="D960" s="2" t="str">
        <f>INDEX('Main Data'!$A$1:$O$1001,MATCH('Index&amp;Match'!$A960,'Main Data'!$A$1:$A$1001,0),MATCH('Index&amp;Match'!D959,'Main Data'!$A959:$O959,0))</f>
        <v>BR-009</v>
      </c>
      <c r="E960" s="2" t="str">
        <f>INDEX('Main Data'!$A$1:$O$1001,MATCH('Index&amp;Match'!$A960,'Main Data'!$A$1:$A$1001,0),MATCH('Index&amp;Match'!E959,'Main Data'!$A959:$O959,0))</f>
        <v>South</v>
      </c>
      <c r="F960" s="2" t="str">
        <f>INDEX('Main Data'!$A$1:$O$1001,MATCH('Index&amp;Match'!$A960,'Main Data'!$A$1:$A$1001,0),MATCH('Index&amp;Match'!F959,'Main Data'!$A959:$O959,0))</f>
        <v>Wealth Management</v>
      </c>
      <c r="G960" s="2" t="str">
        <f>INDEX('Main Data'!$A$1:$O$1001,MATCH('Index&amp;Match'!$A960,'Main Data'!$A$1:$A$1001,0),MATCH('Index&amp;Match'!G959,'Main Data'!$A959:$O959,0))</f>
        <v>Social Media</v>
      </c>
      <c r="H960" s="2" t="str">
        <f>INDEX('Main Data'!$A$1:$O$1001,MATCH('Index&amp;Match'!$A960,'Main Data'!$A$1:$A$1001,0),MATCH('Index&amp;Match'!H959,'Main Data'!$A959:$O959,0))</f>
        <v>High Net Worth</v>
      </c>
      <c r="I960" s="2">
        <f>INDEX('Main Data'!$A$1:$O$1001,MATCH('Index&amp;Match'!$A960,'Main Data'!$A$1:$A$1001,0),MATCH('Index&amp;Match'!I959,'Main Data'!$A959:$O959,0))</f>
        <v>67</v>
      </c>
      <c r="J960" s="2">
        <f>INDEX('Main Data'!$A$1:$O$1001,MATCH('Index&amp;Match'!$A960,'Main Data'!$A$1:$A$1001,0),MATCH('Index&amp;Match'!J959,'Main Data'!$A959:$O959,0))</f>
        <v>67</v>
      </c>
      <c r="K960" s="11">
        <f>INDEX('Main Data'!$A$1:$O$1001,MATCH('Index&amp;Match'!$A960,'Main Data'!$A$1:$A$1001,0),MATCH('Index&amp;Match'!K959,'Main Data'!$A959:$O959,0))</f>
        <v>37230.11</v>
      </c>
      <c r="L960" s="11">
        <f>INDEX('Main Data'!$A$1:$O$1001,MATCH('Index&amp;Match'!$A960,'Main Data'!$A$1:$A$1001,0),MATCH('Index&amp;Match'!L959,'Main Data'!$A959:$O959,0))</f>
        <v>91.9</v>
      </c>
      <c r="M960" s="11">
        <f>INDEX('Main Data'!$A$1:$O$1001,MATCH('Index&amp;Match'!$A960,'Main Data'!$A$1:$A$1001,0),MATCH('Index&amp;Match'!M959,'Main Data'!$A959:$O959,0))</f>
        <v>207.99</v>
      </c>
      <c r="N960" s="2" t="str">
        <f>INDEX('Main Data'!$A$1:$O$1001,MATCH('Index&amp;Match'!$A960,'Main Data'!$A$1:$A$1001,0),MATCH('Index&amp;Match'!N959,'Main Data'!$A959:$O959,0))</f>
        <v>No</v>
      </c>
      <c r="O960" s="2">
        <f>INDEX('Main Data'!$A$1:$O$1001,MATCH('Index&amp;Match'!$A960,'Main Data'!$A$1:$A$1001,0),MATCH('Index&amp;Match'!O959,'Main Data'!$A959:$O959,0))</f>
        <v>67</v>
      </c>
    </row>
    <row r="961" spans="1:15" x14ac:dyDescent="0.3">
      <c r="A961" s="2" t="s">
        <v>1018</v>
      </c>
      <c r="B961" s="1">
        <f>INDEX('Main Data'!$A$1:$O$1001,MATCH('Index&amp;Match'!$A961,'Main Data'!$A$1:$A$1001,0),MATCH('Index&amp;Match'!B960,'Main Data'!$A960:$O960,0))</f>
        <v>46026</v>
      </c>
      <c r="C961" s="2" t="str">
        <f>INDEX('Main Data'!$A$1:$O$1001,MATCH('Index&amp;Match'!$A961,'Main Data'!$A$1:$A$1001,0),MATCH('Index&amp;Match'!C960,'Main Data'!$A960:$O960,0))</f>
        <v>Jamie</v>
      </c>
      <c r="D961" s="2" t="str">
        <f>INDEX('Main Data'!$A$1:$O$1001,MATCH('Index&amp;Match'!$A961,'Main Data'!$A$1:$A$1001,0),MATCH('Index&amp;Match'!D960,'Main Data'!$A960:$O960,0))</f>
        <v>BR-007</v>
      </c>
      <c r="E961" s="2" t="str">
        <f>INDEX('Main Data'!$A$1:$O$1001,MATCH('Index&amp;Match'!$A961,'Main Data'!$A$1:$A$1001,0),MATCH('Index&amp;Match'!E960,'Main Data'!$A960:$O960,0))</f>
        <v>Central</v>
      </c>
      <c r="F961" s="2" t="str">
        <f>INDEX('Main Data'!$A$1:$O$1001,MATCH('Index&amp;Match'!$A961,'Main Data'!$A$1:$A$1001,0),MATCH('Index&amp;Match'!F960,'Main Data'!$A960:$O960,0))</f>
        <v>Auto Loan</v>
      </c>
      <c r="G961" s="2" t="str">
        <f>INDEX('Main Data'!$A$1:$O$1001,MATCH('Index&amp;Match'!$A961,'Main Data'!$A$1:$A$1001,0),MATCH('Index&amp;Match'!G960,'Main Data'!$A960:$O960,0))</f>
        <v>Website</v>
      </c>
      <c r="H961" s="2" t="str">
        <f>INDEX('Main Data'!$A$1:$O$1001,MATCH('Index&amp;Match'!$A961,'Main Data'!$A$1:$A$1001,0),MATCH('Index&amp;Match'!H960,'Main Data'!$A960:$O960,0))</f>
        <v>SME</v>
      </c>
      <c r="I961" s="2">
        <f>INDEX('Main Data'!$A$1:$O$1001,MATCH('Index&amp;Match'!$A961,'Main Data'!$A$1:$A$1001,0),MATCH('Index&amp;Match'!I960,'Main Data'!$A960:$O960,0))</f>
        <v>31</v>
      </c>
      <c r="J961" s="2">
        <f>INDEX('Main Data'!$A$1:$O$1001,MATCH('Index&amp;Match'!$A961,'Main Data'!$A$1:$A$1001,0),MATCH('Index&amp;Match'!J960,'Main Data'!$A960:$O960,0))</f>
        <v>31</v>
      </c>
      <c r="K961" s="11">
        <f>INDEX('Main Data'!$A$1:$O$1001,MATCH('Index&amp;Match'!$A961,'Main Data'!$A$1:$A$1001,0),MATCH('Index&amp;Match'!K960,'Main Data'!$A960:$O960,0))</f>
        <v>2059.9</v>
      </c>
      <c r="L961" s="11">
        <f>INDEX('Main Data'!$A$1:$O$1001,MATCH('Index&amp;Match'!$A961,'Main Data'!$A$1:$A$1001,0),MATCH('Index&amp;Match'!L960,'Main Data'!$A960:$O960,0))</f>
        <v>260.66000000000003</v>
      </c>
      <c r="M961" s="11">
        <f>INDEX('Main Data'!$A$1:$O$1001,MATCH('Index&amp;Match'!$A961,'Main Data'!$A$1:$A$1001,0),MATCH('Index&amp;Match'!M960,'Main Data'!$A960:$O960,0))</f>
        <v>156.94</v>
      </c>
      <c r="N961" s="2" t="str">
        <f>INDEX('Main Data'!$A$1:$O$1001,MATCH('Index&amp;Match'!$A961,'Main Data'!$A$1:$A$1001,0),MATCH('Index&amp;Match'!N960,'Main Data'!$A960:$O960,0))</f>
        <v>No</v>
      </c>
      <c r="O961" s="2">
        <f>INDEX('Main Data'!$A$1:$O$1001,MATCH('Index&amp;Match'!$A961,'Main Data'!$A$1:$A$1001,0),MATCH('Index&amp;Match'!O960,'Main Data'!$A960:$O960,0))</f>
        <v>31</v>
      </c>
    </row>
    <row r="962" spans="1:15" x14ac:dyDescent="0.3">
      <c r="A962" s="2" t="s">
        <v>1019</v>
      </c>
      <c r="B962" s="1">
        <f>INDEX('Main Data'!$A$1:$O$1001,MATCH('Index&amp;Match'!$A962,'Main Data'!$A$1:$A$1001,0),MATCH('Index&amp;Match'!B961,'Main Data'!$A961:$O961,0))</f>
        <v>45922</v>
      </c>
      <c r="C962" s="2" t="str">
        <f>INDEX('Main Data'!$A$1:$O$1001,MATCH('Index&amp;Match'!$A962,'Main Data'!$A$1:$A$1001,0),MATCH('Index&amp;Match'!C961,'Main Data'!$A961:$O961,0))</f>
        <v>Alex</v>
      </c>
      <c r="D962" s="2" t="str">
        <f>INDEX('Main Data'!$A$1:$O$1001,MATCH('Index&amp;Match'!$A962,'Main Data'!$A$1:$A$1001,0),MATCH('Index&amp;Match'!D961,'Main Data'!$A961:$O961,0))</f>
        <v>BR-001</v>
      </c>
      <c r="E962" s="2" t="str">
        <f>INDEX('Main Data'!$A$1:$O$1001,MATCH('Index&amp;Match'!$A962,'Main Data'!$A$1:$A$1001,0),MATCH('Index&amp;Match'!E961,'Main Data'!$A961:$O961,0))</f>
        <v>South</v>
      </c>
      <c r="F962" s="2" t="str">
        <f>INDEX('Main Data'!$A$1:$O$1001,MATCH('Index&amp;Match'!$A962,'Main Data'!$A$1:$A$1001,0),MATCH('Index&amp;Match'!F961,'Main Data'!$A961:$O961,0))</f>
        <v>Personal Loan</v>
      </c>
      <c r="G962" s="2" t="str">
        <f>INDEX('Main Data'!$A$1:$O$1001,MATCH('Index&amp;Match'!$A962,'Main Data'!$A$1:$A$1001,0),MATCH('Index&amp;Match'!G961,'Main Data'!$A961:$O961,0))</f>
        <v>Email Campaign</v>
      </c>
      <c r="H962" s="2" t="str">
        <f>INDEX('Main Data'!$A$1:$O$1001,MATCH('Index&amp;Match'!$A962,'Main Data'!$A$1:$A$1001,0),MATCH('Index&amp;Match'!H961,'Main Data'!$A961:$O961,0))</f>
        <v>High Net Worth</v>
      </c>
      <c r="I962" s="2">
        <f>INDEX('Main Data'!$A$1:$O$1001,MATCH('Index&amp;Match'!$A962,'Main Data'!$A$1:$A$1001,0),MATCH('Index&amp;Match'!I961,'Main Data'!$A961:$O961,0))</f>
        <v>39</v>
      </c>
      <c r="J962" s="2">
        <f>INDEX('Main Data'!$A$1:$O$1001,MATCH('Index&amp;Match'!$A962,'Main Data'!$A$1:$A$1001,0),MATCH('Index&amp;Match'!J961,'Main Data'!$A961:$O961,0))</f>
        <v>39</v>
      </c>
      <c r="K962" s="11">
        <f>INDEX('Main Data'!$A$1:$O$1001,MATCH('Index&amp;Match'!$A962,'Main Data'!$A$1:$A$1001,0),MATCH('Index&amp;Match'!K961,'Main Data'!$A961:$O961,0))</f>
        <v>6519.46</v>
      </c>
      <c r="L962" s="11">
        <f>INDEX('Main Data'!$A$1:$O$1001,MATCH('Index&amp;Match'!$A962,'Main Data'!$A$1:$A$1001,0),MATCH('Index&amp;Match'!L961,'Main Data'!$A961:$O961,0))</f>
        <v>449.39</v>
      </c>
      <c r="M962" s="11">
        <f>INDEX('Main Data'!$A$1:$O$1001,MATCH('Index&amp;Match'!$A962,'Main Data'!$A$1:$A$1001,0),MATCH('Index&amp;Match'!M961,'Main Data'!$A961:$O961,0))</f>
        <v>247.94</v>
      </c>
      <c r="N962" s="2" t="str">
        <f>INDEX('Main Data'!$A$1:$O$1001,MATCH('Index&amp;Match'!$A962,'Main Data'!$A$1:$A$1001,0),MATCH('Index&amp;Match'!N961,'Main Data'!$A961:$O961,0))</f>
        <v>No</v>
      </c>
      <c r="O962" s="2">
        <f>INDEX('Main Data'!$A$1:$O$1001,MATCH('Index&amp;Match'!$A962,'Main Data'!$A$1:$A$1001,0),MATCH('Index&amp;Match'!O961,'Main Data'!$A961:$O961,0))</f>
        <v>39</v>
      </c>
    </row>
    <row r="963" spans="1:15" x14ac:dyDescent="0.3">
      <c r="A963" s="2" t="s">
        <v>1020</v>
      </c>
      <c r="B963" s="1">
        <f>INDEX('Main Data'!$A$1:$O$1001,MATCH('Index&amp;Match'!$A963,'Main Data'!$A$1:$A$1001,0),MATCH('Index&amp;Match'!B962,'Main Data'!$A962:$O962,0))</f>
        <v>46121</v>
      </c>
      <c r="C963" s="2" t="str">
        <f>INDEX('Main Data'!$A$1:$O$1001,MATCH('Index&amp;Match'!$A963,'Main Data'!$A$1:$A$1001,0),MATCH('Index&amp;Match'!C962,'Main Data'!$A962:$O962,0))</f>
        <v>Alex</v>
      </c>
      <c r="D963" s="2" t="str">
        <f>INDEX('Main Data'!$A$1:$O$1001,MATCH('Index&amp;Match'!$A963,'Main Data'!$A$1:$A$1001,0),MATCH('Index&amp;Match'!D962,'Main Data'!$A962:$O962,0))</f>
        <v>BR-015</v>
      </c>
      <c r="E963" s="2" t="str">
        <f>INDEX('Main Data'!$A$1:$O$1001,MATCH('Index&amp;Match'!$A963,'Main Data'!$A$1:$A$1001,0),MATCH('Index&amp;Match'!E962,'Main Data'!$A962:$O962,0))</f>
        <v>Central</v>
      </c>
      <c r="F963" s="2" t="str">
        <f>INDEX('Main Data'!$A$1:$O$1001,MATCH('Index&amp;Match'!$A963,'Main Data'!$A$1:$A$1001,0),MATCH('Index&amp;Match'!F962,'Main Data'!$A962:$O962,0))</f>
        <v>Mortgage</v>
      </c>
      <c r="G963" s="2" t="str">
        <f>INDEX('Main Data'!$A$1:$O$1001,MATCH('Index&amp;Match'!$A963,'Main Data'!$A$1:$A$1001,0),MATCH('Index&amp;Match'!G962,'Main Data'!$A962:$O962,0))</f>
        <v>Website</v>
      </c>
      <c r="H963" s="2" t="str">
        <f>INDEX('Main Data'!$A$1:$O$1001,MATCH('Index&amp;Match'!$A963,'Main Data'!$A$1:$A$1001,0),MATCH('Index&amp;Match'!H962,'Main Data'!$A962:$O962,0))</f>
        <v>High Net Worth</v>
      </c>
      <c r="I963" s="2">
        <f>INDEX('Main Data'!$A$1:$O$1001,MATCH('Index&amp;Match'!$A963,'Main Data'!$A$1:$A$1001,0),MATCH('Index&amp;Match'!I962,'Main Data'!$A962:$O962,0))</f>
        <v>55</v>
      </c>
      <c r="J963" s="2">
        <f>INDEX('Main Data'!$A$1:$O$1001,MATCH('Index&amp;Match'!$A963,'Main Data'!$A$1:$A$1001,0),MATCH('Index&amp;Match'!J962,'Main Data'!$A962:$O962,0))</f>
        <v>55</v>
      </c>
      <c r="K963" s="11">
        <f>INDEX('Main Data'!$A$1:$O$1001,MATCH('Index&amp;Match'!$A963,'Main Data'!$A$1:$A$1001,0),MATCH('Index&amp;Match'!K962,'Main Data'!$A962:$O962,0))</f>
        <v>31837.71</v>
      </c>
      <c r="L963" s="11">
        <f>INDEX('Main Data'!$A$1:$O$1001,MATCH('Index&amp;Match'!$A963,'Main Data'!$A$1:$A$1001,0),MATCH('Index&amp;Match'!L962,'Main Data'!$A962:$O962,0))</f>
        <v>338.57</v>
      </c>
      <c r="M963" s="11">
        <f>INDEX('Main Data'!$A$1:$O$1001,MATCH('Index&amp;Match'!$A963,'Main Data'!$A$1:$A$1001,0),MATCH('Index&amp;Match'!M962,'Main Data'!$A962:$O962,0))</f>
        <v>274.12</v>
      </c>
      <c r="N963" s="2" t="str">
        <f>INDEX('Main Data'!$A$1:$O$1001,MATCH('Index&amp;Match'!$A963,'Main Data'!$A$1:$A$1001,0),MATCH('Index&amp;Match'!N962,'Main Data'!$A962:$O962,0))</f>
        <v>Yes</v>
      </c>
      <c r="O963" s="2">
        <f>INDEX('Main Data'!$A$1:$O$1001,MATCH('Index&amp;Match'!$A963,'Main Data'!$A$1:$A$1001,0),MATCH('Index&amp;Match'!O962,'Main Data'!$A962:$O962,0))</f>
        <v>55</v>
      </c>
    </row>
    <row r="964" spans="1:15" x14ac:dyDescent="0.3">
      <c r="A964" s="2" t="s">
        <v>1021</v>
      </c>
      <c r="B964" s="1">
        <f>INDEX('Main Data'!$A$1:$O$1001,MATCH('Index&amp;Match'!$A964,'Main Data'!$A$1:$A$1001,0),MATCH('Index&amp;Match'!B963,'Main Data'!$A963:$O963,0))</f>
        <v>46089</v>
      </c>
      <c r="C964" s="2" t="str">
        <f>INDEX('Main Data'!$A$1:$O$1001,MATCH('Index&amp;Match'!$A964,'Main Data'!$A$1:$A$1001,0),MATCH('Index&amp;Match'!C963,'Main Data'!$A963:$O963,0))</f>
        <v>Sam</v>
      </c>
      <c r="D964" s="2" t="str">
        <f>INDEX('Main Data'!$A$1:$O$1001,MATCH('Index&amp;Match'!$A964,'Main Data'!$A$1:$A$1001,0),MATCH('Index&amp;Match'!D963,'Main Data'!$A963:$O963,0))</f>
        <v>BR-012</v>
      </c>
      <c r="E964" s="2" t="str">
        <f>INDEX('Main Data'!$A$1:$O$1001,MATCH('Index&amp;Match'!$A964,'Main Data'!$A$1:$A$1001,0),MATCH('Index&amp;Match'!E963,'Main Data'!$A963:$O963,0))</f>
        <v>North</v>
      </c>
      <c r="F964" s="2" t="str">
        <f>INDEX('Main Data'!$A$1:$O$1001,MATCH('Index&amp;Match'!$A964,'Main Data'!$A$1:$A$1001,0),MATCH('Index&amp;Match'!F963,'Main Data'!$A963:$O963,0))</f>
        <v>Mortgage</v>
      </c>
      <c r="G964" s="2" t="str">
        <f>INDEX('Main Data'!$A$1:$O$1001,MATCH('Index&amp;Match'!$A964,'Main Data'!$A$1:$A$1001,0),MATCH('Index&amp;Match'!G963,'Main Data'!$A963:$O963,0))</f>
        <v>Social Media</v>
      </c>
      <c r="H964" s="2" t="str">
        <f>INDEX('Main Data'!$A$1:$O$1001,MATCH('Index&amp;Match'!$A964,'Main Data'!$A$1:$A$1001,0),MATCH('Index&amp;Match'!H963,'Main Data'!$A963:$O963,0))</f>
        <v>High Net Worth</v>
      </c>
      <c r="I964" s="2">
        <f>INDEX('Main Data'!$A$1:$O$1001,MATCH('Index&amp;Match'!$A964,'Main Data'!$A$1:$A$1001,0),MATCH('Index&amp;Match'!I963,'Main Data'!$A963:$O963,0))</f>
        <v>59</v>
      </c>
      <c r="J964" s="2">
        <f>INDEX('Main Data'!$A$1:$O$1001,MATCH('Index&amp;Match'!$A964,'Main Data'!$A$1:$A$1001,0),MATCH('Index&amp;Match'!J963,'Main Data'!$A963:$O963,0))</f>
        <v>59</v>
      </c>
      <c r="K964" s="11">
        <f>INDEX('Main Data'!$A$1:$O$1001,MATCH('Index&amp;Match'!$A964,'Main Data'!$A$1:$A$1001,0),MATCH('Index&amp;Match'!K963,'Main Data'!$A963:$O963,0))</f>
        <v>45001.69</v>
      </c>
      <c r="L964" s="11">
        <f>INDEX('Main Data'!$A$1:$O$1001,MATCH('Index&amp;Match'!$A964,'Main Data'!$A$1:$A$1001,0),MATCH('Index&amp;Match'!L963,'Main Data'!$A963:$O963,0))</f>
        <v>236.14</v>
      </c>
      <c r="M964" s="11">
        <f>INDEX('Main Data'!$A$1:$O$1001,MATCH('Index&amp;Match'!$A964,'Main Data'!$A$1:$A$1001,0),MATCH('Index&amp;Match'!M963,'Main Data'!$A963:$O963,0))</f>
        <v>263.98</v>
      </c>
      <c r="N964" s="2" t="str">
        <f>INDEX('Main Data'!$A$1:$O$1001,MATCH('Index&amp;Match'!$A964,'Main Data'!$A$1:$A$1001,0),MATCH('Index&amp;Match'!N963,'Main Data'!$A963:$O963,0))</f>
        <v>Yes</v>
      </c>
      <c r="O964" s="2">
        <f>INDEX('Main Data'!$A$1:$O$1001,MATCH('Index&amp;Match'!$A964,'Main Data'!$A$1:$A$1001,0),MATCH('Index&amp;Match'!O963,'Main Data'!$A963:$O963,0))</f>
        <v>59</v>
      </c>
    </row>
    <row r="965" spans="1:15" x14ac:dyDescent="0.3">
      <c r="A965" s="2" t="s">
        <v>1022</v>
      </c>
      <c r="B965" s="1">
        <f>INDEX('Main Data'!$A$1:$O$1001,MATCH('Index&amp;Match'!$A965,'Main Data'!$A$1:$A$1001,0),MATCH('Index&amp;Match'!B964,'Main Data'!$A964:$O964,0))</f>
        <v>46203</v>
      </c>
      <c r="C965" s="2" t="str">
        <f>INDEX('Main Data'!$A$1:$O$1001,MATCH('Index&amp;Match'!$A965,'Main Data'!$A$1:$A$1001,0),MATCH('Index&amp;Match'!C964,'Main Data'!$A964:$O964,0))</f>
        <v>Jamie</v>
      </c>
      <c r="D965" s="2" t="str">
        <f>INDEX('Main Data'!$A$1:$O$1001,MATCH('Index&amp;Match'!$A965,'Main Data'!$A$1:$A$1001,0),MATCH('Index&amp;Match'!D964,'Main Data'!$A964:$O964,0))</f>
        <v>BR-014</v>
      </c>
      <c r="E965" s="2" t="str">
        <f>INDEX('Main Data'!$A$1:$O$1001,MATCH('Index&amp;Match'!$A965,'Main Data'!$A$1:$A$1001,0),MATCH('Index&amp;Match'!E964,'Main Data'!$A964:$O964,0))</f>
        <v>North</v>
      </c>
      <c r="F965" s="2" t="str">
        <f>INDEX('Main Data'!$A$1:$O$1001,MATCH('Index&amp;Match'!$A965,'Main Data'!$A$1:$A$1001,0),MATCH('Index&amp;Match'!F964,'Main Data'!$A964:$O964,0))</f>
        <v>Wealth Management</v>
      </c>
      <c r="G965" s="2" t="str">
        <f>INDEX('Main Data'!$A$1:$O$1001,MATCH('Index&amp;Match'!$A965,'Main Data'!$A$1:$A$1001,0),MATCH('Index&amp;Match'!G964,'Main Data'!$A964:$O964,0))</f>
        <v>Social Media</v>
      </c>
      <c r="H965" s="2" t="str">
        <f>INDEX('Main Data'!$A$1:$O$1001,MATCH('Index&amp;Match'!$A965,'Main Data'!$A$1:$A$1001,0),MATCH('Index&amp;Match'!H964,'Main Data'!$A964:$O964,0))</f>
        <v>High Net Worth</v>
      </c>
      <c r="I965" s="2">
        <f>INDEX('Main Data'!$A$1:$O$1001,MATCH('Index&amp;Match'!$A965,'Main Data'!$A$1:$A$1001,0),MATCH('Index&amp;Match'!I964,'Main Data'!$A964:$O964,0))</f>
        <v>73</v>
      </c>
      <c r="J965" s="2">
        <f>INDEX('Main Data'!$A$1:$O$1001,MATCH('Index&amp;Match'!$A965,'Main Data'!$A$1:$A$1001,0),MATCH('Index&amp;Match'!J964,'Main Data'!$A964:$O964,0))</f>
        <v>73</v>
      </c>
      <c r="K965" s="11">
        <f>INDEX('Main Data'!$A$1:$O$1001,MATCH('Index&amp;Match'!$A965,'Main Data'!$A$1:$A$1001,0),MATCH('Index&amp;Match'!K964,'Main Data'!$A964:$O964,0))</f>
        <v>31375.31</v>
      </c>
      <c r="L965" s="11">
        <f>INDEX('Main Data'!$A$1:$O$1001,MATCH('Index&amp;Match'!$A965,'Main Data'!$A$1:$A$1001,0),MATCH('Index&amp;Match'!L964,'Main Data'!$A964:$O964,0))</f>
        <v>181.77</v>
      </c>
      <c r="M965" s="11">
        <f>INDEX('Main Data'!$A$1:$O$1001,MATCH('Index&amp;Match'!$A965,'Main Data'!$A$1:$A$1001,0),MATCH('Index&amp;Match'!M964,'Main Data'!$A964:$O964,0))</f>
        <v>299.92</v>
      </c>
      <c r="N965" s="2" t="str">
        <f>INDEX('Main Data'!$A$1:$O$1001,MATCH('Index&amp;Match'!$A965,'Main Data'!$A$1:$A$1001,0),MATCH('Index&amp;Match'!N964,'Main Data'!$A964:$O964,0))</f>
        <v>Yes</v>
      </c>
      <c r="O965" s="2">
        <f>INDEX('Main Data'!$A$1:$O$1001,MATCH('Index&amp;Match'!$A965,'Main Data'!$A$1:$A$1001,0),MATCH('Index&amp;Match'!O964,'Main Data'!$A964:$O964,0))</f>
        <v>73</v>
      </c>
    </row>
    <row r="966" spans="1:15" x14ac:dyDescent="0.3">
      <c r="A966" s="2" t="s">
        <v>1023</v>
      </c>
      <c r="B966" s="1">
        <f>INDEX('Main Data'!$A$1:$O$1001,MATCH('Index&amp;Match'!$A966,'Main Data'!$A$1:$A$1001,0),MATCH('Index&amp;Match'!B965,'Main Data'!$A965:$O965,0))</f>
        <v>46064</v>
      </c>
      <c r="C966" s="2" t="str">
        <f>INDEX('Main Data'!$A$1:$O$1001,MATCH('Index&amp;Match'!$A966,'Main Data'!$A$1:$A$1001,0),MATCH('Index&amp;Match'!C965,'Main Data'!$A965:$O965,0))</f>
        <v>Jamie</v>
      </c>
      <c r="D966" s="2" t="str">
        <f>INDEX('Main Data'!$A$1:$O$1001,MATCH('Index&amp;Match'!$A966,'Main Data'!$A$1:$A$1001,0),MATCH('Index&amp;Match'!D965,'Main Data'!$A965:$O965,0))</f>
        <v>BR-008</v>
      </c>
      <c r="E966" s="2" t="str">
        <f>INDEX('Main Data'!$A$1:$O$1001,MATCH('Index&amp;Match'!$A966,'Main Data'!$A$1:$A$1001,0),MATCH('Index&amp;Match'!E965,'Main Data'!$A965:$O965,0))</f>
        <v>North</v>
      </c>
      <c r="F966" s="2" t="str">
        <f>INDEX('Main Data'!$A$1:$O$1001,MATCH('Index&amp;Match'!$A966,'Main Data'!$A$1:$A$1001,0),MATCH('Index&amp;Match'!F965,'Main Data'!$A965:$O965,0))</f>
        <v>Wealth Management</v>
      </c>
      <c r="G966" s="2" t="str">
        <f>INDEX('Main Data'!$A$1:$O$1001,MATCH('Index&amp;Match'!$A966,'Main Data'!$A$1:$A$1001,0),MATCH('Index&amp;Match'!G965,'Main Data'!$A965:$O965,0))</f>
        <v>Referral</v>
      </c>
      <c r="H966" s="2" t="str">
        <f>INDEX('Main Data'!$A$1:$O$1001,MATCH('Index&amp;Match'!$A966,'Main Data'!$A$1:$A$1001,0),MATCH('Index&amp;Match'!H965,'Main Data'!$A965:$O965,0))</f>
        <v>Retail</v>
      </c>
      <c r="I966" s="2">
        <f>INDEX('Main Data'!$A$1:$O$1001,MATCH('Index&amp;Match'!$A966,'Main Data'!$A$1:$A$1001,0),MATCH('Index&amp;Match'!I965,'Main Data'!$A965:$O965,0))</f>
        <v>46</v>
      </c>
      <c r="J966" s="2">
        <f>INDEX('Main Data'!$A$1:$O$1001,MATCH('Index&amp;Match'!$A966,'Main Data'!$A$1:$A$1001,0),MATCH('Index&amp;Match'!J965,'Main Data'!$A965:$O965,0))</f>
        <v>46</v>
      </c>
      <c r="K966" s="11">
        <f>INDEX('Main Data'!$A$1:$O$1001,MATCH('Index&amp;Match'!$A966,'Main Data'!$A$1:$A$1001,0),MATCH('Index&amp;Match'!K965,'Main Data'!$A965:$O965,0))</f>
        <v>7134.23</v>
      </c>
      <c r="L966" s="11">
        <f>INDEX('Main Data'!$A$1:$O$1001,MATCH('Index&amp;Match'!$A966,'Main Data'!$A$1:$A$1001,0),MATCH('Index&amp;Match'!L965,'Main Data'!$A965:$O965,0))</f>
        <v>218.79</v>
      </c>
      <c r="M966" s="11">
        <f>INDEX('Main Data'!$A$1:$O$1001,MATCH('Index&amp;Match'!$A966,'Main Data'!$A$1:$A$1001,0),MATCH('Index&amp;Match'!M965,'Main Data'!$A965:$O965,0))</f>
        <v>48.81</v>
      </c>
      <c r="N966" s="2" t="str">
        <f>INDEX('Main Data'!$A$1:$O$1001,MATCH('Index&amp;Match'!$A966,'Main Data'!$A$1:$A$1001,0),MATCH('Index&amp;Match'!N965,'Main Data'!$A965:$O965,0))</f>
        <v>Yes</v>
      </c>
      <c r="O966" s="2">
        <f>INDEX('Main Data'!$A$1:$O$1001,MATCH('Index&amp;Match'!$A966,'Main Data'!$A$1:$A$1001,0),MATCH('Index&amp;Match'!O965,'Main Data'!$A965:$O965,0))</f>
        <v>46</v>
      </c>
    </row>
    <row r="967" spans="1:15" x14ac:dyDescent="0.3">
      <c r="A967" s="2" t="s">
        <v>1024</v>
      </c>
      <c r="B967" s="1">
        <f>INDEX('Main Data'!$A$1:$O$1001,MATCH('Index&amp;Match'!$A967,'Main Data'!$A$1:$A$1001,0),MATCH('Index&amp;Match'!B966,'Main Data'!$A966:$O966,0))</f>
        <v>45876</v>
      </c>
      <c r="C967" s="2" t="str">
        <f>INDEX('Main Data'!$A$1:$O$1001,MATCH('Index&amp;Match'!$A967,'Main Data'!$A$1:$A$1001,0),MATCH('Index&amp;Match'!C966,'Main Data'!$A966:$O966,0))</f>
        <v>Alex</v>
      </c>
      <c r="D967" s="2" t="str">
        <f>INDEX('Main Data'!$A$1:$O$1001,MATCH('Index&amp;Match'!$A967,'Main Data'!$A$1:$A$1001,0),MATCH('Index&amp;Match'!D966,'Main Data'!$A966:$O966,0))</f>
        <v>BR-003</v>
      </c>
      <c r="E967" s="2" t="str">
        <f>INDEX('Main Data'!$A$1:$O$1001,MATCH('Index&amp;Match'!$A967,'Main Data'!$A$1:$A$1001,0),MATCH('Index&amp;Match'!E966,'Main Data'!$A966:$O966,0))</f>
        <v>North</v>
      </c>
      <c r="F967" s="2" t="str">
        <f>INDEX('Main Data'!$A$1:$O$1001,MATCH('Index&amp;Match'!$A967,'Main Data'!$A$1:$A$1001,0),MATCH('Index&amp;Match'!F966,'Main Data'!$A966:$O966,0))</f>
        <v>Credit Card</v>
      </c>
      <c r="G967" s="2" t="str">
        <f>INDEX('Main Data'!$A$1:$O$1001,MATCH('Index&amp;Match'!$A967,'Main Data'!$A$1:$A$1001,0),MATCH('Index&amp;Match'!G966,'Main Data'!$A966:$O966,0))</f>
        <v>Referral</v>
      </c>
      <c r="H967" s="2" t="str">
        <f>INDEX('Main Data'!$A$1:$O$1001,MATCH('Index&amp;Match'!$A967,'Main Data'!$A$1:$A$1001,0),MATCH('Index&amp;Match'!H966,'Main Data'!$A966:$O966,0))</f>
        <v>Retail</v>
      </c>
      <c r="I967" s="2">
        <f>INDEX('Main Data'!$A$1:$O$1001,MATCH('Index&amp;Match'!$A967,'Main Data'!$A$1:$A$1001,0),MATCH('Index&amp;Match'!I966,'Main Data'!$A966:$O966,0))</f>
        <v>66</v>
      </c>
      <c r="J967" s="2">
        <f>INDEX('Main Data'!$A$1:$O$1001,MATCH('Index&amp;Match'!$A967,'Main Data'!$A$1:$A$1001,0),MATCH('Index&amp;Match'!J966,'Main Data'!$A966:$O966,0))</f>
        <v>66</v>
      </c>
      <c r="K967" s="11">
        <f>INDEX('Main Data'!$A$1:$O$1001,MATCH('Index&amp;Match'!$A967,'Main Data'!$A$1:$A$1001,0),MATCH('Index&amp;Match'!K966,'Main Data'!$A966:$O966,0))</f>
        <v>6230.12</v>
      </c>
      <c r="L967" s="11">
        <f>INDEX('Main Data'!$A$1:$O$1001,MATCH('Index&amp;Match'!$A967,'Main Data'!$A$1:$A$1001,0),MATCH('Index&amp;Match'!L966,'Main Data'!$A966:$O966,0))</f>
        <v>279.02</v>
      </c>
      <c r="M967" s="11">
        <f>INDEX('Main Data'!$A$1:$O$1001,MATCH('Index&amp;Match'!$A967,'Main Data'!$A$1:$A$1001,0),MATCH('Index&amp;Match'!M966,'Main Data'!$A966:$O966,0))</f>
        <v>152.66</v>
      </c>
      <c r="N967" s="2" t="str">
        <f>INDEX('Main Data'!$A$1:$O$1001,MATCH('Index&amp;Match'!$A967,'Main Data'!$A$1:$A$1001,0),MATCH('Index&amp;Match'!N966,'Main Data'!$A966:$O966,0))</f>
        <v>No</v>
      </c>
      <c r="O967" s="2">
        <f>INDEX('Main Data'!$A$1:$O$1001,MATCH('Index&amp;Match'!$A967,'Main Data'!$A$1:$A$1001,0),MATCH('Index&amp;Match'!O966,'Main Data'!$A966:$O966,0))</f>
        <v>66</v>
      </c>
    </row>
    <row r="968" spans="1:15" x14ac:dyDescent="0.3">
      <c r="A968" s="2" t="s">
        <v>1025</v>
      </c>
      <c r="B968" s="1">
        <f>INDEX('Main Data'!$A$1:$O$1001,MATCH('Index&amp;Match'!$A968,'Main Data'!$A$1:$A$1001,0),MATCH('Index&amp;Match'!B967,'Main Data'!$A967:$O967,0))</f>
        <v>46076</v>
      </c>
      <c r="C968" s="2" t="str">
        <f>INDEX('Main Data'!$A$1:$O$1001,MATCH('Index&amp;Match'!$A968,'Main Data'!$A$1:$A$1001,0),MATCH('Index&amp;Match'!C967,'Main Data'!$A967:$O967,0))</f>
        <v>Casey</v>
      </c>
      <c r="D968" s="2" t="str">
        <f>INDEX('Main Data'!$A$1:$O$1001,MATCH('Index&amp;Match'!$A968,'Main Data'!$A$1:$A$1001,0),MATCH('Index&amp;Match'!D967,'Main Data'!$A967:$O967,0))</f>
        <v>BR-008</v>
      </c>
      <c r="E968" s="2" t="str">
        <f>INDEX('Main Data'!$A$1:$O$1001,MATCH('Index&amp;Match'!$A968,'Main Data'!$A$1:$A$1001,0),MATCH('Index&amp;Match'!E967,'Main Data'!$A967:$O967,0))</f>
        <v>North</v>
      </c>
      <c r="F968" s="2" t="str">
        <f>INDEX('Main Data'!$A$1:$O$1001,MATCH('Index&amp;Match'!$A968,'Main Data'!$A$1:$A$1001,0),MATCH('Index&amp;Match'!F967,'Main Data'!$A967:$O967,0))</f>
        <v>Credit Card</v>
      </c>
      <c r="G968" s="2" t="str">
        <f>INDEX('Main Data'!$A$1:$O$1001,MATCH('Index&amp;Match'!$A968,'Main Data'!$A$1:$A$1001,0),MATCH('Index&amp;Match'!G967,'Main Data'!$A967:$O967,0))</f>
        <v>Walk-in</v>
      </c>
      <c r="H968" s="2" t="str">
        <f>INDEX('Main Data'!$A$1:$O$1001,MATCH('Index&amp;Match'!$A968,'Main Data'!$A$1:$A$1001,0),MATCH('Index&amp;Match'!H967,'Main Data'!$A967:$O967,0))</f>
        <v>Retail</v>
      </c>
      <c r="I968" s="2">
        <f>INDEX('Main Data'!$A$1:$O$1001,MATCH('Index&amp;Match'!$A968,'Main Data'!$A$1:$A$1001,0),MATCH('Index&amp;Match'!I967,'Main Data'!$A967:$O967,0))</f>
        <v>34</v>
      </c>
      <c r="J968" s="2">
        <f>INDEX('Main Data'!$A$1:$O$1001,MATCH('Index&amp;Match'!$A968,'Main Data'!$A$1:$A$1001,0),MATCH('Index&amp;Match'!J967,'Main Data'!$A967:$O967,0))</f>
        <v>34</v>
      </c>
      <c r="K968" s="11">
        <f>INDEX('Main Data'!$A$1:$O$1001,MATCH('Index&amp;Match'!$A968,'Main Data'!$A$1:$A$1001,0),MATCH('Index&amp;Match'!K967,'Main Data'!$A967:$O967,0))</f>
        <v>42287.199999999997</v>
      </c>
      <c r="L968" s="11">
        <f>INDEX('Main Data'!$A$1:$O$1001,MATCH('Index&amp;Match'!$A968,'Main Data'!$A$1:$A$1001,0),MATCH('Index&amp;Match'!L967,'Main Data'!$A967:$O967,0))</f>
        <v>193.57</v>
      </c>
      <c r="M968" s="11">
        <f>INDEX('Main Data'!$A$1:$O$1001,MATCH('Index&amp;Match'!$A968,'Main Data'!$A$1:$A$1001,0),MATCH('Index&amp;Match'!M967,'Main Data'!$A967:$O967,0))</f>
        <v>117.29</v>
      </c>
      <c r="N968" s="2" t="str">
        <f>INDEX('Main Data'!$A$1:$O$1001,MATCH('Index&amp;Match'!$A968,'Main Data'!$A$1:$A$1001,0),MATCH('Index&amp;Match'!N967,'Main Data'!$A967:$O967,0))</f>
        <v>Yes</v>
      </c>
      <c r="O968" s="2">
        <f>INDEX('Main Data'!$A$1:$O$1001,MATCH('Index&amp;Match'!$A968,'Main Data'!$A$1:$A$1001,0),MATCH('Index&amp;Match'!O967,'Main Data'!$A967:$O967,0))</f>
        <v>34</v>
      </c>
    </row>
    <row r="969" spans="1:15" x14ac:dyDescent="0.3">
      <c r="A969" s="2" t="s">
        <v>1026</v>
      </c>
      <c r="B969" s="1">
        <f>INDEX('Main Data'!$A$1:$O$1001,MATCH('Index&amp;Match'!$A969,'Main Data'!$A$1:$A$1001,0),MATCH('Index&amp;Match'!B968,'Main Data'!$A968:$O968,0))</f>
        <v>46138</v>
      </c>
      <c r="C969" s="2" t="str">
        <f>INDEX('Main Data'!$A$1:$O$1001,MATCH('Index&amp;Match'!$A969,'Main Data'!$A$1:$A$1001,0),MATCH('Index&amp;Match'!C968,'Main Data'!$A968:$O968,0))</f>
        <v>Sam</v>
      </c>
      <c r="D969" s="2" t="str">
        <f>INDEX('Main Data'!$A$1:$O$1001,MATCH('Index&amp;Match'!$A969,'Main Data'!$A$1:$A$1001,0),MATCH('Index&amp;Match'!D968,'Main Data'!$A968:$O968,0))</f>
        <v>BR-015</v>
      </c>
      <c r="E969" s="2" t="str">
        <f>INDEX('Main Data'!$A$1:$O$1001,MATCH('Index&amp;Match'!$A969,'Main Data'!$A$1:$A$1001,0),MATCH('Index&amp;Match'!E968,'Main Data'!$A968:$O968,0))</f>
        <v>North</v>
      </c>
      <c r="F969" s="2" t="str">
        <f>INDEX('Main Data'!$A$1:$O$1001,MATCH('Index&amp;Match'!$A969,'Main Data'!$A$1:$A$1001,0),MATCH('Index&amp;Match'!F968,'Main Data'!$A968:$O968,0))</f>
        <v>Credit Card</v>
      </c>
      <c r="G969" s="2" t="str">
        <f>INDEX('Main Data'!$A$1:$O$1001,MATCH('Index&amp;Match'!$A969,'Main Data'!$A$1:$A$1001,0),MATCH('Index&amp;Match'!G968,'Main Data'!$A968:$O968,0))</f>
        <v>Social Media</v>
      </c>
      <c r="H969" s="2" t="str">
        <f>INDEX('Main Data'!$A$1:$O$1001,MATCH('Index&amp;Match'!$A969,'Main Data'!$A$1:$A$1001,0),MATCH('Index&amp;Match'!H968,'Main Data'!$A968:$O968,0))</f>
        <v>Corporate</v>
      </c>
      <c r="I969" s="2">
        <f>INDEX('Main Data'!$A$1:$O$1001,MATCH('Index&amp;Match'!$A969,'Main Data'!$A$1:$A$1001,0),MATCH('Index&amp;Match'!I968,'Main Data'!$A968:$O968,0))</f>
        <v>74</v>
      </c>
      <c r="J969" s="2">
        <f>INDEX('Main Data'!$A$1:$O$1001,MATCH('Index&amp;Match'!$A969,'Main Data'!$A$1:$A$1001,0),MATCH('Index&amp;Match'!J968,'Main Data'!$A968:$O968,0))</f>
        <v>74</v>
      </c>
      <c r="K969" s="11">
        <f>INDEX('Main Data'!$A$1:$O$1001,MATCH('Index&amp;Match'!$A969,'Main Data'!$A$1:$A$1001,0),MATCH('Index&amp;Match'!K968,'Main Data'!$A968:$O968,0))</f>
        <v>7395.47</v>
      </c>
      <c r="L969" s="11">
        <f>INDEX('Main Data'!$A$1:$O$1001,MATCH('Index&amp;Match'!$A969,'Main Data'!$A$1:$A$1001,0),MATCH('Index&amp;Match'!L968,'Main Data'!$A968:$O968,0))</f>
        <v>486.04</v>
      </c>
      <c r="M969" s="11">
        <f>INDEX('Main Data'!$A$1:$O$1001,MATCH('Index&amp;Match'!$A969,'Main Data'!$A$1:$A$1001,0),MATCH('Index&amp;Match'!M968,'Main Data'!$A968:$O968,0))</f>
        <v>52.25</v>
      </c>
      <c r="N969" s="2" t="str">
        <f>INDEX('Main Data'!$A$1:$O$1001,MATCH('Index&amp;Match'!$A969,'Main Data'!$A$1:$A$1001,0),MATCH('Index&amp;Match'!N968,'Main Data'!$A968:$O968,0))</f>
        <v>Yes</v>
      </c>
      <c r="O969" s="2">
        <f>INDEX('Main Data'!$A$1:$O$1001,MATCH('Index&amp;Match'!$A969,'Main Data'!$A$1:$A$1001,0),MATCH('Index&amp;Match'!O968,'Main Data'!$A968:$O968,0))</f>
        <v>74</v>
      </c>
    </row>
    <row r="970" spans="1:15" x14ac:dyDescent="0.3">
      <c r="A970" s="2" t="s">
        <v>1027</v>
      </c>
      <c r="B970" s="1">
        <f>INDEX('Main Data'!$A$1:$O$1001,MATCH('Index&amp;Match'!$A970,'Main Data'!$A$1:$A$1001,0),MATCH('Index&amp;Match'!B969,'Main Data'!$A969:$O969,0))</f>
        <v>45889</v>
      </c>
      <c r="C970" s="2" t="str">
        <f>INDEX('Main Data'!$A$1:$O$1001,MATCH('Index&amp;Match'!$A970,'Main Data'!$A$1:$A$1001,0),MATCH('Index&amp;Match'!C969,'Main Data'!$A969:$O969,0))</f>
        <v>Sam</v>
      </c>
      <c r="D970" s="2" t="str">
        <f>INDEX('Main Data'!$A$1:$O$1001,MATCH('Index&amp;Match'!$A970,'Main Data'!$A$1:$A$1001,0),MATCH('Index&amp;Match'!D969,'Main Data'!$A969:$O969,0))</f>
        <v>BR-005</v>
      </c>
      <c r="E970" s="2" t="str">
        <f>INDEX('Main Data'!$A$1:$O$1001,MATCH('Index&amp;Match'!$A970,'Main Data'!$A$1:$A$1001,0),MATCH('Index&amp;Match'!E969,'Main Data'!$A969:$O969,0))</f>
        <v>South</v>
      </c>
      <c r="F970" s="2" t="str">
        <f>INDEX('Main Data'!$A$1:$O$1001,MATCH('Index&amp;Match'!$A970,'Main Data'!$A$1:$A$1001,0),MATCH('Index&amp;Match'!F969,'Main Data'!$A969:$O969,0))</f>
        <v>Wealth Management</v>
      </c>
      <c r="G970" s="2" t="str">
        <f>INDEX('Main Data'!$A$1:$O$1001,MATCH('Index&amp;Match'!$A970,'Main Data'!$A$1:$A$1001,0),MATCH('Index&amp;Match'!G969,'Main Data'!$A969:$O969,0))</f>
        <v>Referral</v>
      </c>
      <c r="H970" s="2" t="str">
        <f>INDEX('Main Data'!$A$1:$O$1001,MATCH('Index&amp;Match'!$A970,'Main Data'!$A$1:$A$1001,0),MATCH('Index&amp;Match'!H969,'Main Data'!$A969:$O969,0))</f>
        <v>Corporate</v>
      </c>
      <c r="I970" s="2">
        <f>INDEX('Main Data'!$A$1:$O$1001,MATCH('Index&amp;Match'!$A970,'Main Data'!$A$1:$A$1001,0),MATCH('Index&amp;Match'!I969,'Main Data'!$A969:$O969,0))</f>
        <v>65</v>
      </c>
      <c r="J970" s="2">
        <f>INDEX('Main Data'!$A$1:$O$1001,MATCH('Index&amp;Match'!$A970,'Main Data'!$A$1:$A$1001,0),MATCH('Index&amp;Match'!J969,'Main Data'!$A969:$O969,0))</f>
        <v>65</v>
      </c>
      <c r="K970" s="11">
        <f>INDEX('Main Data'!$A$1:$O$1001,MATCH('Index&amp;Match'!$A970,'Main Data'!$A$1:$A$1001,0),MATCH('Index&amp;Match'!K969,'Main Data'!$A969:$O969,0))</f>
        <v>26251.48</v>
      </c>
      <c r="L970" s="11">
        <f>INDEX('Main Data'!$A$1:$O$1001,MATCH('Index&amp;Match'!$A970,'Main Data'!$A$1:$A$1001,0),MATCH('Index&amp;Match'!L969,'Main Data'!$A969:$O969,0))</f>
        <v>469.88</v>
      </c>
      <c r="M970" s="11">
        <f>INDEX('Main Data'!$A$1:$O$1001,MATCH('Index&amp;Match'!$A970,'Main Data'!$A$1:$A$1001,0),MATCH('Index&amp;Match'!M969,'Main Data'!$A969:$O969,0))</f>
        <v>196.38</v>
      </c>
      <c r="N970" s="2" t="str">
        <f>INDEX('Main Data'!$A$1:$O$1001,MATCH('Index&amp;Match'!$A970,'Main Data'!$A$1:$A$1001,0),MATCH('Index&amp;Match'!N969,'Main Data'!$A969:$O969,0))</f>
        <v>No</v>
      </c>
      <c r="O970" s="2">
        <f>INDEX('Main Data'!$A$1:$O$1001,MATCH('Index&amp;Match'!$A970,'Main Data'!$A$1:$A$1001,0),MATCH('Index&amp;Match'!O969,'Main Data'!$A969:$O969,0))</f>
        <v>65</v>
      </c>
    </row>
    <row r="971" spans="1:15" x14ac:dyDescent="0.3">
      <c r="A971" s="2" t="s">
        <v>1028</v>
      </c>
      <c r="B971" s="1">
        <f>INDEX('Main Data'!$A$1:$O$1001,MATCH('Index&amp;Match'!$A971,'Main Data'!$A$1:$A$1001,0),MATCH('Index&amp;Match'!B970,'Main Data'!$A970:$O970,0))</f>
        <v>46112</v>
      </c>
      <c r="C971" s="2" t="str">
        <f>INDEX('Main Data'!$A$1:$O$1001,MATCH('Index&amp;Match'!$A971,'Main Data'!$A$1:$A$1001,0),MATCH('Index&amp;Match'!C970,'Main Data'!$A970:$O970,0))</f>
        <v>Taylor</v>
      </c>
      <c r="D971" s="2" t="str">
        <f>INDEX('Main Data'!$A$1:$O$1001,MATCH('Index&amp;Match'!$A971,'Main Data'!$A$1:$A$1001,0),MATCH('Index&amp;Match'!D970,'Main Data'!$A970:$O970,0))</f>
        <v>BR-001</v>
      </c>
      <c r="E971" s="2" t="str">
        <f>INDEX('Main Data'!$A$1:$O$1001,MATCH('Index&amp;Match'!$A971,'Main Data'!$A$1:$A$1001,0),MATCH('Index&amp;Match'!E970,'Main Data'!$A970:$O970,0))</f>
        <v>West</v>
      </c>
      <c r="F971" s="2" t="str">
        <f>INDEX('Main Data'!$A$1:$O$1001,MATCH('Index&amp;Match'!$A971,'Main Data'!$A$1:$A$1001,0),MATCH('Index&amp;Match'!F970,'Main Data'!$A970:$O970,0))</f>
        <v>Wealth Management</v>
      </c>
      <c r="G971" s="2" t="str">
        <f>INDEX('Main Data'!$A$1:$O$1001,MATCH('Index&amp;Match'!$A971,'Main Data'!$A$1:$A$1001,0),MATCH('Index&amp;Match'!G970,'Main Data'!$A970:$O970,0))</f>
        <v>Website</v>
      </c>
      <c r="H971" s="2" t="str">
        <f>INDEX('Main Data'!$A$1:$O$1001,MATCH('Index&amp;Match'!$A971,'Main Data'!$A$1:$A$1001,0),MATCH('Index&amp;Match'!H970,'Main Data'!$A970:$O970,0))</f>
        <v>SME</v>
      </c>
      <c r="I971" s="2">
        <f>INDEX('Main Data'!$A$1:$O$1001,MATCH('Index&amp;Match'!$A971,'Main Data'!$A$1:$A$1001,0),MATCH('Index&amp;Match'!I970,'Main Data'!$A970:$O970,0))</f>
        <v>64</v>
      </c>
      <c r="J971" s="2">
        <f>INDEX('Main Data'!$A$1:$O$1001,MATCH('Index&amp;Match'!$A971,'Main Data'!$A$1:$A$1001,0),MATCH('Index&amp;Match'!J970,'Main Data'!$A970:$O970,0))</f>
        <v>64</v>
      </c>
      <c r="K971" s="11">
        <f>INDEX('Main Data'!$A$1:$O$1001,MATCH('Index&amp;Match'!$A971,'Main Data'!$A$1:$A$1001,0),MATCH('Index&amp;Match'!K970,'Main Data'!$A970:$O970,0))</f>
        <v>2337.11</v>
      </c>
      <c r="L971" s="11">
        <f>INDEX('Main Data'!$A$1:$O$1001,MATCH('Index&amp;Match'!$A971,'Main Data'!$A$1:$A$1001,0),MATCH('Index&amp;Match'!L970,'Main Data'!$A970:$O970,0))</f>
        <v>441.8</v>
      </c>
      <c r="M971" s="11">
        <f>INDEX('Main Data'!$A$1:$O$1001,MATCH('Index&amp;Match'!$A971,'Main Data'!$A$1:$A$1001,0),MATCH('Index&amp;Match'!M970,'Main Data'!$A970:$O970,0))</f>
        <v>179.58</v>
      </c>
      <c r="N971" s="2" t="str">
        <f>INDEX('Main Data'!$A$1:$O$1001,MATCH('Index&amp;Match'!$A971,'Main Data'!$A$1:$A$1001,0),MATCH('Index&amp;Match'!N970,'Main Data'!$A970:$O970,0))</f>
        <v>No</v>
      </c>
      <c r="O971" s="2">
        <f>INDEX('Main Data'!$A$1:$O$1001,MATCH('Index&amp;Match'!$A971,'Main Data'!$A$1:$A$1001,0),MATCH('Index&amp;Match'!O970,'Main Data'!$A970:$O970,0))</f>
        <v>64</v>
      </c>
    </row>
    <row r="972" spans="1:15" x14ac:dyDescent="0.3">
      <c r="A972" s="2" t="s">
        <v>1029</v>
      </c>
      <c r="B972" s="1">
        <f>INDEX('Main Data'!$A$1:$O$1001,MATCH('Index&amp;Match'!$A972,'Main Data'!$A$1:$A$1001,0),MATCH('Index&amp;Match'!B971,'Main Data'!$A971:$O971,0))</f>
        <v>45913</v>
      </c>
      <c r="C972" s="2" t="str">
        <f>INDEX('Main Data'!$A$1:$O$1001,MATCH('Index&amp;Match'!$A972,'Main Data'!$A$1:$A$1001,0),MATCH('Index&amp;Match'!C971,'Main Data'!$A971:$O971,0))</f>
        <v>Drew</v>
      </c>
      <c r="D972" s="2" t="str">
        <f>INDEX('Main Data'!$A$1:$O$1001,MATCH('Index&amp;Match'!$A972,'Main Data'!$A$1:$A$1001,0),MATCH('Index&amp;Match'!D971,'Main Data'!$A971:$O971,0))</f>
        <v>BR-007</v>
      </c>
      <c r="E972" s="2" t="str">
        <f>INDEX('Main Data'!$A$1:$O$1001,MATCH('Index&amp;Match'!$A972,'Main Data'!$A$1:$A$1001,0),MATCH('Index&amp;Match'!E971,'Main Data'!$A971:$O971,0))</f>
        <v>Central</v>
      </c>
      <c r="F972" s="2" t="str">
        <f>INDEX('Main Data'!$A$1:$O$1001,MATCH('Index&amp;Match'!$A972,'Main Data'!$A$1:$A$1001,0),MATCH('Index&amp;Match'!F971,'Main Data'!$A971:$O971,0))</f>
        <v>Wealth Management</v>
      </c>
      <c r="G972" s="2" t="str">
        <f>INDEX('Main Data'!$A$1:$O$1001,MATCH('Index&amp;Match'!$A972,'Main Data'!$A$1:$A$1001,0),MATCH('Index&amp;Match'!G971,'Main Data'!$A971:$O971,0))</f>
        <v>Email Campaign</v>
      </c>
      <c r="H972" s="2" t="str">
        <f>INDEX('Main Data'!$A$1:$O$1001,MATCH('Index&amp;Match'!$A972,'Main Data'!$A$1:$A$1001,0),MATCH('Index&amp;Match'!H971,'Main Data'!$A971:$O971,0))</f>
        <v>Retail</v>
      </c>
      <c r="I972" s="2">
        <f>INDEX('Main Data'!$A$1:$O$1001,MATCH('Index&amp;Match'!$A972,'Main Data'!$A$1:$A$1001,0),MATCH('Index&amp;Match'!I971,'Main Data'!$A971:$O971,0))</f>
        <v>44</v>
      </c>
      <c r="J972" s="2">
        <f>INDEX('Main Data'!$A$1:$O$1001,MATCH('Index&amp;Match'!$A972,'Main Data'!$A$1:$A$1001,0),MATCH('Index&amp;Match'!J971,'Main Data'!$A971:$O971,0))</f>
        <v>44</v>
      </c>
      <c r="K972" s="11">
        <f>INDEX('Main Data'!$A$1:$O$1001,MATCH('Index&amp;Match'!$A972,'Main Data'!$A$1:$A$1001,0),MATCH('Index&amp;Match'!K971,'Main Data'!$A971:$O971,0))</f>
        <v>4493.1499999999996</v>
      </c>
      <c r="L972" s="11">
        <f>INDEX('Main Data'!$A$1:$O$1001,MATCH('Index&amp;Match'!$A972,'Main Data'!$A$1:$A$1001,0),MATCH('Index&amp;Match'!L971,'Main Data'!$A971:$O971,0))</f>
        <v>239.82</v>
      </c>
      <c r="M972" s="11">
        <f>INDEX('Main Data'!$A$1:$O$1001,MATCH('Index&amp;Match'!$A972,'Main Data'!$A$1:$A$1001,0),MATCH('Index&amp;Match'!M971,'Main Data'!$A971:$O971,0))</f>
        <v>25.7</v>
      </c>
      <c r="N972" s="2" t="str">
        <f>INDEX('Main Data'!$A$1:$O$1001,MATCH('Index&amp;Match'!$A972,'Main Data'!$A$1:$A$1001,0),MATCH('Index&amp;Match'!N971,'Main Data'!$A971:$O971,0))</f>
        <v>No</v>
      </c>
      <c r="O972" s="2">
        <f>INDEX('Main Data'!$A$1:$O$1001,MATCH('Index&amp;Match'!$A972,'Main Data'!$A$1:$A$1001,0),MATCH('Index&amp;Match'!O971,'Main Data'!$A971:$O971,0))</f>
        <v>44</v>
      </c>
    </row>
    <row r="973" spans="1:15" x14ac:dyDescent="0.3">
      <c r="A973" s="2" t="s">
        <v>1030</v>
      </c>
      <c r="B973" s="1">
        <f>INDEX('Main Data'!$A$1:$O$1001,MATCH('Index&amp;Match'!$A973,'Main Data'!$A$1:$A$1001,0),MATCH('Index&amp;Match'!B972,'Main Data'!$A972:$O972,0))</f>
        <v>46096</v>
      </c>
      <c r="C973" s="2" t="str">
        <f>INDEX('Main Data'!$A$1:$O$1001,MATCH('Index&amp;Match'!$A973,'Main Data'!$A$1:$A$1001,0),MATCH('Index&amp;Match'!C972,'Main Data'!$A972:$O972,0))</f>
        <v>Jamie</v>
      </c>
      <c r="D973" s="2" t="str">
        <f>INDEX('Main Data'!$A$1:$O$1001,MATCH('Index&amp;Match'!$A973,'Main Data'!$A$1:$A$1001,0),MATCH('Index&amp;Match'!D972,'Main Data'!$A972:$O972,0))</f>
        <v>BR-005</v>
      </c>
      <c r="E973" s="2" t="str">
        <f>INDEX('Main Data'!$A$1:$O$1001,MATCH('Index&amp;Match'!$A973,'Main Data'!$A$1:$A$1001,0),MATCH('Index&amp;Match'!E972,'Main Data'!$A972:$O972,0))</f>
        <v>North</v>
      </c>
      <c r="F973" s="2" t="str">
        <f>INDEX('Main Data'!$A$1:$O$1001,MATCH('Index&amp;Match'!$A973,'Main Data'!$A$1:$A$1001,0),MATCH('Index&amp;Match'!F972,'Main Data'!$A972:$O972,0))</f>
        <v>Mortgage</v>
      </c>
      <c r="G973" s="2" t="str">
        <f>INDEX('Main Data'!$A$1:$O$1001,MATCH('Index&amp;Match'!$A973,'Main Data'!$A$1:$A$1001,0),MATCH('Index&amp;Match'!G972,'Main Data'!$A972:$O972,0))</f>
        <v>Website</v>
      </c>
      <c r="H973" s="2" t="str">
        <f>INDEX('Main Data'!$A$1:$O$1001,MATCH('Index&amp;Match'!$A973,'Main Data'!$A$1:$A$1001,0),MATCH('Index&amp;Match'!H972,'Main Data'!$A972:$O972,0))</f>
        <v>Corporate</v>
      </c>
      <c r="I973" s="2">
        <f>INDEX('Main Data'!$A$1:$O$1001,MATCH('Index&amp;Match'!$A973,'Main Data'!$A$1:$A$1001,0),MATCH('Index&amp;Match'!I972,'Main Data'!$A972:$O972,0))</f>
        <v>61</v>
      </c>
      <c r="J973" s="2">
        <f>INDEX('Main Data'!$A$1:$O$1001,MATCH('Index&amp;Match'!$A973,'Main Data'!$A$1:$A$1001,0),MATCH('Index&amp;Match'!J972,'Main Data'!$A972:$O972,0))</f>
        <v>61</v>
      </c>
      <c r="K973" s="11">
        <f>INDEX('Main Data'!$A$1:$O$1001,MATCH('Index&amp;Match'!$A973,'Main Data'!$A$1:$A$1001,0),MATCH('Index&amp;Match'!K972,'Main Data'!$A972:$O972,0))</f>
        <v>33781.24</v>
      </c>
      <c r="L973" s="11">
        <f>INDEX('Main Data'!$A$1:$O$1001,MATCH('Index&amp;Match'!$A973,'Main Data'!$A$1:$A$1001,0),MATCH('Index&amp;Match'!L972,'Main Data'!$A972:$O972,0))</f>
        <v>361.09</v>
      </c>
      <c r="M973" s="11">
        <f>INDEX('Main Data'!$A$1:$O$1001,MATCH('Index&amp;Match'!$A973,'Main Data'!$A$1:$A$1001,0),MATCH('Index&amp;Match'!M972,'Main Data'!$A972:$O972,0))</f>
        <v>5.23</v>
      </c>
      <c r="N973" s="2" t="str">
        <f>INDEX('Main Data'!$A$1:$O$1001,MATCH('Index&amp;Match'!$A973,'Main Data'!$A$1:$A$1001,0),MATCH('Index&amp;Match'!N972,'Main Data'!$A972:$O972,0))</f>
        <v>No</v>
      </c>
      <c r="O973" s="2">
        <f>INDEX('Main Data'!$A$1:$O$1001,MATCH('Index&amp;Match'!$A973,'Main Data'!$A$1:$A$1001,0),MATCH('Index&amp;Match'!O972,'Main Data'!$A972:$O972,0))</f>
        <v>61</v>
      </c>
    </row>
    <row r="974" spans="1:15" x14ac:dyDescent="0.3">
      <c r="A974" s="2" t="s">
        <v>1031</v>
      </c>
      <c r="B974" s="1">
        <f>INDEX('Main Data'!$A$1:$O$1001,MATCH('Index&amp;Match'!$A974,'Main Data'!$A$1:$A$1001,0),MATCH('Index&amp;Match'!B973,'Main Data'!$A973:$O973,0))</f>
        <v>46223</v>
      </c>
      <c r="C974" s="2" t="str">
        <f>INDEX('Main Data'!$A$1:$O$1001,MATCH('Index&amp;Match'!$A974,'Main Data'!$A$1:$A$1001,0),MATCH('Index&amp;Match'!C973,'Main Data'!$A973:$O973,0))</f>
        <v>Alex</v>
      </c>
      <c r="D974" s="2" t="str">
        <f>INDEX('Main Data'!$A$1:$O$1001,MATCH('Index&amp;Match'!$A974,'Main Data'!$A$1:$A$1001,0),MATCH('Index&amp;Match'!D973,'Main Data'!$A973:$O973,0))</f>
        <v>BR-006</v>
      </c>
      <c r="E974" s="2" t="str">
        <f>INDEX('Main Data'!$A$1:$O$1001,MATCH('Index&amp;Match'!$A974,'Main Data'!$A$1:$A$1001,0),MATCH('Index&amp;Match'!E973,'Main Data'!$A973:$O973,0))</f>
        <v>South</v>
      </c>
      <c r="F974" s="2" t="str">
        <f>INDEX('Main Data'!$A$1:$O$1001,MATCH('Index&amp;Match'!$A974,'Main Data'!$A$1:$A$1001,0),MATCH('Index&amp;Match'!F973,'Main Data'!$A973:$O973,0))</f>
        <v>Wealth Management</v>
      </c>
      <c r="G974" s="2" t="str">
        <f>INDEX('Main Data'!$A$1:$O$1001,MATCH('Index&amp;Match'!$A974,'Main Data'!$A$1:$A$1001,0),MATCH('Index&amp;Match'!G973,'Main Data'!$A973:$O973,0))</f>
        <v>Email Campaign</v>
      </c>
      <c r="H974" s="2" t="str">
        <f>INDEX('Main Data'!$A$1:$O$1001,MATCH('Index&amp;Match'!$A974,'Main Data'!$A$1:$A$1001,0),MATCH('Index&amp;Match'!H973,'Main Data'!$A973:$O973,0))</f>
        <v>High Net Worth</v>
      </c>
      <c r="I974" s="2">
        <f>INDEX('Main Data'!$A$1:$O$1001,MATCH('Index&amp;Match'!$A974,'Main Data'!$A$1:$A$1001,0),MATCH('Index&amp;Match'!I973,'Main Data'!$A973:$O973,0))</f>
        <v>21</v>
      </c>
      <c r="J974" s="2">
        <f>INDEX('Main Data'!$A$1:$O$1001,MATCH('Index&amp;Match'!$A974,'Main Data'!$A$1:$A$1001,0),MATCH('Index&amp;Match'!J973,'Main Data'!$A973:$O973,0))</f>
        <v>21</v>
      </c>
      <c r="K974" s="11">
        <f>INDEX('Main Data'!$A$1:$O$1001,MATCH('Index&amp;Match'!$A974,'Main Data'!$A$1:$A$1001,0),MATCH('Index&amp;Match'!K973,'Main Data'!$A973:$O973,0))</f>
        <v>34614.480000000003</v>
      </c>
      <c r="L974" s="11">
        <f>INDEX('Main Data'!$A$1:$O$1001,MATCH('Index&amp;Match'!$A974,'Main Data'!$A$1:$A$1001,0),MATCH('Index&amp;Match'!L973,'Main Data'!$A973:$O973,0))</f>
        <v>456.27</v>
      </c>
      <c r="M974" s="11">
        <f>INDEX('Main Data'!$A$1:$O$1001,MATCH('Index&amp;Match'!$A974,'Main Data'!$A$1:$A$1001,0),MATCH('Index&amp;Match'!M973,'Main Data'!$A973:$O973,0))</f>
        <v>206.5</v>
      </c>
      <c r="N974" s="2" t="str">
        <f>INDEX('Main Data'!$A$1:$O$1001,MATCH('Index&amp;Match'!$A974,'Main Data'!$A$1:$A$1001,0),MATCH('Index&amp;Match'!N973,'Main Data'!$A973:$O973,0))</f>
        <v>Yes</v>
      </c>
      <c r="O974" s="2">
        <f>INDEX('Main Data'!$A$1:$O$1001,MATCH('Index&amp;Match'!$A974,'Main Data'!$A$1:$A$1001,0),MATCH('Index&amp;Match'!O973,'Main Data'!$A973:$O973,0))</f>
        <v>21</v>
      </c>
    </row>
    <row r="975" spans="1:15" x14ac:dyDescent="0.3">
      <c r="A975" s="2" t="s">
        <v>1032</v>
      </c>
      <c r="B975" s="1">
        <f>INDEX('Main Data'!$A$1:$O$1001,MATCH('Index&amp;Match'!$A975,'Main Data'!$A$1:$A$1001,0),MATCH('Index&amp;Match'!B974,'Main Data'!$A974:$O974,0))</f>
        <v>46228</v>
      </c>
      <c r="C975" s="2" t="str">
        <f>INDEX('Main Data'!$A$1:$O$1001,MATCH('Index&amp;Match'!$A975,'Main Data'!$A$1:$A$1001,0),MATCH('Index&amp;Match'!C974,'Main Data'!$A974:$O974,0))</f>
        <v>Taylor</v>
      </c>
      <c r="D975" s="2" t="str">
        <f>INDEX('Main Data'!$A$1:$O$1001,MATCH('Index&amp;Match'!$A975,'Main Data'!$A$1:$A$1001,0),MATCH('Index&amp;Match'!D974,'Main Data'!$A974:$O974,0))</f>
        <v>BR-006</v>
      </c>
      <c r="E975" s="2" t="str">
        <f>INDEX('Main Data'!$A$1:$O$1001,MATCH('Index&amp;Match'!$A975,'Main Data'!$A$1:$A$1001,0),MATCH('Index&amp;Match'!E974,'Main Data'!$A974:$O974,0))</f>
        <v>South</v>
      </c>
      <c r="F975" s="2" t="str">
        <f>INDEX('Main Data'!$A$1:$O$1001,MATCH('Index&amp;Match'!$A975,'Main Data'!$A$1:$A$1001,0),MATCH('Index&amp;Match'!F974,'Main Data'!$A974:$O974,0))</f>
        <v>Mortgage</v>
      </c>
      <c r="G975" s="2" t="str">
        <f>INDEX('Main Data'!$A$1:$O$1001,MATCH('Index&amp;Match'!$A975,'Main Data'!$A$1:$A$1001,0),MATCH('Index&amp;Match'!G974,'Main Data'!$A974:$O974,0))</f>
        <v>Referral</v>
      </c>
      <c r="H975" s="2" t="str">
        <f>INDEX('Main Data'!$A$1:$O$1001,MATCH('Index&amp;Match'!$A975,'Main Data'!$A$1:$A$1001,0),MATCH('Index&amp;Match'!H974,'Main Data'!$A974:$O974,0))</f>
        <v>High Net Worth</v>
      </c>
      <c r="I975" s="2">
        <f>INDEX('Main Data'!$A$1:$O$1001,MATCH('Index&amp;Match'!$A975,'Main Data'!$A$1:$A$1001,0),MATCH('Index&amp;Match'!I974,'Main Data'!$A974:$O974,0))</f>
        <v>71</v>
      </c>
      <c r="J975" s="2">
        <f>INDEX('Main Data'!$A$1:$O$1001,MATCH('Index&amp;Match'!$A975,'Main Data'!$A$1:$A$1001,0),MATCH('Index&amp;Match'!J974,'Main Data'!$A974:$O974,0))</f>
        <v>71</v>
      </c>
      <c r="K975" s="11">
        <f>INDEX('Main Data'!$A$1:$O$1001,MATCH('Index&amp;Match'!$A975,'Main Data'!$A$1:$A$1001,0),MATCH('Index&amp;Match'!K974,'Main Data'!$A974:$O974,0))</f>
        <v>17402.740000000002</v>
      </c>
      <c r="L975" s="11">
        <f>INDEX('Main Data'!$A$1:$O$1001,MATCH('Index&amp;Match'!$A975,'Main Data'!$A$1:$A$1001,0),MATCH('Index&amp;Match'!L974,'Main Data'!$A974:$O974,0))</f>
        <v>432.69</v>
      </c>
      <c r="M975" s="11">
        <f>INDEX('Main Data'!$A$1:$O$1001,MATCH('Index&amp;Match'!$A975,'Main Data'!$A$1:$A$1001,0),MATCH('Index&amp;Match'!M974,'Main Data'!$A974:$O974,0))</f>
        <v>181.24</v>
      </c>
      <c r="N975" s="2" t="str">
        <f>INDEX('Main Data'!$A$1:$O$1001,MATCH('Index&amp;Match'!$A975,'Main Data'!$A$1:$A$1001,0),MATCH('Index&amp;Match'!N974,'Main Data'!$A974:$O974,0))</f>
        <v>Yes</v>
      </c>
      <c r="O975" s="2">
        <f>INDEX('Main Data'!$A$1:$O$1001,MATCH('Index&amp;Match'!$A975,'Main Data'!$A$1:$A$1001,0),MATCH('Index&amp;Match'!O974,'Main Data'!$A974:$O974,0))</f>
        <v>71</v>
      </c>
    </row>
    <row r="976" spans="1:15" x14ac:dyDescent="0.3">
      <c r="A976" s="2" t="s">
        <v>1033</v>
      </c>
      <c r="B976" s="1">
        <f>INDEX('Main Data'!$A$1:$O$1001,MATCH('Index&amp;Match'!$A976,'Main Data'!$A$1:$A$1001,0),MATCH('Index&amp;Match'!B975,'Main Data'!$A975:$O975,0))</f>
        <v>46147</v>
      </c>
      <c r="C976" s="2" t="str">
        <f>INDEX('Main Data'!$A$1:$O$1001,MATCH('Index&amp;Match'!$A976,'Main Data'!$A$1:$A$1001,0),MATCH('Index&amp;Match'!C975,'Main Data'!$A975:$O975,0))</f>
        <v>Morgan</v>
      </c>
      <c r="D976" s="2" t="str">
        <f>INDEX('Main Data'!$A$1:$O$1001,MATCH('Index&amp;Match'!$A976,'Main Data'!$A$1:$A$1001,0),MATCH('Index&amp;Match'!D975,'Main Data'!$A975:$O975,0))</f>
        <v>BR-008</v>
      </c>
      <c r="E976" s="2" t="str">
        <f>INDEX('Main Data'!$A$1:$O$1001,MATCH('Index&amp;Match'!$A976,'Main Data'!$A$1:$A$1001,0),MATCH('Index&amp;Match'!E975,'Main Data'!$A975:$O975,0))</f>
        <v>South</v>
      </c>
      <c r="F976" s="2" t="str">
        <f>INDEX('Main Data'!$A$1:$O$1001,MATCH('Index&amp;Match'!$A976,'Main Data'!$A$1:$A$1001,0),MATCH('Index&amp;Match'!F975,'Main Data'!$A975:$O975,0))</f>
        <v>Credit Card</v>
      </c>
      <c r="G976" s="2" t="str">
        <f>INDEX('Main Data'!$A$1:$O$1001,MATCH('Index&amp;Match'!$A976,'Main Data'!$A$1:$A$1001,0),MATCH('Index&amp;Match'!G975,'Main Data'!$A975:$O975,0))</f>
        <v>Walk-in</v>
      </c>
      <c r="H976" s="2" t="str">
        <f>INDEX('Main Data'!$A$1:$O$1001,MATCH('Index&amp;Match'!$A976,'Main Data'!$A$1:$A$1001,0),MATCH('Index&amp;Match'!H975,'Main Data'!$A975:$O975,0))</f>
        <v>Retail</v>
      </c>
      <c r="I976" s="2">
        <f>INDEX('Main Data'!$A$1:$O$1001,MATCH('Index&amp;Match'!$A976,'Main Data'!$A$1:$A$1001,0),MATCH('Index&amp;Match'!I975,'Main Data'!$A975:$O975,0))</f>
        <v>63</v>
      </c>
      <c r="J976" s="2">
        <f>INDEX('Main Data'!$A$1:$O$1001,MATCH('Index&amp;Match'!$A976,'Main Data'!$A$1:$A$1001,0),MATCH('Index&amp;Match'!J975,'Main Data'!$A975:$O975,0))</f>
        <v>63</v>
      </c>
      <c r="K976" s="11">
        <f>INDEX('Main Data'!$A$1:$O$1001,MATCH('Index&amp;Match'!$A976,'Main Data'!$A$1:$A$1001,0),MATCH('Index&amp;Match'!K975,'Main Data'!$A975:$O975,0))</f>
        <v>11172.68</v>
      </c>
      <c r="L976" s="11">
        <f>INDEX('Main Data'!$A$1:$O$1001,MATCH('Index&amp;Match'!$A976,'Main Data'!$A$1:$A$1001,0),MATCH('Index&amp;Match'!L975,'Main Data'!$A975:$O975,0))</f>
        <v>236.45</v>
      </c>
      <c r="M976" s="11">
        <f>INDEX('Main Data'!$A$1:$O$1001,MATCH('Index&amp;Match'!$A976,'Main Data'!$A$1:$A$1001,0),MATCH('Index&amp;Match'!M975,'Main Data'!$A975:$O975,0))</f>
        <v>187.16</v>
      </c>
      <c r="N976" s="2" t="str">
        <f>INDEX('Main Data'!$A$1:$O$1001,MATCH('Index&amp;Match'!$A976,'Main Data'!$A$1:$A$1001,0),MATCH('Index&amp;Match'!N975,'Main Data'!$A975:$O975,0))</f>
        <v>Yes</v>
      </c>
      <c r="O976" s="2">
        <f>INDEX('Main Data'!$A$1:$O$1001,MATCH('Index&amp;Match'!$A976,'Main Data'!$A$1:$A$1001,0),MATCH('Index&amp;Match'!O975,'Main Data'!$A975:$O975,0))</f>
        <v>63</v>
      </c>
    </row>
    <row r="977" spans="1:15" x14ac:dyDescent="0.3">
      <c r="A977" s="2" t="s">
        <v>1034</v>
      </c>
      <c r="B977" s="1">
        <f>INDEX('Main Data'!$A$1:$O$1001,MATCH('Index&amp;Match'!$A977,'Main Data'!$A$1:$A$1001,0),MATCH('Index&amp;Match'!B976,'Main Data'!$A976:$O976,0))</f>
        <v>46105</v>
      </c>
      <c r="C977" s="2" t="str">
        <f>INDEX('Main Data'!$A$1:$O$1001,MATCH('Index&amp;Match'!$A977,'Main Data'!$A$1:$A$1001,0),MATCH('Index&amp;Match'!C976,'Main Data'!$A976:$O976,0))</f>
        <v>Jordan</v>
      </c>
      <c r="D977" s="2" t="str">
        <f>INDEX('Main Data'!$A$1:$O$1001,MATCH('Index&amp;Match'!$A977,'Main Data'!$A$1:$A$1001,0),MATCH('Index&amp;Match'!D976,'Main Data'!$A976:$O976,0))</f>
        <v>BR-009</v>
      </c>
      <c r="E977" s="2" t="str">
        <f>INDEX('Main Data'!$A$1:$O$1001,MATCH('Index&amp;Match'!$A977,'Main Data'!$A$1:$A$1001,0),MATCH('Index&amp;Match'!E976,'Main Data'!$A976:$O976,0))</f>
        <v>West</v>
      </c>
      <c r="F977" s="2" t="str">
        <f>INDEX('Main Data'!$A$1:$O$1001,MATCH('Index&amp;Match'!$A977,'Main Data'!$A$1:$A$1001,0),MATCH('Index&amp;Match'!F976,'Main Data'!$A976:$O976,0))</f>
        <v>Credit Card</v>
      </c>
      <c r="G977" s="2" t="str">
        <f>INDEX('Main Data'!$A$1:$O$1001,MATCH('Index&amp;Match'!$A977,'Main Data'!$A$1:$A$1001,0),MATCH('Index&amp;Match'!G976,'Main Data'!$A976:$O976,0))</f>
        <v>Website</v>
      </c>
      <c r="H977" s="2" t="str">
        <f>INDEX('Main Data'!$A$1:$O$1001,MATCH('Index&amp;Match'!$A977,'Main Data'!$A$1:$A$1001,0),MATCH('Index&amp;Match'!H976,'Main Data'!$A976:$O976,0))</f>
        <v>SME</v>
      </c>
      <c r="I977" s="2">
        <f>INDEX('Main Data'!$A$1:$O$1001,MATCH('Index&amp;Match'!$A977,'Main Data'!$A$1:$A$1001,0),MATCH('Index&amp;Match'!I976,'Main Data'!$A976:$O976,0))</f>
        <v>42</v>
      </c>
      <c r="J977" s="2">
        <f>INDEX('Main Data'!$A$1:$O$1001,MATCH('Index&amp;Match'!$A977,'Main Data'!$A$1:$A$1001,0),MATCH('Index&amp;Match'!J976,'Main Data'!$A976:$O976,0))</f>
        <v>42</v>
      </c>
      <c r="K977" s="11">
        <f>INDEX('Main Data'!$A$1:$O$1001,MATCH('Index&amp;Match'!$A977,'Main Data'!$A$1:$A$1001,0),MATCH('Index&amp;Match'!K976,'Main Data'!$A976:$O976,0))</f>
        <v>40778.660000000003</v>
      </c>
      <c r="L977" s="11">
        <f>INDEX('Main Data'!$A$1:$O$1001,MATCH('Index&amp;Match'!$A977,'Main Data'!$A$1:$A$1001,0),MATCH('Index&amp;Match'!L976,'Main Data'!$A976:$O976,0))</f>
        <v>100.57</v>
      </c>
      <c r="M977" s="11">
        <f>INDEX('Main Data'!$A$1:$O$1001,MATCH('Index&amp;Match'!$A977,'Main Data'!$A$1:$A$1001,0),MATCH('Index&amp;Match'!M976,'Main Data'!$A976:$O976,0))</f>
        <v>46.8</v>
      </c>
      <c r="N977" s="2" t="str">
        <f>INDEX('Main Data'!$A$1:$O$1001,MATCH('Index&amp;Match'!$A977,'Main Data'!$A$1:$A$1001,0),MATCH('Index&amp;Match'!N976,'Main Data'!$A976:$O976,0))</f>
        <v>Yes</v>
      </c>
      <c r="O977" s="2">
        <f>INDEX('Main Data'!$A$1:$O$1001,MATCH('Index&amp;Match'!$A977,'Main Data'!$A$1:$A$1001,0),MATCH('Index&amp;Match'!O976,'Main Data'!$A976:$O976,0))</f>
        <v>42</v>
      </c>
    </row>
    <row r="978" spans="1:15" x14ac:dyDescent="0.3">
      <c r="A978" s="2" t="s">
        <v>1035</v>
      </c>
      <c r="B978" s="1">
        <f>INDEX('Main Data'!$A$1:$O$1001,MATCH('Index&amp;Match'!$A978,'Main Data'!$A$1:$A$1001,0),MATCH('Index&amp;Match'!B977,'Main Data'!$A977:$O977,0))</f>
        <v>46219</v>
      </c>
      <c r="C978" s="2" t="str">
        <f>INDEX('Main Data'!$A$1:$O$1001,MATCH('Index&amp;Match'!$A978,'Main Data'!$A$1:$A$1001,0),MATCH('Index&amp;Match'!C977,'Main Data'!$A977:$O977,0))</f>
        <v>Drew</v>
      </c>
      <c r="D978" s="2" t="str">
        <f>INDEX('Main Data'!$A$1:$O$1001,MATCH('Index&amp;Match'!$A978,'Main Data'!$A$1:$A$1001,0),MATCH('Index&amp;Match'!D977,'Main Data'!$A977:$O977,0))</f>
        <v>BR-002</v>
      </c>
      <c r="E978" s="2" t="str">
        <f>INDEX('Main Data'!$A$1:$O$1001,MATCH('Index&amp;Match'!$A978,'Main Data'!$A$1:$A$1001,0),MATCH('Index&amp;Match'!E977,'Main Data'!$A977:$O977,0))</f>
        <v>Central</v>
      </c>
      <c r="F978" s="2" t="str">
        <f>INDEX('Main Data'!$A$1:$O$1001,MATCH('Index&amp;Match'!$A978,'Main Data'!$A$1:$A$1001,0),MATCH('Index&amp;Match'!F977,'Main Data'!$A977:$O977,0))</f>
        <v>Credit Card</v>
      </c>
      <c r="G978" s="2" t="str">
        <f>INDEX('Main Data'!$A$1:$O$1001,MATCH('Index&amp;Match'!$A978,'Main Data'!$A$1:$A$1001,0),MATCH('Index&amp;Match'!G977,'Main Data'!$A977:$O977,0))</f>
        <v>Website</v>
      </c>
      <c r="H978" s="2" t="str">
        <f>INDEX('Main Data'!$A$1:$O$1001,MATCH('Index&amp;Match'!$A978,'Main Data'!$A$1:$A$1001,0),MATCH('Index&amp;Match'!H977,'Main Data'!$A977:$O977,0))</f>
        <v>SME</v>
      </c>
      <c r="I978" s="2">
        <f>INDEX('Main Data'!$A$1:$O$1001,MATCH('Index&amp;Match'!$A978,'Main Data'!$A$1:$A$1001,0),MATCH('Index&amp;Match'!I977,'Main Data'!$A977:$O977,0))</f>
        <v>43</v>
      </c>
      <c r="J978" s="2">
        <f>INDEX('Main Data'!$A$1:$O$1001,MATCH('Index&amp;Match'!$A978,'Main Data'!$A$1:$A$1001,0),MATCH('Index&amp;Match'!J977,'Main Data'!$A977:$O977,0))</f>
        <v>43</v>
      </c>
      <c r="K978" s="11">
        <f>INDEX('Main Data'!$A$1:$O$1001,MATCH('Index&amp;Match'!$A978,'Main Data'!$A$1:$A$1001,0),MATCH('Index&amp;Match'!K977,'Main Data'!$A977:$O977,0))</f>
        <v>11246.61</v>
      </c>
      <c r="L978" s="11">
        <f>INDEX('Main Data'!$A$1:$O$1001,MATCH('Index&amp;Match'!$A978,'Main Data'!$A$1:$A$1001,0),MATCH('Index&amp;Match'!L977,'Main Data'!$A977:$O977,0))</f>
        <v>84.03</v>
      </c>
      <c r="M978" s="11">
        <f>INDEX('Main Data'!$A$1:$O$1001,MATCH('Index&amp;Match'!$A978,'Main Data'!$A$1:$A$1001,0),MATCH('Index&amp;Match'!M977,'Main Data'!$A977:$O977,0))</f>
        <v>16.88</v>
      </c>
      <c r="N978" s="2" t="str">
        <f>INDEX('Main Data'!$A$1:$O$1001,MATCH('Index&amp;Match'!$A978,'Main Data'!$A$1:$A$1001,0),MATCH('Index&amp;Match'!N977,'Main Data'!$A977:$O977,0))</f>
        <v>No</v>
      </c>
      <c r="O978" s="2">
        <f>INDEX('Main Data'!$A$1:$O$1001,MATCH('Index&amp;Match'!$A978,'Main Data'!$A$1:$A$1001,0),MATCH('Index&amp;Match'!O977,'Main Data'!$A977:$O977,0))</f>
        <v>43</v>
      </c>
    </row>
    <row r="979" spans="1:15" x14ac:dyDescent="0.3">
      <c r="A979" s="2" t="s">
        <v>1036</v>
      </c>
      <c r="B979" s="1">
        <f>INDEX('Main Data'!$A$1:$O$1001,MATCH('Index&amp;Match'!$A979,'Main Data'!$A$1:$A$1001,0),MATCH('Index&amp;Match'!B978,'Main Data'!$A978:$O978,0))</f>
        <v>46003</v>
      </c>
      <c r="C979" s="2" t="str">
        <f>INDEX('Main Data'!$A$1:$O$1001,MATCH('Index&amp;Match'!$A979,'Main Data'!$A$1:$A$1001,0),MATCH('Index&amp;Match'!C978,'Main Data'!$A978:$O978,0))</f>
        <v>Drew</v>
      </c>
      <c r="D979" s="2" t="str">
        <f>INDEX('Main Data'!$A$1:$O$1001,MATCH('Index&amp;Match'!$A979,'Main Data'!$A$1:$A$1001,0),MATCH('Index&amp;Match'!D978,'Main Data'!$A978:$O978,0))</f>
        <v>BR-009</v>
      </c>
      <c r="E979" s="2" t="str">
        <f>INDEX('Main Data'!$A$1:$O$1001,MATCH('Index&amp;Match'!$A979,'Main Data'!$A$1:$A$1001,0),MATCH('Index&amp;Match'!E978,'Main Data'!$A978:$O978,0))</f>
        <v>West</v>
      </c>
      <c r="F979" s="2" t="str">
        <f>INDEX('Main Data'!$A$1:$O$1001,MATCH('Index&amp;Match'!$A979,'Main Data'!$A$1:$A$1001,0),MATCH('Index&amp;Match'!F978,'Main Data'!$A978:$O978,0))</f>
        <v>Personal Loan</v>
      </c>
      <c r="G979" s="2" t="str">
        <f>INDEX('Main Data'!$A$1:$O$1001,MATCH('Index&amp;Match'!$A979,'Main Data'!$A$1:$A$1001,0),MATCH('Index&amp;Match'!G978,'Main Data'!$A978:$O978,0))</f>
        <v>Website</v>
      </c>
      <c r="H979" s="2" t="str">
        <f>INDEX('Main Data'!$A$1:$O$1001,MATCH('Index&amp;Match'!$A979,'Main Data'!$A$1:$A$1001,0),MATCH('Index&amp;Match'!H978,'Main Data'!$A978:$O978,0))</f>
        <v>High Net Worth</v>
      </c>
      <c r="I979" s="2">
        <f>INDEX('Main Data'!$A$1:$O$1001,MATCH('Index&amp;Match'!$A979,'Main Data'!$A$1:$A$1001,0),MATCH('Index&amp;Match'!I978,'Main Data'!$A978:$O978,0))</f>
        <v>74</v>
      </c>
      <c r="J979" s="2">
        <f>INDEX('Main Data'!$A$1:$O$1001,MATCH('Index&amp;Match'!$A979,'Main Data'!$A$1:$A$1001,0),MATCH('Index&amp;Match'!J978,'Main Data'!$A978:$O978,0))</f>
        <v>74</v>
      </c>
      <c r="K979" s="11">
        <f>INDEX('Main Data'!$A$1:$O$1001,MATCH('Index&amp;Match'!$A979,'Main Data'!$A$1:$A$1001,0),MATCH('Index&amp;Match'!K978,'Main Data'!$A978:$O978,0))</f>
        <v>27330.34</v>
      </c>
      <c r="L979" s="11">
        <f>INDEX('Main Data'!$A$1:$O$1001,MATCH('Index&amp;Match'!$A979,'Main Data'!$A$1:$A$1001,0),MATCH('Index&amp;Match'!L978,'Main Data'!$A978:$O978,0))</f>
        <v>309.68</v>
      </c>
      <c r="M979" s="11">
        <f>INDEX('Main Data'!$A$1:$O$1001,MATCH('Index&amp;Match'!$A979,'Main Data'!$A$1:$A$1001,0),MATCH('Index&amp;Match'!M978,'Main Data'!$A978:$O978,0))</f>
        <v>77.760000000000005</v>
      </c>
      <c r="N979" s="2" t="str">
        <f>INDEX('Main Data'!$A$1:$O$1001,MATCH('Index&amp;Match'!$A979,'Main Data'!$A$1:$A$1001,0),MATCH('Index&amp;Match'!N978,'Main Data'!$A978:$O978,0))</f>
        <v>Yes</v>
      </c>
      <c r="O979" s="2">
        <f>INDEX('Main Data'!$A$1:$O$1001,MATCH('Index&amp;Match'!$A979,'Main Data'!$A$1:$A$1001,0),MATCH('Index&amp;Match'!O978,'Main Data'!$A978:$O978,0))</f>
        <v>74</v>
      </c>
    </row>
    <row r="980" spans="1:15" x14ac:dyDescent="0.3">
      <c r="A980" s="2" t="s">
        <v>1037</v>
      </c>
      <c r="B980" s="1">
        <f>INDEX('Main Data'!$A$1:$O$1001,MATCH('Index&amp;Match'!$A980,'Main Data'!$A$1:$A$1001,0),MATCH('Index&amp;Match'!B979,'Main Data'!$A979:$O979,0))</f>
        <v>46092</v>
      </c>
      <c r="C980" s="2" t="str">
        <f>INDEX('Main Data'!$A$1:$O$1001,MATCH('Index&amp;Match'!$A980,'Main Data'!$A$1:$A$1001,0),MATCH('Index&amp;Match'!C979,'Main Data'!$A979:$O979,0))</f>
        <v>Drew</v>
      </c>
      <c r="D980" s="2" t="str">
        <f>INDEX('Main Data'!$A$1:$O$1001,MATCH('Index&amp;Match'!$A980,'Main Data'!$A$1:$A$1001,0),MATCH('Index&amp;Match'!D979,'Main Data'!$A979:$O979,0))</f>
        <v>BR-012</v>
      </c>
      <c r="E980" s="2" t="str">
        <f>INDEX('Main Data'!$A$1:$O$1001,MATCH('Index&amp;Match'!$A980,'Main Data'!$A$1:$A$1001,0),MATCH('Index&amp;Match'!E979,'Main Data'!$A979:$O979,0))</f>
        <v>East</v>
      </c>
      <c r="F980" s="2" t="str">
        <f>INDEX('Main Data'!$A$1:$O$1001,MATCH('Index&amp;Match'!$A980,'Main Data'!$A$1:$A$1001,0),MATCH('Index&amp;Match'!F979,'Main Data'!$A979:$O979,0))</f>
        <v>Personal Loan</v>
      </c>
      <c r="G980" s="2" t="str">
        <f>INDEX('Main Data'!$A$1:$O$1001,MATCH('Index&amp;Match'!$A980,'Main Data'!$A$1:$A$1001,0),MATCH('Index&amp;Match'!G979,'Main Data'!$A979:$O979,0))</f>
        <v>Email Campaign</v>
      </c>
      <c r="H980" s="2" t="str">
        <f>INDEX('Main Data'!$A$1:$O$1001,MATCH('Index&amp;Match'!$A980,'Main Data'!$A$1:$A$1001,0),MATCH('Index&amp;Match'!H979,'Main Data'!$A979:$O979,0))</f>
        <v>SME</v>
      </c>
      <c r="I980" s="2">
        <f>INDEX('Main Data'!$A$1:$O$1001,MATCH('Index&amp;Match'!$A980,'Main Data'!$A$1:$A$1001,0),MATCH('Index&amp;Match'!I979,'Main Data'!$A979:$O979,0))</f>
        <v>39</v>
      </c>
      <c r="J980" s="2">
        <f>INDEX('Main Data'!$A$1:$O$1001,MATCH('Index&amp;Match'!$A980,'Main Data'!$A$1:$A$1001,0),MATCH('Index&amp;Match'!J979,'Main Data'!$A979:$O979,0))</f>
        <v>39</v>
      </c>
      <c r="K980" s="11">
        <f>INDEX('Main Data'!$A$1:$O$1001,MATCH('Index&amp;Match'!$A980,'Main Data'!$A$1:$A$1001,0),MATCH('Index&amp;Match'!K979,'Main Data'!$A979:$O979,0))</f>
        <v>48426.34</v>
      </c>
      <c r="L980" s="11">
        <f>INDEX('Main Data'!$A$1:$O$1001,MATCH('Index&amp;Match'!$A980,'Main Data'!$A$1:$A$1001,0),MATCH('Index&amp;Match'!L979,'Main Data'!$A979:$O979,0))</f>
        <v>339.18</v>
      </c>
      <c r="M980" s="11">
        <f>INDEX('Main Data'!$A$1:$O$1001,MATCH('Index&amp;Match'!$A980,'Main Data'!$A$1:$A$1001,0),MATCH('Index&amp;Match'!M979,'Main Data'!$A979:$O979,0))</f>
        <v>3.79</v>
      </c>
      <c r="N980" s="2" t="str">
        <f>INDEX('Main Data'!$A$1:$O$1001,MATCH('Index&amp;Match'!$A980,'Main Data'!$A$1:$A$1001,0),MATCH('Index&amp;Match'!N979,'Main Data'!$A979:$O979,0))</f>
        <v>Yes</v>
      </c>
      <c r="O980" s="2">
        <f>INDEX('Main Data'!$A$1:$O$1001,MATCH('Index&amp;Match'!$A980,'Main Data'!$A$1:$A$1001,0),MATCH('Index&amp;Match'!O979,'Main Data'!$A979:$O979,0))</f>
        <v>39</v>
      </c>
    </row>
    <row r="981" spans="1:15" x14ac:dyDescent="0.3">
      <c r="A981" s="2" t="s">
        <v>1038</v>
      </c>
      <c r="B981" s="1">
        <f>INDEX('Main Data'!$A$1:$O$1001,MATCH('Index&amp;Match'!$A981,'Main Data'!$A$1:$A$1001,0),MATCH('Index&amp;Match'!B980,'Main Data'!$A980:$O980,0))</f>
        <v>45973</v>
      </c>
      <c r="C981" s="2" t="str">
        <f>INDEX('Main Data'!$A$1:$O$1001,MATCH('Index&amp;Match'!$A981,'Main Data'!$A$1:$A$1001,0),MATCH('Index&amp;Match'!C980,'Main Data'!$A980:$O980,0))</f>
        <v>Sam</v>
      </c>
      <c r="D981" s="2" t="str">
        <f>INDEX('Main Data'!$A$1:$O$1001,MATCH('Index&amp;Match'!$A981,'Main Data'!$A$1:$A$1001,0),MATCH('Index&amp;Match'!D980,'Main Data'!$A980:$O980,0))</f>
        <v>BR-015</v>
      </c>
      <c r="E981" s="2" t="str">
        <f>INDEX('Main Data'!$A$1:$O$1001,MATCH('Index&amp;Match'!$A981,'Main Data'!$A$1:$A$1001,0),MATCH('Index&amp;Match'!E980,'Main Data'!$A980:$O980,0))</f>
        <v>South</v>
      </c>
      <c r="F981" s="2" t="str">
        <f>INDEX('Main Data'!$A$1:$O$1001,MATCH('Index&amp;Match'!$A981,'Main Data'!$A$1:$A$1001,0),MATCH('Index&amp;Match'!F980,'Main Data'!$A980:$O980,0))</f>
        <v>Auto Loan</v>
      </c>
      <c r="G981" s="2" t="str">
        <f>INDEX('Main Data'!$A$1:$O$1001,MATCH('Index&amp;Match'!$A981,'Main Data'!$A$1:$A$1001,0),MATCH('Index&amp;Match'!G980,'Main Data'!$A980:$O980,0))</f>
        <v>Referral</v>
      </c>
      <c r="H981" s="2" t="str">
        <f>INDEX('Main Data'!$A$1:$O$1001,MATCH('Index&amp;Match'!$A981,'Main Data'!$A$1:$A$1001,0),MATCH('Index&amp;Match'!H980,'Main Data'!$A980:$O980,0))</f>
        <v>Retail</v>
      </c>
      <c r="I981" s="2">
        <f>INDEX('Main Data'!$A$1:$O$1001,MATCH('Index&amp;Match'!$A981,'Main Data'!$A$1:$A$1001,0),MATCH('Index&amp;Match'!I980,'Main Data'!$A980:$O980,0))</f>
        <v>38</v>
      </c>
      <c r="J981" s="2">
        <f>INDEX('Main Data'!$A$1:$O$1001,MATCH('Index&amp;Match'!$A981,'Main Data'!$A$1:$A$1001,0),MATCH('Index&amp;Match'!J980,'Main Data'!$A980:$O980,0))</f>
        <v>38</v>
      </c>
      <c r="K981" s="11">
        <f>INDEX('Main Data'!$A$1:$O$1001,MATCH('Index&amp;Match'!$A981,'Main Data'!$A$1:$A$1001,0),MATCH('Index&amp;Match'!K980,'Main Data'!$A980:$O980,0))</f>
        <v>7818.7</v>
      </c>
      <c r="L981" s="11">
        <f>INDEX('Main Data'!$A$1:$O$1001,MATCH('Index&amp;Match'!$A981,'Main Data'!$A$1:$A$1001,0),MATCH('Index&amp;Match'!L980,'Main Data'!$A980:$O980,0))</f>
        <v>432.43</v>
      </c>
      <c r="M981" s="11">
        <f>INDEX('Main Data'!$A$1:$O$1001,MATCH('Index&amp;Match'!$A981,'Main Data'!$A$1:$A$1001,0),MATCH('Index&amp;Match'!M980,'Main Data'!$A980:$O980,0))</f>
        <v>7.18</v>
      </c>
      <c r="N981" s="2" t="str">
        <f>INDEX('Main Data'!$A$1:$O$1001,MATCH('Index&amp;Match'!$A981,'Main Data'!$A$1:$A$1001,0),MATCH('Index&amp;Match'!N980,'Main Data'!$A980:$O980,0))</f>
        <v>Yes</v>
      </c>
      <c r="O981" s="2">
        <f>INDEX('Main Data'!$A$1:$O$1001,MATCH('Index&amp;Match'!$A981,'Main Data'!$A$1:$A$1001,0),MATCH('Index&amp;Match'!O980,'Main Data'!$A980:$O980,0))</f>
        <v>38</v>
      </c>
    </row>
    <row r="982" spans="1:15" x14ac:dyDescent="0.3">
      <c r="A982" s="2" t="s">
        <v>1039</v>
      </c>
      <c r="B982" s="1">
        <f>INDEX('Main Data'!$A$1:$O$1001,MATCH('Index&amp;Match'!$A982,'Main Data'!$A$1:$A$1001,0),MATCH('Index&amp;Match'!B981,'Main Data'!$A981:$O981,0))</f>
        <v>45957</v>
      </c>
      <c r="C982" s="2" t="str">
        <f>INDEX('Main Data'!$A$1:$O$1001,MATCH('Index&amp;Match'!$A982,'Main Data'!$A$1:$A$1001,0),MATCH('Index&amp;Match'!C981,'Main Data'!$A981:$O981,0))</f>
        <v>Morgan</v>
      </c>
      <c r="D982" s="2" t="str">
        <f>INDEX('Main Data'!$A$1:$O$1001,MATCH('Index&amp;Match'!$A982,'Main Data'!$A$1:$A$1001,0),MATCH('Index&amp;Match'!D981,'Main Data'!$A981:$O981,0))</f>
        <v>BR-011</v>
      </c>
      <c r="E982" s="2" t="str">
        <f>INDEX('Main Data'!$A$1:$O$1001,MATCH('Index&amp;Match'!$A982,'Main Data'!$A$1:$A$1001,0),MATCH('Index&amp;Match'!E981,'Main Data'!$A981:$O981,0))</f>
        <v>East</v>
      </c>
      <c r="F982" s="2" t="str">
        <f>INDEX('Main Data'!$A$1:$O$1001,MATCH('Index&amp;Match'!$A982,'Main Data'!$A$1:$A$1001,0),MATCH('Index&amp;Match'!F981,'Main Data'!$A981:$O981,0))</f>
        <v>Auto Loan</v>
      </c>
      <c r="G982" s="2" t="str">
        <f>INDEX('Main Data'!$A$1:$O$1001,MATCH('Index&amp;Match'!$A982,'Main Data'!$A$1:$A$1001,0),MATCH('Index&amp;Match'!G981,'Main Data'!$A981:$O981,0))</f>
        <v>Website</v>
      </c>
      <c r="H982" s="2" t="str">
        <f>INDEX('Main Data'!$A$1:$O$1001,MATCH('Index&amp;Match'!$A982,'Main Data'!$A$1:$A$1001,0),MATCH('Index&amp;Match'!H981,'Main Data'!$A981:$O981,0))</f>
        <v>High Net Worth</v>
      </c>
      <c r="I982" s="2">
        <f>INDEX('Main Data'!$A$1:$O$1001,MATCH('Index&amp;Match'!$A982,'Main Data'!$A$1:$A$1001,0),MATCH('Index&amp;Match'!I981,'Main Data'!$A981:$O981,0))</f>
        <v>32</v>
      </c>
      <c r="J982" s="2">
        <f>INDEX('Main Data'!$A$1:$O$1001,MATCH('Index&amp;Match'!$A982,'Main Data'!$A$1:$A$1001,0),MATCH('Index&amp;Match'!J981,'Main Data'!$A981:$O981,0))</f>
        <v>32</v>
      </c>
      <c r="K982" s="11">
        <f>INDEX('Main Data'!$A$1:$O$1001,MATCH('Index&amp;Match'!$A982,'Main Data'!$A$1:$A$1001,0),MATCH('Index&amp;Match'!K981,'Main Data'!$A981:$O981,0))</f>
        <v>47073.38</v>
      </c>
      <c r="L982" s="11">
        <f>INDEX('Main Data'!$A$1:$O$1001,MATCH('Index&amp;Match'!$A982,'Main Data'!$A$1:$A$1001,0),MATCH('Index&amp;Match'!L981,'Main Data'!$A981:$O981,0))</f>
        <v>181.63</v>
      </c>
      <c r="M982" s="11">
        <f>INDEX('Main Data'!$A$1:$O$1001,MATCH('Index&amp;Match'!$A982,'Main Data'!$A$1:$A$1001,0),MATCH('Index&amp;Match'!M981,'Main Data'!$A981:$O981,0))</f>
        <v>274.45999999999998</v>
      </c>
      <c r="N982" s="2" t="str">
        <f>INDEX('Main Data'!$A$1:$O$1001,MATCH('Index&amp;Match'!$A982,'Main Data'!$A$1:$A$1001,0),MATCH('Index&amp;Match'!N981,'Main Data'!$A981:$O981,0))</f>
        <v>Yes</v>
      </c>
      <c r="O982" s="2">
        <f>INDEX('Main Data'!$A$1:$O$1001,MATCH('Index&amp;Match'!$A982,'Main Data'!$A$1:$A$1001,0),MATCH('Index&amp;Match'!O981,'Main Data'!$A981:$O981,0))</f>
        <v>32</v>
      </c>
    </row>
    <row r="983" spans="1:15" x14ac:dyDescent="0.3">
      <c r="A983" s="2" t="s">
        <v>1040</v>
      </c>
      <c r="B983" s="1">
        <f>INDEX('Main Data'!$A$1:$O$1001,MATCH('Index&amp;Match'!$A983,'Main Data'!$A$1:$A$1001,0),MATCH('Index&amp;Match'!B982,'Main Data'!$A982:$O982,0))</f>
        <v>46086</v>
      </c>
      <c r="C983" s="2" t="str">
        <f>INDEX('Main Data'!$A$1:$O$1001,MATCH('Index&amp;Match'!$A983,'Main Data'!$A$1:$A$1001,0),MATCH('Index&amp;Match'!C982,'Main Data'!$A982:$O982,0))</f>
        <v>Drew</v>
      </c>
      <c r="D983" s="2" t="str">
        <f>INDEX('Main Data'!$A$1:$O$1001,MATCH('Index&amp;Match'!$A983,'Main Data'!$A$1:$A$1001,0),MATCH('Index&amp;Match'!D982,'Main Data'!$A982:$O982,0))</f>
        <v>BR-010</v>
      </c>
      <c r="E983" s="2" t="str">
        <f>INDEX('Main Data'!$A$1:$O$1001,MATCH('Index&amp;Match'!$A983,'Main Data'!$A$1:$A$1001,0),MATCH('Index&amp;Match'!E982,'Main Data'!$A982:$O982,0))</f>
        <v>North</v>
      </c>
      <c r="F983" s="2" t="str">
        <f>INDEX('Main Data'!$A$1:$O$1001,MATCH('Index&amp;Match'!$A983,'Main Data'!$A$1:$A$1001,0),MATCH('Index&amp;Match'!F982,'Main Data'!$A982:$O982,0))</f>
        <v>Auto Loan</v>
      </c>
      <c r="G983" s="2" t="str">
        <f>INDEX('Main Data'!$A$1:$O$1001,MATCH('Index&amp;Match'!$A983,'Main Data'!$A$1:$A$1001,0),MATCH('Index&amp;Match'!G982,'Main Data'!$A982:$O982,0))</f>
        <v>Website</v>
      </c>
      <c r="H983" s="2" t="str">
        <f>INDEX('Main Data'!$A$1:$O$1001,MATCH('Index&amp;Match'!$A983,'Main Data'!$A$1:$A$1001,0),MATCH('Index&amp;Match'!H982,'Main Data'!$A982:$O982,0))</f>
        <v>Corporate</v>
      </c>
      <c r="I983" s="2">
        <f>INDEX('Main Data'!$A$1:$O$1001,MATCH('Index&amp;Match'!$A983,'Main Data'!$A$1:$A$1001,0),MATCH('Index&amp;Match'!I982,'Main Data'!$A982:$O982,0))</f>
        <v>48</v>
      </c>
      <c r="J983" s="2">
        <f>INDEX('Main Data'!$A$1:$O$1001,MATCH('Index&amp;Match'!$A983,'Main Data'!$A$1:$A$1001,0),MATCH('Index&amp;Match'!J982,'Main Data'!$A982:$O982,0))</f>
        <v>48</v>
      </c>
      <c r="K983" s="11">
        <f>INDEX('Main Data'!$A$1:$O$1001,MATCH('Index&amp;Match'!$A983,'Main Data'!$A$1:$A$1001,0),MATCH('Index&amp;Match'!K982,'Main Data'!$A982:$O982,0))</f>
        <v>9553.2099999999991</v>
      </c>
      <c r="L983" s="11">
        <f>INDEX('Main Data'!$A$1:$O$1001,MATCH('Index&amp;Match'!$A983,'Main Data'!$A$1:$A$1001,0),MATCH('Index&amp;Match'!L982,'Main Data'!$A982:$O982,0))</f>
        <v>125.36</v>
      </c>
      <c r="M983" s="11">
        <f>INDEX('Main Data'!$A$1:$O$1001,MATCH('Index&amp;Match'!$A983,'Main Data'!$A$1:$A$1001,0),MATCH('Index&amp;Match'!M982,'Main Data'!$A982:$O982,0))</f>
        <v>70.400000000000006</v>
      </c>
      <c r="N983" s="2" t="str">
        <f>INDEX('Main Data'!$A$1:$O$1001,MATCH('Index&amp;Match'!$A983,'Main Data'!$A$1:$A$1001,0),MATCH('Index&amp;Match'!N982,'Main Data'!$A982:$O982,0))</f>
        <v>No</v>
      </c>
      <c r="O983" s="2">
        <f>INDEX('Main Data'!$A$1:$O$1001,MATCH('Index&amp;Match'!$A983,'Main Data'!$A$1:$A$1001,0),MATCH('Index&amp;Match'!O982,'Main Data'!$A982:$O982,0))</f>
        <v>48</v>
      </c>
    </row>
    <row r="984" spans="1:15" x14ac:dyDescent="0.3">
      <c r="A984" s="2" t="s">
        <v>1041</v>
      </c>
      <c r="B984" s="1">
        <f>INDEX('Main Data'!$A$1:$O$1001,MATCH('Index&amp;Match'!$A984,'Main Data'!$A$1:$A$1001,0),MATCH('Index&amp;Match'!B983,'Main Data'!$A983:$O983,0))</f>
        <v>45968</v>
      </c>
      <c r="C984" s="2" t="str">
        <f>INDEX('Main Data'!$A$1:$O$1001,MATCH('Index&amp;Match'!$A984,'Main Data'!$A$1:$A$1001,0),MATCH('Index&amp;Match'!C983,'Main Data'!$A983:$O983,0))</f>
        <v>Morgan</v>
      </c>
      <c r="D984" s="2" t="str">
        <f>INDEX('Main Data'!$A$1:$O$1001,MATCH('Index&amp;Match'!$A984,'Main Data'!$A$1:$A$1001,0),MATCH('Index&amp;Match'!D983,'Main Data'!$A983:$O983,0))</f>
        <v>BR-009</v>
      </c>
      <c r="E984" s="2" t="str">
        <f>INDEX('Main Data'!$A$1:$O$1001,MATCH('Index&amp;Match'!$A984,'Main Data'!$A$1:$A$1001,0),MATCH('Index&amp;Match'!E983,'Main Data'!$A983:$O983,0))</f>
        <v>North</v>
      </c>
      <c r="F984" s="2" t="str">
        <f>INDEX('Main Data'!$A$1:$O$1001,MATCH('Index&amp;Match'!$A984,'Main Data'!$A$1:$A$1001,0),MATCH('Index&amp;Match'!F983,'Main Data'!$A983:$O983,0))</f>
        <v>Personal Loan</v>
      </c>
      <c r="G984" s="2" t="str">
        <f>INDEX('Main Data'!$A$1:$O$1001,MATCH('Index&amp;Match'!$A984,'Main Data'!$A$1:$A$1001,0),MATCH('Index&amp;Match'!G983,'Main Data'!$A983:$O983,0))</f>
        <v>Walk-in</v>
      </c>
      <c r="H984" s="2" t="str">
        <f>INDEX('Main Data'!$A$1:$O$1001,MATCH('Index&amp;Match'!$A984,'Main Data'!$A$1:$A$1001,0),MATCH('Index&amp;Match'!H983,'Main Data'!$A983:$O983,0))</f>
        <v>Corporate</v>
      </c>
      <c r="I984" s="2">
        <f>INDEX('Main Data'!$A$1:$O$1001,MATCH('Index&amp;Match'!$A984,'Main Data'!$A$1:$A$1001,0),MATCH('Index&amp;Match'!I983,'Main Data'!$A983:$O983,0))</f>
        <v>48</v>
      </c>
      <c r="J984" s="2">
        <f>INDEX('Main Data'!$A$1:$O$1001,MATCH('Index&amp;Match'!$A984,'Main Data'!$A$1:$A$1001,0),MATCH('Index&amp;Match'!J983,'Main Data'!$A983:$O983,0))</f>
        <v>48</v>
      </c>
      <c r="K984" s="11">
        <f>INDEX('Main Data'!$A$1:$O$1001,MATCH('Index&amp;Match'!$A984,'Main Data'!$A$1:$A$1001,0),MATCH('Index&amp;Match'!K983,'Main Data'!$A983:$O983,0))</f>
        <v>28588.44</v>
      </c>
      <c r="L984" s="11">
        <f>INDEX('Main Data'!$A$1:$O$1001,MATCH('Index&amp;Match'!$A984,'Main Data'!$A$1:$A$1001,0),MATCH('Index&amp;Match'!L983,'Main Data'!$A983:$O983,0))</f>
        <v>220.55</v>
      </c>
      <c r="M984" s="11">
        <f>INDEX('Main Data'!$A$1:$O$1001,MATCH('Index&amp;Match'!$A984,'Main Data'!$A$1:$A$1001,0),MATCH('Index&amp;Match'!M983,'Main Data'!$A983:$O983,0))</f>
        <v>82.16</v>
      </c>
      <c r="N984" s="2" t="str">
        <f>INDEX('Main Data'!$A$1:$O$1001,MATCH('Index&amp;Match'!$A984,'Main Data'!$A$1:$A$1001,0),MATCH('Index&amp;Match'!N983,'Main Data'!$A983:$O983,0))</f>
        <v>Yes</v>
      </c>
      <c r="O984" s="2">
        <f>INDEX('Main Data'!$A$1:$O$1001,MATCH('Index&amp;Match'!$A984,'Main Data'!$A$1:$A$1001,0),MATCH('Index&amp;Match'!O983,'Main Data'!$A983:$O983,0))</f>
        <v>48</v>
      </c>
    </row>
    <row r="985" spans="1:15" x14ac:dyDescent="0.3">
      <c r="A985" s="2" t="s">
        <v>1042</v>
      </c>
      <c r="B985" s="1">
        <f>INDEX('Main Data'!$A$1:$O$1001,MATCH('Index&amp;Match'!$A985,'Main Data'!$A$1:$A$1001,0),MATCH('Index&amp;Match'!B984,'Main Data'!$A984:$O984,0))</f>
        <v>46055</v>
      </c>
      <c r="C985" s="2" t="str">
        <f>INDEX('Main Data'!$A$1:$O$1001,MATCH('Index&amp;Match'!$A985,'Main Data'!$A$1:$A$1001,0),MATCH('Index&amp;Match'!C984,'Main Data'!$A984:$O984,0))</f>
        <v>Casey</v>
      </c>
      <c r="D985" s="2" t="str">
        <f>INDEX('Main Data'!$A$1:$O$1001,MATCH('Index&amp;Match'!$A985,'Main Data'!$A$1:$A$1001,0),MATCH('Index&amp;Match'!D984,'Main Data'!$A984:$O984,0))</f>
        <v>BR-013</v>
      </c>
      <c r="E985" s="2" t="str">
        <f>INDEX('Main Data'!$A$1:$O$1001,MATCH('Index&amp;Match'!$A985,'Main Data'!$A$1:$A$1001,0),MATCH('Index&amp;Match'!E984,'Main Data'!$A984:$O984,0))</f>
        <v>West</v>
      </c>
      <c r="F985" s="2" t="str">
        <f>INDEX('Main Data'!$A$1:$O$1001,MATCH('Index&amp;Match'!$A985,'Main Data'!$A$1:$A$1001,0),MATCH('Index&amp;Match'!F984,'Main Data'!$A984:$O984,0))</f>
        <v>Personal Loan</v>
      </c>
      <c r="G985" s="2" t="str">
        <f>INDEX('Main Data'!$A$1:$O$1001,MATCH('Index&amp;Match'!$A985,'Main Data'!$A$1:$A$1001,0),MATCH('Index&amp;Match'!G984,'Main Data'!$A984:$O984,0))</f>
        <v>Walk-in</v>
      </c>
      <c r="H985" s="2" t="str">
        <f>INDEX('Main Data'!$A$1:$O$1001,MATCH('Index&amp;Match'!$A985,'Main Data'!$A$1:$A$1001,0),MATCH('Index&amp;Match'!H984,'Main Data'!$A984:$O984,0))</f>
        <v>SME</v>
      </c>
      <c r="I985" s="2">
        <f>INDEX('Main Data'!$A$1:$O$1001,MATCH('Index&amp;Match'!$A985,'Main Data'!$A$1:$A$1001,0),MATCH('Index&amp;Match'!I984,'Main Data'!$A984:$O984,0))</f>
        <v>53</v>
      </c>
      <c r="J985" s="2">
        <f>INDEX('Main Data'!$A$1:$O$1001,MATCH('Index&amp;Match'!$A985,'Main Data'!$A$1:$A$1001,0),MATCH('Index&amp;Match'!J984,'Main Data'!$A984:$O984,0))</f>
        <v>53</v>
      </c>
      <c r="K985" s="11">
        <f>INDEX('Main Data'!$A$1:$O$1001,MATCH('Index&amp;Match'!$A985,'Main Data'!$A$1:$A$1001,0),MATCH('Index&amp;Match'!K984,'Main Data'!$A984:$O984,0))</f>
        <v>19161.88</v>
      </c>
      <c r="L985" s="11">
        <f>INDEX('Main Data'!$A$1:$O$1001,MATCH('Index&amp;Match'!$A985,'Main Data'!$A$1:$A$1001,0),MATCH('Index&amp;Match'!L984,'Main Data'!$A984:$O984,0))</f>
        <v>209.11</v>
      </c>
      <c r="M985" s="11">
        <f>INDEX('Main Data'!$A$1:$O$1001,MATCH('Index&amp;Match'!$A985,'Main Data'!$A$1:$A$1001,0),MATCH('Index&amp;Match'!M984,'Main Data'!$A984:$O984,0))</f>
        <v>3.67</v>
      </c>
      <c r="N985" s="2" t="str">
        <f>INDEX('Main Data'!$A$1:$O$1001,MATCH('Index&amp;Match'!$A985,'Main Data'!$A$1:$A$1001,0),MATCH('Index&amp;Match'!N984,'Main Data'!$A984:$O984,0))</f>
        <v>No</v>
      </c>
      <c r="O985" s="2">
        <f>INDEX('Main Data'!$A$1:$O$1001,MATCH('Index&amp;Match'!$A985,'Main Data'!$A$1:$A$1001,0),MATCH('Index&amp;Match'!O984,'Main Data'!$A984:$O984,0))</f>
        <v>53</v>
      </c>
    </row>
    <row r="986" spans="1:15" x14ac:dyDescent="0.3">
      <c r="A986" s="2" t="s">
        <v>1043</v>
      </c>
      <c r="B986" s="1">
        <f>INDEX('Main Data'!$A$1:$O$1001,MATCH('Index&amp;Match'!$A986,'Main Data'!$A$1:$A$1001,0),MATCH('Index&amp;Match'!B985,'Main Data'!$A985:$O985,0))</f>
        <v>46235</v>
      </c>
      <c r="C986" s="2" t="str">
        <f>INDEX('Main Data'!$A$1:$O$1001,MATCH('Index&amp;Match'!$A986,'Main Data'!$A$1:$A$1001,0),MATCH('Index&amp;Match'!C985,'Main Data'!$A985:$O985,0))</f>
        <v>Drew</v>
      </c>
      <c r="D986" s="2" t="str">
        <f>INDEX('Main Data'!$A$1:$O$1001,MATCH('Index&amp;Match'!$A986,'Main Data'!$A$1:$A$1001,0),MATCH('Index&amp;Match'!D985,'Main Data'!$A985:$O985,0))</f>
        <v>BR-010</v>
      </c>
      <c r="E986" s="2" t="str">
        <f>INDEX('Main Data'!$A$1:$O$1001,MATCH('Index&amp;Match'!$A986,'Main Data'!$A$1:$A$1001,0),MATCH('Index&amp;Match'!E985,'Main Data'!$A985:$O985,0))</f>
        <v>Central</v>
      </c>
      <c r="F986" s="2" t="str">
        <f>INDEX('Main Data'!$A$1:$O$1001,MATCH('Index&amp;Match'!$A986,'Main Data'!$A$1:$A$1001,0),MATCH('Index&amp;Match'!F985,'Main Data'!$A985:$O985,0))</f>
        <v>Auto Loan</v>
      </c>
      <c r="G986" s="2" t="str">
        <f>INDEX('Main Data'!$A$1:$O$1001,MATCH('Index&amp;Match'!$A986,'Main Data'!$A$1:$A$1001,0),MATCH('Index&amp;Match'!G985,'Main Data'!$A985:$O985,0))</f>
        <v>Referral</v>
      </c>
      <c r="H986" s="2" t="str">
        <f>INDEX('Main Data'!$A$1:$O$1001,MATCH('Index&amp;Match'!$A986,'Main Data'!$A$1:$A$1001,0),MATCH('Index&amp;Match'!H985,'Main Data'!$A985:$O985,0))</f>
        <v>High Net Worth</v>
      </c>
      <c r="I986" s="2">
        <f>INDEX('Main Data'!$A$1:$O$1001,MATCH('Index&amp;Match'!$A986,'Main Data'!$A$1:$A$1001,0),MATCH('Index&amp;Match'!I985,'Main Data'!$A985:$O985,0))</f>
        <v>39</v>
      </c>
      <c r="J986" s="2">
        <f>INDEX('Main Data'!$A$1:$O$1001,MATCH('Index&amp;Match'!$A986,'Main Data'!$A$1:$A$1001,0),MATCH('Index&amp;Match'!J985,'Main Data'!$A985:$O985,0))</f>
        <v>39</v>
      </c>
      <c r="K986" s="11">
        <f>INDEX('Main Data'!$A$1:$O$1001,MATCH('Index&amp;Match'!$A986,'Main Data'!$A$1:$A$1001,0),MATCH('Index&amp;Match'!K985,'Main Data'!$A985:$O985,0))</f>
        <v>48263.97</v>
      </c>
      <c r="L986" s="11">
        <f>INDEX('Main Data'!$A$1:$O$1001,MATCH('Index&amp;Match'!$A986,'Main Data'!$A$1:$A$1001,0),MATCH('Index&amp;Match'!L985,'Main Data'!$A985:$O985,0))</f>
        <v>109.61</v>
      </c>
      <c r="M986" s="11">
        <f>INDEX('Main Data'!$A$1:$O$1001,MATCH('Index&amp;Match'!$A986,'Main Data'!$A$1:$A$1001,0),MATCH('Index&amp;Match'!M985,'Main Data'!$A985:$O985,0))</f>
        <v>81.150000000000006</v>
      </c>
      <c r="N986" s="2" t="str">
        <f>INDEX('Main Data'!$A$1:$O$1001,MATCH('Index&amp;Match'!$A986,'Main Data'!$A$1:$A$1001,0),MATCH('Index&amp;Match'!N985,'Main Data'!$A985:$O985,0))</f>
        <v>Yes</v>
      </c>
      <c r="O986" s="2">
        <f>INDEX('Main Data'!$A$1:$O$1001,MATCH('Index&amp;Match'!$A986,'Main Data'!$A$1:$A$1001,0),MATCH('Index&amp;Match'!O985,'Main Data'!$A985:$O985,0))</f>
        <v>39</v>
      </c>
    </row>
    <row r="987" spans="1:15" x14ac:dyDescent="0.3">
      <c r="A987" s="2" t="s">
        <v>1044</v>
      </c>
      <c r="B987" s="1">
        <f>INDEX('Main Data'!$A$1:$O$1001,MATCH('Index&amp;Match'!$A987,'Main Data'!$A$1:$A$1001,0),MATCH('Index&amp;Match'!B986,'Main Data'!$A986:$O986,0))</f>
        <v>46187</v>
      </c>
      <c r="C987" s="2" t="str">
        <f>INDEX('Main Data'!$A$1:$O$1001,MATCH('Index&amp;Match'!$A987,'Main Data'!$A$1:$A$1001,0),MATCH('Index&amp;Match'!C986,'Main Data'!$A986:$O986,0))</f>
        <v>Jordan</v>
      </c>
      <c r="D987" s="2" t="str">
        <f>INDEX('Main Data'!$A$1:$O$1001,MATCH('Index&amp;Match'!$A987,'Main Data'!$A$1:$A$1001,0),MATCH('Index&amp;Match'!D986,'Main Data'!$A986:$O986,0))</f>
        <v>BR-015</v>
      </c>
      <c r="E987" s="2" t="str">
        <f>INDEX('Main Data'!$A$1:$O$1001,MATCH('Index&amp;Match'!$A987,'Main Data'!$A$1:$A$1001,0),MATCH('Index&amp;Match'!E986,'Main Data'!$A986:$O986,0))</f>
        <v>East</v>
      </c>
      <c r="F987" s="2" t="str">
        <f>INDEX('Main Data'!$A$1:$O$1001,MATCH('Index&amp;Match'!$A987,'Main Data'!$A$1:$A$1001,0),MATCH('Index&amp;Match'!F986,'Main Data'!$A986:$O986,0))</f>
        <v>Auto Loan</v>
      </c>
      <c r="G987" s="2" t="str">
        <f>INDEX('Main Data'!$A$1:$O$1001,MATCH('Index&amp;Match'!$A987,'Main Data'!$A$1:$A$1001,0),MATCH('Index&amp;Match'!G986,'Main Data'!$A986:$O986,0))</f>
        <v>Referral</v>
      </c>
      <c r="H987" s="2" t="str">
        <f>INDEX('Main Data'!$A$1:$O$1001,MATCH('Index&amp;Match'!$A987,'Main Data'!$A$1:$A$1001,0),MATCH('Index&amp;Match'!H986,'Main Data'!$A986:$O986,0))</f>
        <v>High Net Worth</v>
      </c>
      <c r="I987" s="2">
        <f>INDEX('Main Data'!$A$1:$O$1001,MATCH('Index&amp;Match'!$A987,'Main Data'!$A$1:$A$1001,0),MATCH('Index&amp;Match'!I986,'Main Data'!$A986:$O986,0))</f>
        <v>48</v>
      </c>
      <c r="J987" s="2">
        <f>INDEX('Main Data'!$A$1:$O$1001,MATCH('Index&amp;Match'!$A987,'Main Data'!$A$1:$A$1001,0),MATCH('Index&amp;Match'!J986,'Main Data'!$A986:$O986,0))</f>
        <v>48</v>
      </c>
      <c r="K987" s="11">
        <f>INDEX('Main Data'!$A$1:$O$1001,MATCH('Index&amp;Match'!$A987,'Main Data'!$A$1:$A$1001,0),MATCH('Index&amp;Match'!K986,'Main Data'!$A986:$O986,0))</f>
        <v>14040.33</v>
      </c>
      <c r="L987" s="11">
        <f>INDEX('Main Data'!$A$1:$O$1001,MATCH('Index&amp;Match'!$A987,'Main Data'!$A$1:$A$1001,0),MATCH('Index&amp;Match'!L986,'Main Data'!$A986:$O986,0))</f>
        <v>352.53</v>
      </c>
      <c r="M987" s="11">
        <f>INDEX('Main Data'!$A$1:$O$1001,MATCH('Index&amp;Match'!$A987,'Main Data'!$A$1:$A$1001,0),MATCH('Index&amp;Match'!M986,'Main Data'!$A986:$O986,0))</f>
        <v>241.42</v>
      </c>
      <c r="N987" s="2" t="str">
        <f>INDEX('Main Data'!$A$1:$O$1001,MATCH('Index&amp;Match'!$A987,'Main Data'!$A$1:$A$1001,0),MATCH('Index&amp;Match'!N986,'Main Data'!$A986:$O986,0))</f>
        <v>Yes</v>
      </c>
      <c r="O987" s="2">
        <f>INDEX('Main Data'!$A$1:$O$1001,MATCH('Index&amp;Match'!$A987,'Main Data'!$A$1:$A$1001,0),MATCH('Index&amp;Match'!O986,'Main Data'!$A986:$O986,0))</f>
        <v>48</v>
      </c>
    </row>
    <row r="988" spans="1:15" x14ac:dyDescent="0.3">
      <c r="A988" s="2" t="s">
        <v>1045</v>
      </c>
      <c r="B988" s="1">
        <f>INDEX('Main Data'!$A$1:$O$1001,MATCH('Index&amp;Match'!$A988,'Main Data'!$A$1:$A$1001,0),MATCH('Index&amp;Match'!B987,'Main Data'!$A987:$O987,0))</f>
        <v>45926</v>
      </c>
      <c r="C988" s="2" t="str">
        <f>INDEX('Main Data'!$A$1:$O$1001,MATCH('Index&amp;Match'!$A988,'Main Data'!$A$1:$A$1001,0),MATCH('Index&amp;Match'!C987,'Main Data'!$A987:$O987,0))</f>
        <v>Morgan</v>
      </c>
      <c r="D988" s="2" t="str">
        <f>INDEX('Main Data'!$A$1:$O$1001,MATCH('Index&amp;Match'!$A988,'Main Data'!$A$1:$A$1001,0),MATCH('Index&amp;Match'!D987,'Main Data'!$A987:$O987,0))</f>
        <v>BR-010</v>
      </c>
      <c r="E988" s="2" t="str">
        <f>INDEX('Main Data'!$A$1:$O$1001,MATCH('Index&amp;Match'!$A988,'Main Data'!$A$1:$A$1001,0),MATCH('Index&amp;Match'!E987,'Main Data'!$A987:$O987,0))</f>
        <v>Central</v>
      </c>
      <c r="F988" s="2" t="str">
        <f>INDEX('Main Data'!$A$1:$O$1001,MATCH('Index&amp;Match'!$A988,'Main Data'!$A$1:$A$1001,0),MATCH('Index&amp;Match'!F987,'Main Data'!$A987:$O987,0))</f>
        <v>Wealth Management</v>
      </c>
      <c r="G988" s="2" t="str">
        <f>INDEX('Main Data'!$A$1:$O$1001,MATCH('Index&amp;Match'!$A988,'Main Data'!$A$1:$A$1001,0),MATCH('Index&amp;Match'!G987,'Main Data'!$A987:$O987,0))</f>
        <v>Social Media</v>
      </c>
      <c r="H988" s="2" t="str">
        <f>INDEX('Main Data'!$A$1:$O$1001,MATCH('Index&amp;Match'!$A988,'Main Data'!$A$1:$A$1001,0),MATCH('Index&amp;Match'!H987,'Main Data'!$A987:$O987,0))</f>
        <v>Corporate</v>
      </c>
      <c r="I988" s="2">
        <f>INDEX('Main Data'!$A$1:$O$1001,MATCH('Index&amp;Match'!$A988,'Main Data'!$A$1:$A$1001,0),MATCH('Index&amp;Match'!I987,'Main Data'!$A987:$O987,0))</f>
        <v>72</v>
      </c>
      <c r="J988" s="2">
        <f>INDEX('Main Data'!$A$1:$O$1001,MATCH('Index&amp;Match'!$A988,'Main Data'!$A$1:$A$1001,0),MATCH('Index&amp;Match'!J987,'Main Data'!$A987:$O987,0))</f>
        <v>72</v>
      </c>
      <c r="K988" s="11">
        <f>INDEX('Main Data'!$A$1:$O$1001,MATCH('Index&amp;Match'!$A988,'Main Data'!$A$1:$A$1001,0),MATCH('Index&amp;Match'!K987,'Main Data'!$A987:$O987,0))</f>
        <v>20283.07</v>
      </c>
      <c r="L988" s="11">
        <f>INDEX('Main Data'!$A$1:$O$1001,MATCH('Index&amp;Match'!$A988,'Main Data'!$A$1:$A$1001,0),MATCH('Index&amp;Match'!L987,'Main Data'!$A987:$O987,0))</f>
        <v>278.91000000000003</v>
      </c>
      <c r="M988" s="11">
        <f>INDEX('Main Data'!$A$1:$O$1001,MATCH('Index&amp;Match'!$A988,'Main Data'!$A$1:$A$1001,0),MATCH('Index&amp;Match'!M987,'Main Data'!$A987:$O987,0))</f>
        <v>123.1</v>
      </c>
      <c r="N988" s="2" t="str">
        <f>INDEX('Main Data'!$A$1:$O$1001,MATCH('Index&amp;Match'!$A988,'Main Data'!$A$1:$A$1001,0),MATCH('Index&amp;Match'!N987,'Main Data'!$A987:$O987,0))</f>
        <v>No</v>
      </c>
      <c r="O988" s="2">
        <f>INDEX('Main Data'!$A$1:$O$1001,MATCH('Index&amp;Match'!$A988,'Main Data'!$A$1:$A$1001,0),MATCH('Index&amp;Match'!O987,'Main Data'!$A987:$O987,0))</f>
        <v>72</v>
      </c>
    </row>
    <row r="989" spans="1:15" x14ac:dyDescent="0.3">
      <c r="A989" s="2" t="s">
        <v>1046</v>
      </c>
      <c r="B989" s="1">
        <f>INDEX('Main Data'!$A$1:$O$1001,MATCH('Index&amp;Match'!$A989,'Main Data'!$A$1:$A$1001,0),MATCH('Index&amp;Match'!B988,'Main Data'!$A988:$O988,0))</f>
        <v>46097</v>
      </c>
      <c r="C989" s="2" t="str">
        <f>INDEX('Main Data'!$A$1:$O$1001,MATCH('Index&amp;Match'!$A989,'Main Data'!$A$1:$A$1001,0),MATCH('Index&amp;Match'!C988,'Main Data'!$A988:$O988,0))</f>
        <v>Morgan</v>
      </c>
      <c r="D989" s="2" t="str">
        <f>INDEX('Main Data'!$A$1:$O$1001,MATCH('Index&amp;Match'!$A989,'Main Data'!$A$1:$A$1001,0),MATCH('Index&amp;Match'!D988,'Main Data'!$A988:$O988,0))</f>
        <v>BR-007</v>
      </c>
      <c r="E989" s="2" t="str">
        <f>INDEX('Main Data'!$A$1:$O$1001,MATCH('Index&amp;Match'!$A989,'Main Data'!$A$1:$A$1001,0),MATCH('Index&amp;Match'!E988,'Main Data'!$A988:$O988,0))</f>
        <v>West</v>
      </c>
      <c r="F989" s="2" t="str">
        <f>INDEX('Main Data'!$A$1:$O$1001,MATCH('Index&amp;Match'!$A989,'Main Data'!$A$1:$A$1001,0),MATCH('Index&amp;Match'!F988,'Main Data'!$A988:$O988,0))</f>
        <v>Auto Loan</v>
      </c>
      <c r="G989" s="2" t="str">
        <f>INDEX('Main Data'!$A$1:$O$1001,MATCH('Index&amp;Match'!$A989,'Main Data'!$A$1:$A$1001,0),MATCH('Index&amp;Match'!G988,'Main Data'!$A988:$O988,0))</f>
        <v>Walk-in</v>
      </c>
      <c r="H989" s="2" t="str">
        <f>INDEX('Main Data'!$A$1:$O$1001,MATCH('Index&amp;Match'!$A989,'Main Data'!$A$1:$A$1001,0),MATCH('Index&amp;Match'!H988,'Main Data'!$A988:$O988,0))</f>
        <v>High Net Worth</v>
      </c>
      <c r="I989" s="2">
        <f>INDEX('Main Data'!$A$1:$O$1001,MATCH('Index&amp;Match'!$A989,'Main Data'!$A$1:$A$1001,0),MATCH('Index&amp;Match'!I988,'Main Data'!$A988:$O988,0))</f>
        <v>69</v>
      </c>
      <c r="J989" s="2">
        <f>INDEX('Main Data'!$A$1:$O$1001,MATCH('Index&amp;Match'!$A989,'Main Data'!$A$1:$A$1001,0),MATCH('Index&amp;Match'!J988,'Main Data'!$A988:$O988,0))</f>
        <v>69</v>
      </c>
      <c r="K989" s="11">
        <f>INDEX('Main Data'!$A$1:$O$1001,MATCH('Index&amp;Match'!$A989,'Main Data'!$A$1:$A$1001,0),MATCH('Index&amp;Match'!K988,'Main Data'!$A988:$O988,0))</f>
        <v>49151.58</v>
      </c>
      <c r="L989" s="11">
        <f>INDEX('Main Data'!$A$1:$O$1001,MATCH('Index&amp;Match'!$A989,'Main Data'!$A$1:$A$1001,0),MATCH('Index&amp;Match'!L988,'Main Data'!$A988:$O988,0))</f>
        <v>374.51</v>
      </c>
      <c r="M989" s="11">
        <f>INDEX('Main Data'!$A$1:$O$1001,MATCH('Index&amp;Match'!$A989,'Main Data'!$A$1:$A$1001,0),MATCH('Index&amp;Match'!M988,'Main Data'!$A988:$O988,0))</f>
        <v>226.14</v>
      </c>
      <c r="N989" s="2" t="str">
        <f>INDEX('Main Data'!$A$1:$O$1001,MATCH('Index&amp;Match'!$A989,'Main Data'!$A$1:$A$1001,0),MATCH('Index&amp;Match'!N988,'Main Data'!$A988:$O988,0))</f>
        <v>No</v>
      </c>
      <c r="O989" s="2">
        <f>INDEX('Main Data'!$A$1:$O$1001,MATCH('Index&amp;Match'!$A989,'Main Data'!$A$1:$A$1001,0),MATCH('Index&amp;Match'!O988,'Main Data'!$A988:$O988,0))</f>
        <v>69</v>
      </c>
    </row>
    <row r="990" spans="1:15" x14ac:dyDescent="0.3">
      <c r="A990" s="2" t="s">
        <v>1047</v>
      </c>
      <c r="B990" s="1">
        <f>INDEX('Main Data'!$A$1:$O$1001,MATCH('Index&amp;Match'!$A990,'Main Data'!$A$1:$A$1001,0),MATCH('Index&amp;Match'!B989,'Main Data'!$A989:$O989,0))</f>
        <v>46058</v>
      </c>
      <c r="C990" s="2" t="str">
        <f>INDEX('Main Data'!$A$1:$O$1001,MATCH('Index&amp;Match'!$A990,'Main Data'!$A$1:$A$1001,0),MATCH('Index&amp;Match'!C989,'Main Data'!$A989:$O989,0))</f>
        <v>Jordan</v>
      </c>
      <c r="D990" s="2" t="str">
        <f>INDEX('Main Data'!$A$1:$O$1001,MATCH('Index&amp;Match'!$A990,'Main Data'!$A$1:$A$1001,0),MATCH('Index&amp;Match'!D989,'Main Data'!$A989:$O989,0))</f>
        <v>BR-001</v>
      </c>
      <c r="E990" s="2" t="str">
        <f>INDEX('Main Data'!$A$1:$O$1001,MATCH('Index&amp;Match'!$A990,'Main Data'!$A$1:$A$1001,0),MATCH('Index&amp;Match'!E989,'Main Data'!$A989:$O989,0))</f>
        <v>North</v>
      </c>
      <c r="F990" s="2" t="str">
        <f>INDEX('Main Data'!$A$1:$O$1001,MATCH('Index&amp;Match'!$A990,'Main Data'!$A$1:$A$1001,0),MATCH('Index&amp;Match'!F989,'Main Data'!$A989:$O989,0))</f>
        <v>Wealth Management</v>
      </c>
      <c r="G990" s="2" t="str">
        <f>INDEX('Main Data'!$A$1:$O$1001,MATCH('Index&amp;Match'!$A990,'Main Data'!$A$1:$A$1001,0),MATCH('Index&amp;Match'!G989,'Main Data'!$A989:$O989,0))</f>
        <v>Social Media</v>
      </c>
      <c r="H990" s="2" t="str">
        <f>INDEX('Main Data'!$A$1:$O$1001,MATCH('Index&amp;Match'!$A990,'Main Data'!$A$1:$A$1001,0),MATCH('Index&amp;Match'!H989,'Main Data'!$A989:$O989,0))</f>
        <v>High Net Worth</v>
      </c>
      <c r="I990" s="2">
        <f>INDEX('Main Data'!$A$1:$O$1001,MATCH('Index&amp;Match'!$A990,'Main Data'!$A$1:$A$1001,0),MATCH('Index&amp;Match'!I989,'Main Data'!$A989:$O989,0))</f>
        <v>57</v>
      </c>
      <c r="J990" s="2">
        <f>INDEX('Main Data'!$A$1:$O$1001,MATCH('Index&amp;Match'!$A990,'Main Data'!$A$1:$A$1001,0),MATCH('Index&amp;Match'!J989,'Main Data'!$A989:$O989,0))</f>
        <v>57</v>
      </c>
      <c r="K990" s="11">
        <f>INDEX('Main Data'!$A$1:$O$1001,MATCH('Index&amp;Match'!$A990,'Main Data'!$A$1:$A$1001,0),MATCH('Index&amp;Match'!K989,'Main Data'!$A989:$O989,0))</f>
        <v>27055.279999999999</v>
      </c>
      <c r="L990" s="11">
        <f>INDEX('Main Data'!$A$1:$O$1001,MATCH('Index&amp;Match'!$A990,'Main Data'!$A$1:$A$1001,0),MATCH('Index&amp;Match'!L989,'Main Data'!$A989:$O989,0))</f>
        <v>208.71</v>
      </c>
      <c r="M990" s="11">
        <f>INDEX('Main Data'!$A$1:$O$1001,MATCH('Index&amp;Match'!$A990,'Main Data'!$A$1:$A$1001,0),MATCH('Index&amp;Match'!M989,'Main Data'!$A989:$O989,0))</f>
        <v>134.16</v>
      </c>
      <c r="N990" s="2" t="str">
        <f>INDEX('Main Data'!$A$1:$O$1001,MATCH('Index&amp;Match'!$A990,'Main Data'!$A$1:$A$1001,0),MATCH('Index&amp;Match'!N989,'Main Data'!$A989:$O989,0))</f>
        <v>Yes</v>
      </c>
      <c r="O990" s="2">
        <f>INDEX('Main Data'!$A$1:$O$1001,MATCH('Index&amp;Match'!$A990,'Main Data'!$A$1:$A$1001,0),MATCH('Index&amp;Match'!O989,'Main Data'!$A989:$O989,0))</f>
        <v>57</v>
      </c>
    </row>
    <row r="991" spans="1:15" x14ac:dyDescent="0.3">
      <c r="A991" s="2" t="s">
        <v>1048</v>
      </c>
      <c r="B991" s="1">
        <f>INDEX('Main Data'!$A$1:$O$1001,MATCH('Index&amp;Match'!$A991,'Main Data'!$A$1:$A$1001,0),MATCH('Index&amp;Match'!B990,'Main Data'!$A990:$O990,0))</f>
        <v>45970</v>
      </c>
      <c r="C991" s="2" t="str">
        <f>INDEX('Main Data'!$A$1:$O$1001,MATCH('Index&amp;Match'!$A991,'Main Data'!$A$1:$A$1001,0),MATCH('Index&amp;Match'!C990,'Main Data'!$A990:$O990,0))</f>
        <v>Drew</v>
      </c>
      <c r="D991" s="2" t="str">
        <f>INDEX('Main Data'!$A$1:$O$1001,MATCH('Index&amp;Match'!$A991,'Main Data'!$A$1:$A$1001,0),MATCH('Index&amp;Match'!D990,'Main Data'!$A990:$O990,0))</f>
        <v>BR-007</v>
      </c>
      <c r="E991" s="2" t="str">
        <f>INDEX('Main Data'!$A$1:$O$1001,MATCH('Index&amp;Match'!$A991,'Main Data'!$A$1:$A$1001,0),MATCH('Index&amp;Match'!E990,'Main Data'!$A990:$O990,0))</f>
        <v>Central</v>
      </c>
      <c r="F991" s="2" t="str">
        <f>INDEX('Main Data'!$A$1:$O$1001,MATCH('Index&amp;Match'!$A991,'Main Data'!$A$1:$A$1001,0),MATCH('Index&amp;Match'!F990,'Main Data'!$A990:$O990,0))</f>
        <v>Mortgage</v>
      </c>
      <c r="G991" s="2" t="str">
        <f>INDEX('Main Data'!$A$1:$O$1001,MATCH('Index&amp;Match'!$A991,'Main Data'!$A$1:$A$1001,0),MATCH('Index&amp;Match'!G990,'Main Data'!$A990:$O990,0))</f>
        <v>Email Campaign</v>
      </c>
      <c r="H991" s="2" t="str">
        <f>INDEX('Main Data'!$A$1:$O$1001,MATCH('Index&amp;Match'!$A991,'Main Data'!$A$1:$A$1001,0),MATCH('Index&amp;Match'!H990,'Main Data'!$A990:$O990,0))</f>
        <v>High Net Worth</v>
      </c>
      <c r="I991" s="2">
        <f>INDEX('Main Data'!$A$1:$O$1001,MATCH('Index&amp;Match'!$A991,'Main Data'!$A$1:$A$1001,0),MATCH('Index&amp;Match'!I990,'Main Data'!$A990:$O990,0))</f>
        <v>46</v>
      </c>
      <c r="J991" s="2">
        <f>INDEX('Main Data'!$A$1:$O$1001,MATCH('Index&amp;Match'!$A991,'Main Data'!$A$1:$A$1001,0),MATCH('Index&amp;Match'!J990,'Main Data'!$A990:$O990,0))</f>
        <v>46</v>
      </c>
      <c r="K991" s="11">
        <f>INDEX('Main Data'!$A$1:$O$1001,MATCH('Index&amp;Match'!$A991,'Main Data'!$A$1:$A$1001,0),MATCH('Index&amp;Match'!K990,'Main Data'!$A990:$O990,0))</f>
        <v>25380.19</v>
      </c>
      <c r="L991" s="11">
        <f>INDEX('Main Data'!$A$1:$O$1001,MATCH('Index&amp;Match'!$A991,'Main Data'!$A$1:$A$1001,0),MATCH('Index&amp;Match'!L990,'Main Data'!$A990:$O990,0))</f>
        <v>196.57</v>
      </c>
      <c r="M991" s="11">
        <f>INDEX('Main Data'!$A$1:$O$1001,MATCH('Index&amp;Match'!$A991,'Main Data'!$A$1:$A$1001,0),MATCH('Index&amp;Match'!M990,'Main Data'!$A990:$O990,0))</f>
        <v>92.93</v>
      </c>
      <c r="N991" s="2" t="str">
        <f>INDEX('Main Data'!$A$1:$O$1001,MATCH('Index&amp;Match'!$A991,'Main Data'!$A$1:$A$1001,0),MATCH('Index&amp;Match'!N990,'Main Data'!$A990:$O990,0))</f>
        <v>Yes</v>
      </c>
      <c r="O991" s="2">
        <f>INDEX('Main Data'!$A$1:$O$1001,MATCH('Index&amp;Match'!$A991,'Main Data'!$A$1:$A$1001,0),MATCH('Index&amp;Match'!O990,'Main Data'!$A990:$O990,0))</f>
        <v>46</v>
      </c>
    </row>
    <row r="992" spans="1:15" x14ac:dyDescent="0.3">
      <c r="A992" s="2" t="s">
        <v>1049</v>
      </c>
      <c r="B992" s="1">
        <f>INDEX('Main Data'!$A$1:$O$1001,MATCH('Index&amp;Match'!$A992,'Main Data'!$A$1:$A$1001,0),MATCH('Index&amp;Match'!B991,'Main Data'!$A991:$O991,0))</f>
        <v>45930</v>
      </c>
      <c r="C992" s="2" t="str">
        <f>INDEX('Main Data'!$A$1:$O$1001,MATCH('Index&amp;Match'!$A992,'Main Data'!$A$1:$A$1001,0),MATCH('Index&amp;Match'!C991,'Main Data'!$A991:$O991,0))</f>
        <v>Jordan</v>
      </c>
      <c r="D992" s="2" t="str">
        <f>INDEX('Main Data'!$A$1:$O$1001,MATCH('Index&amp;Match'!$A992,'Main Data'!$A$1:$A$1001,0),MATCH('Index&amp;Match'!D991,'Main Data'!$A991:$O991,0))</f>
        <v>BR-010</v>
      </c>
      <c r="E992" s="2" t="str">
        <f>INDEX('Main Data'!$A$1:$O$1001,MATCH('Index&amp;Match'!$A992,'Main Data'!$A$1:$A$1001,0),MATCH('Index&amp;Match'!E991,'Main Data'!$A991:$O991,0))</f>
        <v>Central</v>
      </c>
      <c r="F992" s="2" t="str">
        <f>INDEX('Main Data'!$A$1:$O$1001,MATCH('Index&amp;Match'!$A992,'Main Data'!$A$1:$A$1001,0),MATCH('Index&amp;Match'!F991,'Main Data'!$A991:$O991,0))</f>
        <v>Personal Loan</v>
      </c>
      <c r="G992" s="2" t="str">
        <f>INDEX('Main Data'!$A$1:$O$1001,MATCH('Index&amp;Match'!$A992,'Main Data'!$A$1:$A$1001,0),MATCH('Index&amp;Match'!G991,'Main Data'!$A991:$O991,0))</f>
        <v>Social Media</v>
      </c>
      <c r="H992" s="2" t="str">
        <f>INDEX('Main Data'!$A$1:$O$1001,MATCH('Index&amp;Match'!$A992,'Main Data'!$A$1:$A$1001,0),MATCH('Index&amp;Match'!H991,'Main Data'!$A991:$O991,0))</f>
        <v>SME</v>
      </c>
      <c r="I992" s="2">
        <f>INDEX('Main Data'!$A$1:$O$1001,MATCH('Index&amp;Match'!$A992,'Main Data'!$A$1:$A$1001,0),MATCH('Index&amp;Match'!I991,'Main Data'!$A991:$O991,0))</f>
        <v>55</v>
      </c>
      <c r="J992" s="2">
        <f>INDEX('Main Data'!$A$1:$O$1001,MATCH('Index&amp;Match'!$A992,'Main Data'!$A$1:$A$1001,0),MATCH('Index&amp;Match'!J991,'Main Data'!$A991:$O991,0))</f>
        <v>55</v>
      </c>
      <c r="K992" s="11">
        <f>INDEX('Main Data'!$A$1:$O$1001,MATCH('Index&amp;Match'!$A992,'Main Data'!$A$1:$A$1001,0),MATCH('Index&amp;Match'!K991,'Main Data'!$A991:$O991,0))</f>
        <v>13260.04</v>
      </c>
      <c r="L992" s="11">
        <f>INDEX('Main Data'!$A$1:$O$1001,MATCH('Index&amp;Match'!$A992,'Main Data'!$A$1:$A$1001,0),MATCH('Index&amp;Match'!L991,'Main Data'!$A991:$O991,0))</f>
        <v>262.66000000000003</v>
      </c>
      <c r="M992" s="11">
        <f>INDEX('Main Data'!$A$1:$O$1001,MATCH('Index&amp;Match'!$A992,'Main Data'!$A$1:$A$1001,0),MATCH('Index&amp;Match'!M991,'Main Data'!$A991:$O991,0))</f>
        <v>96.56</v>
      </c>
      <c r="N992" s="2" t="str">
        <f>INDEX('Main Data'!$A$1:$O$1001,MATCH('Index&amp;Match'!$A992,'Main Data'!$A$1:$A$1001,0),MATCH('Index&amp;Match'!N991,'Main Data'!$A991:$O991,0))</f>
        <v>Yes</v>
      </c>
      <c r="O992" s="2">
        <f>INDEX('Main Data'!$A$1:$O$1001,MATCH('Index&amp;Match'!$A992,'Main Data'!$A$1:$A$1001,0),MATCH('Index&amp;Match'!O991,'Main Data'!$A991:$O991,0))</f>
        <v>55</v>
      </c>
    </row>
    <row r="993" spans="1:15" x14ac:dyDescent="0.3">
      <c r="A993" s="2" t="s">
        <v>1050</v>
      </c>
      <c r="B993" s="1">
        <f>INDEX('Main Data'!$A$1:$O$1001,MATCH('Index&amp;Match'!$A993,'Main Data'!$A$1:$A$1001,0),MATCH('Index&amp;Match'!B992,'Main Data'!$A992:$O992,0))</f>
        <v>46049</v>
      </c>
      <c r="C993" s="2" t="str">
        <f>INDEX('Main Data'!$A$1:$O$1001,MATCH('Index&amp;Match'!$A993,'Main Data'!$A$1:$A$1001,0),MATCH('Index&amp;Match'!C992,'Main Data'!$A992:$O992,0))</f>
        <v>Morgan</v>
      </c>
      <c r="D993" s="2" t="str">
        <f>INDEX('Main Data'!$A$1:$O$1001,MATCH('Index&amp;Match'!$A993,'Main Data'!$A$1:$A$1001,0),MATCH('Index&amp;Match'!D992,'Main Data'!$A992:$O992,0))</f>
        <v>BR-005</v>
      </c>
      <c r="E993" s="2" t="str">
        <f>INDEX('Main Data'!$A$1:$O$1001,MATCH('Index&amp;Match'!$A993,'Main Data'!$A$1:$A$1001,0),MATCH('Index&amp;Match'!E992,'Main Data'!$A992:$O992,0))</f>
        <v>North</v>
      </c>
      <c r="F993" s="2" t="str">
        <f>INDEX('Main Data'!$A$1:$O$1001,MATCH('Index&amp;Match'!$A993,'Main Data'!$A$1:$A$1001,0),MATCH('Index&amp;Match'!F992,'Main Data'!$A992:$O992,0))</f>
        <v>Auto Loan</v>
      </c>
      <c r="G993" s="2" t="str">
        <f>INDEX('Main Data'!$A$1:$O$1001,MATCH('Index&amp;Match'!$A993,'Main Data'!$A$1:$A$1001,0),MATCH('Index&amp;Match'!G992,'Main Data'!$A992:$O992,0))</f>
        <v>Website</v>
      </c>
      <c r="H993" s="2" t="str">
        <f>INDEX('Main Data'!$A$1:$O$1001,MATCH('Index&amp;Match'!$A993,'Main Data'!$A$1:$A$1001,0),MATCH('Index&amp;Match'!H992,'Main Data'!$A992:$O992,0))</f>
        <v>High Net Worth</v>
      </c>
      <c r="I993" s="2">
        <f>INDEX('Main Data'!$A$1:$O$1001,MATCH('Index&amp;Match'!$A993,'Main Data'!$A$1:$A$1001,0),MATCH('Index&amp;Match'!I992,'Main Data'!$A992:$O992,0))</f>
        <v>54</v>
      </c>
      <c r="J993" s="2">
        <f>INDEX('Main Data'!$A$1:$O$1001,MATCH('Index&amp;Match'!$A993,'Main Data'!$A$1:$A$1001,0),MATCH('Index&amp;Match'!J992,'Main Data'!$A992:$O992,0))</f>
        <v>54</v>
      </c>
      <c r="K993" s="11">
        <f>INDEX('Main Data'!$A$1:$O$1001,MATCH('Index&amp;Match'!$A993,'Main Data'!$A$1:$A$1001,0),MATCH('Index&amp;Match'!K992,'Main Data'!$A992:$O992,0))</f>
        <v>35217.5</v>
      </c>
      <c r="L993" s="11">
        <f>INDEX('Main Data'!$A$1:$O$1001,MATCH('Index&amp;Match'!$A993,'Main Data'!$A$1:$A$1001,0),MATCH('Index&amp;Match'!L992,'Main Data'!$A992:$O992,0))</f>
        <v>444.83</v>
      </c>
      <c r="M993" s="11">
        <f>INDEX('Main Data'!$A$1:$O$1001,MATCH('Index&amp;Match'!$A993,'Main Data'!$A$1:$A$1001,0),MATCH('Index&amp;Match'!M992,'Main Data'!$A992:$O992,0))</f>
        <v>96.92</v>
      </c>
      <c r="N993" s="2" t="str">
        <f>INDEX('Main Data'!$A$1:$O$1001,MATCH('Index&amp;Match'!$A993,'Main Data'!$A$1:$A$1001,0),MATCH('Index&amp;Match'!N992,'Main Data'!$A992:$O992,0))</f>
        <v>No</v>
      </c>
      <c r="O993" s="2">
        <f>INDEX('Main Data'!$A$1:$O$1001,MATCH('Index&amp;Match'!$A993,'Main Data'!$A$1:$A$1001,0),MATCH('Index&amp;Match'!O992,'Main Data'!$A992:$O992,0))</f>
        <v>54</v>
      </c>
    </row>
    <row r="994" spans="1:15" x14ac:dyDescent="0.3">
      <c r="A994" s="2" t="s">
        <v>1051</v>
      </c>
      <c r="B994" s="1">
        <f>INDEX('Main Data'!$A$1:$O$1001,MATCH('Index&amp;Match'!$A994,'Main Data'!$A$1:$A$1001,0),MATCH('Index&amp;Match'!B993,'Main Data'!$A993:$O993,0))</f>
        <v>46193</v>
      </c>
      <c r="C994" s="2" t="str">
        <f>INDEX('Main Data'!$A$1:$O$1001,MATCH('Index&amp;Match'!$A994,'Main Data'!$A$1:$A$1001,0),MATCH('Index&amp;Match'!C993,'Main Data'!$A993:$O993,0))</f>
        <v>Jordan</v>
      </c>
      <c r="D994" s="2" t="str">
        <f>INDEX('Main Data'!$A$1:$O$1001,MATCH('Index&amp;Match'!$A994,'Main Data'!$A$1:$A$1001,0),MATCH('Index&amp;Match'!D993,'Main Data'!$A993:$O993,0))</f>
        <v>BR-006</v>
      </c>
      <c r="E994" s="2" t="str">
        <f>INDEX('Main Data'!$A$1:$O$1001,MATCH('Index&amp;Match'!$A994,'Main Data'!$A$1:$A$1001,0),MATCH('Index&amp;Match'!E993,'Main Data'!$A993:$O993,0))</f>
        <v>East</v>
      </c>
      <c r="F994" s="2" t="str">
        <f>INDEX('Main Data'!$A$1:$O$1001,MATCH('Index&amp;Match'!$A994,'Main Data'!$A$1:$A$1001,0),MATCH('Index&amp;Match'!F993,'Main Data'!$A993:$O993,0))</f>
        <v>Personal Loan</v>
      </c>
      <c r="G994" s="2" t="str">
        <f>INDEX('Main Data'!$A$1:$O$1001,MATCH('Index&amp;Match'!$A994,'Main Data'!$A$1:$A$1001,0),MATCH('Index&amp;Match'!G993,'Main Data'!$A993:$O993,0))</f>
        <v>Social Media</v>
      </c>
      <c r="H994" s="2" t="str">
        <f>INDEX('Main Data'!$A$1:$O$1001,MATCH('Index&amp;Match'!$A994,'Main Data'!$A$1:$A$1001,0),MATCH('Index&amp;Match'!H993,'Main Data'!$A993:$O993,0))</f>
        <v>Retail</v>
      </c>
      <c r="I994" s="2">
        <f>INDEX('Main Data'!$A$1:$O$1001,MATCH('Index&amp;Match'!$A994,'Main Data'!$A$1:$A$1001,0),MATCH('Index&amp;Match'!I993,'Main Data'!$A993:$O993,0))</f>
        <v>55</v>
      </c>
      <c r="J994" s="2">
        <f>INDEX('Main Data'!$A$1:$O$1001,MATCH('Index&amp;Match'!$A994,'Main Data'!$A$1:$A$1001,0),MATCH('Index&amp;Match'!J993,'Main Data'!$A993:$O993,0))</f>
        <v>55</v>
      </c>
      <c r="K994" s="11">
        <f>INDEX('Main Data'!$A$1:$O$1001,MATCH('Index&amp;Match'!$A994,'Main Data'!$A$1:$A$1001,0),MATCH('Index&amp;Match'!K993,'Main Data'!$A993:$O993,0))</f>
        <v>1211.46</v>
      </c>
      <c r="L994" s="11">
        <f>INDEX('Main Data'!$A$1:$O$1001,MATCH('Index&amp;Match'!$A994,'Main Data'!$A$1:$A$1001,0),MATCH('Index&amp;Match'!L993,'Main Data'!$A993:$O993,0))</f>
        <v>68.13</v>
      </c>
      <c r="M994" s="11">
        <f>INDEX('Main Data'!$A$1:$O$1001,MATCH('Index&amp;Match'!$A994,'Main Data'!$A$1:$A$1001,0),MATCH('Index&amp;Match'!M993,'Main Data'!$A993:$O993,0))</f>
        <v>167.79</v>
      </c>
      <c r="N994" s="2" t="str">
        <f>INDEX('Main Data'!$A$1:$O$1001,MATCH('Index&amp;Match'!$A994,'Main Data'!$A$1:$A$1001,0),MATCH('Index&amp;Match'!N993,'Main Data'!$A993:$O993,0))</f>
        <v>No</v>
      </c>
      <c r="O994" s="2">
        <f>INDEX('Main Data'!$A$1:$O$1001,MATCH('Index&amp;Match'!$A994,'Main Data'!$A$1:$A$1001,0),MATCH('Index&amp;Match'!O993,'Main Data'!$A993:$O993,0))</f>
        <v>55</v>
      </c>
    </row>
    <row r="995" spans="1:15" x14ac:dyDescent="0.3">
      <c r="A995" s="2" t="s">
        <v>1052</v>
      </c>
      <c r="B995" s="1">
        <f>INDEX('Main Data'!$A$1:$O$1001,MATCH('Index&amp;Match'!$A995,'Main Data'!$A$1:$A$1001,0),MATCH('Index&amp;Match'!B994,'Main Data'!$A994:$O994,0))</f>
        <v>46139</v>
      </c>
      <c r="C995" s="2" t="str">
        <f>INDEX('Main Data'!$A$1:$O$1001,MATCH('Index&amp;Match'!$A995,'Main Data'!$A$1:$A$1001,0),MATCH('Index&amp;Match'!C994,'Main Data'!$A994:$O994,0))</f>
        <v>Morgan</v>
      </c>
      <c r="D995" s="2" t="str">
        <f>INDEX('Main Data'!$A$1:$O$1001,MATCH('Index&amp;Match'!$A995,'Main Data'!$A$1:$A$1001,0),MATCH('Index&amp;Match'!D994,'Main Data'!$A994:$O994,0))</f>
        <v>BR-010</v>
      </c>
      <c r="E995" s="2" t="str">
        <f>INDEX('Main Data'!$A$1:$O$1001,MATCH('Index&amp;Match'!$A995,'Main Data'!$A$1:$A$1001,0),MATCH('Index&amp;Match'!E994,'Main Data'!$A994:$O994,0))</f>
        <v>North</v>
      </c>
      <c r="F995" s="2" t="str">
        <f>INDEX('Main Data'!$A$1:$O$1001,MATCH('Index&amp;Match'!$A995,'Main Data'!$A$1:$A$1001,0),MATCH('Index&amp;Match'!F994,'Main Data'!$A994:$O994,0))</f>
        <v>Personal Loan</v>
      </c>
      <c r="G995" s="2" t="str">
        <f>INDEX('Main Data'!$A$1:$O$1001,MATCH('Index&amp;Match'!$A995,'Main Data'!$A$1:$A$1001,0),MATCH('Index&amp;Match'!G994,'Main Data'!$A994:$O994,0))</f>
        <v>Referral</v>
      </c>
      <c r="H995" s="2" t="str">
        <f>INDEX('Main Data'!$A$1:$O$1001,MATCH('Index&amp;Match'!$A995,'Main Data'!$A$1:$A$1001,0),MATCH('Index&amp;Match'!H994,'Main Data'!$A994:$O994,0))</f>
        <v>SME</v>
      </c>
      <c r="I995" s="2">
        <f>INDEX('Main Data'!$A$1:$O$1001,MATCH('Index&amp;Match'!$A995,'Main Data'!$A$1:$A$1001,0),MATCH('Index&amp;Match'!I994,'Main Data'!$A994:$O994,0))</f>
        <v>60</v>
      </c>
      <c r="J995" s="2">
        <f>INDEX('Main Data'!$A$1:$O$1001,MATCH('Index&amp;Match'!$A995,'Main Data'!$A$1:$A$1001,0),MATCH('Index&amp;Match'!J994,'Main Data'!$A994:$O994,0))</f>
        <v>60</v>
      </c>
      <c r="K995" s="11">
        <f>INDEX('Main Data'!$A$1:$O$1001,MATCH('Index&amp;Match'!$A995,'Main Data'!$A$1:$A$1001,0),MATCH('Index&amp;Match'!K994,'Main Data'!$A994:$O994,0))</f>
        <v>2950.88</v>
      </c>
      <c r="L995" s="11">
        <f>INDEX('Main Data'!$A$1:$O$1001,MATCH('Index&amp;Match'!$A995,'Main Data'!$A$1:$A$1001,0),MATCH('Index&amp;Match'!L994,'Main Data'!$A994:$O994,0))</f>
        <v>412.17</v>
      </c>
      <c r="M995" s="11">
        <f>INDEX('Main Data'!$A$1:$O$1001,MATCH('Index&amp;Match'!$A995,'Main Data'!$A$1:$A$1001,0),MATCH('Index&amp;Match'!M994,'Main Data'!$A994:$O994,0))</f>
        <v>59.53</v>
      </c>
      <c r="N995" s="2" t="str">
        <f>INDEX('Main Data'!$A$1:$O$1001,MATCH('Index&amp;Match'!$A995,'Main Data'!$A$1:$A$1001,0),MATCH('Index&amp;Match'!N994,'Main Data'!$A994:$O994,0))</f>
        <v>No</v>
      </c>
      <c r="O995" s="2">
        <f>INDEX('Main Data'!$A$1:$O$1001,MATCH('Index&amp;Match'!$A995,'Main Data'!$A$1:$A$1001,0),MATCH('Index&amp;Match'!O994,'Main Data'!$A994:$O994,0))</f>
        <v>60</v>
      </c>
    </row>
    <row r="996" spans="1:15" x14ac:dyDescent="0.3">
      <c r="A996" s="2" t="s">
        <v>1053</v>
      </c>
      <c r="B996" s="1">
        <f>INDEX('Main Data'!$A$1:$O$1001,MATCH('Index&amp;Match'!$A996,'Main Data'!$A$1:$A$1001,0),MATCH('Index&amp;Match'!B995,'Main Data'!$A995:$O995,0))</f>
        <v>46199</v>
      </c>
      <c r="C996" s="2" t="str">
        <f>INDEX('Main Data'!$A$1:$O$1001,MATCH('Index&amp;Match'!$A996,'Main Data'!$A$1:$A$1001,0),MATCH('Index&amp;Match'!C995,'Main Data'!$A995:$O995,0))</f>
        <v>Morgan</v>
      </c>
      <c r="D996" s="2" t="str">
        <f>INDEX('Main Data'!$A$1:$O$1001,MATCH('Index&amp;Match'!$A996,'Main Data'!$A$1:$A$1001,0),MATCH('Index&amp;Match'!D995,'Main Data'!$A995:$O995,0))</f>
        <v>BR-007</v>
      </c>
      <c r="E996" s="2" t="str">
        <f>INDEX('Main Data'!$A$1:$O$1001,MATCH('Index&amp;Match'!$A996,'Main Data'!$A$1:$A$1001,0),MATCH('Index&amp;Match'!E995,'Main Data'!$A995:$O995,0))</f>
        <v>Central</v>
      </c>
      <c r="F996" s="2" t="str">
        <f>INDEX('Main Data'!$A$1:$O$1001,MATCH('Index&amp;Match'!$A996,'Main Data'!$A$1:$A$1001,0),MATCH('Index&amp;Match'!F995,'Main Data'!$A995:$O995,0))</f>
        <v>Personal Loan</v>
      </c>
      <c r="G996" s="2" t="str">
        <f>INDEX('Main Data'!$A$1:$O$1001,MATCH('Index&amp;Match'!$A996,'Main Data'!$A$1:$A$1001,0),MATCH('Index&amp;Match'!G995,'Main Data'!$A995:$O995,0))</f>
        <v>Email Campaign</v>
      </c>
      <c r="H996" s="2" t="str">
        <f>INDEX('Main Data'!$A$1:$O$1001,MATCH('Index&amp;Match'!$A996,'Main Data'!$A$1:$A$1001,0),MATCH('Index&amp;Match'!H995,'Main Data'!$A995:$O995,0))</f>
        <v>High Net Worth</v>
      </c>
      <c r="I996" s="2">
        <f>INDEX('Main Data'!$A$1:$O$1001,MATCH('Index&amp;Match'!$A996,'Main Data'!$A$1:$A$1001,0),MATCH('Index&amp;Match'!I995,'Main Data'!$A995:$O995,0))</f>
        <v>36</v>
      </c>
      <c r="J996" s="2">
        <f>INDEX('Main Data'!$A$1:$O$1001,MATCH('Index&amp;Match'!$A996,'Main Data'!$A$1:$A$1001,0),MATCH('Index&amp;Match'!J995,'Main Data'!$A995:$O995,0))</f>
        <v>36</v>
      </c>
      <c r="K996" s="11">
        <f>INDEX('Main Data'!$A$1:$O$1001,MATCH('Index&amp;Match'!$A996,'Main Data'!$A$1:$A$1001,0),MATCH('Index&amp;Match'!K995,'Main Data'!$A995:$O995,0))</f>
        <v>30168.25</v>
      </c>
      <c r="L996" s="11">
        <f>INDEX('Main Data'!$A$1:$O$1001,MATCH('Index&amp;Match'!$A996,'Main Data'!$A$1:$A$1001,0),MATCH('Index&amp;Match'!L995,'Main Data'!$A995:$O995,0))</f>
        <v>216.04</v>
      </c>
      <c r="M996" s="11">
        <f>INDEX('Main Data'!$A$1:$O$1001,MATCH('Index&amp;Match'!$A996,'Main Data'!$A$1:$A$1001,0),MATCH('Index&amp;Match'!M995,'Main Data'!$A995:$O995,0))</f>
        <v>197.92</v>
      </c>
      <c r="N996" s="2" t="str">
        <f>INDEX('Main Data'!$A$1:$O$1001,MATCH('Index&amp;Match'!$A996,'Main Data'!$A$1:$A$1001,0),MATCH('Index&amp;Match'!N995,'Main Data'!$A995:$O995,0))</f>
        <v>Yes</v>
      </c>
      <c r="O996" s="2">
        <f>INDEX('Main Data'!$A$1:$O$1001,MATCH('Index&amp;Match'!$A996,'Main Data'!$A$1:$A$1001,0),MATCH('Index&amp;Match'!O995,'Main Data'!$A995:$O995,0))</f>
        <v>36</v>
      </c>
    </row>
    <row r="997" spans="1:15" x14ac:dyDescent="0.3">
      <c r="A997" s="2" t="s">
        <v>1054</v>
      </c>
      <c r="B997" s="1">
        <f>INDEX('Main Data'!$A$1:$O$1001,MATCH('Index&amp;Match'!$A997,'Main Data'!$A$1:$A$1001,0),MATCH('Index&amp;Match'!B996,'Main Data'!$A996:$O996,0))</f>
        <v>46115</v>
      </c>
      <c r="C997" s="2" t="str">
        <f>INDEX('Main Data'!$A$1:$O$1001,MATCH('Index&amp;Match'!$A997,'Main Data'!$A$1:$A$1001,0),MATCH('Index&amp;Match'!C996,'Main Data'!$A996:$O996,0))</f>
        <v>Casey</v>
      </c>
      <c r="D997" s="2" t="str">
        <f>INDEX('Main Data'!$A$1:$O$1001,MATCH('Index&amp;Match'!$A997,'Main Data'!$A$1:$A$1001,0),MATCH('Index&amp;Match'!D996,'Main Data'!$A996:$O996,0))</f>
        <v>BR-014</v>
      </c>
      <c r="E997" s="2" t="str">
        <f>INDEX('Main Data'!$A$1:$O$1001,MATCH('Index&amp;Match'!$A997,'Main Data'!$A$1:$A$1001,0),MATCH('Index&amp;Match'!E996,'Main Data'!$A996:$O996,0))</f>
        <v>East</v>
      </c>
      <c r="F997" s="2" t="str">
        <f>INDEX('Main Data'!$A$1:$O$1001,MATCH('Index&amp;Match'!$A997,'Main Data'!$A$1:$A$1001,0),MATCH('Index&amp;Match'!F996,'Main Data'!$A996:$O996,0))</f>
        <v>Mortgage</v>
      </c>
      <c r="G997" s="2" t="str">
        <f>INDEX('Main Data'!$A$1:$O$1001,MATCH('Index&amp;Match'!$A997,'Main Data'!$A$1:$A$1001,0),MATCH('Index&amp;Match'!G996,'Main Data'!$A996:$O996,0))</f>
        <v>Website</v>
      </c>
      <c r="H997" s="2" t="str">
        <f>INDEX('Main Data'!$A$1:$O$1001,MATCH('Index&amp;Match'!$A997,'Main Data'!$A$1:$A$1001,0),MATCH('Index&amp;Match'!H996,'Main Data'!$A996:$O996,0))</f>
        <v>High Net Worth</v>
      </c>
      <c r="I997" s="2">
        <f>INDEX('Main Data'!$A$1:$O$1001,MATCH('Index&amp;Match'!$A997,'Main Data'!$A$1:$A$1001,0),MATCH('Index&amp;Match'!I996,'Main Data'!$A996:$O996,0))</f>
        <v>58</v>
      </c>
      <c r="J997" s="2">
        <f>INDEX('Main Data'!$A$1:$O$1001,MATCH('Index&amp;Match'!$A997,'Main Data'!$A$1:$A$1001,0),MATCH('Index&amp;Match'!J996,'Main Data'!$A996:$O996,0))</f>
        <v>58</v>
      </c>
      <c r="K997" s="11">
        <f>INDEX('Main Data'!$A$1:$O$1001,MATCH('Index&amp;Match'!$A997,'Main Data'!$A$1:$A$1001,0),MATCH('Index&amp;Match'!K996,'Main Data'!$A996:$O996,0))</f>
        <v>17412.89</v>
      </c>
      <c r="L997" s="11">
        <f>INDEX('Main Data'!$A$1:$O$1001,MATCH('Index&amp;Match'!$A997,'Main Data'!$A$1:$A$1001,0),MATCH('Index&amp;Match'!L996,'Main Data'!$A996:$O996,0))</f>
        <v>434.58</v>
      </c>
      <c r="M997" s="11">
        <f>INDEX('Main Data'!$A$1:$O$1001,MATCH('Index&amp;Match'!$A997,'Main Data'!$A$1:$A$1001,0),MATCH('Index&amp;Match'!M996,'Main Data'!$A996:$O996,0))</f>
        <v>41.1</v>
      </c>
      <c r="N997" s="2" t="str">
        <f>INDEX('Main Data'!$A$1:$O$1001,MATCH('Index&amp;Match'!$A997,'Main Data'!$A$1:$A$1001,0),MATCH('Index&amp;Match'!N996,'Main Data'!$A996:$O996,0))</f>
        <v>Yes</v>
      </c>
      <c r="O997" s="2">
        <f>INDEX('Main Data'!$A$1:$O$1001,MATCH('Index&amp;Match'!$A997,'Main Data'!$A$1:$A$1001,0),MATCH('Index&amp;Match'!O996,'Main Data'!$A996:$O996,0))</f>
        <v>58</v>
      </c>
    </row>
    <row r="998" spans="1:15" x14ac:dyDescent="0.3">
      <c r="A998" s="2" t="s">
        <v>1055</v>
      </c>
      <c r="B998" s="1">
        <f>INDEX('Main Data'!$A$1:$O$1001,MATCH('Index&amp;Match'!$A998,'Main Data'!$A$1:$A$1001,0),MATCH('Index&amp;Match'!B997,'Main Data'!$A997:$O997,0))</f>
        <v>46064</v>
      </c>
      <c r="C998" s="2" t="str">
        <f>INDEX('Main Data'!$A$1:$O$1001,MATCH('Index&amp;Match'!$A998,'Main Data'!$A$1:$A$1001,0),MATCH('Index&amp;Match'!C997,'Main Data'!$A997:$O997,0))</f>
        <v>Alex</v>
      </c>
      <c r="D998" s="2" t="str">
        <f>INDEX('Main Data'!$A$1:$O$1001,MATCH('Index&amp;Match'!$A998,'Main Data'!$A$1:$A$1001,0),MATCH('Index&amp;Match'!D997,'Main Data'!$A997:$O997,0))</f>
        <v>BR-015</v>
      </c>
      <c r="E998" s="2" t="str">
        <f>INDEX('Main Data'!$A$1:$O$1001,MATCH('Index&amp;Match'!$A998,'Main Data'!$A$1:$A$1001,0),MATCH('Index&amp;Match'!E997,'Main Data'!$A997:$O997,0))</f>
        <v>East</v>
      </c>
      <c r="F998" s="2" t="str">
        <f>INDEX('Main Data'!$A$1:$O$1001,MATCH('Index&amp;Match'!$A998,'Main Data'!$A$1:$A$1001,0),MATCH('Index&amp;Match'!F997,'Main Data'!$A997:$O997,0))</f>
        <v>Credit Card</v>
      </c>
      <c r="G998" s="2" t="str">
        <f>INDEX('Main Data'!$A$1:$O$1001,MATCH('Index&amp;Match'!$A998,'Main Data'!$A$1:$A$1001,0),MATCH('Index&amp;Match'!G997,'Main Data'!$A997:$O997,0))</f>
        <v>Social Media</v>
      </c>
      <c r="H998" s="2" t="str">
        <f>INDEX('Main Data'!$A$1:$O$1001,MATCH('Index&amp;Match'!$A998,'Main Data'!$A$1:$A$1001,0),MATCH('Index&amp;Match'!H997,'Main Data'!$A997:$O997,0))</f>
        <v>Retail</v>
      </c>
      <c r="I998" s="2">
        <f>INDEX('Main Data'!$A$1:$O$1001,MATCH('Index&amp;Match'!$A998,'Main Data'!$A$1:$A$1001,0),MATCH('Index&amp;Match'!I997,'Main Data'!$A997:$O997,0))</f>
        <v>33</v>
      </c>
      <c r="J998" s="2">
        <f>INDEX('Main Data'!$A$1:$O$1001,MATCH('Index&amp;Match'!$A998,'Main Data'!$A$1:$A$1001,0),MATCH('Index&amp;Match'!J997,'Main Data'!$A997:$O997,0))</f>
        <v>33</v>
      </c>
      <c r="K998" s="11">
        <f>INDEX('Main Data'!$A$1:$O$1001,MATCH('Index&amp;Match'!$A998,'Main Data'!$A$1:$A$1001,0),MATCH('Index&amp;Match'!K997,'Main Data'!$A997:$O997,0))</f>
        <v>47689.16</v>
      </c>
      <c r="L998" s="11">
        <f>INDEX('Main Data'!$A$1:$O$1001,MATCH('Index&amp;Match'!$A998,'Main Data'!$A$1:$A$1001,0),MATCH('Index&amp;Match'!L997,'Main Data'!$A997:$O997,0))</f>
        <v>410.99</v>
      </c>
      <c r="M998" s="11">
        <f>INDEX('Main Data'!$A$1:$O$1001,MATCH('Index&amp;Match'!$A998,'Main Data'!$A$1:$A$1001,0),MATCH('Index&amp;Match'!M997,'Main Data'!$A997:$O997,0))</f>
        <v>137.37</v>
      </c>
      <c r="N998" s="2" t="str">
        <f>INDEX('Main Data'!$A$1:$O$1001,MATCH('Index&amp;Match'!$A998,'Main Data'!$A$1:$A$1001,0),MATCH('Index&amp;Match'!N997,'Main Data'!$A997:$O997,0))</f>
        <v>Yes</v>
      </c>
      <c r="O998" s="2">
        <f>INDEX('Main Data'!$A$1:$O$1001,MATCH('Index&amp;Match'!$A998,'Main Data'!$A$1:$A$1001,0),MATCH('Index&amp;Match'!O997,'Main Data'!$A997:$O997,0))</f>
        <v>33</v>
      </c>
    </row>
    <row r="999" spans="1:15" x14ac:dyDescent="0.3">
      <c r="A999" s="2" t="s">
        <v>1056</v>
      </c>
      <c r="B999" s="1">
        <f>INDEX('Main Data'!$A$1:$O$1001,MATCH('Index&amp;Match'!$A999,'Main Data'!$A$1:$A$1001,0),MATCH('Index&amp;Match'!B998,'Main Data'!$A998:$O998,0))</f>
        <v>46157</v>
      </c>
      <c r="C999" s="2" t="str">
        <f>INDEX('Main Data'!$A$1:$O$1001,MATCH('Index&amp;Match'!$A999,'Main Data'!$A$1:$A$1001,0),MATCH('Index&amp;Match'!C998,'Main Data'!$A998:$O998,0))</f>
        <v>Morgan</v>
      </c>
      <c r="D999" s="2" t="str">
        <f>INDEX('Main Data'!$A$1:$O$1001,MATCH('Index&amp;Match'!$A999,'Main Data'!$A$1:$A$1001,0),MATCH('Index&amp;Match'!D998,'Main Data'!$A998:$O998,0))</f>
        <v>BR-005</v>
      </c>
      <c r="E999" s="2" t="str">
        <f>INDEX('Main Data'!$A$1:$O$1001,MATCH('Index&amp;Match'!$A999,'Main Data'!$A$1:$A$1001,0),MATCH('Index&amp;Match'!E998,'Main Data'!$A998:$O998,0))</f>
        <v>North</v>
      </c>
      <c r="F999" s="2" t="str">
        <f>INDEX('Main Data'!$A$1:$O$1001,MATCH('Index&amp;Match'!$A999,'Main Data'!$A$1:$A$1001,0),MATCH('Index&amp;Match'!F998,'Main Data'!$A998:$O998,0))</f>
        <v>Auto Loan</v>
      </c>
      <c r="G999" s="2" t="str">
        <f>INDEX('Main Data'!$A$1:$O$1001,MATCH('Index&amp;Match'!$A999,'Main Data'!$A$1:$A$1001,0),MATCH('Index&amp;Match'!G998,'Main Data'!$A998:$O998,0))</f>
        <v>Email Campaign</v>
      </c>
      <c r="H999" s="2" t="str">
        <f>INDEX('Main Data'!$A$1:$O$1001,MATCH('Index&amp;Match'!$A999,'Main Data'!$A$1:$A$1001,0),MATCH('Index&amp;Match'!H998,'Main Data'!$A998:$O998,0))</f>
        <v>SME</v>
      </c>
      <c r="I999" s="2">
        <f>INDEX('Main Data'!$A$1:$O$1001,MATCH('Index&amp;Match'!$A999,'Main Data'!$A$1:$A$1001,0),MATCH('Index&amp;Match'!I998,'Main Data'!$A998:$O998,0))</f>
        <v>43</v>
      </c>
      <c r="J999" s="2">
        <f>INDEX('Main Data'!$A$1:$O$1001,MATCH('Index&amp;Match'!$A999,'Main Data'!$A$1:$A$1001,0),MATCH('Index&amp;Match'!J998,'Main Data'!$A998:$O998,0))</f>
        <v>43</v>
      </c>
      <c r="K999" s="11">
        <f>INDEX('Main Data'!$A$1:$O$1001,MATCH('Index&amp;Match'!$A999,'Main Data'!$A$1:$A$1001,0),MATCH('Index&amp;Match'!K998,'Main Data'!$A998:$O998,0))</f>
        <v>45207.94</v>
      </c>
      <c r="L999" s="11">
        <f>INDEX('Main Data'!$A$1:$O$1001,MATCH('Index&amp;Match'!$A999,'Main Data'!$A$1:$A$1001,0),MATCH('Index&amp;Match'!L998,'Main Data'!$A998:$O998,0))</f>
        <v>206.94</v>
      </c>
      <c r="M999" s="11">
        <f>INDEX('Main Data'!$A$1:$O$1001,MATCH('Index&amp;Match'!$A999,'Main Data'!$A$1:$A$1001,0),MATCH('Index&amp;Match'!M998,'Main Data'!$A998:$O998,0))</f>
        <v>182.66</v>
      </c>
      <c r="N999" s="2" t="str">
        <f>INDEX('Main Data'!$A$1:$O$1001,MATCH('Index&amp;Match'!$A999,'Main Data'!$A$1:$A$1001,0),MATCH('Index&amp;Match'!N998,'Main Data'!$A998:$O998,0))</f>
        <v>No</v>
      </c>
      <c r="O999" s="2">
        <f>INDEX('Main Data'!$A$1:$O$1001,MATCH('Index&amp;Match'!$A999,'Main Data'!$A$1:$A$1001,0),MATCH('Index&amp;Match'!O998,'Main Data'!$A998:$O998,0))</f>
        <v>43</v>
      </c>
    </row>
    <row r="1000" spans="1:15" x14ac:dyDescent="0.3">
      <c r="A1000" s="2" t="s">
        <v>1057</v>
      </c>
      <c r="B1000" s="1">
        <f>INDEX('Main Data'!$A$1:$O$1001,MATCH('Index&amp;Match'!$A1000,'Main Data'!$A$1:$A$1001,0),MATCH('Index&amp;Match'!B999,'Main Data'!$A999:$O999,0))</f>
        <v>46226</v>
      </c>
      <c r="C1000" s="2" t="str">
        <f>INDEX('Main Data'!$A$1:$O$1001,MATCH('Index&amp;Match'!$A1000,'Main Data'!$A$1:$A$1001,0),MATCH('Index&amp;Match'!C999,'Main Data'!$A999:$O999,0))</f>
        <v>Drew</v>
      </c>
      <c r="D1000" s="2" t="str">
        <f>INDEX('Main Data'!$A$1:$O$1001,MATCH('Index&amp;Match'!$A1000,'Main Data'!$A$1:$A$1001,0),MATCH('Index&amp;Match'!D999,'Main Data'!$A999:$O999,0))</f>
        <v>BR-007</v>
      </c>
      <c r="E1000" s="2" t="str">
        <f>INDEX('Main Data'!$A$1:$O$1001,MATCH('Index&amp;Match'!$A1000,'Main Data'!$A$1:$A$1001,0),MATCH('Index&amp;Match'!E999,'Main Data'!$A999:$O999,0))</f>
        <v>Central</v>
      </c>
      <c r="F1000" s="2" t="str">
        <f>INDEX('Main Data'!$A$1:$O$1001,MATCH('Index&amp;Match'!$A1000,'Main Data'!$A$1:$A$1001,0),MATCH('Index&amp;Match'!F999,'Main Data'!$A999:$O999,0))</f>
        <v>Credit Card</v>
      </c>
      <c r="G1000" s="2" t="str">
        <f>INDEX('Main Data'!$A$1:$O$1001,MATCH('Index&amp;Match'!$A1000,'Main Data'!$A$1:$A$1001,0),MATCH('Index&amp;Match'!G999,'Main Data'!$A999:$O999,0))</f>
        <v>Email Campaign</v>
      </c>
      <c r="H1000" s="2" t="str">
        <f>INDEX('Main Data'!$A$1:$O$1001,MATCH('Index&amp;Match'!$A1000,'Main Data'!$A$1:$A$1001,0),MATCH('Index&amp;Match'!H999,'Main Data'!$A999:$O999,0))</f>
        <v>Corporate</v>
      </c>
      <c r="I1000" s="2">
        <f>INDEX('Main Data'!$A$1:$O$1001,MATCH('Index&amp;Match'!$A1000,'Main Data'!$A$1:$A$1001,0),MATCH('Index&amp;Match'!I999,'Main Data'!$A999:$O999,0))</f>
        <v>74</v>
      </c>
      <c r="J1000" s="2">
        <f>INDEX('Main Data'!$A$1:$O$1001,MATCH('Index&amp;Match'!$A1000,'Main Data'!$A$1:$A$1001,0),MATCH('Index&amp;Match'!J999,'Main Data'!$A999:$O999,0))</f>
        <v>74</v>
      </c>
      <c r="K1000" s="11">
        <f>INDEX('Main Data'!$A$1:$O$1001,MATCH('Index&amp;Match'!$A1000,'Main Data'!$A$1:$A$1001,0),MATCH('Index&amp;Match'!K999,'Main Data'!$A999:$O999,0))</f>
        <v>35828.46</v>
      </c>
      <c r="L1000" s="11">
        <f>INDEX('Main Data'!$A$1:$O$1001,MATCH('Index&amp;Match'!$A1000,'Main Data'!$A$1:$A$1001,0),MATCH('Index&amp;Match'!L999,'Main Data'!$A999:$O999,0))</f>
        <v>362.24</v>
      </c>
      <c r="M1000" s="11">
        <f>INDEX('Main Data'!$A$1:$O$1001,MATCH('Index&amp;Match'!$A1000,'Main Data'!$A$1:$A$1001,0),MATCH('Index&amp;Match'!M999,'Main Data'!$A999:$O999,0))</f>
        <v>121.72</v>
      </c>
      <c r="N1000" s="2" t="str">
        <f>INDEX('Main Data'!$A$1:$O$1001,MATCH('Index&amp;Match'!$A1000,'Main Data'!$A$1:$A$1001,0),MATCH('Index&amp;Match'!N999,'Main Data'!$A999:$O999,0))</f>
        <v>Yes</v>
      </c>
      <c r="O1000" s="2">
        <f>INDEX('Main Data'!$A$1:$O$1001,MATCH('Index&amp;Match'!$A1000,'Main Data'!$A$1:$A$1001,0),MATCH('Index&amp;Match'!O999,'Main Data'!$A999:$O999,0))</f>
        <v>74</v>
      </c>
    </row>
    <row r="1001" spans="1:15" x14ac:dyDescent="0.3">
      <c r="A1001" s="2" t="s">
        <v>1058</v>
      </c>
      <c r="B1001" s="1">
        <f>INDEX('Main Data'!$A$1:$O$1001,MATCH('Index&amp;Match'!$A1001,'Main Data'!$A$1:$A$1001,0),MATCH('Index&amp;Match'!B1000,'Main Data'!$A1000:$O1000,0))</f>
        <v>46151</v>
      </c>
      <c r="C1001" s="2" t="str">
        <f>INDEX('Main Data'!$A$1:$O$1001,MATCH('Index&amp;Match'!$A1001,'Main Data'!$A$1:$A$1001,0),MATCH('Index&amp;Match'!C1000,'Main Data'!$A1000:$O1000,0))</f>
        <v>Taylor</v>
      </c>
      <c r="D1001" s="2" t="str">
        <f>INDEX('Main Data'!$A$1:$O$1001,MATCH('Index&amp;Match'!$A1001,'Main Data'!$A$1:$A$1001,0),MATCH('Index&amp;Match'!D1000,'Main Data'!$A1000:$O1000,0))</f>
        <v>BR-009</v>
      </c>
      <c r="E1001" s="2" t="str">
        <f>INDEX('Main Data'!$A$1:$O$1001,MATCH('Index&amp;Match'!$A1001,'Main Data'!$A$1:$A$1001,0),MATCH('Index&amp;Match'!E1000,'Main Data'!$A1000:$O1000,0))</f>
        <v>West</v>
      </c>
      <c r="F1001" s="2" t="str">
        <f>INDEX('Main Data'!$A$1:$O$1001,MATCH('Index&amp;Match'!$A1001,'Main Data'!$A$1:$A$1001,0),MATCH('Index&amp;Match'!F1000,'Main Data'!$A1000:$O1000,0))</f>
        <v>Credit Card</v>
      </c>
      <c r="G1001" s="2" t="str">
        <f>INDEX('Main Data'!$A$1:$O$1001,MATCH('Index&amp;Match'!$A1001,'Main Data'!$A$1:$A$1001,0),MATCH('Index&amp;Match'!G1000,'Main Data'!$A1000:$O1000,0))</f>
        <v>Website</v>
      </c>
      <c r="H1001" s="2" t="str">
        <f>INDEX('Main Data'!$A$1:$O$1001,MATCH('Index&amp;Match'!$A1001,'Main Data'!$A$1:$A$1001,0),MATCH('Index&amp;Match'!H1000,'Main Data'!$A1000:$O1000,0))</f>
        <v>Corporate</v>
      </c>
      <c r="I1001" s="2">
        <f>INDEX('Main Data'!$A$1:$O$1001,MATCH('Index&amp;Match'!$A1001,'Main Data'!$A$1:$A$1001,0),MATCH('Index&amp;Match'!I1000,'Main Data'!$A1000:$O1000,0))</f>
        <v>42</v>
      </c>
      <c r="J1001" s="2">
        <f>INDEX('Main Data'!$A$1:$O$1001,MATCH('Index&amp;Match'!$A1001,'Main Data'!$A$1:$A$1001,0),MATCH('Index&amp;Match'!J1000,'Main Data'!$A1000:$O1000,0))</f>
        <v>42</v>
      </c>
      <c r="K1001" s="11">
        <f>INDEX('Main Data'!$A$1:$O$1001,MATCH('Index&amp;Match'!$A1001,'Main Data'!$A$1:$A$1001,0),MATCH('Index&amp;Match'!K1000,'Main Data'!$A1000:$O1000,0))</f>
        <v>40998.21</v>
      </c>
      <c r="L1001" s="11">
        <f>INDEX('Main Data'!$A$1:$O$1001,MATCH('Index&amp;Match'!$A1001,'Main Data'!$A$1:$A$1001,0),MATCH('Index&amp;Match'!L1000,'Main Data'!$A1000:$O1000,0))</f>
        <v>121.83</v>
      </c>
      <c r="M1001" s="11">
        <f>INDEX('Main Data'!$A$1:$O$1001,MATCH('Index&amp;Match'!$A1001,'Main Data'!$A$1:$A$1001,0),MATCH('Index&amp;Match'!M1000,'Main Data'!$A1000:$O1000,0))</f>
        <v>111.97</v>
      </c>
      <c r="N1001" s="2" t="str">
        <f>INDEX('Main Data'!$A$1:$O$1001,MATCH('Index&amp;Match'!$A1001,'Main Data'!$A$1:$A$1001,0),MATCH('Index&amp;Match'!N1000,'Main Data'!$A1000:$O1000,0))</f>
        <v>Yes</v>
      </c>
      <c r="O1001" s="2">
        <f>INDEX('Main Data'!$A$1:$O$1001,MATCH('Index&amp;Match'!$A1001,'Main Data'!$A$1:$A$1001,0),MATCH('Index&amp;Match'!O1000,'Main Data'!$A1000:$O1000,0))</f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 Data</vt:lpstr>
      <vt:lpstr>Double lookup</vt:lpstr>
      <vt:lpstr>Dynamic Lookup Function</vt:lpstr>
      <vt:lpstr>Vlookup</vt:lpstr>
      <vt:lpstr>Hlookup</vt:lpstr>
      <vt:lpstr>Xlookup</vt:lpstr>
      <vt:lpstr>Index&amp;Match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 shukla</dc:creator>
  <cp:lastModifiedBy>Shashank Shukla</cp:lastModifiedBy>
  <dcterms:created xsi:type="dcterms:W3CDTF">2026-08-07T10:45:14Z</dcterms:created>
  <dcterms:modified xsi:type="dcterms:W3CDTF">2026-09-23T14:20:43Z</dcterms:modified>
</cp:coreProperties>
</file>